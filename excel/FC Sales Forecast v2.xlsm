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5340" windowWidth="19215" windowHeight="2085" tabRatio="500"/>
  </bookViews>
  <sheets>
    <sheet name="Admin" sheetId="2" r:id="rId1"/>
    <sheet name="Forecast" sheetId="3" r:id="rId2"/>
    <sheet name="Formulas" sheetId="5" r:id="rId3"/>
    <sheet name="Source Data" sheetId="6" state="hidden" r:id="rId4"/>
    <sheet name="Settings" sheetId="8" r:id="rId5"/>
  </sheets>
  <functionGroups builtInGroupCount="17"/>
  <definedNames>
    <definedName name="_xlnm._FilterDatabase" localSheetId="0" hidden="1">Admin!$F$10:$F$11</definedName>
    <definedName name="_xlnm._FilterDatabase" localSheetId="4" hidden="1">Settings!$Q$1:$W$299</definedName>
    <definedName name="_xlnm._FilterDatabase" localSheetId="3" hidden="1">'Source Data'!$A$5:$AA$5</definedName>
    <definedName name="Brand">Admin!$B$8</definedName>
    <definedName name="Channel">Admin!$F$8</definedName>
    <definedName name="ColumnLookup">Formulas!$L$2:$CY$2</definedName>
    <definedName name="CompareVer">Admin!$D$14</definedName>
    <definedName name="Country">Admin!$D$8</definedName>
    <definedName name="DataPlan">'Source Data'!$A$1:$AA$1</definedName>
    <definedName name="Display">Forecast!$A$11</definedName>
    <definedName name="Environ">Settings!$C$13</definedName>
    <definedName name="ExportData">Forecast!$C$11:$C$94</definedName>
    <definedName name="ExportFields">Formulas!$L$1:$CY$1</definedName>
    <definedName name="FC">Admin!$F$11</definedName>
    <definedName name="FCLY">Settings!$C$10</definedName>
    <definedName name="FiscalYr">Admin!$B$11</definedName>
    <definedName name="ForecastVer">Admin!$B$14</definedName>
    <definedName name="Formulas">Formulas!$A$11:$DC$96</definedName>
    <definedName name="Host">Settings!$C$14</definedName>
    <definedName name="ListBrand">Settings!$A$2:$A$5</definedName>
    <definedName name="ListChannel">Settings!$C$2:$C$4</definedName>
    <definedName name="ListSeason">Settings!$G$2:$G$9</definedName>
    <definedName name="ListVersions">Settings!$I$2:$I$6</definedName>
    <definedName name="ListYr">Settings!$E$2:$E$3</definedName>
    <definedName name="LY">Settings!$C$8</definedName>
    <definedName name="NewPlan">Settings!$C$9</definedName>
    <definedName name="Plan">Admin!$B$14</definedName>
    <definedName name="Plan_txt">Forecast!$C$7</definedName>
    <definedName name="Season">Admin!$D$11</definedName>
    <definedName name="Status">Admin!$B$20</definedName>
    <definedName name="tblBrandChannel">Settings!$K$2:$L$9</definedName>
    <definedName name="tblBrandCountry">Settings!$N$2:$O$6</definedName>
    <definedName name="tblDiscount">Settings!$AG$2:$AL$479</definedName>
    <definedName name="tblFC">Settings!$R:$W</definedName>
    <definedName name="tblFCSettings">Settings!$AN$2:$BA$482</definedName>
    <definedName name="tblForecast">'Source Data'!$A$6:$AA$226</definedName>
    <definedName name="tblLYFC">Settings!$Q$2:$W$299</definedName>
  </definedNames>
  <calcPr calcId="145621"/>
</workbook>
</file>

<file path=xl/calcChain.xml><?xml version="1.0" encoding="utf-8"?>
<calcChain xmlns="http://schemas.openxmlformats.org/spreadsheetml/2006/main">
  <c r="DC94" i="3" l="1"/>
  <c r="DB94" i="3"/>
  <c r="CZ94" i="3"/>
  <c r="DA94" i="3" s="1"/>
  <c r="DC93" i="3"/>
  <c r="DB93" i="3"/>
  <c r="CZ93" i="3"/>
  <c r="DA93" i="3" s="1"/>
  <c r="DC92" i="3"/>
  <c r="DB92" i="3"/>
  <c r="DA92" i="3"/>
  <c r="CZ92" i="3"/>
  <c r="DC91" i="3"/>
  <c r="DB91" i="3"/>
  <c r="DA91" i="3"/>
  <c r="CZ91" i="3"/>
  <c r="DC89" i="3"/>
  <c r="DB89" i="3"/>
  <c r="CZ89" i="3"/>
  <c r="DA89" i="3" s="1"/>
  <c r="DC88" i="3"/>
  <c r="DB88" i="3"/>
  <c r="DA88" i="3"/>
  <c r="CZ88" i="3"/>
  <c r="DC87" i="3"/>
  <c r="DB87" i="3"/>
  <c r="DA87" i="3"/>
  <c r="CZ87" i="3"/>
  <c r="DC86" i="3"/>
  <c r="DB86" i="3"/>
  <c r="DA86" i="3" s="1"/>
  <c r="CZ86" i="3"/>
  <c r="DC85" i="3"/>
  <c r="DB85" i="3"/>
  <c r="CZ85" i="3"/>
  <c r="DA85" i="3" s="1"/>
  <c r="DC83" i="3"/>
  <c r="DB83" i="3"/>
  <c r="DA83" i="3" s="1"/>
  <c r="CZ83" i="3"/>
  <c r="DC82" i="3"/>
  <c r="DB82" i="3"/>
  <c r="CZ82" i="3"/>
  <c r="DA82" i="3" s="1"/>
  <c r="DC81" i="3"/>
  <c r="DB81" i="3"/>
  <c r="CZ81" i="3"/>
  <c r="DA81" i="3" s="1"/>
  <c r="DC80" i="3"/>
  <c r="DB80" i="3"/>
  <c r="CZ80" i="3"/>
  <c r="DC76" i="3"/>
  <c r="DB76" i="3"/>
  <c r="DA76" i="3"/>
  <c r="CZ76" i="3"/>
  <c r="DC75" i="3"/>
  <c r="DB75" i="3"/>
  <c r="DA75" i="3"/>
  <c r="CZ75" i="3"/>
  <c r="DC74" i="3"/>
  <c r="DB74" i="3"/>
  <c r="DA74" i="3"/>
  <c r="CZ74" i="3"/>
  <c r="DC73" i="3"/>
  <c r="DB73" i="3"/>
  <c r="DA73" i="3" s="1"/>
  <c r="CZ73" i="3"/>
  <c r="DC71" i="3"/>
  <c r="DB71" i="3"/>
  <c r="CZ71" i="3"/>
  <c r="DC70" i="3"/>
  <c r="DB70" i="3"/>
  <c r="CZ70" i="3"/>
  <c r="DA70" i="3" s="1"/>
  <c r="DC69" i="3"/>
  <c r="DB69" i="3"/>
  <c r="CZ69" i="3"/>
  <c r="DA69" i="3" s="1"/>
  <c r="DC68" i="3"/>
  <c r="DB68" i="3"/>
  <c r="CZ68" i="3"/>
  <c r="DA68" i="3" s="1"/>
  <c r="DC67" i="3"/>
  <c r="DB67" i="3"/>
  <c r="CZ67" i="3"/>
  <c r="DC65" i="3"/>
  <c r="DB65" i="3"/>
  <c r="CZ65" i="3"/>
  <c r="DC64" i="3"/>
  <c r="DB64" i="3"/>
  <c r="CZ64" i="3"/>
  <c r="DA64" i="3" s="1"/>
  <c r="DC63" i="3"/>
  <c r="DB63" i="3"/>
  <c r="CZ63" i="3"/>
  <c r="DC62" i="3"/>
  <c r="DB62" i="3"/>
  <c r="CZ62" i="3"/>
  <c r="DA62" i="3" s="1"/>
  <c r="DC59" i="3"/>
  <c r="DB59" i="3"/>
  <c r="DA59" i="3"/>
  <c r="CZ59" i="3"/>
  <c r="DC58" i="3"/>
  <c r="DB58" i="3"/>
  <c r="DA58" i="3" s="1"/>
  <c r="CZ58" i="3"/>
  <c r="DC57" i="3"/>
  <c r="DB57" i="3"/>
  <c r="DA57" i="3"/>
  <c r="CZ57" i="3"/>
  <c r="DC56" i="3"/>
  <c r="DB56" i="3"/>
  <c r="CZ56" i="3"/>
  <c r="DA56" i="3" s="1"/>
  <c r="DC54" i="3"/>
  <c r="DB54" i="3"/>
  <c r="CZ54" i="3"/>
  <c r="DA54" i="3" s="1"/>
  <c r="DC53" i="3"/>
  <c r="DB53" i="3"/>
  <c r="DA53" i="3"/>
  <c r="CZ53" i="3"/>
  <c r="DC52" i="3"/>
  <c r="DB52" i="3"/>
  <c r="CZ52" i="3"/>
  <c r="DA52" i="3" s="1"/>
  <c r="DC51" i="3"/>
  <c r="DB51" i="3"/>
  <c r="DA51" i="3"/>
  <c r="CZ51" i="3"/>
  <c r="DC50" i="3"/>
  <c r="DB50" i="3"/>
  <c r="CZ50" i="3"/>
  <c r="DA50" i="3" s="1"/>
  <c r="DC48" i="3"/>
  <c r="DB48" i="3"/>
  <c r="CZ48" i="3"/>
  <c r="DA48" i="3" s="1"/>
  <c r="DC47" i="3"/>
  <c r="DB47" i="3"/>
  <c r="CZ47" i="3"/>
  <c r="DC46" i="3"/>
  <c r="DB46" i="3"/>
  <c r="CZ46" i="3"/>
  <c r="DA46" i="3" s="1"/>
  <c r="DC45" i="3"/>
  <c r="DB45" i="3"/>
  <c r="CZ45" i="3"/>
  <c r="DA45" i="3" s="1"/>
  <c r="DC42" i="3"/>
  <c r="DB42" i="3"/>
  <c r="CZ42" i="3"/>
  <c r="DA42" i="3" s="1"/>
  <c r="DC41" i="3"/>
  <c r="DB41" i="3"/>
  <c r="CZ41" i="3"/>
  <c r="DA41" i="3" s="1"/>
  <c r="DC40" i="3"/>
  <c r="DB40" i="3"/>
  <c r="CZ40" i="3"/>
  <c r="DA40" i="3" s="1"/>
  <c r="DC39" i="3"/>
  <c r="DB39" i="3"/>
  <c r="CZ39" i="3"/>
  <c r="DA39" i="3" s="1"/>
  <c r="DC37" i="3"/>
  <c r="DB37" i="3"/>
  <c r="DA37" i="3"/>
  <c r="CZ37" i="3"/>
  <c r="DC36" i="3"/>
  <c r="DB36" i="3"/>
  <c r="CZ36" i="3"/>
  <c r="DC35" i="3"/>
  <c r="DB35" i="3"/>
  <c r="DA35" i="3"/>
  <c r="CZ35" i="3"/>
  <c r="DC34" i="3"/>
  <c r="DB34" i="3"/>
  <c r="DA34" i="3"/>
  <c r="CZ34" i="3"/>
  <c r="DC33" i="3"/>
  <c r="DB33" i="3"/>
  <c r="DA33" i="3"/>
  <c r="CZ33" i="3"/>
  <c r="DC31" i="3"/>
  <c r="DB31" i="3"/>
  <c r="DA31" i="3"/>
  <c r="CZ31" i="3"/>
  <c r="DC30" i="3"/>
  <c r="DB30" i="3"/>
  <c r="DA30" i="3"/>
  <c r="CZ30" i="3"/>
  <c r="DC29" i="3"/>
  <c r="DB29" i="3"/>
  <c r="DA29" i="3" s="1"/>
  <c r="CZ29" i="3"/>
  <c r="DC28" i="3"/>
  <c r="DB28" i="3"/>
  <c r="CZ28" i="3"/>
  <c r="DA28" i="3" s="1"/>
  <c r="DC25" i="3"/>
  <c r="DB25" i="3"/>
  <c r="DA25" i="3" s="1"/>
  <c r="CZ25" i="3"/>
  <c r="BX25" i="3"/>
  <c r="BC25" i="3"/>
  <c r="BC26" i="3" s="1"/>
  <c r="BC27" i="3" s="1"/>
  <c r="DC24" i="3"/>
  <c r="DB24" i="3"/>
  <c r="CZ24" i="3"/>
  <c r="DA24" i="3" s="1"/>
  <c r="CE24" i="3"/>
  <c r="BN24" i="3"/>
  <c r="AH24" i="3"/>
  <c r="R24" i="3"/>
  <c r="W25" i="3" s="1"/>
  <c r="W26" i="3" s="1"/>
  <c r="W27" i="3" s="1"/>
  <c r="DC23" i="3"/>
  <c r="DB23" i="3"/>
  <c r="CZ23" i="3"/>
  <c r="DA23" i="3" s="1"/>
  <c r="CB23" i="3"/>
  <c r="BL23" i="3"/>
  <c r="DC22" i="3"/>
  <c r="DB22" i="3"/>
  <c r="CZ22" i="3"/>
  <c r="DA22" i="3" s="1"/>
  <c r="AT22" i="3"/>
  <c r="DC20" i="3"/>
  <c r="DB20" i="3"/>
  <c r="CZ20" i="3"/>
  <c r="DA20" i="3" s="1"/>
  <c r="AT20" i="3"/>
  <c r="DC19" i="3"/>
  <c r="DB19" i="3"/>
  <c r="CZ19" i="3"/>
  <c r="BX19" i="3"/>
  <c r="AR19" i="3"/>
  <c r="DC18" i="3"/>
  <c r="DB18" i="3"/>
  <c r="CZ18" i="3"/>
  <c r="DA18" i="3" s="1"/>
  <c r="CL18" i="3"/>
  <c r="BV18" i="3"/>
  <c r="BF18" i="3"/>
  <c r="AP18" i="3"/>
  <c r="J18" i="3"/>
  <c r="DC17" i="3"/>
  <c r="DB17" i="3"/>
  <c r="CZ17" i="3"/>
  <c r="DA17" i="3" s="1"/>
  <c r="CJ17" i="3"/>
  <c r="BT17" i="3"/>
  <c r="AN17" i="3"/>
  <c r="H17" i="3"/>
  <c r="DC16" i="3"/>
  <c r="DB16" i="3"/>
  <c r="CZ16" i="3"/>
  <c r="DA16" i="3" s="1"/>
  <c r="CH16" i="3"/>
  <c r="DC14" i="3"/>
  <c r="DB14" i="3"/>
  <c r="CZ14" i="3"/>
  <c r="DA14" i="3" s="1"/>
  <c r="CH14" i="3"/>
  <c r="DC13" i="3"/>
  <c r="DB13" i="3"/>
  <c r="CZ13" i="3"/>
  <c r="CX13" i="3"/>
  <c r="CF13" i="3"/>
  <c r="BX13" i="3"/>
  <c r="BP13" i="3"/>
  <c r="AR13" i="3"/>
  <c r="AJ13" i="3"/>
  <c r="T13" i="3"/>
  <c r="DC12" i="3"/>
  <c r="DB12" i="3"/>
  <c r="CZ12" i="3"/>
  <c r="CX12" i="3"/>
  <c r="CF12" i="3"/>
  <c r="BX12" i="3"/>
  <c r="BP12" i="3"/>
  <c r="AR12" i="3"/>
  <c r="AJ12" i="3"/>
  <c r="T12" i="3"/>
  <c r="DC11" i="3"/>
  <c r="DB11" i="3"/>
  <c r="CZ11" i="3"/>
  <c r="CX11" i="3"/>
  <c r="CF11" i="3"/>
  <c r="BX11" i="3"/>
  <c r="BP11" i="3"/>
  <c r="AR11" i="3"/>
  <c r="AJ11" i="3"/>
  <c r="Q11" i="3"/>
  <c r="I11" i="3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BX15" i="3" l="1"/>
  <c r="AL24" i="3"/>
  <c r="BD13" i="3"/>
  <c r="BK13" i="3" s="1"/>
  <c r="BI12" i="3"/>
  <c r="AE17" i="3"/>
  <c r="AG18" i="3"/>
  <c r="K95" i="3"/>
  <c r="CK94" i="3"/>
  <c r="BY94" i="3"/>
  <c r="BU94" i="3"/>
  <c r="BQ94" i="3"/>
  <c r="BM94" i="3"/>
  <c r="CX94" i="3"/>
  <c r="CF94" i="3"/>
  <c r="CP94" i="3" s="1"/>
  <c r="CB94" i="3"/>
  <c r="BX94" i="3"/>
  <c r="BT94" i="3"/>
  <c r="BV94" i="3" s="1"/>
  <c r="BZ94" i="3" s="1"/>
  <c r="CM94" i="3"/>
  <c r="CS94" i="3" s="1"/>
  <c r="CI94" i="3"/>
  <c r="CE94" i="3"/>
  <c r="CO94" i="3" s="1"/>
  <c r="CT94" i="3" s="1"/>
  <c r="CA94" i="3"/>
  <c r="BW94" i="3"/>
  <c r="BO94" i="3"/>
  <c r="BS94" i="3" s="1"/>
  <c r="BG94" i="3"/>
  <c r="BG95" i="3" s="1"/>
  <c r="BG96" i="3" s="1"/>
  <c r="BC94" i="3"/>
  <c r="BC95" i="3" s="1"/>
  <c r="BC96" i="3" s="1"/>
  <c r="AU94" i="3"/>
  <c r="AM94" i="3"/>
  <c r="AI94" i="3"/>
  <c r="S94" i="3"/>
  <c r="K94" i="3"/>
  <c r="G94" i="3"/>
  <c r="CK93" i="3"/>
  <c r="BY93" i="3"/>
  <c r="BU93" i="3"/>
  <c r="BQ93" i="3"/>
  <c r="BM93" i="3"/>
  <c r="CD94" i="3"/>
  <c r="BP94" i="3"/>
  <c r="AS94" i="3"/>
  <c r="AN94" i="3"/>
  <c r="AH94" i="3"/>
  <c r="R94" i="3"/>
  <c r="M94" i="3" s="1"/>
  <c r="H94" i="3"/>
  <c r="F94" i="3" s="1"/>
  <c r="CX93" i="3"/>
  <c r="CL93" i="3"/>
  <c r="CF93" i="3"/>
  <c r="CP93" i="3" s="1"/>
  <c r="CA93" i="3"/>
  <c r="CC93" i="3" s="1"/>
  <c r="CG93" i="3" s="1"/>
  <c r="BP93" i="3"/>
  <c r="BF93" i="3"/>
  <c r="BB93" i="3"/>
  <c r="AT93" i="3"/>
  <c r="AP93" i="3"/>
  <c r="AH93" i="3"/>
  <c r="R93" i="3"/>
  <c r="J93" i="3"/>
  <c r="CX92" i="3"/>
  <c r="CF92" i="3"/>
  <c r="CB92" i="3"/>
  <c r="BX92" i="3"/>
  <c r="BT92" i="3"/>
  <c r="BP92" i="3"/>
  <c r="BL92" i="3"/>
  <c r="AR92" i="3"/>
  <c r="AN92" i="3"/>
  <c r="AJ92" i="3"/>
  <c r="T92" i="3"/>
  <c r="H92" i="3"/>
  <c r="CL91" i="3"/>
  <c r="CH91" i="3"/>
  <c r="CD91" i="3"/>
  <c r="BN91" i="3"/>
  <c r="BF91" i="3"/>
  <c r="BN94" i="3"/>
  <c r="BR94" i="3" s="1"/>
  <c r="BB94" i="3"/>
  <c r="BB95" i="3" s="1"/>
  <c r="BB96" i="3" s="1"/>
  <c r="AR94" i="3"/>
  <c r="AV94" i="3" s="1"/>
  <c r="CL94" i="3"/>
  <c r="BL94" i="3"/>
  <c r="BF94" i="3"/>
  <c r="BF95" i="3" s="1"/>
  <c r="BF96" i="3" s="1"/>
  <c r="AP94" i="3"/>
  <c r="AK94" i="3"/>
  <c r="J94" i="3"/>
  <c r="CI93" i="3"/>
  <c r="CD93" i="3"/>
  <c r="BX93" i="3"/>
  <c r="BN93" i="3"/>
  <c r="BR93" i="3" s="1"/>
  <c r="AR93" i="3"/>
  <c r="AN93" i="3"/>
  <c r="AJ93" i="3"/>
  <c r="T93" i="3"/>
  <c r="H93" i="3"/>
  <c r="CL92" i="3"/>
  <c r="CH92" i="3"/>
  <c r="CD92" i="3"/>
  <c r="BN92" i="3"/>
  <c r="BR92" i="3" s="1"/>
  <c r="BF92" i="3"/>
  <c r="BB92" i="3"/>
  <c r="AT92" i="3"/>
  <c r="AP92" i="3"/>
  <c r="AH92" i="3"/>
  <c r="AL92" i="3" s="1"/>
  <c r="R92" i="3"/>
  <c r="J92" i="3"/>
  <c r="CX91" i="3"/>
  <c r="CF91" i="3"/>
  <c r="CB91" i="3"/>
  <c r="BX91" i="3"/>
  <c r="BT91" i="3"/>
  <c r="BP91" i="3"/>
  <c r="BP95" i="3" s="1"/>
  <c r="BL91" i="3"/>
  <c r="AR91" i="3"/>
  <c r="AN91" i="3"/>
  <c r="AJ91" i="3"/>
  <c r="T91" i="3"/>
  <c r="H91" i="3"/>
  <c r="CX89" i="3"/>
  <c r="CF89" i="3"/>
  <c r="CP89" i="3" s="1"/>
  <c r="CB89" i="3"/>
  <c r="BX89" i="3"/>
  <c r="AT94" i="3"/>
  <c r="BO93" i="3"/>
  <c r="BS93" i="3" s="1"/>
  <c r="AO93" i="3"/>
  <c r="I93" i="3"/>
  <c r="CM92" i="3"/>
  <c r="CE92" i="3"/>
  <c r="CO92" i="3" s="1"/>
  <c r="BW92" i="3"/>
  <c r="BO92" i="3"/>
  <c r="BG92" i="3"/>
  <c r="AI92" i="3"/>
  <c r="S92" i="3"/>
  <c r="K92" i="3"/>
  <c r="BY91" i="3"/>
  <c r="BQ91" i="3"/>
  <c r="BQ95" i="3" s="1"/>
  <c r="BB91" i="3"/>
  <c r="K91" i="3"/>
  <c r="CL89" i="3"/>
  <c r="CA89" i="3"/>
  <c r="CC89" i="3" s="1"/>
  <c r="CG89" i="3" s="1"/>
  <c r="BN89" i="3"/>
  <c r="BF89" i="3"/>
  <c r="BF90" i="3" s="1"/>
  <c r="BB89" i="3"/>
  <c r="BB90" i="3" s="1"/>
  <c r="AT89" i="3"/>
  <c r="AP89" i="3"/>
  <c r="AH89" i="3"/>
  <c r="R89" i="3"/>
  <c r="J89" i="3"/>
  <c r="CX88" i="3"/>
  <c r="CF88" i="3"/>
  <c r="CB88" i="3"/>
  <c r="BX88" i="3"/>
  <c r="BT88" i="3"/>
  <c r="BP88" i="3"/>
  <c r="BL88" i="3"/>
  <c r="AR88" i="3"/>
  <c r="AV88" i="3" s="1"/>
  <c r="AN88" i="3"/>
  <c r="AJ88" i="3"/>
  <c r="T88" i="3"/>
  <c r="AJ94" i="3"/>
  <c r="CE93" i="3"/>
  <c r="CO93" i="3" s="1"/>
  <c r="BT93" i="3"/>
  <c r="BV93" i="3" s="1"/>
  <c r="BZ93" i="3" s="1"/>
  <c r="AS93" i="3"/>
  <c r="AK93" i="3"/>
  <c r="CI92" i="3"/>
  <c r="CA92" i="3"/>
  <c r="BC92" i="3"/>
  <c r="AU92" i="3"/>
  <c r="AM92" i="3"/>
  <c r="G92" i="3"/>
  <c r="CK91" i="3"/>
  <c r="BU91" i="3"/>
  <c r="BM91" i="3"/>
  <c r="AT91" i="3"/>
  <c r="AO91" i="3"/>
  <c r="AI91" i="3"/>
  <c r="S91" i="3"/>
  <c r="I91" i="3"/>
  <c r="CI89" i="3"/>
  <c r="CD89" i="3"/>
  <c r="BY89" i="3"/>
  <c r="BT89" i="3"/>
  <c r="BP89" i="3"/>
  <c r="BL89" i="3"/>
  <c r="AR89" i="3"/>
  <c r="AN89" i="3"/>
  <c r="AJ89" i="3"/>
  <c r="T89" i="3"/>
  <c r="H89" i="3"/>
  <c r="CL88" i="3"/>
  <c r="CH88" i="3"/>
  <c r="CD88" i="3"/>
  <c r="BN88" i="3"/>
  <c r="BF88" i="3"/>
  <c r="BB88" i="3"/>
  <c r="AT88" i="3"/>
  <c r="AP88" i="3"/>
  <c r="AH88" i="3"/>
  <c r="R88" i="3"/>
  <c r="J88" i="3"/>
  <c r="CX87" i="3"/>
  <c r="CF87" i="3"/>
  <c r="CB87" i="3"/>
  <c r="BX87" i="3"/>
  <c r="BT87" i="3"/>
  <c r="BP87" i="3"/>
  <c r="BL87" i="3"/>
  <c r="AR87" i="3"/>
  <c r="AV87" i="3" s="1"/>
  <c r="AN87" i="3"/>
  <c r="AJ87" i="3"/>
  <c r="T87" i="3"/>
  <c r="H87" i="3"/>
  <c r="F87" i="3" s="1"/>
  <c r="CL86" i="3"/>
  <c r="CH86" i="3"/>
  <c r="CD86" i="3"/>
  <c r="BN86" i="3"/>
  <c r="BR86" i="3" s="1"/>
  <c r="BF86" i="3"/>
  <c r="BB86" i="3"/>
  <c r="AT86" i="3"/>
  <c r="AP86" i="3"/>
  <c r="AH86" i="3"/>
  <c r="R86" i="3"/>
  <c r="J86" i="3"/>
  <c r="CX85" i="3"/>
  <c r="BD85" i="3" s="1"/>
  <c r="BK85" i="3" s="1"/>
  <c r="CF85" i="3"/>
  <c r="CB85" i="3"/>
  <c r="BX85" i="3"/>
  <c r="BT85" i="3"/>
  <c r="BP85" i="3"/>
  <c r="CH94" i="3"/>
  <c r="I94" i="3"/>
  <c r="CM93" i="3"/>
  <c r="CS93" i="3" s="1"/>
  <c r="CB93" i="3"/>
  <c r="BG93" i="3"/>
  <c r="AI93" i="3"/>
  <c r="S93" i="3"/>
  <c r="N93" i="3" s="1"/>
  <c r="K93" i="3"/>
  <c r="BY92" i="3"/>
  <c r="BQ92" i="3"/>
  <c r="AS92" i="3"/>
  <c r="AK92" i="3"/>
  <c r="CI91" i="3"/>
  <c r="CA91" i="3"/>
  <c r="CC91" i="3" s="1"/>
  <c r="BC91" i="3"/>
  <c r="AS91" i="3"/>
  <c r="AM91" i="3"/>
  <c r="AH91" i="3"/>
  <c r="R91" i="3"/>
  <c r="G91" i="3"/>
  <c r="CM89" i="3"/>
  <c r="CS89" i="3" s="1"/>
  <c r="CH89" i="3"/>
  <c r="CJ89" i="3" s="1"/>
  <c r="CN89" i="3" s="1"/>
  <c r="BW89" i="3"/>
  <c r="BO89" i="3"/>
  <c r="BG89" i="3"/>
  <c r="BG90" i="3" s="1"/>
  <c r="BC89" i="3"/>
  <c r="BC90" i="3" s="1"/>
  <c r="AU89" i="3"/>
  <c r="AM89" i="3"/>
  <c r="AI89" i="3"/>
  <c r="S89" i="3"/>
  <c r="K89" i="3"/>
  <c r="T94" i="3"/>
  <c r="BC93" i="3"/>
  <c r="CK92" i="3"/>
  <c r="CM91" i="3"/>
  <c r="BG91" i="3"/>
  <c r="AK91" i="3"/>
  <c r="CW89" i="3"/>
  <c r="AS89" i="3"/>
  <c r="BY88" i="3"/>
  <c r="BQ88" i="3"/>
  <c r="AS88" i="3"/>
  <c r="AK88" i="3"/>
  <c r="I88" i="3"/>
  <c r="CM87" i="3"/>
  <c r="CH87" i="3"/>
  <c r="BW87" i="3"/>
  <c r="BM87" i="3"/>
  <c r="BG87" i="3"/>
  <c r="BB87" i="3"/>
  <c r="K87" i="3"/>
  <c r="CW86" i="3"/>
  <c r="CE86" i="3"/>
  <c r="BY86" i="3"/>
  <c r="BT86" i="3"/>
  <c r="BV86" i="3" s="1"/>
  <c r="BZ86" i="3" s="1"/>
  <c r="BO86" i="3"/>
  <c r="AS86" i="3"/>
  <c r="AN86" i="3"/>
  <c r="AI86" i="3"/>
  <c r="S86" i="3"/>
  <c r="H86" i="3"/>
  <c r="F86" i="3" s="1"/>
  <c r="CH93" i="3"/>
  <c r="CJ93" i="3" s="1"/>
  <c r="AU93" i="3"/>
  <c r="CE91" i="3"/>
  <c r="J91" i="3"/>
  <c r="BU89" i="3"/>
  <c r="AO89" i="3"/>
  <c r="I89" i="3"/>
  <c r="CW88" i="3"/>
  <c r="CY88" i="3" s="1"/>
  <c r="CM88" i="3"/>
  <c r="CS88" i="3" s="1"/>
  <c r="CE88" i="3"/>
  <c r="CO88" i="3" s="1"/>
  <c r="CT88" i="3" s="1"/>
  <c r="BW88" i="3"/>
  <c r="BO88" i="3"/>
  <c r="BS88" i="3" s="1"/>
  <c r="BG88" i="3"/>
  <c r="AI88" i="3"/>
  <c r="S88" i="3"/>
  <c r="H88" i="3"/>
  <c r="F88" i="3" s="1"/>
  <c r="CL87" i="3"/>
  <c r="CA87" i="3"/>
  <c r="CC87" i="3" s="1"/>
  <c r="CG87" i="3" s="1"/>
  <c r="BQ87" i="3"/>
  <c r="BF87" i="3"/>
  <c r="AU87" i="3"/>
  <c r="AP87" i="3"/>
  <c r="AK87" i="3"/>
  <c r="J87" i="3"/>
  <c r="CI86" i="3"/>
  <c r="BX86" i="3"/>
  <c r="BM86" i="3"/>
  <c r="BC86" i="3"/>
  <c r="AR86" i="3"/>
  <c r="AM86" i="3"/>
  <c r="G86" i="3"/>
  <c r="D86" i="3" s="1"/>
  <c r="E86" i="3" s="1"/>
  <c r="CW85" i="3"/>
  <c r="CK85" i="3"/>
  <c r="CE85" i="3"/>
  <c r="BU85" i="3"/>
  <c r="BO85" i="3"/>
  <c r="BG85" i="3"/>
  <c r="BC85" i="3"/>
  <c r="AU85" i="3"/>
  <c r="AM85" i="3"/>
  <c r="BW93" i="3"/>
  <c r="AM93" i="3"/>
  <c r="G93" i="3"/>
  <c r="D93" i="3" s="1"/>
  <c r="BU92" i="3"/>
  <c r="BU95" i="3" s="1"/>
  <c r="AO92" i="3"/>
  <c r="I92" i="3"/>
  <c r="BW91" i="3"/>
  <c r="AU91" i="3"/>
  <c r="CK89" i="3"/>
  <c r="BQ89" i="3"/>
  <c r="AK89" i="3"/>
  <c r="G89" i="3"/>
  <c r="D89" i="3" s="1"/>
  <c r="CK88" i="3"/>
  <c r="BU88" i="3"/>
  <c r="BM88" i="3"/>
  <c r="AO88" i="3"/>
  <c r="G88" i="3"/>
  <c r="D88" i="3" s="1"/>
  <c r="E88" i="3" s="1"/>
  <c r="CW87" i="3"/>
  <c r="CY87" i="3" s="1"/>
  <c r="CK87" i="3"/>
  <c r="CE87" i="3"/>
  <c r="BU87" i="3"/>
  <c r="BO87" i="3"/>
  <c r="BS87" i="3" s="1"/>
  <c r="AT87" i="3"/>
  <c r="AO87" i="3"/>
  <c r="AI87" i="3"/>
  <c r="S87" i="3"/>
  <c r="N87" i="3" s="1"/>
  <c r="I87" i="3"/>
  <c r="CM86" i="3"/>
  <c r="CB86" i="3"/>
  <c r="BW86" i="3"/>
  <c r="BQ86" i="3"/>
  <c r="BL86" i="3"/>
  <c r="BG86" i="3"/>
  <c r="AK86" i="3"/>
  <c r="K86" i="3"/>
  <c r="CI85" i="3"/>
  <c r="CD85" i="3"/>
  <c r="BY85" i="3"/>
  <c r="BY90" i="3" s="1"/>
  <c r="BN85" i="3"/>
  <c r="BF85" i="3"/>
  <c r="BB85" i="3"/>
  <c r="AT85" i="3"/>
  <c r="AP85" i="3"/>
  <c r="AH85" i="3"/>
  <c r="R85" i="3"/>
  <c r="J85" i="3"/>
  <c r="J90" i="3" s="1"/>
  <c r="CL83" i="3"/>
  <c r="CH83" i="3"/>
  <c r="CD83" i="3"/>
  <c r="BN83" i="3"/>
  <c r="BR83" i="3" s="1"/>
  <c r="BF83" i="3"/>
  <c r="BF84" i="3" s="1"/>
  <c r="BB83" i="3"/>
  <c r="BB84" i="3" s="1"/>
  <c r="AT83" i="3"/>
  <c r="AP83" i="3"/>
  <c r="AH83" i="3"/>
  <c r="R83" i="3"/>
  <c r="J83" i="3"/>
  <c r="CE89" i="3"/>
  <c r="CO89" i="3" s="1"/>
  <c r="CT89" i="3" s="1"/>
  <c r="CA88" i="3"/>
  <c r="CC88" i="3" s="1"/>
  <c r="CG88" i="3" s="1"/>
  <c r="AU88" i="3"/>
  <c r="G87" i="3"/>
  <c r="CX86" i="3"/>
  <c r="BD86" i="3" s="1"/>
  <c r="BK86" i="3" s="1"/>
  <c r="CA86" i="3"/>
  <c r="AJ86" i="3"/>
  <c r="CL85" i="3"/>
  <c r="CA85" i="3"/>
  <c r="BQ85" i="3"/>
  <c r="AR85" i="3"/>
  <c r="AV85" i="3" s="1"/>
  <c r="AJ85" i="3"/>
  <c r="T85" i="3"/>
  <c r="I85" i="3"/>
  <c r="CW83" i="3"/>
  <c r="CE83" i="3"/>
  <c r="CO83" i="3" s="1"/>
  <c r="BY83" i="3"/>
  <c r="BT83" i="3"/>
  <c r="BO83" i="3"/>
  <c r="AS83" i="3"/>
  <c r="AN83" i="3"/>
  <c r="AI83" i="3"/>
  <c r="S83" i="3"/>
  <c r="H83" i="3"/>
  <c r="CK82" i="3"/>
  <c r="BY82" i="3"/>
  <c r="BU82" i="3"/>
  <c r="BQ82" i="3"/>
  <c r="BM82" i="3"/>
  <c r="AS82" i="3"/>
  <c r="AO82" i="3"/>
  <c r="AK82" i="3"/>
  <c r="I82" i="3"/>
  <c r="CW81" i="3"/>
  <c r="CM81" i="3"/>
  <c r="CI81" i="3"/>
  <c r="CE81" i="3"/>
  <c r="CO81" i="3" s="1"/>
  <c r="CA81" i="3"/>
  <c r="BW81" i="3"/>
  <c r="BO81" i="3"/>
  <c r="BS81" i="3" s="1"/>
  <c r="BG81" i="3"/>
  <c r="BC81" i="3"/>
  <c r="AU81" i="3"/>
  <c r="AM81" i="3"/>
  <c r="AI81" i="3"/>
  <c r="S81" i="3"/>
  <c r="K81" i="3"/>
  <c r="G81" i="3"/>
  <c r="BO91" i="3"/>
  <c r="BM89" i="3"/>
  <c r="AM88" i="3"/>
  <c r="K88" i="3"/>
  <c r="CI87" i="3"/>
  <c r="BN87" i="3"/>
  <c r="BR87" i="3" s="1"/>
  <c r="AS87" i="3"/>
  <c r="BU86" i="3"/>
  <c r="I86" i="3"/>
  <c r="CH85" i="3"/>
  <c r="BW85" i="3"/>
  <c r="BM85" i="3"/>
  <c r="BM90" i="3" s="1"/>
  <c r="AO85" i="3"/>
  <c r="AI85" i="3"/>
  <c r="S85" i="3"/>
  <c r="H85" i="3"/>
  <c r="F85" i="3" s="1"/>
  <c r="CI83" i="3"/>
  <c r="BX83" i="3"/>
  <c r="BM83" i="3"/>
  <c r="BC83" i="3"/>
  <c r="BC84" i="3" s="1"/>
  <c r="AR83" i="3"/>
  <c r="AV83" i="3" s="1"/>
  <c r="AM83" i="3"/>
  <c r="G83" i="3"/>
  <c r="CX82" i="3"/>
  <c r="BD82" i="3" s="1"/>
  <c r="BK82" i="3" s="1"/>
  <c r="CF82" i="3"/>
  <c r="CP82" i="3" s="1"/>
  <c r="CB82" i="3"/>
  <c r="BX82" i="3"/>
  <c r="BT82" i="3"/>
  <c r="BV82" i="3" s="1"/>
  <c r="BZ82" i="3" s="1"/>
  <c r="BP82" i="3"/>
  <c r="BL82" i="3"/>
  <c r="AR82" i="3"/>
  <c r="AN82" i="3"/>
  <c r="AJ82" i="3"/>
  <c r="T82" i="3"/>
  <c r="H82" i="3"/>
  <c r="CL81" i="3"/>
  <c r="BM92" i="3"/>
  <c r="AP91" i="3"/>
  <c r="CD87" i="3"/>
  <c r="AM87" i="3"/>
  <c r="R87" i="3"/>
  <c r="CK86" i="3"/>
  <c r="BP86" i="3"/>
  <c r="AU86" i="3"/>
  <c r="BL85" i="3"/>
  <c r="BL90" i="3" s="1"/>
  <c r="AN85" i="3"/>
  <c r="G85" i="3"/>
  <c r="CM83" i="3"/>
  <c r="CB83" i="3"/>
  <c r="BW83" i="3"/>
  <c r="BQ83" i="3"/>
  <c r="BL83" i="3"/>
  <c r="BG83" i="3"/>
  <c r="BG84" i="3" s="1"/>
  <c r="AK83" i="3"/>
  <c r="K83" i="3"/>
  <c r="CW82" i="3"/>
  <c r="CY82" i="3" s="1"/>
  <c r="CM82" i="3"/>
  <c r="CS82" i="3" s="1"/>
  <c r="CI82" i="3"/>
  <c r="CE82" i="3"/>
  <c r="CO82" i="3" s="1"/>
  <c r="CA82" i="3"/>
  <c r="CC82" i="3" s="1"/>
  <c r="BW82" i="3"/>
  <c r="BO82" i="3"/>
  <c r="BG82" i="3"/>
  <c r="BC82" i="3"/>
  <c r="AU82" i="3"/>
  <c r="AM82" i="3"/>
  <c r="AI82" i="3"/>
  <c r="S82" i="3"/>
  <c r="N82" i="3" s="1"/>
  <c r="K82" i="3"/>
  <c r="G82" i="3"/>
  <c r="CK81" i="3"/>
  <c r="BY81" i="3"/>
  <c r="BU81" i="3"/>
  <c r="BQ81" i="3"/>
  <c r="BM81" i="3"/>
  <c r="AS81" i="3"/>
  <c r="AO81" i="3"/>
  <c r="AK81" i="3"/>
  <c r="I81" i="3"/>
  <c r="CW80" i="3"/>
  <c r="CM80" i="3"/>
  <c r="CI80" i="3"/>
  <c r="CE80" i="3"/>
  <c r="CA80" i="3"/>
  <c r="BW80" i="3"/>
  <c r="BW84" i="3" s="1"/>
  <c r="BO80" i="3"/>
  <c r="BG80" i="3"/>
  <c r="BC80" i="3"/>
  <c r="AU80" i="3"/>
  <c r="AM80" i="3"/>
  <c r="AI80" i="3"/>
  <c r="S80" i="3"/>
  <c r="K80" i="3"/>
  <c r="K84" i="3" s="1"/>
  <c r="G80" i="3"/>
  <c r="BC88" i="3"/>
  <c r="BC87" i="3"/>
  <c r="AO86" i="3"/>
  <c r="K85" i="3"/>
  <c r="BU83" i="3"/>
  <c r="I83" i="3"/>
  <c r="CH82" i="3"/>
  <c r="CJ82" i="3" s="1"/>
  <c r="CN82" i="3" s="1"/>
  <c r="BB82" i="3"/>
  <c r="CX81" i="3"/>
  <c r="CH81" i="3"/>
  <c r="CJ81" i="3" s="1"/>
  <c r="CN81" i="3" s="1"/>
  <c r="BB81" i="3"/>
  <c r="AT81" i="3"/>
  <c r="CH80" i="3"/>
  <c r="BX80" i="3"/>
  <c r="BX84" i="3" s="1"/>
  <c r="BM80" i="3"/>
  <c r="BM84" i="3" s="1"/>
  <c r="BB80" i="3"/>
  <c r="AR80" i="3"/>
  <c r="CL76" i="3"/>
  <c r="CH76" i="3"/>
  <c r="CJ76" i="3" s="1"/>
  <c r="CN76" i="3" s="1"/>
  <c r="CD76" i="3"/>
  <c r="BN76" i="3"/>
  <c r="BF76" i="3"/>
  <c r="BF77" i="3" s="1"/>
  <c r="BF78" i="3" s="1"/>
  <c r="BF79" i="3" s="1"/>
  <c r="BB76" i="3"/>
  <c r="BB77" i="3" s="1"/>
  <c r="BB78" i="3" s="1"/>
  <c r="BB79" i="3" s="1"/>
  <c r="AT76" i="3"/>
  <c r="AP76" i="3"/>
  <c r="AH76" i="3"/>
  <c r="R76" i="3"/>
  <c r="J76" i="3"/>
  <c r="CX75" i="3"/>
  <c r="CF75" i="3"/>
  <c r="CB75" i="3"/>
  <c r="BX75" i="3"/>
  <c r="BT75" i="3"/>
  <c r="BP75" i="3"/>
  <c r="BL75" i="3"/>
  <c r="AR75" i="3"/>
  <c r="AN75" i="3"/>
  <c r="AJ75" i="3"/>
  <c r="T75" i="3"/>
  <c r="H75" i="3"/>
  <c r="AH87" i="3"/>
  <c r="AL87" i="3" s="1"/>
  <c r="T86" i="3"/>
  <c r="CM85" i="3"/>
  <c r="CK83" i="3"/>
  <c r="BP83" i="3"/>
  <c r="AU83" i="3"/>
  <c r="CD82" i="3"/>
  <c r="BN82" i="3"/>
  <c r="AH82" i="3"/>
  <c r="AL82" i="3" s="1"/>
  <c r="R82" i="3"/>
  <c r="CF81" i="3"/>
  <c r="CP81" i="3" s="1"/>
  <c r="BX81" i="3"/>
  <c r="BP81" i="3"/>
  <c r="AR81" i="3"/>
  <c r="AV81" i="3" s="1"/>
  <c r="AJ81" i="3"/>
  <c r="T81" i="3"/>
  <c r="CL80" i="3"/>
  <c r="CB80" i="3"/>
  <c r="BQ80" i="3"/>
  <c r="BQ84" i="3" s="1"/>
  <c r="BL80" i="3"/>
  <c r="BF80" i="3"/>
  <c r="AP80" i="3"/>
  <c r="AK80" i="3"/>
  <c r="J80" i="3"/>
  <c r="CF86" i="3"/>
  <c r="CP86" i="3" s="1"/>
  <c r="AS85" i="3"/>
  <c r="CF83" i="3"/>
  <c r="CP83" i="3" s="1"/>
  <c r="AO83" i="3"/>
  <c r="T83" i="3"/>
  <c r="AT82" i="3"/>
  <c r="CD81" i="3"/>
  <c r="BN81" i="3"/>
  <c r="BF81" i="3"/>
  <c r="AP81" i="3"/>
  <c r="AH81" i="3"/>
  <c r="AL81" i="3" s="1"/>
  <c r="R81" i="3"/>
  <c r="J81" i="3"/>
  <c r="CX80" i="3"/>
  <c r="BD80" i="3" s="1"/>
  <c r="BK80" i="3" s="1"/>
  <c r="CK80" i="3"/>
  <c r="CK84" i="3" s="1"/>
  <c r="CF80" i="3"/>
  <c r="BU80" i="3"/>
  <c r="BP80" i="3"/>
  <c r="AT80" i="3"/>
  <c r="AO80" i="3"/>
  <c r="AJ80" i="3"/>
  <c r="T80" i="3"/>
  <c r="I80" i="3"/>
  <c r="CX76" i="3"/>
  <c r="CF76" i="3"/>
  <c r="CB76" i="3"/>
  <c r="BX76" i="3"/>
  <c r="BT76" i="3"/>
  <c r="BP76" i="3"/>
  <c r="BL76" i="3"/>
  <c r="AR76" i="3"/>
  <c r="AV76" i="3" s="1"/>
  <c r="AN76" i="3"/>
  <c r="AJ76" i="3"/>
  <c r="T76" i="3"/>
  <c r="H76" i="3"/>
  <c r="F76" i="3" s="1"/>
  <c r="CL75" i="3"/>
  <c r="CH75" i="3"/>
  <c r="CD75" i="3"/>
  <c r="BN75" i="3"/>
  <c r="BR75" i="3" s="1"/>
  <c r="BF75" i="3"/>
  <c r="BB75" i="3"/>
  <c r="AT75" i="3"/>
  <c r="AP75" i="3"/>
  <c r="AH75" i="3"/>
  <c r="R75" i="3"/>
  <c r="J75" i="3"/>
  <c r="CX74" i="3"/>
  <c r="BD74" i="3" s="1"/>
  <c r="BK74" i="3" s="1"/>
  <c r="CF74" i="3"/>
  <c r="CB74" i="3"/>
  <c r="BX74" i="3"/>
  <c r="BT74" i="3"/>
  <c r="BP74" i="3"/>
  <c r="BL74" i="3"/>
  <c r="AR74" i="3"/>
  <c r="AN74" i="3"/>
  <c r="AJ74" i="3"/>
  <c r="T74" i="3"/>
  <c r="H74" i="3"/>
  <c r="CL73" i="3"/>
  <c r="CH73" i="3"/>
  <c r="CD73" i="3"/>
  <c r="BN73" i="3"/>
  <c r="BF73" i="3"/>
  <c r="BB73" i="3"/>
  <c r="AT73" i="3"/>
  <c r="BY87" i="3"/>
  <c r="CA83" i="3"/>
  <c r="CC83" i="3" s="1"/>
  <c r="CG83" i="3" s="1"/>
  <c r="J82" i="3"/>
  <c r="BN80" i="3"/>
  <c r="AS80" i="3"/>
  <c r="BY76" i="3"/>
  <c r="BQ76" i="3"/>
  <c r="AS76" i="3"/>
  <c r="AK76" i="3"/>
  <c r="CI75" i="3"/>
  <c r="CA75" i="3"/>
  <c r="BC75" i="3"/>
  <c r="AU75" i="3"/>
  <c r="AM75" i="3"/>
  <c r="G75" i="3"/>
  <c r="D75" i="3" s="1"/>
  <c r="CM74" i="3"/>
  <c r="CH74" i="3"/>
  <c r="BW74" i="3"/>
  <c r="BM74" i="3"/>
  <c r="BG74" i="3"/>
  <c r="BB74" i="3"/>
  <c r="K74" i="3"/>
  <c r="CE73" i="3"/>
  <c r="BY73" i="3"/>
  <c r="BT73" i="3"/>
  <c r="BO73" i="3"/>
  <c r="AS73" i="3"/>
  <c r="AO73" i="3"/>
  <c r="AK73" i="3"/>
  <c r="I73" i="3"/>
  <c r="CK71" i="3"/>
  <c r="BY71" i="3"/>
  <c r="BU71" i="3"/>
  <c r="BQ71" i="3"/>
  <c r="BM71" i="3"/>
  <c r="AS71" i="3"/>
  <c r="AO71" i="3"/>
  <c r="AK71" i="3"/>
  <c r="I71" i="3"/>
  <c r="CW70" i="3"/>
  <c r="CM70" i="3"/>
  <c r="CI70" i="3"/>
  <c r="CE70" i="3"/>
  <c r="CA70" i="3"/>
  <c r="BW70" i="3"/>
  <c r="BO70" i="3"/>
  <c r="BS70" i="3" s="1"/>
  <c r="BG70" i="3"/>
  <c r="BC70" i="3"/>
  <c r="AU70" i="3"/>
  <c r="AM70" i="3"/>
  <c r="AI70" i="3"/>
  <c r="S70" i="3"/>
  <c r="K70" i="3"/>
  <c r="G70" i="3"/>
  <c r="D70" i="3" s="1"/>
  <c r="E70" i="3" s="1"/>
  <c r="CK69" i="3"/>
  <c r="BY69" i="3"/>
  <c r="BU69" i="3"/>
  <c r="BQ69" i="3"/>
  <c r="BM69" i="3"/>
  <c r="AS69" i="3"/>
  <c r="AO69" i="3"/>
  <c r="AK69" i="3"/>
  <c r="I69" i="3"/>
  <c r="CW68" i="3"/>
  <c r="CM68" i="3"/>
  <c r="CI68" i="3"/>
  <c r="CE68" i="3"/>
  <c r="CA68" i="3"/>
  <c r="AJ83" i="3"/>
  <c r="AP82" i="3"/>
  <c r="BT81" i="3"/>
  <c r="AN81" i="3"/>
  <c r="H81" i="3"/>
  <c r="F81" i="3" s="1"/>
  <c r="BY80" i="3"/>
  <c r="BY84" i="3" s="1"/>
  <c r="AH80" i="3"/>
  <c r="CK76" i="3"/>
  <c r="BU76" i="3"/>
  <c r="BM76" i="3"/>
  <c r="AO76" i="3"/>
  <c r="I76" i="3"/>
  <c r="CM75" i="3"/>
  <c r="CE75" i="3"/>
  <c r="CO75" i="3" s="1"/>
  <c r="BW75" i="3"/>
  <c r="BO75" i="3"/>
  <c r="BG75" i="3"/>
  <c r="AI75" i="3"/>
  <c r="S75" i="3"/>
  <c r="K75" i="3"/>
  <c r="CK74" i="3"/>
  <c r="CE74" i="3"/>
  <c r="CO74" i="3" s="1"/>
  <c r="BU74" i="3"/>
  <c r="BO74" i="3"/>
  <c r="AT74" i="3"/>
  <c r="AO74" i="3"/>
  <c r="AI74" i="3"/>
  <c r="S74" i="3"/>
  <c r="I74" i="3"/>
  <c r="CM73" i="3"/>
  <c r="CB73" i="3"/>
  <c r="BW73" i="3"/>
  <c r="BQ73" i="3"/>
  <c r="BL73" i="3"/>
  <c r="BL77" i="3" s="1"/>
  <c r="BG73" i="3"/>
  <c r="AM73" i="3"/>
  <c r="AI73" i="3"/>
  <c r="S73" i="3"/>
  <c r="K73" i="3"/>
  <c r="G73" i="3"/>
  <c r="CW71" i="3"/>
  <c r="CM71" i="3"/>
  <c r="CS71" i="3" s="1"/>
  <c r="CI71" i="3"/>
  <c r="CE71" i="3"/>
  <c r="CA71" i="3"/>
  <c r="BW71" i="3"/>
  <c r="BO71" i="3"/>
  <c r="BG71" i="3"/>
  <c r="BG72" i="3" s="1"/>
  <c r="BC71" i="3"/>
  <c r="BC72" i="3" s="1"/>
  <c r="AU71" i="3"/>
  <c r="AM71" i="3"/>
  <c r="AI71" i="3"/>
  <c r="S71" i="3"/>
  <c r="N71" i="3" s="1"/>
  <c r="K71" i="3"/>
  <c r="G71" i="3"/>
  <c r="CK70" i="3"/>
  <c r="BY70" i="3"/>
  <c r="BU70" i="3"/>
  <c r="BQ70" i="3"/>
  <c r="BM70" i="3"/>
  <c r="AS70" i="3"/>
  <c r="AO70" i="3"/>
  <c r="AK70" i="3"/>
  <c r="I70" i="3"/>
  <c r="CW69" i="3"/>
  <c r="CY69" i="3" s="1"/>
  <c r="CM69" i="3"/>
  <c r="CS69" i="3" s="1"/>
  <c r="CI69" i="3"/>
  <c r="CE69" i="3"/>
  <c r="CA69" i="3"/>
  <c r="BW69" i="3"/>
  <c r="BO69" i="3"/>
  <c r="BG69" i="3"/>
  <c r="BC69" i="3"/>
  <c r="AU69" i="3"/>
  <c r="AM69" i="3"/>
  <c r="AI69" i="3"/>
  <c r="S69" i="3"/>
  <c r="N69" i="3" s="1"/>
  <c r="K69" i="3"/>
  <c r="G69" i="3"/>
  <c r="CK68" i="3"/>
  <c r="BY68" i="3"/>
  <c r="BU68" i="3"/>
  <c r="BQ68" i="3"/>
  <c r="BM68" i="3"/>
  <c r="AS68" i="3"/>
  <c r="AO68" i="3"/>
  <c r="AK68" i="3"/>
  <c r="I68" i="3"/>
  <c r="CW67" i="3"/>
  <c r="CM67" i="3"/>
  <c r="CI67" i="3"/>
  <c r="CE67" i="3"/>
  <c r="CA67" i="3"/>
  <c r="BW67" i="3"/>
  <c r="BW72" i="3" s="1"/>
  <c r="BO67" i="3"/>
  <c r="BG67" i="3"/>
  <c r="BC67" i="3"/>
  <c r="AU67" i="3"/>
  <c r="AM67" i="3"/>
  <c r="AO94" i="3"/>
  <c r="BL93" i="3"/>
  <c r="CI88" i="3"/>
  <c r="CX83" i="3"/>
  <c r="CL82" i="3"/>
  <c r="BL81" i="3"/>
  <c r="BT80" i="3"/>
  <c r="H80" i="3"/>
  <c r="CI76" i="3"/>
  <c r="CA76" i="3"/>
  <c r="CC76" i="3" s="1"/>
  <c r="CG76" i="3" s="1"/>
  <c r="BC76" i="3"/>
  <c r="BC77" i="3" s="1"/>
  <c r="BC78" i="3" s="1"/>
  <c r="BC79" i="3" s="1"/>
  <c r="AU76" i="3"/>
  <c r="AM76" i="3"/>
  <c r="G76" i="3"/>
  <c r="CK75" i="3"/>
  <c r="BU75" i="3"/>
  <c r="BM75" i="3"/>
  <c r="AO75" i="3"/>
  <c r="I75" i="3"/>
  <c r="CI74" i="3"/>
  <c r="CD74" i="3"/>
  <c r="BY74" i="3"/>
  <c r="BN74" i="3"/>
  <c r="BR74" i="3" s="1"/>
  <c r="BC74" i="3"/>
  <c r="AS74" i="3"/>
  <c r="AM74" i="3"/>
  <c r="AH74" i="3"/>
  <c r="AL74" i="3" s="1"/>
  <c r="R74" i="3"/>
  <c r="G74" i="3"/>
  <c r="CX73" i="3"/>
  <c r="BD73" i="3" s="1"/>
  <c r="CK73" i="3"/>
  <c r="CK77" i="3" s="1"/>
  <c r="CF73" i="3"/>
  <c r="CA73" i="3"/>
  <c r="CC73" i="3" s="1"/>
  <c r="BU73" i="3"/>
  <c r="BP73" i="3"/>
  <c r="BP77" i="3" s="1"/>
  <c r="AU73" i="3"/>
  <c r="AP73" i="3"/>
  <c r="AH73" i="3"/>
  <c r="R73" i="3"/>
  <c r="J73" i="3"/>
  <c r="CL71" i="3"/>
  <c r="CH71" i="3"/>
  <c r="CJ71" i="3" s="1"/>
  <c r="CD71" i="3"/>
  <c r="BN71" i="3"/>
  <c r="BF71" i="3"/>
  <c r="BF72" i="3" s="1"/>
  <c r="BB71" i="3"/>
  <c r="BB72" i="3" s="1"/>
  <c r="AT71" i="3"/>
  <c r="AP71" i="3"/>
  <c r="AH71" i="3"/>
  <c r="R71" i="3"/>
  <c r="J71" i="3"/>
  <c r="CX70" i="3"/>
  <c r="BD70" i="3" s="1"/>
  <c r="CF70" i="3"/>
  <c r="CB70" i="3"/>
  <c r="BX70" i="3"/>
  <c r="BT70" i="3"/>
  <c r="BP70" i="3"/>
  <c r="BL70" i="3"/>
  <c r="AR70" i="3"/>
  <c r="AV70" i="3" s="1"/>
  <c r="AN70" i="3"/>
  <c r="AJ70" i="3"/>
  <c r="T70" i="3"/>
  <c r="BF82" i="3"/>
  <c r="CB81" i="3"/>
  <c r="AN80" i="3"/>
  <c r="CM76" i="3"/>
  <c r="BG76" i="3"/>
  <c r="BG77" i="3" s="1"/>
  <c r="BG78" i="3" s="1"/>
  <c r="BG79" i="3" s="1"/>
  <c r="J74" i="3"/>
  <c r="AN73" i="3"/>
  <c r="H73" i="3"/>
  <c r="BT71" i="3"/>
  <c r="BV71" i="3" s="1"/>
  <c r="BZ71" i="3" s="1"/>
  <c r="AN71" i="3"/>
  <c r="H71" i="3"/>
  <c r="F71" i="3" s="1"/>
  <c r="CH70" i="3"/>
  <c r="BB70" i="3"/>
  <c r="CX69" i="3"/>
  <c r="BD69" i="3" s="1"/>
  <c r="CF69" i="3"/>
  <c r="CP69" i="3" s="1"/>
  <c r="BX69" i="3"/>
  <c r="BP69" i="3"/>
  <c r="AR69" i="3"/>
  <c r="AJ69" i="3"/>
  <c r="T69" i="3"/>
  <c r="CX68" i="3"/>
  <c r="BD68" i="3" s="1"/>
  <c r="BK68" i="3" s="1"/>
  <c r="CF68" i="3"/>
  <c r="BX68" i="3"/>
  <c r="BN68" i="3"/>
  <c r="BR68" i="3" s="1"/>
  <c r="BC68" i="3"/>
  <c r="AR68" i="3"/>
  <c r="AM68" i="3"/>
  <c r="AH68" i="3"/>
  <c r="AL68" i="3" s="1"/>
  <c r="R68" i="3"/>
  <c r="G68" i="3"/>
  <c r="CD67" i="3"/>
  <c r="BY67" i="3"/>
  <c r="BY72" i="3" s="1"/>
  <c r="BT67" i="3"/>
  <c r="BN67" i="3"/>
  <c r="AS67" i="3"/>
  <c r="AN67" i="3"/>
  <c r="AI67" i="3"/>
  <c r="S67" i="3"/>
  <c r="K67" i="3"/>
  <c r="G67" i="3"/>
  <c r="CW65" i="3"/>
  <c r="CM65" i="3"/>
  <c r="CI65" i="3"/>
  <c r="CE65" i="3"/>
  <c r="CA65" i="3"/>
  <c r="CC65" i="3" s="1"/>
  <c r="CG65" i="3" s="1"/>
  <c r="BW65" i="3"/>
  <c r="BO65" i="3"/>
  <c r="BG65" i="3"/>
  <c r="BG66" i="3" s="1"/>
  <c r="BC65" i="3"/>
  <c r="BC66" i="3" s="1"/>
  <c r="AU65" i="3"/>
  <c r="AM65" i="3"/>
  <c r="AI65" i="3"/>
  <c r="S65" i="3"/>
  <c r="N65" i="3" s="1"/>
  <c r="K65" i="3"/>
  <c r="G65" i="3"/>
  <c r="CK64" i="3"/>
  <c r="BY64" i="3"/>
  <c r="BU64" i="3"/>
  <c r="BQ64" i="3"/>
  <c r="BM64" i="3"/>
  <c r="AS64" i="3"/>
  <c r="AO64" i="3"/>
  <c r="AK64" i="3"/>
  <c r="I64" i="3"/>
  <c r="CW63" i="3"/>
  <c r="CY63" i="3" s="1"/>
  <c r="CM63" i="3"/>
  <c r="CI63" i="3"/>
  <c r="CE63" i="3"/>
  <c r="CO63" i="3" s="1"/>
  <c r="CA63" i="3"/>
  <c r="CC63" i="3" s="1"/>
  <c r="CG63" i="3" s="1"/>
  <c r="BW63" i="3"/>
  <c r="BO63" i="3"/>
  <c r="BG63" i="3"/>
  <c r="BC63" i="3"/>
  <c r="AU63" i="3"/>
  <c r="AM63" i="3"/>
  <c r="AI63" i="3"/>
  <c r="S63" i="3"/>
  <c r="N63" i="3" s="1"/>
  <c r="K63" i="3"/>
  <c r="G63" i="3"/>
  <c r="R80" i="3"/>
  <c r="CE76" i="3"/>
  <c r="CO76" i="3" s="1"/>
  <c r="S76" i="3"/>
  <c r="N76" i="3" s="1"/>
  <c r="CL74" i="3"/>
  <c r="BQ74" i="3"/>
  <c r="AU74" i="3"/>
  <c r="BX73" i="3"/>
  <c r="BC73" i="3"/>
  <c r="AJ73" i="3"/>
  <c r="T73" i="3"/>
  <c r="CX71" i="3"/>
  <c r="CF71" i="3"/>
  <c r="CP71" i="3" s="1"/>
  <c r="BP71" i="3"/>
  <c r="AJ71" i="3"/>
  <c r="T71" i="3"/>
  <c r="CD70" i="3"/>
  <c r="BN70" i="3"/>
  <c r="BR70" i="3" s="1"/>
  <c r="AH70" i="3"/>
  <c r="AL70" i="3" s="1"/>
  <c r="R70" i="3"/>
  <c r="J70" i="3"/>
  <c r="CL69" i="3"/>
  <c r="CD69" i="3"/>
  <c r="BN69" i="3"/>
  <c r="BF69" i="3"/>
  <c r="AP69" i="3"/>
  <c r="AH69" i="3"/>
  <c r="AL69" i="3" s="1"/>
  <c r="R69" i="3"/>
  <c r="J69" i="3"/>
  <c r="CL68" i="3"/>
  <c r="CD68" i="3"/>
  <c r="BW68" i="3"/>
  <c r="BL68" i="3"/>
  <c r="BG68" i="3"/>
  <c r="BB68" i="3"/>
  <c r="K68" i="3"/>
  <c r="CH67" i="3"/>
  <c r="BX67" i="3"/>
  <c r="BM67" i="3"/>
  <c r="BM72" i="3" s="1"/>
  <c r="BB67" i="3"/>
  <c r="AR67" i="3"/>
  <c r="AH67" i="3"/>
  <c r="R67" i="3"/>
  <c r="J67" i="3"/>
  <c r="CL65" i="3"/>
  <c r="CH65" i="3"/>
  <c r="CJ65" i="3" s="1"/>
  <c r="CN65" i="3" s="1"/>
  <c r="CD65" i="3"/>
  <c r="BN65" i="3"/>
  <c r="BF65" i="3"/>
  <c r="BF66" i="3" s="1"/>
  <c r="BB65" i="3"/>
  <c r="BB66" i="3" s="1"/>
  <c r="AT65" i="3"/>
  <c r="AP65" i="3"/>
  <c r="AH65" i="3"/>
  <c r="R65" i="3"/>
  <c r="J65" i="3"/>
  <c r="CX64" i="3"/>
  <c r="CF64" i="3"/>
  <c r="CB64" i="3"/>
  <c r="BX64" i="3"/>
  <c r="BT64" i="3"/>
  <c r="BV64" i="3" s="1"/>
  <c r="BP64" i="3"/>
  <c r="BL64" i="3"/>
  <c r="AR64" i="3"/>
  <c r="AV64" i="3" s="1"/>
  <c r="AN64" i="3"/>
  <c r="AJ64" i="3"/>
  <c r="T64" i="3"/>
  <c r="H64" i="3"/>
  <c r="F64" i="3" s="1"/>
  <c r="CD80" i="3"/>
  <c r="BW76" i="3"/>
  <c r="K76" i="3"/>
  <c r="BY75" i="3"/>
  <c r="AS75" i="3"/>
  <c r="AP74" i="3"/>
  <c r="CB71" i="3"/>
  <c r="BL71" i="3"/>
  <c r="AT70" i="3"/>
  <c r="H70" i="3"/>
  <c r="F70" i="3" s="1"/>
  <c r="CB69" i="3"/>
  <c r="BT69" i="3"/>
  <c r="BV69" i="3" s="1"/>
  <c r="BZ69" i="3" s="1"/>
  <c r="BL69" i="3"/>
  <c r="AN69" i="3"/>
  <c r="H69" i="3"/>
  <c r="F69" i="3" s="1"/>
  <c r="CB68" i="3"/>
  <c r="BP68" i="3"/>
  <c r="BF68" i="3"/>
  <c r="AU68" i="3"/>
  <c r="AP68" i="3"/>
  <c r="AJ68" i="3"/>
  <c r="T68" i="3"/>
  <c r="J68" i="3"/>
  <c r="CL67" i="3"/>
  <c r="CB67" i="3"/>
  <c r="BQ67" i="3"/>
  <c r="BL67" i="3"/>
  <c r="BF67" i="3"/>
  <c r="AP67" i="3"/>
  <c r="AK67" i="3"/>
  <c r="I67" i="3"/>
  <c r="CK65" i="3"/>
  <c r="BY65" i="3"/>
  <c r="BU65" i="3"/>
  <c r="BQ65" i="3"/>
  <c r="BM65" i="3"/>
  <c r="AS65" i="3"/>
  <c r="AO65" i="3"/>
  <c r="AK65" i="3"/>
  <c r="I65" i="3"/>
  <c r="CW64" i="3"/>
  <c r="CY64" i="3" s="1"/>
  <c r="CM64" i="3"/>
  <c r="CI64" i="3"/>
  <c r="CE64" i="3"/>
  <c r="CO64" i="3" s="1"/>
  <c r="CA64" i="3"/>
  <c r="BW64" i="3"/>
  <c r="BO64" i="3"/>
  <c r="BS64" i="3" s="1"/>
  <c r="BG64" i="3"/>
  <c r="BC64" i="3"/>
  <c r="AU64" i="3"/>
  <c r="AM64" i="3"/>
  <c r="AI64" i="3"/>
  <c r="S64" i="3"/>
  <c r="N64" i="3" s="1"/>
  <c r="K64" i="3"/>
  <c r="G64" i="3"/>
  <c r="CK63" i="3"/>
  <c r="BY63" i="3"/>
  <c r="BU63" i="3"/>
  <c r="BQ63" i="3"/>
  <c r="BM63" i="3"/>
  <c r="AS63" i="3"/>
  <c r="AO63" i="3"/>
  <c r="AK63" i="3"/>
  <c r="I63" i="3"/>
  <c r="CW62" i="3"/>
  <c r="CM62" i="3"/>
  <c r="CI62" i="3"/>
  <c r="CI66" i="3" s="1"/>
  <c r="CE62" i="3"/>
  <c r="CA62" i="3"/>
  <c r="BW62" i="3"/>
  <c r="BW66" i="3" s="1"/>
  <c r="BO62" i="3"/>
  <c r="BG62" i="3"/>
  <c r="BC62" i="3"/>
  <c r="AU62" i="3"/>
  <c r="AM62" i="3"/>
  <c r="AI62" i="3"/>
  <c r="AI76" i="3"/>
  <c r="CI73" i="3"/>
  <c r="BO68" i="3"/>
  <c r="BS68" i="3" s="1"/>
  <c r="AT68" i="3"/>
  <c r="BU67" i="3"/>
  <c r="CB65" i="3"/>
  <c r="BL65" i="3"/>
  <c r="AT64" i="3"/>
  <c r="CF63" i="3"/>
  <c r="CP63" i="3" s="1"/>
  <c r="BX63" i="3"/>
  <c r="BP63" i="3"/>
  <c r="AR63" i="3"/>
  <c r="AV63" i="3" s="1"/>
  <c r="AJ63" i="3"/>
  <c r="T63" i="3"/>
  <c r="CL62" i="3"/>
  <c r="CB62" i="3"/>
  <c r="CB66" i="3" s="1"/>
  <c r="BQ62" i="3"/>
  <c r="BL62" i="3"/>
  <c r="BF62" i="3"/>
  <c r="AP62" i="3"/>
  <c r="AK62" i="3"/>
  <c r="T62" i="3"/>
  <c r="H62" i="3"/>
  <c r="F62" i="3" s="1"/>
  <c r="CL59" i="3"/>
  <c r="CH59" i="3"/>
  <c r="CD59" i="3"/>
  <c r="BN59" i="3"/>
  <c r="BR59" i="3" s="1"/>
  <c r="BF59" i="3"/>
  <c r="BF60" i="3" s="1"/>
  <c r="BF61" i="3" s="1"/>
  <c r="BB59" i="3"/>
  <c r="BB60" i="3" s="1"/>
  <c r="BB61" i="3" s="1"/>
  <c r="AT59" i="3"/>
  <c r="AP59" i="3"/>
  <c r="AH59" i="3"/>
  <c r="R59" i="3"/>
  <c r="J59" i="3"/>
  <c r="CX58" i="3"/>
  <c r="CF58" i="3"/>
  <c r="CP58" i="3" s="1"/>
  <c r="CB58" i="3"/>
  <c r="BX58" i="3"/>
  <c r="BT58" i="3"/>
  <c r="BP58" i="3"/>
  <c r="BL58" i="3"/>
  <c r="AR58" i="3"/>
  <c r="AN58" i="3"/>
  <c r="AJ58" i="3"/>
  <c r="T58" i="3"/>
  <c r="H58" i="3"/>
  <c r="CL57" i="3"/>
  <c r="CH57" i="3"/>
  <c r="CJ57" i="3" s="1"/>
  <c r="CN57" i="3" s="1"/>
  <c r="CD57" i="3"/>
  <c r="BN57" i="3"/>
  <c r="BF57" i="3"/>
  <c r="BB57" i="3"/>
  <c r="AT57" i="3"/>
  <c r="AP57" i="3"/>
  <c r="AH57" i="3"/>
  <c r="R57" i="3"/>
  <c r="J57" i="3"/>
  <c r="CX56" i="3"/>
  <c r="CF56" i="3"/>
  <c r="CB56" i="3"/>
  <c r="CB60" i="3" s="1"/>
  <c r="BX56" i="3"/>
  <c r="BT56" i="3"/>
  <c r="BP56" i="3"/>
  <c r="BL56" i="3"/>
  <c r="BL60" i="3" s="1"/>
  <c r="AR56" i="3"/>
  <c r="AN56" i="3"/>
  <c r="AJ56" i="3"/>
  <c r="T56" i="3"/>
  <c r="H56" i="3"/>
  <c r="CX54" i="3"/>
  <c r="CF54" i="3"/>
  <c r="CB54" i="3"/>
  <c r="BX54" i="3"/>
  <c r="BT54" i="3"/>
  <c r="BP54" i="3"/>
  <c r="BL54" i="3"/>
  <c r="AR54" i="3"/>
  <c r="AN54" i="3"/>
  <c r="AJ54" i="3"/>
  <c r="T54" i="3"/>
  <c r="H54" i="3"/>
  <c r="CL53" i="3"/>
  <c r="CH53" i="3"/>
  <c r="CD53" i="3"/>
  <c r="BN53" i="3"/>
  <c r="BF53" i="3"/>
  <c r="BB53" i="3"/>
  <c r="AT53" i="3"/>
  <c r="AP53" i="3"/>
  <c r="AH53" i="3"/>
  <c r="R53" i="3"/>
  <c r="J53" i="3"/>
  <c r="CX52" i="3"/>
  <c r="CA74" i="3"/>
  <c r="BM73" i="3"/>
  <c r="AR71" i="3"/>
  <c r="AV71" i="3" s="1"/>
  <c r="BF70" i="3"/>
  <c r="CH68" i="3"/>
  <c r="AN68" i="3"/>
  <c r="S68" i="3"/>
  <c r="N68" i="3" s="1"/>
  <c r="CK67" i="3"/>
  <c r="CK72" i="3" s="1"/>
  <c r="BP67" i="3"/>
  <c r="AT67" i="3"/>
  <c r="BX65" i="3"/>
  <c r="AR65" i="3"/>
  <c r="AV65" i="3" s="1"/>
  <c r="CL64" i="3"/>
  <c r="BF64" i="3"/>
  <c r="AP64" i="3"/>
  <c r="J64" i="3"/>
  <c r="CL63" i="3"/>
  <c r="CD63" i="3"/>
  <c r="BN63" i="3"/>
  <c r="BR63" i="3" s="1"/>
  <c r="BF63" i="3"/>
  <c r="AP63" i="3"/>
  <c r="AH63" i="3"/>
  <c r="AL63" i="3" s="1"/>
  <c r="R63" i="3"/>
  <c r="J63" i="3"/>
  <c r="CX62" i="3"/>
  <c r="CK62" i="3"/>
  <c r="CF62" i="3"/>
  <c r="BU62" i="3"/>
  <c r="BU66" i="3" s="1"/>
  <c r="BP62" i="3"/>
  <c r="AT62" i="3"/>
  <c r="AO62" i="3"/>
  <c r="AJ62" i="3"/>
  <c r="S62" i="3"/>
  <c r="K62" i="3"/>
  <c r="K66" i="3" s="1"/>
  <c r="G62" i="3"/>
  <c r="CK59" i="3"/>
  <c r="BY59" i="3"/>
  <c r="BU59" i="3"/>
  <c r="BQ59" i="3"/>
  <c r="BM59" i="3"/>
  <c r="AS59" i="3"/>
  <c r="AO59" i="3"/>
  <c r="AK59" i="3"/>
  <c r="I59" i="3"/>
  <c r="CM58" i="3"/>
  <c r="CI58" i="3"/>
  <c r="CE58" i="3"/>
  <c r="CO58" i="3" s="1"/>
  <c r="CA58" i="3"/>
  <c r="CC58" i="3" s="1"/>
  <c r="BW58" i="3"/>
  <c r="BO58" i="3"/>
  <c r="BS58" i="3" s="1"/>
  <c r="BG58" i="3"/>
  <c r="BC58" i="3"/>
  <c r="AU58" i="3"/>
  <c r="AM58" i="3"/>
  <c r="AI58" i="3"/>
  <c r="S58" i="3"/>
  <c r="K58" i="3"/>
  <c r="G58" i="3"/>
  <c r="D58" i="3" s="1"/>
  <c r="CK57" i="3"/>
  <c r="BY57" i="3"/>
  <c r="BU57" i="3"/>
  <c r="BQ57" i="3"/>
  <c r="BM57" i="3"/>
  <c r="AS57" i="3"/>
  <c r="AO57" i="3"/>
  <c r="AK57" i="3"/>
  <c r="I57" i="3"/>
  <c r="CM56" i="3"/>
  <c r="CI56" i="3"/>
  <c r="CE56" i="3"/>
  <c r="CA56" i="3"/>
  <c r="BW56" i="3"/>
  <c r="BO56" i="3"/>
  <c r="BG56" i="3"/>
  <c r="BC56" i="3"/>
  <c r="AU56" i="3"/>
  <c r="AM56" i="3"/>
  <c r="AI56" i="3"/>
  <c r="S56" i="3"/>
  <c r="K56" i="3"/>
  <c r="G56" i="3"/>
  <c r="CW54" i="3"/>
  <c r="CM54" i="3"/>
  <c r="CS54" i="3" s="1"/>
  <c r="CI54" i="3"/>
  <c r="CE54" i="3"/>
  <c r="CO54" i="3" s="1"/>
  <c r="CA54" i="3"/>
  <c r="BW54" i="3"/>
  <c r="BO54" i="3"/>
  <c r="BG54" i="3"/>
  <c r="BG55" i="3" s="1"/>
  <c r="BC54" i="3"/>
  <c r="BC55" i="3" s="1"/>
  <c r="AU54" i="3"/>
  <c r="AM54" i="3"/>
  <c r="AI54" i="3"/>
  <c r="S54" i="3"/>
  <c r="N54" i="3" s="1"/>
  <c r="K54" i="3"/>
  <c r="G54" i="3"/>
  <c r="D54" i="3" s="1"/>
  <c r="CK53" i="3"/>
  <c r="BY53" i="3"/>
  <c r="BU53" i="3"/>
  <c r="BQ53" i="3"/>
  <c r="BM53" i="3"/>
  <c r="AS53" i="3"/>
  <c r="AO53" i="3"/>
  <c r="AK53" i="3"/>
  <c r="I53" i="3"/>
  <c r="CW52" i="3"/>
  <c r="CY52" i="3" s="1"/>
  <c r="CM52" i="3"/>
  <c r="CS52" i="3" s="1"/>
  <c r="CI52" i="3"/>
  <c r="CE52" i="3"/>
  <c r="CA52" i="3"/>
  <c r="BW52" i="3"/>
  <c r="BO52" i="3"/>
  <c r="BG52" i="3"/>
  <c r="BC52" i="3"/>
  <c r="AU52" i="3"/>
  <c r="AM52" i="3"/>
  <c r="AI52" i="3"/>
  <c r="S52" i="3"/>
  <c r="K52" i="3"/>
  <c r="G52" i="3"/>
  <c r="BQ75" i="3"/>
  <c r="BF74" i="3"/>
  <c r="AR73" i="3"/>
  <c r="AV73" i="3" s="1"/>
  <c r="AP70" i="3"/>
  <c r="CH69" i="3"/>
  <c r="CJ69" i="3" s="1"/>
  <c r="BB69" i="3"/>
  <c r="AI68" i="3"/>
  <c r="CF67" i="3"/>
  <c r="AO67" i="3"/>
  <c r="H67" i="3"/>
  <c r="F67" i="3" s="1"/>
  <c r="BT65" i="3"/>
  <c r="BV65" i="3" s="1"/>
  <c r="BZ65" i="3" s="1"/>
  <c r="AN65" i="3"/>
  <c r="H65" i="3"/>
  <c r="CH64" i="3"/>
  <c r="CJ64" i="3" s="1"/>
  <c r="CN64" i="3" s="1"/>
  <c r="BB64" i="3"/>
  <c r="CX63" i="3"/>
  <c r="CB63" i="3"/>
  <c r="BT63" i="3"/>
  <c r="BV63" i="3" s="1"/>
  <c r="BZ63" i="3" s="1"/>
  <c r="BL63" i="3"/>
  <c r="AN63" i="3"/>
  <c r="H63" i="3"/>
  <c r="CD62" i="3"/>
  <c r="BY62" i="3"/>
  <c r="BY66" i="3" s="1"/>
  <c r="BT62" i="3"/>
  <c r="BN62" i="3"/>
  <c r="AS62" i="3"/>
  <c r="AN62" i="3"/>
  <c r="AH62" i="3"/>
  <c r="R62" i="3"/>
  <c r="J62" i="3"/>
  <c r="CX59" i="3"/>
  <c r="CF59" i="3"/>
  <c r="CP59" i="3" s="1"/>
  <c r="CB59" i="3"/>
  <c r="BX59" i="3"/>
  <c r="BT59" i="3"/>
  <c r="BV59" i="3" s="1"/>
  <c r="BZ59" i="3" s="1"/>
  <c r="BP59" i="3"/>
  <c r="BL59" i="3"/>
  <c r="AR59" i="3"/>
  <c r="AN59" i="3"/>
  <c r="AJ59" i="3"/>
  <c r="T59" i="3"/>
  <c r="H59" i="3"/>
  <c r="F59" i="3" s="1"/>
  <c r="CL58" i="3"/>
  <c r="CH58" i="3"/>
  <c r="CD58" i="3"/>
  <c r="BN58" i="3"/>
  <c r="BF58" i="3"/>
  <c r="BB58" i="3"/>
  <c r="AT58" i="3"/>
  <c r="AP58" i="3"/>
  <c r="AH58" i="3"/>
  <c r="AL58" i="3" s="1"/>
  <c r="R58" i="3"/>
  <c r="J58" i="3"/>
  <c r="CX57" i="3"/>
  <c r="BD57" i="3" s="1"/>
  <c r="BK57" i="3" s="1"/>
  <c r="CF57" i="3"/>
  <c r="CP57" i="3" s="1"/>
  <c r="CB57" i="3"/>
  <c r="BX57" i="3"/>
  <c r="BT57" i="3"/>
  <c r="BV57" i="3" s="1"/>
  <c r="BZ57" i="3" s="1"/>
  <c r="BP57" i="3"/>
  <c r="BL57" i="3"/>
  <c r="AR57" i="3"/>
  <c r="AN57" i="3"/>
  <c r="AJ57" i="3"/>
  <c r="T57" i="3"/>
  <c r="H57" i="3"/>
  <c r="CL56" i="3"/>
  <c r="CH56" i="3"/>
  <c r="CD56" i="3"/>
  <c r="CD60" i="3" s="1"/>
  <c r="BN56" i="3"/>
  <c r="BF56" i="3"/>
  <c r="BB56" i="3"/>
  <c r="AT56" i="3"/>
  <c r="AP56" i="3"/>
  <c r="AH56" i="3"/>
  <c r="R56" i="3"/>
  <c r="J56" i="3"/>
  <c r="J60" i="3" s="1"/>
  <c r="CL54" i="3"/>
  <c r="CH54" i="3"/>
  <c r="CJ54" i="3" s="1"/>
  <c r="CD54" i="3"/>
  <c r="BN54" i="3"/>
  <c r="BF54" i="3"/>
  <c r="BF55" i="3" s="1"/>
  <c r="BB54" i="3"/>
  <c r="BB55" i="3" s="1"/>
  <c r="AT54" i="3"/>
  <c r="AP54" i="3"/>
  <c r="AH54" i="3"/>
  <c r="R54" i="3"/>
  <c r="J54" i="3"/>
  <c r="CX53" i="3"/>
  <c r="CF53" i="3"/>
  <c r="CB53" i="3"/>
  <c r="BX53" i="3"/>
  <c r="BT53" i="3"/>
  <c r="BP53" i="3"/>
  <c r="BL53" i="3"/>
  <c r="AR53" i="3"/>
  <c r="AV53" i="3" s="1"/>
  <c r="AN53" i="3"/>
  <c r="AJ53" i="3"/>
  <c r="T53" i="3"/>
  <c r="H53" i="3"/>
  <c r="F53" i="3" s="1"/>
  <c r="CL52" i="3"/>
  <c r="CH52" i="3"/>
  <c r="CJ52" i="3" s="1"/>
  <c r="CD52" i="3"/>
  <c r="BN52" i="3"/>
  <c r="BR52" i="3" s="1"/>
  <c r="BF52" i="3"/>
  <c r="BB52" i="3"/>
  <c r="AT52" i="3"/>
  <c r="AP52" i="3"/>
  <c r="AH52" i="3"/>
  <c r="R52" i="3"/>
  <c r="J52" i="3"/>
  <c r="CX51" i="3"/>
  <c r="BD51" i="3" s="1"/>
  <c r="BK51" i="3" s="1"/>
  <c r="CF51" i="3"/>
  <c r="CB51" i="3"/>
  <c r="BX51" i="3"/>
  <c r="BT51" i="3"/>
  <c r="BV51" i="3" s="1"/>
  <c r="BZ51" i="3" s="1"/>
  <c r="BP51" i="3"/>
  <c r="BL51" i="3"/>
  <c r="AR51" i="3"/>
  <c r="AV51" i="3" s="1"/>
  <c r="AN51" i="3"/>
  <c r="AJ51" i="3"/>
  <c r="T51" i="3"/>
  <c r="BX71" i="3"/>
  <c r="BT68" i="3"/>
  <c r="BV68" i="3" s="1"/>
  <c r="BZ68" i="3" s="1"/>
  <c r="BP65" i="3"/>
  <c r="AH64" i="3"/>
  <c r="AL64" i="3" s="1"/>
  <c r="BX62" i="3"/>
  <c r="BB62" i="3"/>
  <c r="CI59" i="3"/>
  <c r="BC59" i="3"/>
  <c r="BC60" i="3" s="1"/>
  <c r="BC61" i="3" s="1"/>
  <c r="AM59" i="3"/>
  <c r="G59" i="3"/>
  <c r="D59" i="3" s="1"/>
  <c r="E59" i="3" s="1"/>
  <c r="BQ58" i="3"/>
  <c r="AK58" i="3"/>
  <c r="CI57" i="3"/>
  <c r="BC57" i="3"/>
  <c r="AM57" i="3"/>
  <c r="G57" i="3"/>
  <c r="D57" i="3" s="1"/>
  <c r="BQ56" i="3"/>
  <c r="AK56" i="3"/>
  <c r="BQ54" i="3"/>
  <c r="AK54" i="3"/>
  <c r="CI53" i="3"/>
  <c r="BC53" i="3"/>
  <c r="AM53" i="3"/>
  <c r="G53" i="3"/>
  <c r="CF52" i="3"/>
  <c r="CP52" i="3" s="1"/>
  <c r="BX52" i="3"/>
  <c r="BP52" i="3"/>
  <c r="AR52" i="3"/>
  <c r="AJ52" i="3"/>
  <c r="T52" i="3"/>
  <c r="CM51" i="3"/>
  <c r="CH51" i="3"/>
  <c r="BW51" i="3"/>
  <c r="BM51" i="3"/>
  <c r="BG51" i="3"/>
  <c r="BB51" i="3"/>
  <c r="K51" i="3"/>
  <c r="G51" i="3"/>
  <c r="D51" i="3" s="1"/>
  <c r="E51" i="3" s="1"/>
  <c r="CK50" i="3"/>
  <c r="BY50" i="3"/>
  <c r="BU50" i="3"/>
  <c r="BQ50" i="3"/>
  <c r="BQ55" i="3" s="1"/>
  <c r="BM50" i="3"/>
  <c r="AS50" i="3"/>
  <c r="AO50" i="3"/>
  <c r="AK50" i="3"/>
  <c r="I50" i="3"/>
  <c r="CK48" i="3"/>
  <c r="BY48" i="3"/>
  <c r="BU48" i="3"/>
  <c r="BQ48" i="3"/>
  <c r="BM48" i="3"/>
  <c r="AS48" i="3"/>
  <c r="AO48" i="3"/>
  <c r="AK48" i="3"/>
  <c r="I48" i="3"/>
  <c r="CW47" i="3"/>
  <c r="CM47" i="3"/>
  <c r="CS47" i="3" s="1"/>
  <c r="CI47" i="3"/>
  <c r="CE47" i="3"/>
  <c r="CA47" i="3"/>
  <c r="BW47" i="3"/>
  <c r="BO47" i="3"/>
  <c r="BG47" i="3"/>
  <c r="BC47" i="3"/>
  <c r="AU47" i="3"/>
  <c r="AM47" i="3"/>
  <c r="AI47" i="3"/>
  <c r="S47" i="3"/>
  <c r="N47" i="3" s="1"/>
  <c r="K47" i="3"/>
  <c r="G47" i="3"/>
  <c r="CK46" i="3"/>
  <c r="BY46" i="3"/>
  <c r="BU46" i="3"/>
  <c r="BQ46" i="3"/>
  <c r="BM46" i="3"/>
  <c r="AS46" i="3"/>
  <c r="AO46" i="3"/>
  <c r="AK46" i="3"/>
  <c r="I46" i="3"/>
  <c r="CW45" i="3"/>
  <c r="CY45" i="3" s="1"/>
  <c r="CM45" i="3"/>
  <c r="CI45" i="3"/>
  <c r="CE45" i="3"/>
  <c r="CA45" i="3"/>
  <c r="BW45" i="3"/>
  <c r="BW49" i="3" s="1"/>
  <c r="BO45" i="3"/>
  <c r="BG45" i="3"/>
  <c r="BC45" i="3"/>
  <c r="AU45" i="3"/>
  <c r="AM45" i="3"/>
  <c r="AI45" i="3"/>
  <c r="S45" i="3"/>
  <c r="K45" i="3"/>
  <c r="K49" i="3" s="1"/>
  <c r="G45" i="3"/>
  <c r="CK42" i="3"/>
  <c r="BY42" i="3"/>
  <c r="BU42" i="3"/>
  <c r="BQ42" i="3"/>
  <c r="BM42" i="3"/>
  <c r="AS42" i="3"/>
  <c r="AO42" i="3"/>
  <c r="AK42" i="3"/>
  <c r="I42" i="3"/>
  <c r="CM41" i="3"/>
  <c r="CI41" i="3"/>
  <c r="CE41" i="3"/>
  <c r="CA41" i="3"/>
  <c r="BW41" i="3"/>
  <c r="BO76" i="3"/>
  <c r="BS76" i="3" s="1"/>
  <c r="CL70" i="3"/>
  <c r="CD64" i="3"/>
  <c r="R64" i="3"/>
  <c r="CE59" i="3"/>
  <c r="CO59" i="3" s="1"/>
  <c r="CT59" i="3" s="1"/>
  <c r="BO59" i="3"/>
  <c r="AI59" i="3"/>
  <c r="S59" i="3"/>
  <c r="N59" i="3" s="1"/>
  <c r="BM58" i="3"/>
  <c r="CE57" i="3"/>
  <c r="CO57" i="3" s="1"/>
  <c r="BO57" i="3"/>
  <c r="AI57" i="3"/>
  <c r="S57" i="3"/>
  <c r="N57" i="3" s="1"/>
  <c r="BM56" i="3"/>
  <c r="BM54" i="3"/>
  <c r="CW53" i="3"/>
  <c r="CY53" i="3" s="1"/>
  <c r="CE53" i="3"/>
  <c r="CO53" i="3" s="1"/>
  <c r="CT53" i="3" s="1"/>
  <c r="BO53" i="3"/>
  <c r="BS53" i="3" s="1"/>
  <c r="AI53" i="3"/>
  <c r="S53" i="3"/>
  <c r="CK52" i="3"/>
  <c r="BU52" i="3"/>
  <c r="BM52" i="3"/>
  <c r="AO52" i="3"/>
  <c r="I52" i="3"/>
  <c r="CL51" i="3"/>
  <c r="CA51" i="3"/>
  <c r="CC51" i="3" s="1"/>
  <c r="CG51" i="3" s="1"/>
  <c r="BQ51" i="3"/>
  <c r="BF51" i="3"/>
  <c r="AU51" i="3"/>
  <c r="AP51" i="3"/>
  <c r="AK51" i="3"/>
  <c r="J51" i="3"/>
  <c r="CX50" i="3"/>
  <c r="CF50" i="3"/>
  <c r="CB50" i="3"/>
  <c r="BX50" i="3"/>
  <c r="BX55" i="3" s="1"/>
  <c r="BT50" i="3"/>
  <c r="BP50" i="3"/>
  <c r="BL50" i="3"/>
  <c r="AR50" i="3"/>
  <c r="AV50" i="3" s="1"/>
  <c r="AN50" i="3"/>
  <c r="AJ50" i="3"/>
  <c r="T50" i="3"/>
  <c r="H50" i="3"/>
  <c r="F50" i="3" s="1"/>
  <c r="CX48" i="3"/>
  <c r="CF48" i="3"/>
  <c r="CB48" i="3"/>
  <c r="BX48" i="3"/>
  <c r="BT48" i="3"/>
  <c r="BP48" i="3"/>
  <c r="BL48" i="3"/>
  <c r="AR48" i="3"/>
  <c r="AV48" i="3" s="1"/>
  <c r="AN48" i="3"/>
  <c r="AJ48" i="3"/>
  <c r="T48" i="3"/>
  <c r="H48" i="3"/>
  <c r="F48" i="3" s="1"/>
  <c r="CL47" i="3"/>
  <c r="CH47" i="3"/>
  <c r="CJ47" i="3" s="1"/>
  <c r="CD47" i="3"/>
  <c r="BN47" i="3"/>
  <c r="BR47" i="3" s="1"/>
  <c r="BF47" i="3"/>
  <c r="BB47" i="3"/>
  <c r="AT47" i="3"/>
  <c r="AP47" i="3"/>
  <c r="AH47" i="3"/>
  <c r="R47" i="3"/>
  <c r="J47" i="3"/>
  <c r="CX46" i="3"/>
  <c r="CF46" i="3"/>
  <c r="CB46" i="3"/>
  <c r="BX46" i="3"/>
  <c r="BT46" i="3"/>
  <c r="BV46" i="3" s="1"/>
  <c r="BZ46" i="3" s="1"/>
  <c r="BP46" i="3"/>
  <c r="BL46" i="3"/>
  <c r="AR46" i="3"/>
  <c r="AV46" i="3" s="1"/>
  <c r="AN46" i="3"/>
  <c r="AJ46" i="3"/>
  <c r="T46" i="3"/>
  <c r="H46" i="3"/>
  <c r="F46" i="3" s="1"/>
  <c r="AK75" i="3"/>
  <c r="AJ67" i="3"/>
  <c r="CX65" i="3"/>
  <c r="AJ65" i="3"/>
  <c r="BN64" i="3"/>
  <c r="BR64" i="3" s="1"/>
  <c r="CH63" i="3"/>
  <c r="CJ63" i="3" s="1"/>
  <c r="CN63" i="3" s="1"/>
  <c r="BB63" i="3"/>
  <c r="CH62" i="3"/>
  <c r="BM62" i="3"/>
  <c r="BM66" i="3" s="1"/>
  <c r="AR62" i="3"/>
  <c r="AV62" i="3" s="1"/>
  <c r="I62" i="3"/>
  <c r="CA59" i="3"/>
  <c r="CC59" i="3" s="1"/>
  <c r="CG59" i="3" s="1"/>
  <c r="AU59" i="3"/>
  <c r="BY58" i="3"/>
  <c r="AS58" i="3"/>
  <c r="CA57" i="3"/>
  <c r="CC57" i="3" s="1"/>
  <c r="AU57" i="3"/>
  <c r="BY56" i="3"/>
  <c r="BY60" i="3" s="1"/>
  <c r="AS56" i="3"/>
  <c r="BY54" i="3"/>
  <c r="AS54" i="3"/>
  <c r="CA53" i="3"/>
  <c r="AU53" i="3"/>
  <c r="CB52" i="3"/>
  <c r="BT52" i="3"/>
  <c r="BV52" i="3" s="1"/>
  <c r="BZ52" i="3" s="1"/>
  <c r="BL52" i="3"/>
  <c r="AN52" i="3"/>
  <c r="H52" i="3"/>
  <c r="CW51" i="3"/>
  <c r="CY51" i="3" s="1"/>
  <c r="CK51" i="3"/>
  <c r="CE51" i="3"/>
  <c r="BU51" i="3"/>
  <c r="BO51" i="3"/>
  <c r="BS51" i="3" s="1"/>
  <c r="AT51" i="3"/>
  <c r="AO51" i="3"/>
  <c r="AI51" i="3"/>
  <c r="S51" i="3"/>
  <c r="N51" i="3" s="1"/>
  <c r="I51" i="3"/>
  <c r="CW50" i="3"/>
  <c r="CY50" i="3" s="1"/>
  <c r="CM50" i="3"/>
  <c r="CI50" i="3"/>
  <c r="CE50" i="3"/>
  <c r="CA50" i="3"/>
  <c r="BW50" i="3"/>
  <c r="BO50" i="3"/>
  <c r="BG50" i="3"/>
  <c r="BC50" i="3"/>
  <c r="AU50" i="3"/>
  <c r="AM50" i="3"/>
  <c r="AI50" i="3"/>
  <c r="S50" i="3"/>
  <c r="K50" i="3"/>
  <c r="G50" i="3"/>
  <c r="CW48" i="3"/>
  <c r="CM48" i="3"/>
  <c r="CI48" i="3"/>
  <c r="CE48" i="3"/>
  <c r="CO48" i="3" s="1"/>
  <c r="CA48" i="3"/>
  <c r="BW48" i="3"/>
  <c r="BO48" i="3"/>
  <c r="BS48" i="3" s="1"/>
  <c r="BG48" i="3"/>
  <c r="BG49" i="3" s="1"/>
  <c r="BC48" i="3"/>
  <c r="BC49" i="3" s="1"/>
  <c r="AU48" i="3"/>
  <c r="AM48" i="3"/>
  <c r="AI48" i="3"/>
  <c r="S48" i="3"/>
  <c r="K48" i="3"/>
  <c r="G48" i="3"/>
  <c r="CK47" i="3"/>
  <c r="BY47" i="3"/>
  <c r="BU47" i="3"/>
  <c r="BQ47" i="3"/>
  <c r="BM47" i="3"/>
  <c r="AS47" i="3"/>
  <c r="AO47" i="3"/>
  <c r="AK47" i="3"/>
  <c r="I47" i="3"/>
  <c r="CW46" i="3"/>
  <c r="CM46" i="3"/>
  <c r="CI46" i="3"/>
  <c r="CE46" i="3"/>
  <c r="CO46" i="3" s="1"/>
  <c r="CA46" i="3"/>
  <c r="CC46" i="3" s="1"/>
  <c r="CG46" i="3" s="1"/>
  <c r="BW46" i="3"/>
  <c r="BO46" i="3"/>
  <c r="BS46" i="3" s="1"/>
  <c r="BG46" i="3"/>
  <c r="BC46" i="3"/>
  <c r="AU46" i="3"/>
  <c r="AM46" i="3"/>
  <c r="AI46" i="3"/>
  <c r="S46" i="3"/>
  <c r="K46" i="3"/>
  <c r="G46" i="3"/>
  <c r="D46" i="3" s="1"/>
  <c r="E46" i="3" s="1"/>
  <c r="CK45" i="3"/>
  <c r="CK49" i="3" s="1"/>
  <c r="BY45" i="3"/>
  <c r="BU45" i="3"/>
  <c r="BQ45" i="3"/>
  <c r="BQ49" i="3" s="1"/>
  <c r="BM45" i="3"/>
  <c r="BM49" i="3" s="1"/>
  <c r="AS45" i="3"/>
  <c r="AO45" i="3"/>
  <c r="AK45" i="3"/>
  <c r="I45" i="3"/>
  <c r="CM42" i="3"/>
  <c r="CI42" i="3"/>
  <c r="CE42" i="3"/>
  <c r="CO42" i="3" s="1"/>
  <c r="CA42" i="3"/>
  <c r="CC42" i="3" s="1"/>
  <c r="BW42" i="3"/>
  <c r="BO42" i="3"/>
  <c r="BS42" i="3" s="1"/>
  <c r="BG42" i="3"/>
  <c r="BG43" i="3" s="1"/>
  <c r="BG44" i="3" s="1"/>
  <c r="BC42" i="3"/>
  <c r="BC43" i="3" s="1"/>
  <c r="BC44" i="3" s="1"/>
  <c r="AU42" i="3"/>
  <c r="AM42" i="3"/>
  <c r="AI42" i="3"/>
  <c r="S42" i="3"/>
  <c r="N42" i="3" s="1"/>
  <c r="K42" i="3"/>
  <c r="G42" i="3"/>
  <c r="CK41" i="3"/>
  <c r="BY41" i="3"/>
  <c r="BU41" i="3"/>
  <c r="BQ41" i="3"/>
  <c r="BM41" i="3"/>
  <c r="AS41" i="3"/>
  <c r="AO41" i="3"/>
  <c r="AK41" i="3"/>
  <c r="I41" i="3"/>
  <c r="CM40" i="3"/>
  <c r="CS40" i="3" s="1"/>
  <c r="CI40" i="3"/>
  <c r="CE40" i="3"/>
  <c r="CA40" i="3"/>
  <c r="CC40" i="3" s="1"/>
  <c r="BW40" i="3"/>
  <c r="BO40" i="3"/>
  <c r="BG40" i="3"/>
  <c r="BC40" i="3"/>
  <c r="AU40" i="3"/>
  <c r="AM40" i="3"/>
  <c r="AI40" i="3"/>
  <c r="S40" i="3"/>
  <c r="K40" i="3"/>
  <c r="G40" i="3"/>
  <c r="CK39" i="3"/>
  <c r="BY39" i="3"/>
  <c r="BU39" i="3"/>
  <c r="BU43" i="3" s="1"/>
  <c r="BQ39" i="3"/>
  <c r="BM39" i="3"/>
  <c r="AS39" i="3"/>
  <c r="AO39" i="3"/>
  <c r="AK39" i="3"/>
  <c r="I39" i="3"/>
  <c r="CK37" i="3"/>
  <c r="CC37" i="3"/>
  <c r="CG37" i="3" s="1"/>
  <c r="BY37" i="3"/>
  <c r="BU37" i="3"/>
  <c r="BQ37" i="3"/>
  <c r="BM37" i="3"/>
  <c r="AS37" i="3"/>
  <c r="AO37" i="3"/>
  <c r="AK37" i="3"/>
  <c r="Q37" i="3"/>
  <c r="I37" i="3"/>
  <c r="CW36" i="3"/>
  <c r="CM36" i="3"/>
  <c r="CI36" i="3"/>
  <c r="CE36" i="3"/>
  <c r="CA36" i="3"/>
  <c r="BW36" i="3"/>
  <c r="BO36" i="3"/>
  <c r="BS36" i="3" s="1"/>
  <c r="BG36" i="3"/>
  <c r="BC36" i="3"/>
  <c r="AU36" i="3"/>
  <c r="AM36" i="3"/>
  <c r="AI36" i="3"/>
  <c r="S36" i="3"/>
  <c r="K36" i="3"/>
  <c r="G36" i="3"/>
  <c r="D36" i="3" s="1"/>
  <c r="E36" i="3" s="1"/>
  <c r="AK74" i="3"/>
  <c r="CF65" i="3"/>
  <c r="CP65" i="3" s="1"/>
  <c r="CM59" i="3"/>
  <c r="CS59" i="3" s="1"/>
  <c r="AO58" i="3"/>
  <c r="BW57" i="3"/>
  <c r="K57" i="3"/>
  <c r="CK56" i="3"/>
  <c r="BU54" i="3"/>
  <c r="I54" i="3"/>
  <c r="BY52" i="3"/>
  <c r="AS52" i="3"/>
  <c r="CI51" i="3"/>
  <c r="BN51" i="3"/>
  <c r="BR51" i="3" s="1"/>
  <c r="AS51" i="3"/>
  <c r="CD50" i="3"/>
  <c r="BN50" i="3"/>
  <c r="AH50" i="3"/>
  <c r="R50" i="3"/>
  <c r="CD48" i="3"/>
  <c r="BN48" i="3"/>
  <c r="BR48" i="3" s="1"/>
  <c r="AH48" i="3"/>
  <c r="AL48" i="3" s="1"/>
  <c r="R48" i="3"/>
  <c r="CB47" i="3"/>
  <c r="BL47" i="3"/>
  <c r="AT46" i="3"/>
  <c r="CB45" i="3"/>
  <c r="BT45" i="3"/>
  <c r="BL45" i="3"/>
  <c r="BL49" i="3" s="1"/>
  <c r="AN45" i="3"/>
  <c r="H45" i="3"/>
  <c r="CX42" i="3"/>
  <c r="CF42" i="3"/>
  <c r="CP42" i="3" s="1"/>
  <c r="BX42" i="3"/>
  <c r="BP42" i="3"/>
  <c r="AR42" i="3"/>
  <c r="AV42" i="3" s="1"/>
  <c r="AJ42" i="3"/>
  <c r="T42" i="3"/>
  <c r="CX41" i="3"/>
  <c r="CF41" i="3"/>
  <c r="BX41" i="3"/>
  <c r="BP41" i="3"/>
  <c r="BF41" i="3"/>
  <c r="AU41" i="3"/>
  <c r="AP41" i="3"/>
  <c r="AJ41" i="3"/>
  <c r="T41" i="3"/>
  <c r="J41" i="3"/>
  <c r="CL40" i="3"/>
  <c r="CB40" i="3"/>
  <c r="BQ40" i="3"/>
  <c r="BL40" i="3"/>
  <c r="BF40" i="3"/>
  <c r="AP40" i="3"/>
  <c r="AK40" i="3"/>
  <c r="J40" i="3"/>
  <c r="CI39" i="3"/>
  <c r="CI43" i="3" s="1"/>
  <c r="CD39" i="3"/>
  <c r="BX39" i="3"/>
  <c r="BN39" i="3"/>
  <c r="BC39" i="3"/>
  <c r="AR39" i="3"/>
  <c r="AM39" i="3"/>
  <c r="AH39" i="3"/>
  <c r="R39" i="3"/>
  <c r="G39" i="3"/>
  <c r="CM37" i="3"/>
  <c r="CS37" i="3" s="1"/>
  <c r="CH37" i="3"/>
  <c r="CB37" i="3"/>
  <c r="BW37" i="3"/>
  <c r="BL37" i="3"/>
  <c r="BG37" i="3"/>
  <c r="BG38" i="3" s="1"/>
  <c r="BB37" i="3"/>
  <c r="BB38" i="3" s="1"/>
  <c r="K37" i="3"/>
  <c r="CH36" i="3"/>
  <c r="CC36" i="3"/>
  <c r="CG36" i="3" s="1"/>
  <c r="BX36" i="3"/>
  <c r="BM36" i="3"/>
  <c r="BB36" i="3"/>
  <c r="AR36" i="3"/>
  <c r="AV36" i="3" s="1"/>
  <c r="Q36" i="3"/>
  <c r="CX35" i="3"/>
  <c r="CJ35" i="3"/>
  <c r="CF35" i="3"/>
  <c r="CP35" i="3" s="1"/>
  <c r="CB35" i="3"/>
  <c r="BX35" i="3"/>
  <c r="BT35" i="3"/>
  <c r="BP35" i="3"/>
  <c r="BL35" i="3"/>
  <c r="AR35" i="3"/>
  <c r="AN35" i="3"/>
  <c r="AJ35" i="3"/>
  <c r="T35" i="3"/>
  <c r="H35" i="3"/>
  <c r="CL34" i="3"/>
  <c r="CH34" i="3"/>
  <c r="CD34" i="3"/>
  <c r="BV34" i="3"/>
  <c r="BN34" i="3"/>
  <c r="BF34" i="3"/>
  <c r="AT34" i="3"/>
  <c r="AP34" i="3"/>
  <c r="AH34" i="3"/>
  <c r="R34" i="3"/>
  <c r="J34" i="3"/>
  <c r="CX33" i="3"/>
  <c r="CJ33" i="3"/>
  <c r="CF33" i="3"/>
  <c r="CB33" i="3"/>
  <c r="BX33" i="3"/>
  <c r="BT33" i="3"/>
  <c r="BP33" i="3"/>
  <c r="BP38" i="3" s="1"/>
  <c r="BL33" i="3"/>
  <c r="AR33" i="3"/>
  <c r="AN33" i="3"/>
  <c r="AJ33" i="3"/>
  <c r="T33" i="3"/>
  <c r="H33" i="3"/>
  <c r="CX31" i="3"/>
  <c r="CJ31" i="3"/>
  <c r="CN31" i="3" s="1"/>
  <c r="CF31" i="3"/>
  <c r="CB31" i="3"/>
  <c r="BX31" i="3"/>
  <c r="BT31" i="3"/>
  <c r="BP31" i="3"/>
  <c r="BL31" i="3"/>
  <c r="AR31" i="3"/>
  <c r="AV31" i="3" s="1"/>
  <c r="AN31" i="3"/>
  <c r="AJ31" i="3"/>
  <c r="T31" i="3"/>
  <c r="H31" i="3"/>
  <c r="F31" i="3" s="1"/>
  <c r="CL30" i="3"/>
  <c r="CH30" i="3"/>
  <c r="CD30" i="3"/>
  <c r="BV30" i="3"/>
  <c r="BZ30" i="3" s="1"/>
  <c r="BN30" i="3"/>
  <c r="BR30" i="3" s="1"/>
  <c r="BF30" i="3"/>
  <c r="AT30" i="3"/>
  <c r="AP30" i="3"/>
  <c r="T65" i="3"/>
  <c r="BW59" i="3"/>
  <c r="K59" i="3"/>
  <c r="CK58" i="3"/>
  <c r="BG57" i="3"/>
  <c r="BU56" i="3"/>
  <c r="I56" i="3"/>
  <c r="CM53" i="3"/>
  <c r="CS53" i="3" s="1"/>
  <c r="BQ52" i="3"/>
  <c r="AK52" i="3"/>
  <c r="CD51" i="3"/>
  <c r="AM51" i="3"/>
  <c r="R51" i="3"/>
  <c r="AT50" i="3"/>
  <c r="AT48" i="3"/>
  <c r="BX47" i="3"/>
  <c r="AR47" i="3"/>
  <c r="CL46" i="3"/>
  <c r="BF46" i="3"/>
  <c r="AP46" i="3"/>
  <c r="J46" i="3"/>
  <c r="CH45" i="3"/>
  <c r="BB45" i="3"/>
  <c r="AT45" i="3"/>
  <c r="CL42" i="3"/>
  <c r="CD42" i="3"/>
  <c r="BN42" i="3"/>
  <c r="BR42" i="3" s="1"/>
  <c r="BF42" i="3"/>
  <c r="BF43" i="3" s="1"/>
  <c r="BF44" i="3" s="1"/>
  <c r="AP42" i="3"/>
  <c r="AH42" i="3"/>
  <c r="AL42" i="3" s="1"/>
  <c r="R42" i="3"/>
  <c r="J42" i="3"/>
  <c r="CL41" i="3"/>
  <c r="CD41" i="3"/>
  <c r="BO41" i="3"/>
  <c r="BS41" i="3" s="1"/>
  <c r="AT41" i="3"/>
  <c r="AN41" i="3"/>
  <c r="AI41" i="3"/>
  <c r="S41" i="3"/>
  <c r="N41" i="3" s="1"/>
  <c r="H41" i="3"/>
  <c r="F41" i="3" s="1"/>
  <c r="CX40" i="3"/>
  <c r="BD40" i="3" s="1"/>
  <c r="CK40" i="3"/>
  <c r="CF40" i="3"/>
  <c r="BU40" i="3"/>
  <c r="BP40" i="3"/>
  <c r="AT40" i="3"/>
  <c r="AO40" i="3"/>
  <c r="AJ40" i="3"/>
  <c r="T40" i="3"/>
  <c r="I40" i="3"/>
  <c r="CM39" i="3"/>
  <c r="CH39" i="3"/>
  <c r="CB39" i="3"/>
  <c r="BW39" i="3"/>
  <c r="BL39" i="3"/>
  <c r="BL43" i="3" s="1"/>
  <c r="BG39" i="3"/>
  <c r="BB39" i="3"/>
  <c r="K39" i="3"/>
  <c r="CX37" i="3"/>
  <c r="CL37" i="3"/>
  <c r="CF37" i="3"/>
  <c r="CP37" i="3" s="1"/>
  <c r="CA37" i="3"/>
  <c r="BV37" i="3"/>
  <c r="BZ37" i="3" s="1"/>
  <c r="BP37" i="3"/>
  <c r="BF37" i="3"/>
  <c r="BF38" i="3" s="1"/>
  <c r="AU37" i="3"/>
  <c r="AP37" i="3"/>
  <c r="AJ37" i="3"/>
  <c r="T37" i="3"/>
  <c r="J37" i="3"/>
  <c r="CL36" i="3"/>
  <c r="CB36" i="3"/>
  <c r="BV36" i="3"/>
  <c r="BQ36" i="3"/>
  <c r="BL36" i="3"/>
  <c r="BF36" i="3"/>
  <c r="AP36" i="3"/>
  <c r="AK36" i="3"/>
  <c r="J36" i="3"/>
  <c r="CW35" i="3"/>
  <c r="CM35" i="3"/>
  <c r="CI35" i="3"/>
  <c r="CE35" i="3"/>
  <c r="CO35" i="3" s="1"/>
  <c r="CA35" i="3"/>
  <c r="BW35" i="3"/>
  <c r="BO35" i="3"/>
  <c r="BG35" i="3"/>
  <c r="BC35" i="3"/>
  <c r="AU35" i="3"/>
  <c r="AM35" i="3"/>
  <c r="AI35" i="3"/>
  <c r="S35" i="3"/>
  <c r="N35" i="3" s="1"/>
  <c r="K35" i="3"/>
  <c r="G35" i="3"/>
  <c r="D35" i="3" s="1"/>
  <c r="CK34" i="3"/>
  <c r="CC34" i="3"/>
  <c r="BY34" i="3"/>
  <c r="BU34" i="3"/>
  <c r="BQ34" i="3"/>
  <c r="BM34" i="3"/>
  <c r="AS34" i="3"/>
  <c r="AO34" i="3"/>
  <c r="AK34" i="3"/>
  <c r="Q34" i="3"/>
  <c r="I34" i="3"/>
  <c r="CW33" i="3"/>
  <c r="CM33" i="3"/>
  <c r="CI33" i="3"/>
  <c r="CE33" i="3"/>
  <c r="CA33" i="3"/>
  <c r="BW33" i="3"/>
  <c r="BO33" i="3"/>
  <c r="BG33" i="3"/>
  <c r="BC33" i="3"/>
  <c r="AU33" i="3"/>
  <c r="AM33" i="3"/>
  <c r="AI33" i="3"/>
  <c r="S33" i="3"/>
  <c r="K33" i="3"/>
  <c r="K38" i="3" s="1"/>
  <c r="G33" i="3"/>
  <c r="CW31" i="3"/>
  <c r="CM31" i="3"/>
  <c r="CI31" i="3"/>
  <c r="CE31" i="3"/>
  <c r="CO31" i="3" s="1"/>
  <c r="CA31" i="3"/>
  <c r="BW31" i="3"/>
  <c r="BO31" i="3"/>
  <c r="BS31" i="3" s="1"/>
  <c r="BG31" i="3"/>
  <c r="BG32" i="3" s="1"/>
  <c r="BC31" i="3"/>
  <c r="BC32" i="3" s="1"/>
  <c r="AU31" i="3"/>
  <c r="AM31" i="3"/>
  <c r="AI31" i="3"/>
  <c r="S31" i="3"/>
  <c r="K31" i="3"/>
  <c r="G31" i="3"/>
  <c r="D31" i="3" s="1"/>
  <c r="E31" i="3" s="1"/>
  <c r="CK30" i="3"/>
  <c r="CC30" i="3"/>
  <c r="BY30" i="3"/>
  <c r="AT69" i="3"/>
  <c r="H68" i="3"/>
  <c r="F68" i="3" s="1"/>
  <c r="CX67" i="3"/>
  <c r="BD67" i="3" s="1"/>
  <c r="AT63" i="3"/>
  <c r="BG59" i="3"/>
  <c r="BG60" i="3" s="1"/>
  <c r="BG61" i="3" s="1"/>
  <c r="BU58" i="3"/>
  <c r="I58" i="3"/>
  <c r="AO54" i="3"/>
  <c r="BW53" i="3"/>
  <c r="K53" i="3"/>
  <c r="BY51" i="3"/>
  <c r="BC51" i="3"/>
  <c r="AH51" i="3"/>
  <c r="AL51" i="3" s="1"/>
  <c r="CL50" i="3"/>
  <c r="BF50" i="3"/>
  <c r="AP50" i="3"/>
  <c r="J50" i="3"/>
  <c r="CL48" i="3"/>
  <c r="BF48" i="3"/>
  <c r="BF49" i="3" s="1"/>
  <c r="AP48" i="3"/>
  <c r="J48" i="3"/>
  <c r="BT47" i="3"/>
  <c r="BV47" i="3" s="1"/>
  <c r="BZ47" i="3" s="1"/>
  <c r="AN47" i="3"/>
  <c r="H47" i="3"/>
  <c r="CH46" i="3"/>
  <c r="CJ46" i="3" s="1"/>
  <c r="CN46" i="3" s="1"/>
  <c r="BB46" i="3"/>
  <c r="CX45" i="3"/>
  <c r="BD45" i="3" s="1"/>
  <c r="CF45" i="3"/>
  <c r="BX45" i="3"/>
  <c r="BP45" i="3"/>
  <c r="BP49" i="3" s="1"/>
  <c r="AR45" i="3"/>
  <c r="AJ45" i="3"/>
  <c r="T45" i="3"/>
  <c r="CB42" i="3"/>
  <c r="BT42" i="3"/>
  <c r="BL42" i="3"/>
  <c r="AN42" i="3"/>
  <c r="H42" i="3"/>
  <c r="F42" i="3" s="1"/>
  <c r="CB41" i="3"/>
  <c r="BT41" i="3"/>
  <c r="BV41" i="3" s="1"/>
  <c r="BN41" i="3"/>
  <c r="BR41" i="3" s="1"/>
  <c r="BC41" i="3"/>
  <c r="AR41" i="3"/>
  <c r="AM41" i="3"/>
  <c r="AH41" i="3"/>
  <c r="AL41" i="3" s="1"/>
  <c r="R41" i="3"/>
  <c r="G41" i="3"/>
  <c r="CD40" i="3"/>
  <c r="BY40" i="3"/>
  <c r="BT40" i="3"/>
  <c r="BV40" i="3" s="1"/>
  <c r="BZ40" i="3" s="1"/>
  <c r="BN40" i="3"/>
  <c r="BR40" i="3" s="1"/>
  <c r="AS40" i="3"/>
  <c r="AN40" i="3"/>
  <c r="AH40" i="3"/>
  <c r="AL40" i="3" s="1"/>
  <c r="R40" i="3"/>
  <c r="H40" i="3"/>
  <c r="F40" i="3" s="1"/>
  <c r="CX39" i="3"/>
  <c r="CL39" i="3"/>
  <c r="CF39" i="3"/>
  <c r="CA39" i="3"/>
  <c r="BP39" i="3"/>
  <c r="BP43" i="3" s="1"/>
  <c r="BF39" i="3"/>
  <c r="AU39" i="3"/>
  <c r="AP39" i="3"/>
  <c r="AJ39" i="3"/>
  <c r="T39" i="3"/>
  <c r="J39" i="3"/>
  <c r="CW37" i="3"/>
  <c r="CJ37" i="3"/>
  <c r="CN37" i="3" s="1"/>
  <c r="CE37" i="3"/>
  <c r="CO37" i="3" s="1"/>
  <c r="CT37" i="3" s="1"/>
  <c r="BT37" i="3"/>
  <c r="BO37" i="3"/>
  <c r="AT37" i="3"/>
  <c r="AN37" i="3"/>
  <c r="AI37" i="3"/>
  <c r="S37" i="3"/>
  <c r="N37" i="3" s="1"/>
  <c r="H37" i="3"/>
  <c r="F37" i="3" s="1"/>
  <c r="CX36" i="3"/>
  <c r="BD36" i="3" s="1"/>
  <c r="CK36" i="3"/>
  <c r="CF36" i="3"/>
  <c r="BU36" i="3"/>
  <c r="BP36" i="3"/>
  <c r="AT36" i="3"/>
  <c r="AO36" i="3"/>
  <c r="AJ36" i="3"/>
  <c r="T36" i="3"/>
  <c r="I36" i="3"/>
  <c r="CL35" i="3"/>
  <c r="CH35" i="3"/>
  <c r="CD35" i="3"/>
  <c r="BV35" i="3"/>
  <c r="BN35" i="3"/>
  <c r="BF35" i="3"/>
  <c r="BB35" i="3"/>
  <c r="AT35" i="3"/>
  <c r="AP35" i="3"/>
  <c r="AH35" i="3"/>
  <c r="R35" i="3"/>
  <c r="J35" i="3"/>
  <c r="CX34" i="3"/>
  <c r="CJ34" i="3"/>
  <c r="CF34" i="3"/>
  <c r="CP34" i="3" s="1"/>
  <c r="CB34" i="3"/>
  <c r="BX34" i="3"/>
  <c r="BT34" i="3"/>
  <c r="BP34" i="3"/>
  <c r="BL34" i="3"/>
  <c r="AR34" i="3"/>
  <c r="AN34" i="3"/>
  <c r="AJ34" i="3"/>
  <c r="T34" i="3"/>
  <c r="H34" i="3"/>
  <c r="F34" i="3" s="1"/>
  <c r="CL33" i="3"/>
  <c r="CH33" i="3"/>
  <c r="CH38" i="3" s="1"/>
  <c r="CD33" i="3"/>
  <c r="BV33" i="3"/>
  <c r="BN33" i="3"/>
  <c r="BF33" i="3"/>
  <c r="AT33" i="3"/>
  <c r="AP33" i="3"/>
  <c r="AH33" i="3"/>
  <c r="R33" i="3"/>
  <c r="J33" i="3"/>
  <c r="CL31" i="3"/>
  <c r="CH31" i="3"/>
  <c r="CD31" i="3"/>
  <c r="BV31" i="3"/>
  <c r="BN31" i="3"/>
  <c r="BR31" i="3" s="1"/>
  <c r="BF31" i="3"/>
  <c r="BF32" i="3" s="1"/>
  <c r="AT31" i="3"/>
  <c r="AP31" i="3"/>
  <c r="AH31" i="3"/>
  <c r="AL31" i="3" s="1"/>
  <c r="R31" i="3"/>
  <c r="J31" i="3"/>
  <c r="CX30" i="3"/>
  <c r="BD30" i="3" s="1"/>
  <c r="BK30" i="3" s="1"/>
  <c r="CJ30" i="3"/>
  <c r="CN30" i="3" s="1"/>
  <c r="CF30" i="3"/>
  <c r="CP30" i="3" s="1"/>
  <c r="CB30" i="3"/>
  <c r="BX30" i="3"/>
  <c r="BT30" i="3"/>
  <c r="BP30" i="3"/>
  <c r="BL30" i="3"/>
  <c r="AR30" i="3"/>
  <c r="AN30" i="3"/>
  <c r="AJ30" i="3"/>
  <c r="T30" i="3"/>
  <c r="H30" i="3"/>
  <c r="F30" i="3" s="1"/>
  <c r="CL29" i="3"/>
  <c r="CH29" i="3"/>
  <c r="CD29" i="3"/>
  <c r="BV29" i="3"/>
  <c r="BZ29" i="3" s="1"/>
  <c r="BN29" i="3"/>
  <c r="BR29" i="3" s="1"/>
  <c r="BF29" i="3"/>
  <c r="AT29" i="3"/>
  <c r="AP29" i="3"/>
  <c r="AH29" i="3"/>
  <c r="R29" i="3"/>
  <c r="J29" i="3"/>
  <c r="CX28" i="3"/>
  <c r="BD28" i="3" s="1"/>
  <c r="BK28" i="3" s="1"/>
  <c r="CJ28" i="3"/>
  <c r="CF28" i="3"/>
  <c r="CB28" i="3"/>
  <c r="BX28" i="3"/>
  <c r="BX32" i="3" s="1"/>
  <c r="BT28" i="3"/>
  <c r="BP28" i="3"/>
  <c r="BL28" i="3"/>
  <c r="BL32" i="3" s="1"/>
  <c r="AR28" i="3"/>
  <c r="AV28" i="3" s="1"/>
  <c r="AN28" i="3"/>
  <c r="AJ28" i="3"/>
  <c r="T28" i="3"/>
  <c r="H28" i="3"/>
  <c r="F28" i="3" s="1"/>
  <c r="CL25" i="3"/>
  <c r="CH25" i="3"/>
  <c r="CD25" i="3"/>
  <c r="BV25" i="3"/>
  <c r="BZ25" i="3" s="1"/>
  <c r="BN25" i="3"/>
  <c r="BF25" i="3"/>
  <c r="BF26" i="3" s="1"/>
  <c r="BF27" i="3" s="1"/>
  <c r="AT25" i="3"/>
  <c r="AP25" i="3"/>
  <c r="AH25" i="3"/>
  <c r="R25" i="3"/>
  <c r="J25" i="3"/>
  <c r="CX24" i="3"/>
  <c r="CJ24" i="3"/>
  <c r="CF24" i="3"/>
  <c r="CP24" i="3" s="1"/>
  <c r="CB24" i="3"/>
  <c r="BB50" i="3"/>
  <c r="BP47" i="3"/>
  <c r="AH46" i="3"/>
  <c r="AL46" i="3" s="1"/>
  <c r="AP45" i="3"/>
  <c r="J45" i="3"/>
  <c r="BL41" i="3"/>
  <c r="AI39" i="3"/>
  <c r="CD37" i="3"/>
  <c r="AM37" i="3"/>
  <c r="R37" i="3"/>
  <c r="CJ36" i="3"/>
  <c r="CN36" i="3" s="1"/>
  <c r="BN36" i="3"/>
  <c r="BR36" i="3" s="1"/>
  <c r="AS36" i="3"/>
  <c r="BQ35" i="3"/>
  <c r="AK35" i="3"/>
  <c r="CI34" i="3"/>
  <c r="BC34" i="3"/>
  <c r="AM34" i="3"/>
  <c r="G34" i="3"/>
  <c r="D34" i="3" s="1"/>
  <c r="E34" i="3" s="1"/>
  <c r="CK33" i="3"/>
  <c r="CK38" i="3" s="1"/>
  <c r="BU33" i="3"/>
  <c r="AO33" i="3"/>
  <c r="I33" i="3"/>
  <c r="BY31" i="3"/>
  <c r="AS31" i="3"/>
  <c r="CA30" i="3"/>
  <c r="BQ30" i="3"/>
  <c r="AS30" i="3"/>
  <c r="Q30" i="3"/>
  <c r="K30" i="3"/>
  <c r="CW29" i="3"/>
  <c r="CJ29" i="3"/>
  <c r="CN29" i="3" s="1"/>
  <c r="CE29" i="3"/>
  <c r="BY29" i="3"/>
  <c r="BT29" i="3"/>
  <c r="BO29" i="3"/>
  <c r="BS29" i="3" s="1"/>
  <c r="AS29" i="3"/>
  <c r="AN29" i="3"/>
  <c r="AI29" i="3"/>
  <c r="S29" i="3"/>
  <c r="N29" i="3" s="1"/>
  <c r="H29" i="3"/>
  <c r="CL28" i="3"/>
  <c r="CA28" i="3"/>
  <c r="BV28" i="3"/>
  <c r="BQ28" i="3"/>
  <c r="BF28" i="3"/>
  <c r="AU28" i="3"/>
  <c r="AP28" i="3"/>
  <c r="AK28" i="3"/>
  <c r="J28" i="3"/>
  <c r="CM25" i="3"/>
  <c r="CB25" i="3"/>
  <c r="BW25" i="3"/>
  <c r="BQ25" i="3"/>
  <c r="BL25" i="3"/>
  <c r="BG25" i="3"/>
  <c r="BG26" i="3" s="1"/>
  <c r="BG27" i="3" s="1"/>
  <c r="AK25" i="3"/>
  <c r="K25" i="3"/>
  <c r="CI24" i="3"/>
  <c r="CD24" i="3"/>
  <c r="BY24" i="3"/>
  <c r="BU24" i="3"/>
  <c r="BQ24" i="3"/>
  <c r="BM24" i="3"/>
  <c r="AS24" i="3"/>
  <c r="AO24" i="3"/>
  <c r="AK24" i="3"/>
  <c r="Q24" i="3"/>
  <c r="I24" i="3"/>
  <c r="CW23" i="3"/>
  <c r="CM23" i="3"/>
  <c r="CS23" i="3" s="1"/>
  <c r="CI23" i="3"/>
  <c r="CE23" i="3"/>
  <c r="CA23" i="3"/>
  <c r="BW23" i="3"/>
  <c r="BO23" i="3"/>
  <c r="BS23" i="3" s="1"/>
  <c r="BG23" i="3"/>
  <c r="BC23" i="3"/>
  <c r="AU23" i="3"/>
  <c r="AM23" i="3"/>
  <c r="AI23" i="3"/>
  <c r="S23" i="3"/>
  <c r="K23" i="3"/>
  <c r="G23" i="3"/>
  <c r="D23" i="3" s="1"/>
  <c r="E23" i="3" s="1"/>
  <c r="CK22" i="3"/>
  <c r="CC22" i="3"/>
  <c r="BY22" i="3"/>
  <c r="BU22" i="3"/>
  <c r="BQ22" i="3"/>
  <c r="BM22" i="3"/>
  <c r="AS22" i="3"/>
  <c r="AO22" i="3"/>
  <c r="AK22" i="3"/>
  <c r="Q22" i="3"/>
  <c r="I22" i="3"/>
  <c r="CK20" i="3"/>
  <c r="CC20" i="3"/>
  <c r="BY20" i="3"/>
  <c r="BU20" i="3"/>
  <c r="BQ20" i="3"/>
  <c r="BM20" i="3"/>
  <c r="AS20" i="3"/>
  <c r="AO20" i="3"/>
  <c r="AK20" i="3"/>
  <c r="Q20" i="3"/>
  <c r="I20" i="3"/>
  <c r="CW19" i="3"/>
  <c r="CM19" i="3"/>
  <c r="CS19" i="3" s="1"/>
  <c r="CI19" i="3"/>
  <c r="CE19" i="3"/>
  <c r="CO19" i="3" s="1"/>
  <c r="CA19" i="3"/>
  <c r="BW19" i="3"/>
  <c r="BO19" i="3"/>
  <c r="BG19" i="3"/>
  <c r="BC19" i="3"/>
  <c r="AU19" i="3"/>
  <c r="AV19" i="3" s="1"/>
  <c r="AM19" i="3"/>
  <c r="AI19" i="3"/>
  <c r="S19" i="3"/>
  <c r="K19" i="3"/>
  <c r="G19" i="3"/>
  <c r="CK18" i="3"/>
  <c r="CC18" i="3"/>
  <c r="BY18" i="3"/>
  <c r="BZ18" i="3" s="1"/>
  <c r="BU18" i="3"/>
  <c r="BQ18" i="3"/>
  <c r="BM18" i="3"/>
  <c r="AS18" i="3"/>
  <c r="AO18" i="3"/>
  <c r="AK18" i="3"/>
  <c r="AZ18" i="3" s="1"/>
  <c r="Q18" i="3"/>
  <c r="I18" i="3"/>
  <c r="CW17" i="3"/>
  <c r="CM17" i="3"/>
  <c r="CN17" i="3" s="1"/>
  <c r="CI17" i="3"/>
  <c r="CE17" i="3"/>
  <c r="CO17" i="3" s="1"/>
  <c r="CA17" i="3"/>
  <c r="BW17" i="3"/>
  <c r="BO17" i="3"/>
  <c r="BS17" i="3" s="1"/>
  <c r="BG17" i="3"/>
  <c r="BC17" i="3"/>
  <c r="AU17" i="3"/>
  <c r="AM17" i="3"/>
  <c r="AI17" i="3"/>
  <c r="AX17" i="3" s="1"/>
  <c r="S17" i="3"/>
  <c r="K17" i="3"/>
  <c r="G17" i="3"/>
  <c r="D17" i="3" s="1"/>
  <c r="CK16" i="3"/>
  <c r="CK21" i="3" s="1"/>
  <c r="CC16" i="3"/>
  <c r="BY16" i="3"/>
  <c r="BU16" i="3"/>
  <c r="BQ16" i="3"/>
  <c r="BQ21" i="3" s="1"/>
  <c r="BM16" i="3"/>
  <c r="AS16" i="3"/>
  <c r="AO16" i="3"/>
  <c r="AK16" i="3"/>
  <c r="Q16" i="3"/>
  <c r="I16" i="3"/>
  <c r="CK14" i="3"/>
  <c r="CC14" i="3"/>
  <c r="CG14" i="3" s="1"/>
  <c r="BY14" i="3"/>
  <c r="BU14" i="3"/>
  <c r="BQ14" i="3"/>
  <c r="BM14" i="3"/>
  <c r="AS14" i="3"/>
  <c r="AO14" i="3"/>
  <c r="AK14" i="3"/>
  <c r="Q14" i="3"/>
  <c r="I14" i="3"/>
  <c r="CW13" i="3"/>
  <c r="CM13" i="3"/>
  <c r="CS13" i="3" s="1"/>
  <c r="CI13" i="3"/>
  <c r="CE13" i="3"/>
  <c r="CO13" i="3" s="1"/>
  <c r="CA13" i="3"/>
  <c r="BW13" i="3"/>
  <c r="BO13" i="3"/>
  <c r="BS13" i="3" s="1"/>
  <c r="BG13" i="3"/>
  <c r="BC13" i="3"/>
  <c r="AU13" i="3"/>
  <c r="AV13" i="3" s="1"/>
  <c r="AM13" i="3"/>
  <c r="AI13" i="3"/>
  <c r="S13" i="3"/>
  <c r="K13" i="3"/>
  <c r="G13" i="3"/>
  <c r="D13" i="3" s="1"/>
  <c r="E13" i="3" s="1"/>
  <c r="CK12" i="3"/>
  <c r="CC12" i="3"/>
  <c r="CG12" i="3" s="1"/>
  <c r="BY12" i="3"/>
  <c r="CP12" i="3" s="1"/>
  <c r="BU12" i="3"/>
  <c r="BQ12" i="3"/>
  <c r="BM12" i="3"/>
  <c r="AS12" i="3"/>
  <c r="AO12" i="3"/>
  <c r="AK12" i="3"/>
  <c r="Q12" i="3"/>
  <c r="I12" i="3"/>
  <c r="CW11" i="3"/>
  <c r="CM11" i="3"/>
  <c r="CI11" i="3"/>
  <c r="CE11" i="3"/>
  <c r="CA11" i="3"/>
  <c r="CA15" i="3" s="1"/>
  <c r="BW11" i="3"/>
  <c r="BO11" i="3"/>
  <c r="BG11" i="3"/>
  <c r="BD11" i="3" s="1"/>
  <c r="BC11" i="3"/>
  <c r="AU11" i="3"/>
  <c r="AV11" i="3" s="1"/>
  <c r="AM11" i="3"/>
  <c r="L11" i="3" s="1"/>
  <c r="AI11" i="3"/>
  <c r="T11" i="3"/>
  <c r="H11" i="3"/>
  <c r="F11" i="3" s="1"/>
  <c r="CK54" i="3"/>
  <c r="CH48" i="3"/>
  <c r="CJ48" i="3" s="1"/>
  <c r="CN48" i="3" s="1"/>
  <c r="CD46" i="3"/>
  <c r="R46" i="3"/>
  <c r="BN45" i="3"/>
  <c r="AH45" i="3"/>
  <c r="CH41" i="3"/>
  <c r="BG41" i="3"/>
  <c r="CH40" i="3"/>
  <c r="CJ40" i="3" s="1"/>
  <c r="BM40" i="3"/>
  <c r="AR40" i="3"/>
  <c r="BT39" i="3"/>
  <c r="H39" i="3"/>
  <c r="F39" i="3" s="1"/>
  <c r="BX37" i="3"/>
  <c r="BC37" i="3"/>
  <c r="BC38" i="3" s="1"/>
  <c r="AH37" i="3"/>
  <c r="CD36" i="3"/>
  <c r="AN36" i="3"/>
  <c r="R36" i="3"/>
  <c r="CC35" i="3"/>
  <c r="BM35" i="3"/>
  <c r="Q35" i="3"/>
  <c r="CW34" i="3"/>
  <c r="CE34" i="3"/>
  <c r="CO34" i="3" s="1"/>
  <c r="BO34" i="3"/>
  <c r="AI34" i="3"/>
  <c r="S34" i="3"/>
  <c r="N34" i="3" s="1"/>
  <c r="BQ33" i="3"/>
  <c r="AK33" i="3"/>
  <c r="CK31" i="3"/>
  <c r="BU31" i="3"/>
  <c r="AO31" i="3"/>
  <c r="I31" i="3"/>
  <c r="CM30" i="3"/>
  <c r="CS30" i="3" s="1"/>
  <c r="BW30" i="3"/>
  <c r="BO30" i="3"/>
  <c r="BG30" i="3"/>
  <c r="AK30" i="3"/>
  <c r="J30" i="3"/>
  <c r="CI29" i="3"/>
  <c r="CC29" i="3"/>
  <c r="BX29" i="3"/>
  <c r="BM29" i="3"/>
  <c r="BC29" i="3"/>
  <c r="AR29" i="3"/>
  <c r="AM29" i="3"/>
  <c r="Q29" i="3"/>
  <c r="G29" i="3"/>
  <c r="D29" i="3" s="1"/>
  <c r="CW28" i="3"/>
  <c r="CK28" i="3"/>
  <c r="CE28" i="3"/>
  <c r="BU28" i="3"/>
  <c r="BO28" i="3"/>
  <c r="AT28" i="3"/>
  <c r="AO28" i="3"/>
  <c r="AI28" i="3"/>
  <c r="S28" i="3"/>
  <c r="I28" i="3"/>
  <c r="CX25" i="3"/>
  <c r="CK25" i="3"/>
  <c r="CF25" i="3"/>
  <c r="CA25" i="3"/>
  <c r="BU25" i="3"/>
  <c r="BP25" i="3"/>
  <c r="AU25" i="3"/>
  <c r="AO25" i="3"/>
  <c r="AJ25" i="3"/>
  <c r="T25" i="3"/>
  <c r="I25" i="3"/>
  <c r="CM24" i="3"/>
  <c r="CS24" i="3" s="1"/>
  <c r="CH24" i="3"/>
  <c r="CC24" i="3"/>
  <c r="BX24" i="3"/>
  <c r="CO24" i="3" s="1"/>
  <c r="CT24" i="3" s="1"/>
  <c r="BT24" i="3"/>
  <c r="BP24" i="3"/>
  <c r="BR24" i="3" s="1"/>
  <c r="BL24" i="3"/>
  <c r="AR24" i="3"/>
  <c r="AN24" i="3"/>
  <c r="AJ24" i="3"/>
  <c r="T24" i="3"/>
  <c r="H24" i="3"/>
  <c r="F24" i="3" s="1"/>
  <c r="CL23" i="3"/>
  <c r="CH23" i="3"/>
  <c r="CD23" i="3"/>
  <c r="BV23" i="3"/>
  <c r="BN23" i="3"/>
  <c r="BF23" i="3"/>
  <c r="AT23" i="3"/>
  <c r="AP23" i="3"/>
  <c r="AH23" i="3"/>
  <c r="AL23" i="3" s="1"/>
  <c r="R23" i="3"/>
  <c r="J23" i="3"/>
  <c r="CX22" i="3"/>
  <c r="BD22" i="3" s="1"/>
  <c r="BK22" i="3" s="1"/>
  <c r="CJ22" i="3"/>
  <c r="CF22" i="3"/>
  <c r="CB22" i="3"/>
  <c r="BX22" i="3"/>
  <c r="BT22" i="3"/>
  <c r="BP22" i="3"/>
  <c r="BL22" i="3"/>
  <c r="AR22" i="3"/>
  <c r="AN22" i="3"/>
  <c r="AJ22" i="3"/>
  <c r="T22" i="3"/>
  <c r="H22" i="3"/>
  <c r="F22" i="3" s="1"/>
  <c r="CX20" i="3"/>
  <c r="CJ20" i="3"/>
  <c r="CF20" i="3"/>
  <c r="CP20" i="3" s="1"/>
  <c r="CB20" i="3"/>
  <c r="BX20" i="3"/>
  <c r="BT20" i="3"/>
  <c r="BP20" i="3"/>
  <c r="BL20" i="3"/>
  <c r="AR20" i="3"/>
  <c r="AV20" i="3" s="1"/>
  <c r="AN20" i="3"/>
  <c r="AJ20" i="3"/>
  <c r="T20" i="3"/>
  <c r="H20" i="3"/>
  <c r="F20" i="3" s="1"/>
  <c r="CL19" i="3"/>
  <c r="CH19" i="3"/>
  <c r="CD19" i="3"/>
  <c r="BV19" i="3"/>
  <c r="BZ19" i="3" s="1"/>
  <c r="BN19" i="3"/>
  <c r="BF19" i="3"/>
  <c r="AT19" i="3"/>
  <c r="AP19" i="3"/>
  <c r="AH19" i="3"/>
  <c r="R19" i="3"/>
  <c r="J19" i="3"/>
  <c r="CX18" i="3"/>
  <c r="CJ18" i="3"/>
  <c r="CF18" i="3"/>
  <c r="CB18" i="3"/>
  <c r="BX18" i="3"/>
  <c r="BT18" i="3"/>
  <c r="BP18" i="3"/>
  <c r="BL18" i="3"/>
  <c r="AR18" i="3"/>
  <c r="AN18" i="3"/>
  <c r="AJ18" i="3"/>
  <c r="T18" i="3"/>
  <c r="H18" i="3"/>
  <c r="CL17" i="3"/>
  <c r="CH17" i="3"/>
  <c r="CH21" i="3" s="1"/>
  <c r="CD17" i="3"/>
  <c r="BV17" i="3"/>
  <c r="BN17" i="3"/>
  <c r="BF17" i="3"/>
  <c r="AT17" i="3"/>
  <c r="AP17" i="3"/>
  <c r="AH17" i="3"/>
  <c r="AL17" i="3" s="1"/>
  <c r="R17" i="3"/>
  <c r="J17" i="3"/>
  <c r="CX16" i="3"/>
  <c r="CJ16" i="3"/>
  <c r="CF16" i="3"/>
  <c r="CB16" i="3"/>
  <c r="BX16" i="3"/>
  <c r="BT16" i="3"/>
  <c r="BT21" i="3" s="1"/>
  <c r="BP16" i="3"/>
  <c r="BP21" i="3" s="1"/>
  <c r="BL16" i="3"/>
  <c r="AR16" i="3"/>
  <c r="AN16" i="3"/>
  <c r="AJ16" i="3"/>
  <c r="T16" i="3"/>
  <c r="H16" i="3"/>
  <c r="F16" i="3" s="1"/>
  <c r="CX14" i="3"/>
  <c r="CJ14" i="3"/>
  <c r="CN14" i="3" s="1"/>
  <c r="CF14" i="3"/>
  <c r="CP14" i="3" s="1"/>
  <c r="CB14" i="3"/>
  <c r="BX14" i="3"/>
  <c r="BT14" i="3"/>
  <c r="BP14" i="3"/>
  <c r="BP15" i="3" s="1"/>
  <c r="BL14" i="3"/>
  <c r="AR14" i="3"/>
  <c r="AV14" i="3" s="1"/>
  <c r="AN14" i="3"/>
  <c r="AJ14" i="3"/>
  <c r="T14" i="3"/>
  <c r="H14" i="3"/>
  <c r="F14" i="3" s="1"/>
  <c r="T67" i="3"/>
  <c r="CM57" i="3"/>
  <c r="CS57" i="3" s="1"/>
  <c r="H51" i="3"/>
  <c r="F51" i="3" s="1"/>
  <c r="CH50" i="3"/>
  <c r="CX47" i="3"/>
  <c r="BD47" i="3" s="1"/>
  <c r="BK47" i="3" s="1"/>
  <c r="AJ47" i="3"/>
  <c r="BN46" i="3"/>
  <c r="BR46" i="3" s="1"/>
  <c r="CL45" i="3"/>
  <c r="BF45" i="3"/>
  <c r="CH42" i="3"/>
  <c r="CJ42" i="3" s="1"/>
  <c r="CN42" i="3" s="1"/>
  <c r="BB42" i="3"/>
  <c r="BB43" i="3" s="1"/>
  <c r="BB44" i="3" s="1"/>
  <c r="BB41" i="3"/>
  <c r="K41" i="3"/>
  <c r="BO39" i="3"/>
  <c r="AT39" i="3"/>
  <c r="G37" i="3"/>
  <c r="D37" i="3" s="1"/>
  <c r="E37" i="3" s="1"/>
  <c r="BY36" i="3"/>
  <c r="AH36" i="3"/>
  <c r="AL36" i="3" s="1"/>
  <c r="BY35" i="3"/>
  <c r="AS35" i="3"/>
  <c r="CA34" i="3"/>
  <c r="AU34" i="3"/>
  <c r="CC33" i="3"/>
  <c r="BM33" i="3"/>
  <c r="Q33" i="3"/>
  <c r="BQ31" i="3"/>
  <c r="AK31" i="3"/>
  <c r="CI30" i="3"/>
  <c r="BU30" i="3"/>
  <c r="BM30" i="3"/>
  <c r="AO30" i="3"/>
  <c r="AI30" i="3"/>
  <c r="S30" i="3"/>
  <c r="N30" i="3" s="1"/>
  <c r="I30" i="3"/>
  <c r="CM29" i="3"/>
  <c r="CS29" i="3" s="1"/>
  <c r="CB29" i="3"/>
  <c r="BW29" i="3"/>
  <c r="BQ29" i="3"/>
  <c r="BL29" i="3"/>
  <c r="BG29" i="3"/>
  <c r="AK29" i="3"/>
  <c r="K29" i="3"/>
  <c r="CI28" i="3"/>
  <c r="CD28" i="3"/>
  <c r="CD32" i="3" s="1"/>
  <c r="BY28" i="3"/>
  <c r="BN28" i="3"/>
  <c r="BC28" i="3"/>
  <c r="AS28" i="3"/>
  <c r="AM28" i="3"/>
  <c r="AH28" i="3"/>
  <c r="R28" i="3"/>
  <c r="G28" i="3"/>
  <c r="CW25" i="3"/>
  <c r="CJ25" i="3"/>
  <c r="CE25" i="3"/>
  <c r="CO25" i="3" s="1"/>
  <c r="BY25" i="3"/>
  <c r="BT25" i="3"/>
  <c r="BO25" i="3"/>
  <c r="BS25" i="3" s="1"/>
  <c r="AS25" i="3"/>
  <c r="AN25" i="3"/>
  <c r="AI25" i="3"/>
  <c r="S25" i="3"/>
  <c r="H25" i="3"/>
  <c r="F25" i="3" s="1"/>
  <c r="CL24" i="3"/>
  <c r="CA24" i="3"/>
  <c r="BW24" i="3"/>
  <c r="BO24" i="3"/>
  <c r="BG24" i="3"/>
  <c r="BC24" i="3"/>
  <c r="AU24" i="3"/>
  <c r="AM24" i="3"/>
  <c r="AI24" i="3"/>
  <c r="S24" i="3"/>
  <c r="N24" i="3" s="1"/>
  <c r="K24" i="3"/>
  <c r="G24" i="3"/>
  <c r="D24" i="3" s="1"/>
  <c r="E24" i="3" s="1"/>
  <c r="CK23" i="3"/>
  <c r="CC23" i="3"/>
  <c r="BY23" i="3"/>
  <c r="BU23" i="3"/>
  <c r="BQ23" i="3"/>
  <c r="BM23" i="3"/>
  <c r="AS23" i="3"/>
  <c r="AO23" i="3"/>
  <c r="AK23" i="3"/>
  <c r="Q23" i="3"/>
  <c r="I23" i="3"/>
  <c r="CW22" i="3"/>
  <c r="CM22" i="3"/>
  <c r="CI22" i="3"/>
  <c r="CE22" i="3"/>
  <c r="CA22" i="3"/>
  <c r="BW22" i="3"/>
  <c r="BW26" i="3" s="1"/>
  <c r="BO22" i="3"/>
  <c r="BG22" i="3"/>
  <c r="BC22" i="3"/>
  <c r="AU22" i="3"/>
  <c r="AM22" i="3"/>
  <c r="AI22" i="3"/>
  <c r="S22" i="3"/>
  <c r="K22" i="3"/>
  <c r="K26" i="3" s="1"/>
  <c r="G22" i="3"/>
  <c r="CW20" i="3"/>
  <c r="CM20" i="3"/>
  <c r="CS20" i="3" s="1"/>
  <c r="CI20" i="3"/>
  <c r="CE20" i="3"/>
  <c r="CO20" i="3" s="1"/>
  <c r="CT20" i="3" s="1"/>
  <c r="CA20" i="3"/>
  <c r="BW20" i="3"/>
  <c r="BO20" i="3"/>
  <c r="BG20" i="3"/>
  <c r="BG21" i="3" s="1"/>
  <c r="BC20" i="3"/>
  <c r="BC21" i="3" s="1"/>
  <c r="AU20" i="3"/>
  <c r="AM20" i="3"/>
  <c r="AI20" i="3"/>
  <c r="S20" i="3"/>
  <c r="K20" i="3"/>
  <c r="G20" i="3"/>
  <c r="CK19" i="3"/>
  <c r="CC19" i="3"/>
  <c r="BY19" i="3"/>
  <c r="BU19" i="3"/>
  <c r="BQ19" i="3"/>
  <c r="BM19" i="3"/>
  <c r="AS19" i="3"/>
  <c r="AO19" i="3"/>
  <c r="AK19" i="3"/>
  <c r="Q19" i="3"/>
  <c r="I19" i="3"/>
  <c r="CW18" i="3"/>
  <c r="CM18" i="3"/>
  <c r="CI18" i="3"/>
  <c r="CE18" i="3"/>
  <c r="CO18" i="3" s="1"/>
  <c r="CA18" i="3"/>
  <c r="BW18" i="3"/>
  <c r="BO18" i="3"/>
  <c r="BS18" i="3" s="1"/>
  <c r="BG18" i="3"/>
  <c r="BC18" i="3"/>
  <c r="AU18" i="3"/>
  <c r="AM18" i="3"/>
  <c r="AI18" i="3"/>
  <c r="S18" i="3"/>
  <c r="N18" i="3" s="1"/>
  <c r="K18" i="3"/>
  <c r="G18" i="3"/>
  <c r="D18" i="3" s="1"/>
  <c r="CK17" i="3"/>
  <c r="CC17" i="3"/>
  <c r="BY17" i="3"/>
  <c r="BU17" i="3"/>
  <c r="BQ17" i="3"/>
  <c r="BM17" i="3"/>
  <c r="AS17" i="3"/>
  <c r="AO17" i="3"/>
  <c r="AK17" i="3"/>
  <c r="Q17" i="3"/>
  <c r="I17" i="3"/>
  <c r="F17" i="3" s="1"/>
  <c r="CW16" i="3"/>
  <c r="CM16" i="3"/>
  <c r="CI16" i="3"/>
  <c r="CI21" i="3" s="1"/>
  <c r="CE16" i="3"/>
  <c r="CA16" i="3"/>
  <c r="BW16" i="3"/>
  <c r="BO16" i="3"/>
  <c r="BG16" i="3"/>
  <c r="BC16" i="3"/>
  <c r="AU16" i="3"/>
  <c r="AM16" i="3"/>
  <c r="AI16" i="3"/>
  <c r="S16" i="3"/>
  <c r="K16" i="3"/>
  <c r="G16" i="3"/>
  <c r="CW14" i="3"/>
  <c r="CM14" i="3"/>
  <c r="CS14" i="3" s="1"/>
  <c r="CI14" i="3"/>
  <c r="CE14" i="3"/>
  <c r="CO14" i="3" s="1"/>
  <c r="CT14" i="3" s="1"/>
  <c r="CA14" i="3"/>
  <c r="BW14" i="3"/>
  <c r="BO14" i="3"/>
  <c r="BG14" i="3"/>
  <c r="BG15" i="3" s="1"/>
  <c r="BC14" i="3"/>
  <c r="BC15" i="3" s="1"/>
  <c r="AU14" i="3"/>
  <c r="AM14" i="3"/>
  <c r="AI14" i="3"/>
  <c r="S14" i="3"/>
  <c r="N14" i="3" s="1"/>
  <c r="K14" i="3"/>
  <c r="G14" i="3"/>
  <c r="CK13" i="3"/>
  <c r="CC13" i="3"/>
  <c r="CG13" i="3" s="1"/>
  <c r="BY13" i="3"/>
  <c r="CP13" i="3" s="1"/>
  <c r="BU13" i="3"/>
  <c r="BQ13" i="3"/>
  <c r="BM13" i="3"/>
  <c r="AS13" i="3"/>
  <c r="AO13" i="3"/>
  <c r="AK13" i="3"/>
  <c r="Q13" i="3"/>
  <c r="I13" i="3"/>
  <c r="CW12" i="3"/>
  <c r="CM12" i="3"/>
  <c r="CS12" i="3" s="1"/>
  <c r="CI12" i="3"/>
  <c r="CE12" i="3"/>
  <c r="CO12" i="3" s="1"/>
  <c r="CA12" i="3"/>
  <c r="BW12" i="3"/>
  <c r="BO12" i="3"/>
  <c r="BS12" i="3" s="1"/>
  <c r="BG12" i="3"/>
  <c r="BD12" i="3" s="1"/>
  <c r="BK12" i="3" s="1"/>
  <c r="BC12" i="3"/>
  <c r="AU12" i="3"/>
  <c r="AV12" i="3" s="1"/>
  <c r="AM12" i="3"/>
  <c r="AI12" i="3"/>
  <c r="S12" i="3"/>
  <c r="K12" i="3"/>
  <c r="G12" i="3"/>
  <c r="CK11" i="3"/>
  <c r="CC11" i="3"/>
  <c r="BY11" i="3"/>
  <c r="BY15" i="3" s="1"/>
  <c r="BU11" i="3"/>
  <c r="BU15" i="3" s="1"/>
  <c r="BQ11" i="3"/>
  <c r="BM11" i="3"/>
  <c r="AS11" i="3"/>
  <c r="AO11" i="3"/>
  <c r="AK11" i="3"/>
  <c r="R11" i="3"/>
  <c r="J11" i="3"/>
  <c r="J15" i="3" s="1"/>
  <c r="AK85" i="3"/>
  <c r="AO56" i="3"/>
  <c r="BG53" i="3"/>
  <c r="BB48" i="3"/>
  <c r="BB49" i="3" s="1"/>
  <c r="CF47" i="3"/>
  <c r="CP47" i="3" s="1"/>
  <c r="T47" i="3"/>
  <c r="CD45" i="3"/>
  <c r="R45" i="3"/>
  <c r="AT42" i="3"/>
  <c r="BX40" i="3"/>
  <c r="BB40" i="3"/>
  <c r="CE39" i="3"/>
  <c r="AN39" i="3"/>
  <c r="S39" i="3"/>
  <c r="CI37" i="3"/>
  <c r="BN37" i="3"/>
  <c r="AR37" i="3"/>
  <c r="AV37" i="3" s="1"/>
  <c r="BT36" i="3"/>
  <c r="H36" i="3"/>
  <c r="F36" i="3" s="1"/>
  <c r="CK35" i="3"/>
  <c r="BU35" i="3"/>
  <c r="AO35" i="3"/>
  <c r="I35" i="3"/>
  <c r="CM34" i="3"/>
  <c r="CS34" i="3" s="1"/>
  <c r="BW34" i="3"/>
  <c r="BG34" i="3"/>
  <c r="K34" i="3"/>
  <c r="BY33" i="3"/>
  <c r="AS33" i="3"/>
  <c r="CC31" i="3"/>
  <c r="CG31" i="3" s="1"/>
  <c r="BM31" i="3"/>
  <c r="Q31" i="3"/>
  <c r="CW30" i="3"/>
  <c r="CE30" i="3"/>
  <c r="BC30" i="3"/>
  <c r="AU30" i="3"/>
  <c r="AM30" i="3"/>
  <c r="AH30" i="3"/>
  <c r="R30" i="3"/>
  <c r="G30" i="3"/>
  <c r="D30" i="3" s="1"/>
  <c r="E30" i="3" s="1"/>
  <c r="CX29" i="3"/>
  <c r="BD29" i="3" s="1"/>
  <c r="BK29" i="3" s="1"/>
  <c r="CK29" i="3"/>
  <c r="CF29" i="3"/>
  <c r="CP29" i="3" s="1"/>
  <c r="CA29" i="3"/>
  <c r="BU29" i="3"/>
  <c r="BP29" i="3"/>
  <c r="AU29" i="3"/>
  <c r="AO29" i="3"/>
  <c r="AJ29" i="3"/>
  <c r="T29" i="3"/>
  <c r="I29" i="3"/>
  <c r="CM28" i="3"/>
  <c r="CH28" i="3"/>
  <c r="CH32" i="3" s="1"/>
  <c r="CC28" i="3"/>
  <c r="BW28" i="3"/>
  <c r="BM28" i="3"/>
  <c r="BG28" i="3"/>
  <c r="Q28" i="3"/>
  <c r="K28" i="3"/>
  <c r="K32" i="3" s="1"/>
  <c r="AN11" i="3"/>
  <c r="BL11" i="3"/>
  <c r="BT11" i="3"/>
  <c r="CB11" i="3"/>
  <c r="CJ11" i="3"/>
  <c r="AT14" i="3"/>
  <c r="AT16" i="3"/>
  <c r="BL17" i="3"/>
  <c r="CB17" i="3"/>
  <c r="R18" i="3"/>
  <c r="AH18" i="3"/>
  <c r="AL18" i="3" s="1"/>
  <c r="BN18" i="3"/>
  <c r="BR18" i="3" s="1"/>
  <c r="CD18" i="3"/>
  <c r="T19" i="3"/>
  <c r="AJ19" i="3"/>
  <c r="BP19" i="3"/>
  <c r="CF19" i="3"/>
  <c r="CP19" i="3" s="1"/>
  <c r="CX19" i="3"/>
  <c r="BD19" i="3" s="1"/>
  <c r="BK19" i="3" s="1"/>
  <c r="CH20" i="3"/>
  <c r="CH22" i="3"/>
  <c r="H23" i="3"/>
  <c r="F23" i="3" s="1"/>
  <c r="AN23" i="3"/>
  <c r="BT23" i="3"/>
  <c r="CJ23" i="3"/>
  <c r="J24" i="3"/>
  <c r="AP24" i="3"/>
  <c r="BF24" i="3"/>
  <c r="BV24" i="3"/>
  <c r="BZ24" i="3" s="1"/>
  <c r="AR25" i="3"/>
  <c r="AV25" i="3" s="1"/>
  <c r="BM25" i="3"/>
  <c r="CI25" i="3"/>
  <c r="O13" i="3"/>
  <c r="X14" i="3"/>
  <c r="X15" i="3" s="1"/>
  <c r="BI13" i="3"/>
  <c r="H12" i="3"/>
  <c r="F12" i="3" s="1"/>
  <c r="AN12" i="3"/>
  <c r="BL12" i="3"/>
  <c r="BT12" i="3"/>
  <c r="CB12" i="3"/>
  <c r="CJ12" i="3"/>
  <c r="H13" i="3"/>
  <c r="F13" i="3" s="1"/>
  <c r="X13" i="3"/>
  <c r="AN13" i="3"/>
  <c r="BL13" i="3"/>
  <c r="BT13" i="3"/>
  <c r="CB13" i="3"/>
  <c r="CJ13" i="3"/>
  <c r="CN13" i="3" s="1"/>
  <c r="G11" i="3"/>
  <c r="AH11" i="3"/>
  <c r="AP11" i="3"/>
  <c r="BF11" i="3"/>
  <c r="BN11" i="3"/>
  <c r="BV11" i="3"/>
  <c r="CD11" i="3"/>
  <c r="CL11" i="3"/>
  <c r="J12" i="3"/>
  <c r="R12" i="3"/>
  <c r="AH12" i="3"/>
  <c r="AL12" i="3" s="1"/>
  <c r="AP12" i="3"/>
  <c r="BF12" i="3"/>
  <c r="BN12" i="3"/>
  <c r="BR12" i="3" s="1"/>
  <c r="BV12" i="3"/>
  <c r="BZ12" i="3" s="1"/>
  <c r="CD12" i="3"/>
  <c r="CL12" i="3"/>
  <c r="J13" i="3"/>
  <c r="R13" i="3"/>
  <c r="AH13" i="3"/>
  <c r="AL13" i="3" s="1"/>
  <c r="AP13" i="3"/>
  <c r="BF13" i="3"/>
  <c r="BN13" i="3"/>
  <c r="BR13" i="3" s="1"/>
  <c r="BV13" i="3"/>
  <c r="BZ13" i="3" s="1"/>
  <c r="CD13" i="3"/>
  <c r="CL13" i="3"/>
  <c r="R14" i="3"/>
  <c r="AH14" i="3"/>
  <c r="AL14" i="3" s="1"/>
  <c r="BN14" i="3"/>
  <c r="BR14" i="3" s="1"/>
  <c r="CD14" i="3"/>
  <c r="CF15" i="3"/>
  <c r="R16" i="3"/>
  <c r="AH16" i="3"/>
  <c r="BN16" i="3"/>
  <c r="CD16" i="3"/>
  <c r="T17" i="3"/>
  <c r="AJ17" i="3"/>
  <c r="BP17" i="3"/>
  <c r="CF17" i="3"/>
  <c r="CX17" i="3"/>
  <c r="BD17" i="3" s="1"/>
  <c r="BK17" i="3" s="1"/>
  <c r="CH18" i="3"/>
  <c r="H19" i="3"/>
  <c r="F19" i="3" s="1"/>
  <c r="AN19" i="3"/>
  <c r="BT19" i="3"/>
  <c r="CJ19" i="3"/>
  <c r="DA19" i="3"/>
  <c r="J20" i="3"/>
  <c r="AP20" i="3"/>
  <c r="BF20" i="3"/>
  <c r="BF21" i="3" s="1"/>
  <c r="BV20" i="3"/>
  <c r="BZ20" i="3" s="1"/>
  <c r="CL20" i="3"/>
  <c r="J22" i="3"/>
  <c r="AP22" i="3"/>
  <c r="BF22" i="3"/>
  <c r="BV22" i="3"/>
  <c r="CL22" i="3"/>
  <c r="AR23" i="3"/>
  <c r="BX23" i="3"/>
  <c r="AT24" i="3"/>
  <c r="CW24" i="3"/>
  <c r="G25" i="3"/>
  <c r="D25" i="3" s="1"/>
  <c r="E25" i="3" s="1"/>
  <c r="BH11" i="3"/>
  <c r="CR18" i="3"/>
  <c r="K11" i="3"/>
  <c r="K15" i="3" s="1"/>
  <c r="S11" i="3"/>
  <c r="AT11" i="3"/>
  <c r="CH11" i="3"/>
  <c r="DA11" i="3"/>
  <c r="V12" i="3"/>
  <c r="AT12" i="3"/>
  <c r="CH12" i="3"/>
  <c r="DA12" i="3"/>
  <c r="AT13" i="3"/>
  <c r="CH13" i="3"/>
  <c r="DA13" i="3"/>
  <c r="J14" i="3"/>
  <c r="AP14" i="3"/>
  <c r="BF14" i="3"/>
  <c r="BF15" i="3" s="1"/>
  <c r="BV14" i="3"/>
  <c r="BZ14" i="3" s="1"/>
  <c r="CL14" i="3"/>
  <c r="J16" i="3"/>
  <c r="AP16" i="3"/>
  <c r="BF16" i="3"/>
  <c r="BV16" i="3"/>
  <c r="CL16" i="3"/>
  <c r="AR17" i="3"/>
  <c r="AV17" i="3" s="1"/>
  <c r="BX17" i="3"/>
  <c r="AT18" i="3"/>
  <c r="BL19" i="3"/>
  <c r="CB19" i="3"/>
  <c r="R20" i="3"/>
  <c r="AH20" i="3"/>
  <c r="BN20" i="3"/>
  <c r="BR20" i="3" s="1"/>
  <c r="CD20" i="3"/>
  <c r="R22" i="3"/>
  <c r="AH22" i="3"/>
  <c r="BN22" i="3"/>
  <c r="CD22" i="3"/>
  <c r="CD26" i="3" s="1"/>
  <c r="T23" i="3"/>
  <c r="AJ23" i="3"/>
  <c r="BP23" i="3"/>
  <c r="CF23" i="3"/>
  <c r="CP23" i="3" s="1"/>
  <c r="CX23" i="3"/>
  <c r="BD23" i="3" s="1"/>
  <c r="BK23" i="3" s="1"/>
  <c r="CK24" i="3"/>
  <c r="Q25" i="3"/>
  <c r="AM25" i="3"/>
  <c r="CC25" i="3"/>
  <c r="CG25" i="3" s="1"/>
  <c r="DA47" i="3"/>
  <c r="DA36" i="3"/>
  <c r="DA65" i="3"/>
  <c r="DA63" i="3"/>
  <c r="DA67" i="3"/>
  <c r="DA71" i="3"/>
  <c r="DA80" i="3"/>
  <c r="C18" i="8"/>
  <c r="S15" i="3" l="1"/>
  <c r="AJ15" i="3" s="1"/>
  <c r="N11" i="3"/>
  <c r="AG29" i="3"/>
  <c r="AZ29" i="3"/>
  <c r="O35" i="3"/>
  <c r="X36" i="3"/>
  <c r="BI35" i="3"/>
  <c r="V37" i="3"/>
  <c r="V38" i="3" s="1"/>
  <c r="L36" i="3"/>
  <c r="U36" i="3"/>
  <c r="AQ36" i="3"/>
  <c r="AW36" i="3"/>
  <c r="AD36" i="3"/>
  <c r="AF39" i="3"/>
  <c r="AY39" i="3"/>
  <c r="BO55" i="3"/>
  <c r="BS55" i="3" s="1"/>
  <c r="BS50" i="3"/>
  <c r="BD46" i="3"/>
  <c r="BK46" i="3" s="1"/>
  <c r="CM49" i="3"/>
  <c r="CS45" i="3"/>
  <c r="AF48" i="3"/>
  <c r="AY48" i="3"/>
  <c r="AZ52" i="3"/>
  <c r="AG52" i="3"/>
  <c r="CJ56" i="3"/>
  <c r="CH60" i="3"/>
  <c r="CR58" i="3"/>
  <c r="CQ58" i="3"/>
  <c r="AX59" i="3"/>
  <c r="AE59" i="3"/>
  <c r="AE62" i="3"/>
  <c r="AX62" i="3"/>
  <c r="AY62" i="3"/>
  <c r="AF62" i="3"/>
  <c r="W64" i="3"/>
  <c r="M63" i="3"/>
  <c r="T60" i="3"/>
  <c r="AK60" i="3" s="1"/>
  <c r="O56" i="3"/>
  <c r="X57" i="3"/>
  <c r="CR59" i="3"/>
  <c r="CQ59" i="3"/>
  <c r="CL72" i="3"/>
  <c r="CR67" i="3"/>
  <c r="CW66" i="3"/>
  <c r="CY65" i="3"/>
  <c r="AF68" i="3"/>
  <c r="AA68" i="3" s="1"/>
  <c r="AY68" i="3"/>
  <c r="AY70" i="3"/>
  <c r="AF70" i="3"/>
  <c r="O17" i="3"/>
  <c r="AB17" i="3" s="1"/>
  <c r="X18" i="3"/>
  <c r="BI17" i="3"/>
  <c r="W17" i="3"/>
  <c r="M16" i="3"/>
  <c r="R21" i="3"/>
  <c r="AG16" i="3"/>
  <c r="AZ16" i="3"/>
  <c r="AQ30" i="3"/>
  <c r="AW30" i="3"/>
  <c r="AD30" i="3"/>
  <c r="CY30" i="3"/>
  <c r="BA30" i="3"/>
  <c r="AX39" i="3"/>
  <c r="AE39" i="3"/>
  <c r="AK90" i="3"/>
  <c r="AY11" i="3"/>
  <c r="AF11" i="3"/>
  <c r="D12" i="3"/>
  <c r="E12" i="3" s="1"/>
  <c r="AW12" i="3"/>
  <c r="AQ12" i="3"/>
  <c r="AD12" i="3"/>
  <c r="U13" i="3"/>
  <c r="L13" i="3"/>
  <c r="V14" i="3"/>
  <c r="V15" i="3" s="1"/>
  <c r="BH13" i="3"/>
  <c r="Q15" i="3"/>
  <c r="CW15" i="3"/>
  <c r="CY14" i="3"/>
  <c r="BA14" i="3"/>
  <c r="AI21" i="3"/>
  <c r="CE21" i="3"/>
  <c r="CO16" i="3"/>
  <c r="CS18" i="3"/>
  <c r="G26" i="3"/>
  <c r="D22" i="3"/>
  <c r="AW22" i="3"/>
  <c r="AQ22" i="3"/>
  <c r="AD22" i="3"/>
  <c r="BO26" i="3"/>
  <c r="BS22" i="3"/>
  <c r="CI26" i="3"/>
  <c r="U23" i="3"/>
  <c r="V24" i="3"/>
  <c r="BH23" i="3"/>
  <c r="L23" i="3"/>
  <c r="CG23" i="3"/>
  <c r="CW26" i="3"/>
  <c r="CY25" i="3"/>
  <c r="BA25" i="3"/>
  <c r="AD28" i="3"/>
  <c r="AW28" i="3"/>
  <c r="AQ28" i="3"/>
  <c r="BY32" i="3"/>
  <c r="V34" i="3"/>
  <c r="L33" i="3"/>
  <c r="Q38" i="3"/>
  <c r="U33" i="3"/>
  <c r="T72" i="3"/>
  <c r="BI67" i="3"/>
  <c r="O67" i="3"/>
  <c r="X68" i="3"/>
  <c r="AE14" i="3"/>
  <c r="AX14" i="3"/>
  <c r="CF21" i="3"/>
  <c r="CP16" i="3"/>
  <c r="W18" i="3"/>
  <c r="M17" i="3"/>
  <c r="Z17" i="3" s="1"/>
  <c r="BI18" i="3"/>
  <c r="O18" i="3"/>
  <c r="AB18" i="3" s="1"/>
  <c r="X19" i="3"/>
  <c r="CR29" i="3"/>
  <c r="CQ29" i="3"/>
  <c r="AX30" i="3"/>
  <c r="AE30" i="3"/>
  <c r="CN11" i="3"/>
  <c r="CJ15" i="3"/>
  <c r="W35" i="3"/>
  <c r="M34" i="3"/>
  <c r="Z34" i="3" s="1"/>
  <c r="W40" i="3"/>
  <c r="M39" i="3"/>
  <c r="R43" i="3"/>
  <c r="AG41" i="3"/>
  <c r="AZ41" i="3"/>
  <c r="AW50" i="3"/>
  <c r="AQ50" i="3"/>
  <c r="AD50" i="3"/>
  <c r="AG47" i="3"/>
  <c r="AZ47" i="3"/>
  <c r="AY42" i="3"/>
  <c r="AF42" i="3"/>
  <c r="AA42" i="3" s="1"/>
  <c r="AF46" i="3"/>
  <c r="AY46" i="3"/>
  <c r="O52" i="3"/>
  <c r="X53" i="3"/>
  <c r="CX60" i="3"/>
  <c r="CX61" i="3" s="1"/>
  <c r="BD59" i="3"/>
  <c r="AF53" i="3"/>
  <c r="AY53" i="3"/>
  <c r="S60" i="3"/>
  <c r="AO60" i="3" s="1"/>
  <c r="N56" i="3"/>
  <c r="CA60" i="3"/>
  <c r="CC56" i="3"/>
  <c r="G66" i="3"/>
  <c r="D62" i="3"/>
  <c r="AL59" i="3"/>
  <c r="CE66" i="3"/>
  <c r="CO62" i="3"/>
  <c r="AG68" i="3"/>
  <c r="AZ68" i="3"/>
  <c r="T77" i="3"/>
  <c r="X74" i="3"/>
  <c r="BI73" i="3"/>
  <c r="O73" i="3"/>
  <c r="R77" i="3"/>
  <c r="M73" i="3"/>
  <c r="W74" i="3"/>
  <c r="AF28" i="3"/>
  <c r="AY28" i="3"/>
  <c r="V30" i="3"/>
  <c r="L29" i="3"/>
  <c r="U29" i="3"/>
  <c r="AA34" i="3"/>
  <c r="M36" i="3"/>
  <c r="W37" i="3"/>
  <c r="W38" i="3" s="1"/>
  <c r="AV40" i="3"/>
  <c r="CY11" i="3"/>
  <c r="BA11" i="3"/>
  <c r="AF22" i="3"/>
  <c r="AY22" i="3"/>
  <c r="BU26" i="3"/>
  <c r="BV32" i="3"/>
  <c r="BZ28" i="3"/>
  <c r="AG45" i="3"/>
  <c r="AZ45" i="3"/>
  <c r="W36" i="3"/>
  <c r="M35" i="3"/>
  <c r="BK36" i="3"/>
  <c r="AE37" i="3"/>
  <c r="AX37" i="3"/>
  <c r="CL43" i="3"/>
  <c r="CR39" i="3"/>
  <c r="BO38" i="3"/>
  <c r="BS33" i="3"/>
  <c r="CI38" i="3"/>
  <c r="CY35" i="3"/>
  <c r="BA35" i="3"/>
  <c r="BH35" i="3" s="1"/>
  <c r="CR37" i="3"/>
  <c r="CQ37" i="3"/>
  <c r="CJ39" i="3"/>
  <c r="CH43" i="3"/>
  <c r="CH44" i="3" s="1"/>
  <c r="AG46" i="3"/>
  <c r="AZ46" i="3"/>
  <c r="AW51" i="3"/>
  <c r="AQ51" i="3"/>
  <c r="AD51" i="3"/>
  <c r="AZ30" i="3"/>
  <c r="AG30" i="3"/>
  <c r="U25" i="3"/>
  <c r="V28" i="3"/>
  <c r="BH25" i="3"/>
  <c r="L25" i="3"/>
  <c r="AE11" i="3"/>
  <c r="AX11" i="3"/>
  <c r="CR30" i="3"/>
  <c r="CQ30" i="3"/>
  <c r="AE31" i="3"/>
  <c r="AX31" i="3"/>
  <c r="CF38" i="3"/>
  <c r="CP33" i="3"/>
  <c r="CR40" i="3"/>
  <c r="BN55" i="3"/>
  <c r="BR50" i="3"/>
  <c r="AF58" i="3"/>
  <c r="AY58" i="3"/>
  <c r="U37" i="3"/>
  <c r="L37" i="3"/>
  <c r="CG42" i="3"/>
  <c r="G55" i="3"/>
  <c r="D50" i="3"/>
  <c r="CI55" i="3"/>
  <c r="AE46" i="3"/>
  <c r="AX46" i="3"/>
  <c r="AK55" i="3"/>
  <c r="AE51" i="3"/>
  <c r="AX51" i="3"/>
  <c r="R60" i="3"/>
  <c r="W57" i="3"/>
  <c r="M56" i="3"/>
  <c r="CF66" i="3"/>
  <c r="CP62" i="3"/>
  <c r="CQ62" i="3" s="1"/>
  <c r="AG64" i="3"/>
  <c r="AZ64" i="3"/>
  <c r="X56" i="3"/>
  <c r="O54" i="3"/>
  <c r="AB54" i="3" s="1"/>
  <c r="W58" i="3"/>
  <c r="M57" i="3"/>
  <c r="AZ62" i="3"/>
  <c r="AG62" i="3"/>
  <c r="W68" i="3"/>
  <c r="R72" i="3"/>
  <c r="M67" i="3"/>
  <c r="BT72" i="3"/>
  <c r="BV67" i="3"/>
  <c r="W69" i="3"/>
  <c r="M68" i="3"/>
  <c r="BT84" i="3"/>
  <c r="BV80" i="3"/>
  <c r="CM72" i="3"/>
  <c r="CS72" i="3" s="1"/>
  <c r="CS67" i="3"/>
  <c r="AG12" i="3"/>
  <c r="AZ12" i="3"/>
  <c r="O12" i="3"/>
  <c r="CL15" i="3"/>
  <c r="CR11" i="3"/>
  <c r="AE13" i="3"/>
  <c r="AX13" i="3"/>
  <c r="CX26" i="3"/>
  <c r="CX27" i="3" s="1"/>
  <c r="BD25" i="3"/>
  <c r="CE32" i="3"/>
  <c r="CO28" i="3"/>
  <c r="CY34" i="3"/>
  <c r="BA34" i="3"/>
  <c r="CJ41" i="3"/>
  <c r="CN41" i="3" s="1"/>
  <c r="BI11" i="3"/>
  <c r="T15" i="3"/>
  <c r="AK15" i="3" s="1"/>
  <c r="O11" i="3"/>
  <c r="P11" i="3" s="1"/>
  <c r="X12" i="3"/>
  <c r="U11" i="3"/>
  <c r="CA27" i="3"/>
  <c r="AY12" i="3"/>
  <c r="AF12" i="3"/>
  <c r="AQ13" i="3"/>
  <c r="AW13" i="3"/>
  <c r="AD13" i="3"/>
  <c r="U14" i="3"/>
  <c r="BH14" i="3"/>
  <c r="L14" i="3"/>
  <c r="V16" i="3"/>
  <c r="AQ23" i="3"/>
  <c r="AD23" i="3"/>
  <c r="AW23" i="3"/>
  <c r="V25" i="3"/>
  <c r="V26" i="3" s="1"/>
  <c r="V27" i="3" s="1"/>
  <c r="U24" i="3"/>
  <c r="BH24" i="3"/>
  <c r="L24" i="3"/>
  <c r="AZ28" i="3"/>
  <c r="AG28" i="3"/>
  <c r="AA29" i="3"/>
  <c r="O36" i="3"/>
  <c r="X37" i="3"/>
  <c r="X38" i="3" s="1"/>
  <c r="BI36" i="3"/>
  <c r="T43" i="3"/>
  <c r="X40" i="3"/>
  <c r="O39" i="3"/>
  <c r="W42" i="3"/>
  <c r="W43" i="3" s="1"/>
  <c r="W44" i="3" s="1"/>
  <c r="M41" i="3"/>
  <c r="CR48" i="3"/>
  <c r="CQ48" i="3"/>
  <c r="CL55" i="3"/>
  <c r="CR50" i="3"/>
  <c r="G38" i="3"/>
  <c r="I38" i="3" s="1"/>
  <c r="D33" i="3"/>
  <c r="AQ33" i="3"/>
  <c r="AD33" i="3"/>
  <c r="AW33" i="3"/>
  <c r="U34" i="3"/>
  <c r="V35" i="3"/>
  <c r="L34" i="3"/>
  <c r="CG34" i="3"/>
  <c r="BV26" i="3"/>
  <c r="BZ22" i="3"/>
  <c r="CR20" i="3"/>
  <c r="CQ20" i="3"/>
  <c r="AE19" i="3"/>
  <c r="AX19" i="3"/>
  <c r="BP27" i="3"/>
  <c r="BD20" i="3"/>
  <c r="CX21" i="3"/>
  <c r="AE22" i="3"/>
  <c r="AX22" i="3"/>
  <c r="BT26" i="3"/>
  <c r="CJ26" i="3"/>
  <c r="CN22" i="3"/>
  <c r="BK11" i="3"/>
  <c r="AH38" i="3"/>
  <c r="AL33" i="3"/>
  <c r="S77" i="3"/>
  <c r="AO77" i="3" s="1"/>
  <c r="N73" i="3"/>
  <c r="CM77" i="3"/>
  <c r="CS73" i="3"/>
  <c r="AG82" i="3"/>
  <c r="AZ82" i="3"/>
  <c r="BO77" i="3"/>
  <c r="BS73" i="3"/>
  <c r="AD75" i="3"/>
  <c r="AQ75" i="3"/>
  <c r="AW75" i="3"/>
  <c r="CL77" i="3"/>
  <c r="CR73" i="3"/>
  <c r="CM90" i="3"/>
  <c r="CS90" i="3" s="1"/>
  <c r="CS85" i="3"/>
  <c r="CM84" i="3"/>
  <c r="CS80" i="3"/>
  <c r="T90" i="3"/>
  <c r="AP90" i="3" s="1"/>
  <c r="X86" i="3"/>
  <c r="O85" i="3"/>
  <c r="BI85" i="3"/>
  <c r="AF89" i="3"/>
  <c r="AY89" i="3"/>
  <c r="AJ95" i="3"/>
  <c r="CF95" i="3"/>
  <c r="CP91" i="3"/>
  <c r="AV92" i="3"/>
  <c r="AQ94" i="3"/>
  <c r="AW94" i="3"/>
  <c r="AD94" i="3"/>
  <c r="BN26" i="3"/>
  <c r="BR22" i="3"/>
  <c r="J21" i="3"/>
  <c r="CH15" i="3"/>
  <c r="W14" i="3"/>
  <c r="W15" i="3" s="1"/>
  <c r="M13" i="3"/>
  <c r="Z13" i="3" s="1"/>
  <c r="AG11" i="3"/>
  <c r="AZ11" i="3"/>
  <c r="AE23" i="3"/>
  <c r="AX23" i="3"/>
  <c r="CB15" i="3"/>
  <c r="BM32" i="3"/>
  <c r="CM32" i="3"/>
  <c r="CS28" i="3"/>
  <c r="L31" i="3"/>
  <c r="V33" i="3"/>
  <c r="U31" i="3"/>
  <c r="CE43" i="3"/>
  <c r="CO39" i="3"/>
  <c r="R49" i="3"/>
  <c r="W46" i="3"/>
  <c r="M45" i="3"/>
  <c r="AW16" i="3"/>
  <c r="AQ16" i="3"/>
  <c r="AD16" i="3"/>
  <c r="CG17" i="3"/>
  <c r="D20" i="3"/>
  <c r="E20" i="3" s="1"/>
  <c r="BS20" i="3"/>
  <c r="CR24" i="3"/>
  <c r="CQ24" i="3"/>
  <c r="AX25" i="3"/>
  <c r="AE25" i="3"/>
  <c r="BM38" i="3"/>
  <c r="CN16" i="3"/>
  <c r="CJ21" i="3"/>
  <c r="BI20" i="3"/>
  <c r="X22" i="3"/>
  <c r="O20" i="3"/>
  <c r="BX26" i="3"/>
  <c r="CQ23" i="3"/>
  <c r="CR23" i="3"/>
  <c r="AE24" i="3"/>
  <c r="AX24" i="3"/>
  <c r="AL45" i="3"/>
  <c r="AQ17" i="3"/>
  <c r="AD17" i="3"/>
  <c r="AW17" i="3"/>
  <c r="U18" i="3"/>
  <c r="V19" i="3"/>
  <c r="BH18" i="3"/>
  <c r="L18" i="3"/>
  <c r="N19" i="3"/>
  <c r="AF20" i="3"/>
  <c r="AY20" i="3"/>
  <c r="CY29" i="3"/>
  <c r="BA29" i="3"/>
  <c r="W28" i="3"/>
  <c r="M25" i="3"/>
  <c r="Z25" i="3" s="1"/>
  <c r="AV30" i="3"/>
  <c r="CR33" i="3"/>
  <c r="CQ33" i="3"/>
  <c r="CL38" i="3"/>
  <c r="AX34" i="3"/>
  <c r="AE34" i="3"/>
  <c r="O45" i="3"/>
  <c r="X46" i="3"/>
  <c r="BI45" i="3"/>
  <c r="T49" i="3"/>
  <c r="BW38" i="3"/>
  <c r="CR36" i="3"/>
  <c r="CX38" i="3"/>
  <c r="BD37" i="3"/>
  <c r="AY40" i="3"/>
  <c r="AF40" i="3"/>
  <c r="AL20" i="3"/>
  <c r="M24" i="3"/>
  <c r="Z24" i="3" s="1"/>
  <c r="AV23" i="3"/>
  <c r="BV15" i="3"/>
  <c r="BZ11" i="3"/>
  <c r="AD25" i="3"/>
  <c r="AQ25" i="3"/>
  <c r="AW25" i="3"/>
  <c r="O23" i="3"/>
  <c r="X24" i="3"/>
  <c r="BI23" i="3"/>
  <c r="W23" i="3"/>
  <c r="M22" i="3"/>
  <c r="R26" i="3"/>
  <c r="M20" i="3"/>
  <c r="W22" i="3"/>
  <c r="BA24" i="3"/>
  <c r="CY24" i="3"/>
  <c r="CR22" i="3"/>
  <c r="CL26" i="3"/>
  <c r="J26" i="3"/>
  <c r="J27" i="3" s="1"/>
  <c r="AG20" i="3"/>
  <c r="AZ20" i="3"/>
  <c r="AL16" i="3"/>
  <c r="AG13" i="3"/>
  <c r="AZ13" i="3"/>
  <c r="CQ12" i="3"/>
  <c r="CR12" i="3"/>
  <c r="BN15" i="3"/>
  <c r="BR11" i="3"/>
  <c r="G15" i="3"/>
  <c r="D11" i="3"/>
  <c r="CN12" i="3"/>
  <c r="AE12" i="3"/>
  <c r="AX12" i="3"/>
  <c r="I15" i="3"/>
  <c r="CN23" i="3"/>
  <c r="CH26" i="3"/>
  <c r="O19" i="3"/>
  <c r="AB19" i="3" s="1"/>
  <c r="X20" i="3"/>
  <c r="X21" i="3" s="1"/>
  <c r="BI19" i="3"/>
  <c r="W19" i="3"/>
  <c r="M18" i="3"/>
  <c r="BL15" i="3"/>
  <c r="CC32" i="3"/>
  <c r="CG28" i="3"/>
  <c r="X30" i="3"/>
  <c r="BI29" i="3"/>
  <c r="O29" i="3"/>
  <c r="AB29" i="3" s="1"/>
  <c r="AL30" i="3"/>
  <c r="CO30" i="3"/>
  <c r="CT30" i="3" s="1"/>
  <c r="AF35" i="3"/>
  <c r="AA35" i="3" s="1"/>
  <c r="AY35" i="3"/>
  <c r="S43" i="3"/>
  <c r="AO43" i="3" s="1"/>
  <c r="N39" i="3"/>
  <c r="O47" i="3"/>
  <c r="AB47" i="3" s="1"/>
  <c r="X48" i="3"/>
  <c r="X49" i="3" s="1"/>
  <c r="BI47" i="3"/>
  <c r="AF56" i="3"/>
  <c r="AY56" i="3"/>
  <c r="BQ15" i="3"/>
  <c r="CK15" i="3"/>
  <c r="CT12" i="3"/>
  <c r="S21" i="3"/>
  <c r="AO21" i="3" s="1"/>
  <c r="N16" i="3"/>
  <c r="CA21" i="3"/>
  <c r="CY16" i="3"/>
  <c r="BA16" i="3"/>
  <c r="AY17" i="3"/>
  <c r="AF17" i="3"/>
  <c r="E18" i="3"/>
  <c r="AW18" i="3"/>
  <c r="AQ18" i="3"/>
  <c r="AD18" i="3"/>
  <c r="U19" i="3"/>
  <c r="L19" i="3"/>
  <c r="BH19" i="3"/>
  <c r="V20" i="3"/>
  <c r="V21" i="3" s="1"/>
  <c r="CG19" i="3"/>
  <c r="N20" i="3"/>
  <c r="AA20" i="3" s="1"/>
  <c r="CW21" i="3"/>
  <c r="CY21" i="3" s="1"/>
  <c r="CY20" i="3"/>
  <c r="BA20" i="3"/>
  <c r="CE26" i="3"/>
  <c r="CO26" i="3" s="1"/>
  <c r="CO22" i="3"/>
  <c r="N25" i="3"/>
  <c r="AA25" i="3" s="1"/>
  <c r="CN25" i="3"/>
  <c r="AL28" i="3"/>
  <c r="BN32" i="3"/>
  <c r="BR28" i="3"/>
  <c r="BO43" i="3"/>
  <c r="BS39" i="3"/>
  <c r="BI16" i="3"/>
  <c r="O16" i="3"/>
  <c r="T21" i="3"/>
  <c r="X17" i="3"/>
  <c r="BL21" i="3"/>
  <c r="CB21" i="3"/>
  <c r="BZ17" i="3"/>
  <c r="F18" i="3"/>
  <c r="AV18" i="3"/>
  <c r="BD18" i="3"/>
  <c r="BK18" i="3" s="1"/>
  <c r="AG19" i="3"/>
  <c r="AZ19" i="3"/>
  <c r="BR19" i="3"/>
  <c r="CQ19" i="3"/>
  <c r="CR19" i="3"/>
  <c r="AE20" i="3"/>
  <c r="AX20" i="3"/>
  <c r="CN20" i="3"/>
  <c r="BP26" i="3"/>
  <c r="CF26" i="3"/>
  <c r="CP26" i="3" s="1"/>
  <c r="CP22" i="3"/>
  <c r="CQ22" i="3" s="1"/>
  <c r="W24" i="3"/>
  <c r="M23" i="3"/>
  <c r="Z23" i="3" s="1"/>
  <c r="BI24" i="3"/>
  <c r="X25" i="3"/>
  <c r="X26" i="3" s="1"/>
  <c r="X27" i="3" s="1"/>
  <c r="O24" i="3"/>
  <c r="CG24" i="3"/>
  <c r="X28" i="3"/>
  <c r="O25" i="3"/>
  <c r="BI25" i="3"/>
  <c r="AI32" i="3"/>
  <c r="BU32" i="3"/>
  <c r="BS30" i="3"/>
  <c r="AF31" i="3"/>
  <c r="AY31" i="3"/>
  <c r="BQ38" i="3"/>
  <c r="CT34" i="3"/>
  <c r="CG35" i="3"/>
  <c r="AL37" i="3"/>
  <c r="BT43" i="3"/>
  <c r="BV39" i="3"/>
  <c r="W47" i="3"/>
  <c r="M46" i="3"/>
  <c r="Z46" i="3" s="1"/>
  <c r="BW15" i="3"/>
  <c r="CM15" i="3"/>
  <c r="CS11" i="3"/>
  <c r="CT13" i="3"/>
  <c r="U16" i="3"/>
  <c r="V17" i="3"/>
  <c r="BH16" i="3"/>
  <c r="L16" i="3"/>
  <c r="Q21" i="3"/>
  <c r="BM21" i="3"/>
  <c r="CG16" i="3"/>
  <c r="CC21" i="3"/>
  <c r="CG21" i="3" s="1"/>
  <c r="N17" i="3"/>
  <c r="CY17" i="3"/>
  <c r="BA17" i="3"/>
  <c r="AF18" i="3"/>
  <c r="AY18" i="3"/>
  <c r="D19" i="3"/>
  <c r="E19" i="3" s="1"/>
  <c r="AQ19" i="3"/>
  <c r="AD19" i="3"/>
  <c r="AW19" i="3"/>
  <c r="BS19" i="3"/>
  <c r="U20" i="3"/>
  <c r="BH20" i="3"/>
  <c r="L20" i="3"/>
  <c r="V22" i="3"/>
  <c r="CG20" i="3"/>
  <c r="BQ26" i="3"/>
  <c r="CK26" i="3"/>
  <c r="CO23" i="3"/>
  <c r="CT23" i="3" s="1"/>
  <c r="BQ32" i="3"/>
  <c r="F29" i="3"/>
  <c r="E29" i="3" s="1"/>
  <c r="CO29" i="3"/>
  <c r="CT29" i="3" s="1"/>
  <c r="V31" i="3"/>
  <c r="V32" i="3" s="1"/>
  <c r="BH30" i="3"/>
  <c r="L30" i="3"/>
  <c r="U30" i="3"/>
  <c r="BU38" i="3"/>
  <c r="AW37" i="3"/>
  <c r="AQ37" i="3"/>
  <c r="AD37" i="3"/>
  <c r="J49" i="3"/>
  <c r="BD24" i="3"/>
  <c r="BK24" i="3" s="1"/>
  <c r="AZ25" i="3"/>
  <c r="AG25" i="3"/>
  <c r="BR25" i="3"/>
  <c r="CR25" i="3"/>
  <c r="AE28" i="3"/>
  <c r="AX28" i="3"/>
  <c r="BT32" i="3"/>
  <c r="CJ32" i="3"/>
  <c r="CN28" i="3"/>
  <c r="AL29" i="3"/>
  <c r="W33" i="3"/>
  <c r="M31" i="3"/>
  <c r="Z31" i="3" s="1"/>
  <c r="R38" i="3"/>
  <c r="AI38" i="3" s="1"/>
  <c r="W34" i="3"/>
  <c r="M33" i="3"/>
  <c r="CD38" i="3"/>
  <c r="X35" i="3"/>
  <c r="O34" i="3"/>
  <c r="BZ35" i="3"/>
  <c r="J43" i="3"/>
  <c r="CF43" i="3"/>
  <c r="CP39" i="3"/>
  <c r="CQ39" i="3" s="1"/>
  <c r="W41" i="3"/>
  <c r="M40" i="3"/>
  <c r="Z40" i="3" s="1"/>
  <c r="D41" i="3"/>
  <c r="E41" i="3" s="1"/>
  <c r="AV41" i="3"/>
  <c r="BV42" i="3"/>
  <c r="BZ42" i="3" s="1"/>
  <c r="AV45" i="3"/>
  <c r="BK45" i="3"/>
  <c r="AE47" i="3"/>
  <c r="AX47" i="3"/>
  <c r="BK67" i="3"/>
  <c r="CG30" i="3"/>
  <c r="N31" i="3"/>
  <c r="CW32" i="3"/>
  <c r="CY31" i="3"/>
  <c r="BA31" i="3"/>
  <c r="CE38" i="3"/>
  <c r="CO33" i="3"/>
  <c r="CT33" i="3" s="1"/>
  <c r="CS35" i="3"/>
  <c r="AG36" i="3"/>
  <c r="AZ36" i="3"/>
  <c r="BZ36" i="3"/>
  <c r="O37" i="3"/>
  <c r="X39" i="3"/>
  <c r="CB43" i="3"/>
  <c r="O40" i="3"/>
  <c r="AB40" i="3" s="1"/>
  <c r="X41" i="3"/>
  <c r="BI40" i="3"/>
  <c r="BK40" i="3"/>
  <c r="AE41" i="3"/>
  <c r="AX41" i="3"/>
  <c r="CR41" i="3"/>
  <c r="AG42" i="3"/>
  <c r="AZ42" i="3"/>
  <c r="CQ42" i="3"/>
  <c r="CR42" i="3"/>
  <c r="AV47" i="3"/>
  <c r="W52" i="3"/>
  <c r="M51" i="3"/>
  <c r="Z51" i="3" s="1"/>
  <c r="O65" i="3"/>
  <c r="AB65" i="3" s="1"/>
  <c r="X67" i="3"/>
  <c r="CP31" i="3"/>
  <c r="T38" i="3"/>
  <c r="O33" i="3"/>
  <c r="X34" i="3"/>
  <c r="BL38" i="3"/>
  <c r="BL44" i="3" s="1"/>
  <c r="CB38" i="3"/>
  <c r="BZ34" i="3"/>
  <c r="F35" i="3"/>
  <c r="AV35" i="3"/>
  <c r="BD35" i="3"/>
  <c r="BK35" i="3" s="1"/>
  <c r="G43" i="3"/>
  <c r="D39" i="3"/>
  <c r="AV39" i="3"/>
  <c r="CD43" i="3"/>
  <c r="AZ40" i="3"/>
  <c r="AG40" i="3"/>
  <c r="O42" i="3"/>
  <c r="X45" i="3"/>
  <c r="AE45" i="3"/>
  <c r="AX45" i="3"/>
  <c r="AL50" i="3"/>
  <c r="CO36" i="3"/>
  <c r="CT36" i="3" s="1"/>
  <c r="AK43" i="3"/>
  <c r="BQ43" i="3"/>
  <c r="D40" i="3"/>
  <c r="E40" i="3" s="1"/>
  <c r="AQ40" i="3"/>
  <c r="AD40" i="3"/>
  <c r="AW40" i="3"/>
  <c r="BS40" i="3"/>
  <c r="AY41" i="3"/>
  <c r="AF41" i="3"/>
  <c r="CS42" i="3"/>
  <c r="BY49" i="3"/>
  <c r="N46" i="3"/>
  <c r="AA46" i="3" s="1"/>
  <c r="CY46" i="3"/>
  <c r="N48" i="3"/>
  <c r="CC48" i="3"/>
  <c r="CG48" i="3" s="1"/>
  <c r="CW49" i="3"/>
  <c r="CY49" i="3" s="1"/>
  <c r="CY48" i="3"/>
  <c r="CO50" i="3"/>
  <c r="CE55" i="3"/>
  <c r="CO55" i="3" s="1"/>
  <c r="CC53" i="3"/>
  <c r="CG53" i="3" s="1"/>
  <c r="CP46" i="3"/>
  <c r="AL47" i="3"/>
  <c r="CQ47" i="3"/>
  <c r="CR47" i="3"/>
  <c r="AE48" i="3"/>
  <c r="AX48" i="3"/>
  <c r="BV48" i="3"/>
  <c r="BZ48" i="3" s="1"/>
  <c r="BD48" i="3"/>
  <c r="CX49" i="3"/>
  <c r="AE50" i="3"/>
  <c r="AX50" i="3"/>
  <c r="BT55" i="3"/>
  <c r="BV50" i="3"/>
  <c r="BD50" i="3"/>
  <c r="BK50" i="3" s="1"/>
  <c r="CR51" i="3"/>
  <c r="BM60" i="3"/>
  <c r="CT57" i="3"/>
  <c r="BS59" i="3"/>
  <c r="CR70" i="3"/>
  <c r="CO41" i="3"/>
  <c r="CT41" i="3" s="1"/>
  <c r="G49" i="3"/>
  <c r="I49" i="3" s="1"/>
  <c r="D45" i="3"/>
  <c r="AQ45" i="3"/>
  <c r="AW45" i="3"/>
  <c r="AD45" i="3"/>
  <c r="BO49" i="3"/>
  <c r="BS45" i="3"/>
  <c r="CI49" i="3"/>
  <c r="D47" i="3"/>
  <c r="AQ47" i="3"/>
  <c r="AD47" i="3"/>
  <c r="AW47" i="3"/>
  <c r="BS47" i="3"/>
  <c r="I55" i="3"/>
  <c r="BM55" i="3"/>
  <c r="BM61" i="3" s="1"/>
  <c r="CK55" i="3"/>
  <c r="CK61" i="3" s="1"/>
  <c r="CS51" i="3"/>
  <c r="AD53" i="3"/>
  <c r="AW53" i="3"/>
  <c r="AQ53" i="3"/>
  <c r="AD57" i="3"/>
  <c r="AW57" i="3"/>
  <c r="AQ57" i="3"/>
  <c r="CP51" i="3"/>
  <c r="CQ51" i="3" s="1"/>
  <c r="AL52" i="3"/>
  <c r="CQ52" i="3"/>
  <c r="CR52" i="3"/>
  <c r="AX53" i="3"/>
  <c r="AE53" i="3"/>
  <c r="BV53" i="3"/>
  <c r="BZ53" i="3" s="1"/>
  <c r="BD53" i="3"/>
  <c r="BK53" i="3" s="1"/>
  <c r="AZ54" i="3"/>
  <c r="AG54" i="3"/>
  <c r="BR54" i="3"/>
  <c r="X58" i="3"/>
  <c r="BI57" i="3"/>
  <c r="O57" i="3"/>
  <c r="W59" i="3"/>
  <c r="W60" i="3" s="1"/>
  <c r="W61" i="3" s="1"/>
  <c r="M58" i="3"/>
  <c r="CJ58" i="3"/>
  <c r="CN58" i="3" s="1"/>
  <c r="AL62" i="3"/>
  <c r="BT66" i="3"/>
  <c r="BV62" i="3"/>
  <c r="AE63" i="3"/>
  <c r="AX63" i="3"/>
  <c r="BD63" i="3"/>
  <c r="BK63" i="3" s="1"/>
  <c r="AE65" i="3"/>
  <c r="AX65" i="3"/>
  <c r="CF72" i="3"/>
  <c r="CP72" i="3" s="1"/>
  <c r="CP67" i="3"/>
  <c r="CQ67" i="3" s="1"/>
  <c r="AG70" i="3"/>
  <c r="AZ70" i="3"/>
  <c r="D52" i="3"/>
  <c r="AQ52" i="3"/>
  <c r="AD52" i="3"/>
  <c r="AW52" i="3"/>
  <c r="BS52" i="3"/>
  <c r="AQ54" i="3"/>
  <c r="AD54" i="3"/>
  <c r="AW54" i="3"/>
  <c r="BS54" i="3"/>
  <c r="K60" i="3"/>
  <c r="BW60" i="3"/>
  <c r="CM60" i="3"/>
  <c r="CS60" i="3" s="1"/>
  <c r="CS56" i="3"/>
  <c r="N58" i="3"/>
  <c r="AA58" i="3" s="1"/>
  <c r="CG58" i="3"/>
  <c r="BD52" i="3"/>
  <c r="BK52" i="3" s="1"/>
  <c r="AG53" i="3"/>
  <c r="AZ53" i="3"/>
  <c r="BR53" i="3"/>
  <c r="F54" i="3"/>
  <c r="E54" i="3" s="1"/>
  <c r="AV54" i="3"/>
  <c r="F56" i="3"/>
  <c r="AV56" i="3"/>
  <c r="BX60" i="3"/>
  <c r="O58" i="3"/>
  <c r="X59" i="3"/>
  <c r="X60" i="3" s="1"/>
  <c r="X61" i="3" s="1"/>
  <c r="W62" i="3"/>
  <c r="M59" i="3"/>
  <c r="Z59" i="3" s="1"/>
  <c r="CJ59" i="3"/>
  <c r="CN59" i="3" s="1"/>
  <c r="BQ66" i="3"/>
  <c r="BQ78" i="3" s="1"/>
  <c r="BU72" i="3"/>
  <c r="BU78" i="3" s="1"/>
  <c r="CA66" i="3"/>
  <c r="CC62" i="3"/>
  <c r="CY62" i="3"/>
  <c r="CC64" i="3"/>
  <c r="CG64" i="3" s="1"/>
  <c r="AG67" i="3"/>
  <c r="AZ67" i="3"/>
  <c r="CB72" i="3"/>
  <c r="CB78" i="3" s="1"/>
  <c r="CD84" i="3"/>
  <c r="AE64" i="3"/>
  <c r="AX64" i="3"/>
  <c r="BZ64" i="3"/>
  <c r="BD64" i="3"/>
  <c r="BK64" i="3" s="1"/>
  <c r="AG65" i="3"/>
  <c r="AZ65" i="3"/>
  <c r="BR65" i="3"/>
  <c r="J72" i="3"/>
  <c r="W70" i="3"/>
  <c r="M69" i="3"/>
  <c r="Z69" i="3" s="1"/>
  <c r="BR69" i="3"/>
  <c r="W71" i="3"/>
  <c r="W72" i="3" s="1"/>
  <c r="M70" i="3"/>
  <c r="Z70" i="3" s="1"/>
  <c r="O71" i="3"/>
  <c r="AB71" i="3" s="1"/>
  <c r="X73" i="3"/>
  <c r="CX72" i="3"/>
  <c r="BD71" i="3"/>
  <c r="BX77" i="3"/>
  <c r="CS63" i="3"/>
  <c r="AF64" i="3"/>
  <c r="AA64" i="3" s="1"/>
  <c r="AY64" i="3"/>
  <c r="CS65" i="3"/>
  <c r="S72" i="3"/>
  <c r="AO72" i="3" s="1"/>
  <c r="N67" i="3"/>
  <c r="BR67" i="3"/>
  <c r="BN72" i="3"/>
  <c r="D68" i="3"/>
  <c r="E68" i="3" s="1"/>
  <c r="AV68" i="3"/>
  <c r="CP68" i="3"/>
  <c r="AV69" i="3"/>
  <c r="BK69" i="3"/>
  <c r="AE71" i="3"/>
  <c r="AX71" i="3"/>
  <c r="AE70" i="3"/>
  <c r="AX70" i="3"/>
  <c r="BV70" i="3"/>
  <c r="BZ70" i="3" s="1"/>
  <c r="BK70" i="3"/>
  <c r="AG71" i="3"/>
  <c r="AZ71" i="3"/>
  <c r="BR71" i="3"/>
  <c r="J77" i="3"/>
  <c r="CF77" i="3"/>
  <c r="CP73" i="3"/>
  <c r="CQ73" i="3" s="1"/>
  <c r="W75" i="3"/>
  <c r="M74" i="3"/>
  <c r="CI77" i="3"/>
  <c r="F80" i="3"/>
  <c r="CX84" i="3"/>
  <c r="BD83" i="3"/>
  <c r="AQ67" i="3"/>
  <c r="AW67" i="3"/>
  <c r="AD67" i="3"/>
  <c r="BO72" i="3"/>
  <c r="BS67" i="3"/>
  <c r="CI72" i="3"/>
  <c r="D69" i="3"/>
  <c r="E69" i="3" s="1"/>
  <c r="AW69" i="3"/>
  <c r="AQ69" i="3"/>
  <c r="AD69" i="3"/>
  <c r="BS69" i="3"/>
  <c r="D71" i="3"/>
  <c r="E71" i="3" s="1"/>
  <c r="AW71" i="3"/>
  <c r="AQ71" i="3"/>
  <c r="AD71" i="3"/>
  <c r="BS71" i="3"/>
  <c r="K77" i="3"/>
  <c r="BU77" i="3"/>
  <c r="N75" i="3"/>
  <c r="AA75" i="3" s="1"/>
  <c r="AF76" i="3"/>
  <c r="AA76" i="3" s="1"/>
  <c r="AY76" i="3"/>
  <c r="AL80" i="3"/>
  <c r="BV81" i="3"/>
  <c r="BZ81" i="3" s="1"/>
  <c r="CO68" i="3"/>
  <c r="CO70" i="3"/>
  <c r="CE77" i="3"/>
  <c r="CO77" i="3" s="1"/>
  <c r="CO73" i="3"/>
  <c r="CT73" i="3" s="1"/>
  <c r="CC75" i="3"/>
  <c r="CG75" i="3" s="1"/>
  <c r="CJ73" i="3"/>
  <c r="CP74" i="3"/>
  <c r="AL75" i="3"/>
  <c r="CR75" i="3"/>
  <c r="CQ75" i="3"/>
  <c r="AX76" i="3"/>
  <c r="AE76" i="3"/>
  <c r="BV76" i="3"/>
  <c r="BZ76" i="3" s="1"/>
  <c r="CX77" i="3"/>
  <c r="CX78" i="3" s="1"/>
  <c r="CX79" i="3" s="1"/>
  <c r="BD76" i="3"/>
  <c r="AY80" i="3"/>
  <c r="AF80" i="3"/>
  <c r="CF84" i="3"/>
  <c r="CP80" i="3"/>
  <c r="W82" i="3"/>
  <c r="M81" i="3"/>
  <c r="BR81" i="3"/>
  <c r="AY83" i="3"/>
  <c r="AF83" i="3"/>
  <c r="J84" i="3"/>
  <c r="BL84" i="3"/>
  <c r="O81" i="3"/>
  <c r="X82" i="3"/>
  <c r="BI81" i="3"/>
  <c r="BR82" i="3"/>
  <c r="F75" i="3"/>
  <c r="E75" i="3" s="1"/>
  <c r="AV75" i="3"/>
  <c r="K90" i="3"/>
  <c r="K96" i="3" s="1"/>
  <c r="D80" i="3"/>
  <c r="G84" i="3"/>
  <c r="AQ80" i="3"/>
  <c r="AW80" i="3"/>
  <c r="AD80" i="3"/>
  <c r="BO84" i="3"/>
  <c r="BS80" i="3"/>
  <c r="CI84" i="3"/>
  <c r="D82" i="3"/>
  <c r="E82" i="3" s="1"/>
  <c r="AW82" i="3"/>
  <c r="AQ82" i="3"/>
  <c r="AD82" i="3"/>
  <c r="BS82" i="3"/>
  <c r="AX85" i="3"/>
  <c r="AE85" i="3"/>
  <c r="AZ91" i="3"/>
  <c r="AG91" i="3"/>
  <c r="X83" i="3"/>
  <c r="X84" i="3" s="1"/>
  <c r="BI82" i="3"/>
  <c r="O82" i="3"/>
  <c r="BI84" i="3"/>
  <c r="AD83" i="3"/>
  <c r="AW83" i="3"/>
  <c r="AQ83" i="3"/>
  <c r="CH90" i="3"/>
  <c r="CJ85" i="3"/>
  <c r="N81" i="3"/>
  <c r="CC81" i="3"/>
  <c r="CG81" i="3" s="1"/>
  <c r="CY81" i="3"/>
  <c r="BV83" i="3"/>
  <c r="BZ83" i="3" s="1"/>
  <c r="BQ90" i="3"/>
  <c r="BQ96" i="3" s="1"/>
  <c r="CC86" i="3"/>
  <c r="CG86" i="3" s="1"/>
  <c r="AL83" i="3"/>
  <c r="CR83" i="3"/>
  <c r="CQ83" i="3"/>
  <c r="AZ85" i="3"/>
  <c r="AG85" i="3"/>
  <c r="BN90" i="3"/>
  <c r="BR85" i="3"/>
  <c r="BW95" i="3"/>
  <c r="BU90" i="3"/>
  <c r="N88" i="3"/>
  <c r="AA88" i="3" s="1"/>
  <c r="CE95" i="3"/>
  <c r="CO91" i="3"/>
  <c r="N86" i="3"/>
  <c r="BS86" i="3"/>
  <c r="CY86" i="3"/>
  <c r="O94" i="3"/>
  <c r="BI94" i="3"/>
  <c r="AD89" i="3"/>
  <c r="AQ89" i="3"/>
  <c r="AW89" i="3"/>
  <c r="BS89" i="3"/>
  <c r="G95" i="3"/>
  <c r="D91" i="3"/>
  <c r="BP90" i="3"/>
  <c r="CF90" i="3"/>
  <c r="CP90" i="3" s="1"/>
  <c r="CP85" i="3"/>
  <c r="CQ85" i="3" s="1"/>
  <c r="AL86" i="3"/>
  <c r="CR86" i="3"/>
  <c r="CQ86" i="3"/>
  <c r="AE87" i="3"/>
  <c r="AX87" i="3"/>
  <c r="BV87" i="3"/>
  <c r="BZ87" i="3" s="1"/>
  <c r="BD87" i="3"/>
  <c r="BK87" i="3" s="1"/>
  <c r="AZ88" i="3"/>
  <c r="AG88" i="3"/>
  <c r="BR88" i="3"/>
  <c r="F89" i="3"/>
  <c r="E89" i="3" s="1"/>
  <c r="AV89" i="3"/>
  <c r="S95" i="3"/>
  <c r="AO95" i="3" s="1"/>
  <c r="N91" i="3"/>
  <c r="BM95" i="3"/>
  <c r="BM96" i="3" s="1"/>
  <c r="AD92" i="3"/>
  <c r="AQ92" i="3"/>
  <c r="AW92" i="3"/>
  <c r="CI95" i="3"/>
  <c r="CT93" i="3"/>
  <c r="AX88" i="3"/>
  <c r="AE88" i="3"/>
  <c r="BV88" i="3"/>
  <c r="BZ88" i="3" s="1"/>
  <c r="BD88" i="3"/>
  <c r="BK88" i="3" s="1"/>
  <c r="AZ89" i="3"/>
  <c r="AG89" i="3"/>
  <c r="BR89" i="3"/>
  <c r="N92" i="3"/>
  <c r="AF93" i="3"/>
  <c r="AY93" i="3"/>
  <c r="T95" i="3"/>
  <c r="X92" i="3"/>
  <c r="BI91" i="3"/>
  <c r="O91" i="3"/>
  <c r="BL95" i="3"/>
  <c r="M92" i="3"/>
  <c r="Z92" i="3" s="1"/>
  <c r="W93" i="3"/>
  <c r="CH95" i="3"/>
  <c r="CJ92" i="3"/>
  <c r="CN92" i="3" s="1"/>
  <c r="CR94" i="3"/>
  <c r="CQ94" i="3"/>
  <c r="CL95" i="3"/>
  <c r="CR91" i="3"/>
  <c r="CQ91" i="3"/>
  <c r="AX92" i="3"/>
  <c r="AE92" i="3"/>
  <c r="BV92" i="3"/>
  <c r="BZ92" i="3" s="1"/>
  <c r="BT95" i="3"/>
  <c r="BD92" i="3"/>
  <c r="BK92" i="3" s="1"/>
  <c r="AZ93" i="3"/>
  <c r="AG93" i="3"/>
  <c r="BD93" i="3"/>
  <c r="BK93" i="3" s="1"/>
  <c r="AE94" i="3"/>
  <c r="AX94" i="3"/>
  <c r="BT77" i="3"/>
  <c r="BV74" i="3"/>
  <c r="BZ74" i="3" s="1"/>
  <c r="AY86" i="3"/>
  <c r="AF86" i="3"/>
  <c r="BO95" i="3"/>
  <c r="BS95" i="3" s="1"/>
  <c r="BS91" i="3"/>
  <c r="AX83" i="3"/>
  <c r="AE83" i="3"/>
  <c r="AG83" i="3"/>
  <c r="AZ83" i="3"/>
  <c r="AD86" i="3"/>
  <c r="AW86" i="3"/>
  <c r="AQ86" i="3"/>
  <c r="BT90" i="3"/>
  <c r="BV85" i="3"/>
  <c r="X91" i="3"/>
  <c r="O89" i="3"/>
  <c r="AB89" i="3" s="1"/>
  <c r="BI89" i="3"/>
  <c r="CR92" i="3"/>
  <c r="F92" i="3"/>
  <c r="BX27" i="3"/>
  <c r="AG14" i="3"/>
  <c r="AZ14" i="3"/>
  <c r="CD15" i="3"/>
  <c r="AY29" i="3"/>
  <c r="AF29" i="3"/>
  <c r="BO21" i="3"/>
  <c r="BS21" i="3" s="1"/>
  <c r="BS16" i="3"/>
  <c r="AY19" i="3"/>
  <c r="AF19" i="3"/>
  <c r="CP18" i="3"/>
  <c r="CQ18" i="3" s="1"/>
  <c r="AG23" i="3"/>
  <c r="AZ23" i="3"/>
  <c r="AF25" i="3"/>
  <c r="AY25" i="3"/>
  <c r="CK32" i="3"/>
  <c r="V36" i="3"/>
  <c r="L35" i="3"/>
  <c r="U35" i="3"/>
  <c r="CE15" i="3"/>
  <c r="CO11" i="3"/>
  <c r="AF16" i="3"/>
  <c r="AY16" i="3"/>
  <c r="BU21" i="3"/>
  <c r="BU27" i="3" s="1"/>
  <c r="CG18" i="3"/>
  <c r="CY19" i="3"/>
  <c r="BA19" i="3"/>
  <c r="BY26" i="3"/>
  <c r="T32" i="3"/>
  <c r="X29" i="3"/>
  <c r="O28" i="3"/>
  <c r="BI28" i="3"/>
  <c r="CB32" i="3"/>
  <c r="AZ31" i="3"/>
  <c r="AG31" i="3"/>
  <c r="AZ33" i="3"/>
  <c r="AG33" i="3"/>
  <c r="AL35" i="3"/>
  <c r="AJ43" i="3"/>
  <c r="AE40" i="3"/>
  <c r="AX40" i="3"/>
  <c r="J55" i="3"/>
  <c r="AQ31" i="3"/>
  <c r="AD31" i="3"/>
  <c r="AW31" i="3"/>
  <c r="CP40" i="3"/>
  <c r="CQ40" i="3" s="1"/>
  <c r="I60" i="3"/>
  <c r="BD31" i="3"/>
  <c r="CX32" i="3"/>
  <c r="AE33" i="3"/>
  <c r="AX33" i="3"/>
  <c r="BT38" i="3"/>
  <c r="AL34" i="3"/>
  <c r="AL39" i="3"/>
  <c r="BN43" i="3"/>
  <c r="BR43" i="3" s="1"/>
  <c r="BR39" i="3"/>
  <c r="CP41" i="3"/>
  <c r="CQ41" i="3" s="1"/>
  <c r="CX43" i="3"/>
  <c r="CX44" i="3" s="1"/>
  <c r="BD42" i="3"/>
  <c r="BV45" i="3"/>
  <c r="BT49" i="3"/>
  <c r="CD55" i="3"/>
  <c r="CK60" i="3"/>
  <c r="CS36" i="3"/>
  <c r="BY43" i="3"/>
  <c r="N40" i="3"/>
  <c r="AA40" i="3" s="1"/>
  <c r="CG40" i="3"/>
  <c r="CT42" i="3"/>
  <c r="AK49" i="3"/>
  <c r="BQ61" i="3"/>
  <c r="AW46" i="3"/>
  <c r="AQ46" i="3"/>
  <c r="AD46" i="3"/>
  <c r="D48" i="3"/>
  <c r="E48" i="3" s="1"/>
  <c r="AW48" i="3"/>
  <c r="AQ48" i="3"/>
  <c r="AD48" i="3"/>
  <c r="K55" i="3"/>
  <c r="K61" i="3" s="1"/>
  <c r="BW55" i="3"/>
  <c r="BW61" i="3" s="1"/>
  <c r="CS50" i="3"/>
  <c r="CM55" i="3"/>
  <c r="F52" i="3"/>
  <c r="CG57" i="3"/>
  <c r="CJ62" i="3"/>
  <c r="CH66" i="3"/>
  <c r="BI48" i="3"/>
  <c r="X50" i="3"/>
  <c r="O48" i="3"/>
  <c r="T55" i="3"/>
  <c r="X51" i="3"/>
  <c r="O50" i="3"/>
  <c r="BL55" i="3"/>
  <c r="BL61" i="3" s="1"/>
  <c r="CB55" i="3"/>
  <c r="AY52" i="3"/>
  <c r="AF52" i="3"/>
  <c r="N53" i="3"/>
  <c r="AA59" i="3"/>
  <c r="W65" i="3"/>
  <c r="W66" i="3" s="1"/>
  <c r="M64" i="3"/>
  <c r="Z64" i="3" s="1"/>
  <c r="CS41" i="3"/>
  <c r="S49" i="3"/>
  <c r="N45" i="3"/>
  <c r="CA49" i="3"/>
  <c r="CC45" i="3"/>
  <c r="AA47" i="3"/>
  <c r="CC47" i="3"/>
  <c r="CG47" i="3" s="1"/>
  <c r="CY47" i="3"/>
  <c r="AF50" i="3"/>
  <c r="AY50" i="3"/>
  <c r="BU55" i="3"/>
  <c r="BQ60" i="3"/>
  <c r="AD59" i="3"/>
  <c r="AW59" i="3"/>
  <c r="AQ59" i="3"/>
  <c r="BX66" i="3"/>
  <c r="X54" i="3"/>
  <c r="X55" i="3" s="1"/>
  <c r="BI53" i="3"/>
  <c r="O53" i="3"/>
  <c r="AB53" i="3" s="1"/>
  <c r="W56" i="3"/>
  <c r="M54" i="3"/>
  <c r="CN54" i="3"/>
  <c r="AL56" i="3"/>
  <c r="CR56" i="3"/>
  <c r="CQ56" i="3"/>
  <c r="CL60" i="3"/>
  <c r="AX57" i="3"/>
  <c r="AE57" i="3"/>
  <c r="AZ58" i="3"/>
  <c r="AG58" i="3"/>
  <c r="BR58" i="3"/>
  <c r="AV59" i="3"/>
  <c r="J66" i="3"/>
  <c r="J78" i="3" s="1"/>
  <c r="CD66" i="3"/>
  <c r="N52" i="3"/>
  <c r="AA52" i="3" s="1"/>
  <c r="CC52" i="3"/>
  <c r="CG52" i="3" s="1"/>
  <c r="AA54" i="3"/>
  <c r="CC54" i="3"/>
  <c r="CG54" i="3" s="1"/>
  <c r="CY54" i="3"/>
  <c r="CW55" i="3"/>
  <c r="AI60" i="3"/>
  <c r="CE60" i="3"/>
  <c r="CO56" i="3"/>
  <c r="CT56" i="3" s="1"/>
  <c r="AQ58" i="3"/>
  <c r="AD58" i="3"/>
  <c r="AW58" i="3"/>
  <c r="AF59" i="3"/>
  <c r="AY59" i="3"/>
  <c r="CK66" i="3"/>
  <c r="CK78" i="3" s="1"/>
  <c r="AX68" i="3"/>
  <c r="AE68" i="3"/>
  <c r="BM77" i="3"/>
  <c r="BM78" i="3" s="1"/>
  <c r="W54" i="3"/>
  <c r="W55" i="3" s="1"/>
  <c r="M53" i="3"/>
  <c r="Z53" i="3" s="1"/>
  <c r="CJ53" i="3"/>
  <c r="CN53" i="3" s="1"/>
  <c r="CP54" i="3"/>
  <c r="AJ60" i="3"/>
  <c r="BP60" i="3"/>
  <c r="CF60" i="3"/>
  <c r="CP60" i="3" s="1"/>
  <c r="CP56" i="3"/>
  <c r="AL57" i="3"/>
  <c r="CR57" i="3"/>
  <c r="CQ57" i="3"/>
  <c r="AE58" i="3"/>
  <c r="AX58" i="3"/>
  <c r="BV58" i="3"/>
  <c r="BZ58" i="3" s="1"/>
  <c r="BD58" i="3"/>
  <c r="BK58" i="3" s="1"/>
  <c r="AG59" i="3"/>
  <c r="AZ59" i="3"/>
  <c r="CR62" i="3"/>
  <c r="CL66" i="3"/>
  <c r="AQ62" i="3"/>
  <c r="AD62" i="3"/>
  <c r="AW62" i="3"/>
  <c r="BO66" i="3"/>
  <c r="BS62" i="3"/>
  <c r="CI78" i="3"/>
  <c r="D64" i="3"/>
  <c r="E64" i="3" s="1"/>
  <c r="AW64" i="3"/>
  <c r="AQ64" i="3"/>
  <c r="AD64" i="3"/>
  <c r="BL72" i="3"/>
  <c r="BI64" i="3"/>
  <c r="O64" i="3"/>
  <c r="AB64" i="3" s="1"/>
  <c r="X65" i="3"/>
  <c r="X66" i="3" s="1"/>
  <c r="W67" i="3"/>
  <c r="M65" i="3"/>
  <c r="AL67" i="3"/>
  <c r="BX72" i="3"/>
  <c r="CQ68" i="3"/>
  <c r="CR68" i="3"/>
  <c r="AG69" i="3"/>
  <c r="AZ69" i="3"/>
  <c r="CQ69" i="3"/>
  <c r="CR69" i="3"/>
  <c r="AJ77" i="3"/>
  <c r="W81" i="3"/>
  <c r="R84" i="3"/>
  <c r="M80" i="3"/>
  <c r="CT63" i="3"/>
  <c r="CO65" i="3"/>
  <c r="CT65" i="3" s="1"/>
  <c r="G72" i="3"/>
  <c r="I72" i="3" s="1"/>
  <c r="D67" i="3"/>
  <c r="AX67" i="3"/>
  <c r="AE67" i="3"/>
  <c r="BI69" i="3"/>
  <c r="O69" i="3"/>
  <c r="AB69" i="3" s="1"/>
  <c r="X70" i="3"/>
  <c r="CJ70" i="3"/>
  <c r="CN70" i="3" s="1"/>
  <c r="F73" i="3"/>
  <c r="CS76" i="3"/>
  <c r="CT76" i="3" s="1"/>
  <c r="O70" i="3"/>
  <c r="BI70" i="3"/>
  <c r="X71" i="3"/>
  <c r="X72" i="3" s="1"/>
  <c r="M71" i="3"/>
  <c r="Z71" i="3" s="1"/>
  <c r="W73" i="3"/>
  <c r="CN71" i="3"/>
  <c r="AL73" i="3"/>
  <c r="BK73" i="3"/>
  <c r="AW74" i="3"/>
  <c r="AQ74" i="3"/>
  <c r="AD74" i="3"/>
  <c r="AF75" i="3"/>
  <c r="AY75" i="3"/>
  <c r="D76" i="3"/>
  <c r="E76" i="3" s="1"/>
  <c r="CA72" i="3"/>
  <c r="CC67" i="3"/>
  <c r="CY67" i="3"/>
  <c r="AA69" i="3"/>
  <c r="CC69" i="3"/>
  <c r="CG69" i="3" s="1"/>
  <c r="CC71" i="3"/>
  <c r="CG71" i="3" s="1"/>
  <c r="CW72" i="3"/>
  <c r="CY71" i="3"/>
  <c r="AI77" i="3"/>
  <c r="BQ77" i="3"/>
  <c r="CS75" i="3"/>
  <c r="CT75" i="3" s="1"/>
  <c r="CS68" i="3"/>
  <c r="AY69" i="3"/>
  <c r="AF69" i="3"/>
  <c r="CS70" i="3"/>
  <c r="AY71" i="3"/>
  <c r="AF71" i="3"/>
  <c r="AA71" i="3" s="1"/>
  <c r="AK77" i="3"/>
  <c r="BV73" i="3"/>
  <c r="CH77" i="3"/>
  <c r="CJ74" i="3"/>
  <c r="CN74" i="3" s="1"/>
  <c r="BN77" i="3"/>
  <c r="BR77" i="3" s="1"/>
  <c r="BR73" i="3"/>
  <c r="F74" i="3"/>
  <c r="AV74" i="3"/>
  <c r="X80" i="3"/>
  <c r="BI76" i="3"/>
  <c r="O76" i="3"/>
  <c r="T84" i="3"/>
  <c r="O80" i="3"/>
  <c r="X81" i="3"/>
  <c r="BI80" i="3"/>
  <c r="BP84" i="3"/>
  <c r="BP96" i="3" s="1"/>
  <c r="AG81" i="3"/>
  <c r="AZ81" i="3"/>
  <c r="AG80" i="3"/>
  <c r="AZ80" i="3"/>
  <c r="CB84" i="3"/>
  <c r="M82" i="3"/>
  <c r="Z82" i="3" s="1"/>
  <c r="W83" i="3"/>
  <c r="W84" i="3" s="1"/>
  <c r="X87" i="3"/>
  <c r="BI86" i="3"/>
  <c r="O86" i="3"/>
  <c r="AB86" i="3" s="1"/>
  <c r="CP75" i="3"/>
  <c r="AL76" i="3"/>
  <c r="CR76" i="3"/>
  <c r="CQ76" i="3"/>
  <c r="S84" i="3"/>
  <c r="N80" i="3"/>
  <c r="CA84" i="3"/>
  <c r="CC80" i="3"/>
  <c r="CY80" i="3"/>
  <c r="CG82" i="3"/>
  <c r="CS83" i="3"/>
  <c r="CT83" i="3" s="1"/>
  <c r="AW87" i="3"/>
  <c r="AQ87" i="3"/>
  <c r="AD87" i="3"/>
  <c r="CQ81" i="3"/>
  <c r="CR81" i="3"/>
  <c r="AE82" i="3"/>
  <c r="AX82" i="3"/>
  <c r="D81" i="3"/>
  <c r="E81" i="3" s="1"/>
  <c r="AQ81" i="3"/>
  <c r="AW81" i="3"/>
  <c r="AD81" i="3"/>
  <c r="F83" i="3"/>
  <c r="CL90" i="3"/>
  <c r="CR85" i="3"/>
  <c r="D87" i="3"/>
  <c r="E87" i="3" s="1"/>
  <c r="R90" i="3"/>
  <c r="AN90" i="3" s="1"/>
  <c r="W86" i="3"/>
  <c r="M85" i="3"/>
  <c r="CD90" i="3"/>
  <c r="AF92" i="3"/>
  <c r="AY92" i="3"/>
  <c r="CK90" i="3"/>
  <c r="AV86" i="3"/>
  <c r="CR87" i="3"/>
  <c r="CN93" i="3"/>
  <c r="AX86" i="3"/>
  <c r="AE86" i="3"/>
  <c r="CJ87" i="3"/>
  <c r="CN87" i="3" s="1"/>
  <c r="CW90" i="3"/>
  <c r="CY89" i="3"/>
  <c r="N89" i="3"/>
  <c r="AA89" i="3" s="1"/>
  <c r="AL91" i="3"/>
  <c r="CG91" i="3"/>
  <c r="BX90" i="3"/>
  <c r="BX96" i="3" s="1"/>
  <c r="X88" i="3"/>
  <c r="O87" i="3"/>
  <c r="BI87" i="3"/>
  <c r="W89" i="3"/>
  <c r="W90" i="3" s="1"/>
  <c r="M88" i="3"/>
  <c r="Z88" i="3" s="1"/>
  <c r="CJ88" i="3"/>
  <c r="CN88" i="3" s="1"/>
  <c r="AF91" i="3"/>
  <c r="AY91" i="3"/>
  <c r="CK95" i="3"/>
  <c r="CK96" i="3" s="1"/>
  <c r="BI90" i="3"/>
  <c r="X89" i="3"/>
  <c r="X90" i="3" s="1"/>
  <c r="BI88" i="3"/>
  <c r="O88" i="3"/>
  <c r="AB88" i="3" s="1"/>
  <c r="W91" i="3"/>
  <c r="M89" i="3"/>
  <c r="Z89" i="3" s="1"/>
  <c r="CR89" i="3"/>
  <c r="CQ89" i="3"/>
  <c r="BY95" i="3"/>
  <c r="CS92" i="3"/>
  <c r="CT92" i="3" s="1"/>
  <c r="BD89" i="3"/>
  <c r="CX90" i="3"/>
  <c r="AX91" i="3"/>
  <c r="AE91" i="3"/>
  <c r="BV91" i="3"/>
  <c r="BD91" i="3"/>
  <c r="BK91" i="3" s="1"/>
  <c r="AZ92" i="3"/>
  <c r="AG92" i="3"/>
  <c r="F93" i="3"/>
  <c r="E93" i="3" s="1"/>
  <c r="AV93" i="3"/>
  <c r="CD95" i="3"/>
  <c r="X93" i="3"/>
  <c r="O92" i="3"/>
  <c r="BI92" i="3"/>
  <c r="CB95" i="3"/>
  <c r="W94" i="3"/>
  <c r="W95" i="3" s="1"/>
  <c r="W96" i="3" s="1"/>
  <c r="M93" i="3"/>
  <c r="Z94" i="3"/>
  <c r="AF74" i="3"/>
  <c r="AY74" i="3"/>
  <c r="BY96" i="3"/>
  <c r="AQ70" i="3"/>
  <c r="AW70" i="3"/>
  <c r="AD70" i="3"/>
  <c r="AX74" i="3"/>
  <c r="AE74" i="3"/>
  <c r="AZ75" i="3"/>
  <c r="AG75" i="3"/>
  <c r="I84" i="3"/>
  <c r="AK84" i="3"/>
  <c r="X76" i="3"/>
  <c r="X77" i="3" s="1"/>
  <c r="X78" i="3" s="1"/>
  <c r="X79" i="3" s="1"/>
  <c r="O75" i="3"/>
  <c r="AB75" i="3" s="1"/>
  <c r="W80" i="3"/>
  <c r="M76" i="3"/>
  <c r="Z76" i="3" s="1"/>
  <c r="AY81" i="3"/>
  <c r="AF81" i="3"/>
  <c r="W88" i="3"/>
  <c r="M87" i="3"/>
  <c r="Z87" i="3" s="1"/>
  <c r="AY85" i="3"/>
  <c r="AF85" i="3"/>
  <c r="CA90" i="3"/>
  <c r="CC85" i="3"/>
  <c r="AD93" i="3"/>
  <c r="AW93" i="3"/>
  <c r="AQ93" i="3"/>
  <c r="CE90" i="3"/>
  <c r="CO90" i="3" s="1"/>
  <c r="CT90" i="3" s="1"/>
  <c r="CO85" i="3"/>
  <c r="AZ87" i="3"/>
  <c r="AG87" i="3"/>
  <c r="CM95" i="3"/>
  <c r="CS95" i="3" s="1"/>
  <c r="CS91" i="3"/>
  <c r="R95" i="3"/>
  <c r="AN95" i="3" s="1"/>
  <c r="W92" i="3"/>
  <c r="M91" i="3"/>
  <c r="AA93" i="3"/>
  <c r="AG86" i="3"/>
  <c r="AZ86" i="3"/>
  <c r="AX93" i="3"/>
  <c r="AE93" i="3"/>
  <c r="AG94" i="3"/>
  <c r="AZ94" i="3"/>
  <c r="BN95" i="3"/>
  <c r="BR95" i="3" s="1"/>
  <c r="BR91" i="3"/>
  <c r="D94" i="3"/>
  <c r="E94" i="3" s="1"/>
  <c r="CL21" i="3"/>
  <c r="CR16" i="3"/>
  <c r="CQ16" i="3"/>
  <c r="CP17" i="3"/>
  <c r="CD21" i="3"/>
  <c r="CP15" i="3"/>
  <c r="M14" i="3"/>
  <c r="W16" i="3"/>
  <c r="AG24" i="3"/>
  <c r="AZ24" i="3"/>
  <c r="BY38" i="3"/>
  <c r="BR37" i="3"/>
  <c r="BY27" i="3"/>
  <c r="G21" i="3"/>
  <c r="D16" i="3"/>
  <c r="U17" i="3"/>
  <c r="BH17" i="3"/>
  <c r="L17" i="3"/>
  <c r="V18" i="3"/>
  <c r="AA18" i="3"/>
  <c r="CY18" i="3"/>
  <c r="BA18" i="3"/>
  <c r="AW20" i="3"/>
  <c r="AQ20" i="3"/>
  <c r="AD20" i="3"/>
  <c r="CS22" i="3"/>
  <c r="CM26" i="3"/>
  <c r="CS26" i="3" s="1"/>
  <c r="D28" i="3"/>
  <c r="G32" i="3"/>
  <c r="CD44" i="3"/>
  <c r="CL49" i="3"/>
  <c r="CR45" i="3"/>
  <c r="CH55" i="3"/>
  <c r="CJ50" i="3"/>
  <c r="BD14" i="3"/>
  <c r="CX15" i="3"/>
  <c r="AE16" i="3"/>
  <c r="AX16" i="3"/>
  <c r="W20" i="3"/>
  <c r="W21" i="3" s="1"/>
  <c r="M19" i="3"/>
  <c r="Z19" i="3" s="1"/>
  <c r="AV22" i="3"/>
  <c r="BR23" i="3"/>
  <c r="AD29" i="3"/>
  <c r="AW29" i="3"/>
  <c r="AQ29" i="3"/>
  <c r="AE36" i="3"/>
  <c r="AX36" i="3"/>
  <c r="E17" i="3"/>
  <c r="I26" i="3"/>
  <c r="CS25" i="3"/>
  <c r="CA32" i="3"/>
  <c r="CA44" i="3" s="1"/>
  <c r="AI43" i="3"/>
  <c r="CR31" i="3"/>
  <c r="CQ31" i="3"/>
  <c r="BN38" i="3"/>
  <c r="BR38" i="3" s="1"/>
  <c r="BR33" i="3"/>
  <c r="CN34" i="3"/>
  <c r="BD39" i="3"/>
  <c r="BK39" i="3" s="1"/>
  <c r="AE42" i="3"/>
  <c r="AX42" i="3"/>
  <c r="BX49" i="3"/>
  <c r="CM38" i="3"/>
  <c r="CS38" i="3" s="1"/>
  <c r="CS33" i="3"/>
  <c r="CT35" i="3"/>
  <c r="AG37" i="3"/>
  <c r="AZ37" i="3"/>
  <c r="CM43" i="3"/>
  <c r="CS43" i="3" s="1"/>
  <c r="CS39" i="3"/>
  <c r="AA41" i="3"/>
  <c r="W45" i="3"/>
  <c r="M42" i="3"/>
  <c r="Z42" i="3" s="1"/>
  <c r="CN33" i="3"/>
  <c r="CJ38" i="3"/>
  <c r="AH26" i="3"/>
  <c r="AL22" i="3"/>
  <c r="BV21" i="3"/>
  <c r="BZ16" i="3"/>
  <c r="CR14" i="3"/>
  <c r="CQ14" i="3"/>
  <c r="AG22" i="3"/>
  <c r="AZ22" i="3"/>
  <c r="CN19" i="3"/>
  <c r="BN21" i="3"/>
  <c r="BR21" i="3" s="1"/>
  <c r="BR16" i="3"/>
  <c r="CQ13" i="3"/>
  <c r="CR13" i="3"/>
  <c r="W13" i="3"/>
  <c r="M12" i="3"/>
  <c r="Z12" i="3" s="1"/>
  <c r="AL11" i="3"/>
  <c r="AB13" i="3"/>
  <c r="BT15" i="3"/>
  <c r="BT27" i="3" s="1"/>
  <c r="Q32" i="3"/>
  <c r="AH32" i="3" s="1"/>
  <c r="V29" i="3"/>
  <c r="BH28" i="3"/>
  <c r="L28" i="3"/>
  <c r="U28" i="3"/>
  <c r="BW32" i="3"/>
  <c r="BW44" i="3" s="1"/>
  <c r="W31" i="3"/>
  <c r="W32" i="3" s="1"/>
  <c r="M30" i="3"/>
  <c r="CD49" i="3"/>
  <c r="R15" i="3"/>
  <c r="W12" i="3"/>
  <c r="M11" i="3"/>
  <c r="BM15" i="3"/>
  <c r="BM27" i="3" s="1"/>
  <c r="CC15" i="3"/>
  <c r="CG11" i="3"/>
  <c r="N12" i="3"/>
  <c r="AA12" i="3" s="1"/>
  <c r="CY12" i="3"/>
  <c r="BA12" i="3"/>
  <c r="AY13" i="3"/>
  <c r="AF13" i="3"/>
  <c r="D14" i="3"/>
  <c r="E14" i="3" s="1"/>
  <c r="AW14" i="3"/>
  <c r="AQ14" i="3"/>
  <c r="AD14" i="3"/>
  <c r="BS14" i="3"/>
  <c r="K21" i="3"/>
  <c r="K27" i="3" s="1"/>
  <c r="BW21" i="3"/>
  <c r="CM21" i="3"/>
  <c r="CS16" i="3"/>
  <c r="CT18" i="3"/>
  <c r="S26" i="3"/>
  <c r="AO26" i="3" s="1"/>
  <c r="N22" i="3"/>
  <c r="CA26" i="3"/>
  <c r="CY22" i="3"/>
  <c r="BA22" i="3"/>
  <c r="AY23" i="3"/>
  <c r="AF23" i="3"/>
  <c r="AW24" i="3"/>
  <c r="AQ24" i="3"/>
  <c r="AD24" i="3"/>
  <c r="BS24" i="3"/>
  <c r="CT25" i="3"/>
  <c r="R32" i="3"/>
  <c r="W29" i="3"/>
  <c r="M28" i="3"/>
  <c r="CI32" i="3"/>
  <c r="CI44" i="3" s="1"/>
  <c r="AF30" i="3"/>
  <c r="AA30" i="3" s="1"/>
  <c r="AY30" i="3"/>
  <c r="CC38" i="3"/>
  <c r="CG38" i="3" s="1"/>
  <c r="CG33" i="3"/>
  <c r="BI14" i="3"/>
  <c r="X16" i="3"/>
  <c r="O14" i="3"/>
  <c r="AB14" i="3" s="1"/>
  <c r="AV16" i="3"/>
  <c r="BX21" i="3"/>
  <c r="BD16" i="3"/>
  <c r="BK16" i="3" s="1"/>
  <c r="AG17" i="3"/>
  <c r="AZ17" i="3"/>
  <c r="BR17" i="3"/>
  <c r="CQ17" i="3"/>
  <c r="CR17" i="3"/>
  <c r="AE18" i="3"/>
  <c r="AX18" i="3"/>
  <c r="CN18" i="3"/>
  <c r="AL19" i="3"/>
  <c r="T26" i="3"/>
  <c r="BI22" i="3"/>
  <c r="O22" i="3"/>
  <c r="X23" i="3"/>
  <c r="BL26" i="3"/>
  <c r="CB26" i="3"/>
  <c r="BZ23" i="3"/>
  <c r="AV24" i="3"/>
  <c r="CP25" i="3"/>
  <c r="CQ25" i="3" s="1"/>
  <c r="N28" i="3"/>
  <c r="S32" i="3"/>
  <c r="BO32" i="3"/>
  <c r="BS28" i="3"/>
  <c r="CY28" i="3"/>
  <c r="BA28" i="3"/>
  <c r="AV29" i="3"/>
  <c r="CG29" i="3"/>
  <c r="BS34" i="3"/>
  <c r="CN40" i="3"/>
  <c r="BN49" i="3"/>
  <c r="BR45" i="3"/>
  <c r="AQ11" i="3"/>
  <c r="AW11" i="3"/>
  <c r="AD11" i="3"/>
  <c r="Y11" i="3" s="1"/>
  <c r="BO15" i="3"/>
  <c r="BS11" i="3"/>
  <c r="CI15" i="3"/>
  <c r="U12" i="3"/>
  <c r="V13" i="3"/>
  <c r="BH12" i="3"/>
  <c r="L12" i="3"/>
  <c r="N13" i="3"/>
  <c r="AA13" i="3" s="1"/>
  <c r="CY13" i="3"/>
  <c r="BA13" i="3"/>
  <c r="AF14" i="3"/>
  <c r="AA14" i="3" s="1"/>
  <c r="AY14" i="3"/>
  <c r="I21" i="3"/>
  <c r="BY21" i="3"/>
  <c r="CS17" i="3"/>
  <c r="CT17" i="3" s="1"/>
  <c r="CT19" i="3"/>
  <c r="U22" i="3"/>
  <c r="V23" i="3"/>
  <c r="BH22" i="3"/>
  <c r="L22" i="3"/>
  <c r="Q26" i="3"/>
  <c r="BM26" i="3"/>
  <c r="CG22" i="3"/>
  <c r="CC26" i="3"/>
  <c r="CG26" i="3" s="1"/>
  <c r="N23" i="3"/>
  <c r="CY23" i="3"/>
  <c r="BA23" i="3"/>
  <c r="AF24" i="3"/>
  <c r="AA24" i="3" s="1"/>
  <c r="AY24" i="3"/>
  <c r="J32" i="3"/>
  <c r="CL32" i="3"/>
  <c r="CR28" i="3"/>
  <c r="AX29" i="3"/>
  <c r="AE29" i="3"/>
  <c r="AF33" i="3"/>
  <c r="AY33" i="3"/>
  <c r="AD34" i="3"/>
  <c r="AW34" i="3"/>
  <c r="AQ34" i="3"/>
  <c r="M37" i="3"/>
  <c r="Z37" i="3" s="1"/>
  <c r="W39" i="3"/>
  <c r="CN24" i="3"/>
  <c r="AL25" i="3"/>
  <c r="AJ32" i="3"/>
  <c r="BP32" i="3"/>
  <c r="BP44" i="3" s="1"/>
  <c r="CF32" i="3"/>
  <c r="CP28" i="3"/>
  <c r="CQ28" i="3" s="1"/>
  <c r="M29" i="3"/>
  <c r="W30" i="3"/>
  <c r="X31" i="3"/>
  <c r="X32" i="3" s="1"/>
  <c r="BI30" i="3"/>
  <c r="O30" i="3"/>
  <c r="AB30" i="3" s="1"/>
  <c r="BZ31" i="3"/>
  <c r="J38" i="3"/>
  <c r="BZ33" i="3"/>
  <c r="BV38" i="3"/>
  <c r="BZ38" i="3" s="1"/>
  <c r="AV34" i="3"/>
  <c r="BD34" i="3"/>
  <c r="BK34" i="3" s="1"/>
  <c r="AZ35" i="3"/>
  <c r="AG35" i="3"/>
  <c r="BR35" i="3"/>
  <c r="CR35" i="3"/>
  <c r="CQ35" i="3"/>
  <c r="AY36" i="3"/>
  <c r="AF36" i="3"/>
  <c r="CP36" i="3"/>
  <c r="CQ36" i="3" s="1"/>
  <c r="BS37" i="3"/>
  <c r="CW38" i="3"/>
  <c r="CY37" i="3"/>
  <c r="BA37" i="3"/>
  <c r="AG39" i="3"/>
  <c r="AZ39" i="3"/>
  <c r="CA43" i="3"/>
  <c r="CC39" i="3"/>
  <c r="AW41" i="3"/>
  <c r="AD41" i="3"/>
  <c r="AQ41" i="3"/>
  <c r="BZ41" i="3"/>
  <c r="CF49" i="3"/>
  <c r="CP45" i="3"/>
  <c r="CQ45" i="3" s="1"/>
  <c r="F47" i="3"/>
  <c r="AG48" i="3"/>
  <c r="AZ48" i="3"/>
  <c r="AG50" i="3"/>
  <c r="AZ50" i="3"/>
  <c r="AF54" i="3"/>
  <c r="AY54" i="3"/>
  <c r="CS31" i="3"/>
  <c r="CT31" i="3" s="1"/>
  <c r="S38" i="3"/>
  <c r="AO38" i="3" s="1"/>
  <c r="N33" i="3"/>
  <c r="CA38" i="3"/>
  <c r="CY33" i="3"/>
  <c r="BA33" i="3"/>
  <c r="AF34" i="3"/>
  <c r="AY34" i="3"/>
  <c r="E35" i="3"/>
  <c r="AQ35" i="3"/>
  <c r="AD35" i="3"/>
  <c r="AW35" i="3"/>
  <c r="BS35" i="3"/>
  <c r="K43" i="3"/>
  <c r="K44" i="3" s="1"/>
  <c r="BW43" i="3"/>
  <c r="CH49" i="3"/>
  <c r="CH61" i="3" s="1"/>
  <c r="CJ45" i="3"/>
  <c r="CR46" i="3"/>
  <c r="CQ46" i="3"/>
  <c r="BU60" i="3"/>
  <c r="X33" i="3"/>
  <c r="O31" i="3"/>
  <c r="AB31" i="3" s="1"/>
  <c r="BI31" i="3"/>
  <c r="F33" i="3"/>
  <c r="AV33" i="3"/>
  <c r="BX38" i="3"/>
  <c r="BX44" i="3" s="1"/>
  <c r="BD33" i="3"/>
  <c r="BK33" i="3" s="1"/>
  <c r="AG34" i="3"/>
  <c r="AZ34" i="3"/>
  <c r="BR34" i="3"/>
  <c r="CR34" i="3"/>
  <c r="CQ34" i="3"/>
  <c r="AE35" i="3"/>
  <c r="AX35" i="3"/>
  <c r="CN35" i="3"/>
  <c r="AW39" i="3"/>
  <c r="AQ39" i="3"/>
  <c r="AD39" i="3"/>
  <c r="BX43" i="3"/>
  <c r="O41" i="3"/>
  <c r="X42" i="3"/>
  <c r="X43" i="3" s="1"/>
  <c r="X44" i="3" s="1"/>
  <c r="BD41" i="3"/>
  <c r="BK41" i="3" s="1"/>
  <c r="F45" i="3"/>
  <c r="CB49" i="3"/>
  <c r="M48" i="3"/>
  <c r="Z48" i="3" s="1"/>
  <c r="W50" i="3"/>
  <c r="R55" i="3"/>
  <c r="M50" i="3"/>
  <c r="W51" i="3"/>
  <c r="N36" i="3"/>
  <c r="AA36" i="3" s="1"/>
  <c r="CY36" i="3"/>
  <c r="BA36" i="3"/>
  <c r="BH36" i="3" s="1"/>
  <c r="AF37" i="3"/>
  <c r="AA37" i="3" s="1"/>
  <c r="AY37" i="3"/>
  <c r="I43" i="3"/>
  <c r="BM43" i="3"/>
  <c r="CK43" i="3"/>
  <c r="CO40" i="3"/>
  <c r="CT40" i="3" s="1"/>
  <c r="D42" i="3"/>
  <c r="E42" i="3" s="1"/>
  <c r="AW42" i="3"/>
  <c r="AQ42" i="3"/>
  <c r="AD42" i="3"/>
  <c r="AY45" i="3"/>
  <c r="AF45" i="3"/>
  <c r="BU49" i="3"/>
  <c r="BU61" i="3" s="1"/>
  <c r="CS46" i="3"/>
  <c r="CT46" i="3" s="1"/>
  <c r="AY47" i="3"/>
  <c r="AF47" i="3"/>
  <c r="CS48" i="3"/>
  <c r="CT48" i="3" s="1"/>
  <c r="S55" i="3"/>
  <c r="AO55" i="3" s="1"/>
  <c r="N50" i="3"/>
  <c r="CC50" i="3"/>
  <c r="CA55" i="3"/>
  <c r="AF51" i="3"/>
  <c r="AA51" i="3" s="1"/>
  <c r="AY51" i="3"/>
  <c r="CO51" i="3"/>
  <c r="CT51" i="3" s="1"/>
  <c r="AE52" i="3"/>
  <c r="AX52" i="3"/>
  <c r="I66" i="3"/>
  <c r="CX66" i="3"/>
  <c r="BD65" i="3"/>
  <c r="BI65" i="3" s="1"/>
  <c r="O46" i="3"/>
  <c r="AB46" i="3" s="1"/>
  <c r="X47" i="3"/>
  <c r="W48" i="3"/>
  <c r="W49" i="3" s="1"/>
  <c r="M47" i="3"/>
  <c r="Z47" i="3" s="1"/>
  <c r="CN47" i="3"/>
  <c r="CP48" i="3"/>
  <c r="AJ55" i="3"/>
  <c r="BP55" i="3"/>
  <c r="BP61" i="3" s="1"/>
  <c r="CF55" i="3"/>
  <c r="CP50" i="3"/>
  <c r="CQ50" i="3" s="1"/>
  <c r="AZ51" i="3"/>
  <c r="AG51" i="3"/>
  <c r="BS57" i="3"/>
  <c r="CC41" i="3"/>
  <c r="CG41" i="3" s="1"/>
  <c r="AI49" i="3"/>
  <c r="CE49" i="3"/>
  <c r="CO45" i="3"/>
  <c r="CT45" i="3" s="1"/>
  <c r="CO47" i="3"/>
  <c r="CT47" i="3" s="1"/>
  <c r="BY55" i="3"/>
  <c r="CJ51" i="3"/>
  <c r="CN51" i="3" s="1"/>
  <c r="AV52" i="3"/>
  <c r="D53" i="3"/>
  <c r="E53" i="3" s="1"/>
  <c r="E57" i="3"/>
  <c r="O51" i="3"/>
  <c r="AB51" i="3" s="1"/>
  <c r="X52" i="3"/>
  <c r="BI51" i="3"/>
  <c r="W53" i="3"/>
  <c r="M52" i="3"/>
  <c r="CN52" i="3"/>
  <c r="CP53" i="3"/>
  <c r="AL54" i="3"/>
  <c r="CR54" i="3"/>
  <c r="CQ54" i="3"/>
  <c r="AZ56" i="3"/>
  <c r="AG56" i="3"/>
  <c r="BN60" i="3"/>
  <c r="BR60" i="3" s="1"/>
  <c r="BR56" i="3"/>
  <c r="F57" i="3"/>
  <c r="AV57" i="3"/>
  <c r="X62" i="3"/>
  <c r="BI59" i="3"/>
  <c r="O59" i="3"/>
  <c r="AB59" i="3" s="1"/>
  <c r="W63" i="3"/>
  <c r="R66" i="3"/>
  <c r="M62" i="3"/>
  <c r="BN66" i="3"/>
  <c r="BR62" i="3"/>
  <c r="F63" i="3"/>
  <c r="F65" i="3"/>
  <c r="AY67" i="3"/>
  <c r="AF67" i="3"/>
  <c r="CN69" i="3"/>
  <c r="CO52" i="3"/>
  <c r="CT52" i="3" s="1"/>
  <c r="CT54" i="3"/>
  <c r="D56" i="3"/>
  <c r="G60" i="3"/>
  <c r="AQ56" i="3"/>
  <c r="AD56" i="3"/>
  <c r="AW56" i="3"/>
  <c r="BO60" i="3"/>
  <c r="BS60" i="3" s="1"/>
  <c r="BS56" i="3"/>
  <c r="CI60" i="3"/>
  <c r="AF57" i="3"/>
  <c r="AA57" i="3" s="1"/>
  <c r="AY57" i="3"/>
  <c r="CS58" i="3"/>
  <c r="CT58" i="3" s="1"/>
  <c r="S66" i="3"/>
  <c r="AJ66" i="3" s="1"/>
  <c r="N62" i="3"/>
  <c r="BP66" i="3"/>
  <c r="BD62" i="3"/>
  <c r="BK62" i="3" s="1"/>
  <c r="AG63" i="3"/>
  <c r="AZ63" i="3"/>
  <c r="CQ63" i="3"/>
  <c r="CR63" i="3"/>
  <c r="CR64" i="3"/>
  <c r="BP72" i="3"/>
  <c r="CJ68" i="3"/>
  <c r="CN68" i="3" s="1"/>
  <c r="CA77" i="3"/>
  <c r="CC74" i="3"/>
  <c r="CG74" i="3" s="1"/>
  <c r="AL53" i="3"/>
  <c r="CR53" i="3"/>
  <c r="CQ53" i="3"/>
  <c r="AE54" i="3"/>
  <c r="AX54" i="3"/>
  <c r="BV54" i="3"/>
  <c r="BZ54" i="3" s="1"/>
  <c r="BD54" i="3"/>
  <c r="CX55" i="3"/>
  <c r="AE56" i="3"/>
  <c r="AX56" i="3"/>
  <c r="AX60" i="3" s="1"/>
  <c r="BT60" i="3"/>
  <c r="BV56" i="3"/>
  <c r="BD56" i="3"/>
  <c r="BK56" i="3" s="1"/>
  <c r="AG57" i="3"/>
  <c r="AZ57" i="3"/>
  <c r="BR57" i="3"/>
  <c r="F58" i="3"/>
  <c r="E58" i="3" s="1"/>
  <c r="AV58" i="3"/>
  <c r="T66" i="3"/>
  <c r="O62" i="3"/>
  <c r="X63" i="3"/>
  <c r="BI62" i="3"/>
  <c r="BL66" i="3"/>
  <c r="BL78" i="3" s="1"/>
  <c r="O63" i="3"/>
  <c r="X64" i="3"/>
  <c r="BI63" i="3"/>
  <c r="BW78" i="3"/>
  <c r="CM66" i="3"/>
  <c r="CS62" i="3"/>
  <c r="AY63" i="3"/>
  <c r="AF63" i="3"/>
  <c r="AA63" i="3" s="1"/>
  <c r="CS64" i="3"/>
  <c r="CT64" i="3" s="1"/>
  <c r="AY65" i="3"/>
  <c r="AF65" i="3"/>
  <c r="AA65" i="3" s="1"/>
  <c r="AK72" i="3"/>
  <c r="BQ72" i="3"/>
  <c r="BI68" i="3"/>
  <c r="X69" i="3"/>
  <c r="O68" i="3"/>
  <c r="AB68" i="3" s="1"/>
  <c r="AE69" i="3"/>
  <c r="AX69" i="3"/>
  <c r="AZ74" i="3"/>
  <c r="AG74" i="3"/>
  <c r="CP64" i="3"/>
  <c r="CQ64" i="3" s="1"/>
  <c r="AL65" i="3"/>
  <c r="CQ65" i="3"/>
  <c r="CR65" i="3"/>
  <c r="AV67" i="3"/>
  <c r="CJ67" i="3"/>
  <c r="CH72" i="3"/>
  <c r="CR74" i="3"/>
  <c r="CQ74" i="3"/>
  <c r="D63" i="3"/>
  <c r="E63" i="3" s="1"/>
  <c r="AQ63" i="3"/>
  <c r="AW63" i="3"/>
  <c r="AD63" i="3"/>
  <c r="BS63" i="3"/>
  <c r="D65" i="3"/>
  <c r="E65" i="3" s="1"/>
  <c r="AQ65" i="3"/>
  <c r="AD65" i="3"/>
  <c r="AW65" i="3"/>
  <c r="BS65" i="3"/>
  <c r="K72" i="3"/>
  <c r="K78" i="3" s="1"/>
  <c r="CD72" i="3"/>
  <c r="AW68" i="3"/>
  <c r="AQ68" i="3"/>
  <c r="AD68" i="3"/>
  <c r="AX73" i="3"/>
  <c r="AE73" i="3"/>
  <c r="AE80" i="3"/>
  <c r="AX80" i="3"/>
  <c r="AX84" i="3" s="1"/>
  <c r="CP70" i="3"/>
  <c r="CQ70" i="3" s="1"/>
  <c r="AL71" i="3"/>
  <c r="CQ71" i="3"/>
  <c r="CR71" i="3"/>
  <c r="AG73" i="3"/>
  <c r="AZ73" i="3"/>
  <c r="CG73" i="3"/>
  <c r="CC77" i="3"/>
  <c r="CG77" i="3" s="1"/>
  <c r="D74" i="3"/>
  <c r="AD76" i="3"/>
  <c r="AW76" i="3"/>
  <c r="AQ76" i="3"/>
  <c r="CR82" i="3"/>
  <c r="CQ82" i="3"/>
  <c r="AY94" i="3"/>
  <c r="AF94" i="3"/>
  <c r="CE72" i="3"/>
  <c r="CO72" i="3" s="1"/>
  <c r="CT72" i="3" s="1"/>
  <c r="CO67" i="3"/>
  <c r="CT67" i="3" s="1"/>
  <c r="CO69" i="3"/>
  <c r="CT69" i="3" s="1"/>
  <c r="CO71" i="3"/>
  <c r="CT71" i="3" s="1"/>
  <c r="G77" i="3"/>
  <c r="I77" i="3" s="1"/>
  <c r="D73" i="3"/>
  <c r="AQ73" i="3"/>
  <c r="AD73" i="3"/>
  <c r="AW73" i="3"/>
  <c r="BW77" i="3"/>
  <c r="N74" i="3"/>
  <c r="AA74" i="3" s="1"/>
  <c r="BS74" i="3"/>
  <c r="BS75" i="3"/>
  <c r="AE81" i="3"/>
  <c r="AX81" i="3"/>
  <c r="CC68" i="3"/>
  <c r="CG68" i="3" s="1"/>
  <c r="CY68" i="3"/>
  <c r="N70" i="3"/>
  <c r="AA70" i="3" s="1"/>
  <c r="CC70" i="3"/>
  <c r="CG70" i="3" s="1"/>
  <c r="CY70" i="3"/>
  <c r="AY73" i="3"/>
  <c r="AF73" i="3"/>
  <c r="BY77" i="3"/>
  <c r="BY78" i="3" s="1"/>
  <c r="CS74" i="3"/>
  <c r="CT74" i="3" s="1"/>
  <c r="BN84" i="3"/>
  <c r="BR80" i="3"/>
  <c r="CD77" i="3"/>
  <c r="X75" i="3"/>
  <c r="BI74" i="3"/>
  <c r="O74" i="3"/>
  <c r="CB77" i="3"/>
  <c r="W76" i="3"/>
  <c r="W77" i="3" s="1"/>
  <c r="W78" i="3" s="1"/>
  <c r="W79" i="3" s="1"/>
  <c r="M75" i="3"/>
  <c r="CJ75" i="3"/>
  <c r="CN75" i="3" s="1"/>
  <c r="CP76" i="3"/>
  <c r="AJ84" i="3"/>
  <c r="BU84" i="3"/>
  <c r="BU96" i="3" s="1"/>
  <c r="BI83" i="3"/>
  <c r="X85" i="3"/>
  <c r="O83" i="3"/>
  <c r="AB83" i="3" s="1"/>
  <c r="CL84" i="3"/>
  <c r="CQ80" i="3"/>
  <c r="CR80" i="3"/>
  <c r="AX75" i="3"/>
  <c r="AE75" i="3"/>
  <c r="BV75" i="3"/>
  <c r="BZ75" i="3" s="1"/>
  <c r="BD75" i="3"/>
  <c r="BK75" i="3" s="1"/>
  <c r="AZ76" i="3"/>
  <c r="AG76" i="3"/>
  <c r="BR76" i="3"/>
  <c r="AV80" i="3"/>
  <c r="CH84" i="3"/>
  <c r="CH96" i="3" s="1"/>
  <c r="CJ80" i="3"/>
  <c r="BD81" i="3"/>
  <c r="BK81" i="3" s="1"/>
  <c r="AI84" i="3"/>
  <c r="CE84" i="3"/>
  <c r="CO80" i="3"/>
  <c r="CT82" i="3"/>
  <c r="G90" i="3"/>
  <c r="I90" i="3" s="1"/>
  <c r="D85" i="3"/>
  <c r="F82" i="3"/>
  <c r="AV82" i="3"/>
  <c r="D83" i="3"/>
  <c r="E83" i="3" s="1"/>
  <c r="S90" i="3"/>
  <c r="AO90" i="3" s="1"/>
  <c r="N85" i="3"/>
  <c r="BW90" i="3"/>
  <c r="BW96" i="3" s="1"/>
  <c r="AD88" i="3"/>
  <c r="AQ88" i="3"/>
  <c r="AW88" i="3"/>
  <c r="CS81" i="3"/>
  <c r="CT81" i="3" s="1"/>
  <c r="AF82" i="3"/>
  <c r="AA82" i="3" s="1"/>
  <c r="AY82" i="3"/>
  <c r="N83" i="3"/>
  <c r="AA83" i="3" s="1"/>
  <c r="BS83" i="3"/>
  <c r="CW84" i="3"/>
  <c r="CY83" i="3"/>
  <c r="M83" i="3"/>
  <c r="Z83" i="3" s="1"/>
  <c r="W85" i="3"/>
  <c r="CJ83" i="3"/>
  <c r="CN83" i="3" s="1"/>
  <c r="AL85" i="3"/>
  <c r="CI90" i="3"/>
  <c r="CS86" i="3"/>
  <c r="AF87" i="3"/>
  <c r="AA87" i="3" s="1"/>
  <c r="AY87" i="3"/>
  <c r="CO87" i="3"/>
  <c r="AF88" i="3"/>
  <c r="AY88" i="3"/>
  <c r="AQ85" i="3"/>
  <c r="AD85" i="3"/>
  <c r="AW85" i="3"/>
  <c r="BO90" i="3"/>
  <c r="BS85" i="3"/>
  <c r="CY85" i="3"/>
  <c r="J95" i="3"/>
  <c r="CO86" i="3"/>
  <c r="CS87" i="3"/>
  <c r="AW91" i="3"/>
  <c r="AQ91" i="3"/>
  <c r="AD91" i="3"/>
  <c r="CJ94" i="3"/>
  <c r="CN94" i="3" s="1"/>
  <c r="CB90" i="3"/>
  <c r="M86" i="3"/>
  <c r="W87" i="3"/>
  <c r="CJ86" i="3"/>
  <c r="CN86" i="3" s="1"/>
  <c r="CP87" i="3"/>
  <c r="CQ87" i="3" s="1"/>
  <c r="AL88" i="3"/>
  <c r="CR88" i="3"/>
  <c r="AX89" i="3"/>
  <c r="AE89" i="3"/>
  <c r="BV89" i="3"/>
  <c r="BZ89" i="3" s="1"/>
  <c r="I95" i="3"/>
  <c r="D92" i="3"/>
  <c r="E92" i="3" s="1"/>
  <c r="CA95" i="3"/>
  <c r="CC92" i="3"/>
  <c r="CG92" i="3" s="1"/>
  <c r="CP88" i="3"/>
  <c r="CQ88" i="3" s="1"/>
  <c r="AL89" i="3"/>
  <c r="BS92" i="3"/>
  <c r="F91" i="3"/>
  <c r="AV91" i="3"/>
  <c r="BX95" i="3"/>
  <c r="BI93" i="3"/>
  <c r="X94" i="3"/>
  <c r="X95" i="3" s="1"/>
  <c r="X96" i="3" s="1"/>
  <c r="O93" i="3"/>
  <c r="CJ91" i="3"/>
  <c r="CP92" i="3"/>
  <c r="CQ92" i="3" s="1"/>
  <c r="AL93" i="3"/>
  <c r="CQ93" i="3"/>
  <c r="CR93" i="3"/>
  <c r="AL94" i="3"/>
  <c r="N94" i="3"/>
  <c r="CC94" i="3"/>
  <c r="CG94" i="3" s="1"/>
  <c r="CX95" i="3"/>
  <c r="CX96" i="3" s="1"/>
  <c r="BD94" i="3"/>
  <c r="CP11" i="3"/>
  <c r="CQ11" i="3" s="1"/>
  <c r="DC37" i="5"/>
  <c r="DB37" i="5"/>
  <c r="CZ37" i="5"/>
  <c r="DA37" i="5" s="1"/>
  <c r="CX37" i="5"/>
  <c r="CW37" i="5"/>
  <c r="CM37" i="5"/>
  <c r="CL37" i="5"/>
  <c r="CK37" i="5"/>
  <c r="CJ37" i="5"/>
  <c r="CI37" i="5"/>
  <c r="CH37" i="5"/>
  <c r="CF37" i="5"/>
  <c r="CE37" i="5"/>
  <c r="CD37" i="5"/>
  <c r="CC37" i="5"/>
  <c r="CB37" i="5"/>
  <c r="CA37" i="5"/>
  <c r="BY37" i="5"/>
  <c r="CS37" i="5" s="1"/>
  <c r="BX37" i="5"/>
  <c r="BW37" i="5"/>
  <c r="BV37" i="5"/>
  <c r="BU37" i="5"/>
  <c r="BT37" i="5"/>
  <c r="BQ37" i="5"/>
  <c r="BP37" i="5"/>
  <c r="BO37" i="5"/>
  <c r="BN37" i="5"/>
  <c r="BM37" i="5"/>
  <c r="BL37" i="5"/>
  <c r="BG37" i="5"/>
  <c r="BF37" i="5"/>
  <c r="BC37" i="5"/>
  <c r="AU37" i="5"/>
  <c r="AT37" i="5"/>
  <c r="AS37" i="5"/>
  <c r="AR37" i="5"/>
  <c r="AP37" i="5"/>
  <c r="AG37" i="5" s="1"/>
  <c r="AO37" i="5"/>
  <c r="AF37" i="5" s="1"/>
  <c r="AN37" i="5"/>
  <c r="AM37" i="5"/>
  <c r="AK37" i="5"/>
  <c r="AJ37" i="5"/>
  <c r="AI37" i="5"/>
  <c r="AH37" i="5"/>
  <c r="AW37" i="5" s="1"/>
  <c r="T37" i="5"/>
  <c r="S37" i="5"/>
  <c r="R37" i="5"/>
  <c r="Q37" i="5"/>
  <c r="K37" i="5"/>
  <c r="J37" i="5"/>
  <c r="I37" i="5"/>
  <c r="H37" i="5"/>
  <c r="G37" i="5"/>
  <c r="DC36" i="5"/>
  <c r="DB36" i="5"/>
  <c r="CZ36" i="5"/>
  <c r="DA36" i="5" s="1"/>
  <c r="CX36" i="5"/>
  <c r="CW36" i="5"/>
  <c r="CM36" i="5"/>
  <c r="CL36" i="5"/>
  <c r="CK36" i="5"/>
  <c r="CJ36" i="5"/>
  <c r="CI36" i="5"/>
  <c r="CH36" i="5"/>
  <c r="CF36" i="5"/>
  <c r="CE36" i="5"/>
  <c r="CD36" i="5"/>
  <c r="CC36" i="5"/>
  <c r="CB36" i="5"/>
  <c r="CA36" i="5"/>
  <c r="BY36" i="5"/>
  <c r="BX36" i="5"/>
  <c r="BW36" i="5"/>
  <c r="BV36" i="5"/>
  <c r="BU36" i="5"/>
  <c r="BT36" i="5"/>
  <c r="BQ36" i="5"/>
  <c r="BP36" i="5"/>
  <c r="BO36" i="5"/>
  <c r="BN36" i="5"/>
  <c r="BM36" i="5"/>
  <c r="BL36" i="5"/>
  <c r="BG36" i="5"/>
  <c r="BF36" i="5"/>
  <c r="BC36" i="5"/>
  <c r="AU36" i="5"/>
  <c r="AT36" i="5"/>
  <c r="AS36" i="5"/>
  <c r="AR36" i="5"/>
  <c r="AP36" i="5"/>
  <c r="AO36" i="5"/>
  <c r="AF36" i="5" s="1"/>
  <c r="AN36" i="5"/>
  <c r="AE36" i="5" s="1"/>
  <c r="AM36" i="5"/>
  <c r="AD36" i="5" s="1"/>
  <c r="AK36" i="5"/>
  <c r="AJ36" i="5"/>
  <c r="AI36" i="5"/>
  <c r="AH36" i="5"/>
  <c r="T36" i="5"/>
  <c r="S36" i="5"/>
  <c r="R36" i="5"/>
  <c r="Q36" i="5"/>
  <c r="K36" i="5"/>
  <c r="J36" i="5"/>
  <c r="I36" i="5"/>
  <c r="H36" i="5"/>
  <c r="G36" i="5"/>
  <c r="K79" i="3" l="1"/>
  <c r="CN91" i="3"/>
  <c r="CJ95" i="3"/>
  <c r="CN95" i="3" s="1"/>
  <c r="D90" i="3"/>
  <c r="H90" i="3" s="1"/>
  <c r="F90" i="3" s="1"/>
  <c r="E85" i="3"/>
  <c r="E90" i="3" s="1"/>
  <c r="CE96" i="3"/>
  <c r="CO96" i="3" s="1"/>
  <c r="CO84" i="3"/>
  <c r="BJ33" i="3"/>
  <c r="BE33" i="3"/>
  <c r="BB33" i="3"/>
  <c r="Q39" i="3"/>
  <c r="BE37" i="3"/>
  <c r="BJ37" i="3"/>
  <c r="BA38" i="3"/>
  <c r="BE12" i="3"/>
  <c r="BJ12" i="3"/>
  <c r="BB12" i="3"/>
  <c r="R27" i="3"/>
  <c r="AN15" i="3"/>
  <c r="D32" i="3"/>
  <c r="E28" i="3"/>
  <c r="E32" i="3" s="1"/>
  <c r="BJ19" i="3"/>
  <c r="BE19" i="3"/>
  <c r="BB19" i="3"/>
  <c r="AI90" i="3"/>
  <c r="CF96" i="3"/>
  <c r="CP96" i="3" s="1"/>
  <c r="CP84" i="3"/>
  <c r="AA67" i="3"/>
  <c r="AA72" i="3" s="1"/>
  <c r="N72" i="3"/>
  <c r="BK71" i="3"/>
  <c r="BD72" i="3"/>
  <c r="BK72" i="3" s="1"/>
  <c r="CI61" i="3"/>
  <c r="BJ17" i="3"/>
  <c r="BE17" i="3"/>
  <c r="BB17" i="3"/>
  <c r="BN44" i="3"/>
  <c r="BR44" i="3" s="1"/>
  <c r="BR32" i="3"/>
  <c r="BD38" i="3"/>
  <c r="BK38" i="3" s="1"/>
  <c r="BK37" i="3"/>
  <c r="O90" i="3"/>
  <c r="AB85" i="3"/>
  <c r="BP79" i="3"/>
  <c r="BI39" i="3"/>
  <c r="BT96" i="3"/>
  <c r="Y23" i="3"/>
  <c r="P23" i="3"/>
  <c r="Q27" i="3"/>
  <c r="AM15" i="3"/>
  <c r="U15" i="3"/>
  <c r="BH15" i="3"/>
  <c r="M21" i="3"/>
  <c r="Z16" i="3"/>
  <c r="AX66" i="3"/>
  <c r="AA11" i="3"/>
  <c r="AA15" i="3" s="1"/>
  <c r="N15" i="3"/>
  <c r="AZ37" i="5"/>
  <c r="AA94" i="3"/>
  <c r="CT87" i="3"/>
  <c r="AB74" i="3"/>
  <c r="D77" i="3"/>
  <c r="H77" i="3" s="1"/>
  <c r="F77" i="3" s="1"/>
  <c r="E73" i="3"/>
  <c r="CJ72" i="3"/>
  <c r="CN72" i="3" s="1"/>
  <c r="CN67" i="3"/>
  <c r="BP78" i="3"/>
  <c r="R78" i="3"/>
  <c r="CP55" i="3"/>
  <c r="N55" i="3"/>
  <c r="AA50" i="3"/>
  <c r="BI41" i="3"/>
  <c r="CF61" i="3"/>
  <c r="CP49" i="3"/>
  <c r="CW39" i="3"/>
  <c r="CY38" i="3"/>
  <c r="J44" i="3"/>
  <c r="J79" i="3" s="1"/>
  <c r="BE13" i="3"/>
  <c r="BJ13" i="3"/>
  <c r="BB13" i="3"/>
  <c r="BJ28" i="3"/>
  <c r="BE28" i="3"/>
  <c r="BB28" i="3"/>
  <c r="S44" i="3"/>
  <c r="AO44" i="3" s="1"/>
  <c r="AO32" i="3"/>
  <c r="AY32" i="3" s="1"/>
  <c r="AB22" i="3"/>
  <c r="O26" i="3"/>
  <c r="N26" i="3"/>
  <c r="AA22" i="3"/>
  <c r="CS21" i="3"/>
  <c r="M15" i="3"/>
  <c r="Z11" i="3"/>
  <c r="Z30" i="3"/>
  <c r="L32" i="3"/>
  <c r="P28" i="3"/>
  <c r="Y28" i="3"/>
  <c r="BZ21" i="3"/>
  <c r="BE18" i="3"/>
  <c r="BJ18" i="3"/>
  <c r="BB18" i="3"/>
  <c r="Y17" i="3"/>
  <c r="AC17" i="3" s="1"/>
  <c r="P17" i="3"/>
  <c r="Z14" i="3"/>
  <c r="CR21" i="3"/>
  <c r="CT85" i="3"/>
  <c r="BI75" i="3"/>
  <c r="CY90" i="3"/>
  <c r="M90" i="3"/>
  <c r="Z85" i="3"/>
  <c r="S96" i="3"/>
  <c r="AO96" i="3" s="1"/>
  <c r="AO84" i="3"/>
  <c r="T96" i="3"/>
  <c r="AP84" i="3"/>
  <c r="BX78" i="3"/>
  <c r="CA61" i="3"/>
  <c r="AB50" i="3"/>
  <c r="O55" i="3"/>
  <c r="AB48" i="3"/>
  <c r="CJ66" i="3"/>
  <c r="CN62" i="3"/>
  <c r="BV49" i="3"/>
  <c r="BZ45" i="3"/>
  <c r="CB44" i="3"/>
  <c r="T44" i="3"/>
  <c r="CT11" i="3"/>
  <c r="D95" i="3"/>
  <c r="H95" i="3" s="1"/>
  <c r="F95" i="3" s="1"/>
  <c r="E91" i="3"/>
  <c r="E95" i="3" s="1"/>
  <c r="CT91" i="3"/>
  <c r="CJ90" i="3"/>
  <c r="CN90" i="3" s="1"/>
  <c r="CN85" i="3"/>
  <c r="CT68" i="3"/>
  <c r="CP77" i="3"/>
  <c r="BR72" i="3"/>
  <c r="CD96" i="3"/>
  <c r="CA78" i="3"/>
  <c r="E52" i="3"/>
  <c r="BO61" i="3"/>
  <c r="BS61" i="3" s="1"/>
  <c r="BS49" i="3"/>
  <c r="E45" i="3"/>
  <c r="D49" i="3"/>
  <c r="BK48" i="3"/>
  <c r="BD49" i="3"/>
  <c r="BK49" i="3" s="1"/>
  <c r="AJ72" i="3"/>
  <c r="AJ78" i="3" s="1"/>
  <c r="AI55" i="3"/>
  <c r="AA48" i="3"/>
  <c r="AB42" i="3"/>
  <c r="AB37" i="3"/>
  <c r="AA31" i="3"/>
  <c r="AB34" i="3"/>
  <c r="M38" i="3"/>
  <c r="Z33" i="3"/>
  <c r="BT44" i="3"/>
  <c r="BQ44" i="3"/>
  <c r="Y20" i="3"/>
  <c r="P20" i="3"/>
  <c r="AA17" i="3"/>
  <c r="AM21" i="3"/>
  <c r="U21" i="3"/>
  <c r="BH21" i="3"/>
  <c r="BW27" i="3"/>
  <c r="BW79" i="3" s="1"/>
  <c r="AB24" i="3"/>
  <c r="AJ26" i="3"/>
  <c r="AP21" i="3"/>
  <c r="BI21" i="3"/>
  <c r="BS43" i="3"/>
  <c r="CT26" i="3"/>
  <c r="N21" i="3"/>
  <c r="AA16" i="3"/>
  <c r="BQ27" i="3"/>
  <c r="BQ79" i="3" s="1"/>
  <c r="AY43" i="3"/>
  <c r="BV27" i="3"/>
  <c r="BZ15" i="3"/>
  <c r="BJ29" i="3"/>
  <c r="BE29" i="3"/>
  <c r="BB29" i="3"/>
  <c r="AA19" i="3"/>
  <c r="AI15" i="3"/>
  <c r="CN21" i="3"/>
  <c r="CT39" i="3"/>
  <c r="P31" i="3"/>
  <c r="Y31" i="3"/>
  <c r="AC31" i="3" s="1"/>
  <c r="BM44" i="3"/>
  <c r="CH27" i="3"/>
  <c r="BS77" i="3"/>
  <c r="CN26" i="3"/>
  <c r="BZ26" i="3"/>
  <c r="AK21" i="3"/>
  <c r="AK27" i="3" s="1"/>
  <c r="CE44" i="3"/>
  <c r="CO44" i="3" s="1"/>
  <c r="CO32" i="3"/>
  <c r="AB12" i="3"/>
  <c r="Y37" i="3"/>
  <c r="AC37" i="3" s="1"/>
  <c r="P37" i="3"/>
  <c r="BZ32" i="3"/>
  <c r="P29" i="3"/>
  <c r="Y29" i="3"/>
  <c r="AC29" i="3" s="1"/>
  <c r="CT62" i="3"/>
  <c r="G78" i="3"/>
  <c r="I78" i="3" s="1"/>
  <c r="I79" i="3" s="1"/>
  <c r="M43" i="3"/>
  <c r="Z39" i="3"/>
  <c r="CJ27" i="3"/>
  <c r="CN15" i="3"/>
  <c r="AJ21" i="3"/>
  <c r="AJ27" i="3" s="1"/>
  <c r="O72" i="3"/>
  <c r="AP72" i="3" s="1"/>
  <c r="AB67" i="3"/>
  <c r="U38" i="3"/>
  <c r="BS26" i="3"/>
  <c r="D26" i="3"/>
  <c r="H26" i="3" s="1"/>
  <c r="F26" i="3" s="1"/>
  <c r="E22" i="3"/>
  <c r="E26" i="3" s="1"/>
  <c r="CO21" i="3"/>
  <c r="CT21" i="3" s="1"/>
  <c r="CY15" i="3"/>
  <c r="CY66" i="3"/>
  <c r="BI56" i="3"/>
  <c r="CM61" i="3"/>
  <c r="CS49" i="3"/>
  <c r="AB35" i="3"/>
  <c r="T78" i="3"/>
  <c r="BK54" i="3"/>
  <c r="BD55" i="3"/>
  <c r="S78" i="3"/>
  <c r="AO78" i="3" s="1"/>
  <c r="AO66" i="3"/>
  <c r="L26" i="3"/>
  <c r="Y22" i="3"/>
  <c r="P22" i="3"/>
  <c r="BN61" i="3"/>
  <c r="BR61" i="3" s="1"/>
  <c r="BR49" i="3"/>
  <c r="BI26" i="3"/>
  <c r="AP26" i="3"/>
  <c r="CC27" i="3"/>
  <c r="CG15" i="3"/>
  <c r="BK14" i="3"/>
  <c r="BD15" i="3"/>
  <c r="CR90" i="3"/>
  <c r="CQ90" i="3"/>
  <c r="CA96" i="3"/>
  <c r="Z80" i="3"/>
  <c r="M84" i="3"/>
  <c r="S61" i="3"/>
  <c r="AO61" i="3" s="1"/>
  <c r="AO49" i="3"/>
  <c r="CK44" i="3"/>
  <c r="BL96" i="3"/>
  <c r="CJ77" i="3"/>
  <c r="CN77" i="3" s="1"/>
  <c r="CN73" i="3"/>
  <c r="BI71" i="3"/>
  <c r="BI72" i="3" s="1"/>
  <c r="BZ62" i="3"/>
  <c r="BV66" i="3"/>
  <c r="AN38" i="3"/>
  <c r="AX38" i="3" s="1"/>
  <c r="BE20" i="3"/>
  <c r="BA21" i="3"/>
  <c r="BJ20" i="3"/>
  <c r="BB20" i="3"/>
  <c r="BB21" i="3" s="1"/>
  <c r="BL27" i="3"/>
  <c r="BL79" i="3" s="1"/>
  <c r="D15" i="3"/>
  <c r="E11" i="3"/>
  <c r="E15" i="3" s="1"/>
  <c r="N77" i="3"/>
  <c r="AA73" i="3"/>
  <c r="AA77" i="3" s="1"/>
  <c r="AF77" i="3" s="1"/>
  <c r="Y34" i="3"/>
  <c r="AC34" i="3" s="1"/>
  <c r="P34" i="3"/>
  <c r="Y14" i="3"/>
  <c r="AC14" i="3" s="1"/>
  <c r="P14" i="3"/>
  <c r="CA79" i="3"/>
  <c r="CL27" i="3"/>
  <c r="CQ15" i="3"/>
  <c r="CR15" i="3"/>
  <c r="BJ35" i="3"/>
  <c r="BE35" i="3"/>
  <c r="M77" i="3"/>
  <c r="Z73" i="3"/>
  <c r="L15" i="3"/>
  <c r="BK94" i="3"/>
  <c r="BD95" i="3"/>
  <c r="Z86" i="3"/>
  <c r="CT86" i="3"/>
  <c r="BS90" i="3"/>
  <c r="N90" i="3"/>
  <c r="AA85" i="3"/>
  <c r="CT80" i="3"/>
  <c r="CJ84" i="3"/>
  <c r="CN80" i="3"/>
  <c r="CL96" i="3"/>
  <c r="CR84" i="3"/>
  <c r="CQ84" i="3"/>
  <c r="Z75" i="3"/>
  <c r="BN96" i="3"/>
  <c r="BR96" i="3" s="1"/>
  <c r="BR84" i="3"/>
  <c r="E74" i="3"/>
  <c r="AX77" i="3"/>
  <c r="CM78" i="3"/>
  <c r="CS78" i="3" s="1"/>
  <c r="CS66" i="3"/>
  <c r="AB63" i="3"/>
  <c r="O66" i="3"/>
  <c r="AB62" i="3"/>
  <c r="BV60" i="3"/>
  <c r="BZ60" i="3" s="1"/>
  <c r="BZ56" i="3"/>
  <c r="N66" i="3"/>
  <c r="AA62" i="3"/>
  <c r="AA66" i="3" s="1"/>
  <c r="D60" i="3"/>
  <c r="H60" i="3" s="1"/>
  <c r="F60" i="3" s="1"/>
  <c r="E56" i="3"/>
  <c r="E60" i="3" s="1"/>
  <c r="Z52" i="3"/>
  <c r="CE61" i="3"/>
  <c r="CO49" i="3"/>
  <c r="CT49" i="3" s="1"/>
  <c r="BI46" i="3"/>
  <c r="N38" i="3"/>
  <c r="AA33" i="3"/>
  <c r="AA38" i="3" s="1"/>
  <c r="AF38" i="3" s="1"/>
  <c r="AJ49" i="3"/>
  <c r="AJ61" i="3" s="1"/>
  <c r="Z29" i="3"/>
  <c r="AA23" i="3"/>
  <c r="AM26" i="3"/>
  <c r="U26" i="3"/>
  <c r="BS15" i="3"/>
  <c r="BO27" i="3"/>
  <c r="AK38" i="3"/>
  <c r="N32" i="3"/>
  <c r="AA28" i="3"/>
  <c r="AA32" i="3" s="1"/>
  <c r="R44" i="3"/>
  <c r="AI44" i="3" s="1"/>
  <c r="BE22" i="3"/>
  <c r="BJ22" i="3"/>
  <c r="BB22" i="3"/>
  <c r="AY26" i="3"/>
  <c r="G44" i="3"/>
  <c r="CF27" i="3"/>
  <c r="AI95" i="3"/>
  <c r="M95" i="3"/>
  <c r="Z91" i="3"/>
  <c r="Z95" i="3" s="1"/>
  <c r="AE95" i="3" s="1"/>
  <c r="CC90" i="3"/>
  <c r="CG90" i="3" s="1"/>
  <c r="CG85" i="3"/>
  <c r="Z93" i="3"/>
  <c r="AB92" i="3"/>
  <c r="BV95" i="3"/>
  <c r="BZ95" i="3" s="1"/>
  <c r="BZ91" i="3"/>
  <c r="BD90" i="3"/>
  <c r="BK89" i="3"/>
  <c r="CC84" i="3"/>
  <c r="CG80" i="3"/>
  <c r="AB76" i="3"/>
  <c r="CC72" i="3"/>
  <c r="CG72" i="3" s="1"/>
  <c r="CG67" i="3"/>
  <c r="AB70" i="3"/>
  <c r="AX72" i="3"/>
  <c r="BO78" i="3"/>
  <c r="BS78" i="3" s="1"/>
  <c r="BS66" i="3"/>
  <c r="CL78" i="3"/>
  <c r="CR66" i="3"/>
  <c r="CO60" i="3"/>
  <c r="CT60" i="3" s="1"/>
  <c r="CD78" i="3"/>
  <c r="CR60" i="3"/>
  <c r="CQ60" i="3"/>
  <c r="AA45" i="3"/>
  <c r="AA49" i="3" s="1"/>
  <c r="N49" i="3"/>
  <c r="BI50" i="3"/>
  <c r="BK42" i="3"/>
  <c r="BD43" i="3"/>
  <c r="BK31" i="3"/>
  <c r="BD32" i="3"/>
  <c r="BK32" i="3" s="1"/>
  <c r="CO15" i="3"/>
  <c r="CE27" i="3"/>
  <c r="BV90" i="3"/>
  <c r="BZ90" i="3" s="1"/>
  <c r="BZ85" i="3"/>
  <c r="AA92" i="3"/>
  <c r="CO95" i="3"/>
  <c r="CT95" i="3" s="1"/>
  <c r="AX90" i="3"/>
  <c r="AX96" i="3" s="1"/>
  <c r="BO96" i="3"/>
  <c r="BS96" i="3" s="1"/>
  <c r="BS84" i="3"/>
  <c r="G96" i="3"/>
  <c r="I96" i="3" s="1"/>
  <c r="AB81" i="3"/>
  <c r="BD77" i="3"/>
  <c r="BI77" i="3" s="1"/>
  <c r="BK76" i="3"/>
  <c r="BS72" i="3"/>
  <c r="BD84" i="3"/>
  <c r="BK84" i="3" s="1"/>
  <c r="BK83" i="3"/>
  <c r="Z74" i="3"/>
  <c r="AB58" i="3"/>
  <c r="AB57" i="3"/>
  <c r="E47" i="3"/>
  <c r="G61" i="3"/>
  <c r="I61" i="3" s="1"/>
  <c r="AX55" i="3"/>
  <c r="AX49" i="3"/>
  <c r="AX61" i="3" s="1"/>
  <c r="BI42" i="3"/>
  <c r="O38" i="3"/>
  <c r="AP38" i="3" s="1"/>
  <c r="AZ38" i="3" s="1"/>
  <c r="AB33" i="3"/>
  <c r="BI37" i="3"/>
  <c r="BA32" i="3"/>
  <c r="BJ31" i="3"/>
  <c r="BE31" i="3"/>
  <c r="BB31" i="3"/>
  <c r="BB32" i="3" s="1"/>
  <c r="CP43" i="3"/>
  <c r="BI34" i="3"/>
  <c r="J61" i="3"/>
  <c r="AK32" i="3"/>
  <c r="AK26" i="3"/>
  <c r="AL26" i="3" s="1"/>
  <c r="Y16" i="3"/>
  <c r="P16" i="3"/>
  <c r="L21" i="3"/>
  <c r="BU44" i="3"/>
  <c r="BU79" i="3" s="1"/>
  <c r="AB25" i="3"/>
  <c r="O21" i="3"/>
  <c r="AB16" i="3"/>
  <c r="AI26" i="3"/>
  <c r="Y19" i="3"/>
  <c r="AC19" i="3" s="1"/>
  <c r="P19" i="3"/>
  <c r="BE16" i="3"/>
  <c r="BB16" i="3"/>
  <c r="BJ16" i="3"/>
  <c r="AY21" i="3"/>
  <c r="CG32" i="3"/>
  <c r="BN27" i="3"/>
  <c r="BR15" i="3"/>
  <c r="Z20" i="3"/>
  <c r="CR38" i="3"/>
  <c r="Y18" i="3"/>
  <c r="AC18" i="3" s="1"/>
  <c r="P18" i="3"/>
  <c r="AB20" i="3"/>
  <c r="M49" i="3"/>
  <c r="Z45" i="3"/>
  <c r="Z49" i="3" s="1"/>
  <c r="CO43" i="3"/>
  <c r="CT43" i="3" s="1"/>
  <c r="BH31" i="3"/>
  <c r="CB27" i="3"/>
  <c r="CB79" i="3" s="1"/>
  <c r="CP95" i="3"/>
  <c r="CS77" i="3"/>
  <c r="AL38" i="3"/>
  <c r="BK20" i="3"/>
  <c r="BD21" i="3"/>
  <c r="D38" i="3"/>
  <c r="H38" i="3" s="1"/>
  <c r="F38" i="3" s="1"/>
  <c r="E33" i="3"/>
  <c r="E38" i="3" s="1"/>
  <c r="CR55" i="3"/>
  <c r="CQ55" i="3"/>
  <c r="Z41" i="3"/>
  <c r="BI43" i="3"/>
  <c r="AB36" i="3"/>
  <c r="Y24" i="3"/>
  <c r="AC24" i="3" s="1"/>
  <c r="P24" i="3"/>
  <c r="O15" i="3"/>
  <c r="AB11" i="3"/>
  <c r="AB15" i="3" s="1"/>
  <c r="BJ34" i="3"/>
  <c r="BE34" i="3"/>
  <c r="BB34" i="3"/>
  <c r="BD26" i="3"/>
  <c r="BK25" i="3"/>
  <c r="BV84" i="3"/>
  <c r="BZ80" i="3"/>
  <c r="BV72" i="3"/>
  <c r="BZ72" i="3" s="1"/>
  <c r="BZ67" i="3"/>
  <c r="M72" i="3"/>
  <c r="Z67" i="3"/>
  <c r="BI54" i="3"/>
  <c r="Z56" i="3"/>
  <c r="M60" i="3"/>
  <c r="BH37" i="3"/>
  <c r="AZ49" i="3"/>
  <c r="BE11" i="3"/>
  <c r="BJ11" i="3"/>
  <c r="BB11" i="3"/>
  <c r="Z36" i="3"/>
  <c r="BH29" i="3"/>
  <c r="O77" i="3"/>
  <c r="AB73" i="3"/>
  <c r="AB77" i="3" s="1"/>
  <c r="AG77" i="3" s="1"/>
  <c r="CE78" i="3"/>
  <c r="CO78" i="3" s="1"/>
  <c r="CT78" i="3" s="1"/>
  <c r="CO66" i="3"/>
  <c r="CT66" i="3" s="1"/>
  <c r="CG56" i="3"/>
  <c r="CC60" i="3"/>
  <c r="CG60" i="3" s="1"/>
  <c r="BI52" i="3"/>
  <c r="P33" i="3"/>
  <c r="L38" i="3"/>
  <c r="AM38" i="3" s="1"/>
  <c r="Y33" i="3"/>
  <c r="BY44" i="3"/>
  <c r="BY79" i="3" s="1"/>
  <c r="BJ25" i="3"/>
  <c r="BE25" i="3"/>
  <c r="BA26" i="3"/>
  <c r="BB25" i="3"/>
  <c r="BB26" i="3" s="1"/>
  <c r="BB27" i="3" s="1"/>
  <c r="Y13" i="3"/>
  <c r="AC13" i="3" s="1"/>
  <c r="P13" i="3"/>
  <c r="BJ30" i="3"/>
  <c r="BE30" i="3"/>
  <c r="BB30" i="3"/>
  <c r="AN21" i="3"/>
  <c r="AX21" i="3" s="1"/>
  <c r="AI66" i="3"/>
  <c r="Z63" i="3"/>
  <c r="CJ60" i="3"/>
  <c r="CN60" i="3" s="1"/>
  <c r="CN56" i="3"/>
  <c r="AJ38" i="3"/>
  <c r="AY38" i="3" s="1"/>
  <c r="BN78" i="3"/>
  <c r="BR78" i="3" s="1"/>
  <c r="BR66" i="3"/>
  <c r="BK65" i="3"/>
  <c r="BD66" i="3"/>
  <c r="BK66" i="3" s="1"/>
  <c r="CC43" i="3"/>
  <c r="CG43" i="3" s="1"/>
  <c r="CG39" i="3"/>
  <c r="CL61" i="3"/>
  <c r="CQ49" i="3"/>
  <c r="CR49" i="3"/>
  <c r="D72" i="3"/>
  <c r="H72" i="3" s="1"/>
  <c r="F72" i="3" s="1"/>
  <c r="E67" i="3"/>
  <c r="E72" i="3" s="1"/>
  <c r="AB28" i="3"/>
  <c r="AB32" i="3" s="1"/>
  <c r="O32" i="3"/>
  <c r="BI95" i="3"/>
  <c r="D84" i="3"/>
  <c r="E80" i="3"/>
  <c r="E84" i="3" s="1"/>
  <c r="E96" i="3" s="1"/>
  <c r="CT77" i="3"/>
  <c r="O49" i="3"/>
  <c r="AB45" i="3"/>
  <c r="AB49" i="3" s="1"/>
  <c r="AP15" i="3"/>
  <c r="AZ15" i="3" s="1"/>
  <c r="T27" i="3"/>
  <c r="BI15" i="3"/>
  <c r="P25" i="3"/>
  <c r="Y25" i="3"/>
  <c r="AC25" i="3" s="1"/>
  <c r="BH33" i="3"/>
  <c r="BH38" i="3" s="1"/>
  <c r="BE14" i="3"/>
  <c r="BA15" i="3"/>
  <c r="BB14" i="3"/>
  <c r="BB15" i="3" s="1"/>
  <c r="BJ14" i="3"/>
  <c r="AB56" i="3"/>
  <c r="AB60" i="3" s="1"/>
  <c r="O60" i="3"/>
  <c r="AB93" i="3"/>
  <c r="AK95" i="3"/>
  <c r="CY84" i="3"/>
  <c r="M66" i="3"/>
  <c r="Z62" i="3"/>
  <c r="CC55" i="3"/>
  <c r="CG55" i="3" s="1"/>
  <c r="CG50" i="3"/>
  <c r="BJ36" i="3"/>
  <c r="BE36" i="3"/>
  <c r="M55" i="3"/>
  <c r="AN55" i="3" s="1"/>
  <c r="Z50" i="3"/>
  <c r="CB61" i="3"/>
  <c r="AB41" i="3"/>
  <c r="CN45" i="3"/>
  <c r="CJ49" i="3"/>
  <c r="CP32" i="3"/>
  <c r="CF44" i="3"/>
  <c r="CP44" i="3" s="1"/>
  <c r="CL44" i="3"/>
  <c r="CR32" i="3"/>
  <c r="CQ32" i="3"/>
  <c r="BJ23" i="3"/>
  <c r="BE23" i="3"/>
  <c r="BB23" i="3"/>
  <c r="Y12" i="3"/>
  <c r="AC12" i="3" s="1"/>
  <c r="P12" i="3"/>
  <c r="CI27" i="3"/>
  <c r="CI79" i="3" s="1"/>
  <c r="BO44" i="3"/>
  <c r="BS44" i="3" s="1"/>
  <c r="BS32" i="3"/>
  <c r="M32" i="3"/>
  <c r="Z28" i="3"/>
  <c r="Z32" i="3" s="1"/>
  <c r="BM79" i="3"/>
  <c r="CD61" i="3"/>
  <c r="U32" i="3"/>
  <c r="BH32" i="3"/>
  <c r="AM32" i="3"/>
  <c r="AH15" i="3"/>
  <c r="CN38" i="3"/>
  <c r="BX61" i="3"/>
  <c r="BX79" i="3" s="1"/>
  <c r="CJ55" i="3"/>
  <c r="CN55" i="3" s="1"/>
  <c r="CN50" i="3"/>
  <c r="E16" i="3"/>
  <c r="E21" i="3" s="1"/>
  <c r="D21" i="3"/>
  <c r="H21" i="3" s="1"/>
  <c r="F21" i="3" s="1"/>
  <c r="AK96" i="3"/>
  <c r="AX95" i="3"/>
  <c r="AB87" i="3"/>
  <c r="CC95" i="3"/>
  <c r="CG95" i="3" s="1"/>
  <c r="AJ90" i="3"/>
  <c r="AJ96" i="3" s="1"/>
  <c r="N84" i="3"/>
  <c r="AA80" i="3"/>
  <c r="AA84" i="3" s="1"/>
  <c r="CB96" i="3"/>
  <c r="O84" i="3"/>
  <c r="AB80" i="3"/>
  <c r="BV77" i="3"/>
  <c r="BZ77" i="3" s="1"/>
  <c r="BZ73" i="3"/>
  <c r="CY72" i="3"/>
  <c r="R96" i="3"/>
  <c r="AN96" i="3" s="1"/>
  <c r="AN84" i="3"/>
  <c r="Z65" i="3"/>
  <c r="CY55" i="3"/>
  <c r="Z54" i="3"/>
  <c r="CC49" i="3"/>
  <c r="CG45" i="3"/>
  <c r="AA53" i="3"/>
  <c r="AP55" i="3"/>
  <c r="BI55" i="3"/>
  <c r="CH78" i="3"/>
  <c r="CS55" i="3"/>
  <c r="CT55" i="3" s="1"/>
  <c r="AK61" i="3"/>
  <c r="BT61" i="3"/>
  <c r="BT79" i="3" s="1"/>
  <c r="P35" i="3"/>
  <c r="Y35" i="3"/>
  <c r="AC35" i="3" s="1"/>
  <c r="CD27" i="3"/>
  <c r="CD79" i="3" s="1"/>
  <c r="CQ95" i="3"/>
  <c r="CR95" i="3"/>
  <c r="O95" i="3"/>
  <c r="AB91" i="3"/>
  <c r="AB95" i="3" s="1"/>
  <c r="AG95" i="3" s="1"/>
  <c r="N95" i="3"/>
  <c r="AA91" i="3"/>
  <c r="AA95" i="3" s="1"/>
  <c r="AF95" i="3" s="1"/>
  <c r="AB94" i="3"/>
  <c r="AA86" i="3"/>
  <c r="BR90" i="3"/>
  <c r="AA81" i="3"/>
  <c r="AB82" i="3"/>
  <c r="AZ95" i="3"/>
  <c r="CI96" i="3"/>
  <c r="J96" i="3"/>
  <c r="Z81" i="3"/>
  <c r="CT70" i="3"/>
  <c r="CC66" i="3"/>
  <c r="CG62" i="3"/>
  <c r="AK66" i="3"/>
  <c r="AK78" i="3" s="1"/>
  <c r="BI58" i="3"/>
  <c r="BT78" i="3"/>
  <c r="Z58" i="3"/>
  <c r="BV55" i="3"/>
  <c r="BZ55" i="3" s="1"/>
  <c r="BZ50" i="3"/>
  <c r="CT50" i="3"/>
  <c r="BY61" i="3"/>
  <c r="E39" i="3"/>
  <c r="E43" i="3" s="1"/>
  <c r="D43" i="3"/>
  <c r="H43" i="3" s="1"/>
  <c r="F43" i="3" s="1"/>
  <c r="BI33" i="3"/>
  <c r="BI38" i="3" s="1"/>
  <c r="CO38" i="3"/>
  <c r="CT38" i="3" s="1"/>
  <c r="CY32" i="3"/>
  <c r="CJ44" i="3"/>
  <c r="CN32" i="3"/>
  <c r="P30" i="3"/>
  <c r="Y30" i="3"/>
  <c r="AC30" i="3" s="1"/>
  <c r="CM27" i="3"/>
  <c r="CS15" i="3"/>
  <c r="BV43" i="3"/>
  <c r="BZ43" i="3" s="1"/>
  <c r="BZ39" i="3"/>
  <c r="CT22" i="3"/>
  <c r="CK27" i="3"/>
  <c r="CK79" i="3" s="1"/>
  <c r="AA39" i="3"/>
  <c r="AA43" i="3" s="1"/>
  <c r="AF43" i="3" s="1"/>
  <c r="N43" i="3"/>
  <c r="Z18" i="3"/>
  <c r="G27" i="3"/>
  <c r="G79" i="3" s="1"/>
  <c r="AH21" i="3"/>
  <c r="AL21" i="3" s="1"/>
  <c r="CR26" i="3"/>
  <c r="CQ26" i="3"/>
  <c r="BE24" i="3"/>
  <c r="BJ24" i="3"/>
  <c r="BB24" i="3"/>
  <c r="M26" i="3"/>
  <c r="Z22" i="3"/>
  <c r="Z26" i="3" s="1"/>
  <c r="AE26" i="3" s="1"/>
  <c r="AB23" i="3"/>
  <c r="T61" i="3"/>
  <c r="AP49" i="3"/>
  <c r="BI49" i="3"/>
  <c r="I32" i="3"/>
  <c r="I44" i="3" s="1"/>
  <c r="R61" i="3"/>
  <c r="AN49" i="3"/>
  <c r="CM44" i="3"/>
  <c r="CS44" i="3" s="1"/>
  <c r="CS32" i="3"/>
  <c r="BR26" i="3"/>
  <c r="CM96" i="3"/>
  <c r="CS96" i="3" s="1"/>
  <c r="CS84" i="3"/>
  <c r="CR77" i="3"/>
  <c r="CQ77" i="3"/>
  <c r="BH34" i="3"/>
  <c r="O43" i="3"/>
  <c r="AP43" i="3" s="1"/>
  <c r="AZ43" i="3" s="1"/>
  <c r="AB39" i="3"/>
  <c r="AB43" i="3" s="1"/>
  <c r="AG43" i="3" s="1"/>
  <c r="CT28" i="3"/>
  <c r="Z68" i="3"/>
  <c r="AI72" i="3"/>
  <c r="Z57" i="3"/>
  <c r="CF78" i="3"/>
  <c r="CP78" i="3" s="1"/>
  <c r="CP66" i="3"/>
  <c r="CQ66" i="3" s="1"/>
  <c r="AN60" i="3"/>
  <c r="D55" i="3"/>
  <c r="H55" i="3" s="1"/>
  <c r="F55" i="3" s="1"/>
  <c r="E50" i="3"/>
  <c r="E55" i="3" s="1"/>
  <c r="BR55" i="3"/>
  <c r="CP38" i="3"/>
  <c r="CQ38" i="3" s="1"/>
  <c r="CN39" i="3"/>
  <c r="CJ43" i="3"/>
  <c r="CN43" i="3" s="1"/>
  <c r="BS38" i="3"/>
  <c r="CQ43" i="3"/>
  <c r="CR43" i="3"/>
  <c r="Z35" i="3"/>
  <c r="AN77" i="3"/>
  <c r="D66" i="3"/>
  <c r="E62" i="3"/>
  <c r="E66" i="3" s="1"/>
  <c r="AA56" i="3"/>
  <c r="AA60" i="3" s="1"/>
  <c r="N60" i="3"/>
  <c r="BD60" i="3"/>
  <c r="BI60" i="3" s="1"/>
  <c r="BK59" i="3"/>
  <c r="AB52" i="3"/>
  <c r="AN43" i="3"/>
  <c r="AX43" i="3" s="1"/>
  <c r="CP21" i="3"/>
  <c r="CQ21" i="3" s="1"/>
  <c r="CW27" i="3"/>
  <c r="CY27" i="3" s="1"/>
  <c r="CY26" i="3"/>
  <c r="CT16" i="3"/>
  <c r="CQ72" i="3"/>
  <c r="CR72" i="3"/>
  <c r="AP60" i="3"/>
  <c r="P36" i="3"/>
  <c r="Y36" i="3"/>
  <c r="AC36" i="3" s="1"/>
  <c r="AO15" i="3"/>
  <c r="AY15" i="3" s="1"/>
  <c r="S27" i="3"/>
  <c r="CR36" i="5"/>
  <c r="AG36" i="5"/>
  <c r="AD37" i="5"/>
  <c r="N36" i="5"/>
  <c r="AA36" i="5" s="1"/>
  <c r="CG37" i="5"/>
  <c r="U37" i="5"/>
  <c r="F36" i="5"/>
  <c r="BD36" i="5"/>
  <c r="BS36" i="5"/>
  <c r="BA36" i="5"/>
  <c r="BH36" i="5" s="1"/>
  <c r="CG36" i="5"/>
  <c r="CY37" i="5"/>
  <c r="BR36" i="5"/>
  <c r="M37" i="5"/>
  <c r="BA37" i="5"/>
  <c r="BJ37" i="5" s="1"/>
  <c r="BR37" i="5"/>
  <c r="CO37" i="5"/>
  <c r="CT37" i="5" s="1"/>
  <c r="U36" i="5"/>
  <c r="BS37" i="5"/>
  <c r="BK36" i="5"/>
  <c r="BZ36" i="5"/>
  <c r="CN36" i="5"/>
  <c r="BD37" i="5"/>
  <c r="BK37" i="5" s="1"/>
  <c r="W37" i="5"/>
  <c r="CY36" i="5"/>
  <c r="N37" i="5"/>
  <c r="AA37" i="5" s="1"/>
  <c r="BZ37" i="5"/>
  <c r="CN37" i="5"/>
  <c r="F37" i="5"/>
  <c r="L37" i="5"/>
  <c r="BI37" i="5"/>
  <c r="AY37" i="5"/>
  <c r="CP37" i="5"/>
  <c r="CQ37" i="5" s="1"/>
  <c r="AQ37" i="5"/>
  <c r="AV37" i="5"/>
  <c r="D37" i="5"/>
  <c r="AL36" i="5"/>
  <c r="AQ36" i="5"/>
  <c r="AV36" i="5"/>
  <c r="CS36" i="5"/>
  <c r="L36" i="5"/>
  <c r="Y36" i="5" s="1"/>
  <c r="CO36" i="5"/>
  <c r="O36" i="5"/>
  <c r="AY36" i="5"/>
  <c r="CP36" i="5"/>
  <c r="CQ36" i="5" s="1"/>
  <c r="BB36" i="5"/>
  <c r="D36" i="5"/>
  <c r="AZ36" i="5"/>
  <c r="V37" i="5"/>
  <c r="AL37" i="5"/>
  <c r="AX37" i="5"/>
  <c r="BB37" i="5"/>
  <c r="M36" i="5"/>
  <c r="Z36" i="5" s="1"/>
  <c r="AW36" i="5"/>
  <c r="BI36" i="5"/>
  <c r="O37" i="5"/>
  <c r="AB37" i="5" s="1"/>
  <c r="AE37" i="5"/>
  <c r="AX36" i="5"/>
  <c r="X37" i="5"/>
  <c r="CR37" i="5"/>
  <c r="AQ38" i="3" l="1"/>
  <c r="AW38" i="3"/>
  <c r="S79" i="3"/>
  <c r="AO79" i="3" s="1"/>
  <c r="AO27" i="3"/>
  <c r="AY27" i="3" s="1"/>
  <c r="AS26" i="3"/>
  <c r="CM79" i="3"/>
  <c r="CS79" i="3" s="1"/>
  <c r="CS27" i="3"/>
  <c r="CN44" i="3"/>
  <c r="AB84" i="3"/>
  <c r="N96" i="3"/>
  <c r="AH27" i="3"/>
  <c r="AL15" i="3"/>
  <c r="M44" i="3"/>
  <c r="AG60" i="3"/>
  <c r="O61" i="3"/>
  <c r="CR61" i="3"/>
  <c r="Z60" i="3"/>
  <c r="CC44" i="3"/>
  <c r="CG44" i="3" s="1"/>
  <c r="AB21" i="3"/>
  <c r="AG21" i="3" s="1"/>
  <c r="P21" i="3"/>
  <c r="AK44" i="3"/>
  <c r="AK79" i="3" s="1"/>
  <c r="AA44" i="3"/>
  <c r="AF32" i="3"/>
  <c r="CO61" i="3"/>
  <c r="BK95" i="3"/>
  <c r="BD96" i="3"/>
  <c r="D27" i="3"/>
  <c r="H15" i="3"/>
  <c r="F15" i="3" s="1"/>
  <c r="M96" i="3"/>
  <c r="P26" i="3"/>
  <c r="BI66" i="3"/>
  <c r="BV44" i="3"/>
  <c r="BZ44" i="3" s="1"/>
  <c r="CT32" i="3"/>
  <c r="AI27" i="3"/>
  <c r="AQ21" i="3"/>
  <c r="AW21" i="3"/>
  <c r="BI32" i="3"/>
  <c r="BV61" i="3"/>
  <c r="BZ61" i="3" s="1"/>
  <c r="BZ49" i="3"/>
  <c r="M27" i="3"/>
  <c r="CY39" i="3"/>
  <c r="E77" i="3"/>
  <c r="AX78" i="3"/>
  <c r="AC23" i="3"/>
  <c r="AB90" i="3"/>
  <c r="AG90" i="3" s="1"/>
  <c r="I27" i="3"/>
  <c r="H32" i="3"/>
  <c r="F32" i="3" s="1"/>
  <c r="D44" i="3"/>
  <c r="H44" i="3" s="1"/>
  <c r="F44" i="3" s="1"/>
  <c r="AF60" i="3"/>
  <c r="AT60" i="3" s="1"/>
  <c r="AP61" i="3"/>
  <c r="AT43" i="3"/>
  <c r="AT95" i="3"/>
  <c r="CC61" i="3"/>
  <c r="CG61" i="3" s="1"/>
  <c r="CG49" i="3"/>
  <c r="O96" i="3"/>
  <c r="AW32" i="3"/>
  <c r="Z66" i="3"/>
  <c r="T79" i="3"/>
  <c r="D96" i="3"/>
  <c r="H96" i="3" s="1"/>
  <c r="F96" i="3" s="1"/>
  <c r="H84" i="3"/>
  <c r="F84" i="3" s="1"/>
  <c r="O44" i="3"/>
  <c r="BD27" i="3"/>
  <c r="BK26" i="3"/>
  <c r="AG15" i="3"/>
  <c r="BK21" i="3"/>
  <c r="AE49" i="3"/>
  <c r="AU21" i="3"/>
  <c r="AB38" i="3"/>
  <c r="AG38" i="3" s="1"/>
  <c r="N61" i="3"/>
  <c r="CQ78" i="3"/>
  <c r="CR78" i="3"/>
  <c r="BK90" i="3"/>
  <c r="AS95" i="3"/>
  <c r="AT32" i="3"/>
  <c r="N44" i="3"/>
  <c r="AJ44" i="3"/>
  <c r="AJ79" i="3" s="1"/>
  <c r="AT38" i="3"/>
  <c r="AA78" i="3"/>
  <c r="AF66" i="3"/>
  <c r="AB66" i="3"/>
  <c r="CJ96" i="3"/>
  <c r="CN96" i="3" s="1"/>
  <c r="CN84" i="3"/>
  <c r="AT77" i="3"/>
  <c r="BJ21" i="3"/>
  <c r="BE21" i="3"/>
  <c r="Z84" i="3"/>
  <c r="BK15" i="3"/>
  <c r="CG27" i="3"/>
  <c r="BK55" i="3"/>
  <c r="CS61" i="3"/>
  <c r="AB72" i="3"/>
  <c r="AG72" i="3" s="1"/>
  <c r="AU72" i="3" s="1"/>
  <c r="CN27" i="3"/>
  <c r="CT44" i="3"/>
  <c r="AA21" i="3"/>
  <c r="AF21" i="3" s="1"/>
  <c r="D61" i="3"/>
  <c r="H61" i="3" s="1"/>
  <c r="F61" i="3" s="1"/>
  <c r="H49" i="3"/>
  <c r="F49" i="3" s="1"/>
  <c r="AP32" i="3"/>
  <c r="AZ32" i="3" s="1"/>
  <c r="AB55" i="3"/>
  <c r="AG55" i="3" s="1"/>
  <c r="AU55" i="3" s="1"/>
  <c r="AP96" i="3"/>
  <c r="Z90" i="3"/>
  <c r="P32" i="3"/>
  <c r="AB26" i="3"/>
  <c r="AG26" i="3" s="1"/>
  <c r="AU26" i="3" s="1"/>
  <c r="Z21" i="3"/>
  <c r="AE21" i="3" s="1"/>
  <c r="AQ15" i="3"/>
  <c r="AW15" i="3"/>
  <c r="AU90" i="3"/>
  <c r="AX15" i="3"/>
  <c r="U39" i="3"/>
  <c r="L39" i="3"/>
  <c r="V39" i="3"/>
  <c r="AC11" i="3"/>
  <c r="CJ61" i="3"/>
  <c r="CN61" i="3" s="1"/>
  <c r="CN49" i="3"/>
  <c r="Z55" i="3"/>
  <c r="M78" i="3"/>
  <c r="AG32" i="3"/>
  <c r="AU32" i="3" s="1"/>
  <c r="AB44" i="3"/>
  <c r="AG44" i="3" s="1"/>
  <c r="AI78" i="3"/>
  <c r="BJ26" i="3"/>
  <c r="BE26" i="3"/>
  <c r="BA27" i="3"/>
  <c r="Y38" i="3"/>
  <c r="AC33" i="3"/>
  <c r="Z72" i="3"/>
  <c r="AU15" i="3"/>
  <c r="O27" i="3"/>
  <c r="AP27" i="3" s="1"/>
  <c r="AZ27" i="3" s="1"/>
  <c r="M61" i="3"/>
  <c r="AS49" i="3"/>
  <c r="BN79" i="3"/>
  <c r="BR79" i="3" s="1"/>
  <c r="BR27" i="3"/>
  <c r="AC16" i="3"/>
  <c r="Y21" i="3"/>
  <c r="AU38" i="3"/>
  <c r="CE79" i="3"/>
  <c r="CO79" i="3" s="1"/>
  <c r="CT79" i="3" s="1"/>
  <c r="CO27" i="3"/>
  <c r="CT27" i="3" s="1"/>
  <c r="BK43" i="3"/>
  <c r="BD44" i="3"/>
  <c r="AF49" i="3"/>
  <c r="AT49" i="3" s="1"/>
  <c r="CC96" i="3"/>
  <c r="CG96" i="3" s="1"/>
  <c r="CG84" i="3"/>
  <c r="AN32" i="3"/>
  <c r="AX32" i="3" s="1"/>
  <c r="AW26" i="3"/>
  <c r="AQ26" i="3"/>
  <c r="N78" i="3"/>
  <c r="AT66" i="3"/>
  <c r="O78" i="3"/>
  <c r="AP78" i="3" s="1"/>
  <c r="L27" i="3"/>
  <c r="P15" i="3"/>
  <c r="CL79" i="3"/>
  <c r="CR27" i="3"/>
  <c r="AN26" i="3"/>
  <c r="AX26" i="3" s="1"/>
  <c r="AZ26" i="3"/>
  <c r="AI61" i="3"/>
  <c r="Z43" i="3"/>
  <c r="AE43" i="3" s="1"/>
  <c r="CH79" i="3"/>
  <c r="BZ27" i="3"/>
  <c r="AT21" i="3"/>
  <c r="AZ21" i="3"/>
  <c r="Z38" i="3"/>
  <c r="AE38" i="3" s="1"/>
  <c r="E49" i="3"/>
  <c r="E61" i="3" s="1"/>
  <c r="CJ78" i="3"/>
  <c r="CN78" i="3" s="1"/>
  <c r="CN66" i="3"/>
  <c r="AA26" i="3"/>
  <c r="AF26" i="3" s="1"/>
  <c r="CP61" i="3"/>
  <c r="CQ61" i="3" s="1"/>
  <c r="AA55" i="3"/>
  <c r="AF55" i="3" s="1"/>
  <c r="AT55" i="3" s="1"/>
  <c r="AN66" i="3"/>
  <c r="N27" i="3"/>
  <c r="AT15" i="3"/>
  <c r="AS21" i="3"/>
  <c r="U27" i="3"/>
  <c r="AT72" i="3"/>
  <c r="R79" i="3"/>
  <c r="AN27" i="3"/>
  <c r="AX27" i="3" s="1"/>
  <c r="BA39" i="3"/>
  <c r="BH39" i="3" s="1"/>
  <c r="BJ38" i="3"/>
  <c r="BE38" i="3"/>
  <c r="CT84" i="3"/>
  <c r="Y15" i="3"/>
  <c r="E78" i="3"/>
  <c r="BK60" i="3"/>
  <c r="BD61" i="3"/>
  <c r="D78" i="3"/>
  <c r="H78" i="3" s="1"/>
  <c r="F78" i="3" s="1"/>
  <c r="H66" i="3"/>
  <c r="F66" i="3" s="1"/>
  <c r="AU43" i="3"/>
  <c r="CC78" i="3"/>
  <c r="CG78" i="3" s="1"/>
  <c r="CG66" i="3"/>
  <c r="AU95" i="3"/>
  <c r="AF84" i="3"/>
  <c r="AT84" i="3" s="1"/>
  <c r="Z44" i="3"/>
  <c r="AE44" i="3" s="1"/>
  <c r="AE32" i="3"/>
  <c r="AS32" i="3" s="1"/>
  <c r="CQ44" i="3"/>
  <c r="CR44" i="3"/>
  <c r="AI96" i="3"/>
  <c r="AU60" i="3"/>
  <c r="BJ15" i="3"/>
  <c r="BE15" i="3"/>
  <c r="AB61" i="3"/>
  <c r="AG61" i="3" s="1"/>
  <c r="AG49" i="3"/>
  <c r="AU49" i="3" s="1"/>
  <c r="AP95" i="3"/>
  <c r="P38" i="3"/>
  <c r="AU77" i="3"/>
  <c r="BV96" i="3"/>
  <c r="BZ96" i="3" s="1"/>
  <c r="BZ84" i="3"/>
  <c r="BJ32" i="3"/>
  <c r="BE32" i="3"/>
  <c r="BD78" i="3"/>
  <c r="BK77" i="3"/>
  <c r="CT15" i="3"/>
  <c r="CF79" i="3"/>
  <c r="CP79" i="3" s="1"/>
  <c r="CP27" i="3"/>
  <c r="CQ27" i="3" s="1"/>
  <c r="AN44" i="3"/>
  <c r="AX44" i="3" s="1"/>
  <c r="BO79" i="3"/>
  <c r="BS79" i="3" s="1"/>
  <c r="BS27" i="3"/>
  <c r="BH26" i="3"/>
  <c r="CR96" i="3"/>
  <c r="CQ96" i="3"/>
  <c r="AA90" i="3"/>
  <c r="AF90" i="3" s="1"/>
  <c r="AT90" i="3" s="1"/>
  <c r="Z77" i="3"/>
  <c r="AN72" i="3"/>
  <c r="E27" i="3"/>
  <c r="BV78" i="3"/>
  <c r="BZ78" i="3" s="1"/>
  <c r="BZ66" i="3"/>
  <c r="Y26" i="3"/>
  <c r="AC22" i="3"/>
  <c r="AP66" i="3"/>
  <c r="AS43" i="3"/>
  <c r="AP77" i="3"/>
  <c r="AC20" i="3"/>
  <c r="AS38" i="3"/>
  <c r="AP44" i="3"/>
  <c r="AZ44" i="3" s="1"/>
  <c r="Y32" i="3"/>
  <c r="AC28" i="3"/>
  <c r="Z15" i="3"/>
  <c r="AT26" i="3"/>
  <c r="AY44" i="3"/>
  <c r="AN78" i="3"/>
  <c r="AA27" i="3"/>
  <c r="AF15" i="3"/>
  <c r="AF72" i="3"/>
  <c r="E44" i="3"/>
  <c r="CT96" i="3"/>
  <c r="AL32" i="3"/>
  <c r="AB36" i="5"/>
  <c r="BJ36" i="5"/>
  <c r="BE36" i="5"/>
  <c r="E36" i="5"/>
  <c r="Y37" i="5"/>
  <c r="AC37" i="5" s="1"/>
  <c r="BH37" i="5"/>
  <c r="E37" i="5"/>
  <c r="P36" i="5"/>
  <c r="Z37" i="5"/>
  <c r="CT36" i="5"/>
  <c r="BE37" i="5"/>
  <c r="P37" i="5"/>
  <c r="AC36" i="5"/>
  <c r="Q20" i="5"/>
  <c r="Q31" i="5"/>
  <c r="Q11" i="5"/>
  <c r="Q25" i="5"/>
  <c r="Q13" i="5"/>
  <c r="Q23" i="5"/>
  <c r="Q34" i="5"/>
  <c r="Q16" i="5"/>
  <c r="Q35" i="5"/>
  <c r="V36" i="5" s="1"/>
  <c r="Q30" i="5"/>
  <c r="Q24" i="5"/>
  <c r="Q19" i="5"/>
  <c r="Q14" i="5"/>
  <c r="Q33" i="5"/>
  <c r="Q28" i="5"/>
  <c r="Q22" i="5"/>
  <c r="Q17" i="5"/>
  <c r="Q12" i="5"/>
  <c r="Q18" i="5"/>
  <c r="Q29" i="5"/>
  <c r="AD32" i="3" l="1"/>
  <c r="AR32" i="3" s="1"/>
  <c r="AV32" i="3" s="1"/>
  <c r="AC32" i="3"/>
  <c r="AD26" i="3"/>
  <c r="AR26" i="3" s="1"/>
  <c r="AV26" i="3" s="1"/>
  <c r="AC26" i="3"/>
  <c r="AA96" i="3"/>
  <c r="AF96" i="3" s="1"/>
  <c r="AT96" i="3" s="1"/>
  <c r="BV79" i="3"/>
  <c r="BZ79" i="3" s="1"/>
  <c r="P27" i="3"/>
  <c r="BK44" i="3"/>
  <c r="BI44" i="3"/>
  <c r="BJ27" i="3"/>
  <c r="BE27" i="3"/>
  <c r="BH27" i="3"/>
  <c r="AE55" i="3"/>
  <c r="AS55" i="3" s="1"/>
  <c r="AZ55" i="3"/>
  <c r="AE90" i="3"/>
  <c r="AS90" i="3" s="1"/>
  <c r="AZ90" i="3"/>
  <c r="BK27" i="3"/>
  <c r="BI27" i="3"/>
  <c r="Z78" i="3"/>
  <c r="AE78" i="3" s="1"/>
  <c r="AE66" i="3"/>
  <c r="AS66" i="3" s="1"/>
  <c r="AZ66" i="3"/>
  <c r="CT61" i="3"/>
  <c r="AE60" i="3"/>
  <c r="AS60" i="3" s="1"/>
  <c r="AZ60" i="3"/>
  <c r="AL27" i="3"/>
  <c r="AB96" i="3"/>
  <c r="AG96" i="3" s="1"/>
  <c r="AU96" i="3" s="1"/>
  <c r="AG84" i="3"/>
  <c r="AU84" i="3" s="1"/>
  <c r="AF27" i="3"/>
  <c r="AE77" i="3"/>
  <c r="AS77" i="3" s="1"/>
  <c r="AZ77" i="3"/>
  <c r="BD79" i="3"/>
  <c r="BK78" i="3"/>
  <c r="BI78" i="3"/>
  <c r="CR79" i="3"/>
  <c r="CQ79" i="3"/>
  <c r="AD21" i="3"/>
  <c r="AR21" i="3" s="1"/>
  <c r="AV21" i="3" s="1"/>
  <c r="AC21" i="3"/>
  <c r="AE72" i="3"/>
  <c r="AS72" i="3" s="1"/>
  <c r="AZ72" i="3"/>
  <c r="CJ79" i="3"/>
  <c r="CN79" i="3" s="1"/>
  <c r="Z96" i="3"/>
  <c r="AE96" i="3" s="1"/>
  <c r="AE84" i="3"/>
  <c r="AS84" i="3" s="1"/>
  <c r="AZ84" i="3"/>
  <c r="AZ96" i="3" s="1"/>
  <c r="AF78" i="3"/>
  <c r="AT78" i="3" s="1"/>
  <c r="AQ32" i="3"/>
  <c r="AS96" i="3"/>
  <c r="BK96" i="3"/>
  <c r="BI96" i="3"/>
  <c r="Z27" i="3"/>
  <c r="AE15" i="3"/>
  <c r="AS15" i="3" s="1"/>
  <c r="AD15" i="3"/>
  <c r="AR15" i="3" s="1"/>
  <c r="AV15" i="3" s="1"/>
  <c r="Y27" i="3"/>
  <c r="AC15" i="3"/>
  <c r="BE39" i="3"/>
  <c r="Q40" i="3"/>
  <c r="BJ39" i="3"/>
  <c r="AU78" i="3"/>
  <c r="AB27" i="3"/>
  <c r="AN61" i="3"/>
  <c r="M79" i="3"/>
  <c r="AI79" i="3"/>
  <c r="AF44" i="3"/>
  <c r="AT44" i="3" s="1"/>
  <c r="E79" i="3"/>
  <c r="BK61" i="3"/>
  <c r="BI61" i="3"/>
  <c r="AX79" i="3"/>
  <c r="AM27" i="3"/>
  <c r="N79" i="3"/>
  <c r="AT27" i="3"/>
  <c r="AA61" i="3"/>
  <c r="AF61" i="3" s="1"/>
  <c r="O79" i="3"/>
  <c r="AD38" i="3"/>
  <c r="AR38" i="3" s="1"/>
  <c r="AV38" i="3" s="1"/>
  <c r="AC38" i="3"/>
  <c r="AS78" i="3"/>
  <c r="Y39" i="3"/>
  <c r="P39" i="3"/>
  <c r="CC79" i="3"/>
  <c r="CG79" i="3" s="1"/>
  <c r="AB78" i="3"/>
  <c r="AG78" i="3" s="1"/>
  <c r="AG66" i="3"/>
  <c r="AU66" i="3" s="1"/>
  <c r="AT61" i="3"/>
  <c r="Z61" i="3"/>
  <c r="AE61" i="3" s="1"/>
  <c r="AS61" i="3" s="1"/>
  <c r="AU44" i="3"/>
  <c r="AP79" i="3"/>
  <c r="D79" i="3"/>
  <c r="H79" i="3" s="1"/>
  <c r="F79" i="3" s="1"/>
  <c r="H27" i="3"/>
  <c r="F27" i="3" s="1"/>
  <c r="AU61" i="3"/>
  <c r="AS44" i="3"/>
  <c r="Q15" i="5"/>
  <c r="Q32" i="5"/>
  <c r="Q21" i="5"/>
  <c r="Q26" i="5"/>
  <c r="AN35" i="5"/>
  <c r="AS35" i="5"/>
  <c r="CX35" i="5"/>
  <c r="BC35" i="5"/>
  <c r="BX35" i="5"/>
  <c r="S35" i="5"/>
  <c r="CL35" i="5"/>
  <c r="BT35" i="5"/>
  <c r="CB35" i="5"/>
  <c r="J35" i="5"/>
  <c r="T35" i="5"/>
  <c r="X36" i="5" s="1"/>
  <c r="AT35" i="5"/>
  <c r="BY35" i="5"/>
  <c r="BF35" i="5"/>
  <c r="AI35" i="5"/>
  <c r="CW35" i="5"/>
  <c r="CF35" i="5"/>
  <c r="CP35" i="5" s="1"/>
  <c r="BW35" i="5"/>
  <c r="BM35" i="5"/>
  <c r="AR35" i="5"/>
  <c r="AH35" i="5"/>
  <c r="R35" i="5"/>
  <c r="W36" i="5" s="1"/>
  <c r="CE35" i="5"/>
  <c r="BV35" i="5"/>
  <c r="BL35" i="5"/>
  <c r="AP35" i="5"/>
  <c r="CM35" i="5"/>
  <c r="BU35" i="5"/>
  <c r="AO35" i="5"/>
  <c r="AF35" i="5" s="1"/>
  <c r="K35" i="5"/>
  <c r="CD35" i="5"/>
  <c r="BG35" i="5"/>
  <c r="CJ35" i="5"/>
  <c r="CA35" i="5"/>
  <c r="BP35" i="5"/>
  <c r="AU35" i="5"/>
  <c r="AK35" i="5"/>
  <c r="H35" i="5"/>
  <c r="CC35" i="5"/>
  <c r="BN35" i="5"/>
  <c r="CH35" i="5"/>
  <c r="G35" i="5"/>
  <c r="AJ35" i="5"/>
  <c r="BO35" i="5"/>
  <c r="CI35" i="5"/>
  <c r="I35" i="5"/>
  <c r="AM35" i="5"/>
  <c r="BQ35" i="5"/>
  <c r="CK35" i="5"/>
  <c r="Z79" i="3" l="1"/>
  <c r="AE79" i="3" s="1"/>
  <c r="AE27" i="3"/>
  <c r="AS27" i="3" s="1"/>
  <c r="AC39" i="3"/>
  <c r="AB79" i="3"/>
  <c r="AG79" i="3" s="1"/>
  <c r="AG27" i="3"/>
  <c r="AU27" i="3" s="1"/>
  <c r="U40" i="3"/>
  <c r="BH40" i="3"/>
  <c r="L40" i="3"/>
  <c r="V40" i="3"/>
  <c r="CW40" i="3"/>
  <c r="AD27" i="3"/>
  <c r="AR27" i="3" s="1"/>
  <c r="AV27" i="3" s="1"/>
  <c r="AC27" i="3"/>
  <c r="AU79" i="3"/>
  <c r="AW27" i="3"/>
  <c r="AQ27" i="3"/>
  <c r="BA40" i="3"/>
  <c r="AS79" i="3"/>
  <c r="BK79" i="3"/>
  <c r="BI79" i="3"/>
  <c r="AA79" i="3"/>
  <c r="AF79" i="3" s="1"/>
  <c r="AT79" i="3" s="1"/>
  <c r="AZ78" i="3"/>
  <c r="AZ61" i="3"/>
  <c r="AZ79" i="3" s="1"/>
  <c r="AN79" i="3"/>
  <c r="Q27" i="5"/>
  <c r="BD35" i="5"/>
  <c r="BK35" i="5" s="1"/>
  <c r="CQ35" i="5"/>
  <c r="CS35" i="5"/>
  <c r="CY35" i="5"/>
  <c r="BR35" i="5"/>
  <c r="CO35" i="5"/>
  <c r="CN35" i="5"/>
  <c r="AG35" i="5"/>
  <c r="AW35" i="5"/>
  <c r="BZ35" i="5"/>
  <c r="N35" i="5"/>
  <c r="AA35" i="5" s="1"/>
  <c r="CR35" i="5"/>
  <c r="AY35" i="5"/>
  <c r="M35" i="5"/>
  <c r="AE35" i="5"/>
  <c r="AX35" i="5"/>
  <c r="F35" i="5"/>
  <c r="U35" i="5"/>
  <c r="AD35" i="5"/>
  <c r="CG35" i="5"/>
  <c r="L35" i="5"/>
  <c r="D35" i="5"/>
  <c r="AQ35" i="5"/>
  <c r="AZ35" i="5"/>
  <c r="AL35" i="5"/>
  <c r="BA35" i="5"/>
  <c r="BS35" i="5"/>
  <c r="AV35" i="5"/>
  <c r="O35" i="5"/>
  <c r="CL94" i="5"/>
  <c r="CB94" i="5"/>
  <c r="BL94" i="5"/>
  <c r="AS94" i="5"/>
  <c r="S94" i="5"/>
  <c r="CK93" i="5"/>
  <c r="BG93" i="5"/>
  <c r="T93" i="5"/>
  <c r="CB92" i="5"/>
  <c r="AI92" i="5"/>
  <c r="CF91" i="5"/>
  <c r="BX91" i="5"/>
  <c r="BW91" i="5"/>
  <c r="AT91" i="5"/>
  <c r="AK91" i="5"/>
  <c r="CE89" i="5"/>
  <c r="CD89" i="5"/>
  <c r="BM89" i="5"/>
  <c r="CL88" i="5"/>
  <c r="CK88" i="5"/>
  <c r="BU88" i="5"/>
  <c r="BL88" i="5"/>
  <c r="BG88" i="5"/>
  <c r="AO88" i="5"/>
  <c r="CF87" i="5"/>
  <c r="BW87" i="5"/>
  <c r="BC87" i="5"/>
  <c r="AP87" i="5"/>
  <c r="AO87" i="5"/>
  <c r="CI86" i="5"/>
  <c r="CH86" i="5"/>
  <c r="BG86" i="5"/>
  <c r="CF85" i="5"/>
  <c r="BW85" i="5"/>
  <c r="AO85" i="5"/>
  <c r="AN85" i="5"/>
  <c r="BY83" i="5"/>
  <c r="BQ83" i="5"/>
  <c r="BP83" i="5"/>
  <c r="AT83" i="5"/>
  <c r="AK83" i="5"/>
  <c r="CH82" i="5"/>
  <c r="CF82" i="5"/>
  <c r="BU82" i="5"/>
  <c r="BO82" i="5"/>
  <c r="BN82" i="5"/>
  <c r="AS82" i="5"/>
  <c r="R82" i="5"/>
  <c r="CL81" i="5"/>
  <c r="CK81" i="5"/>
  <c r="BX81" i="5"/>
  <c r="BQ81" i="5"/>
  <c r="BP81" i="5"/>
  <c r="AP81" i="5"/>
  <c r="CM80" i="5"/>
  <c r="BY80" i="5"/>
  <c r="BT80" i="5"/>
  <c r="BQ80" i="5"/>
  <c r="CI76" i="5"/>
  <c r="CD76" i="5"/>
  <c r="CB76" i="5"/>
  <c r="BO76" i="5"/>
  <c r="BF76" i="5"/>
  <c r="BF77" i="5" s="1"/>
  <c r="BF78" i="5" s="1"/>
  <c r="BF79" i="5" s="1"/>
  <c r="BC76" i="5"/>
  <c r="BC77" i="5" s="1"/>
  <c r="BC78" i="5" s="1"/>
  <c r="BC79" i="5" s="1"/>
  <c r="AO76" i="5"/>
  <c r="AJ76" i="5"/>
  <c r="AI76" i="5"/>
  <c r="CM75" i="5"/>
  <c r="CF75" i="5"/>
  <c r="CE75" i="5"/>
  <c r="BU75" i="5"/>
  <c r="BN75" i="5"/>
  <c r="BM75" i="5"/>
  <c r="AU75" i="5"/>
  <c r="AO75" i="5"/>
  <c r="AF75" i="5" s="1"/>
  <c r="R75" i="5"/>
  <c r="CF74" i="5"/>
  <c r="CA74" i="5"/>
  <c r="BP74" i="5"/>
  <c r="BM74" i="5"/>
  <c r="BL74" i="5"/>
  <c r="AT74" i="5"/>
  <c r="AP74" i="5"/>
  <c r="AO74" i="5"/>
  <c r="S74" i="5"/>
  <c r="CF73" i="5"/>
  <c r="CA73" i="5"/>
  <c r="BP73" i="5"/>
  <c r="BM73" i="5"/>
  <c r="BG73" i="5"/>
  <c r="AN73" i="5"/>
  <c r="S73" i="5"/>
  <c r="CM71" i="5"/>
  <c r="CB71" i="5"/>
  <c r="BX71" i="5"/>
  <c r="BU71" i="5"/>
  <c r="BL71" i="5"/>
  <c r="BF71" i="5"/>
  <c r="BF72" i="5" s="1"/>
  <c r="AN71" i="5"/>
  <c r="AJ71" i="5"/>
  <c r="CM70" i="5"/>
  <c r="CL70" i="5"/>
  <c r="CB70" i="5"/>
  <c r="BW70" i="5"/>
  <c r="BM70" i="5"/>
  <c r="BG70" i="5"/>
  <c r="AP70" i="5"/>
  <c r="AJ70" i="5"/>
  <c r="R70" i="5"/>
  <c r="CL69" i="5"/>
  <c r="BY69" i="5"/>
  <c r="BO69" i="5"/>
  <c r="BG69" i="5"/>
  <c r="BF69" i="5"/>
  <c r="AS69" i="5"/>
  <c r="AP69" i="5"/>
  <c r="AN69" i="5"/>
  <c r="T69" i="5"/>
  <c r="R69" i="5"/>
  <c r="CF68" i="5"/>
  <c r="CD68" i="5"/>
  <c r="BT68" i="5"/>
  <c r="BP68" i="5"/>
  <c r="BO68" i="5"/>
  <c r="AT68" i="5"/>
  <c r="AS68" i="5"/>
  <c r="AI68" i="5"/>
  <c r="CK67" i="5"/>
  <c r="CF67" i="5"/>
  <c r="CD67" i="5"/>
  <c r="BQ67" i="5"/>
  <c r="BN67" i="5"/>
  <c r="BL67" i="5"/>
  <c r="AS67" i="5"/>
  <c r="AP67" i="5"/>
  <c r="AO67" i="5"/>
  <c r="AF67" i="5" s="1"/>
  <c r="S67" i="5"/>
  <c r="R67" i="5"/>
  <c r="CM65" i="5"/>
  <c r="CI65" i="5"/>
  <c r="CF65" i="5"/>
  <c r="BY65" i="5"/>
  <c r="BW65" i="5"/>
  <c r="BT65" i="5"/>
  <c r="BQ65" i="5"/>
  <c r="BF65" i="5"/>
  <c r="BF66" i="5" s="1"/>
  <c r="AT65" i="5"/>
  <c r="AJ65" i="5"/>
  <c r="T65" i="5"/>
  <c r="CI64" i="5"/>
  <c r="CE64" i="5"/>
  <c r="CD64" i="5"/>
  <c r="BT64" i="5"/>
  <c r="BQ64" i="5"/>
  <c r="BN64" i="5"/>
  <c r="BL64" i="5"/>
  <c r="AS64" i="5"/>
  <c r="AJ64" i="5"/>
  <c r="T64" i="5"/>
  <c r="CI63" i="5"/>
  <c r="CE63" i="5"/>
  <c r="CD63" i="5"/>
  <c r="BT63" i="5"/>
  <c r="BN63" i="5"/>
  <c r="BM63" i="5"/>
  <c r="AS63" i="5"/>
  <c r="AP63" i="5"/>
  <c r="AI63" i="5"/>
  <c r="T63" i="5"/>
  <c r="R63" i="5"/>
  <c r="CF62" i="5"/>
  <c r="CA62" i="5"/>
  <c r="BQ62" i="5"/>
  <c r="BO62" i="5"/>
  <c r="BL62" i="5"/>
  <c r="BG62" i="5"/>
  <c r="AS62" i="5"/>
  <c r="AN62" i="5"/>
  <c r="R62" i="5"/>
  <c r="CF59" i="5"/>
  <c r="CD59" i="5"/>
  <c r="BU59" i="5"/>
  <c r="BO59" i="5"/>
  <c r="BM59" i="5"/>
  <c r="AS59" i="5"/>
  <c r="AO59" i="5"/>
  <c r="AF59" i="5" s="1"/>
  <c r="AN59" i="5"/>
  <c r="CD58" i="5"/>
  <c r="BY58" i="5"/>
  <c r="BW58" i="5"/>
  <c r="BP58" i="5"/>
  <c r="BN58" i="5"/>
  <c r="BF58" i="5"/>
  <c r="AO58" i="5"/>
  <c r="AF58" i="5" s="1"/>
  <c r="AK58" i="5"/>
  <c r="AI58" i="5"/>
  <c r="R58" i="5"/>
  <c r="CK57" i="5"/>
  <c r="BY57" i="5"/>
  <c r="BW57" i="5"/>
  <c r="BU57" i="5"/>
  <c r="BO57" i="5"/>
  <c r="BN57" i="5"/>
  <c r="BF57" i="5"/>
  <c r="AT57" i="5"/>
  <c r="AP57" i="5"/>
  <c r="AO57" i="5"/>
  <c r="AI57" i="5"/>
  <c r="S57" i="5"/>
  <c r="CK56" i="5"/>
  <c r="CI56" i="5"/>
  <c r="CB56" i="5"/>
  <c r="CA56" i="5"/>
  <c r="BW56" i="5"/>
  <c r="BU56" i="5"/>
  <c r="BO56" i="5"/>
  <c r="BN56" i="5"/>
  <c r="BL56" i="5"/>
  <c r="BF56" i="5"/>
  <c r="AU56" i="5"/>
  <c r="AT56" i="5"/>
  <c r="AP56" i="5"/>
  <c r="AN56" i="5"/>
  <c r="T56" i="5"/>
  <c r="S56" i="5"/>
  <c r="CM54" i="5"/>
  <c r="CK54" i="5"/>
  <c r="CD54" i="5"/>
  <c r="BX54" i="5"/>
  <c r="BQ54" i="5"/>
  <c r="BN54" i="5"/>
  <c r="BM54" i="5"/>
  <c r="AT54" i="5"/>
  <c r="AK54" i="5"/>
  <c r="CK53" i="5"/>
  <c r="CI53" i="5"/>
  <c r="CB53" i="5"/>
  <c r="BY53" i="5"/>
  <c r="BW53" i="5"/>
  <c r="BQ53" i="5"/>
  <c r="BP53" i="5"/>
  <c r="BM53" i="5"/>
  <c r="BL53" i="5"/>
  <c r="BC53" i="5"/>
  <c r="AU53" i="5"/>
  <c r="AT53" i="5"/>
  <c r="AO53" i="5"/>
  <c r="AF53" i="5" s="1"/>
  <c r="AN53" i="5"/>
  <c r="AK53" i="5"/>
  <c r="AJ53" i="5"/>
  <c r="T53" i="5"/>
  <c r="R53" i="5"/>
  <c r="CI52" i="5"/>
  <c r="CH52" i="5"/>
  <c r="CE52" i="5"/>
  <c r="CD52" i="5"/>
  <c r="BW52" i="5"/>
  <c r="BU52" i="5"/>
  <c r="BP52" i="5"/>
  <c r="BL52" i="5"/>
  <c r="BG52" i="5"/>
  <c r="AP52" i="5"/>
  <c r="AN52" i="5"/>
  <c r="AI52" i="5"/>
  <c r="R52" i="5"/>
  <c r="CM51" i="5"/>
  <c r="CL51" i="5"/>
  <c r="CF51" i="5"/>
  <c r="CE51" i="5"/>
  <c r="CB51" i="5"/>
  <c r="CA51" i="5"/>
  <c r="BU51" i="5"/>
  <c r="BQ51" i="5"/>
  <c r="BM51" i="5"/>
  <c r="BL51" i="5"/>
  <c r="BG51" i="5"/>
  <c r="BF51" i="5"/>
  <c r="AU51" i="5"/>
  <c r="AS51" i="5"/>
  <c r="AK51" i="5"/>
  <c r="AI51" i="5"/>
  <c r="T51" i="5"/>
  <c r="S51" i="5"/>
  <c r="CI50" i="5"/>
  <c r="CH50" i="5"/>
  <c r="CF50" i="5"/>
  <c r="CE50" i="5"/>
  <c r="CA50" i="5"/>
  <c r="BY50" i="5"/>
  <c r="BW50" i="5"/>
  <c r="BQ50" i="5"/>
  <c r="BP50" i="5"/>
  <c r="BN50" i="5"/>
  <c r="BM50" i="5"/>
  <c r="BF50" i="5"/>
  <c r="BC50" i="5"/>
  <c r="AU50" i="5"/>
  <c r="AP50" i="5"/>
  <c r="AO50" i="5"/>
  <c r="AK50" i="5"/>
  <c r="T50" i="5"/>
  <c r="R50" i="5"/>
  <c r="CM48" i="5"/>
  <c r="CL48" i="5"/>
  <c r="CI48" i="5"/>
  <c r="CD48" i="5"/>
  <c r="CB48" i="5"/>
  <c r="BY48" i="5"/>
  <c r="BX48" i="5"/>
  <c r="BQ48" i="5"/>
  <c r="BP48" i="5"/>
  <c r="BN48" i="5"/>
  <c r="BM48" i="5"/>
  <c r="BC48" i="5"/>
  <c r="BC49" i="5" s="1"/>
  <c r="AU48" i="5"/>
  <c r="AP48" i="5"/>
  <c r="AO48" i="5"/>
  <c r="AF48" i="5" s="1"/>
  <c r="AK48" i="5"/>
  <c r="T48" i="5"/>
  <c r="R48" i="5"/>
  <c r="CL47" i="5"/>
  <c r="CK47" i="5"/>
  <c r="CH47" i="5"/>
  <c r="CF47" i="5"/>
  <c r="CA47" i="5"/>
  <c r="BY47" i="5"/>
  <c r="BW47" i="5"/>
  <c r="BQ47" i="5"/>
  <c r="BP47" i="5"/>
  <c r="BN47" i="5"/>
  <c r="BM47" i="5"/>
  <c r="BF47" i="5"/>
  <c r="BC47" i="5"/>
  <c r="AP47" i="5"/>
  <c r="AN47" i="5"/>
  <c r="R47" i="5"/>
  <c r="W48" i="5" s="1"/>
  <c r="W49" i="5" s="1"/>
  <c r="CM46" i="5"/>
  <c r="CH46" i="5"/>
  <c r="CE46" i="5"/>
  <c r="CD46" i="5"/>
  <c r="BY46" i="5"/>
  <c r="BX46" i="5"/>
  <c r="BU46" i="5"/>
  <c r="BT46" i="5"/>
  <c r="BN46" i="5"/>
  <c r="BM46" i="5"/>
  <c r="BG46" i="5"/>
  <c r="AU46" i="5"/>
  <c r="AT46" i="5"/>
  <c r="AO46" i="5"/>
  <c r="AN46" i="5"/>
  <c r="AK46" i="5"/>
  <c r="AJ46" i="5"/>
  <c r="T46" i="5"/>
  <c r="S46" i="5"/>
  <c r="CM45" i="5"/>
  <c r="CI45" i="5"/>
  <c r="CH45" i="5"/>
  <c r="CE45" i="5"/>
  <c r="CD45" i="5"/>
  <c r="BX45" i="5"/>
  <c r="BW45" i="5"/>
  <c r="BT45" i="5"/>
  <c r="BQ45" i="5"/>
  <c r="BM45" i="5"/>
  <c r="BL45" i="5"/>
  <c r="BF45" i="5"/>
  <c r="AT45" i="5"/>
  <c r="AS45" i="5"/>
  <c r="AN45" i="5"/>
  <c r="AJ45" i="5"/>
  <c r="AI45" i="5"/>
  <c r="T45" i="5"/>
  <c r="S45" i="5"/>
  <c r="CI42" i="5"/>
  <c r="CH42" i="5"/>
  <c r="CE42" i="5"/>
  <c r="CD42" i="5"/>
  <c r="BY42" i="5"/>
  <c r="BX42" i="5"/>
  <c r="BU42" i="5"/>
  <c r="BT42" i="5"/>
  <c r="BO42" i="5"/>
  <c r="BN42" i="5"/>
  <c r="BL42" i="5"/>
  <c r="BG42" i="5"/>
  <c r="AT42" i="5"/>
  <c r="AS42" i="5"/>
  <c r="AO42" i="5"/>
  <c r="AN42" i="5"/>
  <c r="AK42" i="5"/>
  <c r="AJ42" i="5"/>
  <c r="T42" i="5"/>
  <c r="R42" i="5"/>
  <c r="CL41" i="5"/>
  <c r="CK41" i="5"/>
  <c r="CI41" i="5"/>
  <c r="CH41" i="5"/>
  <c r="CB41" i="5"/>
  <c r="CA41" i="5"/>
  <c r="BX41" i="5"/>
  <c r="BW41" i="5"/>
  <c r="BP41" i="5"/>
  <c r="BO41" i="5"/>
  <c r="BM41" i="5"/>
  <c r="BL41" i="5"/>
  <c r="BC41" i="5"/>
  <c r="AP41" i="5"/>
  <c r="AN41" i="5"/>
  <c r="T41" i="5"/>
  <c r="CL40" i="5"/>
  <c r="CK40" i="5"/>
  <c r="CI40" i="5"/>
  <c r="CH40" i="5"/>
  <c r="CB40" i="5"/>
  <c r="CA40" i="5"/>
  <c r="BX40" i="5"/>
  <c r="BW40" i="5"/>
  <c r="BQ40" i="5"/>
  <c r="BP40" i="5"/>
  <c r="BN40" i="5"/>
  <c r="BM40" i="5"/>
  <c r="BC40" i="5"/>
  <c r="AP40" i="5"/>
  <c r="AN40" i="5"/>
  <c r="T40" i="5"/>
  <c r="X41" i="5" s="1"/>
  <c r="CL39" i="5"/>
  <c r="CK39" i="5"/>
  <c r="CF39" i="5"/>
  <c r="CE39" i="5"/>
  <c r="CB39" i="5"/>
  <c r="CA39" i="5"/>
  <c r="BU39" i="5"/>
  <c r="BT39" i="5"/>
  <c r="BQ39" i="5"/>
  <c r="BP39" i="5"/>
  <c r="BL39" i="5"/>
  <c r="BF39" i="5"/>
  <c r="AT39" i="5"/>
  <c r="AS39" i="5"/>
  <c r="AO39" i="5"/>
  <c r="AF39" i="5" s="1"/>
  <c r="AN39" i="5"/>
  <c r="AK39" i="5"/>
  <c r="T39" i="5"/>
  <c r="S39" i="5"/>
  <c r="BG38" i="5"/>
  <c r="BC38" i="5"/>
  <c r="CK34" i="5"/>
  <c r="CJ34" i="5"/>
  <c r="CH34" i="5"/>
  <c r="CC34" i="5"/>
  <c r="CB34" i="5"/>
  <c r="BY34" i="5"/>
  <c r="BX34" i="5"/>
  <c r="BT34" i="5"/>
  <c r="BQ34" i="5"/>
  <c r="BO34" i="5"/>
  <c r="BN34" i="5"/>
  <c r="BF34" i="5"/>
  <c r="BC34" i="5"/>
  <c r="AR34" i="5"/>
  <c r="AP34" i="5"/>
  <c r="AN34" i="5"/>
  <c r="AM34" i="5"/>
  <c r="AH34" i="5"/>
  <c r="T34" i="5"/>
  <c r="X35" i="5" s="1"/>
  <c r="S34" i="5"/>
  <c r="CM33" i="5"/>
  <c r="CK33" i="5"/>
  <c r="CJ33" i="5"/>
  <c r="CE33" i="5"/>
  <c r="CD33" i="5"/>
  <c r="CB33" i="5"/>
  <c r="CA33" i="5"/>
  <c r="BV33" i="5"/>
  <c r="BU33" i="5"/>
  <c r="BQ33" i="5"/>
  <c r="BM33" i="5"/>
  <c r="BL33" i="5"/>
  <c r="BG33" i="5"/>
  <c r="BC33" i="5"/>
  <c r="AU33" i="5"/>
  <c r="AP33" i="5"/>
  <c r="AO33" i="5"/>
  <c r="AM33" i="5"/>
  <c r="AK33" i="5"/>
  <c r="T33" i="5"/>
  <c r="S33" i="5"/>
  <c r="CJ31" i="5"/>
  <c r="CI31" i="5"/>
  <c r="CF31" i="5"/>
  <c r="CB31" i="5"/>
  <c r="CA31" i="5"/>
  <c r="BX31" i="5"/>
  <c r="BW31" i="5"/>
  <c r="BQ31" i="5"/>
  <c r="BO31" i="5"/>
  <c r="BN31" i="5"/>
  <c r="BF31" i="5"/>
  <c r="BF32" i="5" s="1"/>
  <c r="AU31" i="5"/>
  <c r="AT31" i="5"/>
  <c r="AO31" i="5"/>
  <c r="AN31" i="5"/>
  <c r="AK31" i="5"/>
  <c r="AJ31" i="5"/>
  <c r="T31" i="5"/>
  <c r="S31" i="5"/>
  <c r="CM30" i="5"/>
  <c r="CI30" i="5"/>
  <c r="CH30" i="5"/>
  <c r="CE30" i="5"/>
  <c r="CD30" i="5"/>
  <c r="BY30" i="5"/>
  <c r="BW30" i="5"/>
  <c r="BV30" i="5"/>
  <c r="BP30" i="5"/>
  <c r="BO30" i="5"/>
  <c r="BM30" i="5"/>
  <c r="BL30" i="5"/>
  <c r="BC30" i="5"/>
  <c r="AS30" i="5"/>
  <c r="AR30" i="5"/>
  <c r="AP30" i="5"/>
  <c r="AO30" i="5"/>
  <c r="AF30" i="5" s="1"/>
  <c r="AK30" i="5"/>
  <c r="AJ30" i="5"/>
  <c r="AH30" i="5"/>
  <c r="S30" i="5"/>
  <c r="R30" i="5"/>
  <c r="CL29" i="5"/>
  <c r="CK29" i="5"/>
  <c r="CI29" i="5"/>
  <c r="CH29" i="5"/>
  <c r="CD29" i="5"/>
  <c r="CC29" i="5"/>
  <c r="CA29" i="5"/>
  <c r="BY29" i="5"/>
  <c r="BW29" i="5"/>
  <c r="BU29" i="5"/>
  <c r="BT29" i="5"/>
  <c r="BP29" i="5"/>
  <c r="BO29" i="5"/>
  <c r="BM29" i="5"/>
  <c r="BG29" i="5"/>
  <c r="BF29" i="5"/>
  <c r="AU29" i="5"/>
  <c r="AS29" i="5"/>
  <c r="AR29" i="5"/>
  <c r="AP29" i="5"/>
  <c r="AO29" i="5"/>
  <c r="AF29" i="5" s="1"/>
  <c r="AM29" i="5"/>
  <c r="AJ29" i="5"/>
  <c r="AI29" i="5"/>
  <c r="S29" i="5"/>
  <c r="CM28" i="5"/>
  <c r="CL28" i="5"/>
  <c r="CJ28" i="5"/>
  <c r="CH28" i="5"/>
  <c r="CF28" i="5"/>
  <c r="CD28" i="5"/>
  <c r="CC28" i="5"/>
  <c r="CA28" i="5"/>
  <c r="BX28" i="5"/>
  <c r="BW28" i="5"/>
  <c r="BU28" i="5"/>
  <c r="BT28" i="5"/>
  <c r="BQ28" i="5"/>
  <c r="BO28" i="5"/>
  <c r="BN28" i="5"/>
  <c r="BL28" i="5"/>
  <c r="BG28" i="5"/>
  <c r="BC28" i="5"/>
  <c r="AT28" i="5"/>
  <c r="AS28" i="5"/>
  <c r="AP28" i="5"/>
  <c r="AN28" i="5"/>
  <c r="AM28" i="5"/>
  <c r="AJ28" i="5"/>
  <c r="AI28" i="5"/>
  <c r="T28" i="5"/>
  <c r="S28" i="5"/>
  <c r="V29" i="5"/>
  <c r="CM25" i="5"/>
  <c r="CL25" i="5"/>
  <c r="CJ25" i="5"/>
  <c r="CI25" i="5"/>
  <c r="CF25" i="5"/>
  <c r="CD25" i="5"/>
  <c r="CC25" i="5"/>
  <c r="CA25" i="5"/>
  <c r="BX25" i="5"/>
  <c r="BV25" i="5"/>
  <c r="BU25" i="5"/>
  <c r="BP25" i="5"/>
  <c r="BN25" i="5"/>
  <c r="BM25" i="5"/>
  <c r="BG25" i="5"/>
  <c r="BG26" i="5" s="1"/>
  <c r="BG27" i="5" s="1"/>
  <c r="BC25" i="5"/>
  <c r="BC26" i="5" s="1"/>
  <c r="BC27" i="5" s="1"/>
  <c r="AU25" i="5"/>
  <c r="AT25" i="5"/>
  <c r="AR25" i="5"/>
  <c r="AO25" i="5"/>
  <c r="AN25" i="5"/>
  <c r="AK25" i="5"/>
  <c r="AJ25" i="5"/>
  <c r="AH25" i="5"/>
  <c r="T25" i="5"/>
  <c r="S25" i="5"/>
  <c r="CL24" i="5"/>
  <c r="CK24" i="5"/>
  <c r="CI24" i="5"/>
  <c r="CF24" i="5"/>
  <c r="CD24" i="5"/>
  <c r="CC24" i="5"/>
  <c r="CA24" i="5"/>
  <c r="BX24" i="5"/>
  <c r="BW24" i="5"/>
  <c r="BU24" i="5"/>
  <c r="BT24" i="5"/>
  <c r="BQ24" i="5"/>
  <c r="BO24" i="5"/>
  <c r="BN24" i="5"/>
  <c r="BL24" i="5"/>
  <c r="BG24" i="5"/>
  <c r="AU24" i="5"/>
  <c r="AS24" i="5"/>
  <c r="AR24" i="5"/>
  <c r="AO24" i="5"/>
  <c r="AF24" i="5" s="1"/>
  <c r="AM24" i="5"/>
  <c r="AK24" i="5"/>
  <c r="AI24" i="5"/>
  <c r="AH24" i="5"/>
  <c r="T24" i="5"/>
  <c r="S24" i="5"/>
  <c r="CM23" i="5"/>
  <c r="CL23" i="5"/>
  <c r="CJ23" i="5"/>
  <c r="CI23" i="5"/>
  <c r="CE23" i="5"/>
  <c r="CD23" i="5"/>
  <c r="CB23" i="5"/>
  <c r="CA23" i="5"/>
  <c r="BX23" i="5"/>
  <c r="BV23" i="5"/>
  <c r="BU23" i="5"/>
  <c r="BQ23" i="5"/>
  <c r="BO23" i="5"/>
  <c r="BM23" i="5"/>
  <c r="BL23" i="5"/>
  <c r="BG23" i="5"/>
  <c r="BF23" i="5"/>
  <c r="BC23" i="5"/>
  <c r="AU23" i="5"/>
  <c r="AT23" i="5"/>
  <c r="AR23" i="5"/>
  <c r="AP23" i="5"/>
  <c r="AN23" i="5"/>
  <c r="AK23" i="5"/>
  <c r="AJ23" i="5"/>
  <c r="AH23" i="5"/>
  <c r="S23" i="5"/>
  <c r="R23" i="5"/>
  <c r="CM22" i="5"/>
  <c r="CK22" i="5"/>
  <c r="CJ22" i="5"/>
  <c r="CH22" i="5"/>
  <c r="CF22" i="5"/>
  <c r="CE22" i="5"/>
  <c r="CD22" i="5"/>
  <c r="CB22" i="5"/>
  <c r="CA22" i="5"/>
  <c r="BX22" i="5"/>
  <c r="BW22" i="5"/>
  <c r="BV22" i="5"/>
  <c r="BU22" i="5"/>
  <c r="BQ22" i="5"/>
  <c r="BO22" i="5"/>
  <c r="BN22" i="5"/>
  <c r="BM22" i="5"/>
  <c r="BL22" i="5"/>
  <c r="BF22" i="5"/>
  <c r="BC22" i="5"/>
  <c r="AU22" i="5"/>
  <c r="AT22" i="5"/>
  <c r="AS22" i="5"/>
  <c r="AP22" i="5"/>
  <c r="AN22" i="5"/>
  <c r="AM22" i="5"/>
  <c r="AK22" i="5"/>
  <c r="AJ22" i="5"/>
  <c r="AH22" i="5"/>
  <c r="T22" i="5"/>
  <c r="S22" i="5"/>
  <c r="R22" i="5"/>
  <c r="W23" i="5" s="1"/>
  <c r="CM20" i="5"/>
  <c r="CL20" i="5"/>
  <c r="CK20" i="5"/>
  <c r="CJ20" i="5"/>
  <c r="CH20" i="5"/>
  <c r="CF20" i="5"/>
  <c r="CD20" i="5"/>
  <c r="CC20" i="5"/>
  <c r="CB20" i="5"/>
  <c r="CA20" i="5"/>
  <c r="BX20" i="5"/>
  <c r="BW20" i="5"/>
  <c r="BU20" i="5"/>
  <c r="BT20" i="5"/>
  <c r="BQ20" i="5"/>
  <c r="BP20" i="5"/>
  <c r="BN20" i="5"/>
  <c r="BM20" i="5"/>
  <c r="BG20" i="5"/>
  <c r="BG21" i="5" s="1"/>
  <c r="BF20" i="5"/>
  <c r="BF21" i="5" s="1"/>
  <c r="AU20" i="5"/>
  <c r="AT20" i="5"/>
  <c r="AS20" i="5"/>
  <c r="AR20" i="5"/>
  <c r="AP20" i="5"/>
  <c r="AO20" i="5"/>
  <c r="AM20" i="5"/>
  <c r="AK20" i="5"/>
  <c r="AJ20" i="5"/>
  <c r="AI20" i="5"/>
  <c r="T20" i="5"/>
  <c r="S20" i="5"/>
  <c r="R20" i="5"/>
  <c r="CM19" i="5"/>
  <c r="CK19" i="5"/>
  <c r="CJ19" i="5"/>
  <c r="CI19" i="5"/>
  <c r="CH19" i="5"/>
  <c r="CE19" i="5"/>
  <c r="CD19" i="5"/>
  <c r="CB19" i="5"/>
  <c r="CA19" i="5"/>
  <c r="BY19" i="5"/>
  <c r="BX19" i="5"/>
  <c r="BV19" i="5"/>
  <c r="BU19" i="5"/>
  <c r="BQ19" i="5"/>
  <c r="BP19" i="5"/>
  <c r="BO19" i="5"/>
  <c r="BN19" i="5"/>
  <c r="BL19" i="5"/>
  <c r="BF19" i="5"/>
  <c r="BC19" i="5"/>
  <c r="AU19" i="5"/>
  <c r="AT19" i="5"/>
  <c r="AR19" i="5"/>
  <c r="AP19" i="5"/>
  <c r="AO19" i="5"/>
  <c r="AF19" i="5" s="1"/>
  <c r="AN19" i="5"/>
  <c r="AK19" i="5"/>
  <c r="AJ19" i="5"/>
  <c r="AH19" i="5"/>
  <c r="S19" i="5"/>
  <c r="R19" i="5"/>
  <c r="CM18" i="5"/>
  <c r="CL18" i="5"/>
  <c r="CK18" i="5"/>
  <c r="CI18" i="5"/>
  <c r="CH18" i="5"/>
  <c r="CE18" i="5"/>
  <c r="CD18" i="5"/>
  <c r="CC18" i="5"/>
  <c r="CB18" i="5"/>
  <c r="BY18" i="5"/>
  <c r="BX18" i="5"/>
  <c r="BV18" i="5"/>
  <c r="BU18" i="5"/>
  <c r="BT18" i="5"/>
  <c r="BQ18" i="5"/>
  <c r="BO18" i="5"/>
  <c r="BN18" i="5"/>
  <c r="BL18" i="5"/>
  <c r="BG18" i="5"/>
  <c r="BF18" i="5"/>
  <c r="AT18" i="5"/>
  <c r="AS18" i="5"/>
  <c r="AR18" i="5"/>
  <c r="AO18" i="5"/>
  <c r="AF18" i="5" s="1"/>
  <c r="AN18" i="5"/>
  <c r="AK18" i="5"/>
  <c r="AJ18" i="5"/>
  <c r="AI18" i="5"/>
  <c r="T18" i="5"/>
  <c r="S18" i="5"/>
  <c r="R18" i="5"/>
  <c r="CM17" i="5"/>
  <c r="CL17" i="5"/>
  <c r="CK17" i="5"/>
  <c r="CJ17" i="5"/>
  <c r="CI17" i="5"/>
  <c r="CF17" i="5"/>
  <c r="CE17" i="5"/>
  <c r="CD17" i="5"/>
  <c r="CC17" i="5"/>
  <c r="CB17" i="5"/>
  <c r="CA17" i="5"/>
  <c r="BY17" i="5"/>
  <c r="BW17" i="5"/>
  <c r="BV17" i="5"/>
  <c r="BU17" i="5"/>
  <c r="BT17" i="5"/>
  <c r="BQ17" i="5"/>
  <c r="BO17" i="5"/>
  <c r="BN17" i="5"/>
  <c r="BM17" i="5"/>
  <c r="BL17" i="5"/>
  <c r="BG17" i="5"/>
  <c r="BF17" i="5"/>
  <c r="AU17" i="5"/>
  <c r="AT17" i="5"/>
  <c r="AS17" i="5"/>
  <c r="AP17" i="5"/>
  <c r="AO17" i="5"/>
  <c r="AF17" i="5" s="1"/>
  <c r="AN17" i="5"/>
  <c r="AM17" i="5"/>
  <c r="AK17" i="5"/>
  <c r="AJ17" i="5"/>
  <c r="AI17" i="5"/>
  <c r="T17" i="5"/>
  <c r="S17" i="5"/>
  <c r="R17" i="5"/>
  <c r="CM16" i="5"/>
  <c r="CL16" i="5"/>
  <c r="CK16" i="5"/>
  <c r="CJ16" i="5"/>
  <c r="CH16" i="5"/>
  <c r="CF16" i="5"/>
  <c r="CE16" i="5"/>
  <c r="CD16" i="5"/>
  <c r="CC16" i="5"/>
  <c r="CB16" i="5"/>
  <c r="CA16" i="5"/>
  <c r="BY16" i="5"/>
  <c r="BX16" i="5"/>
  <c r="BW16" i="5"/>
  <c r="BV16" i="5"/>
  <c r="BU16" i="5"/>
  <c r="BT16" i="5"/>
  <c r="BQ16" i="5"/>
  <c r="BP16" i="5"/>
  <c r="BO16" i="5"/>
  <c r="BN16" i="5"/>
  <c r="BM16" i="5"/>
  <c r="BL16" i="5"/>
  <c r="BG16" i="5"/>
  <c r="BF16" i="5"/>
  <c r="BC16" i="5"/>
  <c r="AT16" i="5"/>
  <c r="AS16" i="5"/>
  <c r="AR16" i="5"/>
  <c r="AP16" i="5"/>
  <c r="AO16" i="5"/>
  <c r="AF16" i="5" s="1"/>
  <c r="AN16" i="5"/>
  <c r="AM16" i="5"/>
  <c r="AJ16" i="5"/>
  <c r="AI16" i="5"/>
  <c r="AH16" i="5"/>
  <c r="T16" i="5"/>
  <c r="R16" i="5"/>
  <c r="CM14" i="5"/>
  <c r="CL14" i="5"/>
  <c r="CK14" i="5"/>
  <c r="CJ14" i="5"/>
  <c r="CH14" i="5"/>
  <c r="CF14" i="5"/>
  <c r="CE14" i="5"/>
  <c r="CD14" i="5"/>
  <c r="CC14" i="5"/>
  <c r="CB14" i="5"/>
  <c r="CA14" i="5"/>
  <c r="BX14" i="5"/>
  <c r="BW14" i="5"/>
  <c r="BV14" i="5"/>
  <c r="BU14" i="5"/>
  <c r="BT14" i="5"/>
  <c r="BQ14" i="5"/>
  <c r="BP14" i="5"/>
  <c r="BN14" i="5"/>
  <c r="BM14" i="5"/>
  <c r="BL14" i="5"/>
  <c r="BG14" i="5"/>
  <c r="BF14" i="5"/>
  <c r="BF15" i="5" s="1"/>
  <c r="AU14" i="5"/>
  <c r="AT14" i="5"/>
  <c r="AS14" i="5"/>
  <c r="AR14" i="5"/>
  <c r="AP14" i="5"/>
  <c r="AO14" i="5"/>
  <c r="AF14" i="5" s="1"/>
  <c r="AM14" i="5"/>
  <c r="AK14" i="5"/>
  <c r="AJ14" i="5"/>
  <c r="AI14" i="5"/>
  <c r="AH14" i="5"/>
  <c r="T14" i="5"/>
  <c r="S14" i="5"/>
  <c r="R14" i="5"/>
  <c r="CM13" i="5"/>
  <c r="CL13" i="5"/>
  <c r="CK13" i="5"/>
  <c r="CJ13" i="5"/>
  <c r="CI13" i="5"/>
  <c r="CH13" i="5"/>
  <c r="CE13" i="5"/>
  <c r="CD13" i="5"/>
  <c r="CC13" i="5"/>
  <c r="CB13" i="5"/>
  <c r="CA13" i="5"/>
  <c r="BY13" i="5"/>
  <c r="BX13" i="5"/>
  <c r="BV13" i="5"/>
  <c r="BU13" i="5"/>
  <c r="BT13" i="5"/>
  <c r="BQ13" i="5"/>
  <c r="BP13" i="5"/>
  <c r="BO13" i="5"/>
  <c r="BN13" i="5"/>
  <c r="BL13" i="5"/>
  <c r="BG13" i="5"/>
  <c r="BF13" i="5"/>
  <c r="BC13" i="5"/>
  <c r="AU13" i="5"/>
  <c r="AT13" i="5"/>
  <c r="AS13" i="5"/>
  <c r="AR13" i="5"/>
  <c r="AP13" i="5"/>
  <c r="AO13" i="5"/>
  <c r="AM13" i="5"/>
  <c r="AK13" i="5"/>
  <c r="AJ13" i="5"/>
  <c r="AI13" i="5"/>
  <c r="AH13" i="5"/>
  <c r="S13" i="5"/>
  <c r="R13" i="5"/>
  <c r="CM12" i="5"/>
  <c r="CL12" i="5"/>
  <c r="CK12" i="5"/>
  <c r="CI12" i="5"/>
  <c r="CH12" i="5"/>
  <c r="CF12" i="5"/>
  <c r="CE12" i="5"/>
  <c r="CD12" i="5"/>
  <c r="CC12" i="5"/>
  <c r="CB12" i="5"/>
  <c r="BY12" i="5"/>
  <c r="BX12" i="5"/>
  <c r="BW12" i="5"/>
  <c r="BV12" i="5"/>
  <c r="BU12" i="5"/>
  <c r="BT12" i="5"/>
  <c r="BQ12" i="5"/>
  <c r="BO12" i="5"/>
  <c r="BN12" i="5"/>
  <c r="BM12" i="5"/>
  <c r="BL12" i="5"/>
  <c r="BG12" i="5"/>
  <c r="BF12" i="5"/>
  <c r="BC12" i="5"/>
  <c r="AU12" i="5"/>
  <c r="AT12" i="5"/>
  <c r="AS12" i="5"/>
  <c r="AR12" i="5"/>
  <c r="AP12" i="5"/>
  <c r="AN12" i="5"/>
  <c r="AM12" i="5"/>
  <c r="AK12" i="5"/>
  <c r="AJ12" i="5"/>
  <c r="AI12" i="5"/>
  <c r="AH12" i="5"/>
  <c r="T12" i="5"/>
  <c r="S12" i="5"/>
  <c r="R12" i="5"/>
  <c r="CM11" i="5"/>
  <c r="CL11" i="5"/>
  <c r="CK11" i="5"/>
  <c r="CJ11" i="5"/>
  <c r="CI11" i="5"/>
  <c r="CH11" i="5"/>
  <c r="CF11" i="5"/>
  <c r="CD11" i="5"/>
  <c r="CC11" i="5"/>
  <c r="CB11" i="5"/>
  <c r="CA11" i="5"/>
  <c r="BY11" i="5"/>
  <c r="BX11" i="5"/>
  <c r="BW11" i="5"/>
  <c r="BU11" i="5"/>
  <c r="BT11" i="5"/>
  <c r="BQ11" i="5"/>
  <c r="BP11" i="5"/>
  <c r="BO11" i="5"/>
  <c r="BN11" i="5"/>
  <c r="BM11" i="5"/>
  <c r="BG11" i="5"/>
  <c r="BF11" i="5"/>
  <c r="BC11" i="5"/>
  <c r="AU11" i="5"/>
  <c r="AT11" i="5"/>
  <c r="AR11" i="5"/>
  <c r="AP11" i="5"/>
  <c r="AO11" i="5"/>
  <c r="AF11" i="5" s="1"/>
  <c r="AN11" i="5"/>
  <c r="AM11" i="5"/>
  <c r="AJ11" i="5"/>
  <c r="AI11" i="5"/>
  <c r="AH11" i="5"/>
  <c r="T11" i="5"/>
  <c r="S11" i="5"/>
  <c r="R11" i="5"/>
  <c r="CX93" i="5"/>
  <c r="CX89" i="5"/>
  <c r="CX73" i="5"/>
  <c r="CW70" i="5"/>
  <c r="CW63" i="5"/>
  <c r="CW54" i="5"/>
  <c r="CX52" i="5"/>
  <c r="CX51" i="5"/>
  <c r="CW47" i="5"/>
  <c r="CX45" i="5"/>
  <c r="CW38" i="5"/>
  <c r="CW34" i="5"/>
  <c r="CW31" i="5"/>
  <c r="CX30" i="5"/>
  <c r="CW29" i="5"/>
  <c r="CW28" i="5"/>
  <c r="CX25" i="5"/>
  <c r="CW25" i="5"/>
  <c r="CW26" i="5" s="1"/>
  <c r="CX24" i="5"/>
  <c r="CW24" i="5"/>
  <c r="CW22" i="5"/>
  <c r="CW20" i="5"/>
  <c r="CW21" i="5" s="1"/>
  <c r="CX19" i="5"/>
  <c r="CW18" i="5"/>
  <c r="CX17" i="5"/>
  <c r="CW17" i="5"/>
  <c r="CW16" i="5"/>
  <c r="CW14" i="5"/>
  <c r="CW15" i="5" s="1"/>
  <c r="CX12" i="5"/>
  <c r="CW11" i="5"/>
  <c r="H11" i="5"/>
  <c r="I11" i="5"/>
  <c r="G12" i="5"/>
  <c r="I12" i="5"/>
  <c r="J12" i="5"/>
  <c r="K12" i="5"/>
  <c r="I13" i="5"/>
  <c r="J13" i="5"/>
  <c r="G14" i="5"/>
  <c r="I14" i="5"/>
  <c r="G16" i="5"/>
  <c r="I16" i="5"/>
  <c r="J16" i="5"/>
  <c r="K16" i="5"/>
  <c r="I17" i="5"/>
  <c r="J17" i="5"/>
  <c r="H18" i="5"/>
  <c r="K18" i="5"/>
  <c r="G19" i="5"/>
  <c r="H19" i="5"/>
  <c r="K19" i="5"/>
  <c r="G20" i="5"/>
  <c r="H20" i="5"/>
  <c r="G22" i="5"/>
  <c r="H22" i="5"/>
  <c r="I22" i="5"/>
  <c r="G23" i="5"/>
  <c r="I23" i="5"/>
  <c r="J23" i="5"/>
  <c r="K23" i="5"/>
  <c r="J24" i="5"/>
  <c r="G25" i="5"/>
  <c r="I25" i="5"/>
  <c r="J25" i="5"/>
  <c r="K25" i="5"/>
  <c r="G28" i="5"/>
  <c r="I28" i="5"/>
  <c r="K28" i="5"/>
  <c r="G29" i="5"/>
  <c r="H29" i="5"/>
  <c r="J29" i="5"/>
  <c r="K29" i="5"/>
  <c r="G30" i="5"/>
  <c r="I30" i="5"/>
  <c r="K30" i="5"/>
  <c r="H31" i="5"/>
  <c r="I31" i="5"/>
  <c r="J31" i="5"/>
  <c r="G33" i="5"/>
  <c r="I33" i="5"/>
  <c r="K33" i="5"/>
  <c r="H34" i="5"/>
  <c r="I34" i="5"/>
  <c r="J34" i="5"/>
  <c r="G39" i="5"/>
  <c r="H39" i="5"/>
  <c r="I39" i="5"/>
  <c r="K39" i="5"/>
  <c r="G40" i="5"/>
  <c r="I40" i="5"/>
  <c r="J40" i="5"/>
  <c r="G41" i="5"/>
  <c r="H41" i="5"/>
  <c r="J41" i="5"/>
  <c r="K41" i="5"/>
  <c r="G42" i="5"/>
  <c r="H42" i="5"/>
  <c r="J42" i="5"/>
  <c r="G45" i="5"/>
  <c r="H45" i="5"/>
  <c r="I45" i="5"/>
  <c r="J45" i="5"/>
  <c r="K45" i="5"/>
  <c r="H46" i="5"/>
  <c r="J46" i="5"/>
  <c r="K46" i="5"/>
  <c r="G47" i="5"/>
  <c r="H47" i="5"/>
  <c r="I47" i="5"/>
  <c r="K47" i="5"/>
  <c r="G48" i="5"/>
  <c r="I48" i="5"/>
  <c r="J48" i="5"/>
  <c r="K48" i="5"/>
  <c r="H50" i="5"/>
  <c r="I50" i="5"/>
  <c r="J50" i="5"/>
  <c r="K50" i="5"/>
  <c r="G51" i="5"/>
  <c r="I51" i="5"/>
  <c r="J51" i="5"/>
  <c r="K51" i="5"/>
  <c r="G52" i="5"/>
  <c r="H52" i="5"/>
  <c r="J52" i="5"/>
  <c r="K52" i="5"/>
  <c r="G53" i="5"/>
  <c r="H53" i="5"/>
  <c r="I53" i="5"/>
  <c r="J53" i="5"/>
  <c r="K53" i="5"/>
  <c r="H54" i="5"/>
  <c r="I54" i="5"/>
  <c r="J54" i="5"/>
  <c r="K54" i="5"/>
  <c r="G56" i="5"/>
  <c r="H56" i="5"/>
  <c r="J56" i="5"/>
  <c r="K56" i="5"/>
  <c r="G57" i="5"/>
  <c r="H57" i="5"/>
  <c r="I57" i="5"/>
  <c r="J57" i="5"/>
  <c r="K57" i="5"/>
  <c r="H58" i="5"/>
  <c r="I58" i="5"/>
  <c r="J58" i="5"/>
  <c r="K58" i="5"/>
  <c r="G59" i="5"/>
  <c r="H59" i="5"/>
  <c r="I59" i="5"/>
  <c r="K59" i="5"/>
  <c r="G62" i="5"/>
  <c r="H62" i="5"/>
  <c r="I62" i="5"/>
  <c r="J62" i="5"/>
  <c r="G63" i="5"/>
  <c r="H63" i="5"/>
  <c r="I63" i="5"/>
  <c r="J63" i="5"/>
  <c r="K63" i="5"/>
  <c r="G64" i="5"/>
  <c r="I64" i="5"/>
  <c r="J64" i="5"/>
  <c r="K64" i="5"/>
  <c r="G65" i="5"/>
  <c r="H65" i="5"/>
  <c r="I65" i="5"/>
  <c r="K65" i="5"/>
  <c r="G67" i="5"/>
  <c r="H67" i="5"/>
  <c r="I67" i="5"/>
  <c r="J67" i="5"/>
  <c r="G68" i="5"/>
  <c r="H68" i="5"/>
  <c r="I68" i="5"/>
  <c r="J68" i="5"/>
  <c r="K68" i="5"/>
  <c r="G69" i="5"/>
  <c r="I69" i="5"/>
  <c r="J69" i="5"/>
  <c r="K69" i="5"/>
  <c r="G70" i="5"/>
  <c r="H70" i="5"/>
  <c r="I70" i="5"/>
  <c r="K70" i="5"/>
  <c r="G71" i="5"/>
  <c r="H71" i="5"/>
  <c r="I71" i="5"/>
  <c r="J71" i="5"/>
  <c r="K71" i="5"/>
  <c r="G73" i="5"/>
  <c r="I73" i="5"/>
  <c r="J73" i="5"/>
  <c r="K73" i="5"/>
  <c r="G74" i="5"/>
  <c r="H74" i="5"/>
  <c r="I74" i="5"/>
  <c r="K74" i="5"/>
  <c r="G75" i="5"/>
  <c r="H75" i="5"/>
  <c r="I75" i="5"/>
  <c r="J75" i="5"/>
  <c r="G76" i="5"/>
  <c r="H76" i="5"/>
  <c r="I76" i="5"/>
  <c r="J76" i="5"/>
  <c r="K76" i="5"/>
  <c r="G80" i="5"/>
  <c r="H80" i="5"/>
  <c r="I80" i="5"/>
  <c r="J80" i="5"/>
  <c r="K80" i="5"/>
  <c r="G81" i="5"/>
  <c r="I81" i="5"/>
  <c r="J81" i="5"/>
  <c r="K81" i="5"/>
  <c r="G82" i="5"/>
  <c r="H82" i="5"/>
  <c r="I82" i="5"/>
  <c r="J82" i="5"/>
  <c r="G83" i="5"/>
  <c r="H83" i="5"/>
  <c r="I83" i="5"/>
  <c r="J83" i="5"/>
  <c r="K83" i="5"/>
  <c r="G85" i="5"/>
  <c r="I85" i="5"/>
  <c r="J85" i="5"/>
  <c r="K85" i="5"/>
  <c r="G86" i="5"/>
  <c r="H86" i="5"/>
  <c r="J86" i="5"/>
  <c r="K86" i="5"/>
  <c r="G87" i="5"/>
  <c r="H87" i="5"/>
  <c r="I87" i="5"/>
  <c r="J87" i="5"/>
  <c r="K87" i="5"/>
  <c r="H88" i="5"/>
  <c r="I88" i="5"/>
  <c r="J88" i="5"/>
  <c r="K88" i="5"/>
  <c r="G89" i="5"/>
  <c r="H89" i="5"/>
  <c r="I89" i="5"/>
  <c r="K89" i="5"/>
  <c r="G91" i="5"/>
  <c r="H91" i="5"/>
  <c r="I91" i="5"/>
  <c r="J91" i="5"/>
  <c r="G92" i="5"/>
  <c r="H92" i="5"/>
  <c r="I92" i="5"/>
  <c r="J92" i="5"/>
  <c r="K92" i="5"/>
  <c r="H93" i="5"/>
  <c r="I93" i="5"/>
  <c r="J93" i="5"/>
  <c r="K93" i="5"/>
  <c r="G94" i="5"/>
  <c r="H94" i="5"/>
  <c r="J94" i="5"/>
  <c r="K94" i="5"/>
  <c r="K95" i="5"/>
  <c r="P40" i="3" l="1"/>
  <c r="Y40" i="3"/>
  <c r="CY40" i="3"/>
  <c r="Q41" i="3"/>
  <c r="BJ40" i="3"/>
  <c r="BE40" i="3"/>
  <c r="X45" i="5"/>
  <c r="X17" i="5"/>
  <c r="W17" i="5"/>
  <c r="W14" i="5"/>
  <c r="W15" i="5" s="1"/>
  <c r="W19" i="5"/>
  <c r="W18" i="5"/>
  <c r="W20" i="5"/>
  <c r="W21" i="5" s="1"/>
  <c r="V25" i="5"/>
  <c r="V26" i="5" s="1"/>
  <c r="V27" i="5" s="1"/>
  <c r="V17" i="5"/>
  <c r="X18" i="5"/>
  <c r="X34" i="5"/>
  <c r="X42" i="5"/>
  <c r="X43" i="5" s="1"/>
  <c r="X44" i="5" s="1"/>
  <c r="X64" i="5"/>
  <c r="X25" i="5"/>
  <c r="X26" i="5" s="1"/>
  <c r="X27" i="5" s="1"/>
  <c r="X40" i="5"/>
  <c r="W50" i="5"/>
  <c r="BI35" i="5"/>
  <c r="BE35" i="5"/>
  <c r="X28" i="5"/>
  <c r="X50" i="5"/>
  <c r="W63" i="5"/>
  <c r="X65" i="5"/>
  <c r="X66" i="5" s="1"/>
  <c r="W70" i="5"/>
  <c r="V18" i="5"/>
  <c r="V28" i="5"/>
  <c r="X33" i="5"/>
  <c r="X46" i="5"/>
  <c r="X51" i="5"/>
  <c r="W53" i="5"/>
  <c r="AB35" i="5"/>
  <c r="Y35" i="5"/>
  <c r="CT35" i="5"/>
  <c r="E35" i="5"/>
  <c r="Z35" i="5"/>
  <c r="AG33" i="5"/>
  <c r="AD11" i="5"/>
  <c r="AG29" i="5"/>
  <c r="P35" i="5"/>
  <c r="BH35" i="5"/>
  <c r="BB35" i="5"/>
  <c r="BJ35" i="5"/>
  <c r="BR58" i="5"/>
  <c r="BA34" i="5"/>
  <c r="BB34" i="5" s="1"/>
  <c r="BZ12" i="5"/>
  <c r="D20" i="5"/>
  <c r="AV12" i="5"/>
  <c r="AZ48" i="5"/>
  <c r="AZ13" i="5"/>
  <c r="BD93" i="5"/>
  <c r="BK93" i="5" s="1"/>
  <c r="D76" i="5"/>
  <c r="N14" i="5"/>
  <c r="AA14" i="5" s="1"/>
  <c r="BS31" i="5"/>
  <c r="L16" i="5"/>
  <c r="AL13" i="5"/>
  <c r="CG14" i="5"/>
  <c r="CP50" i="5"/>
  <c r="BD17" i="5"/>
  <c r="BK17" i="5" s="1"/>
  <c r="CO19" i="5"/>
  <c r="BA17" i="5"/>
  <c r="BB17" i="5" s="1"/>
  <c r="CR12" i="5"/>
  <c r="AX28" i="5"/>
  <c r="AG56" i="5"/>
  <c r="N18" i="5"/>
  <c r="AA18" i="5" s="1"/>
  <c r="O48" i="5"/>
  <c r="O11" i="5"/>
  <c r="AG23" i="5"/>
  <c r="AG13" i="5"/>
  <c r="AE18" i="5"/>
  <c r="AV23" i="5"/>
  <c r="AL12" i="5"/>
  <c r="AY18" i="5"/>
  <c r="W22" i="5"/>
  <c r="AG22" i="5"/>
  <c r="M23" i="5"/>
  <c r="N29" i="5"/>
  <c r="AA29" i="5" s="1"/>
  <c r="F75" i="5"/>
  <c r="F71" i="5"/>
  <c r="CS12" i="5"/>
  <c r="AQ13" i="5"/>
  <c r="CO16" i="5"/>
  <c r="AG17" i="5"/>
  <c r="CN17" i="5"/>
  <c r="AL19" i="5"/>
  <c r="AG19" i="5"/>
  <c r="BS22" i="5"/>
  <c r="CR23" i="5"/>
  <c r="O28" i="5"/>
  <c r="CJ41" i="5"/>
  <c r="AV11" i="5"/>
  <c r="AG14" i="5"/>
  <c r="CN14" i="5"/>
  <c r="AW16" i="5"/>
  <c r="BS16" i="5"/>
  <c r="CS16" i="5"/>
  <c r="U28" i="5"/>
  <c r="AV14" i="5"/>
  <c r="CN19" i="5"/>
  <c r="CN33" i="5"/>
  <c r="CC40" i="5"/>
  <c r="CO42" i="5"/>
  <c r="N74" i="5"/>
  <c r="BS34" i="5"/>
  <c r="BD12" i="5"/>
  <c r="BK12" i="5" s="1"/>
  <c r="BR13" i="5"/>
  <c r="BZ19" i="5"/>
  <c r="O22" i="5"/>
  <c r="CR24" i="5"/>
  <c r="BR25" i="5"/>
  <c r="AQ29" i="5"/>
  <c r="AL30" i="5"/>
  <c r="CR40" i="5"/>
  <c r="BV42" i="5"/>
  <c r="BZ42" i="5" s="1"/>
  <c r="BS62" i="5"/>
  <c r="D41" i="5"/>
  <c r="BA29" i="5"/>
  <c r="BH29" i="5" s="1"/>
  <c r="CD26" i="5"/>
  <c r="BD52" i="5"/>
  <c r="D75" i="5"/>
  <c r="BS23" i="5"/>
  <c r="D86" i="5"/>
  <c r="BA16" i="5"/>
  <c r="BB16" i="5" s="1"/>
  <c r="BD24" i="5"/>
  <c r="BK24" i="5" s="1"/>
  <c r="V14" i="5"/>
  <c r="V15" i="5" s="1"/>
  <c r="BR19" i="5"/>
  <c r="CR20" i="5"/>
  <c r="CN23" i="5"/>
  <c r="CG24" i="5"/>
  <c r="CJ40" i="5"/>
  <c r="AE59" i="5"/>
  <c r="CR16" i="5"/>
  <c r="BQ21" i="5"/>
  <c r="CS11" i="5"/>
  <c r="L11" i="5"/>
  <c r="BA11" i="5"/>
  <c r="BH11" i="5" s="1"/>
  <c r="CP11" i="5"/>
  <c r="CQ11" i="5" s="1"/>
  <c r="M12" i="5"/>
  <c r="AZ30" i="5"/>
  <c r="N31" i="5"/>
  <c r="N57" i="5"/>
  <c r="BA14" i="5"/>
  <c r="BJ14" i="5" s="1"/>
  <c r="BA18" i="5"/>
  <c r="BB18" i="5" s="1"/>
  <c r="W12" i="5"/>
  <c r="BR20" i="5"/>
  <c r="CN22" i="5"/>
  <c r="BS24" i="5"/>
  <c r="CJ42" i="5"/>
  <c r="N67" i="5"/>
  <c r="AA67" i="5" s="1"/>
  <c r="AF76" i="5"/>
  <c r="AY76" i="5"/>
  <c r="BA22" i="5"/>
  <c r="BB22" i="5" s="1"/>
  <c r="M11" i="5"/>
  <c r="O17" i="5"/>
  <c r="AY17" i="5"/>
  <c r="N17" i="5"/>
  <c r="AA17" i="5" s="1"/>
  <c r="BA20" i="5"/>
  <c r="BA21" i="5" s="1"/>
  <c r="L24" i="5"/>
  <c r="AE42" i="5"/>
  <c r="F93" i="5"/>
  <c r="N11" i="5"/>
  <c r="AA11" i="5" s="1"/>
  <c r="AG11" i="5"/>
  <c r="AW13" i="5"/>
  <c r="R21" i="5"/>
  <c r="BS19" i="5"/>
  <c r="AD20" i="5"/>
  <c r="AQ20" i="5"/>
  <c r="CO23" i="5"/>
  <c r="BD73" i="5"/>
  <c r="J95" i="5"/>
  <c r="AY13" i="5"/>
  <c r="N20" i="5"/>
  <c r="L29" i="5"/>
  <c r="M42" i="5"/>
  <c r="F70" i="5"/>
  <c r="F53" i="5"/>
  <c r="N13" i="5"/>
  <c r="CD21" i="5"/>
  <c r="CP16" i="5"/>
  <c r="CQ16" i="5" s="1"/>
  <c r="AQ22" i="5"/>
  <c r="AL25" i="5"/>
  <c r="O40" i="5"/>
  <c r="AF88" i="5"/>
  <c r="CJ45" i="5"/>
  <c r="CN45" i="5" s="1"/>
  <c r="K90" i="5"/>
  <c r="CB21" i="5"/>
  <c r="D62" i="5"/>
  <c r="U12" i="5"/>
  <c r="M53" i="5"/>
  <c r="D94" i="5"/>
  <c r="AD14" i="5"/>
  <c r="L14" i="5"/>
  <c r="CO14" i="5"/>
  <c r="BZ17" i="5"/>
  <c r="O34" i="5"/>
  <c r="CO46" i="5"/>
  <c r="CJ50" i="5"/>
  <c r="CR13" i="5"/>
  <c r="AF20" i="5"/>
  <c r="AY20" i="5"/>
  <c r="J55" i="5"/>
  <c r="AG20" i="5"/>
  <c r="CX90" i="5"/>
  <c r="X12" i="5"/>
  <c r="BT15" i="5"/>
  <c r="L12" i="5"/>
  <c r="W16" i="5"/>
  <c r="CL15" i="5"/>
  <c r="BS17" i="5"/>
  <c r="AZ23" i="5"/>
  <c r="AD24" i="5"/>
  <c r="BZ30" i="5"/>
  <c r="CR48" i="5"/>
  <c r="D91" i="5"/>
  <c r="D80" i="5"/>
  <c r="D52" i="5"/>
  <c r="F50" i="5"/>
  <c r="AW11" i="5"/>
  <c r="CB15" i="5"/>
  <c r="CR11" i="5"/>
  <c r="AZ12" i="5"/>
  <c r="CO12" i="5"/>
  <c r="V16" i="5"/>
  <c r="U14" i="5"/>
  <c r="AY14" i="5"/>
  <c r="BR14" i="5"/>
  <c r="CS18" i="5"/>
  <c r="AY19" i="5"/>
  <c r="AZ20" i="5"/>
  <c r="CG20" i="5"/>
  <c r="M22" i="5"/>
  <c r="AV25" i="5"/>
  <c r="CG25" i="5"/>
  <c r="BW32" i="5"/>
  <c r="AY29" i="5"/>
  <c r="AY31" i="5"/>
  <c r="AF31" i="5"/>
  <c r="CS48" i="5"/>
  <c r="CJ52" i="5"/>
  <c r="AU57" i="5"/>
  <c r="AG57" i="5" s="1"/>
  <c r="CA57" i="5"/>
  <c r="CE58" i="5"/>
  <c r="AU59" i="5"/>
  <c r="CL59" i="5"/>
  <c r="AT62" i="5"/>
  <c r="CI62" i="5"/>
  <c r="CI66" i="5" s="1"/>
  <c r="CK63" i="5"/>
  <c r="AU67" i="5"/>
  <c r="AG67" i="5" s="1"/>
  <c r="CM67" i="5"/>
  <c r="BC68" i="5"/>
  <c r="CL68" i="5"/>
  <c r="AT69" i="5"/>
  <c r="CE69" i="5"/>
  <c r="AS70" i="5"/>
  <c r="AP71" i="5"/>
  <c r="CD71" i="5"/>
  <c r="AT73" i="5"/>
  <c r="CI73" i="5"/>
  <c r="AU74" i="5"/>
  <c r="AG74" i="5" s="1"/>
  <c r="CH74" i="5"/>
  <c r="BQ76" i="5"/>
  <c r="BS76" i="5" s="1"/>
  <c r="CB80" i="5"/>
  <c r="BC81" i="5"/>
  <c r="T82" i="5"/>
  <c r="BW82" i="5"/>
  <c r="T85" i="5"/>
  <c r="CI85" i="5"/>
  <c r="BU86" i="5"/>
  <c r="BG87" i="5"/>
  <c r="AJ89" i="5"/>
  <c r="CI91" i="5"/>
  <c r="CF92" i="5"/>
  <c r="BW93" i="5"/>
  <c r="BN94" i="5"/>
  <c r="D92" i="5"/>
  <c r="F65" i="5"/>
  <c r="F34" i="5"/>
  <c r="U11" i="5"/>
  <c r="AQ11" i="5"/>
  <c r="AQ16" i="5"/>
  <c r="BZ16" i="5"/>
  <c r="CG17" i="5"/>
  <c r="CS17" i="5"/>
  <c r="AV20" i="5"/>
  <c r="CN20" i="5"/>
  <c r="AE22" i="5"/>
  <c r="CA26" i="5"/>
  <c r="U25" i="5"/>
  <c r="CN25" i="5"/>
  <c r="AE28" i="5"/>
  <c r="BS28" i="5"/>
  <c r="AD29" i="5"/>
  <c r="AV29" i="5"/>
  <c r="N30" i="5"/>
  <c r="AA30" i="5" s="1"/>
  <c r="AZ33" i="5"/>
  <c r="CC41" i="5"/>
  <c r="BM49" i="5"/>
  <c r="N46" i="5"/>
  <c r="CS65" i="5"/>
  <c r="BU67" i="5"/>
  <c r="AJ68" i="5"/>
  <c r="BP69" i="5"/>
  <c r="T70" i="5"/>
  <c r="BN70" i="5"/>
  <c r="R71" i="5"/>
  <c r="BN71" i="5"/>
  <c r="T73" i="5"/>
  <c r="BT73" i="5"/>
  <c r="BT74" i="5"/>
  <c r="BW75" i="5"/>
  <c r="CL76" i="5"/>
  <c r="CA81" i="5"/>
  <c r="AU82" i="5"/>
  <c r="CB83" i="5"/>
  <c r="BF85" i="5"/>
  <c r="AO86" i="5"/>
  <c r="AF86" i="5" s="1"/>
  <c r="S87" i="5"/>
  <c r="N87" i="5" s="1"/>
  <c r="BY88" i="5"/>
  <c r="BO89" i="5"/>
  <c r="BC91" i="5"/>
  <c r="AU92" i="5"/>
  <c r="AO93" i="5"/>
  <c r="AX11" i="5"/>
  <c r="AD13" i="5"/>
  <c r="AV13" i="5"/>
  <c r="CO13" i="5"/>
  <c r="BR16" i="5"/>
  <c r="CG16" i="5"/>
  <c r="BZ18" i="5"/>
  <c r="AL22" i="5"/>
  <c r="AY25" i="5"/>
  <c r="CR25" i="5"/>
  <c r="CS30" i="5"/>
  <c r="N39" i="5"/>
  <c r="AA39" i="5" s="1"/>
  <c r="CP47" i="5"/>
  <c r="CQ47" i="5" s="1"/>
  <c r="CC51" i="5"/>
  <c r="CG51" i="5" s="1"/>
  <c r="AF74" i="5"/>
  <c r="AF87" i="5"/>
  <c r="BQ92" i="5"/>
  <c r="BF93" i="5"/>
  <c r="D74" i="5"/>
  <c r="F47" i="5"/>
  <c r="F39" i="5"/>
  <c r="D19" i="5"/>
  <c r="CX26" i="5"/>
  <c r="CX27" i="5" s="1"/>
  <c r="BD25" i="5"/>
  <c r="BK25" i="5" s="1"/>
  <c r="CN11" i="5"/>
  <c r="BS12" i="5"/>
  <c r="AL14" i="5"/>
  <c r="BU21" i="5"/>
  <c r="CS19" i="5"/>
  <c r="BR40" i="5"/>
  <c r="BV46" i="5"/>
  <c r="BZ46" i="5" s="1"/>
  <c r="BR47" i="5"/>
  <c r="BR48" i="5"/>
  <c r="BR50" i="5"/>
  <c r="BD51" i="5"/>
  <c r="BK51" i="5" s="1"/>
  <c r="O56" i="5"/>
  <c r="CR81" i="5"/>
  <c r="CK94" i="5"/>
  <c r="CA94" i="5"/>
  <c r="CC94" i="5" s="1"/>
  <c r="BP94" i="5"/>
  <c r="CL93" i="5"/>
  <c r="CB93" i="5"/>
  <c r="BQ93" i="5"/>
  <c r="CE92" i="5"/>
  <c r="BT92" i="5"/>
  <c r="BG92" i="5"/>
  <c r="AP92" i="5"/>
  <c r="CL91" i="5"/>
  <c r="CA91" i="5"/>
  <c r="BP91" i="5"/>
  <c r="S91" i="5"/>
  <c r="CM89" i="5"/>
  <c r="BQ89" i="5"/>
  <c r="BF89" i="5"/>
  <c r="BF90" i="5" s="1"/>
  <c r="AS89" i="5"/>
  <c r="AI89" i="5"/>
  <c r="CM88" i="5"/>
  <c r="CD88" i="5"/>
  <c r="BT88" i="5"/>
  <c r="BV88" i="5" s="1"/>
  <c r="BF88" i="5"/>
  <c r="AS88" i="5"/>
  <c r="AK88" i="5"/>
  <c r="T88" i="5"/>
  <c r="CI87" i="5"/>
  <c r="BX87" i="5"/>
  <c r="BO87" i="5"/>
  <c r="AN87" i="5"/>
  <c r="CM86" i="5"/>
  <c r="CB86" i="5"/>
  <c r="BT86" i="5"/>
  <c r="BL86" i="5"/>
  <c r="AT86" i="5"/>
  <c r="AK86" i="5"/>
  <c r="T86" i="5"/>
  <c r="CL85" i="5"/>
  <c r="CA85" i="5"/>
  <c r="BP85" i="5"/>
  <c r="AP85" i="5"/>
  <c r="CD94" i="5"/>
  <c r="BT94" i="5"/>
  <c r="BG94" i="5"/>
  <c r="AP94" i="5"/>
  <c r="CF93" i="5"/>
  <c r="BU93" i="5"/>
  <c r="BL93" i="5"/>
  <c r="AT93" i="5"/>
  <c r="AK93" i="5"/>
  <c r="S93" i="5"/>
  <c r="CI92" i="5"/>
  <c r="BX92" i="5"/>
  <c r="BN92" i="5"/>
  <c r="AT92" i="5"/>
  <c r="AJ92" i="5"/>
  <c r="CE91" i="5"/>
  <c r="CO91" i="5" s="1"/>
  <c r="BU91" i="5"/>
  <c r="BG91" i="5"/>
  <c r="AP91" i="5"/>
  <c r="AZ91" i="5" s="1"/>
  <c r="CF89" i="5"/>
  <c r="BW89" i="5"/>
  <c r="BL89" i="5"/>
  <c r="S89" i="5"/>
  <c r="CH88" i="5"/>
  <c r="BX88" i="5"/>
  <c r="CR88" i="5" s="1"/>
  <c r="BM88" i="5"/>
  <c r="AN88" i="5"/>
  <c r="CL87" i="5"/>
  <c r="CB87" i="5"/>
  <c r="BF87" i="5"/>
  <c r="CF86" i="5"/>
  <c r="BW86" i="5"/>
  <c r="BO86" i="5"/>
  <c r="AN86" i="5"/>
  <c r="CE85" i="5"/>
  <c r="BU85" i="5"/>
  <c r="AT85" i="5"/>
  <c r="AK85" i="5"/>
  <c r="R85" i="5"/>
  <c r="CM83" i="5"/>
  <c r="CS83" i="5" s="1"/>
  <c r="CD83" i="5"/>
  <c r="BF83" i="5"/>
  <c r="BF84" i="5" s="1"/>
  <c r="AP83" i="5"/>
  <c r="CH94" i="5"/>
  <c r="BU94" i="5"/>
  <c r="BC94" i="5"/>
  <c r="BC95" i="5" s="1"/>
  <c r="BC96" i="5" s="1"/>
  <c r="AJ94" i="5"/>
  <c r="CD93" i="5"/>
  <c r="BO93" i="5"/>
  <c r="AU93" i="5"/>
  <c r="AI93" i="5"/>
  <c r="CL92" i="5"/>
  <c r="BY92" i="5"/>
  <c r="BL92" i="5"/>
  <c r="AN92" i="5"/>
  <c r="AX92" i="5" s="1"/>
  <c r="R92" i="5"/>
  <c r="CB91" i="5"/>
  <c r="BN91" i="5"/>
  <c r="T91" i="5"/>
  <c r="CK89" i="5"/>
  <c r="BX89" i="5"/>
  <c r="CO89" i="5" s="1"/>
  <c r="BG89" i="5"/>
  <c r="BG90" i="5" s="1"/>
  <c r="AP89" i="5"/>
  <c r="T89" i="5"/>
  <c r="CE88" i="5"/>
  <c r="CO88" i="5" s="1"/>
  <c r="BP88" i="5"/>
  <c r="R88" i="5"/>
  <c r="CD87" i="5"/>
  <c r="BP87" i="5"/>
  <c r="AU87" i="5"/>
  <c r="AG87" i="5" s="1"/>
  <c r="AI87" i="5"/>
  <c r="BP86" i="5"/>
  <c r="AU86" i="5"/>
  <c r="AI86" i="5"/>
  <c r="CB85" i="5"/>
  <c r="BN85" i="5"/>
  <c r="AU85" i="5"/>
  <c r="AI85" i="5"/>
  <c r="AX85" i="5" s="1"/>
  <c r="CI83" i="5"/>
  <c r="BW83" i="5"/>
  <c r="BL83" i="5"/>
  <c r="CL82" i="5"/>
  <c r="CA82" i="5"/>
  <c r="BF82" i="5"/>
  <c r="AP82" i="5"/>
  <c r="CF81" i="5"/>
  <c r="BU81" i="5"/>
  <c r="BL81" i="5"/>
  <c r="AT81" i="5"/>
  <c r="AK81" i="5"/>
  <c r="AZ81" i="5" s="1"/>
  <c r="T81" i="5"/>
  <c r="CH80" i="5"/>
  <c r="BW80" i="5"/>
  <c r="BM80" i="5"/>
  <c r="AU80" i="5"/>
  <c r="T80" i="5"/>
  <c r="BW76" i="5"/>
  <c r="BM76" i="5"/>
  <c r="BM77" i="5" s="1"/>
  <c r="AU76" i="5"/>
  <c r="CK75" i="5"/>
  <c r="CA75" i="5"/>
  <c r="BQ75" i="5"/>
  <c r="BF75" i="5"/>
  <c r="AP75" i="5"/>
  <c r="AG75" i="5" s="1"/>
  <c r="CL74" i="5"/>
  <c r="CD74" i="5"/>
  <c r="BU74" i="5"/>
  <c r="BG74" i="5"/>
  <c r="AS74" i="5"/>
  <c r="AK74" i="5"/>
  <c r="AZ74" i="5" s="1"/>
  <c r="R74" i="5"/>
  <c r="W75" i="5" s="1"/>
  <c r="CH73" i="5"/>
  <c r="BX73" i="5"/>
  <c r="BN73" i="5"/>
  <c r="BR73" i="5" s="1"/>
  <c r="AU73" i="5"/>
  <c r="AK73" i="5"/>
  <c r="R73" i="5"/>
  <c r="CH71" i="5"/>
  <c r="BW71" i="5"/>
  <c r="BM71" i="5"/>
  <c r="AU71" i="5"/>
  <c r="AK71" i="5"/>
  <c r="S71" i="5"/>
  <c r="CK70" i="5"/>
  <c r="CA70" i="5"/>
  <c r="CC70" i="5" s="1"/>
  <c r="BQ70" i="5"/>
  <c r="BF70" i="5"/>
  <c r="CF69" i="5"/>
  <c r="CP69" i="5" s="1"/>
  <c r="CQ69" i="5" s="1"/>
  <c r="BX69" i="5"/>
  <c r="CR69" i="5" s="1"/>
  <c r="BN69" i="5"/>
  <c r="AO69" i="5"/>
  <c r="CH68" i="5"/>
  <c r="BW68" i="5"/>
  <c r="BN68" i="5"/>
  <c r="BR68" i="5" s="1"/>
  <c r="AN68" i="5"/>
  <c r="AE68" i="5" s="1"/>
  <c r="CL67" i="5"/>
  <c r="CA67" i="5"/>
  <c r="BO67" i="5"/>
  <c r="AN67" i="5"/>
  <c r="AE67" i="5" s="1"/>
  <c r="CH65" i="5"/>
  <c r="CJ65" i="5" s="1"/>
  <c r="CN65" i="5" s="1"/>
  <c r="BX65" i="5"/>
  <c r="BO65" i="5"/>
  <c r="BS65" i="5" s="1"/>
  <c r="AN65" i="5"/>
  <c r="S65" i="5"/>
  <c r="CH64" i="5"/>
  <c r="CJ64" i="5" s="1"/>
  <c r="BX64" i="5"/>
  <c r="CO64" i="5" s="1"/>
  <c r="BM64" i="5"/>
  <c r="AO64" i="5"/>
  <c r="CL63" i="5"/>
  <c r="CB63" i="5"/>
  <c r="BQ63" i="5"/>
  <c r="BQ66" i="5" s="1"/>
  <c r="CD62" i="5"/>
  <c r="BT62" i="5"/>
  <c r="BT66" i="5" s="1"/>
  <c r="BF62" i="5"/>
  <c r="AI62" i="5"/>
  <c r="AX62" i="5" s="1"/>
  <c r="CK59" i="5"/>
  <c r="CA59" i="5"/>
  <c r="BP59" i="5"/>
  <c r="T59" i="5"/>
  <c r="CI58" i="5"/>
  <c r="BX58" i="5"/>
  <c r="BO58" i="5"/>
  <c r="S58" i="5"/>
  <c r="N58" i="5" s="1"/>
  <c r="AA58" i="5" s="1"/>
  <c r="CI57" i="5"/>
  <c r="CF94" i="5"/>
  <c r="AU94" i="5"/>
  <c r="AI94" i="5"/>
  <c r="CA93" i="5"/>
  <c r="BN93" i="5"/>
  <c r="AS93" i="5"/>
  <c r="CK92" i="5"/>
  <c r="BW92" i="5"/>
  <c r="BF92" i="5"/>
  <c r="BM91" i="5"/>
  <c r="AO91" i="5"/>
  <c r="R91" i="5"/>
  <c r="W92" i="5" s="1"/>
  <c r="CI89" i="5"/>
  <c r="BU89" i="5"/>
  <c r="AO89" i="5"/>
  <c r="AF89" i="5" s="1"/>
  <c r="R89" i="5"/>
  <c r="W91" i="5" s="1"/>
  <c r="BO88" i="5"/>
  <c r="AU88" i="5"/>
  <c r="AJ88" i="5"/>
  <c r="AY88" i="5" s="1"/>
  <c r="CA87" i="5"/>
  <c r="BN87" i="5"/>
  <c r="AT87" i="5"/>
  <c r="CL86" i="5"/>
  <c r="BY86" i="5"/>
  <c r="BN86" i="5"/>
  <c r="AS86" i="5"/>
  <c r="BY85" i="5"/>
  <c r="BM85" i="5"/>
  <c r="AS85" i="5"/>
  <c r="AE85" i="5" s="1"/>
  <c r="CH83" i="5"/>
  <c r="BU83" i="5"/>
  <c r="BG83" i="5"/>
  <c r="BG84" i="5" s="1"/>
  <c r="AO83" i="5"/>
  <c r="T83" i="5"/>
  <c r="CK82" i="5"/>
  <c r="BQ82" i="5"/>
  <c r="BS82" i="5" s="1"/>
  <c r="BC82" i="5"/>
  <c r="AO82" i="5"/>
  <c r="AF82" i="5" s="1"/>
  <c r="CE81" i="5"/>
  <c r="CO81" i="5" s="1"/>
  <c r="BT81" i="5"/>
  <c r="AS81" i="5"/>
  <c r="AJ81" i="5"/>
  <c r="S81" i="5"/>
  <c r="CF80" i="5"/>
  <c r="CP80" i="5" s="1"/>
  <c r="BL80" i="5"/>
  <c r="AT80" i="5"/>
  <c r="AK80" i="5"/>
  <c r="S80" i="5"/>
  <c r="CF76" i="5"/>
  <c r="CF77" i="5" s="1"/>
  <c r="BL76" i="5"/>
  <c r="AT76" i="5"/>
  <c r="T76" i="5"/>
  <c r="X80" i="5" s="1"/>
  <c r="CI75" i="5"/>
  <c r="BP75" i="5"/>
  <c r="BR75" i="5" s="1"/>
  <c r="CE94" i="5"/>
  <c r="BQ94" i="5"/>
  <c r="AT94" i="5"/>
  <c r="CM93" i="5"/>
  <c r="BY93" i="5"/>
  <c r="BM93" i="5"/>
  <c r="BU92" i="5"/>
  <c r="AK92" i="5"/>
  <c r="CM91" i="5"/>
  <c r="BY91" i="5"/>
  <c r="CP91" i="5" s="1"/>
  <c r="BL91" i="5"/>
  <c r="AN91" i="5"/>
  <c r="CH89" i="5"/>
  <c r="BT89" i="5"/>
  <c r="BC89" i="5"/>
  <c r="BC90" i="5" s="1"/>
  <c r="AN89" i="5"/>
  <c r="CB88" i="5"/>
  <c r="BN88" i="5"/>
  <c r="AT88" i="5"/>
  <c r="AI88" i="5"/>
  <c r="CM87" i="5"/>
  <c r="BY87" i="5"/>
  <c r="CP87" i="5" s="1"/>
  <c r="BM87" i="5"/>
  <c r="AS87" i="5"/>
  <c r="CK86" i="5"/>
  <c r="BX86" i="5"/>
  <c r="BM86" i="5"/>
  <c r="CM85" i="5"/>
  <c r="BX85" i="5"/>
  <c r="BL85" i="5"/>
  <c r="CF83" i="5"/>
  <c r="CP83" i="5" s="1"/>
  <c r="BT83" i="5"/>
  <c r="BC83" i="5"/>
  <c r="BC84" i="5" s="1"/>
  <c r="AN83" i="5"/>
  <c r="S83" i="5"/>
  <c r="CI82" i="5"/>
  <c r="CJ82" i="5" s="1"/>
  <c r="BY82" i="5"/>
  <c r="CP82" i="5" s="1"/>
  <c r="BP82" i="5"/>
  <c r="BR82" i="5" s="1"/>
  <c r="AN82" i="5"/>
  <c r="CM81" i="5"/>
  <c r="CD81" i="5"/>
  <c r="BG81" i="5"/>
  <c r="AI81" i="5"/>
  <c r="R81" i="5"/>
  <c r="W82" i="5" s="1"/>
  <c r="CE80" i="5"/>
  <c r="BU80" i="5"/>
  <c r="BV80" i="5" s="1"/>
  <c r="BZ80" i="5" s="1"/>
  <c r="BG80" i="5"/>
  <c r="AS80" i="5"/>
  <c r="AJ80" i="5"/>
  <c r="R80" i="5"/>
  <c r="CE76" i="5"/>
  <c r="BU76" i="5"/>
  <c r="BG76" i="5"/>
  <c r="BG77" i="5" s="1"/>
  <c r="BG78" i="5" s="1"/>
  <c r="BG79" i="5" s="1"/>
  <c r="AS76" i="5"/>
  <c r="AK76" i="5"/>
  <c r="S76" i="5"/>
  <c r="N76" i="5" s="1"/>
  <c r="CH75" i="5"/>
  <c r="BY75" i="5"/>
  <c r="CP75" i="5" s="1"/>
  <c r="BO75" i="5"/>
  <c r="AN75" i="5"/>
  <c r="T75" i="5"/>
  <c r="CB74" i="5"/>
  <c r="BQ74" i="5"/>
  <c r="BC74" i="5"/>
  <c r="AI74" i="5"/>
  <c r="CE73" i="5"/>
  <c r="BL73" i="5"/>
  <c r="AS73" i="5"/>
  <c r="AE73" i="5" s="1"/>
  <c r="AI73" i="5"/>
  <c r="AX73" i="5" s="1"/>
  <c r="CE71" i="5"/>
  <c r="CO71" i="5" s="1"/>
  <c r="BT71" i="5"/>
  <c r="BV71" i="5" s="1"/>
  <c r="AS71" i="5"/>
  <c r="AE71" i="5" s="1"/>
  <c r="AI71" i="5"/>
  <c r="AX71" i="5" s="1"/>
  <c r="CH70" i="5"/>
  <c r="BX70" i="5"/>
  <c r="CR70" i="5" s="1"/>
  <c r="BO70" i="5"/>
  <c r="BS70" i="5" s="1"/>
  <c r="BC70" i="5"/>
  <c r="AO70" i="5"/>
  <c r="AY70" i="5" s="1"/>
  <c r="CM69" i="5"/>
  <c r="CS69" i="5" s="1"/>
  <c r="CD69" i="5"/>
  <c r="BU69" i="5"/>
  <c r="BL69" i="5"/>
  <c r="AU69" i="5"/>
  <c r="AG69" i="5" s="1"/>
  <c r="CE68" i="5"/>
  <c r="BU68" i="5"/>
  <c r="BV68" i="5" s="1"/>
  <c r="BL68" i="5"/>
  <c r="AU68" i="5"/>
  <c r="AK68" i="5"/>
  <c r="T68" i="5"/>
  <c r="X69" i="5" s="1"/>
  <c r="CI67" i="5"/>
  <c r="BX67" i="5"/>
  <c r="BM67" i="5"/>
  <c r="AT67" i="5"/>
  <c r="T67" i="5"/>
  <c r="X67" i="5" s="1"/>
  <c r="CE65" i="5"/>
  <c r="BM65" i="5"/>
  <c r="AU65" i="5"/>
  <c r="AK65" i="5"/>
  <c r="CF64" i="5"/>
  <c r="BU64" i="5"/>
  <c r="BV64" i="5" s="1"/>
  <c r="AU64" i="5"/>
  <c r="BY63" i="5"/>
  <c r="BO63" i="5"/>
  <c r="AO63" i="5"/>
  <c r="CL62" i="5"/>
  <c r="CB62" i="5"/>
  <c r="BP62" i="5"/>
  <c r="AO62" i="5"/>
  <c r="AF62" i="5" s="1"/>
  <c r="CI59" i="5"/>
  <c r="BX59" i="5"/>
  <c r="BN59" i="5"/>
  <c r="BN60" i="5" s="1"/>
  <c r="AT59" i="5"/>
  <c r="AJ59" i="5"/>
  <c r="AY59" i="5" s="1"/>
  <c r="R59" i="5"/>
  <c r="W62" i="5" s="1"/>
  <c r="CF58" i="5"/>
  <c r="CP58" i="5" s="1"/>
  <c r="BM58" i="5"/>
  <c r="AT58" i="5"/>
  <c r="AJ58" i="5"/>
  <c r="AY58" i="5" s="1"/>
  <c r="CF57" i="5"/>
  <c r="CP57" i="5" s="1"/>
  <c r="BM57" i="5"/>
  <c r="T57" i="5"/>
  <c r="X57" i="5" s="1"/>
  <c r="CM56" i="5"/>
  <c r="CD56" i="5"/>
  <c r="BG56" i="5"/>
  <c r="AS56" i="5"/>
  <c r="AE56" i="5" s="1"/>
  <c r="AI56" i="5"/>
  <c r="AX56" i="5" s="1"/>
  <c r="CL54" i="5"/>
  <c r="CB54" i="5"/>
  <c r="BT54" i="5"/>
  <c r="AS54" i="5"/>
  <c r="AJ54" i="5"/>
  <c r="BX53" i="5"/>
  <c r="BO53" i="5"/>
  <c r="BS53" i="5" s="1"/>
  <c r="AP53" i="5"/>
  <c r="AZ53" i="5" s="1"/>
  <c r="CM52" i="5"/>
  <c r="CB52" i="5"/>
  <c r="BQ52" i="5"/>
  <c r="BQ55" i="5" s="1"/>
  <c r="BC52" i="5"/>
  <c r="CM94" i="5"/>
  <c r="BY94" i="5"/>
  <c r="BM94" i="5"/>
  <c r="AO94" i="5"/>
  <c r="AF94" i="5" s="1"/>
  <c r="T94" i="5"/>
  <c r="X94" i="5" s="1"/>
  <c r="X95" i="5" s="1"/>
  <c r="X96" i="5" s="1"/>
  <c r="CI93" i="5"/>
  <c r="BT93" i="5"/>
  <c r="BC93" i="5"/>
  <c r="AN93" i="5"/>
  <c r="R93" i="5"/>
  <c r="W94" i="5" s="1"/>
  <c r="W95" i="5" s="1"/>
  <c r="W96" i="5" s="1"/>
  <c r="CD92" i="5"/>
  <c r="BP92" i="5"/>
  <c r="AS92" i="5"/>
  <c r="CH91" i="5"/>
  <c r="BT91" i="5"/>
  <c r="AU91" i="5"/>
  <c r="AJ91" i="5"/>
  <c r="CB89" i="5"/>
  <c r="BN89" i="5"/>
  <c r="AU89" i="5"/>
  <c r="BW88" i="5"/>
  <c r="BC88" i="5"/>
  <c r="AP88" i="5"/>
  <c r="CH87" i="5"/>
  <c r="BU87" i="5"/>
  <c r="R87" i="5"/>
  <c r="CE86" i="5"/>
  <c r="BF86" i="5"/>
  <c r="S86" i="5"/>
  <c r="CH85" i="5"/>
  <c r="BT85" i="5"/>
  <c r="BC85" i="5"/>
  <c r="S85" i="5"/>
  <c r="CL83" i="5"/>
  <c r="CA83" i="5"/>
  <c r="BO83" i="5"/>
  <c r="BS83" i="5" s="1"/>
  <c r="AU83" i="5"/>
  <c r="AJ83" i="5"/>
  <c r="CE82" i="5"/>
  <c r="BM82" i="5"/>
  <c r="AT82" i="5"/>
  <c r="AK82" i="5"/>
  <c r="S82" i="5"/>
  <c r="BY81" i="5"/>
  <c r="BO81" i="5"/>
  <c r="BS81" i="5" s="1"/>
  <c r="AO81" i="5"/>
  <c r="AF81" i="5" s="1"/>
  <c r="CL80" i="5"/>
  <c r="CA80" i="5"/>
  <c r="BP80" i="5"/>
  <c r="BC80" i="5"/>
  <c r="AP80" i="5"/>
  <c r="CK76" i="5"/>
  <c r="CA76" i="5"/>
  <c r="CC76" i="5" s="1"/>
  <c r="BP76" i="5"/>
  <c r="AP76" i="5"/>
  <c r="CD75" i="5"/>
  <c r="BL75" i="5"/>
  <c r="AT75" i="5"/>
  <c r="AJ75" i="5"/>
  <c r="AY75" i="5" s="1"/>
  <c r="BX74" i="5"/>
  <c r="BN74" i="5"/>
  <c r="AN74" i="5"/>
  <c r="CK73" i="5"/>
  <c r="CB73" i="5"/>
  <c r="CC73" i="5" s="1"/>
  <c r="BQ73" i="5"/>
  <c r="BC73" i="5"/>
  <c r="AO73" i="5"/>
  <c r="N73" i="5" s="1"/>
  <c r="CL71" i="5"/>
  <c r="CR71" i="5" s="1"/>
  <c r="CA71" i="5"/>
  <c r="CC71" i="5" s="1"/>
  <c r="BP71" i="5"/>
  <c r="BC71" i="5"/>
  <c r="BC72" i="5" s="1"/>
  <c r="AO71" i="5"/>
  <c r="CD70" i="5"/>
  <c r="BU70" i="5"/>
  <c r="BL70" i="5"/>
  <c r="AU70" i="5"/>
  <c r="AG70" i="5" s="1"/>
  <c r="AK70" i="5"/>
  <c r="AZ70" i="5" s="1"/>
  <c r="S70" i="5"/>
  <c r="CI69" i="5"/>
  <c r="CA69" i="5"/>
  <c r="BQ69" i="5"/>
  <c r="BS69" i="5" s="1"/>
  <c r="BC69" i="5"/>
  <c r="AJ69" i="5"/>
  <c r="S69" i="5"/>
  <c r="CK68" i="5"/>
  <c r="CA68" i="5"/>
  <c r="BQ68" i="5"/>
  <c r="BS68" i="5" s="1"/>
  <c r="CE67" i="5"/>
  <c r="BT67" i="5"/>
  <c r="BF67" i="5"/>
  <c r="AI67" i="5"/>
  <c r="CL65" i="5"/>
  <c r="CB65" i="5"/>
  <c r="BG65" i="5"/>
  <c r="CK64" i="5"/>
  <c r="CB64" i="5"/>
  <c r="BP64" i="5"/>
  <c r="BR64" i="5" s="1"/>
  <c r="AI64" i="5"/>
  <c r="R64" i="5"/>
  <c r="CF63" i="5"/>
  <c r="BU63" i="5"/>
  <c r="BV63" i="5" s="1"/>
  <c r="BL63" i="5"/>
  <c r="AU63" i="5"/>
  <c r="AG63" i="5" s="1"/>
  <c r="AK63" i="5"/>
  <c r="AZ63" i="5" s="1"/>
  <c r="S63" i="5"/>
  <c r="CH62" i="5"/>
  <c r="BX62" i="5"/>
  <c r="BM62" i="5"/>
  <c r="AU62" i="5"/>
  <c r="T62" i="5"/>
  <c r="CE59" i="5"/>
  <c r="BT59" i="5"/>
  <c r="BV59" i="5" s="1"/>
  <c r="BG59" i="5"/>
  <c r="BG60" i="5" s="1"/>
  <c r="BG61" i="5" s="1"/>
  <c r="AP59" i="5"/>
  <c r="CM58" i="5"/>
  <c r="CS58" i="5" s="1"/>
  <c r="CB58" i="5"/>
  <c r="BG58" i="5"/>
  <c r="AP58" i="5"/>
  <c r="AZ58" i="5" s="1"/>
  <c r="CL57" i="5"/>
  <c r="CB57" i="5"/>
  <c r="BG57" i="5"/>
  <c r="AS57" i="5"/>
  <c r="AJ57" i="5"/>
  <c r="AY57" i="5" s="1"/>
  <c r="BY56" i="5"/>
  <c r="BP56" i="5"/>
  <c r="BR56" i="5" s="1"/>
  <c r="AO56" i="5"/>
  <c r="N56" i="5" s="1"/>
  <c r="CH54" i="5"/>
  <c r="BY54" i="5"/>
  <c r="CS54" i="5" s="1"/>
  <c r="BP54" i="5"/>
  <c r="BR54" i="5" s="1"/>
  <c r="BC54" i="5"/>
  <c r="BC55" i="5" s="1"/>
  <c r="AP54" i="5"/>
  <c r="CM53" i="5"/>
  <c r="CS53" i="5" s="1"/>
  <c r="CD53" i="5"/>
  <c r="BU53" i="5"/>
  <c r="BX94" i="5"/>
  <c r="CR94" i="5" s="1"/>
  <c r="AN94" i="5"/>
  <c r="CH93" i="5"/>
  <c r="BO92" i="5"/>
  <c r="T92" i="5"/>
  <c r="X93" i="5" s="1"/>
  <c r="BQ91" i="5"/>
  <c r="AI91" i="5"/>
  <c r="CA89" i="5"/>
  <c r="AT89" i="5"/>
  <c r="CI88" i="5"/>
  <c r="BT87" i="5"/>
  <c r="AK87" i="5"/>
  <c r="AZ87" i="5" s="1"/>
  <c r="CD86" i="5"/>
  <c r="BC86" i="5"/>
  <c r="R86" i="5"/>
  <c r="BQ85" i="5"/>
  <c r="CK83" i="5"/>
  <c r="BN83" i="5"/>
  <c r="BR83" i="5" s="1"/>
  <c r="AI83" i="5"/>
  <c r="CD82" i="5"/>
  <c r="BL82" i="5"/>
  <c r="AJ82" i="5"/>
  <c r="CI81" i="5"/>
  <c r="BN81" i="5"/>
  <c r="AN81" i="5"/>
  <c r="CK80" i="5"/>
  <c r="BO80" i="5"/>
  <c r="BS80" i="5" s="1"/>
  <c r="AO80" i="5"/>
  <c r="BY76" i="5"/>
  <c r="CM74" i="5"/>
  <c r="BY74" i="5"/>
  <c r="CP74" i="5" s="1"/>
  <c r="CQ74" i="5" s="1"/>
  <c r="BF74" i="5"/>
  <c r="CM73" i="5"/>
  <c r="BY73" i="5"/>
  <c r="BF73" i="5"/>
  <c r="AJ73" i="5"/>
  <c r="CK71" i="5"/>
  <c r="CI70" i="5"/>
  <c r="BT70" i="5"/>
  <c r="AI70" i="5"/>
  <c r="CK69" i="5"/>
  <c r="BW69" i="5"/>
  <c r="CB68" i="5"/>
  <c r="BM68" i="5"/>
  <c r="AP68" i="5"/>
  <c r="S68" i="5"/>
  <c r="CB67" i="5"/>
  <c r="BG67" i="5"/>
  <c r="CD65" i="5"/>
  <c r="BP65" i="5"/>
  <c r="AS65" i="5"/>
  <c r="R65" i="5"/>
  <c r="W67" i="5" s="1"/>
  <c r="CA64" i="5"/>
  <c r="BG64" i="5"/>
  <c r="AP64" i="5"/>
  <c r="S64" i="5"/>
  <c r="CA63" i="5"/>
  <c r="BG63" i="5"/>
  <c r="AN63" i="5"/>
  <c r="BY62" i="5"/>
  <c r="CP62" i="5" s="1"/>
  <c r="BC62" i="5"/>
  <c r="AK62" i="5"/>
  <c r="CB59" i="5"/>
  <c r="BL59" i="5"/>
  <c r="AK59" i="5"/>
  <c r="CL58" i="5"/>
  <c r="BU58" i="5"/>
  <c r="BU60" i="5" s="1"/>
  <c r="BC58" i="5"/>
  <c r="CH57" i="5"/>
  <c r="BT57" i="5"/>
  <c r="BV57" i="5" s="1"/>
  <c r="BZ57" i="5" s="1"/>
  <c r="AN57" i="5"/>
  <c r="R57" i="5"/>
  <c r="W58" i="5" s="1"/>
  <c r="CH56" i="5"/>
  <c r="BT56" i="5"/>
  <c r="BC56" i="5"/>
  <c r="R56" i="5"/>
  <c r="W57" i="5" s="1"/>
  <c r="CI54" i="5"/>
  <c r="BW54" i="5"/>
  <c r="BL54" i="5"/>
  <c r="T54" i="5"/>
  <c r="X56" i="5" s="1"/>
  <c r="CH53" i="5"/>
  <c r="CJ53" i="5" s="1"/>
  <c r="BG53" i="5"/>
  <c r="AS53" i="5"/>
  <c r="AE53" i="5" s="1"/>
  <c r="AI53" i="5"/>
  <c r="AX53" i="5" s="1"/>
  <c r="CA52" i="5"/>
  <c r="BO52" i="5"/>
  <c r="AU52" i="5"/>
  <c r="AG52" i="5" s="1"/>
  <c r="CK51" i="5"/>
  <c r="BY51" i="5"/>
  <c r="CP51" i="5" s="1"/>
  <c r="CQ51" i="5" s="1"/>
  <c r="BP51" i="5"/>
  <c r="BC51" i="5"/>
  <c r="AP51" i="5"/>
  <c r="CM50" i="5"/>
  <c r="CS50" i="5" s="1"/>
  <c r="CD50" i="5"/>
  <c r="BU50" i="5"/>
  <c r="BL50" i="5"/>
  <c r="AT50" i="5"/>
  <c r="AJ50" i="5"/>
  <c r="AY50" i="5" s="1"/>
  <c r="CH48" i="5"/>
  <c r="CJ48" i="5" s="1"/>
  <c r="CN48" i="5" s="1"/>
  <c r="BW48" i="5"/>
  <c r="BL48" i="5"/>
  <c r="AT48" i="5"/>
  <c r="AJ48" i="5"/>
  <c r="AY48" i="5" s="1"/>
  <c r="CE47" i="5"/>
  <c r="BU47" i="5"/>
  <c r="BL47" i="5"/>
  <c r="AU47" i="5"/>
  <c r="AK47" i="5"/>
  <c r="CL46" i="5"/>
  <c r="BQ46" i="5"/>
  <c r="BQ49" i="5" s="1"/>
  <c r="BF46" i="5"/>
  <c r="AS46" i="5"/>
  <c r="AE46" i="5" s="1"/>
  <c r="AI46" i="5"/>
  <c r="AX46" i="5" s="1"/>
  <c r="CL45" i="5"/>
  <c r="CR45" i="5" s="1"/>
  <c r="CB45" i="5"/>
  <c r="BP45" i="5"/>
  <c r="BC45" i="5"/>
  <c r="CM42" i="5"/>
  <c r="BF42" i="5"/>
  <c r="BF43" i="5" s="1"/>
  <c r="BF44" i="5" s="1"/>
  <c r="AI42" i="5"/>
  <c r="AX42" i="5" s="1"/>
  <c r="CF41" i="5"/>
  <c r="BU41" i="5"/>
  <c r="AU41" i="5"/>
  <c r="AK41" i="5"/>
  <c r="AZ41" i="5" s="1"/>
  <c r="S41" i="5"/>
  <c r="CF40" i="5"/>
  <c r="BU40" i="5"/>
  <c r="BL40" i="5"/>
  <c r="BL43" i="5" s="1"/>
  <c r="AU40" i="5"/>
  <c r="AK40" i="5"/>
  <c r="S40" i="5"/>
  <c r="BY39" i="5"/>
  <c r="CP39" i="5" s="1"/>
  <c r="CQ39" i="5" s="1"/>
  <c r="BO39" i="5"/>
  <c r="BS39" i="5" s="1"/>
  <c r="BC39" i="5"/>
  <c r="AJ39" i="5"/>
  <c r="AY39" i="5" s="1"/>
  <c r="R39" i="5"/>
  <c r="W39" i="5" s="1"/>
  <c r="CF34" i="5"/>
  <c r="BW34" i="5"/>
  <c r="BM34" i="5"/>
  <c r="AU34" i="5"/>
  <c r="AV34" i="5" s="1"/>
  <c r="AK34" i="5"/>
  <c r="AZ34" i="5" s="1"/>
  <c r="R34" i="5"/>
  <c r="W35" i="5" s="1"/>
  <c r="CI33" i="5"/>
  <c r="BY33" i="5"/>
  <c r="CS33" i="5" s="1"/>
  <c r="BP33" i="5"/>
  <c r="BF33" i="5"/>
  <c r="AT33" i="5"/>
  <c r="AJ33" i="5"/>
  <c r="AY33" i="5" s="1"/>
  <c r="R33" i="5"/>
  <c r="CM31" i="5"/>
  <c r="CN31" i="5" s="1"/>
  <c r="CE31" i="5"/>
  <c r="CO31" i="5" s="1"/>
  <c r="BV31" i="5"/>
  <c r="BM31" i="5"/>
  <c r="AS31" i="5"/>
  <c r="AE31" i="5" s="1"/>
  <c r="AI31" i="5"/>
  <c r="AX31" i="5" s="1"/>
  <c r="R31" i="5"/>
  <c r="W31" i="5" s="1"/>
  <c r="W32" i="5" s="1"/>
  <c r="CL30" i="5"/>
  <c r="CC30" i="5"/>
  <c r="BU30" i="5"/>
  <c r="AN30" i="5"/>
  <c r="BX29" i="5"/>
  <c r="CR29" i="5" s="1"/>
  <c r="BN29" i="5"/>
  <c r="BR29" i="5" s="1"/>
  <c r="AN29" i="5"/>
  <c r="T29" i="5"/>
  <c r="CK28" i="5"/>
  <c r="CB28" i="5"/>
  <c r="AR28" i="5"/>
  <c r="AD28" i="5" s="1"/>
  <c r="AH28" i="5"/>
  <c r="AW28" i="5" s="1"/>
  <c r="CH25" i="5"/>
  <c r="BY25" i="5"/>
  <c r="BQ25" i="5"/>
  <c r="BQ26" i="5" s="1"/>
  <c r="BF25" i="5"/>
  <c r="AS25" i="5"/>
  <c r="AE25" i="5" s="1"/>
  <c r="AI25" i="5"/>
  <c r="AX25" i="5" s="1"/>
  <c r="R25" i="5"/>
  <c r="CJ24" i="5"/>
  <c r="CJ26" i="5" s="1"/>
  <c r="CB24" i="5"/>
  <c r="BF24" i="5"/>
  <c r="BA24" i="5" s="1"/>
  <c r="BJ24" i="5" s="1"/>
  <c r="AP24" i="5"/>
  <c r="CH23" i="5"/>
  <c r="BY23" i="5"/>
  <c r="CS23" i="5" s="1"/>
  <c r="BP23" i="5"/>
  <c r="AO23" i="5"/>
  <c r="N23" i="5" s="1"/>
  <c r="BW94" i="5"/>
  <c r="AK94" i="5"/>
  <c r="CE93" i="5"/>
  <c r="CM92" i="5"/>
  <c r="BM92" i="5"/>
  <c r="S92" i="5"/>
  <c r="BO91" i="5"/>
  <c r="BY89" i="5"/>
  <c r="CF88" i="5"/>
  <c r="S88" i="5"/>
  <c r="N88" i="5" s="1"/>
  <c r="BQ87" i="5"/>
  <c r="AJ87" i="5"/>
  <c r="AY87" i="5" s="1"/>
  <c r="CA86" i="5"/>
  <c r="BO85" i="5"/>
  <c r="AJ85" i="5"/>
  <c r="AY85" i="5" s="1"/>
  <c r="BM83" i="5"/>
  <c r="CB82" i="5"/>
  <c r="BG82" i="5"/>
  <c r="AI82" i="5"/>
  <c r="CH81" i="5"/>
  <c r="BM81" i="5"/>
  <c r="CI80" i="5"/>
  <c r="BN80" i="5"/>
  <c r="AN80" i="5"/>
  <c r="BX76" i="5"/>
  <c r="CB75" i="5"/>
  <c r="BG75" i="5"/>
  <c r="AK75" i="5"/>
  <c r="CK74" i="5"/>
  <c r="BW74" i="5"/>
  <c r="CL73" i="5"/>
  <c r="BW73" i="5"/>
  <c r="CI71" i="5"/>
  <c r="BQ71" i="5"/>
  <c r="AT71" i="5"/>
  <c r="CF70" i="5"/>
  <c r="CH69" i="5"/>
  <c r="BT69" i="5"/>
  <c r="AK69" i="5"/>
  <c r="AZ69" i="5" s="1"/>
  <c r="BY68" i="5"/>
  <c r="CP68" i="5" s="1"/>
  <c r="BG68" i="5"/>
  <c r="AO68" i="5"/>
  <c r="R68" i="5"/>
  <c r="W69" i="5" s="1"/>
  <c r="BY67" i="5"/>
  <c r="CP67" i="5" s="1"/>
  <c r="BC67" i="5"/>
  <c r="AK67" i="5"/>
  <c r="BN65" i="5"/>
  <c r="AP65" i="5"/>
  <c r="O65" i="5" s="1"/>
  <c r="CM64" i="5"/>
  <c r="BY64" i="5"/>
  <c r="BF64" i="5"/>
  <c r="AN64" i="5"/>
  <c r="AE64" i="5" s="1"/>
  <c r="BX63" i="5"/>
  <c r="CO63" i="5" s="1"/>
  <c r="BF63" i="5"/>
  <c r="CM62" i="5"/>
  <c r="BW62" i="5"/>
  <c r="AJ62" i="5"/>
  <c r="BY59" i="5"/>
  <c r="CP59" i="5" s="1"/>
  <c r="BF59" i="5"/>
  <c r="BF60" i="5" s="1"/>
  <c r="BF61" i="5" s="1"/>
  <c r="AI59" i="5"/>
  <c r="AX59" i="5" s="1"/>
  <c r="CK58" i="5"/>
  <c r="BT58" i="5"/>
  <c r="AU58" i="5"/>
  <c r="CE57" i="5"/>
  <c r="BQ57" i="5"/>
  <c r="BS57" i="5" s="1"/>
  <c r="BC57" i="5"/>
  <c r="CF56" i="5"/>
  <c r="AK56" i="5"/>
  <c r="CF54" i="5"/>
  <c r="BG54" i="5"/>
  <c r="AO54" i="5"/>
  <c r="AF54" i="5" s="1"/>
  <c r="S54" i="5"/>
  <c r="CF53" i="5"/>
  <c r="CP53" i="5" s="1"/>
  <c r="BT53" i="5"/>
  <c r="BF53" i="5"/>
  <c r="CL52" i="5"/>
  <c r="BY52" i="5"/>
  <c r="BN52" i="5"/>
  <c r="BR52" i="5" s="1"/>
  <c r="AT52" i="5"/>
  <c r="AK52" i="5"/>
  <c r="T52" i="5"/>
  <c r="X53" i="5" s="1"/>
  <c r="CI51" i="5"/>
  <c r="BX51" i="5"/>
  <c r="BO51" i="5"/>
  <c r="AO51" i="5"/>
  <c r="CL50" i="5"/>
  <c r="BT50" i="5"/>
  <c r="AS50" i="5"/>
  <c r="AI50" i="5"/>
  <c r="CF48" i="5"/>
  <c r="CP48" i="5" s="1"/>
  <c r="CQ48" i="5" s="1"/>
  <c r="BU48" i="5"/>
  <c r="BG48" i="5"/>
  <c r="BG49" i="5" s="1"/>
  <c r="AS48" i="5"/>
  <c r="AI48" i="5"/>
  <c r="CD47" i="5"/>
  <c r="CD49" i="5" s="1"/>
  <c r="BT47" i="5"/>
  <c r="AT47" i="5"/>
  <c r="AJ47" i="5"/>
  <c r="T47" i="5"/>
  <c r="X48" i="5" s="1"/>
  <c r="X49" i="5" s="1"/>
  <c r="CK46" i="5"/>
  <c r="CB46" i="5"/>
  <c r="BP46" i="5"/>
  <c r="BR46" i="5" s="1"/>
  <c r="CK45" i="5"/>
  <c r="CA45" i="5"/>
  <c r="BO45" i="5"/>
  <c r="BS45" i="5" s="1"/>
  <c r="AP45" i="5"/>
  <c r="CL42" i="5"/>
  <c r="CB42" i="5"/>
  <c r="CB43" i="5" s="1"/>
  <c r="BQ42" i="5"/>
  <c r="BS42" i="5" s="1"/>
  <c r="BC42" i="5"/>
  <c r="BC43" i="5" s="1"/>
  <c r="BC44" i="5" s="1"/>
  <c r="CE41" i="5"/>
  <c r="BT41" i="5"/>
  <c r="BG41" i="5"/>
  <c r="AT41" i="5"/>
  <c r="AJ41" i="5"/>
  <c r="R41" i="5"/>
  <c r="W42" i="5" s="1"/>
  <c r="W43" i="5" s="1"/>
  <c r="W44" i="5" s="1"/>
  <c r="CE40" i="5"/>
  <c r="CO40" i="5" s="1"/>
  <c r="BT40" i="5"/>
  <c r="BG40" i="5"/>
  <c r="AT40" i="5"/>
  <c r="AJ40" i="5"/>
  <c r="R40" i="5"/>
  <c r="CI39" i="5"/>
  <c r="CI43" i="5" s="1"/>
  <c r="BX39" i="5"/>
  <c r="BX43" i="5" s="1"/>
  <c r="BN39" i="5"/>
  <c r="AI39" i="5"/>
  <c r="AX39" i="5" s="1"/>
  <c r="CM34" i="5"/>
  <c r="CN34" i="5" s="1"/>
  <c r="CE34" i="5"/>
  <c r="BV34" i="5"/>
  <c r="BL34" i="5"/>
  <c r="AT34" i="5"/>
  <c r="AJ34" i="5"/>
  <c r="V35" i="5"/>
  <c r="CH33" i="5"/>
  <c r="BX33" i="5"/>
  <c r="CO33" i="5" s="1"/>
  <c r="BO33" i="5"/>
  <c r="AS33" i="5"/>
  <c r="AI33" i="5"/>
  <c r="CL31" i="5"/>
  <c r="CD31" i="5"/>
  <c r="CD32" i="5" s="1"/>
  <c r="BU31" i="5"/>
  <c r="BL31" i="5"/>
  <c r="AR31" i="5"/>
  <c r="AV31" i="5" s="1"/>
  <c r="AH31" i="5"/>
  <c r="CK30" i="5"/>
  <c r="CB30" i="5"/>
  <c r="BT30" i="5"/>
  <c r="BG30" i="5"/>
  <c r="BD30" i="5" s="1"/>
  <c r="AU30" i="5"/>
  <c r="AG30" i="5" s="1"/>
  <c r="AM30" i="5"/>
  <c r="AD30" i="5" s="1"/>
  <c r="CF29" i="5"/>
  <c r="CG29" i="5" s="1"/>
  <c r="BO94" i="5"/>
  <c r="BX93" i="5"/>
  <c r="AP93" i="5"/>
  <c r="O93" i="5" s="1"/>
  <c r="CH92" i="5"/>
  <c r="BC92" i="5"/>
  <c r="CK91" i="5"/>
  <c r="BF91" i="5"/>
  <c r="BP89" i="5"/>
  <c r="AK89" i="5"/>
  <c r="CA88" i="5"/>
  <c r="CK87" i="5"/>
  <c r="BL87" i="5"/>
  <c r="T87" i="5"/>
  <c r="AP86" i="5"/>
  <c r="CK85" i="5"/>
  <c r="BG85" i="5"/>
  <c r="CE83" i="5"/>
  <c r="R83" i="5"/>
  <c r="W83" i="5" s="1"/>
  <c r="W84" i="5" s="1"/>
  <c r="BX82" i="5"/>
  <c r="CB81" i="5"/>
  <c r="BF81" i="5"/>
  <c r="CD80" i="5"/>
  <c r="BF80" i="5"/>
  <c r="AI80" i="5"/>
  <c r="CM76" i="5"/>
  <c r="BT76" i="5"/>
  <c r="R76" i="5"/>
  <c r="W76" i="5" s="1"/>
  <c r="W77" i="5" s="1"/>
  <c r="W78" i="5" s="1"/>
  <c r="BX75" i="5"/>
  <c r="BC75" i="5"/>
  <c r="AI75" i="5"/>
  <c r="CI74" i="5"/>
  <c r="AJ74" i="5"/>
  <c r="AY74" i="5" s="1"/>
  <c r="BU73" i="5"/>
  <c r="CF71" i="5"/>
  <c r="BO71" i="5"/>
  <c r="T71" i="5"/>
  <c r="CE70" i="5"/>
  <c r="BP70" i="5"/>
  <c r="AT70" i="5"/>
  <c r="AI69" i="5"/>
  <c r="AX69" i="5" s="1"/>
  <c r="CM68" i="5"/>
  <c r="BX68" i="5"/>
  <c r="BF68" i="5"/>
  <c r="BW67" i="5"/>
  <c r="AJ67" i="5"/>
  <c r="AY67" i="5" s="1"/>
  <c r="CA65" i="5"/>
  <c r="BL65" i="5"/>
  <c r="AO65" i="5"/>
  <c r="AY65" i="5" s="1"/>
  <c r="CL64" i="5"/>
  <c r="BW64" i="5"/>
  <c r="BC64" i="5"/>
  <c r="AK64" i="5"/>
  <c r="CM63" i="5"/>
  <c r="BW63" i="5"/>
  <c r="BC63" i="5"/>
  <c r="AJ63" i="5"/>
  <c r="CK62" i="5"/>
  <c r="BU62" i="5"/>
  <c r="CM59" i="5"/>
  <c r="BW59" i="5"/>
  <c r="BW60" i="5" s="1"/>
  <c r="BC59" i="5"/>
  <c r="BC60" i="5" s="1"/>
  <c r="BC61" i="5" s="1"/>
  <c r="CH58" i="5"/>
  <c r="BQ58" i="5"/>
  <c r="AS58" i="5"/>
  <c r="T58" i="5"/>
  <c r="CD57" i="5"/>
  <c r="BP57" i="5"/>
  <c r="BR57" i="5" s="1"/>
  <c r="AK57" i="5"/>
  <c r="AZ57" i="5" s="1"/>
  <c r="CE56" i="5"/>
  <c r="BQ56" i="5"/>
  <c r="AJ56" i="5"/>
  <c r="CE54" i="5"/>
  <c r="CO54" i="5" s="1"/>
  <c r="BU54" i="5"/>
  <c r="BF54" i="5"/>
  <c r="BF55" i="5" s="1"/>
  <c r="AN54" i="5"/>
  <c r="R54" i="5"/>
  <c r="CE53" i="5"/>
  <c r="CK52" i="5"/>
  <c r="BX52" i="5"/>
  <c r="BM52" i="5"/>
  <c r="BM55" i="5" s="1"/>
  <c r="AS52" i="5"/>
  <c r="AE52" i="5" s="1"/>
  <c r="AJ52" i="5"/>
  <c r="S52" i="5"/>
  <c r="CH51" i="5"/>
  <c r="BW51" i="5"/>
  <c r="BN51" i="5"/>
  <c r="AN51" i="5"/>
  <c r="CK50" i="5"/>
  <c r="CB50" i="5"/>
  <c r="CC50" i="5" s="1"/>
  <c r="CG50" i="5" s="1"/>
  <c r="BG50" i="5"/>
  <c r="CE48" i="5"/>
  <c r="CO48" i="5" s="1"/>
  <c r="BT48" i="5"/>
  <c r="BF48" i="5"/>
  <c r="BF49" i="5" s="1"/>
  <c r="CM47" i="5"/>
  <c r="CM49" i="5" s="1"/>
  <c r="CB47" i="5"/>
  <c r="CC47" i="5" s="1"/>
  <c r="CG47" i="5" s="1"/>
  <c r="BG47" i="5"/>
  <c r="AS47" i="5"/>
  <c r="AE47" i="5" s="1"/>
  <c r="AI47" i="5"/>
  <c r="AX47" i="5" s="1"/>
  <c r="S47" i="5"/>
  <c r="CI46" i="5"/>
  <c r="CJ46" i="5" s="1"/>
  <c r="CA46" i="5"/>
  <c r="BO46" i="5"/>
  <c r="BC46" i="5"/>
  <c r="AP46" i="5"/>
  <c r="O46" i="5" s="1"/>
  <c r="BY45" i="5"/>
  <c r="BN45" i="5"/>
  <c r="AO45" i="5"/>
  <c r="AF45" i="5" s="1"/>
  <c r="CK42" i="5"/>
  <c r="CK43" i="5" s="1"/>
  <c r="CA42" i="5"/>
  <c r="BP42" i="5"/>
  <c r="BR42" i="5" s="1"/>
  <c r="AP42" i="5"/>
  <c r="AZ42" i="5" s="1"/>
  <c r="CM41" i="5"/>
  <c r="CD41" i="5"/>
  <c r="BQ41" i="5"/>
  <c r="BS41" i="5" s="1"/>
  <c r="BF41" i="5"/>
  <c r="AS41" i="5"/>
  <c r="AE41" i="5" s="1"/>
  <c r="AI41" i="5"/>
  <c r="AX41" i="5" s="1"/>
  <c r="CM40" i="5"/>
  <c r="CD40" i="5"/>
  <c r="BF40" i="5"/>
  <c r="AS40" i="5"/>
  <c r="AE40" i="5" s="1"/>
  <c r="AI40" i="5"/>
  <c r="AX40" i="5" s="1"/>
  <c r="CH39" i="5"/>
  <c r="BW39" i="5"/>
  <c r="BM39" i="5"/>
  <c r="AP39" i="5"/>
  <c r="O39" i="5" s="1"/>
  <c r="X39" i="5"/>
  <c r="CL34" i="5"/>
  <c r="CR34" i="5" s="1"/>
  <c r="CD34" i="5"/>
  <c r="CD38" i="5" s="1"/>
  <c r="BU34" i="5"/>
  <c r="BU38" i="5" s="1"/>
  <c r="BG34" i="5"/>
  <c r="AS34" i="5"/>
  <c r="AE34" i="5" s="1"/>
  <c r="AI34" i="5"/>
  <c r="AX34" i="5" s="1"/>
  <c r="CF33" i="5"/>
  <c r="BW33" i="5"/>
  <c r="BN33" i="5"/>
  <c r="AR33" i="5"/>
  <c r="AD33" i="5" s="1"/>
  <c r="AH33" i="5"/>
  <c r="AL33" i="5" s="1"/>
  <c r="CK31" i="5"/>
  <c r="CC31" i="5"/>
  <c r="CG31" i="5" s="1"/>
  <c r="BT31" i="5"/>
  <c r="BG31" i="5"/>
  <c r="BG32" i="5" s="1"/>
  <c r="AP31" i="5"/>
  <c r="O31" i="5" s="1"/>
  <c r="CJ30" i="5"/>
  <c r="CN30" i="5" s="1"/>
  <c r="CA30" i="5"/>
  <c r="CA32" i="5" s="1"/>
  <c r="BQ30" i="5"/>
  <c r="BS30" i="5" s="1"/>
  <c r="BF30" i="5"/>
  <c r="AT30" i="5"/>
  <c r="T30" i="5"/>
  <c r="CM29" i="5"/>
  <c r="CS29" i="5" s="1"/>
  <c r="CE29" i="5"/>
  <c r="BV29" i="5"/>
  <c r="BZ29" i="5" s="1"/>
  <c r="BL29" i="5"/>
  <c r="AT29" i="5"/>
  <c r="AK29" i="5"/>
  <c r="AZ29" i="5" s="1"/>
  <c r="R29" i="5"/>
  <c r="W30" i="5" s="1"/>
  <c r="CI28" i="5"/>
  <c r="CI32" i="5" s="1"/>
  <c r="BY28" i="5"/>
  <c r="CS28" i="5" s="1"/>
  <c r="BP28" i="5"/>
  <c r="BR28" i="5" s="1"/>
  <c r="BF28" i="5"/>
  <c r="BA28" i="5" s="1"/>
  <c r="AO28" i="5"/>
  <c r="AF28" i="5" s="1"/>
  <c r="CE25" i="5"/>
  <c r="CO25" i="5" s="1"/>
  <c r="BW25" i="5"/>
  <c r="BO25" i="5"/>
  <c r="BO26" i="5" s="1"/>
  <c r="AP25" i="5"/>
  <c r="O25" i="5" s="1"/>
  <c r="CH24" i="5"/>
  <c r="BY24" i="5"/>
  <c r="CP24" i="5" s="1"/>
  <c r="CQ24" i="5" s="1"/>
  <c r="BP24" i="5"/>
  <c r="BR24" i="5" s="1"/>
  <c r="BC24" i="5"/>
  <c r="AN24" i="5"/>
  <c r="CF23" i="5"/>
  <c r="CF26" i="5" s="1"/>
  <c r="BW23" i="5"/>
  <c r="BN23" i="5"/>
  <c r="AM23" i="5"/>
  <c r="AQ23" i="5" s="1"/>
  <c r="T23" i="5"/>
  <c r="CL22" i="5"/>
  <c r="CR22" i="5" s="1"/>
  <c r="CC22" i="5"/>
  <c r="CG22" i="5" s="1"/>
  <c r="BT22" i="5"/>
  <c r="BG22" i="5"/>
  <c r="AR22" i="5"/>
  <c r="AI22" i="5"/>
  <c r="AX22" i="5" s="1"/>
  <c r="CI20" i="5"/>
  <c r="BY20" i="5"/>
  <c r="CS20" i="5" s="1"/>
  <c r="BO20" i="5"/>
  <c r="BS20" i="5" s="1"/>
  <c r="BC20" i="5"/>
  <c r="BC21" i="5" s="1"/>
  <c r="AH20" i="5"/>
  <c r="AL20" i="5" s="1"/>
  <c r="CF19" i="5"/>
  <c r="BW19" i="5"/>
  <c r="BM19" i="5"/>
  <c r="AM19" i="5"/>
  <c r="AD19" i="5" s="1"/>
  <c r="T19" i="5"/>
  <c r="X19" i="5" s="1"/>
  <c r="CJ18" i="5"/>
  <c r="CA18" i="5"/>
  <c r="CA21" i="5" s="1"/>
  <c r="BP18" i="5"/>
  <c r="BR18" i="5" s="1"/>
  <c r="BC18" i="5"/>
  <c r="AP18" i="5"/>
  <c r="AH18" i="5"/>
  <c r="AL18" i="5" s="1"/>
  <c r="CI94" i="5"/>
  <c r="BF94" i="5"/>
  <c r="BF95" i="5" s="1"/>
  <c r="BF96" i="5" s="1"/>
  <c r="R94" i="5"/>
  <c r="BP93" i="5"/>
  <c r="AJ93" i="5"/>
  <c r="CA92" i="5"/>
  <c r="AO92" i="5"/>
  <c r="AF92" i="5" s="1"/>
  <c r="CD91" i="5"/>
  <c r="AS91" i="5"/>
  <c r="CL89" i="5"/>
  <c r="BQ88" i="5"/>
  <c r="CE87" i="5"/>
  <c r="BQ86" i="5"/>
  <c r="AJ86" i="5"/>
  <c r="CD85" i="5"/>
  <c r="BX83" i="5"/>
  <c r="AS83" i="5"/>
  <c r="CM82" i="5"/>
  <c r="BT82" i="5"/>
  <c r="BV82" i="5" s="1"/>
  <c r="BW81" i="5"/>
  <c r="AU81" i="5"/>
  <c r="AG81" i="5" s="1"/>
  <c r="BX80" i="5"/>
  <c r="CH76" i="5"/>
  <c r="CJ76" i="5" s="1"/>
  <c r="BN76" i="5"/>
  <c r="AN76" i="5"/>
  <c r="CL75" i="5"/>
  <c r="BT75" i="5"/>
  <c r="BV75" i="5" s="1"/>
  <c r="AS75" i="5"/>
  <c r="S75" i="5"/>
  <c r="CE74" i="5"/>
  <c r="BO74" i="5"/>
  <c r="T74" i="5"/>
  <c r="CD73" i="5"/>
  <c r="BO73" i="5"/>
  <c r="AP73" i="5"/>
  <c r="BY71" i="5"/>
  <c r="BG71" i="5"/>
  <c r="BG72" i="5" s="1"/>
  <c r="BY70" i="5"/>
  <c r="CS70" i="5" s="1"/>
  <c r="AN70" i="5"/>
  <c r="M70" i="5" s="1"/>
  <c r="CB69" i="5"/>
  <c r="BM69" i="5"/>
  <c r="CI68" i="5"/>
  <c r="CH67" i="5"/>
  <c r="BP67" i="5"/>
  <c r="BR67" i="5" s="1"/>
  <c r="CK65" i="5"/>
  <c r="BU65" i="5"/>
  <c r="BV65" i="5" s="1"/>
  <c r="BZ65" i="5" s="1"/>
  <c r="BC65" i="5"/>
  <c r="BC66" i="5" s="1"/>
  <c r="AI65" i="5"/>
  <c r="BO64" i="5"/>
  <c r="BS64" i="5" s="1"/>
  <c r="AT64" i="5"/>
  <c r="CH63" i="5"/>
  <c r="CJ63" i="5" s="1"/>
  <c r="BP63" i="5"/>
  <c r="BR63" i="5" s="1"/>
  <c r="AT63" i="5"/>
  <c r="CE62" i="5"/>
  <c r="BN62" i="5"/>
  <c r="AP62" i="5"/>
  <c r="S62" i="5"/>
  <c r="CH59" i="5"/>
  <c r="BQ59" i="5"/>
  <c r="BS59" i="5" s="1"/>
  <c r="S59" i="5"/>
  <c r="N59" i="5" s="1"/>
  <c r="AA59" i="5" s="1"/>
  <c r="CA58" i="5"/>
  <c r="BL58" i="5"/>
  <c r="AN58" i="5"/>
  <c r="AX58" i="5" s="1"/>
  <c r="CM57" i="5"/>
  <c r="CS57" i="5" s="1"/>
  <c r="BX57" i="5"/>
  <c r="BL57" i="5"/>
  <c r="CL56" i="5"/>
  <c r="BX56" i="5"/>
  <c r="BM56" i="5"/>
  <c r="CA54" i="5"/>
  <c r="BO54" i="5"/>
  <c r="BS54" i="5" s="1"/>
  <c r="AU54" i="5"/>
  <c r="AI54" i="5"/>
  <c r="CL53" i="5"/>
  <c r="CA53" i="5"/>
  <c r="CC53" i="5" s="1"/>
  <c r="BN53" i="5"/>
  <c r="BR53" i="5" s="1"/>
  <c r="S53" i="5"/>
  <c r="N53" i="5" s="1"/>
  <c r="AA53" i="5" s="1"/>
  <c r="CF52" i="5"/>
  <c r="BT52" i="5"/>
  <c r="BV52" i="5" s="1"/>
  <c r="BF52" i="5"/>
  <c r="AO52" i="5"/>
  <c r="AF52" i="5" s="1"/>
  <c r="CD51" i="5"/>
  <c r="BT51" i="5"/>
  <c r="AT51" i="5"/>
  <c r="AJ51" i="5"/>
  <c r="R51" i="5"/>
  <c r="W52" i="5" s="1"/>
  <c r="BX50" i="5"/>
  <c r="CO50" i="5" s="1"/>
  <c r="BO50" i="5"/>
  <c r="BS50" i="5" s="1"/>
  <c r="AN50" i="5"/>
  <c r="S50" i="5"/>
  <c r="N50" i="5" s="1"/>
  <c r="CK48" i="5"/>
  <c r="CA48" i="5"/>
  <c r="CC48" i="5" s="1"/>
  <c r="BO48" i="5"/>
  <c r="BS48" i="5" s="1"/>
  <c r="AN48" i="5"/>
  <c r="M48" i="5" s="1"/>
  <c r="S48" i="5"/>
  <c r="N48" i="5" s="1"/>
  <c r="AA48" i="5" s="1"/>
  <c r="CI47" i="5"/>
  <c r="BX47" i="5"/>
  <c r="CR47" i="5" s="1"/>
  <c r="BO47" i="5"/>
  <c r="BS47" i="5" s="1"/>
  <c r="AO47" i="5"/>
  <c r="CF46" i="5"/>
  <c r="CP46" i="5" s="1"/>
  <c r="BW46" i="5"/>
  <c r="BL46" i="5"/>
  <c r="R46" i="5"/>
  <c r="W47" i="5" s="1"/>
  <c r="CF45" i="5"/>
  <c r="BU45" i="5"/>
  <c r="BG45" i="5"/>
  <c r="BD45" i="5" s="1"/>
  <c r="BI45" i="5" s="1"/>
  <c r="AU45" i="5"/>
  <c r="AK45" i="5"/>
  <c r="R45" i="5"/>
  <c r="W45" i="5" s="1"/>
  <c r="CF42" i="5"/>
  <c r="CP42" i="5" s="1"/>
  <c r="BW42" i="5"/>
  <c r="BM42" i="5"/>
  <c r="AU42" i="5"/>
  <c r="S42" i="5"/>
  <c r="N42" i="5" s="1"/>
  <c r="BY41" i="5"/>
  <c r="BN41" i="5"/>
  <c r="BR41" i="5" s="1"/>
  <c r="AO41" i="5"/>
  <c r="BY40" i="5"/>
  <c r="BO40" i="5"/>
  <c r="AO40" i="5"/>
  <c r="CM39" i="5"/>
  <c r="CD39" i="5"/>
  <c r="BG39" i="5"/>
  <c r="AU39" i="5"/>
  <c r="BF38" i="5"/>
  <c r="CI34" i="5"/>
  <c r="CA34" i="5"/>
  <c r="BP34" i="5"/>
  <c r="AO34" i="5"/>
  <c r="CL33" i="5"/>
  <c r="CC33" i="5"/>
  <c r="BT33" i="5"/>
  <c r="AN33" i="5"/>
  <c r="CH31" i="5"/>
  <c r="CH32" i="5" s="1"/>
  <c r="BY31" i="5"/>
  <c r="CP31" i="5" s="1"/>
  <c r="BP31" i="5"/>
  <c r="BC31" i="5"/>
  <c r="BC32" i="5" s="1"/>
  <c r="AM31" i="5"/>
  <c r="CF30" i="5"/>
  <c r="CP30" i="5" s="1"/>
  <c r="BX30" i="5"/>
  <c r="BN30" i="5"/>
  <c r="AI30" i="5"/>
  <c r="V30" i="5"/>
  <c r="CJ29" i="5"/>
  <c r="CB29" i="5"/>
  <c r="BQ29" i="5"/>
  <c r="BS29" i="5" s="1"/>
  <c r="BC29" i="5"/>
  <c r="AH29" i="5"/>
  <c r="CE28" i="5"/>
  <c r="CO28" i="5" s="1"/>
  <c r="BV28" i="5"/>
  <c r="BM28" i="5"/>
  <c r="AU28" i="5"/>
  <c r="AG28" i="5" s="1"/>
  <c r="AK28" i="5"/>
  <c r="AZ28" i="5" s="1"/>
  <c r="R28" i="5"/>
  <c r="CK25" i="5"/>
  <c r="CB25" i="5"/>
  <c r="BT25" i="5"/>
  <c r="BL25" i="5"/>
  <c r="BL26" i="5" s="1"/>
  <c r="AM25" i="5"/>
  <c r="CM24" i="5"/>
  <c r="CE24" i="5"/>
  <c r="CO24" i="5" s="1"/>
  <c r="BV24" i="5"/>
  <c r="BV26" i="5" s="1"/>
  <c r="BM24" i="5"/>
  <c r="BM26" i="5" s="1"/>
  <c r="AT24" i="5"/>
  <c r="AJ24" i="5"/>
  <c r="AY24" i="5" s="1"/>
  <c r="R24" i="5"/>
  <c r="CK23" i="5"/>
  <c r="CC23" i="5"/>
  <c r="BT23" i="5"/>
  <c r="AS23" i="5"/>
  <c r="AE23" i="5" s="1"/>
  <c r="AI23" i="5"/>
  <c r="AX23" i="5" s="1"/>
  <c r="V24" i="5"/>
  <c r="CI22" i="5"/>
  <c r="CI26" i="5" s="1"/>
  <c r="BY22" i="5"/>
  <c r="CS22" i="5" s="1"/>
  <c r="BP22" i="5"/>
  <c r="AO22" i="5"/>
  <c r="CE20" i="5"/>
  <c r="CE21" i="5" s="1"/>
  <c r="BV20" i="5"/>
  <c r="BV21" i="5" s="1"/>
  <c r="BL20" i="5"/>
  <c r="BL21" i="5" s="1"/>
  <c r="AN20" i="5"/>
  <c r="AE20" i="5" s="1"/>
  <c r="CL19" i="5"/>
  <c r="CR19" i="5" s="1"/>
  <c r="CC19" i="5"/>
  <c r="CC21" i="5" s="1"/>
  <c r="BT19" i="5"/>
  <c r="BT21" i="5" s="1"/>
  <c r="BG19" i="5"/>
  <c r="BD19" i="5" s="1"/>
  <c r="AS19" i="5"/>
  <c r="AE19" i="5" s="1"/>
  <c r="AI19" i="5"/>
  <c r="AX19" i="5" s="1"/>
  <c r="CF18" i="5"/>
  <c r="BW18" i="5"/>
  <c r="BM18" i="5"/>
  <c r="AU18" i="5"/>
  <c r="AV18" i="5" s="1"/>
  <c r="AM18" i="5"/>
  <c r="CH17" i="5"/>
  <c r="CH21" i="5" s="1"/>
  <c r="BX17" i="5"/>
  <c r="CR17" i="5" s="1"/>
  <c r="BP17" i="5"/>
  <c r="BR17" i="5" s="1"/>
  <c r="BC17" i="5"/>
  <c r="AR17" i="5"/>
  <c r="AH17" i="5"/>
  <c r="AL17" i="5" s="1"/>
  <c r="CI16" i="5"/>
  <c r="AU16" i="5"/>
  <c r="AK16" i="5"/>
  <c r="AZ16" i="5" s="1"/>
  <c r="S16" i="5"/>
  <c r="N16" i="5" s="1"/>
  <c r="CI14" i="5"/>
  <c r="CI15" i="5" s="1"/>
  <c r="BY14" i="5"/>
  <c r="BO14" i="5"/>
  <c r="BO15" i="5" s="1"/>
  <c r="BC14" i="5"/>
  <c r="BC15" i="5" s="1"/>
  <c r="AN14" i="5"/>
  <c r="CF13" i="5"/>
  <c r="CP13" i="5" s="1"/>
  <c r="CQ13" i="5" s="1"/>
  <c r="BW13" i="5"/>
  <c r="BW15" i="5" s="1"/>
  <c r="BM13" i="5"/>
  <c r="BM15" i="5" s="1"/>
  <c r="AN13" i="5"/>
  <c r="AX13" i="5" s="1"/>
  <c r="T13" i="5"/>
  <c r="CJ12" i="5"/>
  <c r="CJ15" i="5" s="1"/>
  <c r="CA12" i="5"/>
  <c r="CA15" i="5" s="1"/>
  <c r="BP12" i="5"/>
  <c r="AO12" i="5"/>
  <c r="CE11" i="5"/>
  <c r="CO11" i="5" s="1"/>
  <c r="BV11" i="5"/>
  <c r="BV15" i="5" s="1"/>
  <c r="BL11" i="5"/>
  <c r="BL15" i="5" s="1"/>
  <c r="AS11" i="5"/>
  <c r="AE11" i="5" s="1"/>
  <c r="AK11" i="5"/>
  <c r="CX58" i="5"/>
  <c r="CX28" i="5"/>
  <c r="BD28" i="5" s="1"/>
  <c r="CX20" i="5"/>
  <c r="BD20" i="5" s="1"/>
  <c r="BD21" i="5" s="1"/>
  <c r="CX14" i="5"/>
  <c r="BD14" i="5" s="1"/>
  <c r="J11" i="5"/>
  <c r="H14" i="5"/>
  <c r="D14" i="5" s="1"/>
  <c r="G18" i="5"/>
  <c r="D18" i="5" s="1"/>
  <c r="I20" i="5"/>
  <c r="F20" i="5" s="1"/>
  <c r="I24" i="5"/>
  <c r="J28" i="5"/>
  <c r="J30" i="5"/>
  <c r="J33" i="5"/>
  <c r="K40" i="5"/>
  <c r="I42" i="5"/>
  <c r="F42" i="5" s="1"/>
  <c r="I46" i="5"/>
  <c r="F46" i="5" s="1"/>
  <c r="H48" i="5"/>
  <c r="F48" i="5" s="1"/>
  <c r="AQ14" i="5"/>
  <c r="CK15" i="5"/>
  <c r="O12" i="5"/>
  <c r="CC15" i="5"/>
  <c r="CG11" i="5"/>
  <c r="BX26" i="5"/>
  <c r="CO22" i="5"/>
  <c r="AL23" i="5"/>
  <c r="AG48" i="5"/>
  <c r="BU15" i="5"/>
  <c r="CD15" i="5"/>
  <c r="V13" i="5"/>
  <c r="CK21" i="5"/>
  <c r="BS11" i="5"/>
  <c r="AG12" i="5"/>
  <c r="S26" i="5"/>
  <c r="AO26" i="5" s="1"/>
  <c r="AQ12" i="5"/>
  <c r="AF13" i="5"/>
  <c r="BZ13" i="5"/>
  <c r="X16" i="5"/>
  <c r="BO32" i="5"/>
  <c r="CR14" i="5"/>
  <c r="CP12" i="5"/>
  <c r="CQ12" i="5" s="1"/>
  <c r="CG12" i="5"/>
  <c r="BS18" i="5"/>
  <c r="O14" i="5"/>
  <c r="BN15" i="5"/>
  <c r="O16" i="5"/>
  <c r="CN16" i="5"/>
  <c r="AX18" i="5"/>
  <c r="AZ19" i="5"/>
  <c r="CM21" i="5"/>
  <c r="U24" i="5"/>
  <c r="AE39" i="5"/>
  <c r="BV39" i="5"/>
  <c r="AZ14" i="5"/>
  <c r="M19" i="5"/>
  <c r="AX17" i="5"/>
  <c r="AE17" i="5"/>
  <c r="AW14" i="5"/>
  <c r="BQ15" i="5"/>
  <c r="U16" i="5"/>
  <c r="AY16" i="5"/>
  <c r="L17" i="5"/>
  <c r="U17" i="5"/>
  <c r="CO18" i="5"/>
  <c r="AV19" i="5"/>
  <c r="BN21" i="5"/>
  <c r="AW34" i="5"/>
  <c r="AD34" i="5"/>
  <c r="AQ34" i="5"/>
  <c r="CO45" i="5"/>
  <c r="L13" i="5"/>
  <c r="CN28" i="5"/>
  <c r="AD12" i="5"/>
  <c r="AW12" i="5"/>
  <c r="AX16" i="5"/>
  <c r="AE16" i="5"/>
  <c r="M16" i="5"/>
  <c r="AE12" i="5"/>
  <c r="CN13" i="5"/>
  <c r="CS13" i="5"/>
  <c r="S15" i="5"/>
  <c r="AJ15" i="5" s="1"/>
  <c r="AY11" i="5"/>
  <c r="BR11" i="5"/>
  <c r="BX15" i="5"/>
  <c r="CH15" i="5"/>
  <c r="AX12" i="5"/>
  <c r="M17" i="5"/>
  <c r="AL24" i="5"/>
  <c r="AV24" i="5"/>
  <c r="BU26" i="5"/>
  <c r="O33" i="5"/>
  <c r="AF42" i="5"/>
  <c r="AY42" i="5"/>
  <c r="W13" i="5"/>
  <c r="R15" i="5"/>
  <c r="CM15" i="5"/>
  <c r="AD16" i="5"/>
  <c r="CR18" i="5"/>
  <c r="N19" i="5"/>
  <c r="AA19" i="5" s="1"/>
  <c r="O20" i="5"/>
  <c r="X22" i="5"/>
  <c r="N24" i="5"/>
  <c r="AA24" i="5" s="1"/>
  <c r="AW24" i="5"/>
  <c r="N25" i="5"/>
  <c r="AF25" i="5"/>
  <c r="CC39" i="5"/>
  <c r="AZ50" i="5"/>
  <c r="AG50" i="5"/>
  <c r="V12" i="5"/>
  <c r="AQ17" i="5"/>
  <c r="AW22" i="5"/>
  <c r="CR28" i="5"/>
  <c r="CS46" i="5"/>
  <c r="CP17" i="5"/>
  <c r="CQ17" i="5" s="1"/>
  <c r="AQ28" i="5"/>
  <c r="S32" i="5"/>
  <c r="AJ32" i="5" s="1"/>
  <c r="AF33" i="5"/>
  <c r="N33" i="5"/>
  <c r="U18" i="5"/>
  <c r="BS13" i="5"/>
  <c r="BG15" i="5"/>
  <c r="AZ17" i="5"/>
  <c r="M18" i="5"/>
  <c r="AZ22" i="5"/>
  <c r="L28" i="5"/>
  <c r="CG28" i="5"/>
  <c r="BA31" i="5"/>
  <c r="BG43" i="5"/>
  <c r="BG44" i="5" s="1"/>
  <c r="M47" i="5"/>
  <c r="AY30" i="5"/>
  <c r="T43" i="5"/>
  <c r="M62" i="5"/>
  <c r="AQ33" i="5"/>
  <c r="CR41" i="5"/>
  <c r="AF50" i="5"/>
  <c r="AE45" i="5"/>
  <c r="AX45" i="5"/>
  <c r="AY53" i="5"/>
  <c r="AF57" i="5"/>
  <c r="O41" i="5"/>
  <c r="AF46" i="5"/>
  <c r="AY46" i="5"/>
  <c r="M52" i="5"/>
  <c r="AX52" i="5"/>
  <c r="CC56" i="5"/>
  <c r="O63" i="5"/>
  <c r="O50" i="5"/>
  <c r="AE62" i="5"/>
  <c r="AE69" i="5"/>
  <c r="M69" i="5"/>
  <c r="CP65" i="5"/>
  <c r="CS80" i="5"/>
  <c r="O69" i="5"/>
  <c r="AF85" i="5"/>
  <c r="CJ86" i="5"/>
  <c r="F76" i="5"/>
  <c r="D82" i="5"/>
  <c r="G77" i="5"/>
  <c r="I77" i="5" s="1"/>
  <c r="K60" i="5"/>
  <c r="F11" i="5"/>
  <c r="CW55" i="5"/>
  <c r="CX80" i="5"/>
  <c r="D65" i="5"/>
  <c r="D29" i="5"/>
  <c r="F92" i="5"/>
  <c r="F82" i="5"/>
  <c r="F89" i="5"/>
  <c r="F74" i="5"/>
  <c r="D70" i="5"/>
  <c r="CX74" i="5"/>
  <c r="F87" i="5"/>
  <c r="D42" i="5"/>
  <c r="D22" i="5"/>
  <c r="J84" i="5"/>
  <c r="G66" i="5"/>
  <c r="I66" i="5" s="1"/>
  <c r="D89" i="5"/>
  <c r="F62" i="5"/>
  <c r="K49" i="5"/>
  <c r="F22" i="5"/>
  <c r="CX92" i="5"/>
  <c r="CW89" i="5"/>
  <c r="CX87" i="5"/>
  <c r="CW69" i="5"/>
  <c r="CW68" i="5"/>
  <c r="CX67" i="5"/>
  <c r="CX65" i="5"/>
  <c r="CX66" i="5" s="1"/>
  <c r="CW87" i="5"/>
  <c r="CX91" i="5"/>
  <c r="CX88" i="5"/>
  <c r="BD88" i="5" s="1"/>
  <c r="CX81" i="5"/>
  <c r="CX94" i="5"/>
  <c r="CX95" i="5" s="1"/>
  <c r="CX96" i="5" s="1"/>
  <c r="CW88" i="5"/>
  <c r="CX85" i="5"/>
  <c r="CW81" i="5"/>
  <c r="CX82" i="5"/>
  <c r="CW80" i="5"/>
  <c r="CX76" i="5"/>
  <c r="CX64" i="5"/>
  <c r="CX62" i="5"/>
  <c r="BD62" i="5" s="1"/>
  <c r="CW85" i="5"/>
  <c r="CX83" i="5"/>
  <c r="CW82" i="5"/>
  <c r="CX75" i="5"/>
  <c r="CW67" i="5"/>
  <c r="CW65" i="5"/>
  <c r="CW64" i="5"/>
  <c r="CW62" i="5"/>
  <c r="CW83" i="5"/>
  <c r="CX71" i="5"/>
  <c r="CX63" i="5"/>
  <c r="CX57" i="5"/>
  <c r="CW53" i="5"/>
  <c r="CW52" i="5"/>
  <c r="CY52" i="5" s="1"/>
  <c r="CW50" i="5"/>
  <c r="CW86" i="5"/>
  <c r="CX70" i="5"/>
  <c r="BD70" i="5" s="1"/>
  <c r="CX54" i="5"/>
  <c r="CW46" i="5"/>
  <c r="CW45" i="5"/>
  <c r="CY45" i="5" s="1"/>
  <c r="CX41" i="5"/>
  <c r="CX50" i="5"/>
  <c r="CX23" i="5"/>
  <c r="BD23" i="5" s="1"/>
  <c r="CX13" i="5"/>
  <c r="BD13" i="5" s="1"/>
  <c r="CW12" i="5"/>
  <c r="CY12" i="5" s="1"/>
  <c r="K11" i="5"/>
  <c r="G13" i="5"/>
  <c r="J14" i="5"/>
  <c r="G17" i="5"/>
  <c r="I18" i="5"/>
  <c r="F18" i="5" s="1"/>
  <c r="I19" i="5"/>
  <c r="F19" i="5" s="1"/>
  <c r="J20" i="5"/>
  <c r="J22" i="5"/>
  <c r="J26" i="5" s="1"/>
  <c r="G24" i="5"/>
  <c r="H25" i="5"/>
  <c r="H28" i="5"/>
  <c r="I29" i="5"/>
  <c r="F29" i="5" s="1"/>
  <c r="G31" i="5"/>
  <c r="D31" i="5" s="1"/>
  <c r="H33" i="5"/>
  <c r="F33" i="5" s="1"/>
  <c r="K34" i="5"/>
  <c r="J39" i="5"/>
  <c r="J43" i="5" s="1"/>
  <c r="CX59" i="5"/>
  <c r="CX56" i="5"/>
  <c r="CX48" i="5"/>
  <c r="CX33" i="5"/>
  <c r="BD33" i="5" s="1"/>
  <c r="BK33" i="5" s="1"/>
  <c r="CW23" i="5"/>
  <c r="CX18" i="5"/>
  <c r="CW13" i="5"/>
  <c r="CX11" i="5"/>
  <c r="BD11" i="5" s="1"/>
  <c r="H13" i="5"/>
  <c r="F13" i="5" s="1"/>
  <c r="K14" i="5"/>
  <c r="H17" i="5"/>
  <c r="F17" i="5" s="1"/>
  <c r="J18" i="5"/>
  <c r="J19" i="5"/>
  <c r="K20" i="5"/>
  <c r="K22" i="5"/>
  <c r="H24" i="5"/>
  <c r="CX86" i="5"/>
  <c r="BD86" i="5" s="1"/>
  <c r="CW71" i="5"/>
  <c r="CX69" i="5"/>
  <c r="BD69" i="5" s="1"/>
  <c r="CW48" i="5"/>
  <c r="CW49" i="5" s="1"/>
  <c r="CX47" i="5"/>
  <c r="CY47" i="5" s="1"/>
  <c r="CX42" i="5"/>
  <c r="BD42" i="5" s="1"/>
  <c r="CX40" i="5"/>
  <c r="CX39" i="5"/>
  <c r="CW33" i="5"/>
  <c r="CX31" i="5"/>
  <c r="CX68" i="5"/>
  <c r="CX53" i="5"/>
  <c r="CW51" i="5"/>
  <c r="CY51" i="5" s="1"/>
  <c r="CX46" i="5"/>
  <c r="BD46" i="5" s="1"/>
  <c r="BD38" i="5"/>
  <c r="CX34" i="5"/>
  <c r="CW30" i="5"/>
  <c r="CX29" i="5"/>
  <c r="BD29" i="5" s="1"/>
  <c r="CX22" i="5"/>
  <c r="CW19" i="5"/>
  <c r="BA19" i="5" s="1"/>
  <c r="CX16" i="5"/>
  <c r="G11" i="5"/>
  <c r="H12" i="5"/>
  <c r="F12" i="5" s="1"/>
  <c r="K13" i="5"/>
  <c r="H16" i="5"/>
  <c r="F16" i="5" s="1"/>
  <c r="K17" i="5"/>
  <c r="H23" i="5"/>
  <c r="F23" i="5" s="1"/>
  <c r="K24" i="5"/>
  <c r="H30" i="5"/>
  <c r="K31" i="5"/>
  <c r="K32" i="5" s="1"/>
  <c r="G34" i="5"/>
  <c r="G38" i="5" s="1"/>
  <c r="I38" i="5" s="1"/>
  <c r="H40" i="5"/>
  <c r="D40" i="5" s="1"/>
  <c r="I41" i="5"/>
  <c r="F41" i="5" s="1"/>
  <c r="K42" i="5"/>
  <c r="G46" i="5"/>
  <c r="D46" i="5" s="1"/>
  <c r="J47" i="5"/>
  <c r="J49" i="5" s="1"/>
  <c r="G50" i="5"/>
  <c r="D50" i="5" s="1"/>
  <c r="H51" i="5"/>
  <c r="F51" i="5" s="1"/>
  <c r="I52" i="5"/>
  <c r="F52" i="5" s="1"/>
  <c r="G54" i="5"/>
  <c r="I56" i="5"/>
  <c r="F56" i="5" s="1"/>
  <c r="G58" i="5"/>
  <c r="G60" i="5" s="1"/>
  <c r="J59" i="5"/>
  <c r="J60" i="5" s="1"/>
  <c r="K62" i="5"/>
  <c r="K66" i="5" s="1"/>
  <c r="H64" i="5"/>
  <c r="F64" i="5" s="1"/>
  <c r="J65" i="5"/>
  <c r="J66" i="5" s="1"/>
  <c r="K67" i="5"/>
  <c r="K72" i="5" s="1"/>
  <c r="H69" i="5"/>
  <c r="F69" i="5" s="1"/>
  <c r="J70" i="5"/>
  <c r="J72" i="5" s="1"/>
  <c r="H73" i="5"/>
  <c r="J74" i="5"/>
  <c r="J77" i="5" s="1"/>
  <c r="K75" i="5"/>
  <c r="K77" i="5" s="1"/>
  <c r="H81" i="5"/>
  <c r="F81" i="5" s="1"/>
  <c r="K82" i="5"/>
  <c r="K84" i="5" s="1"/>
  <c r="H85" i="5"/>
  <c r="I86" i="5"/>
  <c r="F86" i="5" s="1"/>
  <c r="G88" i="5"/>
  <c r="D88" i="5" s="1"/>
  <c r="J89" i="5"/>
  <c r="J90" i="5" s="1"/>
  <c r="K91" i="5"/>
  <c r="G93" i="5"/>
  <c r="G95" i="5" s="1"/>
  <c r="I94" i="5"/>
  <c r="F94" i="5" s="1"/>
  <c r="CY17" i="5"/>
  <c r="CW32" i="5"/>
  <c r="CY24" i="5"/>
  <c r="CY25" i="5"/>
  <c r="CW27" i="5"/>
  <c r="D71" i="5"/>
  <c r="G72" i="5"/>
  <c r="F91" i="5"/>
  <c r="F80" i="5"/>
  <c r="D68" i="5"/>
  <c r="F68" i="5"/>
  <c r="F88" i="5"/>
  <c r="D87" i="5"/>
  <c r="F83" i="5"/>
  <c r="F67" i="5"/>
  <c r="D67" i="5"/>
  <c r="D53" i="5"/>
  <c r="D83" i="5"/>
  <c r="G84" i="5"/>
  <c r="F63" i="5"/>
  <c r="D63" i="5"/>
  <c r="D59" i="5"/>
  <c r="F59" i="5"/>
  <c r="F58" i="5"/>
  <c r="F54" i="5"/>
  <c r="D39" i="5"/>
  <c r="G43" i="5"/>
  <c r="D56" i="5"/>
  <c r="D47" i="5"/>
  <c r="F31" i="5"/>
  <c r="F57" i="5"/>
  <c r="K55" i="5"/>
  <c r="F45" i="5"/>
  <c r="D57" i="5"/>
  <c r="D45" i="5"/>
  <c r="U41" i="3" l="1"/>
  <c r="L41" i="3"/>
  <c r="V41" i="3"/>
  <c r="BA41" i="3"/>
  <c r="AC40" i="3"/>
  <c r="CW41" i="3"/>
  <c r="BS74" i="5"/>
  <c r="BI25" i="5"/>
  <c r="X73" i="5"/>
  <c r="BW55" i="5"/>
  <c r="W28" i="5"/>
  <c r="X82" i="5"/>
  <c r="W25" i="5"/>
  <c r="W26" i="5" s="1"/>
  <c r="W27" i="5" s="1"/>
  <c r="W24" i="5"/>
  <c r="X59" i="5"/>
  <c r="X60" i="5" s="1"/>
  <c r="X61" i="5" s="1"/>
  <c r="X88" i="5"/>
  <c r="W41" i="5"/>
  <c r="W56" i="5"/>
  <c r="W65" i="5"/>
  <c r="W66" i="5" s="1"/>
  <c r="X62" i="5"/>
  <c r="W86" i="5"/>
  <c r="X54" i="5"/>
  <c r="X55" i="5" s="1"/>
  <c r="W87" i="5"/>
  <c r="BI17" i="5"/>
  <c r="BH14" i="5"/>
  <c r="W81" i="5"/>
  <c r="X81" i="5"/>
  <c r="X91" i="5"/>
  <c r="W93" i="5"/>
  <c r="W73" i="5"/>
  <c r="U31" i="5"/>
  <c r="V33" i="5"/>
  <c r="X87" i="5"/>
  <c r="X47" i="5"/>
  <c r="W34" i="5"/>
  <c r="X76" i="5"/>
  <c r="X77" i="5" s="1"/>
  <c r="X78" i="5" s="1"/>
  <c r="X79" i="5" s="1"/>
  <c r="W89" i="5"/>
  <c r="W90" i="5" s="1"/>
  <c r="O91" i="5"/>
  <c r="X92" i="5"/>
  <c r="W71" i="5"/>
  <c r="W72" i="5" s="1"/>
  <c r="BZ23" i="5"/>
  <c r="X75" i="5"/>
  <c r="T26" i="5"/>
  <c r="AK26" i="5" s="1"/>
  <c r="X24" i="5"/>
  <c r="W79" i="5"/>
  <c r="W80" i="5"/>
  <c r="O29" i="5"/>
  <c r="AB29" i="5" s="1"/>
  <c r="X30" i="5"/>
  <c r="W33" i="5"/>
  <c r="W38" i="5"/>
  <c r="W40" i="5"/>
  <c r="T66" i="5"/>
  <c r="AK66" i="5" s="1"/>
  <c r="X63" i="5"/>
  <c r="W88" i="5"/>
  <c r="X85" i="5"/>
  <c r="X74" i="5"/>
  <c r="X71" i="5"/>
  <c r="X72" i="5" s="1"/>
  <c r="AC35" i="5"/>
  <c r="X52" i="5"/>
  <c r="X29" i="5"/>
  <c r="M28" i="5"/>
  <c r="W29" i="5"/>
  <c r="X20" i="5"/>
  <c r="X21" i="5" s="1"/>
  <c r="BI30" i="5"/>
  <c r="X31" i="5"/>
  <c r="X32" i="5" s="1"/>
  <c r="O67" i="5"/>
  <c r="AB67" i="5" s="1"/>
  <c r="X68" i="5"/>
  <c r="W68" i="5"/>
  <c r="M45" i="5"/>
  <c r="Z45" i="5" s="1"/>
  <c r="W46" i="5"/>
  <c r="O57" i="5"/>
  <c r="AB57" i="5" s="1"/>
  <c r="X58" i="5"/>
  <c r="X86" i="5"/>
  <c r="W64" i="5"/>
  <c r="V20" i="5"/>
  <c r="V21" i="5" s="1"/>
  <c r="V31" i="5"/>
  <c r="V32" i="5" s="1"/>
  <c r="U22" i="5"/>
  <c r="V23" i="5"/>
  <c r="W85" i="5"/>
  <c r="V34" i="5"/>
  <c r="M73" i="5"/>
  <c r="Z73" i="5" s="1"/>
  <c r="W74" i="5"/>
  <c r="X89" i="5"/>
  <c r="X90" i="5" s="1"/>
  <c r="X83" i="5"/>
  <c r="X84" i="5" s="1"/>
  <c r="W59" i="5"/>
  <c r="W60" i="5" s="1"/>
  <c r="W61" i="5" s="1"/>
  <c r="X38" i="5"/>
  <c r="X70" i="5"/>
  <c r="W51" i="5"/>
  <c r="X23" i="5"/>
  <c r="W54" i="5"/>
  <c r="W55" i="5" s="1"/>
  <c r="V19" i="5"/>
  <c r="AF73" i="5"/>
  <c r="AA73" i="5" s="1"/>
  <c r="BX49" i="5"/>
  <c r="Y11" i="5"/>
  <c r="AG34" i="5"/>
  <c r="AB34" i="5" s="1"/>
  <c r="BI24" i="5"/>
  <c r="BI20" i="5"/>
  <c r="AE93" i="5"/>
  <c r="BL55" i="5"/>
  <c r="CJ85" i="5"/>
  <c r="CN85" i="5" s="1"/>
  <c r="BZ63" i="5"/>
  <c r="Z11" i="5"/>
  <c r="CQ30" i="5"/>
  <c r="BV67" i="5"/>
  <c r="BZ67" i="5" s="1"/>
  <c r="K43" i="5"/>
  <c r="CR30" i="5"/>
  <c r="CL32" i="5"/>
  <c r="AL34" i="5"/>
  <c r="CY33" i="5"/>
  <c r="BM21" i="5"/>
  <c r="BM27" i="5" s="1"/>
  <c r="AE88" i="5"/>
  <c r="BI93" i="5"/>
  <c r="BH17" i="5"/>
  <c r="BK86" i="5"/>
  <c r="BR62" i="5"/>
  <c r="BV41" i="5"/>
  <c r="BZ41" i="5" s="1"/>
  <c r="M80" i="5"/>
  <c r="BA15" i="5"/>
  <c r="CJ51" i="5"/>
  <c r="CN51" i="5" s="1"/>
  <c r="BK23" i="5"/>
  <c r="AF65" i="5"/>
  <c r="AX88" i="5"/>
  <c r="AE91" i="5"/>
  <c r="AB56" i="5"/>
  <c r="BD31" i="5"/>
  <c r="BK31" i="5" s="1"/>
  <c r="E18" i="5"/>
  <c r="BK70" i="5"/>
  <c r="CY87" i="5"/>
  <c r="CJ80" i="5"/>
  <c r="CN80" i="5" s="1"/>
  <c r="K26" i="5"/>
  <c r="CH95" i="5"/>
  <c r="E20" i="5"/>
  <c r="CI21" i="5"/>
  <c r="CI27" i="5" s="1"/>
  <c r="N64" i="5"/>
  <c r="CJ91" i="5"/>
  <c r="CN91" i="5" s="1"/>
  <c r="M89" i="5"/>
  <c r="CT13" i="5"/>
  <c r="AY68" i="5"/>
  <c r="BD76" i="5"/>
  <c r="BD77" i="5" s="1"/>
  <c r="CS59" i="5"/>
  <c r="AY73" i="5"/>
  <c r="M65" i="5"/>
  <c r="CQ53" i="5"/>
  <c r="CJ59" i="5"/>
  <c r="CN59" i="5" s="1"/>
  <c r="O85" i="5"/>
  <c r="D48" i="5"/>
  <c r="D49" i="5" s="1"/>
  <c r="E52" i="5"/>
  <c r="BD59" i="5"/>
  <c r="BI59" i="5" s="1"/>
  <c r="BD57" i="5"/>
  <c r="BK57" i="5" s="1"/>
  <c r="AB22" i="5"/>
  <c r="E76" i="5"/>
  <c r="AA57" i="5"/>
  <c r="BV58" i="5"/>
  <c r="BZ58" i="5" s="1"/>
  <c r="AI21" i="5"/>
  <c r="AE74" i="5"/>
  <c r="BI51" i="5"/>
  <c r="BS93" i="5"/>
  <c r="Y16" i="5"/>
  <c r="BW21" i="5"/>
  <c r="CQ75" i="5"/>
  <c r="CR89" i="5"/>
  <c r="CO70" i="5"/>
  <c r="CT70" i="5" s="1"/>
  <c r="CR65" i="5"/>
  <c r="AV28" i="5"/>
  <c r="M58" i="5"/>
  <c r="L23" i="5"/>
  <c r="BJ34" i="5"/>
  <c r="CP93" i="5"/>
  <c r="CQ93" i="5" s="1"/>
  <c r="CQ65" i="5"/>
  <c r="AY45" i="5"/>
  <c r="AL29" i="5"/>
  <c r="CS39" i="5"/>
  <c r="AG68" i="5"/>
  <c r="CO80" i="5"/>
  <c r="CT80" i="5" s="1"/>
  <c r="AG80" i="5"/>
  <c r="AY94" i="5"/>
  <c r="CT19" i="5"/>
  <c r="BL32" i="5"/>
  <c r="BD26" i="5"/>
  <c r="BD27" i="5" s="1"/>
  <c r="CP22" i="5"/>
  <c r="CQ22" i="5" s="1"/>
  <c r="E71" i="5"/>
  <c r="BO84" i="5"/>
  <c r="M71" i="5"/>
  <c r="Z71" i="5" s="1"/>
  <c r="AZ31" i="5"/>
  <c r="BZ28" i="5"/>
  <c r="BV76" i="5"/>
  <c r="BZ76" i="5" s="1"/>
  <c r="Z53" i="5"/>
  <c r="O82" i="5"/>
  <c r="CY19" i="5"/>
  <c r="BJ16" i="5"/>
  <c r="CR63" i="5"/>
  <c r="N94" i="5"/>
  <c r="AA94" i="5" s="1"/>
  <c r="M41" i="5"/>
  <c r="Z41" i="5" s="1"/>
  <c r="CT18" i="5"/>
  <c r="AG31" i="5"/>
  <c r="AB31" i="5" s="1"/>
  <c r="CT11" i="5"/>
  <c r="CC54" i="5"/>
  <c r="CG54" i="5" s="1"/>
  <c r="CO74" i="5"/>
  <c r="O58" i="5"/>
  <c r="CS62" i="5"/>
  <c r="E53" i="5"/>
  <c r="O94" i="5"/>
  <c r="AA31" i="5"/>
  <c r="CN86" i="5"/>
  <c r="CS47" i="5"/>
  <c r="BJ17" i="5"/>
  <c r="CN41" i="5"/>
  <c r="CQ50" i="5"/>
  <c r="M81" i="5"/>
  <c r="CO59" i="5"/>
  <c r="AZ76" i="5"/>
  <c r="CR80" i="5"/>
  <c r="BB29" i="5"/>
  <c r="CJ92" i="5"/>
  <c r="CN92" i="5" s="1"/>
  <c r="CO68" i="5"/>
  <c r="CQ82" i="5"/>
  <c r="E50" i="5"/>
  <c r="AB11" i="5"/>
  <c r="BD83" i="5"/>
  <c r="BI83" i="5" s="1"/>
  <c r="BZ22" i="5"/>
  <c r="AB20" i="5"/>
  <c r="BE14" i="5"/>
  <c r="CG48" i="5"/>
  <c r="CC89" i="5"/>
  <c r="CG89" i="5" s="1"/>
  <c r="AG91" i="5"/>
  <c r="CP54" i="5"/>
  <c r="CQ54" i="5" s="1"/>
  <c r="Z18" i="5"/>
  <c r="E41" i="5"/>
  <c r="M88" i="5"/>
  <c r="AE81" i="5"/>
  <c r="AX67" i="5"/>
  <c r="BE17" i="5"/>
  <c r="CJ32" i="5"/>
  <c r="AX80" i="5"/>
  <c r="BY26" i="5"/>
  <c r="BZ26" i="5" s="1"/>
  <c r="CG71" i="5"/>
  <c r="CH84" i="5"/>
  <c r="CC63" i="5"/>
  <c r="CG63" i="5" s="1"/>
  <c r="CC85" i="5"/>
  <c r="CG85" i="5" s="1"/>
  <c r="P12" i="5"/>
  <c r="E75" i="5"/>
  <c r="CT16" i="5"/>
  <c r="F14" i="5"/>
  <c r="E14" i="5" s="1"/>
  <c r="E83" i="5"/>
  <c r="CR15" i="5"/>
  <c r="BT32" i="5"/>
  <c r="CT54" i="5"/>
  <c r="AY92" i="5"/>
  <c r="BQ38" i="5"/>
  <c r="S21" i="5"/>
  <c r="AJ21" i="5" s="1"/>
  <c r="AX54" i="5"/>
  <c r="CJ58" i="5"/>
  <c r="CN58" i="5" s="1"/>
  <c r="BU43" i="5"/>
  <c r="BI52" i="5"/>
  <c r="BU32" i="5"/>
  <c r="D34" i="5"/>
  <c r="E34" i="5" s="1"/>
  <c r="CT28" i="5"/>
  <c r="CC42" i="5"/>
  <c r="CC43" i="5" s="1"/>
  <c r="J96" i="5"/>
  <c r="D51" i="5"/>
  <c r="E51" i="5" s="1"/>
  <c r="L34" i="5"/>
  <c r="Y34" i="5" s="1"/>
  <c r="CQ67" i="5"/>
  <c r="F40" i="5"/>
  <c r="E40" i="5" s="1"/>
  <c r="CY31" i="5"/>
  <c r="CY28" i="5"/>
  <c r="BX32" i="5"/>
  <c r="AZ56" i="5"/>
  <c r="BZ52" i="5"/>
  <c r="CJ67" i="5"/>
  <c r="CN67" i="5" s="1"/>
  <c r="M94" i="5"/>
  <c r="CP45" i="5"/>
  <c r="CQ45" i="5" s="1"/>
  <c r="CP40" i="5"/>
  <c r="CQ40" i="5" s="1"/>
  <c r="CC68" i="5"/>
  <c r="CG68" i="5" s="1"/>
  <c r="CR59" i="5"/>
  <c r="CS67" i="5"/>
  <c r="CT12" i="5"/>
  <c r="BQ43" i="5"/>
  <c r="BY21" i="5"/>
  <c r="BZ21" i="5" s="1"/>
  <c r="BI33" i="5"/>
  <c r="AV33" i="5"/>
  <c r="AD31" i="5"/>
  <c r="BZ82" i="5"/>
  <c r="BN66" i="5"/>
  <c r="CR76" i="5"/>
  <c r="CP88" i="5"/>
  <c r="CQ88" i="5" s="1"/>
  <c r="AX30" i="5"/>
  <c r="BZ31" i="5"/>
  <c r="AY82" i="5"/>
  <c r="BI12" i="5"/>
  <c r="AB28" i="5"/>
  <c r="BZ68" i="5"/>
  <c r="BS89" i="5"/>
  <c r="AE80" i="5"/>
  <c r="Y29" i="5"/>
  <c r="E94" i="5"/>
  <c r="O42" i="5"/>
  <c r="O43" i="5" s="1"/>
  <c r="AP43" i="5" s="1"/>
  <c r="CN40" i="5"/>
  <c r="BU90" i="5"/>
  <c r="BS73" i="5"/>
  <c r="CE55" i="5"/>
  <c r="Z42" i="5"/>
  <c r="BR80" i="5"/>
  <c r="CY27" i="5"/>
  <c r="BK88" i="5"/>
  <c r="AB48" i="5"/>
  <c r="E86" i="5"/>
  <c r="CY14" i="5"/>
  <c r="BY72" i="5"/>
  <c r="CY50" i="5"/>
  <c r="CY64" i="5"/>
  <c r="CM72" i="5"/>
  <c r="O19" i="5"/>
  <c r="AB19" i="5" s="1"/>
  <c r="AA13" i="5"/>
  <c r="AY86" i="5"/>
  <c r="S84" i="5"/>
  <c r="AJ84" i="5" s="1"/>
  <c r="P14" i="5"/>
  <c r="AB17" i="5"/>
  <c r="Z23" i="5"/>
  <c r="BE21" i="5"/>
  <c r="CL77" i="5"/>
  <c r="N70" i="5"/>
  <c r="CF90" i="5"/>
  <c r="CB84" i="5"/>
  <c r="CP33" i="5"/>
  <c r="CQ33" i="5" s="1"/>
  <c r="CD60" i="5"/>
  <c r="J21" i="5"/>
  <c r="BD92" i="5"/>
  <c r="BI92" i="5" s="1"/>
  <c r="BD80" i="5"/>
  <c r="BI80" i="5" s="1"/>
  <c r="M67" i="5"/>
  <c r="Z67" i="5" s="1"/>
  <c r="T72" i="5"/>
  <c r="AK72" i="5" s="1"/>
  <c r="BZ11" i="5"/>
  <c r="BJ29" i="5"/>
  <c r="CO20" i="5"/>
  <c r="CT20" i="5" s="1"/>
  <c r="AB14" i="5"/>
  <c r="P11" i="5"/>
  <c r="BJ22" i="5"/>
  <c r="K38" i="5"/>
  <c r="J15" i="5"/>
  <c r="BI13" i="5"/>
  <c r="BW26" i="5"/>
  <c r="CJ71" i="5"/>
  <c r="CN71" i="5" s="1"/>
  <c r="CE95" i="5"/>
  <c r="BP49" i="5"/>
  <c r="R60" i="5"/>
  <c r="AI60" i="5" s="1"/>
  <c r="BS85" i="5"/>
  <c r="CE60" i="5"/>
  <c r="CC64" i="5"/>
  <c r="CG64" i="5" s="1"/>
  <c r="BQ77" i="5"/>
  <c r="CR83" i="5"/>
  <c r="CD72" i="5"/>
  <c r="CJ75" i="5"/>
  <c r="CN75" i="5" s="1"/>
  <c r="CD66" i="5"/>
  <c r="BR69" i="5"/>
  <c r="CR82" i="5"/>
  <c r="BR88" i="5"/>
  <c r="BT95" i="5"/>
  <c r="E62" i="5"/>
  <c r="BH16" i="5"/>
  <c r="AG76" i="5"/>
  <c r="BY66" i="5"/>
  <c r="BK20" i="5"/>
  <c r="BT43" i="5"/>
  <c r="CN53" i="5"/>
  <c r="CP63" i="5"/>
  <c r="CQ63" i="5" s="1"/>
  <c r="O75" i="5"/>
  <c r="AB75" i="5" s="1"/>
  <c r="CX21" i="5"/>
  <c r="CY21" i="5" s="1"/>
  <c r="CC26" i="5"/>
  <c r="CG26" i="5" s="1"/>
  <c r="BZ33" i="5"/>
  <c r="BZ24" i="5"/>
  <c r="BT84" i="5"/>
  <c r="BW95" i="5"/>
  <c r="AA74" i="5"/>
  <c r="K96" i="5"/>
  <c r="CY26" i="5"/>
  <c r="BE20" i="5"/>
  <c r="T21" i="5"/>
  <c r="AK21" i="5" s="1"/>
  <c r="CE90" i="5"/>
  <c r="CA27" i="5"/>
  <c r="S49" i="5"/>
  <c r="AO49" i="5" s="1"/>
  <c r="CF72" i="5"/>
  <c r="BX95" i="5"/>
  <c r="BD41" i="5"/>
  <c r="BK41" i="5" s="1"/>
  <c r="CB49" i="5"/>
  <c r="N54" i="5"/>
  <c r="AA54" i="5" s="1"/>
  <c r="BD82" i="5"/>
  <c r="BK82" i="5" s="1"/>
  <c r="AA88" i="5"/>
  <c r="CF38" i="5"/>
  <c r="BV70" i="5"/>
  <c r="BZ70" i="5" s="1"/>
  <c r="CI84" i="5"/>
  <c r="AG58" i="5"/>
  <c r="CC69" i="5"/>
  <c r="CG69" i="5" s="1"/>
  <c r="AA76" i="5"/>
  <c r="BW77" i="5"/>
  <c r="CT50" i="5"/>
  <c r="N41" i="5"/>
  <c r="AZ85" i="5"/>
  <c r="O81" i="5"/>
  <c r="AB81" i="5" s="1"/>
  <c r="BY84" i="5"/>
  <c r="AF70" i="5"/>
  <c r="AY81" i="5"/>
  <c r="CT46" i="5"/>
  <c r="CN15" i="5"/>
  <c r="AG46" i="5"/>
  <c r="AB46" i="5" s="1"/>
  <c r="Z12" i="5"/>
  <c r="CN12" i="5"/>
  <c r="BR76" i="5"/>
  <c r="CE32" i="5"/>
  <c r="BW38" i="5"/>
  <c r="CS63" i="5"/>
  <c r="CT63" i="5" s="1"/>
  <c r="CT33" i="5"/>
  <c r="N69" i="5"/>
  <c r="BW90" i="5"/>
  <c r="CA77" i="5"/>
  <c r="BZ88" i="5"/>
  <c r="CL72" i="5"/>
  <c r="CS75" i="5"/>
  <c r="BB14" i="5"/>
  <c r="BB15" i="5" s="1"/>
  <c r="AW31" i="5"/>
  <c r="BD85" i="5"/>
  <c r="BK85" i="5" s="1"/>
  <c r="T95" i="5"/>
  <c r="AK95" i="5" s="1"/>
  <c r="U19" i="5"/>
  <c r="BS14" i="5"/>
  <c r="CL38" i="5"/>
  <c r="CI77" i="5"/>
  <c r="BV40" i="5"/>
  <c r="BZ40" i="5" s="1"/>
  <c r="CJ69" i="5"/>
  <c r="CN69" i="5" s="1"/>
  <c r="G55" i="5"/>
  <c r="I55" i="5" s="1"/>
  <c r="BE29" i="5"/>
  <c r="BD53" i="5"/>
  <c r="BK53" i="5" s="1"/>
  <c r="CY20" i="5"/>
  <c r="AA46" i="5"/>
  <c r="BB20" i="5"/>
  <c r="BB21" i="5" s="1"/>
  <c r="AL31" i="5"/>
  <c r="CL26" i="5"/>
  <c r="CR26" i="5" s="1"/>
  <c r="AQ19" i="5"/>
  <c r="BL60" i="5"/>
  <c r="CK38" i="5"/>
  <c r="R72" i="5"/>
  <c r="AI72" i="5" s="1"/>
  <c r="N63" i="5"/>
  <c r="CR39" i="5"/>
  <c r="BK69" i="5"/>
  <c r="BI69" i="5"/>
  <c r="BB28" i="5"/>
  <c r="BE28" i="5"/>
  <c r="CG41" i="5"/>
  <c r="AZ47" i="5"/>
  <c r="BP95" i="5"/>
  <c r="CK66" i="5"/>
  <c r="AE48" i="5"/>
  <c r="Z48" i="5" s="1"/>
  <c r="CO57" i="5"/>
  <c r="CT57" i="5" s="1"/>
  <c r="BW66" i="5"/>
  <c r="BL66" i="5"/>
  <c r="CS94" i="5"/>
  <c r="BD56" i="5"/>
  <c r="CA72" i="5"/>
  <c r="BL90" i="5"/>
  <c r="CT48" i="5"/>
  <c r="M20" i="5"/>
  <c r="Z20" i="5" s="1"/>
  <c r="CP20" i="5"/>
  <c r="CQ20" i="5" s="1"/>
  <c r="D81" i="5"/>
  <c r="E81" i="5" s="1"/>
  <c r="E88" i="5"/>
  <c r="BD40" i="5"/>
  <c r="BK40" i="5" s="1"/>
  <c r="F24" i="5"/>
  <c r="E29" i="5"/>
  <c r="CY53" i="5"/>
  <c r="CY67" i="5"/>
  <c r="E92" i="5"/>
  <c r="CQ68" i="5"/>
  <c r="CM66" i="5"/>
  <c r="S60" i="5"/>
  <c r="AO60" i="5" s="1"/>
  <c r="N28" i="5"/>
  <c r="N32" i="5" s="1"/>
  <c r="Z47" i="5"/>
  <c r="AG47" i="5"/>
  <c r="AG40" i="5"/>
  <c r="AB40" i="5" s="1"/>
  <c r="U20" i="5"/>
  <c r="AW19" i="5"/>
  <c r="BZ20" i="5"/>
  <c r="Z28" i="5"/>
  <c r="CR33" i="5"/>
  <c r="BR45" i="5"/>
  <c r="CS68" i="5"/>
  <c r="CS76" i="5"/>
  <c r="CO83" i="5"/>
  <c r="CT83" i="5" s="1"/>
  <c r="BM72" i="5"/>
  <c r="CS74" i="5"/>
  <c r="CJ87" i="5"/>
  <c r="CN87" i="5" s="1"/>
  <c r="BP90" i="5"/>
  <c r="CJ88" i="5"/>
  <c r="CN88" i="5" s="1"/>
  <c r="AG85" i="5"/>
  <c r="BV86" i="5"/>
  <c r="BZ86" i="5" s="1"/>
  <c r="Y14" i="5"/>
  <c r="BD39" i="5"/>
  <c r="BK39" i="5" s="1"/>
  <c r="BH24" i="5"/>
  <c r="CO30" i="5"/>
  <c r="CT30" i="5" s="1"/>
  <c r="CR31" i="5"/>
  <c r="CE15" i="5"/>
  <c r="CO15" i="5" s="1"/>
  <c r="N89" i="5"/>
  <c r="AA89" i="5" s="1"/>
  <c r="E65" i="5"/>
  <c r="AY89" i="5"/>
  <c r="CF32" i="5"/>
  <c r="BE24" i="5"/>
  <c r="AW20" i="5"/>
  <c r="BJ18" i="5"/>
  <c r="AE13" i="5"/>
  <c r="CG23" i="5"/>
  <c r="BP38" i="5"/>
  <c r="BR33" i="5"/>
  <c r="CK90" i="5"/>
  <c r="CE38" i="5"/>
  <c r="CK60" i="5"/>
  <c r="CC32" i="5"/>
  <c r="CO47" i="5"/>
  <c r="BS92" i="5"/>
  <c r="BX66" i="5"/>
  <c r="CE72" i="5"/>
  <c r="BX90" i="5"/>
  <c r="N81" i="5"/>
  <c r="AA81" i="5" s="1"/>
  <c r="CF84" i="5"/>
  <c r="BU95" i="5"/>
  <c r="BP77" i="5"/>
  <c r="CH49" i="5"/>
  <c r="BD91" i="5"/>
  <c r="BQ72" i="5"/>
  <c r="M39" i="5"/>
  <c r="Z39" i="5" s="1"/>
  <c r="CO82" i="5"/>
  <c r="AA20" i="5"/>
  <c r="K21" i="5"/>
  <c r="AX68" i="5"/>
  <c r="CA38" i="5"/>
  <c r="CO29" i="5"/>
  <c r="CT29" i="5" s="1"/>
  <c r="AE54" i="5"/>
  <c r="CK49" i="5"/>
  <c r="BO90" i="5"/>
  <c r="CA66" i="5"/>
  <c r="BV87" i="5"/>
  <c r="BZ87" i="5" s="1"/>
  <c r="AZ59" i="5"/>
  <c r="AX64" i="5"/>
  <c r="CS52" i="5"/>
  <c r="CS93" i="5"/>
  <c r="BW84" i="5"/>
  <c r="AG71" i="5"/>
  <c r="AW17" i="5"/>
  <c r="AH21" i="5"/>
  <c r="D54" i="5"/>
  <c r="E54" i="5" s="1"/>
  <c r="BU84" i="5"/>
  <c r="BM90" i="5"/>
  <c r="J38" i="5"/>
  <c r="E89" i="5"/>
  <c r="M87" i="5"/>
  <c r="BK19" i="5"/>
  <c r="S66" i="5"/>
  <c r="AJ66" i="5" s="1"/>
  <c r="D33" i="5"/>
  <c r="E33" i="5" s="1"/>
  <c r="AE92" i="5"/>
  <c r="BH18" i="5"/>
  <c r="BI19" i="5"/>
  <c r="AG51" i="5"/>
  <c r="M13" i="5"/>
  <c r="AL16" i="5"/>
  <c r="CK26" i="5"/>
  <c r="CK27" i="5" s="1"/>
  <c r="BM32" i="5"/>
  <c r="AX93" i="5"/>
  <c r="CR73" i="5"/>
  <c r="AZ68" i="5"/>
  <c r="AZ65" i="5"/>
  <c r="O73" i="5"/>
  <c r="BJ20" i="5"/>
  <c r="CM38" i="5"/>
  <c r="O51" i="5"/>
  <c r="AZ51" i="5"/>
  <c r="AZ46" i="5"/>
  <c r="BB24" i="5"/>
  <c r="Z19" i="5"/>
  <c r="BY43" i="5"/>
  <c r="AA50" i="5"/>
  <c r="BM43" i="5"/>
  <c r="BD50" i="5"/>
  <c r="BK50" i="5" s="1"/>
  <c r="AY52" i="5"/>
  <c r="CC86" i="5"/>
  <c r="CG86" i="5" s="1"/>
  <c r="BS52" i="5"/>
  <c r="BD67" i="5"/>
  <c r="BK67" i="5" s="1"/>
  <c r="CJ70" i="5"/>
  <c r="CN70" i="5" s="1"/>
  <c r="BS75" i="5"/>
  <c r="AX81" i="5"/>
  <c r="BD74" i="5"/>
  <c r="BK74" i="5" s="1"/>
  <c r="BR85" i="5"/>
  <c r="CJ94" i="5"/>
  <c r="CN94" i="5" s="1"/>
  <c r="BR91" i="5"/>
  <c r="E70" i="5"/>
  <c r="CB38" i="5"/>
  <c r="BA12" i="5"/>
  <c r="BJ12" i="5" s="1"/>
  <c r="CQ57" i="5"/>
  <c r="R49" i="5"/>
  <c r="AI49" i="5" s="1"/>
  <c r="M56" i="5"/>
  <c r="Z56" i="5" s="1"/>
  <c r="BW49" i="5"/>
  <c r="BD64" i="5"/>
  <c r="CI72" i="5"/>
  <c r="BJ11" i="5"/>
  <c r="E47" i="5"/>
  <c r="M93" i="5"/>
  <c r="T60" i="5"/>
  <c r="AK60" i="5" s="1"/>
  <c r="CR50" i="5"/>
  <c r="CL55" i="5"/>
  <c r="CP23" i="5"/>
  <c r="CQ23" i="5" s="1"/>
  <c r="BB11" i="5"/>
  <c r="CN29" i="5"/>
  <c r="CP29" i="5"/>
  <c r="CQ29" i="5" s="1"/>
  <c r="I95" i="5"/>
  <c r="CN63" i="5"/>
  <c r="AQ31" i="5"/>
  <c r="CS34" i="5"/>
  <c r="AL28" i="5"/>
  <c r="CD27" i="5"/>
  <c r="AX50" i="5"/>
  <c r="CG53" i="5"/>
  <c r="BX60" i="5"/>
  <c r="CC58" i="5"/>
  <c r="CG58" i="5" s="1"/>
  <c r="CA95" i="5"/>
  <c r="BW43" i="5"/>
  <c r="CC46" i="5"/>
  <c r="CG46" i="5" s="1"/>
  <c r="BX77" i="5"/>
  <c r="CC81" i="5"/>
  <c r="CG81" i="5" s="1"/>
  <c r="BV50" i="5"/>
  <c r="BZ50" i="5" s="1"/>
  <c r="CQ59" i="5"/>
  <c r="BL49" i="5"/>
  <c r="CM55" i="5"/>
  <c r="CC52" i="5"/>
  <c r="CG52" i="5" s="1"/>
  <c r="BZ59" i="5"/>
  <c r="N82" i="5"/>
  <c r="AA82" i="5" s="1"/>
  <c r="CC83" i="5"/>
  <c r="CG83" i="5" s="1"/>
  <c r="BR89" i="5"/>
  <c r="AG65" i="5"/>
  <c r="AB65" i="5" s="1"/>
  <c r="BV81" i="5"/>
  <c r="BZ81" i="5" s="1"/>
  <c r="BU77" i="5"/>
  <c r="CB90" i="5"/>
  <c r="CS88" i="5"/>
  <c r="CT88" i="5" s="1"/>
  <c r="N86" i="5"/>
  <c r="AA86" i="5" s="1"/>
  <c r="BV73" i="5"/>
  <c r="BZ73" i="5" s="1"/>
  <c r="BU72" i="5"/>
  <c r="BE19" i="5"/>
  <c r="BJ19" i="5"/>
  <c r="BB19" i="5"/>
  <c r="BS26" i="5"/>
  <c r="BQ27" i="5"/>
  <c r="CP19" i="5"/>
  <c r="CQ19" i="5" s="1"/>
  <c r="CG19" i="5"/>
  <c r="CS42" i="5"/>
  <c r="CT42" i="5" s="1"/>
  <c r="CN42" i="5"/>
  <c r="CR58" i="5"/>
  <c r="CQ58" i="5"/>
  <c r="CG73" i="5"/>
  <c r="CN64" i="5"/>
  <c r="BP72" i="5"/>
  <c r="BK11" i="5"/>
  <c r="BE11" i="5"/>
  <c r="BI11" i="5"/>
  <c r="BI62" i="5"/>
  <c r="BK62" i="5"/>
  <c r="CR75" i="5"/>
  <c r="BN72" i="5"/>
  <c r="CO75" i="5"/>
  <c r="N62" i="5"/>
  <c r="AA62" i="5" s="1"/>
  <c r="M50" i="5"/>
  <c r="BN38" i="5"/>
  <c r="O68" i="5"/>
  <c r="CO73" i="5"/>
  <c r="CE77" i="5"/>
  <c r="CO76" i="5"/>
  <c r="CN82" i="5"/>
  <c r="CQ87" i="5"/>
  <c r="AF83" i="5"/>
  <c r="AY83" i="5"/>
  <c r="AF91" i="5"/>
  <c r="AY91" i="5"/>
  <c r="CC59" i="5"/>
  <c r="CG59" i="5" s="1"/>
  <c r="N71" i="5"/>
  <c r="AG89" i="5"/>
  <c r="AZ89" i="5"/>
  <c r="M92" i="5"/>
  <c r="O86" i="5"/>
  <c r="BI86" i="5"/>
  <c r="T90" i="5"/>
  <c r="AK90" i="5" s="1"/>
  <c r="BS87" i="5"/>
  <c r="CN46" i="5"/>
  <c r="CF95" i="5"/>
  <c r="CP92" i="5"/>
  <c r="CQ92" i="5" s="1"/>
  <c r="T15" i="5"/>
  <c r="AK15" i="5" s="1"/>
  <c r="E42" i="5"/>
  <c r="BV93" i="5"/>
  <c r="BZ93" i="5" s="1"/>
  <c r="CM77" i="5"/>
  <c r="CQ80" i="5"/>
  <c r="AZ71" i="5"/>
  <c r="AW29" i="5"/>
  <c r="BN49" i="5"/>
  <c r="CG30" i="5"/>
  <c r="BL27" i="5"/>
  <c r="AW33" i="5"/>
  <c r="AL11" i="5"/>
  <c r="AZ11" i="5"/>
  <c r="AV17" i="5"/>
  <c r="AD17" i="5"/>
  <c r="Y17" i="5" s="1"/>
  <c r="M46" i="5"/>
  <c r="Z46" i="5" s="1"/>
  <c r="BV51" i="5"/>
  <c r="BZ51" i="5" s="1"/>
  <c r="BT55" i="5"/>
  <c r="CD77" i="5"/>
  <c r="BD22" i="5"/>
  <c r="BD34" i="5"/>
  <c r="N47" i="5"/>
  <c r="AE51" i="5"/>
  <c r="AX51" i="5"/>
  <c r="BX55" i="5"/>
  <c r="CO52" i="5"/>
  <c r="BU66" i="5"/>
  <c r="O71" i="5"/>
  <c r="CD84" i="5"/>
  <c r="BZ34" i="5"/>
  <c r="BV38" i="5"/>
  <c r="CO41" i="5"/>
  <c r="CE43" i="5"/>
  <c r="CO43" i="5" s="1"/>
  <c r="BO49" i="5"/>
  <c r="BS49" i="5" s="1"/>
  <c r="O47" i="5"/>
  <c r="T49" i="5"/>
  <c r="AK49" i="5" s="1"/>
  <c r="BO55" i="5"/>
  <c r="BS55" i="5" s="1"/>
  <c r="BS51" i="5"/>
  <c r="CR52" i="5"/>
  <c r="BD54" i="5"/>
  <c r="BI54" i="5" s="1"/>
  <c r="BG55" i="5"/>
  <c r="BR65" i="5"/>
  <c r="CH26" i="5"/>
  <c r="CH27" i="5" s="1"/>
  <c r="BF26" i="5"/>
  <c r="BF27" i="5" s="1"/>
  <c r="BA25" i="5"/>
  <c r="M31" i="5"/>
  <c r="Z31" i="5" s="1"/>
  <c r="R32" i="5"/>
  <c r="AI32" i="5" s="1"/>
  <c r="N40" i="5"/>
  <c r="S43" i="5"/>
  <c r="AO43" i="5" s="1"/>
  <c r="AG41" i="5"/>
  <c r="AB41" i="5" s="1"/>
  <c r="BS46" i="5"/>
  <c r="AX57" i="5"/>
  <c r="AE57" i="5"/>
  <c r="M57" i="5"/>
  <c r="CP76" i="5"/>
  <c r="CQ76" i="5" s="1"/>
  <c r="O92" i="5"/>
  <c r="CJ54" i="5"/>
  <c r="CN54" i="5" s="1"/>
  <c r="CC57" i="5"/>
  <c r="CG57" i="5" s="1"/>
  <c r="CB60" i="5"/>
  <c r="CK72" i="5"/>
  <c r="CA84" i="5"/>
  <c r="CC80" i="5"/>
  <c r="CG80" i="5" s="1"/>
  <c r="BO66" i="5"/>
  <c r="BS63" i="5"/>
  <c r="AX74" i="5"/>
  <c r="R84" i="5"/>
  <c r="N83" i="5"/>
  <c r="CS85" i="5"/>
  <c r="CM90" i="5"/>
  <c r="CS87" i="5"/>
  <c r="BM95" i="5"/>
  <c r="BK13" i="5"/>
  <c r="BQ84" i="5"/>
  <c r="BR34" i="5"/>
  <c r="AY93" i="5"/>
  <c r="AF93" i="5"/>
  <c r="CL21" i="5"/>
  <c r="G32" i="5"/>
  <c r="I32" i="5" s="1"/>
  <c r="AE14" i="5"/>
  <c r="M14" i="5"/>
  <c r="BP32" i="5"/>
  <c r="BR31" i="5"/>
  <c r="CC88" i="5"/>
  <c r="CG88" i="5" s="1"/>
  <c r="CA90" i="5"/>
  <c r="L33" i="5"/>
  <c r="P33" i="5" s="1"/>
  <c r="U33" i="5"/>
  <c r="AG45" i="5"/>
  <c r="AZ45" i="5"/>
  <c r="R38" i="5"/>
  <c r="AX91" i="5"/>
  <c r="CR87" i="5"/>
  <c r="CL90" i="5"/>
  <c r="BD68" i="5"/>
  <c r="BD18" i="5"/>
  <c r="CY18" i="5"/>
  <c r="AG18" i="5"/>
  <c r="CP14" i="5"/>
  <c r="CQ14" i="5" s="1"/>
  <c r="CS14" i="5"/>
  <c r="CT14" i="5" s="1"/>
  <c r="BZ14" i="5"/>
  <c r="BY15" i="5"/>
  <c r="BZ15" i="5" s="1"/>
  <c r="CP18" i="5"/>
  <c r="CQ18" i="5" s="1"/>
  <c r="CF21" i="5"/>
  <c r="S38" i="5"/>
  <c r="AO38" i="5" s="1"/>
  <c r="O74" i="5"/>
  <c r="AB74" i="5" s="1"/>
  <c r="AE76" i="5"/>
  <c r="AX76" i="5"/>
  <c r="AX24" i="5"/>
  <c r="AE24" i="5"/>
  <c r="BR51" i="5"/>
  <c r="BN55" i="5"/>
  <c r="AG24" i="5"/>
  <c r="AZ24" i="5"/>
  <c r="AQ24" i="5"/>
  <c r="AX29" i="5"/>
  <c r="M29" i="5"/>
  <c r="CL49" i="5"/>
  <c r="CQ46" i="5"/>
  <c r="AZ64" i="5"/>
  <c r="AG64" i="5"/>
  <c r="O64" i="5"/>
  <c r="BY77" i="5"/>
  <c r="CS73" i="5"/>
  <c r="BU55" i="5"/>
  <c r="BI73" i="5"/>
  <c r="CC92" i="5"/>
  <c r="CG92" i="5" s="1"/>
  <c r="BI88" i="5"/>
  <c r="BO77" i="5"/>
  <c r="T32" i="5"/>
  <c r="BP55" i="5"/>
  <c r="AE29" i="5"/>
  <c r="BK14" i="5"/>
  <c r="BD15" i="5"/>
  <c r="BI14" i="5"/>
  <c r="BT38" i="5"/>
  <c r="CI55" i="5"/>
  <c r="BL72" i="5"/>
  <c r="CR91" i="5"/>
  <c r="CL95" i="5"/>
  <c r="BI29" i="5"/>
  <c r="CB26" i="5"/>
  <c r="CB27" i="5" s="1"/>
  <c r="CQ91" i="5"/>
  <c r="O59" i="5"/>
  <c r="AY64" i="5"/>
  <c r="AF64" i="5"/>
  <c r="M74" i="5"/>
  <c r="R77" i="5"/>
  <c r="AI77" i="5" s="1"/>
  <c r="BV91" i="5"/>
  <c r="BZ91" i="5" s="1"/>
  <c r="AG92" i="5"/>
  <c r="BQ32" i="5"/>
  <c r="BH28" i="5"/>
  <c r="BJ28" i="5"/>
  <c r="Y24" i="5"/>
  <c r="F73" i="5"/>
  <c r="D73" i="5"/>
  <c r="CX49" i="5"/>
  <c r="CY49" i="5" s="1"/>
  <c r="BD48" i="5"/>
  <c r="BP26" i="5"/>
  <c r="BR22" i="5"/>
  <c r="U30" i="5"/>
  <c r="L30" i="5"/>
  <c r="Y30" i="5" s="1"/>
  <c r="BU49" i="5"/>
  <c r="BV45" i="5"/>
  <c r="AG73" i="5"/>
  <c r="AZ73" i="5"/>
  <c r="AF51" i="5"/>
  <c r="AY51" i="5"/>
  <c r="N51" i="5"/>
  <c r="CH60" i="5"/>
  <c r="CJ56" i="5"/>
  <c r="CN56" i="5" s="1"/>
  <c r="M86" i="5"/>
  <c r="R90" i="5"/>
  <c r="BM84" i="5"/>
  <c r="I60" i="5"/>
  <c r="D58" i="5"/>
  <c r="D60" i="5" s="1"/>
  <c r="H60" i="5" s="1"/>
  <c r="CY30" i="5"/>
  <c r="BA30" i="5"/>
  <c r="AG59" i="5"/>
  <c r="CA55" i="5"/>
  <c r="CA43" i="5"/>
  <c r="X13" i="5"/>
  <c r="X14" i="5"/>
  <c r="X15" i="5" s="1"/>
  <c r="O13" i="5"/>
  <c r="AB13" i="5" s="1"/>
  <c r="U13" i="5"/>
  <c r="BN32" i="5"/>
  <c r="BR30" i="5"/>
  <c r="AY41" i="5"/>
  <c r="AF41" i="5"/>
  <c r="CI49" i="5"/>
  <c r="CJ47" i="5"/>
  <c r="CN47" i="5" s="1"/>
  <c r="CO62" i="5"/>
  <c r="CE66" i="5"/>
  <c r="AX70" i="5"/>
  <c r="AE70" i="5"/>
  <c r="Z70" i="5" s="1"/>
  <c r="AF80" i="5"/>
  <c r="AY80" i="5"/>
  <c r="AY56" i="5"/>
  <c r="AF56" i="5"/>
  <c r="AA56" i="5" s="1"/>
  <c r="BR74" i="5"/>
  <c r="BN77" i="5"/>
  <c r="CA60" i="5"/>
  <c r="CY48" i="5"/>
  <c r="BA23" i="5"/>
  <c r="CY23" i="5"/>
  <c r="D24" i="5"/>
  <c r="CL84" i="5"/>
  <c r="BL38" i="5"/>
  <c r="N93" i="5"/>
  <c r="S95" i="5"/>
  <c r="AO95" i="5" s="1"/>
  <c r="CR93" i="5"/>
  <c r="CN50" i="5"/>
  <c r="BK73" i="5"/>
  <c r="O88" i="5"/>
  <c r="CP73" i="5"/>
  <c r="CQ73" i="5" s="1"/>
  <c r="O45" i="5"/>
  <c r="BK45" i="5"/>
  <c r="CQ31" i="5"/>
  <c r="N45" i="5"/>
  <c r="AA45" i="5" s="1"/>
  <c r="AG25" i="5"/>
  <c r="AB25" i="5" s="1"/>
  <c r="U29" i="5"/>
  <c r="G78" i="5"/>
  <c r="T84" i="5"/>
  <c r="AK84" i="5" s="1"/>
  <c r="CE84" i="5"/>
  <c r="AE50" i="5"/>
  <c r="BY38" i="5"/>
  <c r="CO34" i="5"/>
  <c r="S72" i="5"/>
  <c r="AJ72" i="5" s="1"/>
  <c r="AX20" i="5"/>
  <c r="AZ25" i="5"/>
  <c r="CC67" i="5"/>
  <c r="CG67" i="5" s="1"/>
  <c r="BK29" i="5"/>
  <c r="CM43" i="5"/>
  <c r="BK28" i="5"/>
  <c r="BI28" i="5"/>
  <c r="CD90" i="5"/>
  <c r="CC62" i="5"/>
  <c r="CB66" i="5"/>
  <c r="BZ64" i="5"/>
  <c r="AX82" i="5"/>
  <c r="AE82" i="5"/>
  <c r="M82" i="5"/>
  <c r="CQ83" i="5"/>
  <c r="CS91" i="5"/>
  <c r="CT91" i="5" s="1"/>
  <c r="CM95" i="5"/>
  <c r="O76" i="5"/>
  <c r="BV89" i="5"/>
  <c r="BZ89" i="5" s="1"/>
  <c r="CI60" i="5"/>
  <c r="BV62" i="5"/>
  <c r="BV66" i="5" s="1"/>
  <c r="BM66" i="5"/>
  <c r="CJ68" i="5"/>
  <c r="CN68" i="5" s="1"/>
  <c r="CG18" i="5"/>
  <c r="AX14" i="5"/>
  <c r="BR12" i="5"/>
  <c r="BP15" i="5"/>
  <c r="BR15" i="5" s="1"/>
  <c r="AD25" i="5"/>
  <c r="AW25" i="5"/>
  <c r="AQ25" i="5"/>
  <c r="L25" i="5"/>
  <c r="BR23" i="5"/>
  <c r="BN26" i="5"/>
  <c r="BN27" i="5" s="1"/>
  <c r="T38" i="5"/>
  <c r="BS91" i="5"/>
  <c r="BO95" i="5"/>
  <c r="O54" i="5"/>
  <c r="CJ62" i="5"/>
  <c r="CH66" i="5"/>
  <c r="AY71" i="5"/>
  <c r="AF71" i="5"/>
  <c r="BS67" i="5"/>
  <c r="BO72" i="5"/>
  <c r="AE86" i="5"/>
  <c r="AX86" i="5"/>
  <c r="M34" i="5"/>
  <c r="Z34" i="5" s="1"/>
  <c r="O30" i="5"/>
  <c r="AB30" i="5" s="1"/>
  <c r="AX33" i="5"/>
  <c r="AE33" i="5"/>
  <c r="M33" i="5"/>
  <c r="CS82" i="5"/>
  <c r="CM84" i="5"/>
  <c r="CN18" i="5"/>
  <c r="CJ21" i="5"/>
  <c r="CJ27" i="5" s="1"/>
  <c r="BV48" i="5"/>
  <c r="BZ48" i="5" s="1"/>
  <c r="BT49" i="5"/>
  <c r="BQ60" i="5"/>
  <c r="BQ61" i="5" s="1"/>
  <c r="BS56" i="5"/>
  <c r="AZ86" i="5"/>
  <c r="AG86" i="5"/>
  <c r="AW30" i="5"/>
  <c r="AQ30" i="5"/>
  <c r="BS33" i="5"/>
  <c r="BO38" i="5"/>
  <c r="CC45" i="5"/>
  <c r="CG45" i="5" s="1"/>
  <c r="CA49" i="5"/>
  <c r="CO51" i="5"/>
  <c r="CR51" i="5"/>
  <c r="AZ67" i="5"/>
  <c r="BV69" i="5"/>
  <c r="BZ69" i="5" s="1"/>
  <c r="BT72" i="5"/>
  <c r="AZ40" i="5"/>
  <c r="CR57" i="5"/>
  <c r="CL60" i="5"/>
  <c r="K15" i="5"/>
  <c r="CY85" i="5"/>
  <c r="D23" i="5"/>
  <c r="E23" i="5" s="1"/>
  <c r="O89" i="5"/>
  <c r="CH90" i="5"/>
  <c r="N80" i="5"/>
  <c r="CM60" i="5"/>
  <c r="CE49" i="5"/>
  <c r="S55" i="5"/>
  <c r="T77" i="5"/>
  <c r="AK77" i="5" s="1"/>
  <c r="CR46" i="5"/>
  <c r="O24" i="5"/>
  <c r="AY12" i="5"/>
  <c r="AF12" i="5"/>
  <c r="N12" i="5"/>
  <c r="CG13" i="5"/>
  <c r="CF15" i="5"/>
  <c r="CG15" i="5" s="1"/>
  <c r="AV16" i="5"/>
  <c r="AG16" i="5"/>
  <c r="AB16" i="5" s="1"/>
  <c r="AW18" i="5"/>
  <c r="AD18" i="5"/>
  <c r="AQ18" i="5"/>
  <c r="L18" i="5"/>
  <c r="AF22" i="5"/>
  <c r="AY22" i="5"/>
  <c r="N22" i="5"/>
  <c r="CM26" i="5"/>
  <c r="CS24" i="5"/>
  <c r="CT24" i="5" s="1"/>
  <c r="AF34" i="5"/>
  <c r="AY34" i="5"/>
  <c r="N34" i="5"/>
  <c r="AF40" i="5"/>
  <c r="AY40" i="5"/>
  <c r="AF47" i="5"/>
  <c r="AY47" i="5"/>
  <c r="M51" i="5"/>
  <c r="R55" i="5"/>
  <c r="CP52" i="5"/>
  <c r="CQ52" i="5" s="1"/>
  <c r="CF55" i="5"/>
  <c r="CH72" i="5"/>
  <c r="CP71" i="5"/>
  <c r="CQ71" i="5" s="1"/>
  <c r="CS71" i="5"/>
  <c r="CT71" i="5" s="1"/>
  <c r="N75" i="5"/>
  <c r="AA75" i="5" s="1"/>
  <c r="S77" i="5"/>
  <c r="AO77" i="5" s="1"/>
  <c r="AZ18" i="5"/>
  <c r="O18" i="5"/>
  <c r="L22" i="5"/>
  <c r="BH22" i="5"/>
  <c r="V22" i="5"/>
  <c r="AH26" i="5"/>
  <c r="AW23" i="5"/>
  <c r="AD23" i="5"/>
  <c r="BY32" i="5"/>
  <c r="CP28" i="5"/>
  <c r="CQ28" i="5" s="1"/>
  <c r="CM32" i="5"/>
  <c r="CI38" i="5"/>
  <c r="CI44" i="5" s="1"/>
  <c r="M83" i="5"/>
  <c r="AG93" i="5"/>
  <c r="AB93" i="5" s="1"/>
  <c r="AZ93" i="5"/>
  <c r="BX38" i="5"/>
  <c r="M40" i="5"/>
  <c r="Z40" i="5" s="1"/>
  <c r="R43" i="5"/>
  <c r="AI43" i="5" s="1"/>
  <c r="CR42" i="5"/>
  <c r="CQ42" i="5"/>
  <c r="CL43" i="5"/>
  <c r="AY62" i="5"/>
  <c r="CS64" i="5"/>
  <c r="CT64" i="5" s="1"/>
  <c r="AF68" i="5"/>
  <c r="N68" i="5"/>
  <c r="CS89" i="5"/>
  <c r="CT89" i="5" s="1"/>
  <c r="CP89" i="5"/>
  <c r="CQ89" i="5" s="1"/>
  <c r="AF23" i="5"/>
  <c r="AA23" i="5" s="1"/>
  <c r="AY23" i="5"/>
  <c r="M25" i="5"/>
  <c r="Z25" i="5" s="1"/>
  <c r="CG40" i="5"/>
  <c r="CF43" i="5"/>
  <c r="BY55" i="5"/>
  <c r="CS51" i="5"/>
  <c r="BT60" i="5"/>
  <c r="BV56" i="5"/>
  <c r="BZ56" i="5" s="1"/>
  <c r="AE63" i="5"/>
  <c r="AX63" i="5"/>
  <c r="M63" i="5"/>
  <c r="BR81" i="5"/>
  <c r="BN84" i="5"/>
  <c r="BQ90" i="5"/>
  <c r="M64" i="5"/>
  <c r="Z64" i="5" s="1"/>
  <c r="R66" i="5"/>
  <c r="AI66" i="5" s="1"/>
  <c r="BD65" i="5"/>
  <c r="BG66" i="5"/>
  <c r="O80" i="5"/>
  <c r="AZ80" i="5"/>
  <c r="AG53" i="5"/>
  <c r="O53" i="5"/>
  <c r="CR54" i="5"/>
  <c r="BM60" i="5"/>
  <c r="BM61" i="5" s="1"/>
  <c r="CR62" i="5"/>
  <c r="CQ62" i="5"/>
  <c r="CL66" i="5"/>
  <c r="CP64" i="5"/>
  <c r="CQ64" i="5" s="1"/>
  <c r="BX72" i="5"/>
  <c r="CO67" i="5"/>
  <c r="AE75" i="5"/>
  <c r="AX75" i="5"/>
  <c r="M75" i="5"/>
  <c r="AE89" i="5"/>
  <c r="AX89" i="5"/>
  <c r="AZ92" i="5"/>
  <c r="BR87" i="5"/>
  <c r="BN90" i="5"/>
  <c r="CJ89" i="5"/>
  <c r="CN89" i="5" s="1"/>
  <c r="AG83" i="5"/>
  <c r="AZ83" i="5"/>
  <c r="CO85" i="5"/>
  <c r="BP43" i="5"/>
  <c r="AA87" i="5"/>
  <c r="BI70" i="5"/>
  <c r="O70" i="5"/>
  <c r="AB70" i="5" s="1"/>
  <c r="BT77" i="5"/>
  <c r="BV74" i="5"/>
  <c r="G49" i="5"/>
  <c r="CY13" i="5"/>
  <c r="BA13" i="5"/>
  <c r="BD87" i="5"/>
  <c r="CX15" i="5"/>
  <c r="CY15" i="5" s="1"/>
  <c r="CH77" i="5"/>
  <c r="CF49" i="5"/>
  <c r="AA25" i="5"/>
  <c r="Y12" i="5"/>
  <c r="BV32" i="5"/>
  <c r="AY28" i="5"/>
  <c r="R26" i="5"/>
  <c r="M24" i="5"/>
  <c r="CS31" i="5"/>
  <c r="CT31" i="5" s="1"/>
  <c r="BO43" i="5"/>
  <c r="BS40" i="5"/>
  <c r="AE58" i="5"/>
  <c r="AZ62" i="5"/>
  <c r="AG62" i="5"/>
  <c r="BZ75" i="5"/>
  <c r="CO87" i="5"/>
  <c r="L20" i="5"/>
  <c r="Y20" i="5" s="1"/>
  <c r="BH20" i="5"/>
  <c r="AV22" i="5"/>
  <c r="AD22" i="5"/>
  <c r="BS25" i="5"/>
  <c r="CH43" i="5"/>
  <c r="CJ39" i="5"/>
  <c r="CK55" i="5"/>
  <c r="BW72" i="5"/>
  <c r="BS94" i="5"/>
  <c r="L31" i="5"/>
  <c r="P31" i="5" s="1"/>
  <c r="BD75" i="5"/>
  <c r="BK75" i="5" s="1"/>
  <c r="CJ81" i="5"/>
  <c r="CN81" i="5" s="1"/>
  <c r="N92" i="5"/>
  <c r="AA92" i="5" s="1"/>
  <c r="CK32" i="5"/>
  <c r="BQ95" i="5"/>
  <c r="CK77" i="5"/>
  <c r="BP84" i="5"/>
  <c r="S90" i="5"/>
  <c r="AO90" i="5" s="1"/>
  <c r="N85" i="5"/>
  <c r="AA85" i="5" s="1"/>
  <c r="CO86" i="5"/>
  <c r="BR59" i="5"/>
  <c r="AY63" i="5"/>
  <c r="AF63" i="5"/>
  <c r="BL77" i="5"/>
  <c r="CO94" i="5"/>
  <c r="O83" i="5"/>
  <c r="BY90" i="5"/>
  <c r="CC87" i="5"/>
  <c r="CG87" i="5" s="1"/>
  <c r="M91" i="5"/>
  <c r="R95" i="5"/>
  <c r="BR93" i="5"/>
  <c r="CR64" i="5"/>
  <c r="AY69" i="5"/>
  <c r="AF69" i="5"/>
  <c r="CG70" i="5"/>
  <c r="CC75" i="5"/>
  <c r="CG75" i="5" s="1"/>
  <c r="BN95" i="5"/>
  <c r="CC91" i="5"/>
  <c r="CC93" i="5"/>
  <c r="CG93" i="5" s="1"/>
  <c r="CO39" i="5"/>
  <c r="CE26" i="5"/>
  <c r="CO26" i="5" s="1"/>
  <c r="BP21" i="5"/>
  <c r="BR21" i="5" s="1"/>
  <c r="E80" i="5"/>
  <c r="CY63" i="5"/>
  <c r="BD63" i="5"/>
  <c r="CY82" i="5"/>
  <c r="D12" i="5"/>
  <c r="E12" i="5" s="1"/>
  <c r="BH19" i="5"/>
  <c r="CR53" i="5"/>
  <c r="CR56" i="5"/>
  <c r="CS41" i="5"/>
  <c r="CS45" i="5"/>
  <c r="CT45" i="5" s="1"/>
  <c r="BY49" i="5"/>
  <c r="CS49" i="5" s="1"/>
  <c r="CO53" i="5"/>
  <c r="CT53" i="5" s="1"/>
  <c r="CO56" i="5"/>
  <c r="N65" i="5"/>
  <c r="BS71" i="5"/>
  <c r="M76" i="5"/>
  <c r="O87" i="5"/>
  <c r="AB87" i="5" s="1"/>
  <c r="CK95" i="5"/>
  <c r="BR39" i="5"/>
  <c r="BN43" i="5"/>
  <c r="CO93" i="5"/>
  <c r="CP25" i="5"/>
  <c r="CQ25" i="5" s="1"/>
  <c r="BZ25" i="5"/>
  <c r="BA33" i="5"/>
  <c r="BH33" i="5" s="1"/>
  <c r="CP41" i="5"/>
  <c r="CQ41" i="5" s="1"/>
  <c r="CJ57" i="5"/>
  <c r="CN57" i="5" s="1"/>
  <c r="CB72" i="5"/>
  <c r="CJ93" i="5"/>
  <c r="CN93" i="5" s="1"/>
  <c r="CD55" i="5"/>
  <c r="O62" i="5"/>
  <c r="BT90" i="5"/>
  <c r="BV85" i="5"/>
  <c r="AY54" i="5"/>
  <c r="CO65" i="5"/>
  <c r="CT65" i="5" s="1"/>
  <c r="BD81" i="5"/>
  <c r="BK81" i="5" s="1"/>
  <c r="AX83" i="5"/>
  <c r="AE83" i="5"/>
  <c r="BR86" i="5"/>
  <c r="BS88" i="5"/>
  <c r="BS58" i="5"/>
  <c r="AE65" i="5"/>
  <c r="AX65" i="5"/>
  <c r="CR67" i="5"/>
  <c r="AZ82" i="5"/>
  <c r="AG82" i="5"/>
  <c r="BS86" i="5"/>
  <c r="BR92" i="5"/>
  <c r="CS25" i="5"/>
  <c r="CT25" i="5" s="1"/>
  <c r="BR71" i="5"/>
  <c r="CI90" i="5"/>
  <c r="CO69" i="5"/>
  <c r="CT69" i="5" s="1"/>
  <c r="Z22" i="5"/>
  <c r="BD89" i="5"/>
  <c r="AZ52" i="5"/>
  <c r="CB95" i="5"/>
  <c r="AV30" i="5"/>
  <c r="CF66" i="5"/>
  <c r="E91" i="5"/>
  <c r="K78" i="5"/>
  <c r="J61" i="5"/>
  <c r="BK46" i="5"/>
  <c r="BI46" i="5"/>
  <c r="CY62" i="5"/>
  <c r="CY68" i="5"/>
  <c r="E74" i="5"/>
  <c r="AB69" i="5"/>
  <c r="Z52" i="5"/>
  <c r="CT23" i="5"/>
  <c r="CO17" i="5"/>
  <c r="CT17" i="5" s="1"/>
  <c r="BX21" i="5"/>
  <c r="CO21" i="5" s="1"/>
  <c r="CG33" i="5"/>
  <c r="CD43" i="5"/>
  <c r="CD44" i="5" s="1"/>
  <c r="AX48" i="5"/>
  <c r="CN76" i="5"/>
  <c r="BM38" i="5"/>
  <c r="AG42" i="5"/>
  <c r="BD47" i="5"/>
  <c r="BK47" i="5" s="1"/>
  <c r="M54" i="5"/>
  <c r="BK30" i="5"/>
  <c r="CH38" i="5"/>
  <c r="BV47" i="5"/>
  <c r="BZ47" i="5" s="1"/>
  <c r="O52" i="5"/>
  <c r="AB52" i="5" s="1"/>
  <c r="CF60" i="5"/>
  <c r="CP56" i="5"/>
  <c r="CQ56" i="5" s="1"/>
  <c r="CP70" i="5"/>
  <c r="CQ70" i="5" s="1"/>
  <c r="CP34" i="5"/>
  <c r="CQ34" i="5" s="1"/>
  <c r="CG34" i="5"/>
  <c r="CK84" i="5"/>
  <c r="AX94" i="5"/>
  <c r="AE94" i="5"/>
  <c r="BP60" i="5"/>
  <c r="BR60" i="5" s="1"/>
  <c r="BD58" i="5"/>
  <c r="BK58" i="5" s="1"/>
  <c r="CG76" i="5"/>
  <c r="BZ71" i="5"/>
  <c r="CJ83" i="5"/>
  <c r="CN83" i="5" s="1"/>
  <c r="CP94" i="5"/>
  <c r="CQ94" i="5" s="1"/>
  <c r="CO58" i="5"/>
  <c r="CT58" i="5" s="1"/>
  <c r="CR74" i="5"/>
  <c r="BL95" i="5"/>
  <c r="CR92" i="5"/>
  <c r="AZ94" i="5"/>
  <c r="AG94" i="5"/>
  <c r="CS86" i="5"/>
  <c r="BV92" i="5"/>
  <c r="BZ92" i="5" s="1"/>
  <c r="CG94" i="5"/>
  <c r="BR94" i="5"/>
  <c r="CJ74" i="5"/>
  <c r="CN74" i="5" s="1"/>
  <c r="BO60" i="5"/>
  <c r="T55" i="5"/>
  <c r="BK52" i="5"/>
  <c r="E87" i="5"/>
  <c r="E46" i="5"/>
  <c r="CY16" i="5"/>
  <c r="BD16" i="5"/>
  <c r="E19" i="5"/>
  <c r="CY81" i="5"/>
  <c r="CY69" i="5"/>
  <c r="E22" i="5"/>
  <c r="L19" i="5"/>
  <c r="Y19" i="5" s="1"/>
  <c r="J32" i="5"/>
  <c r="BT26" i="5"/>
  <c r="BT27" i="5" s="1"/>
  <c r="CB32" i="5"/>
  <c r="BD71" i="5"/>
  <c r="BX84" i="5"/>
  <c r="CD95" i="5"/>
  <c r="U23" i="5"/>
  <c r="BI23" i="5"/>
  <c r="O23" i="5"/>
  <c r="AZ39" i="5"/>
  <c r="AG39" i="5"/>
  <c r="AB39" i="5" s="1"/>
  <c r="CS40" i="5"/>
  <c r="CT40" i="5" s="1"/>
  <c r="N52" i="5"/>
  <c r="AA52" i="5" s="1"/>
  <c r="CC65" i="5"/>
  <c r="CG65" i="5" s="1"/>
  <c r="BH34" i="5"/>
  <c r="U34" i="5"/>
  <c r="BV53" i="5"/>
  <c r="BZ53" i="5" s="1"/>
  <c r="M68" i="5"/>
  <c r="CN24" i="5"/>
  <c r="AE30" i="5"/>
  <c r="M30" i="5"/>
  <c r="AG54" i="5"/>
  <c r="AZ54" i="5"/>
  <c r="CS56" i="5"/>
  <c r="BY60" i="5"/>
  <c r="CP81" i="5"/>
  <c r="CQ81" i="5" s="1"/>
  <c r="AZ88" i="5"/>
  <c r="AG88" i="5"/>
  <c r="CB55" i="5"/>
  <c r="BV54" i="5"/>
  <c r="BZ54" i="5" s="1"/>
  <c r="M59" i="5"/>
  <c r="Z59" i="5" s="1"/>
  <c r="BP66" i="5"/>
  <c r="CC74" i="5"/>
  <c r="CG74" i="5" s="1"/>
  <c r="CB77" i="5"/>
  <c r="CS81" i="5"/>
  <c r="CT81" i="5" s="1"/>
  <c r="BV83" i="5"/>
  <c r="BY95" i="5"/>
  <c r="BL84" i="5"/>
  <c r="CR86" i="5"/>
  <c r="CJ73" i="5"/>
  <c r="CN73" i="5" s="1"/>
  <c r="AZ75" i="5"/>
  <c r="CC82" i="5"/>
  <c r="CG82" i="5" s="1"/>
  <c r="CS92" i="5"/>
  <c r="BV94" i="5"/>
  <c r="BZ94" i="5" s="1"/>
  <c r="M85" i="5"/>
  <c r="Z85" i="5" s="1"/>
  <c r="CP86" i="5"/>
  <c r="CQ86" i="5" s="1"/>
  <c r="CI95" i="5"/>
  <c r="BD94" i="5"/>
  <c r="BG95" i="5"/>
  <c r="BG96" i="5" s="1"/>
  <c r="CR85" i="5"/>
  <c r="AX87" i="5"/>
  <c r="AE87" i="5"/>
  <c r="N91" i="5"/>
  <c r="CO92" i="5"/>
  <c r="BR70" i="5"/>
  <c r="CR68" i="5"/>
  <c r="CN52" i="5"/>
  <c r="CH55" i="5"/>
  <c r="CP85" i="5"/>
  <c r="CQ85" i="5" s="1"/>
  <c r="BO21" i="5"/>
  <c r="BS21" i="5" s="1"/>
  <c r="BZ39" i="5"/>
  <c r="BS15" i="5"/>
  <c r="CG39" i="5"/>
  <c r="AB33" i="5"/>
  <c r="BV27" i="5"/>
  <c r="BK83" i="5"/>
  <c r="N60" i="5"/>
  <c r="AO32" i="5"/>
  <c r="AY32" i="5" s="1"/>
  <c r="Z17" i="5"/>
  <c r="N21" i="5"/>
  <c r="AA16" i="5"/>
  <c r="CG56" i="5"/>
  <c r="Z69" i="5"/>
  <c r="AA33" i="5"/>
  <c r="AO15" i="5"/>
  <c r="AY15" i="5" s="1"/>
  <c r="Z16" i="5"/>
  <c r="Y13" i="5"/>
  <c r="L15" i="5"/>
  <c r="AM15" i="5" s="1"/>
  <c r="AB12" i="5"/>
  <c r="Z62" i="5"/>
  <c r="CC38" i="5"/>
  <c r="AB50" i="5"/>
  <c r="AA42" i="5"/>
  <c r="AH15" i="5"/>
  <c r="AB63" i="5"/>
  <c r="P28" i="5"/>
  <c r="Y28" i="5"/>
  <c r="P17" i="5"/>
  <c r="AK43" i="5"/>
  <c r="BD43" i="5"/>
  <c r="BK42" i="5"/>
  <c r="BI42" i="5"/>
  <c r="BJ31" i="5"/>
  <c r="BB31" i="5"/>
  <c r="BB32" i="5" s="1"/>
  <c r="BA32" i="5"/>
  <c r="BH31" i="5"/>
  <c r="AI15" i="5"/>
  <c r="AJ26" i="5"/>
  <c r="AY26" i="5" s="1"/>
  <c r="P16" i="5"/>
  <c r="BU27" i="5"/>
  <c r="CT22" i="5"/>
  <c r="CY89" i="5"/>
  <c r="CW90" i="5"/>
  <c r="CY90" i="5" s="1"/>
  <c r="D11" i="5"/>
  <c r="E11" i="5" s="1"/>
  <c r="G15" i="5"/>
  <c r="G21" i="5"/>
  <c r="I21" i="5" s="1"/>
  <c r="D17" i="5"/>
  <c r="E17" i="5" s="1"/>
  <c r="D93" i="5"/>
  <c r="E93" i="5" s="1"/>
  <c r="F30" i="5"/>
  <c r="D30" i="5"/>
  <c r="CY22" i="5"/>
  <c r="CX43" i="5"/>
  <c r="CX44" i="5" s="1"/>
  <c r="F28" i="5"/>
  <c r="D28" i="5"/>
  <c r="CY86" i="5"/>
  <c r="G90" i="5"/>
  <c r="CX60" i="5"/>
  <c r="CX61" i="5" s="1"/>
  <c r="D16" i="5"/>
  <c r="E16" i="5" s="1"/>
  <c r="CY70" i="5"/>
  <c r="CX84" i="5"/>
  <c r="CY71" i="5"/>
  <c r="CW72" i="5"/>
  <c r="CY11" i="5"/>
  <c r="G26" i="5"/>
  <c r="I26" i="5" s="1"/>
  <c r="E31" i="5"/>
  <c r="F85" i="5"/>
  <c r="D85" i="5"/>
  <c r="D90" i="5" s="1"/>
  <c r="CX55" i="5"/>
  <c r="CY55" i="5" s="1"/>
  <c r="CY54" i="5"/>
  <c r="CY83" i="5"/>
  <c r="CW84" i="5"/>
  <c r="E82" i="5"/>
  <c r="K61" i="5"/>
  <c r="E68" i="5"/>
  <c r="J78" i="5"/>
  <c r="F25" i="5"/>
  <c r="D25" i="5"/>
  <c r="D13" i="5"/>
  <c r="E13" i="5" s="1"/>
  <c r="CY46" i="5"/>
  <c r="CX72" i="5"/>
  <c r="CX77" i="5"/>
  <c r="CX78" i="5" s="1"/>
  <c r="CX79" i="5" s="1"/>
  <c r="CY34" i="5"/>
  <c r="CY29" i="5"/>
  <c r="CX32" i="5"/>
  <c r="CY32" i="5" s="1"/>
  <c r="CY88" i="5"/>
  <c r="CX38" i="5"/>
  <c r="CY38" i="5" s="1"/>
  <c r="CY80" i="5"/>
  <c r="D69" i="5"/>
  <c r="E69" i="5" s="1"/>
  <c r="I43" i="5"/>
  <c r="CY65" i="5"/>
  <c r="CW66" i="5"/>
  <c r="CY66" i="5" s="1"/>
  <c r="D64" i="5"/>
  <c r="E39" i="5"/>
  <c r="D43" i="5"/>
  <c r="H43" i="5" s="1"/>
  <c r="I84" i="5"/>
  <c r="E57" i="5"/>
  <c r="E45" i="5"/>
  <c r="E56" i="5"/>
  <c r="E59" i="5"/>
  <c r="E67" i="5"/>
  <c r="E63" i="5"/>
  <c r="I72" i="5"/>
  <c r="Q42" i="3" l="1"/>
  <c r="CW42" i="3" s="1"/>
  <c r="BE41" i="3"/>
  <c r="BJ41" i="3"/>
  <c r="Y41" i="3"/>
  <c r="P41" i="3"/>
  <c r="CY41" i="3"/>
  <c r="BH41" i="3"/>
  <c r="AO84" i="5"/>
  <c r="BW61" i="5"/>
  <c r="AB91" i="5"/>
  <c r="CT59" i="5"/>
  <c r="U15" i="5"/>
  <c r="AL26" i="5"/>
  <c r="AA60" i="5"/>
  <c r="AF60" i="5" s="1"/>
  <c r="AT60" i="5" s="1"/>
  <c r="P29" i="5"/>
  <c r="AC11" i="5"/>
  <c r="BI57" i="5"/>
  <c r="BE15" i="5"/>
  <c r="BI31" i="5"/>
  <c r="AB85" i="5"/>
  <c r="K44" i="5"/>
  <c r="CR32" i="5"/>
  <c r="Z93" i="5"/>
  <c r="AC29" i="5"/>
  <c r="CL44" i="5"/>
  <c r="AB82" i="5"/>
  <c r="BS43" i="5"/>
  <c r="AB68" i="5"/>
  <c r="Z88" i="5"/>
  <c r="AJ49" i="5"/>
  <c r="Z65" i="5"/>
  <c r="AA64" i="5"/>
  <c r="BD84" i="5"/>
  <c r="BI84" i="5" s="1"/>
  <c r="CR72" i="5"/>
  <c r="Y25" i="5"/>
  <c r="BS84" i="5"/>
  <c r="Z58" i="5"/>
  <c r="BI85" i="5"/>
  <c r="BI39" i="5"/>
  <c r="CT47" i="5"/>
  <c r="BR77" i="5"/>
  <c r="BD32" i="5"/>
  <c r="BE32" i="5" s="1"/>
  <c r="BE31" i="5"/>
  <c r="CT85" i="5"/>
  <c r="BI82" i="5"/>
  <c r="Z80" i="5"/>
  <c r="AA65" i="5"/>
  <c r="BD60" i="5"/>
  <c r="BD61" i="5" s="1"/>
  <c r="CH96" i="5"/>
  <c r="BK59" i="5"/>
  <c r="BI76" i="5"/>
  <c r="BK80" i="5"/>
  <c r="Z89" i="5"/>
  <c r="AB80" i="5"/>
  <c r="CS55" i="5"/>
  <c r="AB94" i="5"/>
  <c r="BY78" i="5"/>
  <c r="U21" i="5"/>
  <c r="CO95" i="5"/>
  <c r="P34" i="5"/>
  <c r="CT94" i="5"/>
  <c r="BR38" i="5"/>
  <c r="BK76" i="5"/>
  <c r="BK77" i="5" s="1"/>
  <c r="Z81" i="5"/>
  <c r="CP26" i="5"/>
  <c r="CQ26" i="5" s="1"/>
  <c r="CF78" i="5"/>
  <c r="BL44" i="5"/>
  <c r="CT62" i="5"/>
  <c r="CP21" i="5"/>
  <c r="CQ21" i="5" s="1"/>
  <c r="BW27" i="5"/>
  <c r="AC17" i="5"/>
  <c r="BS60" i="5"/>
  <c r="Z94" i="5"/>
  <c r="Y23" i="5"/>
  <c r="AA28" i="5"/>
  <c r="AA32" i="5" s="1"/>
  <c r="AF32" i="5" s="1"/>
  <c r="AT32" i="5" s="1"/>
  <c r="CS21" i="5"/>
  <c r="CT21" i="5" s="1"/>
  <c r="K27" i="5"/>
  <c r="BU96" i="5"/>
  <c r="BU44" i="5"/>
  <c r="AB32" i="5"/>
  <c r="BU61" i="5"/>
  <c r="CT82" i="5"/>
  <c r="AA41" i="5"/>
  <c r="E48" i="5"/>
  <c r="E49" i="5" s="1"/>
  <c r="CP38" i="5"/>
  <c r="CQ38" i="5" s="1"/>
  <c r="CT74" i="5"/>
  <c r="CM61" i="5"/>
  <c r="CR66" i="5"/>
  <c r="CG38" i="5"/>
  <c r="O49" i="5"/>
  <c r="AP49" i="5" s="1"/>
  <c r="CS38" i="5"/>
  <c r="G61" i="5"/>
  <c r="J44" i="5"/>
  <c r="CT68" i="5"/>
  <c r="CG42" i="5"/>
  <c r="AB62" i="5"/>
  <c r="CT39" i="5"/>
  <c r="BM78" i="5"/>
  <c r="E24" i="5"/>
  <c r="O60" i="5"/>
  <c r="AP60" i="5" s="1"/>
  <c r="BS77" i="5"/>
  <c r="AB64" i="5"/>
  <c r="AC14" i="5"/>
  <c r="CO32" i="5"/>
  <c r="CA44" i="5"/>
  <c r="AB58" i="5"/>
  <c r="CR77" i="5"/>
  <c r="AB71" i="5"/>
  <c r="G44" i="5"/>
  <c r="I44" i="5" s="1"/>
  <c r="E58" i="5"/>
  <c r="E60" i="5" s="1"/>
  <c r="S27" i="5"/>
  <c r="AJ27" i="5" s="1"/>
  <c r="CN21" i="5"/>
  <c r="Z51" i="5"/>
  <c r="BI67" i="5"/>
  <c r="CP72" i="5"/>
  <c r="CQ72" i="5" s="1"/>
  <c r="M72" i="5"/>
  <c r="AN72" i="5" s="1"/>
  <c r="CS26" i="5"/>
  <c r="CT26" i="5" s="1"/>
  <c r="CT75" i="5"/>
  <c r="CS72" i="5"/>
  <c r="CO66" i="5"/>
  <c r="CO55" i="5"/>
  <c r="AO21" i="5"/>
  <c r="AY21" i="5" s="1"/>
  <c r="BV60" i="5"/>
  <c r="BZ60" i="5" s="1"/>
  <c r="AB51" i="5"/>
  <c r="M90" i="5"/>
  <c r="AN90" i="5" s="1"/>
  <c r="CB96" i="5"/>
  <c r="AA63" i="5"/>
  <c r="CS32" i="5"/>
  <c r="CS43" i="5"/>
  <c r="CT43" i="5" s="1"/>
  <c r="CG32" i="5"/>
  <c r="BW44" i="5"/>
  <c r="T27" i="5"/>
  <c r="BK27" i="5" s="1"/>
  <c r="CJ72" i="5"/>
  <c r="CN72" i="5" s="1"/>
  <c r="BN96" i="5"/>
  <c r="BN61" i="5"/>
  <c r="CK44" i="5"/>
  <c r="CL96" i="5"/>
  <c r="AB73" i="5"/>
  <c r="BK92" i="5"/>
  <c r="E55" i="5"/>
  <c r="CR90" i="5"/>
  <c r="CI96" i="5"/>
  <c r="CS66" i="5"/>
  <c r="BN78" i="5"/>
  <c r="AB24" i="5"/>
  <c r="AC24" i="5" s="1"/>
  <c r="AC25" i="5"/>
  <c r="CS84" i="5"/>
  <c r="AA21" i="5"/>
  <c r="AF21" i="5" s="1"/>
  <c r="AT21" i="5" s="1"/>
  <c r="BX44" i="5"/>
  <c r="BZ32" i="5"/>
  <c r="BP44" i="5"/>
  <c r="BU78" i="5"/>
  <c r="CP32" i="5"/>
  <c r="CQ32" i="5" s="1"/>
  <c r="AB76" i="5"/>
  <c r="J27" i="5"/>
  <c r="P19" i="5"/>
  <c r="BM44" i="5"/>
  <c r="AA47" i="5"/>
  <c r="AA49" i="5" s="1"/>
  <c r="Z87" i="5"/>
  <c r="O21" i="5"/>
  <c r="AP21" i="5" s="1"/>
  <c r="AZ21" i="5" s="1"/>
  <c r="CC55" i="5"/>
  <c r="CG55" i="5" s="1"/>
  <c r="BV43" i="5"/>
  <c r="BV44" i="5" s="1"/>
  <c r="AC20" i="5"/>
  <c r="CT67" i="5"/>
  <c r="BS38" i="5"/>
  <c r="CC72" i="5"/>
  <c r="CG72" i="5" s="1"/>
  <c r="BT44" i="5"/>
  <c r="AX60" i="5"/>
  <c r="CM78" i="5"/>
  <c r="AK32" i="5"/>
  <c r="E15" i="5"/>
  <c r="M21" i="5"/>
  <c r="AN21" i="5" s="1"/>
  <c r="AX21" i="5" s="1"/>
  <c r="BX96" i="5"/>
  <c r="AX49" i="5"/>
  <c r="CL61" i="5"/>
  <c r="R44" i="5"/>
  <c r="BY44" i="5"/>
  <c r="AH27" i="5"/>
  <c r="R78" i="5"/>
  <c r="AI78" i="5" s="1"/>
  <c r="CD61" i="5"/>
  <c r="CP43" i="5"/>
  <c r="CQ43" i="5" s="1"/>
  <c r="Z82" i="5"/>
  <c r="T96" i="5"/>
  <c r="AK96" i="5" s="1"/>
  <c r="AB18" i="5"/>
  <c r="AB21" i="5" s="1"/>
  <c r="BQ78" i="5"/>
  <c r="R96" i="5"/>
  <c r="CR60" i="5"/>
  <c r="CP77" i="5"/>
  <c r="CQ77" i="5" s="1"/>
  <c r="AX72" i="5"/>
  <c r="E21" i="5"/>
  <c r="AB15" i="5"/>
  <c r="BX27" i="5"/>
  <c r="BL96" i="5"/>
  <c r="AB42" i="5"/>
  <c r="AB43" i="5" s="1"/>
  <c r="AG43" i="5" s="1"/>
  <c r="AU43" i="5" s="1"/>
  <c r="R61" i="5"/>
  <c r="BQ44" i="5"/>
  <c r="Z50" i="5"/>
  <c r="CD78" i="5"/>
  <c r="AB83" i="5"/>
  <c r="BI41" i="5"/>
  <c r="CS15" i="5"/>
  <c r="CT15" i="5" s="1"/>
  <c r="AC19" i="5"/>
  <c r="BT96" i="5"/>
  <c r="AB89" i="5"/>
  <c r="CR95" i="5"/>
  <c r="BR66" i="5"/>
  <c r="CN26" i="5"/>
  <c r="AA80" i="5"/>
  <c r="CB61" i="5"/>
  <c r="N38" i="5"/>
  <c r="BR49" i="5"/>
  <c r="BL61" i="5"/>
  <c r="CO90" i="5"/>
  <c r="BN44" i="5"/>
  <c r="BE12" i="5"/>
  <c r="CO60" i="5"/>
  <c r="BO96" i="5"/>
  <c r="I78" i="5"/>
  <c r="D26" i="5"/>
  <c r="H26" i="5" s="1"/>
  <c r="F26" i="5" s="1"/>
  <c r="AI84" i="5"/>
  <c r="CM27" i="5"/>
  <c r="AI90" i="5"/>
  <c r="M66" i="5"/>
  <c r="AN66" i="5" s="1"/>
  <c r="AO66" i="5"/>
  <c r="CR49" i="5"/>
  <c r="BX78" i="5"/>
  <c r="Z92" i="5"/>
  <c r="BR72" i="5"/>
  <c r="BW96" i="5"/>
  <c r="D84" i="5"/>
  <c r="H84" i="5" s="1"/>
  <c r="F84" i="5" s="1"/>
  <c r="D55" i="5"/>
  <c r="H55" i="5" s="1"/>
  <c r="F55" i="5" s="1"/>
  <c r="CC27" i="5"/>
  <c r="M49" i="5"/>
  <c r="AI38" i="5"/>
  <c r="R27" i="5"/>
  <c r="AJ60" i="5"/>
  <c r="Z49" i="5"/>
  <c r="AZ49" i="5" s="1"/>
  <c r="CO38" i="5"/>
  <c r="CI61" i="5"/>
  <c r="E73" i="5"/>
  <c r="E77" i="5" s="1"/>
  <c r="AX95" i="5"/>
  <c r="AB92" i="5"/>
  <c r="CP84" i="5"/>
  <c r="CQ84" i="5" s="1"/>
  <c r="Z13" i="5"/>
  <c r="AA70" i="5"/>
  <c r="L32" i="5"/>
  <c r="AM32" i="5" s="1"/>
  <c r="CP15" i="5"/>
  <c r="CQ15" i="5" s="1"/>
  <c r="S61" i="5"/>
  <c r="AO61" i="5" s="1"/>
  <c r="BY27" i="5"/>
  <c r="BZ27" i="5" s="1"/>
  <c r="CO84" i="5"/>
  <c r="AO72" i="5"/>
  <c r="AA69" i="5"/>
  <c r="CP90" i="5"/>
  <c r="CQ90" i="5" s="1"/>
  <c r="BW78" i="5"/>
  <c r="Y18" i="5"/>
  <c r="CE61" i="5"/>
  <c r="AA93" i="5"/>
  <c r="BR32" i="5"/>
  <c r="BJ21" i="5"/>
  <c r="BR90" i="5"/>
  <c r="T78" i="5"/>
  <c r="AK78" i="5" s="1"/>
  <c r="AX84" i="5"/>
  <c r="CI78" i="5"/>
  <c r="CE96" i="5"/>
  <c r="Z54" i="5"/>
  <c r="CT93" i="5"/>
  <c r="CK61" i="5"/>
  <c r="BT78" i="5"/>
  <c r="AB47" i="5"/>
  <c r="CO77" i="5"/>
  <c r="BI40" i="5"/>
  <c r="BI53" i="5"/>
  <c r="Z33" i="5"/>
  <c r="Z38" i="5" s="1"/>
  <c r="CS90" i="5"/>
  <c r="AX55" i="5"/>
  <c r="CT73" i="5"/>
  <c r="BK91" i="5"/>
  <c r="BI91" i="5"/>
  <c r="BI56" i="5"/>
  <c r="BK56" i="5"/>
  <c r="D95" i="5"/>
  <c r="H95" i="5" s="1"/>
  <c r="F95" i="5" s="1"/>
  <c r="E43" i="5"/>
  <c r="E85" i="5"/>
  <c r="E90" i="5" s="1"/>
  <c r="BO61" i="5"/>
  <c r="BS61" i="5" s="1"/>
  <c r="L21" i="5"/>
  <c r="AM21" i="5" s="1"/>
  <c r="CR55" i="5"/>
  <c r="AI55" i="5"/>
  <c r="BH21" i="5"/>
  <c r="BV72" i="5"/>
  <c r="BZ72" i="5" s="1"/>
  <c r="BO44" i="5"/>
  <c r="CH61" i="5"/>
  <c r="BR43" i="5"/>
  <c r="BP96" i="5"/>
  <c r="Z83" i="5"/>
  <c r="CM44" i="5"/>
  <c r="AA34" i="5"/>
  <c r="P18" i="5"/>
  <c r="AA12" i="5"/>
  <c r="AA15" i="5" s="1"/>
  <c r="AJ38" i="5"/>
  <c r="CT34" i="5"/>
  <c r="F60" i="5"/>
  <c r="BB12" i="5"/>
  <c r="BZ38" i="5"/>
  <c r="CJ49" i="5"/>
  <c r="CN49" i="5" s="1"/>
  <c r="D72" i="5"/>
  <c r="H72" i="5" s="1"/>
  <c r="F72" i="5" s="1"/>
  <c r="AZ43" i="5"/>
  <c r="O84" i="5"/>
  <c r="AP84" i="5" s="1"/>
  <c r="O38" i="5"/>
  <c r="AP38" i="5" s="1"/>
  <c r="CE44" i="5"/>
  <c r="CF96" i="5"/>
  <c r="CF61" i="5"/>
  <c r="BI50" i="5"/>
  <c r="CM96" i="5"/>
  <c r="BR26" i="5"/>
  <c r="BY96" i="5"/>
  <c r="CK78" i="5"/>
  <c r="BK64" i="5"/>
  <c r="BI64" i="5"/>
  <c r="N90" i="5"/>
  <c r="O77" i="5"/>
  <c r="AP77" i="5" s="1"/>
  <c r="BI74" i="5"/>
  <c r="BT61" i="5"/>
  <c r="BS72" i="5"/>
  <c r="CA96" i="5"/>
  <c r="CR84" i="5"/>
  <c r="CJ77" i="5"/>
  <c r="CN77" i="5" s="1"/>
  <c r="P20" i="5"/>
  <c r="BR95" i="5"/>
  <c r="M43" i="5"/>
  <c r="AN43" i="5" s="1"/>
  <c r="AX43" i="5" s="1"/>
  <c r="S44" i="5"/>
  <c r="AO44" i="5" s="1"/>
  <c r="CJ60" i="5"/>
  <c r="CN60" i="5" s="1"/>
  <c r="N77" i="5"/>
  <c r="CK96" i="5"/>
  <c r="CT41" i="5"/>
  <c r="CA61" i="5"/>
  <c r="BO27" i="5"/>
  <c r="BS27" i="5" s="1"/>
  <c r="O66" i="5"/>
  <c r="AP66" i="5" s="1"/>
  <c r="CE27" i="5"/>
  <c r="D38" i="5"/>
  <c r="H38" i="5" s="1"/>
  <c r="F38" i="5" s="1"/>
  <c r="CP60" i="5"/>
  <c r="CQ60" i="5" s="1"/>
  <c r="N84" i="5"/>
  <c r="CF27" i="5"/>
  <c r="O90" i="5"/>
  <c r="AP90" i="5" s="1"/>
  <c r="CP66" i="5"/>
  <c r="CQ66" i="5" s="1"/>
  <c r="Z30" i="5"/>
  <c r="CB44" i="5"/>
  <c r="AX66" i="5"/>
  <c r="Z76" i="5"/>
  <c r="AJ95" i="5"/>
  <c r="BS90" i="5"/>
  <c r="AA22" i="5"/>
  <c r="AA26" i="5" s="1"/>
  <c r="BH12" i="5"/>
  <c r="AX77" i="5"/>
  <c r="CT52" i="5"/>
  <c r="CT76" i="5"/>
  <c r="BI15" i="5"/>
  <c r="CA78" i="5"/>
  <c r="CT56" i="5"/>
  <c r="M95" i="5"/>
  <c r="AN95" i="5" s="1"/>
  <c r="Z91" i="5"/>
  <c r="CG62" i="5"/>
  <c r="CC66" i="5"/>
  <c r="CG66" i="5" s="1"/>
  <c r="AH32" i="5"/>
  <c r="Z74" i="5"/>
  <c r="M77" i="5"/>
  <c r="BJ25" i="5"/>
  <c r="BE25" i="5"/>
  <c r="BA26" i="5"/>
  <c r="BB25" i="5"/>
  <c r="BB26" i="5" s="1"/>
  <c r="BB27" i="5" s="1"/>
  <c r="BH25" i="5"/>
  <c r="BX61" i="5"/>
  <c r="E84" i="5"/>
  <c r="BZ62" i="5"/>
  <c r="CG21" i="5"/>
  <c r="CL78" i="5"/>
  <c r="S78" i="5"/>
  <c r="AO78" i="5" s="1"/>
  <c r="P30" i="5"/>
  <c r="AJ77" i="5"/>
  <c r="P25" i="5"/>
  <c r="BV90" i="5"/>
  <c r="BZ90" i="5" s="1"/>
  <c r="BZ85" i="5"/>
  <c r="BK63" i="5"/>
  <c r="BI63" i="5"/>
  <c r="BI87" i="5"/>
  <c r="BK87" i="5"/>
  <c r="BD66" i="5"/>
  <c r="BI65" i="5"/>
  <c r="BK65" i="5"/>
  <c r="AA68" i="5"/>
  <c r="N72" i="5"/>
  <c r="CH78" i="5"/>
  <c r="AJ43" i="5"/>
  <c r="AY43" i="5" s="1"/>
  <c r="BE30" i="5"/>
  <c r="BJ30" i="5"/>
  <c r="BJ32" i="5" s="1"/>
  <c r="BB30" i="5"/>
  <c r="AA51" i="5"/>
  <c r="AA55" i="5" s="1"/>
  <c r="N55" i="5"/>
  <c r="BH30" i="5"/>
  <c r="BH32" i="5" s="1"/>
  <c r="BD49" i="5"/>
  <c r="BI48" i="5"/>
  <c r="BK48" i="5"/>
  <c r="CR21" i="5"/>
  <c r="BK15" i="5"/>
  <c r="AA40" i="5"/>
  <c r="N43" i="5"/>
  <c r="CD96" i="5"/>
  <c r="AK38" i="5"/>
  <c r="I49" i="5"/>
  <c r="E72" i="5"/>
  <c r="AA90" i="5"/>
  <c r="AC34" i="5"/>
  <c r="BR84" i="5"/>
  <c r="M55" i="5"/>
  <c r="AN55" i="5" s="1"/>
  <c r="CN32" i="5"/>
  <c r="CC60" i="5"/>
  <c r="CG60" i="5" s="1"/>
  <c r="U26" i="5"/>
  <c r="CF44" i="5"/>
  <c r="T44" i="5"/>
  <c r="BZ83" i="5"/>
  <c r="BV84" i="5"/>
  <c r="BE33" i="5"/>
  <c r="BJ33" i="5"/>
  <c r="BB33" i="5"/>
  <c r="BY61" i="5"/>
  <c r="CT87" i="5"/>
  <c r="BE13" i="5"/>
  <c r="BJ13" i="5"/>
  <c r="BJ15" i="5" s="1"/>
  <c r="BH13" i="5"/>
  <c r="BB13" i="5"/>
  <c r="BZ74" i="5"/>
  <c r="BV77" i="5"/>
  <c r="BZ77" i="5" s="1"/>
  <c r="Z63" i="5"/>
  <c r="CT51" i="5"/>
  <c r="BP61" i="5"/>
  <c r="CJ66" i="5"/>
  <c r="CN66" i="5" s="1"/>
  <c r="CN62" i="5"/>
  <c r="AB88" i="5"/>
  <c r="Z86" i="5"/>
  <c r="AI95" i="5"/>
  <c r="Z14" i="5"/>
  <c r="Z57" i="5"/>
  <c r="Y33" i="5"/>
  <c r="AC33" i="5" s="1"/>
  <c r="T61" i="5"/>
  <c r="AA83" i="5"/>
  <c r="AB23" i="5"/>
  <c r="O26" i="5"/>
  <c r="AP26" i="5" s="1"/>
  <c r="AZ26" i="5" s="1"/>
  <c r="BD90" i="5"/>
  <c r="BK89" i="5"/>
  <c r="AC30" i="5"/>
  <c r="S96" i="5"/>
  <c r="AO96" i="5" s="1"/>
  <c r="Z68" i="5"/>
  <c r="Z72" i="5" s="1"/>
  <c r="BI89" i="5"/>
  <c r="BI75" i="5"/>
  <c r="CJ55" i="5"/>
  <c r="CN55" i="5" s="1"/>
  <c r="D21" i="5"/>
  <c r="H21" i="5" s="1"/>
  <c r="F21" i="5" s="1"/>
  <c r="E95" i="5"/>
  <c r="U32" i="5"/>
  <c r="CE78" i="5"/>
  <c r="CJ90" i="5"/>
  <c r="CN90" i="5" s="1"/>
  <c r="P24" i="5"/>
  <c r="N15" i="5"/>
  <c r="N66" i="5"/>
  <c r="CC49" i="5"/>
  <c r="CC90" i="5"/>
  <c r="CG90" i="5" s="1"/>
  <c r="O15" i="5"/>
  <c r="P15" i="5" s="1"/>
  <c r="O72" i="5"/>
  <c r="AP72" i="5" s="1"/>
  <c r="CO49" i="5"/>
  <c r="CT49" i="5" s="1"/>
  <c r="CR38" i="5"/>
  <c r="N49" i="5"/>
  <c r="CH44" i="5"/>
  <c r="CC95" i="5"/>
  <c r="CG95" i="5" s="1"/>
  <c r="CG91" i="5"/>
  <c r="BI58" i="5"/>
  <c r="Z24" i="5"/>
  <c r="Z26" i="5" s="1"/>
  <c r="M26" i="5"/>
  <c r="BS95" i="5"/>
  <c r="CS95" i="5"/>
  <c r="CO72" i="5"/>
  <c r="BL78" i="5"/>
  <c r="Z29" i="5"/>
  <c r="M32" i="5"/>
  <c r="AN32" i="5" s="1"/>
  <c r="AX32" i="5" s="1"/>
  <c r="BR55" i="5"/>
  <c r="BO78" i="5"/>
  <c r="BS66" i="5"/>
  <c r="BD55" i="5"/>
  <c r="BK54" i="5"/>
  <c r="BK34" i="5"/>
  <c r="BK38" i="5" s="1"/>
  <c r="BE34" i="5"/>
  <c r="BI34" i="5"/>
  <c r="BI38" i="5" s="1"/>
  <c r="CS77" i="5"/>
  <c r="M15" i="5"/>
  <c r="AN15" i="5" s="1"/>
  <c r="AX15" i="5" s="1"/>
  <c r="CY84" i="5"/>
  <c r="AB38" i="5"/>
  <c r="BK94" i="5"/>
  <c r="BD95" i="5"/>
  <c r="BI94" i="5"/>
  <c r="BI18" i="5"/>
  <c r="BE18" i="5"/>
  <c r="BK18" i="5"/>
  <c r="BV95" i="5"/>
  <c r="BZ95" i="5" s="1"/>
  <c r="AO55" i="5"/>
  <c r="AX90" i="5"/>
  <c r="BI47" i="5"/>
  <c r="D77" i="5"/>
  <c r="H77" i="5" s="1"/>
  <c r="F77" i="5" s="1"/>
  <c r="D15" i="5"/>
  <c r="H15" i="5" s="1"/>
  <c r="CY72" i="5"/>
  <c r="O32" i="5"/>
  <c r="AP32" i="5" s="1"/>
  <c r="AB45" i="5"/>
  <c r="O95" i="5"/>
  <c r="AP95" i="5" s="1"/>
  <c r="CJ95" i="5"/>
  <c r="CN95" i="5" s="1"/>
  <c r="O55" i="5"/>
  <c r="AP55" i="5" s="1"/>
  <c r="AC12" i="5"/>
  <c r="P13" i="5"/>
  <c r="M60" i="5"/>
  <c r="AN60" i="5" s="1"/>
  <c r="M84" i="5"/>
  <c r="AN84" i="5" s="1"/>
  <c r="CP49" i="5"/>
  <c r="CQ49" i="5" s="1"/>
  <c r="M38" i="5"/>
  <c r="CG43" i="5"/>
  <c r="BS32" i="5"/>
  <c r="CC84" i="5"/>
  <c r="CG84" i="5" s="1"/>
  <c r="CT92" i="5"/>
  <c r="BK71" i="5"/>
  <c r="BD72" i="5"/>
  <c r="BI71" i="5"/>
  <c r="CT86" i="5"/>
  <c r="AB53" i="5"/>
  <c r="CR43" i="5"/>
  <c r="P22" i="5"/>
  <c r="Y22" i="5"/>
  <c r="AC22" i="5" s="1"/>
  <c r="L26" i="5"/>
  <c r="CP55" i="5"/>
  <c r="CQ55" i="5" s="1"/>
  <c r="CS60" i="5"/>
  <c r="AK55" i="5"/>
  <c r="Y31" i="5"/>
  <c r="AC31" i="5" s="1"/>
  <c r="BM96" i="5"/>
  <c r="BZ45" i="5"/>
  <c r="BV49" i="5"/>
  <c r="AB59" i="5"/>
  <c r="BI22" i="5"/>
  <c r="BI26" i="5" s="1"/>
  <c r="BE22" i="5"/>
  <c r="BK22" i="5"/>
  <c r="BK26" i="5" s="1"/>
  <c r="CP95" i="5"/>
  <c r="CQ95" i="5" s="1"/>
  <c r="AJ55" i="5"/>
  <c r="BK16" i="5"/>
  <c r="BE16" i="5"/>
  <c r="BI16" i="5"/>
  <c r="AJ90" i="5"/>
  <c r="CJ84" i="5"/>
  <c r="CN84" i="5" s="1"/>
  <c r="BK68" i="5"/>
  <c r="BI68" i="5"/>
  <c r="CL27" i="5"/>
  <c r="BV55" i="5"/>
  <c r="BZ55" i="5" s="1"/>
  <c r="CJ38" i="5"/>
  <c r="CN38" i="5" s="1"/>
  <c r="AC13" i="5"/>
  <c r="P23" i="5"/>
  <c r="N26" i="5"/>
  <c r="AA77" i="5"/>
  <c r="AA91" i="5"/>
  <c r="N95" i="5"/>
  <c r="BI81" i="5"/>
  <c r="CN39" i="5"/>
  <c r="CJ43" i="5"/>
  <c r="CN43" i="5" s="1"/>
  <c r="Z75" i="5"/>
  <c r="AB54" i="5"/>
  <c r="BP27" i="5"/>
  <c r="BR27" i="5" s="1"/>
  <c r="CB78" i="5"/>
  <c r="BH23" i="5"/>
  <c r="BJ23" i="5"/>
  <c r="BE23" i="5"/>
  <c r="BB23" i="5"/>
  <c r="AI26" i="5"/>
  <c r="BQ96" i="5"/>
  <c r="AB86" i="5"/>
  <c r="AA71" i="5"/>
  <c r="BP78" i="5"/>
  <c r="CC77" i="5"/>
  <c r="CG77" i="5" s="1"/>
  <c r="AC28" i="5"/>
  <c r="AL15" i="5"/>
  <c r="Z43" i="5"/>
  <c r="BD78" i="5"/>
  <c r="AL21" i="5"/>
  <c r="Z21" i="5"/>
  <c r="AW15" i="5"/>
  <c r="CC44" i="5"/>
  <c r="AC16" i="5"/>
  <c r="Y15" i="5"/>
  <c r="BZ66" i="5"/>
  <c r="BD44" i="5"/>
  <c r="BK43" i="5"/>
  <c r="E38" i="5"/>
  <c r="F43" i="5"/>
  <c r="D66" i="5"/>
  <c r="E64" i="5"/>
  <c r="E66" i="5" s="1"/>
  <c r="G96" i="5"/>
  <c r="I90" i="5"/>
  <c r="D32" i="5"/>
  <c r="E28" i="5"/>
  <c r="E25" i="5"/>
  <c r="E30" i="5"/>
  <c r="G27" i="5"/>
  <c r="I15" i="5"/>
  <c r="H90" i="5"/>
  <c r="H49" i="5"/>
  <c r="CW43" i="3" l="1"/>
  <c r="CY42" i="3"/>
  <c r="U42" i="3"/>
  <c r="L42" i="3"/>
  <c r="Q43" i="3"/>
  <c r="V42" i="3"/>
  <c r="V43" i="3" s="1"/>
  <c r="V44" i="3" s="1"/>
  <c r="AC41" i="3"/>
  <c r="BA42" i="3"/>
  <c r="Z66" i="5"/>
  <c r="AZ66" i="5" s="1"/>
  <c r="BK84" i="5"/>
  <c r="K79" i="5"/>
  <c r="CS78" i="5"/>
  <c r="BI27" i="5"/>
  <c r="Z84" i="5"/>
  <c r="AZ84" i="5" s="1"/>
  <c r="CR44" i="5"/>
  <c r="CP78" i="5"/>
  <c r="CQ78" i="5" s="1"/>
  <c r="BI32" i="5"/>
  <c r="AP15" i="5"/>
  <c r="AZ15" i="5" s="1"/>
  <c r="AA43" i="5"/>
  <c r="AF43" i="5" s="1"/>
  <c r="AT43" i="5" s="1"/>
  <c r="Z60" i="5"/>
  <c r="AE60" i="5" s="1"/>
  <c r="AS60" i="5" s="1"/>
  <c r="BK32" i="5"/>
  <c r="AB72" i="5"/>
  <c r="AG72" i="5" s="1"/>
  <c r="AU72" i="5" s="1"/>
  <c r="AI61" i="5"/>
  <c r="BI60" i="5"/>
  <c r="AB84" i="5"/>
  <c r="AG84" i="5" s="1"/>
  <c r="AU84" i="5" s="1"/>
  <c r="CR27" i="5"/>
  <c r="CT55" i="5"/>
  <c r="AB26" i="5"/>
  <c r="AG26" i="5" s="1"/>
  <c r="AU26" i="5" s="1"/>
  <c r="BH15" i="5"/>
  <c r="BK60" i="5"/>
  <c r="AB95" i="5"/>
  <c r="AG95" i="5" s="1"/>
  <c r="AU95" i="5" s="1"/>
  <c r="AA66" i="5"/>
  <c r="AF66" i="5" s="1"/>
  <c r="AT66" i="5" s="1"/>
  <c r="N44" i="5"/>
  <c r="BZ44" i="5"/>
  <c r="CT72" i="5"/>
  <c r="BI77" i="5"/>
  <c r="CT95" i="5"/>
  <c r="CT66" i="5"/>
  <c r="BR78" i="5"/>
  <c r="BS44" i="5"/>
  <c r="BM79" i="5"/>
  <c r="BU79" i="5"/>
  <c r="BQ79" i="5"/>
  <c r="J79" i="5"/>
  <c r="CO78" i="5"/>
  <c r="E26" i="5"/>
  <c r="E27" i="5" s="1"/>
  <c r="CM79" i="5"/>
  <c r="AX78" i="5"/>
  <c r="CO44" i="5"/>
  <c r="AF90" i="5"/>
  <c r="AT90" i="5" s="1"/>
  <c r="CK79" i="5"/>
  <c r="BR96" i="5"/>
  <c r="BI43" i="5"/>
  <c r="AB77" i="5"/>
  <c r="AG77" i="5" s="1"/>
  <c r="AU77" i="5" s="1"/>
  <c r="CG27" i="5"/>
  <c r="G79" i="5"/>
  <c r="I79" i="5" s="1"/>
  <c r="BX79" i="5"/>
  <c r="AL32" i="5"/>
  <c r="I61" i="5"/>
  <c r="CT38" i="5"/>
  <c r="CT32" i="5"/>
  <c r="AB66" i="5"/>
  <c r="AG66" i="5" s="1"/>
  <c r="AU66" i="5" s="1"/>
  <c r="Z15" i="5"/>
  <c r="AE15" i="5" s="1"/>
  <c r="AS15" i="5" s="1"/>
  <c r="AJ78" i="5"/>
  <c r="CO96" i="5"/>
  <c r="BR44" i="5"/>
  <c r="AG21" i="5"/>
  <c r="AU21" i="5" s="1"/>
  <c r="AG15" i="5"/>
  <c r="AU15" i="5" s="1"/>
  <c r="U27" i="5"/>
  <c r="AL27" i="5" s="1"/>
  <c r="AE49" i="5"/>
  <c r="AS49" i="5" s="1"/>
  <c r="CT84" i="5"/>
  <c r="AK44" i="5"/>
  <c r="AA95" i="5"/>
  <c r="AF95" i="5" s="1"/>
  <c r="AT95" i="5" s="1"/>
  <c r="CN27" i="5"/>
  <c r="AB60" i="5"/>
  <c r="AG60" i="5" s="1"/>
  <c r="AU60" i="5" s="1"/>
  <c r="AB49" i="5"/>
  <c r="AG49" i="5" s="1"/>
  <c r="AU49" i="5" s="1"/>
  <c r="AO27" i="5"/>
  <c r="AY27" i="5" s="1"/>
  <c r="AZ32" i="5"/>
  <c r="BS78" i="5"/>
  <c r="AA38" i="5"/>
  <c r="AF38" i="5" s="1"/>
  <c r="AT38" i="5" s="1"/>
  <c r="CR96" i="5"/>
  <c r="AE72" i="5"/>
  <c r="AS72" i="5" s="1"/>
  <c r="BR61" i="5"/>
  <c r="T79" i="5"/>
  <c r="CD79" i="5"/>
  <c r="BS96" i="5"/>
  <c r="CO27" i="5"/>
  <c r="AK27" i="5"/>
  <c r="BZ43" i="5"/>
  <c r="CC61" i="5"/>
  <c r="CG61" i="5" s="1"/>
  <c r="AG38" i="5"/>
  <c r="AU38" i="5" s="1"/>
  <c r="N27" i="5"/>
  <c r="CP44" i="5"/>
  <c r="CQ44" i="5" s="1"/>
  <c r="AF26" i="5"/>
  <c r="AT26" i="5" s="1"/>
  <c r="AX61" i="5"/>
  <c r="AC18" i="5"/>
  <c r="AC23" i="5"/>
  <c r="BL79" i="5"/>
  <c r="M96" i="5"/>
  <c r="AN96" i="5" s="1"/>
  <c r="Z90" i="5"/>
  <c r="AZ90" i="5" s="1"/>
  <c r="CS44" i="5"/>
  <c r="BW79" i="5"/>
  <c r="AI44" i="5"/>
  <c r="Y26" i="5"/>
  <c r="D61" i="5"/>
  <c r="H61" i="5" s="1"/>
  <c r="R79" i="5"/>
  <c r="BN79" i="5"/>
  <c r="CP27" i="5"/>
  <c r="CQ27" i="5" s="1"/>
  <c r="AX96" i="5"/>
  <c r="Z55" i="5"/>
  <c r="AE55" i="5" s="1"/>
  <c r="AS55" i="5" s="1"/>
  <c r="CS27" i="5"/>
  <c r="CT90" i="5"/>
  <c r="AA84" i="5"/>
  <c r="CA79" i="5"/>
  <c r="AZ38" i="5"/>
  <c r="BT79" i="5"/>
  <c r="BY79" i="5"/>
  <c r="AI96" i="5"/>
  <c r="E61" i="5"/>
  <c r="CT77" i="5"/>
  <c r="AE21" i="5"/>
  <c r="AS21" i="5" s="1"/>
  <c r="N96" i="5"/>
  <c r="CI79" i="5"/>
  <c r="E78" i="5"/>
  <c r="AB90" i="5"/>
  <c r="AG90" i="5" s="1"/>
  <c r="AU90" i="5" s="1"/>
  <c r="CT60" i="5"/>
  <c r="Z95" i="5"/>
  <c r="AE95" i="5" s="1"/>
  <c r="AS95" i="5" s="1"/>
  <c r="CG44" i="5"/>
  <c r="AN49" i="5"/>
  <c r="AI27" i="5"/>
  <c r="AK61" i="5"/>
  <c r="AB55" i="5"/>
  <c r="AG55" i="5" s="1"/>
  <c r="AU55" i="5" s="1"/>
  <c r="BK49" i="5"/>
  <c r="O27" i="5"/>
  <c r="AP27" i="5" s="1"/>
  <c r="AF77" i="5"/>
  <c r="AT77" i="5" s="1"/>
  <c r="O78" i="5"/>
  <c r="AP78" i="5" s="1"/>
  <c r="CR61" i="5"/>
  <c r="Y21" i="5"/>
  <c r="AD21" i="5" s="1"/>
  <c r="AR21" i="5" s="1"/>
  <c r="AJ61" i="5"/>
  <c r="M78" i="5"/>
  <c r="AN78" i="5" s="1"/>
  <c r="P26" i="5"/>
  <c r="D96" i="5"/>
  <c r="H96" i="5" s="1"/>
  <c r="AE43" i="5"/>
  <c r="AS43" i="5" s="1"/>
  <c r="E96" i="5"/>
  <c r="AJ44" i="5"/>
  <c r="AY44" i="5" s="1"/>
  <c r="F90" i="5"/>
  <c r="M44" i="5"/>
  <c r="AN44" i="5" s="1"/>
  <c r="BK55" i="5"/>
  <c r="N61" i="5"/>
  <c r="AF55" i="5"/>
  <c r="AT55" i="5" s="1"/>
  <c r="F49" i="5"/>
  <c r="AF15" i="5"/>
  <c r="AT15" i="5" s="1"/>
  <c r="CJ78" i="5"/>
  <c r="CN78" i="5" s="1"/>
  <c r="O61" i="5"/>
  <c r="AP61" i="5" s="1"/>
  <c r="CS61" i="5"/>
  <c r="N78" i="5"/>
  <c r="CP96" i="5"/>
  <c r="CQ96" i="5" s="1"/>
  <c r="AA61" i="5"/>
  <c r="S79" i="5"/>
  <c r="AO79" i="5" s="1"/>
  <c r="CJ96" i="5"/>
  <c r="CN96" i="5" s="1"/>
  <c r="AJ96" i="5"/>
  <c r="AE26" i="5"/>
  <c r="AS26" i="5" s="1"/>
  <c r="BH26" i="5"/>
  <c r="BI21" i="5"/>
  <c r="O96" i="5"/>
  <c r="AP96" i="5" s="1"/>
  <c r="CO61" i="5"/>
  <c r="AY38" i="5"/>
  <c r="O44" i="5"/>
  <c r="AP44" i="5" s="1"/>
  <c r="P21" i="5"/>
  <c r="BP79" i="5"/>
  <c r="Z32" i="5"/>
  <c r="AE32" i="5" s="1"/>
  <c r="AS32" i="5" s="1"/>
  <c r="D27" i="5"/>
  <c r="H27" i="5" s="1"/>
  <c r="AB44" i="5"/>
  <c r="CB79" i="5"/>
  <c r="BK21" i="5"/>
  <c r="AM26" i="5"/>
  <c r="AW26" i="5" s="1"/>
  <c r="CS96" i="5"/>
  <c r="AN26" i="5"/>
  <c r="AX26" i="5" s="1"/>
  <c r="AF49" i="5"/>
  <c r="AT49" i="5" s="1"/>
  <c r="BZ49" i="5"/>
  <c r="BV61" i="5"/>
  <c r="BZ61" i="5" s="1"/>
  <c r="CE79" i="5"/>
  <c r="AG32" i="5"/>
  <c r="AU32" i="5" s="1"/>
  <c r="BV78" i="5"/>
  <c r="BZ78" i="5" s="1"/>
  <c r="CJ44" i="5"/>
  <c r="CN44" i="5" s="1"/>
  <c r="M61" i="5"/>
  <c r="AN61" i="5" s="1"/>
  <c r="AN38" i="5"/>
  <c r="AX38" i="5" s="1"/>
  <c r="P32" i="5"/>
  <c r="Y32" i="5"/>
  <c r="AC32" i="5" s="1"/>
  <c r="CJ61" i="5"/>
  <c r="CN61" i="5" s="1"/>
  <c r="BV96" i="5"/>
  <c r="BZ96" i="5" s="1"/>
  <c r="BZ84" i="5"/>
  <c r="M27" i="5"/>
  <c r="AN27" i="5" s="1"/>
  <c r="CH79" i="5"/>
  <c r="BI49" i="5"/>
  <c r="AE38" i="5"/>
  <c r="AS38" i="5" s="1"/>
  <c r="E32" i="5"/>
  <c r="E44" i="5" s="1"/>
  <c r="CL79" i="5"/>
  <c r="CC96" i="5"/>
  <c r="CG96" i="5" s="1"/>
  <c r="BO79" i="5"/>
  <c r="CG49" i="5"/>
  <c r="CC78" i="5"/>
  <c r="CG78" i="5" s="1"/>
  <c r="BK72" i="5"/>
  <c r="BI72" i="5"/>
  <c r="AN77" i="5"/>
  <c r="CP61" i="5"/>
  <c r="CQ61" i="5" s="1"/>
  <c r="AA27" i="5"/>
  <c r="F15" i="5"/>
  <c r="CR78" i="5"/>
  <c r="BD96" i="5"/>
  <c r="BI95" i="5"/>
  <c r="BK95" i="5"/>
  <c r="AA72" i="5"/>
  <c r="BK66" i="5"/>
  <c r="BI66" i="5"/>
  <c r="BI55" i="5"/>
  <c r="Z77" i="5"/>
  <c r="CF79" i="5"/>
  <c r="I96" i="5"/>
  <c r="L27" i="5"/>
  <c r="AM27" i="5" s="1"/>
  <c r="AW27" i="5" s="1"/>
  <c r="BI90" i="5"/>
  <c r="BK90" i="5"/>
  <c r="BJ26" i="5"/>
  <c r="BE26" i="5"/>
  <c r="BA27" i="5"/>
  <c r="BK61" i="5"/>
  <c r="BI61" i="5"/>
  <c r="BD79" i="5"/>
  <c r="BK78" i="5"/>
  <c r="BI78" i="5"/>
  <c r="AW32" i="5"/>
  <c r="AQ32" i="5"/>
  <c r="AZ72" i="5"/>
  <c r="BK44" i="5"/>
  <c r="BI44" i="5"/>
  <c r="AD15" i="5"/>
  <c r="AR15" i="5" s="1"/>
  <c r="AC15" i="5"/>
  <c r="AQ21" i="5"/>
  <c r="AW21" i="5"/>
  <c r="D44" i="5"/>
  <c r="H44" i="5" s="1"/>
  <c r="F44" i="5" s="1"/>
  <c r="H32" i="5"/>
  <c r="F32" i="5" s="1"/>
  <c r="I27" i="5"/>
  <c r="D78" i="5"/>
  <c r="H78" i="5" s="1"/>
  <c r="F78" i="5" s="1"/>
  <c r="H66" i="5"/>
  <c r="F66" i="5" s="1"/>
  <c r="BE42" i="3" l="1"/>
  <c r="Q45" i="3"/>
  <c r="BA43" i="3"/>
  <c r="BJ42" i="3"/>
  <c r="U43" i="3"/>
  <c r="Q44" i="3"/>
  <c r="AH43" i="3"/>
  <c r="BH42" i="3"/>
  <c r="BH43" i="3" s="1"/>
  <c r="Y42" i="3"/>
  <c r="P42" i="3"/>
  <c r="L43" i="3"/>
  <c r="CW44" i="3"/>
  <c r="CY44" i="3" s="1"/>
  <c r="CY43" i="3"/>
  <c r="Z78" i="5"/>
  <c r="AE78" i="5" s="1"/>
  <c r="AS78" i="5" s="1"/>
  <c r="AE66" i="5"/>
  <c r="AS66" i="5" s="1"/>
  <c r="AQ15" i="5"/>
  <c r="AE84" i="5"/>
  <c r="AS84" i="5" s="1"/>
  <c r="CT78" i="5"/>
  <c r="AV21" i="5"/>
  <c r="AZ60" i="5"/>
  <c r="AC21" i="5"/>
  <c r="AC26" i="5"/>
  <c r="AB27" i="5"/>
  <c r="AG27" i="5" s="1"/>
  <c r="AU27" i="5" s="1"/>
  <c r="AA96" i="5"/>
  <c r="AF96" i="5" s="1"/>
  <c r="AT96" i="5" s="1"/>
  <c r="F61" i="5"/>
  <c r="CT27" i="5"/>
  <c r="CR79" i="5"/>
  <c r="CO79" i="5"/>
  <c r="BS79" i="5"/>
  <c r="CT44" i="5"/>
  <c r="AA44" i="5"/>
  <c r="AF44" i="5" s="1"/>
  <c r="AT44" i="5" s="1"/>
  <c r="CT96" i="5"/>
  <c r="CS79" i="5"/>
  <c r="AZ44" i="5"/>
  <c r="AB78" i="5"/>
  <c r="AG78" i="5" s="1"/>
  <c r="AU78" i="5" s="1"/>
  <c r="AZ95" i="5"/>
  <c r="AX44" i="5"/>
  <c r="AF27" i="5"/>
  <c r="AT27" i="5" s="1"/>
  <c r="AF84" i="5"/>
  <c r="AT84" i="5" s="1"/>
  <c r="AI79" i="5"/>
  <c r="Z27" i="5"/>
  <c r="AE27" i="5" s="1"/>
  <c r="AS27" i="5" s="1"/>
  <c r="N79" i="5"/>
  <c r="Q38" i="5"/>
  <c r="AE90" i="5"/>
  <c r="AS90" i="5" s="1"/>
  <c r="AK79" i="5"/>
  <c r="AV15" i="5"/>
  <c r="AZ27" i="5"/>
  <c r="BR79" i="5"/>
  <c r="Y27" i="5"/>
  <c r="AD27" i="5" s="1"/>
  <c r="AR27" i="5" s="1"/>
  <c r="AD26" i="5"/>
  <c r="AR26" i="5" s="1"/>
  <c r="AV26" i="5" s="1"/>
  <c r="AF61" i="5"/>
  <c r="AT61" i="5" s="1"/>
  <c r="AB96" i="5"/>
  <c r="AG96" i="5" s="1"/>
  <c r="AU96" i="5" s="1"/>
  <c r="F27" i="5"/>
  <c r="CP79" i="5"/>
  <c r="CQ79" i="5" s="1"/>
  <c r="E79" i="5"/>
  <c r="AB61" i="5"/>
  <c r="AG61" i="5" s="1"/>
  <c r="AU61" i="5" s="1"/>
  <c r="AZ55" i="5"/>
  <c r="CJ79" i="5"/>
  <c r="CN79" i="5" s="1"/>
  <c r="Z96" i="5"/>
  <c r="AE96" i="5" s="1"/>
  <c r="AS96" i="5" s="1"/>
  <c r="Z61" i="5"/>
  <c r="AE61" i="5" s="1"/>
  <c r="AS61" i="5" s="1"/>
  <c r="BV79" i="5"/>
  <c r="BZ79" i="5" s="1"/>
  <c r="O79" i="5"/>
  <c r="AP79" i="5" s="1"/>
  <c r="AD32" i="5"/>
  <c r="AR32" i="5" s="1"/>
  <c r="AV32" i="5" s="1"/>
  <c r="AJ79" i="5"/>
  <c r="CT61" i="5"/>
  <c r="AX27" i="5"/>
  <c r="AG44" i="5"/>
  <c r="AU44" i="5" s="1"/>
  <c r="AQ26" i="5"/>
  <c r="Z44" i="5"/>
  <c r="AE44" i="5" s="1"/>
  <c r="AS44" i="5" s="1"/>
  <c r="F96" i="5"/>
  <c r="P27" i="5"/>
  <c r="BJ27" i="5"/>
  <c r="BE27" i="5"/>
  <c r="BH27" i="5"/>
  <c r="AF72" i="5"/>
  <c r="AT72" i="5" s="1"/>
  <c r="AA78" i="5"/>
  <c r="AE77" i="5"/>
  <c r="AS77" i="5" s="1"/>
  <c r="AZ77" i="5"/>
  <c r="BK96" i="5"/>
  <c r="BI96" i="5"/>
  <c r="CC79" i="5"/>
  <c r="CG79" i="5" s="1"/>
  <c r="D79" i="5"/>
  <c r="H79" i="5" s="1"/>
  <c r="F79" i="5" s="1"/>
  <c r="M79" i="5"/>
  <c r="AQ27" i="5"/>
  <c r="BK79" i="5"/>
  <c r="BI79" i="5"/>
  <c r="U44" i="3" l="1"/>
  <c r="AC42" i="3"/>
  <c r="Y43" i="3"/>
  <c r="BA44" i="3"/>
  <c r="BE43" i="3"/>
  <c r="BJ43" i="3"/>
  <c r="U45" i="3"/>
  <c r="L45" i="3"/>
  <c r="V45" i="3"/>
  <c r="P43" i="3"/>
  <c r="L44" i="3"/>
  <c r="AL43" i="3"/>
  <c r="AL44" i="3" s="1"/>
  <c r="AH44" i="3"/>
  <c r="AM43" i="3"/>
  <c r="AZ78" i="5"/>
  <c r="AZ61" i="5"/>
  <c r="AV27" i="5"/>
  <c r="CT79" i="5"/>
  <c r="AX79" i="5"/>
  <c r="AC27" i="5"/>
  <c r="Z79" i="5"/>
  <c r="AZ96" i="5"/>
  <c r="AB79" i="5"/>
  <c r="AG79" i="5" s="1"/>
  <c r="AU79" i="5" s="1"/>
  <c r="AN79" i="5"/>
  <c r="AF78" i="5"/>
  <c r="AT78" i="5" s="1"/>
  <c r="AA79" i="5"/>
  <c r="AF79" i="5" s="1"/>
  <c r="AT79" i="5" s="1"/>
  <c r="P44" i="3" l="1"/>
  <c r="BE44" i="3"/>
  <c r="BA45" i="3"/>
  <c r="BJ44" i="3"/>
  <c r="BH44" i="3"/>
  <c r="AM44" i="3"/>
  <c r="AQ43" i="3"/>
  <c r="AW43" i="3"/>
  <c r="Y45" i="3"/>
  <c r="P45" i="3"/>
  <c r="AC43" i="3"/>
  <c r="AD43" i="3"/>
  <c r="AR43" i="3" s="1"/>
  <c r="AV43" i="3" s="1"/>
  <c r="Y44" i="3"/>
  <c r="AZ79" i="5"/>
  <c r="V38" i="5"/>
  <c r="AE79" i="5"/>
  <c r="AS79" i="5" s="1"/>
  <c r="Q39" i="5"/>
  <c r="AC45" i="3" l="1"/>
  <c r="Q46" i="3"/>
  <c r="BE45" i="3"/>
  <c r="BJ45" i="3"/>
  <c r="BH45" i="3"/>
  <c r="AC44" i="3"/>
  <c r="AD44" i="3"/>
  <c r="AR44" i="3" s="1"/>
  <c r="AV44" i="3" s="1"/>
  <c r="AW44" i="3"/>
  <c r="AQ44" i="3"/>
  <c r="BB38" i="5"/>
  <c r="BA38" i="5"/>
  <c r="U38" i="5"/>
  <c r="U46" i="3" l="1"/>
  <c r="L46" i="3"/>
  <c r="V46" i="3"/>
  <c r="BA46" i="3"/>
  <c r="BH38" i="5"/>
  <c r="V39" i="5"/>
  <c r="CW39" i="5"/>
  <c r="U39" i="5"/>
  <c r="BJ38" i="5"/>
  <c r="BA39" i="5"/>
  <c r="Q40" i="5" s="1"/>
  <c r="BE38" i="5"/>
  <c r="Y46" i="3" l="1"/>
  <c r="P46" i="3"/>
  <c r="BE46" i="3"/>
  <c r="BA47" i="3"/>
  <c r="Q47" i="3"/>
  <c r="BJ46" i="3"/>
  <c r="BH46" i="3"/>
  <c r="BH39" i="5"/>
  <c r="CY39" i="5"/>
  <c r="BB39" i="5"/>
  <c r="BE39" i="5"/>
  <c r="BJ39" i="5"/>
  <c r="AC46" i="3" l="1"/>
  <c r="Q48" i="3"/>
  <c r="BJ47" i="3"/>
  <c r="BE47" i="3"/>
  <c r="U47" i="3"/>
  <c r="BH47" i="3"/>
  <c r="L47" i="3"/>
  <c r="V48" i="3"/>
  <c r="V49" i="3" s="1"/>
  <c r="AW49" i="3" s="1"/>
  <c r="V47" i="3"/>
  <c r="Q49" i="3"/>
  <c r="V40" i="5"/>
  <c r="CW40" i="5"/>
  <c r="CY40" i="5" s="1"/>
  <c r="BA40" i="5"/>
  <c r="Q41" i="5" s="1"/>
  <c r="U40" i="5"/>
  <c r="AM49" i="3" l="1"/>
  <c r="AQ49" i="3" s="1"/>
  <c r="U49" i="3"/>
  <c r="AH49" i="3"/>
  <c r="U48" i="3"/>
  <c r="L48" i="3"/>
  <c r="BA48" i="3"/>
  <c r="BH48" i="3" s="1"/>
  <c r="Y47" i="3"/>
  <c r="P47" i="3"/>
  <c r="L49" i="3"/>
  <c r="BH40" i="5"/>
  <c r="BB40" i="5"/>
  <c r="BJ40" i="5"/>
  <c r="BE40" i="5"/>
  <c r="AC47" i="3" l="1"/>
  <c r="Y49" i="3"/>
  <c r="Q50" i="3"/>
  <c r="BE48" i="3"/>
  <c r="BA49" i="3"/>
  <c r="BJ48" i="3"/>
  <c r="AL49" i="3"/>
  <c r="P49" i="3"/>
  <c r="Y48" i="3"/>
  <c r="AC48" i="3" s="1"/>
  <c r="P48" i="3"/>
  <c r="V41" i="5"/>
  <c r="BA41" i="5"/>
  <c r="Q42" i="5" s="1"/>
  <c r="Q43" i="5" s="1"/>
  <c r="Q44" i="5" s="1"/>
  <c r="U41" i="5"/>
  <c r="CW41" i="5"/>
  <c r="AD49" i="3" l="1"/>
  <c r="AR49" i="3" s="1"/>
  <c r="AV49" i="3" s="1"/>
  <c r="AC49" i="3"/>
  <c r="AY49" i="3"/>
  <c r="U50" i="3"/>
  <c r="L50" i="3"/>
  <c r="V50" i="3"/>
  <c r="BA50" i="3"/>
  <c r="BJ49" i="3"/>
  <c r="BE49" i="3"/>
  <c r="BH49" i="3"/>
  <c r="BH41" i="5"/>
  <c r="CY41" i="5"/>
  <c r="BB41" i="5"/>
  <c r="BE41" i="5"/>
  <c r="BJ41" i="5"/>
  <c r="X42" i="8"/>
  <c r="X43" i="8"/>
  <c r="X44" i="8"/>
  <c r="X45" i="8"/>
  <c r="X46" i="8"/>
  <c r="X23" i="8"/>
  <c r="X24" i="8"/>
  <c r="X25" i="8"/>
  <c r="X26" i="8"/>
  <c r="X27" i="8"/>
  <c r="X28" i="8"/>
  <c r="X29" i="8"/>
  <c r="X30" i="8"/>
  <c r="X31" i="8"/>
  <c r="X32" i="8"/>
  <c r="X48" i="8"/>
  <c r="X2" i="8"/>
  <c r="X3" i="8"/>
  <c r="X4" i="8"/>
  <c r="X5" i="8"/>
  <c r="X6" i="8"/>
  <c r="X7" i="8"/>
  <c r="X8" i="8"/>
  <c r="X9" i="8"/>
  <c r="X10" i="8"/>
  <c r="X11" i="8"/>
  <c r="X12" i="8"/>
  <c r="X13" i="8"/>
  <c r="X14" i="8"/>
  <c r="X15" i="8"/>
  <c r="X16" i="8"/>
  <c r="X17" i="8"/>
  <c r="X18" i="8"/>
  <c r="X19" i="8"/>
  <c r="X20" i="8"/>
  <c r="X21" i="8"/>
  <c r="X22" i="8"/>
  <c r="X33" i="8"/>
  <c r="X34" i="8"/>
  <c r="X35" i="8"/>
  <c r="X36" i="8"/>
  <c r="X37" i="8"/>
  <c r="X38" i="8"/>
  <c r="X39" i="8"/>
  <c r="X40" i="8"/>
  <c r="X41" i="8"/>
  <c r="X47" i="8"/>
  <c r="X70" i="8"/>
  <c r="X71" i="8"/>
  <c r="X72" i="8"/>
  <c r="X73" i="8"/>
  <c r="X74" i="8"/>
  <c r="X63" i="8"/>
  <c r="X64" i="8"/>
  <c r="X65" i="8"/>
  <c r="X66" i="8"/>
  <c r="X67" i="8"/>
  <c r="X68" i="8"/>
  <c r="X69" i="8"/>
  <c r="X76" i="8"/>
  <c r="X49" i="8"/>
  <c r="X50" i="8"/>
  <c r="X51" i="8"/>
  <c r="X52" i="8"/>
  <c r="X53" i="8"/>
  <c r="X54" i="8"/>
  <c r="X55" i="8"/>
  <c r="X56" i="8"/>
  <c r="X57" i="8"/>
  <c r="X58" i="8"/>
  <c r="X59" i="8"/>
  <c r="X60" i="8"/>
  <c r="X61" i="8"/>
  <c r="X62" i="8"/>
  <c r="X75" i="8"/>
  <c r="X111" i="8"/>
  <c r="X112" i="8"/>
  <c r="X113" i="8"/>
  <c r="X114" i="8"/>
  <c r="X99" i="8"/>
  <c r="X100" i="8"/>
  <c r="X101" i="8"/>
  <c r="X102" i="8"/>
  <c r="X103" i="8"/>
  <c r="X104" i="8"/>
  <c r="X105" i="8"/>
  <c r="X106" i="8"/>
  <c r="X107" i="8"/>
  <c r="X108" i="8"/>
  <c r="X109" i="8"/>
  <c r="X110" i="8"/>
  <c r="X127" i="8"/>
  <c r="X115" i="8"/>
  <c r="X116" i="8"/>
  <c r="X117" i="8"/>
  <c r="X118" i="8"/>
  <c r="X119" i="8"/>
  <c r="X120" i="8"/>
  <c r="X121" i="8"/>
  <c r="X122" i="8"/>
  <c r="X123" i="8"/>
  <c r="X124" i="8"/>
  <c r="X125" i="8"/>
  <c r="X77" i="8"/>
  <c r="X78" i="8"/>
  <c r="X79" i="8"/>
  <c r="X80" i="8"/>
  <c r="X81" i="8"/>
  <c r="X82" i="8"/>
  <c r="X83" i="8"/>
  <c r="X84" i="8"/>
  <c r="X85" i="8"/>
  <c r="X86" i="8"/>
  <c r="X87" i="8"/>
  <c r="X88" i="8"/>
  <c r="X89" i="8"/>
  <c r="X90" i="8"/>
  <c r="X91" i="8"/>
  <c r="X92" i="8"/>
  <c r="X93" i="8"/>
  <c r="X94" i="8"/>
  <c r="X95" i="8"/>
  <c r="X96" i="8"/>
  <c r="X97" i="8"/>
  <c r="X98" i="8"/>
  <c r="X126" i="8"/>
  <c r="X164" i="8"/>
  <c r="X149" i="8"/>
  <c r="X150" i="8"/>
  <c r="X151" i="8"/>
  <c r="X152" i="8"/>
  <c r="X153" i="8"/>
  <c r="X154" i="8"/>
  <c r="X155" i="8"/>
  <c r="X156" i="8"/>
  <c r="X168" i="8"/>
  <c r="X165" i="8"/>
  <c r="X166" i="8"/>
  <c r="X128" i="8"/>
  <c r="X129" i="8"/>
  <c r="X130" i="8"/>
  <c r="X131" i="8"/>
  <c r="X132" i="8"/>
  <c r="X133" i="8"/>
  <c r="X134" i="8"/>
  <c r="X135" i="8"/>
  <c r="X136" i="8"/>
  <c r="X137" i="8"/>
  <c r="X138" i="8"/>
  <c r="X139" i="8"/>
  <c r="X140" i="8"/>
  <c r="X141" i="8"/>
  <c r="X142" i="8"/>
  <c r="X143" i="8"/>
  <c r="X144" i="8"/>
  <c r="X145" i="8"/>
  <c r="X146" i="8"/>
  <c r="X147" i="8"/>
  <c r="X148" i="8"/>
  <c r="X157" i="8"/>
  <c r="X158" i="8"/>
  <c r="X159" i="8"/>
  <c r="X160" i="8"/>
  <c r="X161" i="8"/>
  <c r="X162" i="8"/>
  <c r="X163" i="8"/>
  <c r="X167" i="8"/>
  <c r="Y50" i="3" l="1"/>
  <c r="P50" i="3"/>
  <c r="Q51" i="3"/>
  <c r="BA51" i="3" s="1"/>
  <c r="BE50" i="3"/>
  <c r="BJ50" i="3"/>
  <c r="BH50" i="3"/>
  <c r="V42" i="5"/>
  <c r="V43" i="5" s="1"/>
  <c r="V44" i="5" s="1"/>
  <c r="BA42" i="5"/>
  <c r="Q45" i="5" s="1"/>
  <c r="U42" i="5"/>
  <c r="CW42" i="5"/>
  <c r="CW4" i="3"/>
  <c r="Q52" i="3" l="1"/>
  <c r="BJ51" i="3"/>
  <c r="BE51" i="3"/>
  <c r="AC50" i="3"/>
  <c r="BH51" i="3"/>
  <c r="L51" i="3"/>
  <c r="U51" i="3"/>
  <c r="V51" i="3"/>
  <c r="BH42" i="5"/>
  <c r="BB42" i="5"/>
  <c r="BB43" i="5" s="1"/>
  <c r="BB44" i="5" s="1"/>
  <c r="BJ42" i="5"/>
  <c r="BA43" i="5"/>
  <c r="BE42" i="5"/>
  <c r="CW43" i="5"/>
  <c r="CY42" i="5"/>
  <c r="U43" i="5"/>
  <c r="AA2" i="6"/>
  <c r="W2" i="6"/>
  <c r="X2" i="6" s="1"/>
  <c r="Y2" i="6" s="1"/>
  <c r="Z2" i="6" s="1"/>
  <c r="P51" i="3" l="1"/>
  <c r="Y51" i="3"/>
  <c r="BH52" i="3"/>
  <c r="L52" i="3"/>
  <c r="U52" i="3"/>
  <c r="V52" i="3"/>
  <c r="BA52" i="3"/>
  <c r="BH43" i="5"/>
  <c r="V45" i="5"/>
  <c r="U45" i="5"/>
  <c r="BA44" i="5"/>
  <c r="BH44" i="5" s="1"/>
  <c r="BJ43" i="5"/>
  <c r="BE43" i="5"/>
  <c r="U44" i="5"/>
  <c r="CY43" i="5"/>
  <c r="CW44" i="5"/>
  <c r="CY44" i="5" s="1"/>
  <c r="Q53" i="3" l="1"/>
  <c r="BJ52" i="3"/>
  <c r="BE52" i="3"/>
  <c r="Y52" i="3"/>
  <c r="AC52" i="3" s="1"/>
  <c r="P52" i="3"/>
  <c r="AC51" i="3"/>
  <c r="BJ44" i="5"/>
  <c r="BE44" i="5"/>
  <c r="BA45" i="5"/>
  <c r="Q46" i="5" s="1"/>
  <c r="U53" i="3" l="1"/>
  <c r="L53" i="3"/>
  <c r="V53" i="3"/>
  <c r="BA53" i="3"/>
  <c r="BH45" i="5"/>
  <c r="BB45" i="5"/>
  <c r="BJ45" i="5"/>
  <c r="BE45" i="5"/>
  <c r="D7" i="3"/>
  <c r="CX4" i="3"/>
  <c r="CM4" i="3"/>
  <c r="CK4" i="3"/>
  <c r="CJ4" i="3"/>
  <c r="CI4" i="3"/>
  <c r="CH4" i="3"/>
  <c r="CF4" i="3"/>
  <c r="CD4" i="3"/>
  <c r="CC4" i="3"/>
  <c r="CB4" i="3"/>
  <c r="CA4" i="3"/>
  <c r="BY4" i="3"/>
  <c r="BW4" i="3"/>
  <c r="BV4" i="3"/>
  <c r="BU4" i="3"/>
  <c r="BT4" i="3"/>
  <c r="BQ4" i="3"/>
  <c r="BP4" i="3"/>
  <c r="BO4" i="3"/>
  <c r="BN4" i="3"/>
  <c r="BM4" i="3"/>
  <c r="BL4" i="3"/>
  <c r="BG4" i="3"/>
  <c r="BF4" i="3"/>
  <c r="BD4" i="3"/>
  <c r="BB4" i="3"/>
  <c r="BA4" i="3"/>
  <c r="AU4" i="3"/>
  <c r="AS4" i="3"/>
  <c r="AR4" i="3"/>
  <c r="AP4" i="3"/>
  <c r="AN4" i="3"/>
  <c r="AM4" i="3"/>
  <c r="AK4" i="3"/>
  <c r="AI4" i="3"/>
  <c r="AH4" i="3"/>
  <c r="T4" i="3"/>
  <c r="R4" i="3"/>
  <c r="Q4" i="3"/>
  <c r="BM2" i="3"/>
  <c r="AS2" i="3"/>
  <c r="AN2" i="3"/>
  <c r="AI2" i="3"/>
  <c r="F2" i="6"/>
  <c r="G2" i="6"/>
  <c r="H2" i="6" s="1"/>
  <c r="I2" i="6" s="1"/>
  <c r="J2" i="6" s="1"/>
  <c r="K2" i="6" s="1"/>
  <c r="L2" i="6" s="1"/>
  <c r="M2" i="6" s="1"/>
  <c r="N2" i="6" s="1"/>
  <c r="O2" i="6" s="1"/>
  <c r="P2" i="6" s="1"/>
  <c r="Q2" i="6" s="1"/>
  <c r="R2" i="6" s="1"/>
  <c r="S2" i="6" s="1"/>
  <c r="T2" i="6" s="1"/>
  <c r="U2" i="6" s="1"/>
  <c r="V2" i="6" s="1"/>
  <c r="E2" i="6"/>
  <c r="Y53" i="3" l="1"/>
  <c r="P53" i="3"/>
  <c r="BJ53" i="3"/>
  <c r="BE53" i="3"/>
  <c r="Q54" i="3"/>
  <c r="BH53" i="3"/>
  <c r="V46" i="5"/>
  <c r="BA46" i="5"/>
  <c r="Q47" i="5" s="1"/>
  <c r="U46" i="5"/>
  <c r="AJ2" i="3"/>
  <c r="AK2" i="3" s="1"/>
  <c r="AT2" i="3"/>
  <c r="AU2" i="3" s="1"/>
  <c r="AO2" i="3"/>
  <c r="AP2" i="3" s="1"/>
  <c r="Q42" i="8"/>
  <c r="R42" i="8"/>
  <c r="Q43" i="8"/>
  <c r="R43" i="8"/>
  <c r="Q44" i="8"/>
  <c r="R44" i="8"/>
  <c r="Q45" i="8"/>
  <c r="R45" i="8"/>
  <c r="Q46" i="8"/>
  <c r="R46" i="8"/>
  <c r="Q23" i="8"/>
  <c r="R23" i="8"/>
  <c r="Q24" i="8"/>
  <c r="R24" i="8"/>
  <c r="Q25" i="8"/>
  <c r="R25" i="8"/>
  <c r="Q26" i="8"/>
  <c r="R26" i="8"/>
  <c r="Q27" i="8"/>
  <c r="R27" i="8"/>
  <c r="Q28" i="8"/>
  <c r="R28" i="8"/>
  <c r="Q29" i="8"/>
  <c r="R29" i="8"/>
  <c r="Q30" i="8"/>
  <c r="R30" i="8"/>
  <c r="Q31" i="8"/>
  <c r="R31" i="8"/>
  <c r="Q32" i="8"/>
  <c r="R32" i="8"/>
  <c r="Q48" i="8"/>
  <c r="R48" i="8"/>
  <c r="Q2" i="8"/>
  <c r="R2" i="8"/>
  <c r="Q3" i="8"/>
  <c r="R3" i="8"/>
  <c r="Q4" i="8"/>
  <c r="R4" i="8"/>
  <c r="Q5" i="8"/>
  <c r="R5" i="8"/>
  <c r="Q6" i="8"/>
  <c r="R6" i="8"/>
  <c r="Q7" i="8"/>
  <c r="R7" i="8"/>
  <c r="Q8" i="8"/>
  <c r="R8" i="8"/>
  <c r="Q9" i="8"/>
  <c r="R9" i="8"/>
  <c r="Q10" i="8"/>
  <c r="R10" i="8"/>
  <c r="Q11" i="8"/>
  <c r="R11" i="8"/>
  <c r="Q12" i="8"/>
  <c r="R12" i="8"/>
  <c r="Q13" i="8"/>
  <c r="R13" i="8"/>
  <c r="Q14" i="8"/>
  <c r="R14" i="8"/>
  <c r="Q15" i="8"/>
  <c r="R15" i="8"/>
  <c r="Q16" i="8"/>
  <c r="R16" i="8"/>
  <c r="Q17" i="8"/>
  <c r="R17" i="8"/>
  <c r="Q18" i="8"/>
  <c r="R18" i="8"/>
  <c r="Q19" i="8"/>
  <c r="R19" i="8"/>
  <c r="Q20" i="8"/>
  <c r="R20" i="8"/>
  <c r="Q21" i="8"/>
  <c r="R21" i="8"/>
  <c r="Q22" i="8"/>
  <c r="R22" i="8"/>
  <c r="Q33" i="8"/>
  <c r="R33" i="8"/>
  <c r="Q34" i="8"/>
  <c r="R34" i="8"/>
  <c r="Q35" i="8"/>
  <c r="R35" i="8"/>
  <c r="Q36" i="8"/>
  <c r="R36" i="8"/>
  <c r="Q37" i="8"/>
  <c r="R37" i="8"/>
  <c r="Q38" i="8"/>
  <c r="R38" i="8"/>
  <c r="Q39" i="8"/>
  <c r="R39" i="8"/>
  <c r="Q40" i="8"/>
  <c r="R40" i="8"/>
  <c r="Q41" i="8"/>
  <c r="R41" i="8"/>
  <c r="Q47" i="8"/>
  <c r="R47" i="8"/>
  <c r="Q70" i="8"/>
  <c r="R70" i="8"/>
  <c r="Q71" i="8"/>
  <c r="R71" i="8"/>
  <c r="Q72" i="8"/>
  <c r="R72" i="8"/>
  <c r="Q73" i="8"/>
  <c r="R73" i="8"/>
  <c r="Q74" i="8"/>
  <c r="R74" i="8"/>
  <c r="Q63" i="8"/>
  <c r="R63" i="8"/>
  <c r="Q64" i="8"/>
  <c r="R64" i="8"/>
  <c r="Q65" i="8"/>
  <c r="R65" i="8"/>
  <c r="Q66" i="8"/>
  <c r="R66" i="8"/>
  <c r="Q67" i="8"/>
  <c r="R67" i="8"/>
  <c r="Q68" i="8"/>
  <c r="R68" i="8"/>
  <c r="Q69" i="8"/>
  <c r="R69" i="8"/>
  <c r="Q76" i="8"/>
  <c r="R76" i="8"/>
  <c r="Q49" i="8"/>
  <c r="R49" i="8"/>
  <c r="Q50" i="8"/>
  <c r="R50" i="8"/>
  <c r="Q51" i="8"/>
  <c r="R51" i="8"/>
  <c r="Q52" i="8"/>
  <c r="R52" i="8"/>
  <c r="Q53" i="8"/>
  <c r="R53" i="8"/>
  <c r="Q54" i="8"/>
  <c r="R54" i="8"/>
  <c r="Q55" i="8"/>
  <c r="R55" i="8"/>
  <c r="Q56" i="8"/>
  <c r="R56" i="8"/>
  <c r="Q57" i="8"/>
  <c r="R57" i="8"/>
  <c r="Q58" i="8"/>
  <c r="R58" i="8"/>
  <c r="Q59" i="8"/>
  <c r="R59" i="8"/>
  <c r="Q60" i="8"/>
  <c r="R60" i="8"/>
  <c r="Q61" i="8"/>
  <c r="R61" i="8"/>
  <c r="Q62" i="8"/>
  <c r="R62" i="8"/>
  <c r="Q75" i="8"/>
  <c r="R75" i="8"/>
  <c r="Q111" i="8"/>
  <c r="R111" i="8"/>
  <c r="Q112" i="8"/>
  <c r="R112" i="8"/>
  <c r="Q113" i="8"/>
  <c r="R113" i="8"/>
  <c r="Q114" i="8"/>
  <c r="R114" i="8"/>
  <c r="Q99" i="8"/>
  <c r="R99" i="8"/>
  <c r="Q100" i="8"/>
  <c r="R100" i="8"/>
  <c r="Q101" i="8"/>
  <c r="R101" i="8"/>
  <c r="Q102" i="8"/>
  <c r="R102" i="8"/>
  <c r="Q103" i="8"/>
  <c r="R103" i="8"/>
  <c r="Q104" i="8"/>
  <c r="R104" i="8"/>
  <c r="Q105" i="8"/>
  <c r="R105" i="8"/>
  <c r="Q106" i="8"/>
  <c r="R106" i="8"/>
  <c r="Q107" i="8"/>
  <c r="R107" i="8"/>
  <c r="Q108" i="8"/>
  <c r="R108" i="8"/>
  <c r="Q109" i="8"/>
  <c r="R109" i="8"/>
  <c r="Q110" i="8"/>
  <c r="R110" i="8"/>
  <c r="Q127" i="8"/>
  <c r="R127" i="8"/>
  <c r="Q115" i="8"/>
  <c r="R115" i="8"/>
  <c r="Q116" i="8"/>
  <c r="R116" i="8"/>
  <c r="Q117" i="8"/>
  <c r="R117" i="8"/>
  <c r="Q118" i="8"/>
  <c r="R118" i="8"/>
  <c r="Q119" i="8"/>
  <c r="R119" i="8"/>
  <c r="Q120" i="8"/>
  <c r="R120" i="8"/>
  <c r="Q121" i="8"/>
  <c r="R121" i="8"/>
  <c r="Q122" i="8"/>
  <c r="R122" i="8"/>
  <c r="Q123" i="8"/>
  <c r="R123" i="8"/>
  <c r="Q124" i="8"/>
  <c r="R124" i="8"/>
  <c r="Q125" i="8"/>
  <c r="R125" i="8"/>
  <c r="Q77" i="8"/>
  <c r="R77" i="8"/>
  <c r="Q78" i="8"/>
  <c r="R78" i="8"/>
  <c r="Q79" i="8"/>
  <c r="R79" i="8"/>
  <c r="Q80" i="8"/>
  <c r="R80" i="8"/>
  <c r="Q81" i="8"/>
  <c r="R81" i="8"/>
  <c r="Q82" i="8"/>
  <c r="R82" i="8"/>
  <c r="Q83" i="8"/>
  <c r="R83" i="8"/>
  <c r="Q84" i="8"/>
  <c r="R84" i="8"/>
  <c r="Q85" i="8"/>
  <c r="R85" i="8"/>
  <c r="Q86" i="8"/>
  <c r="R86" i="8"/>
  <c r="Q87" i="8"/>
  <c r="R87" i="8"/>
  <c r="Q88" i="8"/>
  <c r="R88" i="8"/>
  <c r="Q89" i="8"/>
  <c r="R89" i="8"/>
  <c r="Q90" i="8"/>
  <c r="R90" i="8"/>
  <c r="Q91" i="8"/>
  <c r="R91" i="8"/>
  <c r="Q92" i="8"/>
  <c r="R92" i="8"/>
  <c r="Q93" i="8"/>
  <c r="R93" i="8"/>
  <c r="Q94" i="8"/>
  <c r="R94" i="8"/>
  <c r="Q95" i="8"/>
  <c r="R95" i="8"/>
  <c r="Q96" i="8"/>
  <c r="R96" i="8"/>
  <c r="Q97" i="8"/>
  <c r="R97" i="8"/>
  <c r="Q98" i="8"/>
  <c r="R98" i="8"/>
  <c r="Q126" i="8"/>
  <c r="R126" i="8"/>
  <c r="Q164" i="8"/>
  <c r="R164" i="8"/>
  <c r="Q149" i="8"/>
  <c r="R149" i="8"/>
  <c r="Q150" i="8"/>
  <c r="R150" i="8"/>
  <c r="Q151" i="8"/>
  <c r="R151" i="8"/>
  <c r="Q152" i="8"/>
  <c r="R152" i="8"/>
  <c r="Q153" i="8"/>
  <c r="R153" i="8"/>
  <c r="Q154" i="8"/>
  <c r="R154" i="8"/>
  <c r="Q155" i="8"/>
  <c r="R155" i="8"/>
  <c r="Q156" i="8"/>
  <c r="R156" i="8"/>
  <c r="Q168" i="8"/>
  <c r="R168" i="8"/>
  <c r="Q165" i="8"/>
  <c r="R165" i="8"/>
  <c r="Q166" i="8"/>
  <c r="R166" i="8"/>
  <c r="Q128" i="8"/>
  <c r="R128" i="8"/>
  <c r="Q129" i="8"/>
  <c r="R129" i="8"/>
  <c r="Q130" i="8"/>
  <c r="R130" i="8"/>
  <c r="Q131" i="8"/>
  <c r="R131" i="8"/>
  <c r="Q132" i="8"/>
  <c r="R132" i="8"/>
  <c r="Q133" i="8"/>
  <c r="R133" i="8"/>
  <c r="Q134" i="8"/>
  <c r="R134" i="8"/>
  <c r="Q135" i="8"/>
  <c r="R135" i="8"/>
  <c r="Q136" i="8"/>
  <c r="R136" i="8"/>
  <c r="Q137" i="8"/>
  <c r="R137" i="8"/>
  <c r="Q138" i="8"/>
  <c r="R138" i="8"/>
  <c r="Q139" i="8"/>
  <c r="R139" i="8"/>
  <c r="Q140" i="8"/>
  <c r="R140" i="8"/>
  <c r="Q141" i="8"/>
  <c r="R141" i="8"/>
  <c r="Q142" i="8"/>
  <c r="R142" i="8"/>
  <c r="Q143" i="8"/>
  <c r="R143" i="8"/>
  <c r="Q144" i="8"/>
  <c r="R144" i="8"/>
  <c r="Q145" i="8"/>
  <c r="R145" i="8"/>
  <c r="Q146" i="8"/>
  <c r="R146" i="8"/>
  <c r="Q147" i="8"/>
  <c r="R147" i="8"/>
  <c r="Q148" i="8"/>
  <c r="R148" i="8"/>
  <c r="Q157" i="8"/>
  <c r="R157" i="8"/>
  <c r="Q158" i="8"/>
  <c r="R158" i="8"/>
  <c r="Q159" i="8"/>
  <c r="R159" i="8"/>
  <c r="Q160" i="8"/>
  <c r="R160" i="8"/>
  <c r="Q161" i="8"/>
  <c r="R161" i="8"/>
  <c r="Q162" i="8"/>
  <c r="R162" i="8"/>
  <c r="Q163" i="8"/>
  <c r="R163" i="8"/>
  <c r="Q167" i="8"/>
  <c r="R167" i="8"/>
  <c r="Q169" i="8"/>
  <c r="R169" i="8"/>
  <c r="Q170" i="8"/>
  <c r="R170" i="8"/>
  <c r="Q171" i="8"/>
  <c r="R171" i="8"/>
  <c r="Q172" i="8"/>
  <c r="R172" i="8"/>
  <c r="Q173" i="8"/>
  <c r="R173" i="8"/>
  <c r="Q174" i="8"/>
  <c r="R174" i="8"/>
  <c r="Q175" i="8"/>
  <c r="R175" i="8"/>
  <c r="Q176" i="8"/>
  <c r="R176" i="8"/>
  <c r="Q177" i="8"/>
  <c r="R177" i="8"/>
  <c r="Q178" i="8"/>
  <c r="R178" i="8"/>
  <c r="Q179" i="8"/>
  <c r="R179" i="8"/>
  <c r="Q180" i="8"/>
  <c r="R180" i="8"/>
  <c r="Q181" i="8"/>
  <c r="R181" i="8"/>
  <c r="Q182" i="8"/>
  <c r="R182" i="8"/>
  <c r="Q183" i="8"/>
  <c r="R183" i="8"/>
  <c r="Q184" i="8"/>
  <c r="R184" i="8"/>
  <c r="Q185" i="8"/>
  <c r="R185" i="8"/>
  <c r="Q186" i="8"/>
  <c r="R186" i="8"/>
  <c r="Q187" i="8"/>
  <c r="R187" i="8"/>
  <c r="Q188" i="8"/>
  <c r="R188" i="8"/>
  <c r="Q189" i="8"/>
  <c r="R189" i="8"/>
  <c r="Q190" i="8"/>
  <c r="R190" i="8"/>
  <c r="Q191" i="8"/>
  <c r="R191" i="8"/>
  <c r="Q192" i="8"/>
  <c r="R192" i="8"/>
  <c r="Q193" i="8"/>
  <c r="R193" i="8"/>
  <c r="Q194" i="8"/>
  <c r="R194" i="8"/>
  <c r="Q195" i="8"/>
  <c r="R195" i="8"/>
  <c r="Q196" i="8"/>
  <c r="R196" i="8"/>
  <c r="Q197" i="8"/>
  <c r="R197" i="8"/>
  <c r="Q198" i="8"/>
  <c r="R198" i="8"/>
  <c r="Q199" i="8"/>
  <c r="R199" i="8"/>
  <c r="Q200" i="8"/>
  <c r="R200" i="8"/>
  <c r="Q201" i="8"/>
  <c r="R201" i="8"/>
  <c r="Q202" i="8"/>
  <c r="R202" i="8"/>
  <c r="Q203" i="8"/>
  <c r="R203" i="8"/>
  <c r="Q204" i="8"/>
  <c r="R204" i="8"/>
  <c r="Q205" i="8"/>
  <c r="R205" i="8"/>
  <c r="Q206" i="8"/>
  <c r="R206" i="8"/>
  <c r="Q207" i="8"/>
  <c r="R207" i="8"/>
  <c r="Q208" i="8"/>
  <c r="R208" i="8"/>
  <c r="Q209" i="8"/>
  <c r="R209" i="8"/>
  <c r="Q210" i="8"/>
  <c r="R210" i="8"/>
  <c r="Q211" i="8"/>
  <c r="R211" i="8"/>
  <c r="Q212" i="8"/>
  <c r="R212" i="8"/>
  <c r="Q213" i="8"/>
  <c r="R213" i="8"/>
  <c r="Q214" i="8"/>
  <c r="R214" i="8"/>
  <c r="Q215" i="8"/>
  <c r="R215" i="8"/>
  <c r="Q216" i="8"/>
  <c r="R216" i="8"/>
  <c r="Q217" i="8"/>
  <c r="R217" i="8"/>
  <c r="Q218" i="8"/>
  <c r="R218" i="8"/>
  <c r="Q219" i="8"/>
  <c r="R219" i="8"/>
  <c r="Q220" i="8"/>
  <c r="R220" i="8"/>
  <c r="Q221" i="8"/>
  <c r="R221" i="8"/>
  <c r="Q222" i="8"/>
  <c r="R222" i="8"/>
  <c r="Q223" i="8"/>
  <c r="R223" i="8"/>
  <c r="Q224" i="8"/>
  <c r="R224" i="8"/>
  <c r="Q225" i="8"/>
  <c r="R225" i="8"/>
  <c r="Q226" i="8"/>
  <c r="R226" i="8"/>
  <c r="Q227" i="8"/>
  <c r="R227" i="8"/>
  <c r="Q228" i="8"/>
  <c r="R228" i="8"/>
  <c r="Q229" i="8"/>
  <c r="R229" i="8"/>
  <c r="Q230" i="8"/>
  <c r="R230" i="8"/>
  <c r="Q231" i="8"/>
  <c r="R231" i="8"/>
  <c r="Q232" i="8"/>
  <c r="R232" i="8"/>
  <c r="Q233" i="8"/>
  <c r="R233" i="8"/>
  <c r="Q234" i="8"/>
  <c r="R234" i="8"/>
  <c r="Q235" i="8"/>
  <c r="R235" i="8"/>
  <c r="Q236" i="8"/>
  <c r="R236" i="8"/>
  <c r="Q237" i="8"/>
  <c r="R237" i="8"/>
  <c r="Q238" i="8"/>
  <c r="R238" i="8"/>
  <c r="Q239" i="8"/>
  <c r="R239" i="8"/>
  <c r="Q240" i="8"/>
  <c r="R240" i="8"/>
  <c r="Q241" i="8"/>
  <c r="R241" i="8"/>
  <c r="Q242" i="8"/>
  <c r="R242" i="8"/>
  <c r="Q243" i="8"/>
  <c r="R243" i="8"/>
  <c r="Q244" i="8"/>
  <c r="R244" i="8"/>
  <c r="Q245" i="8"/>
  <c r="R245" i="8"/>
  <c r="Q246" i="8"/>
  <c r="R246" i="8"/>
  <c r="Q247" i="8"/>
  <c r="R247" i="8"/>
  <c r="Q248" i="8"/>
  <c r="R248" i="8"/>
  <c r="Q249" i="8"/>
  <c r="R249" i="8"/>
  <c r="Q250" i="8"/>
  <c r="R250" i="8"/>
  <c r="Q251" i="8"/>
  <c r="R251" i="8"/>
  <c r="Q252" i="8"/>
  <c r="R252" i="8"/>
  <c r="Q253" i="8"/>
  <c r="R253" i="8"/>
  <c r="Q254" i="8"/>
  <c r="R254" i="8"/>
  <c r="Q255" i="8"/>
  <c r="R255" i="8"/>
  <c r="Q256" i="8"/>
  <c r="R256" i="8"/>
  <c r="Q257" i="8"/>
  <c r="R257" i="8"/>
  <c r="Q258" i="8"/>
  <c r="R258" i="8"/>
  <c r="Q259" i="8"/>
  <c r="R259" i="8"/>
  <c r="Q260" i="8"/>
  <c r="R260" i="8"/>
  <c r="Q261" i="8"/>
  <c r="R261" i="8"/>
  <c r="Q262" i="8"/>
  <c r="R262" i="8"/>
  <c r="Q263" i="8"/>
  <c r="R263" i="8"/>
  <c r="Q264" i="8"/>
  <c r="R264" i="8"/>
  <c r="Q265" i="8"/>
  <c r="R265" i="8"/>
  <c r="Q266" i="8"/>
  <c r="R266" i="8"/>
  <c r="Q267" i="8"/>
  <c r="R267" i="8"/>
  <c r="Q268" i="8"/>
  <c r="R268" i="8"/>
  <c r="Q269" i="8"/>
  <c r="R269" i="8"/>
  <c r="Q270" i="8"/>
  <c r="R270" i="8"/>
  <c r="Q271" i="8"/>
  <c r="R271" i="8"/>
  <c r="Q272" i="8"/>
  <c r="R272" i="8"/>
  <c r="Q273" i="8"/>
  <c r="R273" i="8"/>
  <c r="Q274" i="8"/>
  <c r="R274" i="8"/>
  <c r="Q275" i="8"/>
  <c r="R275" i="8"/>
  <c r="Q276" i="8"/>
  <c r="R276" i="8"/>
  <c r="Q277" i="8"/>
  <c r="R277" i="8"/>
  <c r="Q278" i="8"/>
  <c r="R278" i="8"/>
  <c r="Q279" i="8"/>
  <c r="R279" i="8"/>
  <c r="Q280" i="8"/>
  <c r="R280" i="8"/>
  <c r="Q281" i="8"/>
  <c r="R281" i="8"/>
  <c r="Q282" i="8"/>
  <c r="R282" i="8"/>
  <c r="Q283" i="8"/>
  <c r="R283" i="8"/>
  <c r="Q284" i="8"/>
  <c r="R284" i="8"/>
  <c r="Q285" i="8"/>
  <c r="R285" i="8"/>
  <c r="Q286" i="8"/>
  <c r="R286" i="8"/>
  <c r="Q287" i="8"/>
  <c r="R287" i="8"/>
  <c r="Q288" i="8"/>
  <c r="R288" i="8"/>
  <c r="Q289" i="8"/>
  <c r="R289" i="8"/>
  <c r="Q290" i="8"/>
  <c r="R290" i="8"/>
  <c r="Q291" i="8"/>
  <c r="R291" i="8"/>
  <c r="Q292" i="8"/>
  <c r="R292" i="8"/>
  <c r="Q293" i="8"/>
  <c r="R293" i="8"/>
  <c r="Q294" i="8"/>
  <c r="R294" i="8"/>
  <c r="Q295" i="8"/>
  <c r="R295" i="8"/>
  <c r="Q296" i="8"/>
  <c r="R296" i="8"/>
  <c r="Q297" i="8"/>
  <c r="R297" i="8"/>
  <c r="Q298" i="8"/>
  <c r="R298" i="8"/>
  <c r="Q299" i="8"/>
  <c r="R299" i="8"/>
  <c r="L54" i="3" l="1"/>
  <c r="U54" i="3"/>
  <c r="V54" i="3"/>
  <c r="V55" i="3" s="1"/>
  <c r="AW55" i="3" s="1"/>
  <c r="Q55" i="3"/>
  <c r="BA54" i="3"/>
  <c r="AC53" i="3"/>
  <c r="BH46" i="5"/>
  <c r="BB46" i="5"/>
  <c r="BE46" i="5"/>
  <c r="BJ46" i="5"/>
  <c r="BA55" i="3" l="1"/>
  <c r="BJ54" i="3"/>
  <c r="Q56" i="3"/>
  <c r="BE54" i="3"/>
  <c r="U55" i="3"/>
  <c r="AH55" i="3"/>
  <c r="P54" i="3"/>
  <c r="Y54" i="3"/>
  <c r="L55" i="3"/>
  <c r="BH54" i="3"/>
  <c r="BH55" i="3" s="1"/>
  <c r="V47" i="5"/>
  <c r="BA47" i="5"/>
  <c r="Q48" i="5" s="1"/>
  <c r="Q49" i="5" s="1"/>
  <c r="BB47" i="5"/>
  <c r="U47" i="5"/>
  <c r="P55" i="3" l="1"/>
  <c r="AC54" i="3"/>
  <c r="Y55" i="3"/>
  <c r="AM55" i="3"/>
  <c r="AQ55" i="3" s="1"/>
  <c r="L56" i="3"/>
  <c r="U56" i="3"/>
  <c r="CW56" i="3"/>
  <c r="V56" i="3"/>
  <c r="AL55" i="3"/>
  <c r="BJ55" i="3"/>
  <c r="BE55" i="3"/>
  <c r="BA56" i="3"/>
  <c r="BH47" i="5"/>
  <c r="BE47" i="5"/>
  <c r="V48" i="5"/>
  <c r="V49" i="5" s="1"/>
  <c r="BJ47" i="5"/>
  <c r="BA48" i="5"/>
  <c r="Q50" i="5" s="1"/>
  <c r="U49" i="5"/>
  <c r="U48" i="5"/>
  <c r="Q57" i="3" l="1"/>
  <c r="BJ56" i="3"/>
  <c r="BE56" i="3"/>
  <c r="BH56" i="3"/>
  <c r="CY56" i="3"/>
  <c r="CW57" i="3"/>
  <c r="P56" i="3"/>
  <c r="Y56" i="3"/>
  <c r="AD55" i="3"/>
  <c r="AR55" i="3" s="1"/>
  <c r="AV55" i="3" s="1"/>
  <c r="AC55" i="3"/>
  <c r="AY55" i="3"/>
  <c r="BB48" i="5"/>
  <c r="BB49" i="5" s="1"/>
  <c r="BA49" i="5"/>
  <c r="BE49" i="5" s="1"/>
  <c r="BJ48" i="5"/>
  <c r="BE48" i="5"/>
  <c r="BH48" i="5"/>
  <c r="BV4" i="5"/>
  <c r="CM4" i="5"/>
  <c r="CK4" i="5"/>
  <c r="CJ4" i="5"/>
  <c r="CF4" i="5"/>
  <c r="CD4" i="5"/>
  <c r="CC4" i="5"/>
  <c r="BY4" i="5"/>
  <c r="BW4" i="5"/>
  <c r="BD4" i="5"/>
  <c r="BB4" i="5"/>
  <c r="BA4" i="5"/>
  <c r="AU4" i="5"/>
  <c r="AS4" i="5"/>
  <c r="AR4" i="5"/>
  <c r="AP4" i="5"/>
  <c r="AN4" i="5"/>
  <c r="AM4" i="5"/>
  <c r="AK4" i="5"/>
  <c r="AI4" i="5"/>
  <c r="AH4" i="5"/>
  <c r="R4" i="5"/>
  <c r="BM2" i="5"/>
  <c r="BM4" i="5"/>
  <c r="BL4" i="5"/>
  <c r="BQ4" i="5"/>
  <c r="BP4" i="5"/>
  <c r="BO4" i="5"/>
  <c r="BN4" i="5"/>
  <c r="AS2" i="5"/>
  <c r="AT2" i="5" s="1"/>
  <c r="AU2" i="5" s="1"/>
  <c r="AN2" i="5"/>
  <c r="AO2" i="5" s="1"/>
  <c r="AP2" i="5" s="1"/>
  <c r="AI2" i="5"/>
  <c r="AJ2" i="5" s="1"/>
  <c r="AK2" i="5" s="1"/>
  <c r="BG4" i="5"/>
  <c r="BF4" i="5"/>
  <c r="CI4" i="5"/>
  <c r="CH4" i="5"/>
  <c r="CB4" i="5"/>
  <c r="CA4" i="5"/>
  <c r="CY57" i="3" l="1"/>
  <c r="AC56" i="3"/>
  <c r="U57" i="3"/>
  <c r="L57" i="3"/>
  <c r="V57" i="3"/>
  <c r="BA57" i="3"/>
  <c r="BH49" i="5"/>
  <c r="BJ49" i="5"/>
  <c r="U50" i="5"/>
  <c r="BA50" i="5"/>
  <c r="V50" i="5"/>
  <c r="BB50" i="5"/>
  <c r="CW4" i="5"/>
  <c r="BJ57" i="3" l="1"/>
  <c r="BE57" i="3"/>
  <c r="Q58" i="3"/>
  <c r="Y57" i="3"/>
  <c r="P57" i="3"/>
  <c r="BH57" i="3"/>
  <c r="BE50" i="5"/>
  <c r="Q51" i="5"/>
  <c r="V51" i="5" s="1"/>
  <c r="BH50" i="5"/>
  <c r="BJ50" i="5"/>
  <c r="L58" i="3" l="1"/>
  <c r="U58" i="3"/>
  <c r="CW58" i="3"/>
  <c r="V58" i="3"/>
  <c r="BA58" i="3"/>
  <c r="AC57" i="3"/>
  <c r="U51" i="5"/>
  <c r="BA51" i="5"/>
  <c r="CY58" i="3" l="1"/>
  <c r="Q59" i="3"/>
  <c r="BJ58" i="3"/>
  <c r="BE58" i="3"/>
  <c r="P58" i="3"/>
  <c r="Y58" i="3"/>
  <c r="BH58" i="3"/>
  <c r="Q52" i="5"/>
  <c r="V52" i="5" s="1"/>
  <c r="BB51" i="5"/>
  <c r="BE51" i="5"/>
  <c r="BH51" i="5"/>
  <c r="BJ51" i="5"/>
  <c r="U59" i="3" l="1"/>
  <c r="L59" i="3"/>
  <c r="V59" i="3"/>
  <c r="V60" i="3" s="1"/>
  <c r="V61" i="3" s="1"/>
  <c r="Q60" i="3"/>
  <c r="BA59" i="3"/>
  <c r="AC58" i="3"/>
  <c r="CW59" i="3"/>
  <c r="U52" i="5"/>
  <c r="BA52" i="5"/>
  <c r="BJ59" i="3" l="1"/>
  <c r="BE59" i="3"/>
  <c r="Q62" i="3"/>
  <c r="BA60" i="3"/>
  <c r="BH59" i="3"/>
  <c r="CW60" i="3"/>
  <c r="CY59" i="3"/>
  <c r="BH60" i="3"/>
  <c r="U60" i="3"/>
  <c r="Q61" i="3"/>
  <c r="AW60" i="3"/>
  <c r="AW61" i="3" s="1"/>
  <c r="AH60" i="3"/>
  <c r="Y59" i="3"/>
  <c r="P59" i="3"/>
  <c r="L60" i="3"/>
  <c r="Q53" i="5"/>
  <c r="V53" i="5" s="1"/>
  <c r="BB52" i="5"/>
  <c r="BJ52" i="5"/>
  <c r="BE52" i="5"/>
  <c r="BH52" i="5"/>
  <c r="P60" i="3" l="1"/>
  <c r="L61" i="3"/>
  <c r="BA61" i="3"/>
  <c r="BJ60" i="3"/>
  <c r="BE60" i="3"/>
  <c r="U61" i="3"/>
  <c r="AM61" i="3"/>
  <c r="AQ61" i="3" s="1"/>
  <c r="L62" i="3"/>
  <c r="U62" i="3"/>
  <c r="V62" i="3"/>
  <c r="AC59" i="3"/>
  <c r="Y60" i="3"/>
  <c r="CW61" i="3"/>
  <c r="CY61" i="3" s="1"/>
  <c r="CY60" i="3"/>
  <c r="AL60" i="3"/>
  <c r="AL61" i="3" s="1"/>
  <c r="AH61" i="3"/>
  <c r="AM60" i="3"/>
  <c r="AQ60" i="3" s="1"/>
  <c r="U53" i="5"/>
  <c r="BA53" i="5"/>
  <c r="BJ53" i="5" s="1"/>
  <c r="BB53" i="5"/>
  <c r="P62" i="3" l="1"/>
  <c r="Y62" i="3"/>
  <c r="AD60" i="3"/>
  <c r="AR60" i="3" s="1"/>
  <c r="AV60" i="3" s="1"/>
  <c r="AC60" i="3"/>
  <c r="Y61" i="3"/>
  <c r="AY60" i="3"/>
  <c r="AY61" i="3" s="1"/>
  <c r="P61" i="3"/>
  <c r="BA62" i="3"/>
  <c r="BJ61" i="3"/>
  <c r="BE61" i="3"/>
  <c r="BH61" i="3"/>
  <c r="BH53" i="5"/>
  <c r="Q54" i="5"/>
  <c r="Q55" i="5" s="1"/>
  <c r="U55" i="5" s="1"/>
  <c r="BE53" i="5"/>
  <c r="AD61" i="3" l="1"/>
  <c r="AR61" i="3" s="1"/>
  <c r="AV61" i="3" s="1"/>
  <c r="AC61" i="3"/>
  <c r="AC62" i="3"/>
  <c r="Q63" i="3"/>
  <c r="BA63" i="3" s="1"/>
  <c r="BJ62" i="3"/>
  <c r="BE62" i="3"/>
  <c r="BH62" i="3"/>
  <c r="V54" i="5"/>
  <c r="V55" i="5" s="1"/>
  <c r="U54" i="5"/>
  <c r="BA54" i="5"/>
  <c r="BH54" i="5" s="1"/>
  <c r="C5" i="3"/>
  <c r="C6" i="3"/>
  <c r="Q64" i="3" l="1"/>
  <c r="BE63" i="3"/>
  <c r="BJ63" i="3"/>
  <c r="U63" i="3"/>
  <c r="BH63" i="3"/>
  <c r="L63" i="3"/>
  <c r="V64" i="3"/>
  <c r="V63" i="3"/>
  <c r="BB54" i="5"/>
  <c r="BB55" i="5" s="1"/>
  <c r="Q56" i="5"/>
  <c r="BJ54" i="5"/>
  <c r="BA55" i="5"/>
  <c r="BH55" i="5" s="1"/>
  <c r="BE54" i="5"/>
  <c r="Y63" i="3" l="1"/>
  <c r="P63" i="3"/>
  <c r="U64" i="3"/>
  <c r="L64" i="3"/>
  <c r="BA64" i="3"/>
  <c r="V56" i="5"/>
  <c r="U56" i="5"/>
  <c r="CW56" i="5"/>
  <c r="CY56" i="5" s="1"/>
  <c r="BE55" i="5"/>
  <c r="BA56" i="5"/>
  <c r="BH56" i="5" s="1"/>
  <c r="BJ55" i="5"/>
  <c r="BE64" i="3" l="1"/>
  <c r="BA65" i="3"/>
  <c r="Q65" i="3"/>
  <c r="BJ64" i="3"/>
  <c r="Y64" i="3"/>
  <c r="AC64" i="3" s="1"/>
  <c r="P64" i="3"/>
  <c r="BH64" i="3"/>
  <c r="AC63" i="3"/>
  <c r="BB56" i="5"/>
  <c r="BE56" i="5"/>
  <c r="BJ56" i="5"/>
  <c r="Q57" i="5"/>
  <c r="V57" i="5" s="1"/>
  <c r="U65" i="3" l="1"/>
  <c r="BH65" i="3"/>
  <c r="L65" i="3"/>
  <c r="Q66" i="3"/>
  <c r="V65" i="3"/>
  <c r="V66" i="3" s="1"/>
  <c r="AW66" i="3" s="1"/>
  <c r="BA66" i="3"/>
  <c r="BJ65" i="3"/>
  <c r="Q67" i="3"/>
  <c r="BE65" i="3"/>
  <c r="BA57" i="5"/>
  <c r="BH57" i="5" s="1"/>
  <c r="U57" i="5"/>
  <c r="CW57" i="5"/>
  <c r="CY57" i="5" s="1"/>
  <c r="AN244" i="8"/>
  <c r="AN245" i="8"/>
  <c r="AN246" i="8"/>
  <c r="AN247" i="8"/>
  <c r="AN248" i="8"/>
  <c r="AN249" i="8"/>
  <c r="AN250" i="8"/>
  <c r="AN251" i="8"/>
  <c r="AN252" i="8"/>
  <c r="AN253" i="8"/>
  <c r="AN254" i="8"/>
  <c r="AN255" i="8"/>
  <c r="AN256" i="8"/>
  <c r="AN257" i="8"/>
  <c r="AN258" i="8"/>
  <c r="AN259" i="8"/>
  <c r="AN260" i="8"/>
  <c r="AN261" i="8"/>
  <c r="AN262" i="8"/>
  <c r="AN263" i="8"/>
  <c r="AN264" i="8"/>
  <c r="AN265" i="8"/>
  <c r="AN266" i="8"/>
  <c r="AN267" i="8"/>
  <c r="AN268" i="8"/>
  <c r="AN269" i="8"/>
  <c r="AN270" i="8"/>
  <c r="AN271" i="8"/>
  <c r="AN272" i="8"/>
  <c r="AN273" i="8"/>
  <c r="AN274" i="8"/>
  <c r="AN275" i="8"/>
  <c r="AN276" i="8"/>
  <c r="AN277" i="8"/>
  <c r="AN278" i="8"/>
  <c r="AN279" i="8"/>
  <c r="AN280" i="8"/>
  <c r="AN281" i="8"/>
  <c r="AN282" i="8"/>
  <c r="AN283" i="8"/>
  <c r="AN284" i="8"/>
  <c r="AN285" i="8"/>
  <c r="AN286" i="8"/>
  <c r="AN287" i="8"/>
  <c r="AN288" i="8"/>
  <c r="AN289" i="8"/>
  <c r="AN290" i="8"/>
  <c r="AN291" i="8"/>
  <c r="AN292" i="8"/>
  <c r="AN293" i="8"/>
  <c r="AN294" i="8"/>
  <c r="AN295" i="8"/>
  <c r="AN296" i="8"/>
  <c r="AN297" i="8"/>
  <c r="AN298" i="8"/>
  <c r="AN299" i="8"/>
  <c r="AN300" i="8"/>
  <c r="AN301" i="8"/>
  <c r="AN302" i="8"/>
  <c r="AN303" i="8"/>
  <c r="AN304" i="8"/>
  <c r="AN305" i="8"/>
  <c r="AN306" i="8"/>
  <c r="AN307" i="8"/>
  <c r="AN308" i="8"/>
  <c r="AN309" i="8"/>
  <c r="AN310" i="8"/>
  <c r="AN311" i="8"/>
  <c r="AN312" i="8"/>
  <c r="AN313" i="8"/>
  <c r="AN314" i="8"/>
  <c r="AN315" i="8"/>
  <c r="AN316" i="8"/>
  <c r="AN317" i="8"/>
  <c r="AN318" i="8"/>
  <c r="AN319" i="8"/>
  <c r="AN320" i="8"/>
  <c r="AN321" i="8"/>
  <c r="AN322" i="8"/>
  <c r="AN323" i="8"/>
  <c r="AN324" i="8"/>
  <c r="AN325" i="8"/>
  <c r="AN326" i="8"/>
  <c r="AN327" i="8"/>
  <c r="AN328" i="8"/>
  <c r="AN329" i="8"/>
  <c r="AN330" i="8"/>
  <c r="AN331" i="8"/>
  <c r="AN332" i="8"/>
  <c r="AN333" i="8"/>
  <c r="AN334" i="8"/>
  <c r="AN335" i="8"/>
  <c r="AN336" i="8"/>
  <c r="AN337" i="8"/>
  <c r="AN338" i="8"/>
  <c r="AN339" i="8"/>
  <c r="AN340" i="8"/>
  <c r="AN341" i="8"/>
  <c r="AN342" i="8"/>
  <c r="AN343" i="8"/>
  <c r="AN344" i="8"/>
  <c r="AN345" i="8"/>
  <c r="AN346" i="8"/>
  <c r="AN347" i="8"/>
  <c r="AN348" i="8"/>
  <c r="AN349" i="8"/>
  <c r="AN350" i="8"/>
  <c r="AN351" i="8"/>
  <c r="AN352" i="8"/>
  <c r="AN353" i="8"/>
  <c r="AN354" i="8"/>
  <c r="AN355" i="8"/>
  <c r="AN356" i="8"/>
  <c r="AN357" i="8"/>
  <c r="AN358" i="8"/>
  <c r="AN359" i="8"/>
  <c r="AN360" i="8"/>
  <c r="AN361" i="8"/>
  <c r="AN362" i="8"/>
  <c r="AN363" i="8"/>
  <c r="AN364" i="8"/>
  <c r="AN365" i="8"/>
  <c r="AN366" i="8"/>
  <c r="AN367" i="8"/>
  <c r="AN368" i="8"/>
  <c r="AN369" i="8"/>
  <c r="AN370" i="8"/>
  <c r="AN371" i="8"/>
  <c r="AN372" i="8"/>
  <c r="AN373" i="8"/>
  <c r="AN374" i="8"/>
  <c r="AN375" i="8"/>
  <c r="AN376" i="8"/>
  <c r="AN377" i="8"/>
  <c r="AN378" i="8"/>
  <c r="AN379" i="8"/>
  <c r="AN380" i="8"/>
  <c r="AN381" i="8"/>
  <c r="AN382" i="8"/>
  <c r="AN383" i="8"/>
  <c r="AN384" i="8"/>
  <c r="AN385" i="8"/>
  <c r="AN386" i="8"/>
  <c r="AN387" i="8"/>
  <c r="AN388" i="8"/>
  <c r="AN389" i="8"/>
  <c r="AN390" i="8"/>
  <c r="AN391" i="8"/>
  <c r="AN392" i="8"/>
  <c r="AN393" i="8"/>
  <c r="AN394" i="8"/>
  <c r="AN395" i="8"/>
  <c r="AN396" i="8"/>
  <c r="AN397" i="8"/>
  <c r="AN398" i="8"/>
  <c r="AN399" i="8"/>
  <c r="AN400" i="8"/>
  <c r="AN401" i="8"/>
  <c r="AN402" i="8"/>
  <c r="AN403" i="8"/>
  <c r="AN404" i="8"/>
  <c r="AN405" i="8"/>
  <c r="AN406" i="8"/>
  <c r="AN407" i="8"/>
  <c r="AN408" i="8"/>
  <c r="AN409" i="8"/>
  <c r="AN410" i="8"/>
  <c r="AN411" i="8"/>
  <c r="AN412" i="8"/>
  <c r="AN413" i="8"/>
  <c r="AN414" i="8"/>
  <c r="AN415" i="8"/>
  <c r="AN416" i="8"/>
  <c r="AN417" i="8"/>
  <c r="AN418" i="8"/>
  <c r="AN419" i="8"/>
  <c r="AN420" i="8"/>
  <c r="AN421" i="8"/>
  <c r="AN422" i="8"/>
  <c r="AN423" i="8"/>
  <c r="AN424" i="8"/>
  <c r="AN425" i="8"/>
  <c r="AN426" i="8"/>
  <c r="AN427" i="8"/>
  <c r="AN428" i="8"/>
  <c r="AN429" i="8"/>
  <c r="AN430" i="8"/>
  <c r="AN431" i="8"/>
  <c r="AN432" i="8"/>
  <c r="AN433" i="8"/>
  <c r="AN434" i="8"/>
  <c r="AN435" i="8"/>
  <c r="AN436" i="8"/>
  <c r="AN437" i="8"/>
  <c r="AN438" i="8"/>
  <c r="AN439" i="8"/>
  <c r="AN440" i="8"/>
  <c r="AN441" i="8"/>
  <c r="AN442" i="8"/>
  <c r="AN443" i="8"/>
  <c r="AN444" i="8"/>
  <c r="AN243" i="8"/>
  <c r="AN3" i="8"/>
  <c r="AN4" i="8"/>
  <c r="AN5" i="8"/>
  <c r="AN6" i="8"/>
  <c r="AN7" i="8"/>
  <c r="AN8" i="8"/>
  <c r="AN9" i="8"/>
  <c r="AN10" i="8"/>
  <c r="AN11" i="8"/>
  <c r="AN12" i="8"/>
  <c r="AN13" i="8"/>
  <c r="AN14" i="8"/>
  <c r="AN15" i="8"/>
  <c r="AN16" i="8"/>
  <c r="AN17" i="8"/>
  <c r="AN18" i="8"/>
  <c r="AN19" i="8"/>
  <c r="AN20" i="8"/>
  <c r="AN21" i="8"/>
  <c r="AN22" i="8"/>
  <c r="AN23" i="8"/>
  <c r="AN24" i="8"/>
  <c r="AN25" i="8"/>
  <c r="AN26" i="8"/>
  <c r="AN27" i="8"/>
  <c r="AN28" i="8"/>
  <c r="AN29" i="8"/>
  <c r="AN30" i="8"/>
  <c r="AN31" i="8"/>
  <c r="AN32" i="8"/>
  <c r="AN33" i="8"/>
  <c r="AN34" i="8"/>
  <c r="AN35" i="8"/>
  <c r="AN36" i="8"/>
  <c r="AN37" i="8"/>
  <c r="AN38" i="8"/>
  <c r="AN39" i="8"/>
  <c r="AN40" i="8"/>
  <c r="AN41" i="8"/>
  <c r="AN42" i="8"/>
  <c r="AN43" i="8"/>
  <c r="AN44" i="8"/>
  <c r="AN45" i="8"/>
  <c r="AN46" i="8"/>
  <c r="AN47" i="8"/>
  <c r="AN48" i="8"/>
  <c r="AN49" i="8"/>
  <c r="AN50" i="8"/>
  <c r="AN51" i="8"/>
  <c r="AN52" i="8"/>
  <c r="AN53" i="8"/>
  <c r="AN54" i="8"/>
  <c r="AN55" i="8"/>
  <c r="AN56" i="8"/>
  <c r="AN57" i="8"/>
  <c r="AN58" i="8"/>
  <c r="AN59" i="8"/>
  <c r="AN60" i="8"/>
  <c r="AN61" i="8"/>
  <c r="AN62" i="8"/>
  <c r="AN63" i="8"/>
  <c r="AN64" i="8"/>
  <c r="AN65" i="8"/>
  <c r="AN66" i="8"/>
  <c r="AN67" i="8"/>
  <c r="AN68" i="8"/>
  <c r="AN69" i="8"/>
  <c r="AN70" i="8"/>
  <c r="AN71" i="8"/>
  <c r="AN72" i="8"/>
  <c r="AN73" i="8"/>
  <c r="AN74" i="8"/>
  <c r="AN75" i="8"/>
  <c r="AN76" i="8"/>
  <c r="AN77" i="8"/>
  <c r="AN78" i="8"/>
  <c r="AN79" i="8"/>
  <c r="AN80" i="8"/>
  <c r="AN81" i="8"/>
  <c r="AN82" i="8"/>
  <c r="AN83" i="8"/>
  <c r="AN84" i="8"/>
  <c r="AN85" i="8"/>
  <c r="AN86" i="8"/>
  <c r="AN87" i="8"/>
  <c r="AN88" i="8"/>
  <c r="AN89" i="8"/>
  <c r="AN90" i="8"/>
  <c r="AN91" i="8"/>
  <c r="AN92" i="8"/>
  <c r="AN96" i="8"/>
  <c r="AN97" i="8"/>
  <c r="AN98" i="8"/>
  <c r="AN99" i="8"/>
  <c r="AN100" i="8"/>
  <c r="AN101" i="8"/>
  <c r="AN102" i="8"/>
  <c r="AN103" i="8"/>
  <c r="AN104" i="8"/>
  <c r="AN105" i="8"/>
  <c r="AN106" i="8"/>
  <c r="AN107" i="8"/>
  <c r="AN108" i="8"/>
  <c r="AN109" i="8"/>
  <c r="AN110" i="8"/>
  <c r="AN111" i="8"/>
  <c r="AN112" i="8"/>
  <c r="AN113" i="8"/>
  <c r="AN114" i="8"/>
  <c r="AN115" i="8"/>
  <c r="AN116" i="8"/>
  <c r="AN117" i="8"/>
  <c r="AN118" i="8"/>
  <c r="AN119" i="8"/>
  <c r="AN120" i="8"/>
  <c r="AN121" i="8"/>
  <c r="AN122" i="8"/>
  <c r="AN123" i="8"/>
  <c r="AN124" i="8"/>
  <c r="AN125" i="8"/>
  <c r="AN126" i="8"/>
  <c r="AN127" i="8"/>
  <c r="AN128" i="8"/>
  <c r="AN129" i="8"/>
  <c r="AN130" i="8"/>
  <c r="AN131" i="8"/>
  <c r="AN132" i="8"/>
  <c r="AN133" i="8"/>
  <c r="AN134" i="8"/>
  <c r="AN135" i="8"/>
  <c r="AN136" i="8"/>
  <c r="AN137" i="8"/>
  <c r="AN138" i="8"/>
  <c r="AN139" i="8"/>
  <c r="AN140" i="8"/>
  <c r="AN141" i="8"/>
  <c r="AN142" i="8"/>
  <c r="AN143" i="8"/>
  <c r="AN144" i="8"/>
  <c r="AN145" i="8"/>
  <c r="AN146" i="8"/>
  <c r="AN147" i="8"/>
  <c r="AN148" i="8"/>
  <c r="AN149" i="8"/>
  <c r="AN150" i="8"/>
  <c r="AN151" i="8"/>
  <c r="AN152" i="8"/>
  <c r="AN153" i="8"/>
  <c r="AN154" i="8"/>
  <c r="AN155" i="8"/>
  <c r="AN156" i="8"/>
  <c r="AN157" i="8"/>
  <c r="AN158" i="8"/>
  <c r="AN159" i="8"/>
  <c r="AN160" i="8"/>
  <c r="AN161" i="8"/>
  <c r="AN162" i="8"/>
  <c r="AN163" i="8"/>
  <c r="AN164" i="8"/>
  <c r="AN165" i="8"/>
  <c r="AN166" i="8"/>
  <c r="AN167" i="8"/>
  <c r="AN168" i="8"/>
  <c r="AN169" i="8"/>
  <c r="AN170" i="8"/>
  <c r="AN171" i="8"/>
  <c r="AN172" i="8"/>
  <c r="AN173" i="8"/>
  <c r="AN174" i="8"/>
  <c r="AN175" i="8"/>
  <c r="AN176" i="8"/>
  <c r="AN177" i="8"/>
  <c r="AN178" i="8"/>
  <c r="AN179" i="8"/>
  <c r="AN180" i="8"/>
  <c r="AN181" i="8"/>
  <c r="AN182" i="8"/>
  <c r="AN183" i="8"/>
  <c r="AN184" i="8"/>
  <c r="AN185" i="8"/>
  <c r="AN186" i="8"/>
  <c r="AN187" i="8"/>
  <c r="AN188" i="8"/>
  <c r="AN189" i="8"/>
  <c r="AN190" i="8"/>
  <c r="AN191" i="8"/>
  <c r="AN192" i="8"/>
  <c r="AN193" i="8"/>
  <c r="AN194" i="8"/>
  <c r="AN195" i="8"/>
  <c r="AN196" i="8"/>
  <c r="AN197" i="8"/>
  <c r="AN198" i="8"/>
  <c r="AN199" i="8"/>
  <c r="AN200" i="8"/>
  <c r="AN201" i="8"/>
  <c r="AN202" i="8"/>
  <c r="AN203" i="8"/>
  <c r="AN204" i="8"/>
  <c r="AN205" i="8"/>
  <c r="AN206" i="8"/>
  <c r="AN207" i="8"/>
  <c r="AN208" i="8"/>
  <c r="AN209" i="8"/>
  <c r="AN210" i="8"/>
  <c r="AN211" i="8"/>
  <c r="AN212" i="8"/>
  <c r="AN213" i="8"/>
  <c r="AN214" i="8"/>
  <c r="AN215" i="8"/>
  <c r="AN216" i="8"/>
  <c r="AN217" i="8"/>
  <c r="AN218" i="8"/>
  <c r="AN219" i="8"/>
  <c r="AN220" i="8"/>
  <c r="AN221" i="8"/>
  <c r="AN222" i="8"/>
  <c r="AN223" i="8"/>
  <c r="AN224" i="8"/>
  <c r="AN225" i="8"/>
  <c r="AN226" i="8"/>
  <c r="AN227" i="8"/>
  <c r="AN228" i="8"/>
  <c r="AN229" i="8"/>
  <c r="AN230" i="8"/>
  <c r="AN231" i="8"/>
  <c r="AN232" i="8"/>
  <c r="AN233" i="8"/>
  <c r="AN234" i="8"/>
  <c r="AN235" i="8"/>
  <c r="AN236" i="8"/>
  <c r="AN237" i="8"/>
  <c r="AN238" i="8"/>
  <c r="AN239" i="8"/>
  <c r="AN240" i="8"/>
  <c r="AN241" i="8"/>
  <c r="AN242" i="8"/>
  <c r="AN2" i="8"/>
  <c r="Y65" i="3" l="1"/>
  <c r="P65" i="3"/>
  <c r="L66" i="3"/>
  <c r="BE66" i="3"/>
  <c r="BA67" i="3"/>
  <c r="BJ66" i="3"/>
  <c r="BH67" i="3"/>
  <c r="U67" i="3"/>
  <c r="L67" i="3"/>
  <c r="U66" i="3"/>
  <c r="BH66" i="3"/>
  <c r="AH66" i="3"/>
  <c r="V67" i="3"/>
  <c r="DC35" i="5"/>
  <c r="DB35" i="5"/>
  <c r="BB57" i="5"/>
  <c r="BE57" i="5"/>
  <c r="Q58" i="5"/>
  <c r="V58" i="5" s="1"/>
  <c r="BJ57" i="5"/>
  <c r="DC93" i="5"/>
  <c r="AR93" i="5" s="1"/>
  <c r="AV93" i="5" s="1"/>
  <c r="DC91" i="5"/>
  <c r="AR91" i="5" s="1"/>
  <c r="AV91" i="5" s="1"/>
  <c r="DB88" i="5"/>
  <c r="DC82" i="5"/>
  <c r="AR82" i="5" s="1"/>
  <c r="AV82" i="5" s="1"/>
  <c r="DC80" i="5"/>
  <c r="AR80" i="5" s="1"/>
  <c r="AV80" i="5" s="1"/>
  <c r="DB75" i="5"/>
  <c r="AH75" i="5" s="1"/>
  <c r="AL75" i="5" s="1"/>
  <c r="DB73" i="5"/>
  <c r="AH73" i="5" s="1"/>
  <c r="AL73" i="5" s="1"/>
  <c r="DB70" i="5"/>
  <c r="AH70" i="5" s="1"/>
  <c r="AL70" i="5" s="1"/>
  <c r="DC68" i="5"/>
  <c r="AR68" i="5" s="1"/>
  <c r="AV68" i="5" s="1"/>
  <c r="DB65" i="5"/>
  <c r="AH65" i="5" s="1"/>
  <c r="AL65" i="5" s="1"/>
  <c r="DB41" i="5"/>
  <c r="AH41" i="5" s="1"/>
  <c r="AL41" i="5" s="1"/>
  <c r="DB39" i="5"/>
  <c r="AH39" i="5" s="1"/>
  <c r="DB28" i="5"/>
  <c r="DB16" i="5"/>
  <c r="DC87" i="5"/>
  <c r="AR87" i="5" s="1"/>
  <c r="AV87" i="5" s="1"/>
  <c r="DC85" i="5"/>
  <c r="AR85" i="5" s="1"/>
  <c r="AV85" i="5" s="1"/>
  <c r="DC64" i="5"/>
  <c r="AR64" i="5" s="1"/>
  <c r="AV64" i="5" s="1"/>
  <c r="DB58" i="5"/>
  <c r="AH58" i="5" s="1"/>
  <c r="AL58" i="5" s="1"/>
  <c r="DB56" i="5"/>
  <c r="AH56" i="5" s="1"/>
  <c r="DB53" i="5"/>
  <c r="AH53" i="5" s="1"/>
  <c r="AL53" i="5" s="1"/>
  <c r="DB51" i="5"/>
  <c r="AH51" i="5" s="1"/>
  <c r="AL51" i="5" s="1"/>
  <c r="DC48" i="5"/>
  <c r="AR48" i="5" s="1"/>
  <c r="DB46" i="5"/>
  <c r="AH46" i="5" s="1"/>
  <c r="AL46" i="5" s="1"/>
  <c r="DC42" i="5"/>
  <c r="AR42" i="5" s="1"/>
  <c r="AV42" i="5" s="1"/>
  <c r="DB34" i="5"/>
  <c r="DB31" i="5"/>
  <c r="DC29" i="5"/>
  <c r="DB24" i="5"/>
  <c r="DB22" i="5"/>
  <c r="DC19" i="5"/>
  <c r="DC17" i="5"/>
  <c r="DB13" i="5"/>
  <c r="DB11" i="5"/>
  <c r="DC74" i="5"/>
  <c r="AR74" i="5" s="1"/>
  <c r="AV74" i="5" s="1"/>
  <c r="DC62" i="5"/>
  <c r="AR62" i="5" s="1"/>
  <c r="AV62" i="5" s="1"/>
  <c r="DB48" i="5"/>
  <c r="AH48" i="5" s="1"/>
  <c r="AL48" i="5" s="1"/>
  <c r="DC40" i="5"/>
  <c r="AR40" i="5" s="1"/>
  <c r="AV40" i="5" s="1"/>
  <c r="DB29" i="5"/>
  <c r="DB19" i="5"/>
  <c r="DB17" i="5"/>
  <c r="DC89" i="5"/>
  <c r="AR89" i="5" s="1"/>
  <c r="AV89" i="5" s="1"/>
  <c r="DB87" i="5"/>
  <c r="AH87" i="5" s="1"/>
  <c r="AL87" i="5" s="1"/>
  <c r="DB85" i="5"/>
  <c r="AH85" i="5" s="1"/>
  <c r="AL85" i="5" s="1"/>
  <c r="DC76" i="5"/>
  <c r="AR76" i="5" s="1"/>
  <c r="AV76" i="5" s="1"/>
  <c r="DC69" i="5"/>
  <c r="AR69" i="5" s="1"/>
  <c r="AV69" i="5" s="1"/>
  <c r="DC67" i="5"/>
  <c r="AR67" i="5" s="1"/>
  <c r="AV67" i="5" s="1"/>
  <c r="DB64" i="5"/>
  <c r="AH64" i="5" s="1"/>
  <c r="AL64" i="5" s="1"/>
  <c r="DB42" i="5"/>
  <c r="AH42" i="5" s="1"/>
  <c r="AL42" i="5" s="1"/>
  <c r="DC25" i="5"/>
  <c r="DC92" i="5"/>
  <c r="AR92" i="5" s="1"/>
  <c r="AV92" i="5" s="1"/>
  <c r="DB89" i="5"/>
  <c r="AH89" i="5" s="1"/>
  <c r="AL89" i="5" s="1"/>
  <c r="DC81" i="5"/>
  <c r="AR81" i="5" s="1"/>
  <c r="AV81" i="5" s="1"/>
  <c r="DB76" i="5"/>
  <c r="AH76" i="5" s="1"/>
  <c r="AL76" i="5" s="1"/>
  <c r="DB74" i="5"/>
  <c r="AH74" i="5" s="1"/>
  <c r="AL74" i="5" s="1"/>
  <c r="DC71" i="5"/>
  <c r="AR71" i="5" s="1"/>
  <c r="AV71" i="5" s="1"/>
  <c r="DB69" i="5"/>
  <c r="AH69" i="5" s="1"/>
  <c r="AL69" i="5" s="1"/>
  <c r="DB67" i="5"/>
  <c r="AH67" i="5" s="1"/>
  <c r="AL67" i="5" s="1"/>
  <c r="DB62" i="5"/>
  <c r="AH62" i="5" s="1"/>
  <c r="DC54" i="5"/>
  <c r="AR54" i="5" s="1"/>
  <c r="AV54" i="5" s="1"/>
  <c r="DC52" i="5"/>
  <c r="AR52" i="5" s="1"/>
  <c r="AV52" i="5" s="1"/>
  <c r="DB40" i="5"/>
  <c r="AH40" i="5" s="1"/>
  <c r="AL40" i="5" s="1"/>
  <c r="DB25" i="5"/>
  <c r="DC14" i="5"/>
  <c r="DC12" i="5"/>
  <c r="DB82" i="5"/>
  <c r="AH82" i="5" s="1"/>
  <c r="AL82" i="5" s="1"/>
  <c r="DB45" i="5"/>
  <c r="AH45" i="5" s="1"/>
  <c r="DB33" i="5"/>
  <c r="DC20" i="5"/>
  <c r="DB12" i="5"/>
  <c r="DC94" i="5"/>
  <c r="AR94" i="5" s="1"/>
  <c r="AV94" i="5" s="1"/>
  <c r="DB91" i="5"/>
  <c r="AH91" i="5" s="1"/>
  <c r="AL91" i="5" s="1"/>
  <c r="DC58" i="5"/>
  <c r="AR58" i="5" s="1"/>
  <c r="AV58" i="5" s="1"/>
  <c r="DC30" i="5"/>
  <c r="DB50" i="5"/>
  <c r="AH50" i="5" s="1"/>
  <c r="DB92" i="5"/>
  <c r="AH92" i="5" s="1"/>
  <c r="AL92" i="5" s="1"/>
  <c r="DB81" i="5"/>
  <c r="AH81" i="5" s="1"/>
  <c r="AL81" i="5" s="1"/>
  <c r="DC70" i="5"/>
  <c r="AR70" i="5" s="1"/>
  <c r="AV70" i="5" s="1"/>
  <c r="DC56" i="5"/>
  <c r="AR56" i="5" s="1"/>
  <c r="AV56" i="5" s="1"/>
  <c r="DC47" i="5"/>
  <c r="AR47" i="5" s="1"/>
  <c r="AV47" i="5" s="1"/>
  <c r="DC39" i="5"/>
  <c r="AR39" i="5" s="1"/>
  <c r="AV39" i="5" s="1"/>
  <c r="DC24" i="5"/>
  <c r="DB20" i="5"/>
  <c r="DC51" i="5"/>
  <c r="AR51" i="5" s="1"/>
  <c r="AV51" i="5" s="1"/>
  <c r="DC45" i="5"/>
  <c r="AR45" i="5" s="1"/>
  <c r="AV45" i="5" s="1"/>
  <c r="DC86" i="5"/>
  <c r="AR86" i="5" s="1"/>
  <c r="AV86" i="5" s="1"/>
  <c r="DC65" i="5"/>
  <c r="AR65" i="5" s="1"/>
  <c r="AV65" i="5" s="1"/>
  <c r="DC59" i="5"/>
  <c r="AR59" i="5" s="1"/>
  <c r="AV59" i="5" s="1"/>
  <c r="DB54" i="5"/>
  <c r="AH54" i="5" s="1"/>
  <c r="AL54" i="5" s="1"/>
  <c r="DB47" i="5"/>
  <c r="AH47" i="5" s="1"/>
  <c r="AL47" i="5" s="1"/>
  <c r="DC31" i="5"/>
  <c r="DC28" i="5"/>
  <c r="DC16" i="5"/>
  <c r="DC13" i="5"/>
  <c r="DB86" i="5"/>
  <c r="AH86" i="5" s="1"/>
  <c r="AL86" i="5" s="1"/>
  <c r="DC73" i="5"/>
  <c r="AR73" i="5" s="1"/>
  <c r="AV73" i="5" s="1"/>
  <c r="DB59" i="5"/>
  <c r="AH59" i="5" s="1"/>
  <c r="AL59" i="5" s="1"/>
  <c r="DB80" i="5"/>
  <c r="AH80" i="5" s="1"/>
  <c r="AL80" i="5" s="1"/>
  <c r="DC23" i="5"/>
  <c r="DC11" i="5"/>
  <c r="DB94" i="5"/>
  <c r="AH94" i="5" s="1"/>
  <c r="AL94" i="5" s="1"/>
  <c r="DC83" i="5"/>
  <c r="AR83" i="5" s="1"/>
  <c r="AV83" i="5" s="1"/>
  <c r="DC63" i="5"/>
  <c r="AR63" i="5" s="1"/>
  <c r="AV63" i="5" s="1"/>
  <c r="DC57" i="5"/>
  <c r="AR57" i="5" s="1"/>
  <c r="AV57" i="5" s="1"/>
  <c r="DC46" i="5"/>
  <c r="AR46" i="5" s="1"/>
  <c r="AV46" i="5" s="1"/>
  <c r="DC41" i="5"/>
  <c r="AR41" i="5" s="1"/>
  <c r="AV41" i="5" s="1"/>
  <c r="DC34" i="5"/>
  <c r="DB30" i="5"/>
  <c r="DB23" i="5"/>
  <c r="DC18" i="5"/>
  <c r="DB83" i="5"/>
  <c r="AH83" i="5" s="1"/>
  <c r="AL83" i="5" s="1"/>
  <c r="DB63" i="5"/>
  <c r="AH63" i="5" s="1"/>
  <c r="AL63" i="5" s="1"/>
  <c r="DB57" i="5"/>
  <c r="AH57" i="5" s="1"/>
  <c r="AL57" i="5" s="1"/>
  <c r="DC53" i="5"/>
  <c r="AR53" i="5" s="1"/>
  <c r="AV53" i="5" s="1"/>
  <c r="DC50" i="5"/>
  <c r="AR50" i="5" s="1"/>
  <c r="AV50" i="5" s="1"/>
  <c r="DC22" i="5"/>
  <c r="DB18" i="5"/>
  <c r="DB14" i="5"/>
  <c r="DB93" i="5"/>
  <c r="AH93" i="5" s="1"/>
  <c r="DC88" i="5"/>
  <c r="AR88" i="5" s="1"/>
  <c r="AV88" i="5" s="1"/>
  <c r="DC75" i="5"/>
  <c r="AR75" i="5" s="1"/>
  <c r="AV75" i="5" s="1"/>
  <c r="DB71" i="5"/>
  <c r="AH71" i="5" s="1"/>
  <c r="AL71" i="5" s="1"/>
  <c r="DB68" i="5"/>
  <c r="AH68" i="5" s="1"/>
  <c r="AL68" i="5" s="1"/>
  <c r="DB52" i="5"/>
  <c r="AH52" i="5" s="1"/>
  <c r="AL52" i="5" s="1"/>
  <c r="DC33" i="5"/>
  <c r="AG3" i="8"/>
  <c r="AG4" i="8"/>
  <c r="AG5" i="8"/>
  <c r="AG6" i="8"/>
  <c r="AG7" i="8"/>
  <c r="AG8" i="8"/>
  <c r="AG9" i="8"/>
  <c r="AG10" i="8"/>
  <c r="AG11" i="8"/>
  <c r="AG12" i="8"/>
  <c r="AG13" i="8"/>
  <c r="AG14" i="8"/>
  <c r="AG15" i="8"/>
  <c r="AG16" i="8"/>
  <c r="AG17" i="8"/>
  <c r="AG18" i="8"/>
  <c r="AG19" i="8"/>
  <c r="AG20" i="8"/>
  <c r="AG21" i="8"/>
  <c r="AG22" i="8"/>
  <c r="AG23" i="8"/>
  <c r="AG24" i="8"/>
  <c r="AG25" i="8"/>
  <c r="AG26" i="8"/>
  <c r="AG27" i="8"/>
  <c r="AG28" i="8"/>
  <c r="AG29" i="8"/>
  <c r="AG30" i="8"/>
  <c r="AG31" i="8"/>
  <c r="AG32" i="8"/>
  <c r="AG33" i="8"/>
  <c r="AG34" i="8"/>
  <c r="AG35" i="8"/>
  <c r="AG36" i="8"/>
  <c r="AG37" i="8"/>
  <c r="AG38" i="8"/>
  <c r="AG39" i="8"/>
  <c r="AG40" i="8"/>
  <c r="AG41" i="8"/>
  <c r="AG42" i="8"/>
  <c r="AG43" i="8"/>
  <c r="AG44" i="8"/>
  <c r="AG45" i="8"/>
  <c r="AG46" i="8"/>
  <c r="AG47" i="8"/>
  <c r="AG48" i="8"/>
  <c r="AG49" i="8"/>
  <c r="AG50" i="8"/>
  <c r="AG51" i="8"/>
  <c r="AG52" i="8"/>
  <c r="AG53" i="8"/>
  <c r="AG54" i="8"/>
  <c r="AG55" i="8"/>
  <c r="AG56" i="8"/>
  <c r="AG57" i="8"/>
  <c r="AG58" i="8"/>
  <c r="AG59" i="8"/>
  <c r="AG60" i="8"/>
  <c r="AG61" i="8"/>
  <c r="AG62" i="8"/>
  <c r="AG63" i="8"/>
  <c r="AG64" i="8"/>
  <c r="AG65" i="8"/>
  <c r="AG66" i="8"/>
  <c r="AG67" i="8"/>
  <c r="AG68" i="8"/>
  <c r="AG69" i="8"/>
  <c r="AG70" i="8"/>
  <c r="AG71" i="8"/>
  <c r="AG72" i="8"/>
  <c r="AG73" i="8"/>
  <c r="AG74" i="8"/>
  <c r="AG75" i="8"/>
  <c r="AG76" i="8"/>
  <c r="AG77" i="8"/>
  <c r="AG78" i="8"/>
  <c r="AG79" i="8"/>
  <c r="AG80" i="8"/>
  <c r="AG81" i="8"/>
  <c r="AG82" i="8"/>
  <c r="AG83" i="8"/>
  <c r="AG84" i="8"/>
  <c r="AG85" i="8"/>
  <c r="AG86" i="8"/>
  <c r="AG87" i="8"/>
  <c r="AG88" i="8"/>
  <c r="AG89" i="8"/>
  <c r="AG90" i="8"/>
  <c r="AG91" i="8"/>
  <c r="AG92" i="8"/>
  <c r="AG96" i="8"/>
  <c r="AG97" i="8"/>
  <c r="AG98" i="8"/>
  <c r="AG99" i="8"/>
  <c r="AG100" i="8"/>
  <c r="AG101" i="8"/>
  <c r="AG102" i="8"/>
  <c r="AG103" i="8"/>
  <c r="AG104" i="8"/>
  <c r="AG105" i="8"/>
  <c r="AG106" i="8"/>
  <c r="AG107" i="8"/>
  <c r="AG108" i="8"/>
  <c r="AG109" i="8"/>
  <c r="AG110" i="8"/>
  <c r="AG111" i="8"/>
  <c r="AG112" i="8"/>
  <c r="AG113" i="8"/>
  <c r="AG114" i="8"/>
  <c r="AG115" i="8"/>
  <c r="AG116" i="8"/>
  <c r="AG117" i="8"/>
  <c r="AG118" i="8"/>
  <c r="AG119" i="8"/>
  <c r="AG120" i="8"/>
  <c r="AG121" i="8"/>
  <c r="AG122" i="8"/>
  <c r="AG123" i="8"/>
  <c r="AG124" i="8"/>
  <c r="AG125" i="8"/>
  <c r="AG126" i="8"/>
  <c r="AG127" i="8"/>
  <c r="AG128" i="8"/>
  <c r="AG129" i="8"/>
  <c r="AG130" i="8"/>
  <c r="AG131" i="8"/>
  <c r="AG132" i="8"/>
  <c r="AG133" i="8"/>
  <c r="AG134" i="8"/>
  <c r="AG135" i="8"/>
  <c r="AG136" i="8"/>
  <c r="AG137" i="8"/>
  <c r="AG138" i="8"/>
  <c r="AG139" i="8"/>
  <c r="AG140" i="8"/>
  <c r="AG141" i="8"/>
  <c r="AG142" i="8"/>
  <c r="AG143" i="8"/>
  <c r="AG144" i="8"/>
  <c r="AG145" i="8"/>
  <c r="AG146" i="8"/>
  <c r="AG147" i="8"/>
  <c r="AG148" i="8"/>
  <c r="AG149" i="8"/>
  <c r="AG150" i="8"/>
  <c r="AG151" i="8"/>
  <c r="AG152" i="8"/>
  <c r="AG153" i="8"/>
  <c r="AG154" i="8"/>
  <c r="AG155" i="8"/>
  <c r="AG156" i="8"/>
  <c r="AG157" i="8"/>
  <c r="AG158" i="8"/>
  <c r="AG159" i="8"/>
  <c r="AG160" i="8"/>
  <c r="AG161" i="8"/>
  <c r="AG162" i="8"/>
  <c r="AG163" i="8"/>
  <c r="AG164" i="8"/>
  <c r="AG165" i="8"/>
  <c r="AG166" i="8"/>
  <c r="AG167" i="8"/>
  <c r="AG168" i="8"/>
  <c r="AG169" i="8"/>
  <c r="AG170" i="8"/>
  <c r="AG171" i="8"/>
  <c r="AG172" i="8"/>
  <c r="AG173" i="8"/>
  <c r="AG174" i="8"/>
  <c r="AG175" i="8"/>
  <c r="AG176" i="8"/>
  <c r="AG177" i="8"/>
  <c r="AG178" i="8"/>
  <c r="AG179" i="8"/>
  <c r="AG180" i="8"/>
  <c r="AG181" i="8"/>
  <c r="AG182" i="8"/>
  <c r="AG183" i="8"/>
  <c r="AG184" i="8"/>
  <c r="AG185" i="8"/>
  <c r="AG186" i="8"/>
  <c r="AG187" i="8"/>
  <c r="AG188" i="8"/>
  <c r="AG189" i="8"/>
  <c r="AG190" i="8"/>
  <c r="AG191" i="8"/>
  <c r="AG192" i="8"/>
  <c r="AG193" i="8"/>
  <c r="AG194" i="8"/>
  <c r="AG195" i="8"/>
  <c r="AG196" i="8"/>
  <c r="AG197" i="8"/>
  <c r="AG198" i="8"/>
  <c r="AG199" i="8"/>
  <c r="AG200" i="8"/>
  <c r="AG201" i="8"/>
  <c r="AG202" i="8"/>
  <c r="AG203" i="8"/>
  <c r="AG204" i="8"/>
  <c r="AG205" i="8"/>
  <c r="AG206" i="8"/>
  <c r="AG207" i="8"/>
  <c r="AG208" i="8"/>
  <c r="AG209" i="8"/>
  <c r="AG210" i="8"/>
  <c r="AG211" i="8"/>
  <c r="AG212" i="8"/>
  <c r="AG213" i="8"/>
  <c r="AG214" i="8"/>
  <c r="AG215" i="8"/>
  <c r="AG216" i="8"/>
  <c r="AG217" i="8"/>
  <c r="AG218" i="8"/>
  <c r="AG219" i="8"/>
  <c r="AG220" i="8"/>
  <c r="AG221" i="8"/>
  <c r="AG222" i="8"/>
  <c r="AG223" i="8"/>
  <c r="AG224" i="8"/>
  <c r="AG225" i="8"/>
  <c r="AG226" i="8"/>
  <c r="AG227" i="8"/>
  <c r="AG228" i="8"/>
  <c r="AG229" i="8"/>
  <c r="AG230" i="8"/>
  <c r="AG231" i="8"/>
  <c r="AG232" i="8"/>
  <c r="AG233" i="8"/>
  <c r="AG234" i="8"/>
  <c r="AG235" i="8"/>
  <c r="AG236" i="8"/>
  <c r="AG237" i="8"/>
  <c r="AG238" i="8"/>
  <c r="AG239" i="8"/>
  <c r="AG240" i="8"/>
  <c r="AG241" i="8"/>
  <c r="AG242" i="8"/>
  <c r="AG243" i="8"/>
  <c r="AG244" i="8"/>
  <c r="AG245" i="8"/>
  <c r="AG246" i="8"/>
  <c r="AG247" i="8"/>
  <c r="AG248" i="8"/>
  <c r="AG249" i="8"/>
  <c r="AG250" i="8"/>
  <c r="AG251" i="8"/>
  <c r="AG252" i="8"/>
  <c r="AG253" i="8"/>
  <c r="AG254" i="8"/>
  <c r="AG255" i="8"/>
  <c r="AG256" i="8"/>
  <c r="AG257" i="8"/>
  <c r="AG258" i="8"/>
  <c r="AG259" i="8"/>
  <c r="AG260" i="8"/>
  <c r="AG261" i="8"/>
  <c r="AG262" i="8"/>
  <c r="AG263" i="8"/>
  <c r="AG264" i="8"/>
  <c r="AG265" i="8"/>
  <c r="AG266" i="8"/>
  <c r="AG267" i="8"/>
  <c r="AG268" i="8"/>
  <c r="AG269" i="8"/>
  <c r="AG270" i="8"/>
  <c r="AG271" i="8"/>
  <c r="AG272" i="8"/>
  <c r="AG273" i="8"/>
  <c r="AG274" i="8"/>
  <c r="AG275" i="8"/>
  <c r="AG276" i="8"/>
  <c r="AG277" i="8"/>
  <c r="AG278" i="8"/>
  <c r="AG279" i="8"/>
  <c r="AG280" i="8"/>
  <c r="AG281" i="8"/>
  <c r="AG282" i="8"/>
  <c r="AG283" i="8"/>
  <c r="AG284" i="8"/>
  <c r="AG285" i="8"/>
  <c r="AG286" i="8"/>
  <c r="AG287" i="8"/>
  <c r="AG288" i="8"/>
  <c r="AG289" i="8"/>
  <c r="AG290" i="8"/>
  <c r="AG291" i="8"/>
  <c r="AG292" i="8"/>
  <c r="AG293" i="8"/>
  <c r="AG294" i="8"/>
  <c r="AG295" i="8"/>
  <c r="AG296" i="8"/>
  <c r="AG297" i="8"/>
  <c r="AG298" i="8"/>
  <c r="AG299" i="8"/>
  <c r="AG300" i="8"/>
  <c r="AG301" i="8"/>
  <c r="AG302" i="8"/>
  <c r="AG303" i="8"/>
  <c r="AG304" i="8"/>
  <c r="AG305" i="8"/>
  <c r="AG306" i="8"/>
  <c r="AG307" i="8"/>
  <c r="AG308" i="8"/>
  <c r="AG309" i="8"/>
  <c r="AG310" i="8"/>
  <c r="AG311" i="8"/>
  <c r="AG312" i="8"/>
  <c r="AG313" i="8"/>
  <c r="AG314" i="8"/>
  <c r="AG315" i="8"/>
  <c r="AG316" i="8"/>
  <c r="AG317" i="8"/>
  <c r="AG318" i="8"/>
  <c r="AG319" i="8"/>
  <c r="AG320" i="8"/>
  <c r="AG321" i="8"/>
  <c r="AG322" i="8"/>
  <c r="AG323" i="8"/>
  <c r="AG324" i="8"/>
  <c r="AG325" i="8"/>
  <c r="AG326" i="8"/>
  <c r="AG327" i="8"/>
  <c r="AG328" i="8"/>
  <c r="AG329" i="8"/>
  <c r="AG330" i="8"/>
  <c r="AG331" i="8"/>
  <c r="AG332" i="8"/>
  <c r="AG333" i="8"/>
  <c r="AG334" i="8"/>
  <c r="AG335" i="8"/>
  <c r="AG336" i="8"/>
  <c r="AG337" i="8"/>
  <c r="AG338" i="8"/>
  <c r="AG339" i="8"/>
  <c r="AG340" i="8"/>
  <c r="AG341" i="8"/>
  <c r="AG342" i="8"/>
  <c r="AG343" i="8"/>
  <c r="AG344" i="8"/>
  <c r="AG345" i="8"/>
  <c r="AG346" i="8"/>
  <c r="AG347" i="8"/>
  <c r="AG348" i="8"/>
  <c r="AG349" i="8"/>
  <c r="AG350" i="8"/>
  <c r="AG351" i="8"/>
  <c r="AG352" i="8"/>
  <c r="AG353" i="8"/>
  <c r="AG354" i="8"/>
  <c r="AG355" i="8"/>
  <c r="AG356" i="8"/>
  <c r="AG357" i="8"/>
  <c r="AG358" i="8"/>
  <c r="AG359" i="8"/>
  <c r="AG360" i="8"/>
  <c r="AG361" i="8"/>
  <c r="AG362" i="8"/>
  <c r="AG363" i="8"/>
  <c r="AG364" i="8"/>
  <c r="AG365" i="8"/>
  <c r="AG366" i="8"/>
  <c r="AG367" i="8"/>
  <c r="AG368" i="8"/>
  <c r="AG369" i="8"/>
  <c r="AG370" i="8"/>
  <c r="AG371" i="8"/>
  <c r="AG372" i="8"/>
  <c r="AG373" i="8"/>
  <c r="AG374" i="8"/>
  <c r="AG375" i="8"/>
  <c r="AG376" i="8"/>
  <c r="AG377" i="8"/>
  <c r="AG378" i="8"/>
  <c r="AG379" i="8"/>
  <c r="AG380" i="8"/>
  <c r="AG381" i="8"/>
  <c r="AG382" i="8"/>
  <c r="AG383" i="8"/>
  <c r="AG384" i="8"/>
  <c r="AG385" i="8"/>
  <c r="AG386" i="8"/>
  <c r="AG387" i="8"/>
  <c r="AG388" i="8"/>
  <c r="AG389" i="8"/>
  <c r="AG390" i="8"/>
  <c r="AG391" i="8"/>
  <c r="AG392" i="8"/>
  <c r="AG393" i="8"/>
  <c r="AG394" i="8"/>
  <c r="AG395" i="8"/>
  <c r="AG396" i="8"/>
  <c r="AG397" i="8"/>
  <c r="AG398" i="8"/>
  <c r="AG399" i="8"/>
  <c r="AG400" i="8"/>
  <c r="AG401" i="8"/>
  <c r="AG402" i="8"/>
  <c r="AG403" i="8"/>
  <c r="AG404" i="8"/>
  <c r="AG405" i="8"/>
  <c r="AG406" i="8"/>
  <c r="AG407" i="8"/>
  <c r="AG408" i="8"/>
  <c r="AG409" i="8"/>
  <c r="AG410" i="8"/>
  <c r="AG411" i="8"/>
  <c r="AG412" i="8"/>
  <c r="AG413" i="8"/>
  <c r="AG414" i="8"/>
  <c r="AG415" i="8"/>
  <c r="AG416" i="8"/>
  <c r="AG417" i="8"/>
  <c r="AG418" i="8"/>
  <c r="AG419" i="8"/>
  <c r="AG420" i="8"/>
  <c r="AG421" i="8"/>
  <c r="AG422" i="8"/>
  <c r="AG423" i="8"/>
  <c r="AG424" i="8"/>
  <c r="AG425" i="8"/>
  <c r="AG426" i="8"/>
  <c r="AG427" i="8"/>
  <c r="AG428" i="8"/>
  <c r="AG429" i="8"/>
  <c r="AG430" i="8"/>
  <c r="AG431" i="8"/>
  <c r="AG432" i="8"/>
  <c r="AG433" i="8"/>
  <c r="AG434" i="8"/>
  <c r="AG435" i="8"/>
  <c r="AG436" i="8"/>
  <c r="AG437" i="8"/>
  <c r="AG438" i="8"/>
  <c r="AG439" i="8"/>
  <c r="AG440" i="8"/>
  <c r="AG441" i="8"/>
  <c r="AG442" i="8"/>
  <c r="AG443" i="8"/>
  <c r="AG444" i="8"/>
  <c r="AG445" i="8"/>
  <c r="AG446" i="8"/>
  <c r="AG447" i="8"/>
  <c r="AG448" i="8"/>
  <c r="AG449" i="8"/>
  <c r="AG450" i="8"/>
  <c r="AG451" i="8"/>
  <c r="AG452" i="8"/>
  <c r="AG453" i="8"/>
  <c r="AG454" i="8"/>
  <c r="AG455" i="8"/>
  <c r="AG456" i="8"/>
  <c r="AG457" i="8"/>
  <c r="AG458" i="8"/>
  <c r="AG459" i="8"/>
  <c r="AG460" i="8"/>
  <c r="AG461" i="8"/>
  <c r="AG462" i="8"/>
  <c r="AG463" i="8"/>
  <c r="AG464" i="8"/>
  <c r="AG465" i="8"/>
  <c r="AG466" i="8"/>
  <c r="AG467" i="8"/>
  <c r="AG468" i="8"/>
  <c r="AG469" i="8"/>
  <c r="AG470" i="8"/>
  <c r="AG471" i="8"/>
  <c r="AG472" i="8"/>
  <c r="AG473" i="8"/>
  <c r="AG474" i="8"/>
  <c r="AG475" i="8"/>
  <c r="AG476" i="8"/>
  <c r="AG477" i="8"/>
  <c r="AG478" i="8"/>
  <c r="AG479" i="8"/>
  <c r="AG2" i="8"/>
  <c r="Y67" i="3" l="1"/>
  <c r="P67" i="3"/>
  <c r="P66" i="3"/>
  <c r="AL66" i="3"/>
  <c r="AM66" i="3"/>
  <c r="AQ66" i="3" s="1"/>
  <c r="Q68" i="3"/>
  <c r="BA68" i="3" s="1"/>
  <c r="BJ67" i="3"/>
  <c r="BE67" i="3"/>
  <c r="AC65" i="3"/>
  <c r="Y66" i="3"/>
  <c r="CZ35" i="5"/>
  <c r="DA35" i="5" s="1"/>
  <c r="CW58" i="5"/>
  <c r="BA58" i="5"/>
  <c r="BH58" i="5" s="1"/>
  <c r="U58" i="5"/>
  <c r="AH38" i="5"/>
  <c r="AV48" i="5"/>
  <c r="AL45" i="5"/>
  <c r="AH49" i="5"/>
  <c r="AL39" i="5"/>
  <c r="AH43" i="5"/>
  <c r="AL56" i="5"/>
  <c r="AL50" i="5"/>
  <c r="AH55" i="5"/>
  <c r="AL55" i="5" s="1"/>
  <c r="AL62" i="5"/>
  <c r="CZ86" i="5"/>
  <c r="DA86" i="5" s="1"/>
  <c r="AM86" i="5" s="1"/>
  <c r="CZ59" i="5"/>
  <c r="DA59" i="5" s="1"/>
  <c r="AM59" i="5" s="1"/>
  <c r="CZ45" i="5"/>
  <c r="DA45" i="5" s="1"/>
  <c r="AM45" i="5" s="1"/>
  <c r="AW45" i="5" s="1"/>
  <c r="CZ33" i="5"/>
  <c r="DA33" i="5" s="1"/>
  <c r="CZ30" i="5"/>
  <c r="DA30" i="5" s="1"/>
  <c r="CZ23" i="5"/>
  <c r="DA23" i="5" s="1"/>
  <c r="CZ20" i="5"/>
  <c r="DA20" i="5" s="1"/>
  <c r="CZ18" i="5"/>
  <c r="DA18" i="5" s="1"/>
  <c r="CZ93" i="5"/>
  <c r="DA93" i="5" s="1"/>
  <c r="AM93" i="5" s="1"/>
  <c r="AW93" i="5" s="1"/>
  <c r="CZ91" i="5"/>
  <c r="DA91" i="5" s="1"/>
  <c r="AM91" i="5" s="1"/>
  <c r="CZ80" i="5"/>
  <c r="DA80" i="5" s="1"/>
  <c r="AM80" i="5" s="1"/>
  <c r="CZ75" i="5"/>
  <c r="DA75" i="5" s="1"/>
  <c r="AM75" i="5" s="1"/>
  <c r="CZ68" i="5"/>
  <c r="DA68" i="5" s="1"/>
  <c r="AM68" i="5" s="1"/>
  <c r="CZ41" i="5"/>
  <c r="DA41" i="5" s="1"/>
  <c r="AM41" i="5" s="1"/>
  <c r="CZ39" i="5"/>
  <c r="DA39" i="5" s="1"/>
  <c r="AM39" i="5" s="1"/>
  <c r="CZ53" i="5"/>
  <c r="DA53" i="5" s="1"/>
  <c r="AM53" i="5" s="1"/>
  <c r="CZ46" i="5"/>
  <c r="DA46" i="5" s="1"/>
  <c r="AM46" i="5" s="1"/>
  <c r="CZ34" i="5"/>
  <c r="DA34" i="5" s="1"/>
  <c r="CZ24" i="5"/>
  <c r="DA24" i="5" s="1"/>
  <c r="CZ11" i="5"/>
  <c r="DA11" i="5" s="1"/>
  <c r="CZ82" i="5"/>
  <c r="DA82" i="5" s="1"/>
  <c r="AM82" i="5" s="1"/>
  <c r="CZ56" i="5"/>
  <c r="DA56" i="5" s="1"/>
  <c r="AM56" i="5" s="1"/>
  <c r="CZ51" i="5"/>
  <c r="DA51" i="5" s="1"/>
  <c r="AM51" i="5" s="1"/>
  <c r="CZ31" i="5"/>
  <c r="DA31" i="5" s="1"/>
  <c r="CZ22" i="5"/>
  <c r="DA22" i="5" s="1"/>
  <c r="CZ13" i="5"/>
  <c r="DA13" i="5" s="1"/>
  <c r="CZ85" i="5"/>
  <c r="DA85" i="5" s="1"/>
  <c r="AM85" i="5" s="1"/>
  <c r="CZ58" i="5"/>
  <c r="DA58" i="5" s="1"/>
  <c r="AM58" i="5" s="1"/>
  <c r="CZ48" i="5"/>
  <c r="DA48" i="5" s="1"/>
  <c r="AM48" i="5" s="1"/>
  <c r="CZ19" i="5"/>
  <c r="DA19" i="5" s="1"/>
  <c r="CZ17" i="5"/>
  <c r="DA17" i="5" s="1"/>
  <c r="CZ88" i="5"/>
  <c r="DA88" i="5" s="1"/>
  <c r="AM88" i="5" s="1"/>
  <c r="CZ71" i="5"/>
  <c r="DA71" i="5" s="1"/>
  <c r="AM71" i="5" s="1"/>
  <c r="CZ50" i="5"/>
  <c r="DA50" i="5" s="1"/>
  <c r="AM50" i="5" s="1"/>
  <c r="AW50" i="5" s="1"/>
  <c r="CZ29" i="5"/>
  <c r="DA29" i="5" s="1"/>
  <c r="CZ14" i="5"/>
  <c r="DA14" i="5" s="1"/>
  <c r="CZ54" i="5"/>
  <c r="DA54" i="5" s="1"/>
  <c r="AM54" i="5" s="1"/>
  <c r="CZ73" i="5"/>
  <c r="DA73" i="5" s="1"/>
  <c r="AM73" i="5" s="1"/>
  <c r="CZ87" i="5"/>
  <c r="DA87" i="5" s="1"/>
  <c r="AM87" i="5" s="1"/>
  <c r="CZ67" i="5"/>
  <c r="DA67" i="5" s="1"/>
  <c r="AM67" i="5" s="1"/>
  <c r="CZ62" i="5"/>
  <c r="DA62" i="5" s="1"/>
  <c r="AM62" i="5" s="1"/>
  <c r="CZ52" i="5"/>
  <c r="DA52" i="5" s="1"/>
  <c r="AM52" i="5" s="1"/>
  <c r="CZ92" i="5"/>
  <c r="DA92" i="5" s="1"/>
  <c r="AM92" i="5" s="1"/>
  <c r="CZ65" i="5"/>
  <c r="DA65" i="5" s="1"/>
  <c r="AM65" i="5" s="1"/>
  <c r="CZ42" i="5"/>
  <c r="DA42" i="5" s="1"/>
  <c r="AM42" i="5" s="1"/>
  <c r="CZ16" i="5"/>
  <c r="DA16" i="5" s="1"/>
  <c r="CZ64" i="5"/>
  <c r="DA64" i="5" s="1"/>
  <c r="AM64" i="5" s="1"/>
  <c r="CZ81" i="5"/>
  <c r="DA81" i="5" s="1"/>
  <c r="AM81" i="5" s="1"/>
  <c r="CZ74" i="5"/>
  <c r="DA74" i="5" s="1"/>
  <c r="AM74" i="5" s="1"/>
  <c r="CZ70" i="5"/>
  <c r="DA70" i="5" s="1"/>
  <c r="AM70" i="5" s="1"/>
  <c r="CZ47" i="5"/>
  <c r="DA47" i="5" s="1"/>
  <c r="AM47" i="5" s="1"/>
  <c r="CZ28" i="5"/>
  <c r="DA28" i="5" s="1"/>
  <c r="CZ89" i="5"/>
  <c r="DA89" i="5" s="1"/>
  <c r="AM89" i="5" s="1"/>
  <c r="CZ69" i="5"/>
  <c r="DA69" i="5" s="1"/>
  <c r="AM69" i="5" s="1"/>
  <c r="CZ12" i="5"/>
  <c r="DA12" i="5" s="1"/>
  <c r="CZ94" i="5"/>
  <c r="DA94" i="5" s="1"/>
  <c r="AM94" i="5" s="1"/>
  <c r="CZ76" i="5"/>
  <c r="DA76" i="5" s="1"/>
  <c r="AM76" i="5" s="1"/>
  <c r="CZ25" i="5"/>
  <c r="DA25" i="5" s="1"/>
  <c r="CZ83" i="5"/>
  <c r="DA83" i="5" s="1"/>
  <c r="AM83" i="5" s="1"/>
  <c r="CZ63" i="5"/>
  <c r="DA63" i="5" s="1"/>
  <c r="AM63" i="5" s="1"/>
  <c r="CZ57" i="5"/>
  <c r="DA57" i="5" s="1"/>
  <c r="AM57" i="5" s="1"/>
  <c r="CZ40" i="5"/>
  <c r="DA40" i="5" s="1"/>
  <c r="AM40" i="5" s="1"/>
  <c r="AL93" i="5"/>
  <c r="AH88" i="5"/>
  <c r="AL88" i="5" s="1"/>
  <c r="Q69" i="3" l="1"/>
  <c r="BE68" i="3"/>
  <c r="BJ68" i="3"/>
  <c r="AC66" i="3"/>
  <c r="AD66" i="3"/>
  <c r="AR66" i="3" s="1"/>
  <c r="AV66" i="3" s="1"/>
  <c r="AY66" i="3"/>
  <c r="U68" i="3"/>
  <c r="BH68" i="3"/>
  <c r="L68" i="3"/>
  <c r="V69" i="3"/>
  <c r="V68" i="3"/>
  <c r="AC67" i="3"/>
  <c r="BE58" i="5"/>
  <c r="Q59" i="5"/>
  <c r="BJ58" i="5"/>
  <c r="BB58" i="5"/>
  <c r="CY58" i="5"/>
  <c r="AW42" i="5"/>
  <c r="AQ42" i="5"/>
  <c r="AD42" i="5"/>
  <c r="L42" i="5"/>
  <c r="AW51" i="5"/>
  <c r="AD51" i="5"/>
  <c r="AQ51" i="5"/>
  <c r="L51" i="5"/>
  <c r="AW39" i="5"/>
  <c r="AQ39" i="5"/>
  <c r="AD39" i="5"/>
  <c r="L39" i="5"/>
  <c r="AL49" i="5"/>
  <c r="AD54" i="5"/>
  <c r="AW54" i="5"/>
  <c r="AQ54" i="5"/>
  <c r="L54" i="5"/>
  <c r="AQ56" i="5"/>
  <c r="AW56" i="5"/>
  <c r="AD56" i="5"/>
  <c r="L56" i="5"/>
  <c r="AQ41" i="5"/>
  <c r="AD41" i="5"/>
  <c r="AW41" i="5"/>
  <c r="L41" i="5"/>
  <c r="AQ48" i="5"/>
  <c r="AW48" i="5"/>
  <c r="L48" i="5"/>
  <c r="AD58" i="5"/>
  <c r="AQ58" i="5"/>
  <c r="AW58" i="5"/>
  <c r="L58" i="5"/>
  <c r="AQ50" i="5"/>
  <c r="AD50" i="5"/>
  <c r="L50" i="5"/>
  <c r="AQ45" i="5"/>
  <c r="AD45" i="5"/>
  <c r="L45" i="5"/>
  <c r="AD48" i="5"/>
  <c r="AQ57" i="5"/>
  <c r="AD57" i="5"/>
  <c r="AW57" i="5"/>
  <c r="L57" i="5"/>
  <c r="AD53" i="5"/>
  <c r="AQ53" i="5"/>
  <c r="AW53" i="5"/>
  <c r="L53" i="5"/>
  <c r="AQ52" i="5"/>
  <c r="AW52" i="5"/>
  <c r="AD52" i="5"/>
  <c r="L52" i="5"/>
  <c r="AD59" i="5"/>
  <c r="AW59" i="5"/>
  <c r="AQ59" i="5"/>
  <c r="AL38" i="5"/>
  <c r="AH44" i="5"/>
  <c r="AW47" i="5"/>
  <c r="AQ47" i="5"/>
  <c r="AD47" i="5"/>
  <c r="L47" i="5"/>
  <c r="AQ40" i="5"/>
  <c r="AW40" i="5"/>
  <c r="AD40" i="5"/>
  <c r="L40" i="5"/>
  <c r="AQ46" i="5"/>
  <c r="AD46" i="5"/>
  <c r="AW46" i="5"/>
  <c r="L46" i="5"/>
  <c r="AL43" i="5"/>
  <c r="AW88" i="5"/>
  <c r="AD88" i="5"/>
  <c r="AQ88" i="5"/>
  <c r="AD70" i="5"/>
  <c r="AW70" i="5"/>
  <c r="AQ70" i="5"/>
  <c r="AW76" i="5"/>
  <c r="AD76" i="5"/>
  <c r="AQ76" i="5"/>
  <c r="AQ74" i="5"/>
  <c r="AW74" i="5"/>
  <c r="AD74" i="5"/>
  <c r="AD92" i="5"/>
  <c r="AQ92" i="5"/>
  <c r="AW92" i="5"/>
  <c r="AD73" i="5"/>
  <c r="AW73" i="5"/>
  <c r="AQ73" i="5"/>
  <c r="AD68" i="5"/>
  <c r="AW68" i="5"/>
  <c r="AQ68" i="5"/>
  <c r="AW86" i="5"/>
  <c r="AQ86" i="5"/>
  <c r="AD86" i="5"/>
  <c r="AD94" i="5"/>
  <c r="AQ94" i="5"/>
  <c r="AW94" i="5"/>
  <c r="AD89" i="5"/>
  <c r="AQ89" i="5"/>
  <c r="AW89" i="5"/>
  <c r="AD81" i="5"/>
  <c r="AW81" i="5"/>
  <c r="AQ81" i="5"/>
  <c r="AW85" i="5"/>
  <c r="AQ85" i="5"/>
  <c r="AD85" i="5"/>
  <c r="AD75" i="5"/>
  <c r="AW75" i="5"/>
  <c r="AQ75" i="5"/>
  <c r="AD71" i="5"/>
  <c r="AW71" i="5"/>
  <c r="AQ71" i="5"/>
  <c r="AQ69" i="5"/>
  <c r="AW69" i="5"/>
  <c r="AD69" i="5"/>
  <c r="AQ91" i="5"/>
  <c r="AD91" i="5"/>
  <c r="AW91" i="5"/>
  <c r="AQ63" i="5"/>
  <c r="AD63" i="5"/>
  <c r="AW63" i="5"/>
  <c r="AW67" i="5"/>
  <c r="AQ67" i="5"/>
  <c r="AD67" i="5"/>
  <c r="AD82" i="5"/>
  <c r="AW82" i="5"/>
  <c r="AQ82" i="5"/>
  <c r="AD93" i="5"/>
  <c r="AQ93" i="5"/>
  <c r="AD62" i="5"/>
  <c r="AW62" i="5"/>
  <c r="AQ62" i="5"/>
  <c r="AW87" i="5"/>
  <c r="AQ87" i="5"/>
  <c r="AD87" i="5"/>
  <c r="AD65" i="5"/>
  <c r="AQ65" i="5"/>
  <c r="AW65" i="5"/>
  <c r="AW80" i="5"/>
  <c r="AQ80" i="5"/>
  <c r="AD80" i="5"/>
  <c r="AD64" i="5"/>
  <c r="AQ64" i="5"/>
  <c r="AW64" i="5"/>
  <c r="AW83" i="5"/>
  <c r="AQ83" i="5"/>
  <c r="AD83" i="5"/>
  <c r="Y68" i="3" l="1"/>
  <c r="P68" i="3"/>
  <c r="U69" i="3"/>
  <c r="BH69" i="3"/>
  <c r="L69" i="3"/>
  <c r="BA69" i="3"/>
  <c r="CW59" i="5"/>
  <c r="CY59" i="5" s="1"/>
  <c r="V59" i="5"/>
  <c r="V60" i="5" s="1"/>
  <c r="V61" i="5" s="1"/>
  <c r="L59" i="5"/>
  <c r="P59" i="5" s="1"/>
  <c r="Q60" i="5"/>
  <c r="U59" i="5"/>
  <c r="BA59" i="5"/>
  <c r="BH59" i="5" s="1"/>
  <c r="AW49" i="5"/>
  <c r="AL44" i="5"/>
  <c r="AW55" i="5"/>
  <c r="L38" i="5"/>
  <c r="AM38" i="5" s="1"/>
  <c r="Y58" i="5"/>
  <c r="AC58" i="5" s="1"/>
  <c r="P58" i="5"/>
  <c r="Y56" i="5"/>
  <c r="P56" i="5"/>
  <c r="P54" i="5"/>
  <c r="Y54" i="5"/>
  <c r="AC54" i="5" s="1"/>
  <c r="Y39" i="5"/>
  <c r="P39" i="5"/>
  <c r="L43" i="5"/>
  <c r="Y51" i="5"/>
  <c r="AC51" i="5" s="1"/>
  <c r="P51" i="5"/>
  <c r="Y42" i="5"/>
  <c r="AC42" i="5" s="1"/>
  <c r="P42" i="5"/>
  <c r="P46" i="5"/>
  <c r="Y46" i="5"/>
  <c r="AC46" i="5" s="1"/>
  <c r="Y47" i="5"/>
  <c r="AC47" i="5" s="1"/>
  <c r="P47" i="5"/>
  <c r="P45" i="5"/>
  <c r="Y45" i="5"/>
  <c r="L49" i="5"/>
  <c r="AM49" i="5" s="1"/>
  <c r="AQ49" i="5" s="1"/>
  <c r="Y41" i="5"/>
  <c r="AC41" i="5" s="1"/>
  <c r="P41" i="5"/>
  <c r="P53" i="5"/>
  <c r="Y53" i="5"/>
  <c r="AC53" i="5" s="1"/>
  <c r="P48" i="5"/>
  <c r="Y48" i="5"/>
  <c r="AC48" i="5" s="1"/>
  <c r="Y40" i="5"/>
  <c r="AC40" i="5" s="1"/>
  <c r="P40" i="5"/>
  <c r="P52" i="5"/>
  <c r="Y52" i="5"/>
  <c r="AC52" i="5" s="1"/>
  <c r="P57" i="5"/>
  <c r="Y57" i="5"/>
  <c r="AC57" i="5" s="1"/>
  <c r="P50" i="5"/>
  <c r="Y50" i="5"/>
  <c r="L55" i="5"/>
  <c r="C8" i="8"/>
  <c r="BU4" i="5"/>
  <c r="BT4" i="5"/>
  <c r="CX4" i="5"/>
  <c r="T4" i="5"/>
  <c r="Q4" i="5"/>
  <c r="Y69" i="3" l="1"/>
  <c r="AC69" i="3" s="1"/>
  <c r="P69" i="3"/>
  <c r="AC68" i="3"/>
  <c r="BE69" i="3"/>
  <c r="BA70" i="3"/>
  <c r="Q70" i="3"/>
  <c r="BJ69" i="3"/>
  <c r="L60" i="5"/>
  <c r="P60" i="5" s="1"/>
  <c r="CW60" i="5"/>
  <c r="CW61" i="5" s="1"/>
  <c r="CY61" i="5" s="1"/>
  <c r="Y59" i="5"/>
  <c r="AC59" i="5" s="1"/>
  <c r="Q61" i="5"/>
  <c r="U61" i="5" s="1"/>
  <c r="U60" i="5"/>
  <c r="AW60" i="5"/>
  <c r="AW61" i="5" s="1"/>
  <c r="AH60" i="5"/>
  <c r="Q62" i="5"/>
  <c r="V62" i="5" s="1"/>
  <c r="BE59" i="5"/>
  <c r="BB59" i="5"/>
  <c r="BB60" i="5" s="1"/>
  <c r="BB61" i="5" s="1"/>
  <c r="BJ59" i="5"/>
  <c r="BA60" i="5"/>
  <c r="BH60" i="5" s="1"/>
  <c r="CY60" i="5"/>
  <c r="P55" i="5"/>
  <c r="AM55" i="5"/>
  <c r="AQ55" i="5" s="1"/>
  <c r="AQ38" i="5"/>
  <c r="AW38" i="5"/>
  <c r="P43" i="5"/>
  <c r="AM43" i="5"/>
  <c r="AC56" i="5"/>
  <c r="Y60" i="5"/>
  <c r="AY60" i="5" s="1"/>
  <c r="P49" i="5"/>
  <c r="L61" i="5"/>
  <c r="AC39" i="5"/>
  <c r="Y43" i="5"/>
  <c r="P38" i="5"/>
  <c r="L44" i="5"/>
  <c r="AC50" i="5"/>
  <c r="Y55" i="5"/>
  <c r="AC45" i="5"/>
  <c r="Y49" i="5"/>
  <c r="AY49" i="5" s="1"/>
  <c r="Y38" i="5"/>
  <c r="C10" i="8"/>
  <c r="Z7" i="3" s="1"/>
  <c r="U70" i="3" l="1"/>
  <c r="BH70" i="3"/>
  <c r="L70" i="3"/>
  <c r="V70" i="3"/>
  <c r="Q71" i="3"/>
  <c r="BE70" i="3"/>
  <c r="BJ70" i="3"/>
  <c r="AM60" i="5"/>
  <c r="AQ60" i="5" s="1"/>
  <c r="BE60" i="5"/>
  <c r="BA61" i="5"/>
  <c r="BH61" i="5" s="1"/>
  <c r="BJ60" i="5"/>
  <c r="U62" i="5"/>
  <c r="L62" i="5"/>
  <c r="AL60" i="5"/>
  <c r="AL61" i="5" s="1"/>
  <c r="AH61" i="5"/>
  <c r="P44" i="5"/>
  <c r="AM44" i="5"/>
  <c r="AQ43" i="5"/>
  <c r="AW43" i="5"/>
  <c r="P61" i="5"/>
  <c r="AM61" i="5"/>
  <c r="AQ61" i="5" s="1"/>
  <c r="AC43" i="5"/>
  <c r="AD43" i="5"/>
  <c r="AR43" i="5" s="1"/>
  <c r="AV43" i="5" s="1"/>
  <c r="AC49" i="5"/>
  <c r="AD49" i="5"/>
  <c r="AR49" i="5" s="1"/>
  <c r="AV49" i="5" s="1"/>
  <c r="Y61" i="5"/>
  <c r="AC55" i="5"/>
  <c r="AD55" i="5"/>
  <c r="AR55" i="5" s="1"/>
  <c r="AV55" i="5" s="1"/>
  <c r="AY55" i="5"/>
  <c r="AD60" i="5"/>
  <c r="AR60" i="5" s="1"/>
  <c r="AV60" i="5" s="1"/>
  <c r="AC60" i="5"/>
  <c r="AC38" i="5"/>
  <c r="AD38" i="5"/>
  <c r="AR38" i="5" s="1"/>
  <c r="AV38" i="5" s="1"/>
  <c r="Y44" i="5"/>
  <c r="U71" i="3" l="1"/>
  <c r="BH71" i="3"/>
  <c r="L71" i="3"/>
  <c r="Y70" i="3"/>
  <c r="P70" i="3"/>
  <c r="L72" i="3"/>
  <c r="BA71" i="3"/>
  <c r="V71" i="3"/>
  <c r="V72" i="3" s="1"/>
  <c r="AW72" i="3" s="1"/>
  <c r="Q72" i="3"/>
  <c r="BA62" i="5"/>
  <c r="BH62" i="5" s="1"/>
  <c r="BE61" i="5"/>
  <c r="BJ61" i="5"/>
  <c r="P62" i="5"/>
  <c r="Y62" i="5"/>
  <c r="AC62" i="5" s="1"/>
  <c r="AQ44" i="5"/>
  <c r="AW44" i="5"/>
  <c r="AY61" i="5"/>
  <c r="AC44" i="5"/>
  <c r="AD44" i="5"/>
  <c r="AR44" i="5" s="1"/>
  <c r="AV44" i="5" s="1"/>
  <c r="AD61" i="5"/>
  <c r="AR61" i="5" s="1"/>
  <c r="AV61" i="5" s="1"/>
  <c r="AC61" i="5"/>
  <c r="AC4" i="8"/>
  <c r="AB4" i="8"/>
  <c r="AA4" i="8"/>
  <c r="AC3" i="8"/>
  <c r="AB3" i="8"/>
  <c r="AA3" i="8"/>
  <c r="Q73" i="3" l="1"/>
  <c r="BE71" i="3"/>
  <c r="BA72" i="3"/>
  <c r="BJ71" i="3"/>
  <c r="Y71" i="3"/>
  <c r="AC71" i="3" s="1"/>
  <c r="P71" i="3"/>
  <c r="AM72" i="3"/>
  <c r="AQ72" i="3" s="1"/>
  <c r="U72" i="3"/>
  <c r="BH72" i="3"/>
  <c r="AH72" i="3"/>
  <c r="P72" i="3"/>
  <c r="AC70" i="3"/>
  <c r="Y72" i="3"/>
  <c r="BJ62" i="5"/>
  <c r="Q63" i="5"/>
  <c r="BE62" i="5"/>
  <c r="BB62" i="5"/>
  <c r="AA2" i="8"/>
  <c r="AB2" i="8"/>
  <c r="AC2" i="8"/>
  <c r="BA73" i="3" l="1"/>
  <c r="BE72" i="3"/>
  <c r="BJ72" i="3"/>
  <c r="AL72" i="3"/>
  <c r="AC72" i="3"/>
  <c r="AD72" i="3"/>
  <c r="AR72" i="3" s="1"/>
  <c r="AV72" i="3" s="1"/>
  <c r="AY72" i="3"/>
  <c r="U73" i="3"/>
  <c r="BH73" i="3"/>
  <c r="L73" i="3"/>
  <c r="CW73" i="3"/>
  <c r="V73" i="3"/>
  <c r="V63" i="5"/>
  <c r="BA63" i="5"/>
  <c r="Q64" i="5" s="1"/>
  <c r="BA64" i="5" s="1"/>
  <c r="BJ64" i="5" s="1"/>
  <c r="L63" i="5"/>
  <c r="U63" i="5"/>
  <c r="BB63" i="5"/>
  <c r="Y73" i="3" l="1"/>
  <c r="P73" i="3"/>
  <c r="CY73" i="3"/>
  <c r="BJ73" i="3"/>
  <c r="Q74" i="3"/>
  <c r="BA74" i="3" s="1"/>
  <c r="BE73" i="3"/>
  <c r="BJ63" i="5"/>
  <c r="BH63" i="5"/>
  <c r="V64" i="5"/>
  <c r="BE63" i="5"/>
  <c r="BB64" i="5"/>
  <c r="BH64" i="5"/>
  <c r="L64" i="5"/>
  <c r="U64" i="5"/>
  <c r="BE64" i="5"/>
  <c r="Q65" i="5"/>
  <c r="Q66" i="5" s="1"/>
  <c r="Y63" i="5"/>
  <c r="AC63" i="5" s="1"/>
  <c r="P63" i="5"/>
  <c r="BJ74" i="3" l="1"/>
  <c r="BE74" i="3"/>
  <c r="Q75" i="3"/>
  <c r="BA75" i="3"/>
  <c r="V75" i="3"/>
  <c r="BH74" i="3"/>
  <c r="L74" i="3"/>
  <c r="U74" i="3"/>
  <c r="V74" i="3"/>
  <c r="AC73" i="3"/>
  <c r="CW74" i="3"/>
  <c r="V65" i="5"/>
  <c r="V66" i="5" s="1"/>
  <c r="AW66" i="5" s="1"/>
  <c r="BA65" i="5"/>
  <c r="BA66" i="5" s="1"/>
  <c r="L65" i="5"/>
  <c r="L66" i="5" s="1"/>
  <c r="U65" i="5"/>
  <c r="P64" i="5"/>
  <c r="Y64" i="5"/>
  <c r="AC64" i="5" s="1"/>
  <c r="BB65" i="5"/>
  <c r="BB66" i="5" s="1"/>
  <c r="AH66" i="5"/>
  <c r="AL66" i="5" s="1"/>
  <c r="U66" i="5"/>
  <c r="BH65" i="5"/>
  <c r="BE65" i="5"/>
  <c r="BJ75" i="3" l="1"/>
  <c r="BA76" i="3"/>
  <c r="Q76" i="3"/>
  <c r="BE75" i="3"/>
  <c r="P74" i="3"/>
  <c r="Y74" i="3"/>
  <c r="V76" i="3"/>
  <c r="V77" i="3" s="1"/>
  <c r="BH75" i="3"/>
  <c r="L75" i="3"/>
  <c r="U75" i="3"/>
  <c r="CW75" i="3"/>
  <c r="CY74" i="3"/>
  <c r="BJ65" i="5"/>
  <c r="Q67" i="5"/>
  <c r="BA67" i="5" s="1"/>
  <c r="P65" i="5"/>
  <c r="Y65" i="5"/>
  <c r="AC65" i="5" s="1"/>
  <c r="BH66" i="5"/>
  <c r="BJ66" i="5"/>
  <c r="BE66" i="5"/>
  <c r="P66" i="5"/>
  <c r="AM66" i="5"/>
  <c r="AQ66" i="5" s="1"/>
  <c r="L77" i="3" l="1"/>
  <c r="CY75" i="3"/>
  <c r="CW76" i="3"/>
  <c r="V80" i="3"/>
  <c r="BH76" i="3"/>
  <c r="L76" i="3"/>
  <c r="U76" i="3"/>
  <c r="Q77" i="3"/>
  <c r="P75" i="3"/>
  <c r="Y75" i="3"/>
  <c r="AC75" i="3" s="1"/>
  <c r="AC74" i="3"/>
  <c r="Q80" i="3"/>
  <c r="BJ76" i="3"/>
  <c r="BE76" i="3"/>
  <c r="BA77" i="3"/>
  <c r="V78" i="3"/>
  <c r="V79" i="3" s="1"/>
  <c r="AW77" i="3"/>
  <c r="AW78" i="3" s="1"/>
  <c r="AW79" i="3" s="1"/>
  <c r="L67" i="5"/>
  <c r="P67" i="5" s="1"/>
  <c r="V67" i="5"/>
  <c r="U67" i="5"/>
  <c r="Y66" i="5"/>
  <c r="AY66" i="5" s="1"/>
  <c r="Q68" i="5"/>
  <c r="BA68" i="5" s="1"/>
  <c r="BB67" i="5"/>
  <c r="BH67" i="5"/>
  <c r="BE67" i="5"/>
  <c r="BJ67" i="5"/>
  <c r="P76" i="3" l="1"/>
  <c r="Y76" i="3"/>
  <c r="CW77" i="3"/>
  <c r="CY76" i="3"/>
  <c r="V81" i="3"/>
  <c r="BH80" i="3"/>
  <c r="L80" i="3"/>
  <c r="U80" i="3"/>
  <c r="BA78" i="3"/>
  <c r="BJ77" i="3"/>
  <c r="BE77" i="3"/>
  <c r="BH77" i="3"/>
  <c r="AM77" i="3"/>
  <c r="AQ77" i="3" s="1"/>
  <c r="U77" i="3"/>
  <c r="Q78" i="3"/>
  <c r="AH77" i="3"/>
  <c r="P77" i="3"/>
  <c r="L78" i="3"/>
  <c r="Y67" i="5"/>
  <c r="AC67" i="5" s="1"/>
  <c r="AC66" i="5"/>
  <c r="AD66" i="5"/>
  <c r="AR66" i="5" s="1"/>
  <c r="AV66" i="5" s="1"/>
  <c r="Q69" i="5"/>
  <c r="V69" i="5" s="1"/>
  <c r="BB68" i="5"/>
  <c r="BJ68" i="5"/>
  <c r="BH68" i="5"/>
  <c r="BE68" i="5"/>
  <c r="U68" i="5"/>
  <c r="V68" i="5"/>
  <c r="L68" i="5"/>
  <c r="AL77" i="3" l="1"/>
  <c r="AL78" i="3" s="1"/>
  <c r="AH78" i="3"/>
  <c r="BA79" i="3"/>
  <c r="BJ78" i="3"/>
  <c r="BE78" i="3"/>
  <c r="BH78" i="3"/>
  <c r="CW78" i="3"/>
  <c r="CY77" i="3"/>
  <c r="P78" i="3"/>
  <c r="L79" i="3"/>
  <c r="U78" i="3"/>
  <c r="AM78" i="3"/>
  <c r="AQ78" i="3" s="1"/>
  <c r="Q79" i="3"/>
  <c r="AC76" i="3"/>
  <c r="Y77" i="3"/>
  <c r="P80" i="3"/>
  <c r="Y80" i="3"/>
  <c r="L69" i="5"/>
  <c r="P69" i="5" s="1"/>
  <c r="BA69" i="5"/>
  <c r="U69" i="5"/>
  <c r="Y68" i="5"/>
  <c r="AC68" i="5" s="1"/>
  <c r="P68" i="5"/>
  <c r="AC80" i="3" l="1"/>
  <c r="CW79" i="3"/>
  <c r="CY79" i="3" s="1"/>
  <c r="CY78" i="3"/>
  <c r="AD77" i="3"/>
  <c r="AR77" i="3" s="1"/>
  <c r="AV77" i="3" s="1"/>
  <c r="AC77" i="3"/>
  <c r="Y78" i="3"/>
  <c r="AY77" i="3"/>
  <c r="BE79" i="3"/>
  <c r="BJ79" i="3"/>
  <c r="BA80" i="3"/>
  <c r="BH79" i="3"/>
  <c r="U79" i="3"/>
  <c r="AM79" i="3"/>
  <c r="AQ79" i="3" s="1"/>
  <c r="AH79" i="3"/>
  <c r="AL79" i="3" s="1"/>
  <c r="P79" i="3"/>
  <c r="Y69" i="5"/>
  <c r="AC69" i="5" s="1"/>
  <c r="Q70" i="5"/>
  <c r="L70" i="5" s="1"/>
  <c r="BB69" i="5"/>
  <c r="BJ69" i="5"/>
  <c r="BE69" i="5"/>
  <c r="BH69" i="5"/>
  <c r="Q81" i="3" l="1"/>
  <c r="BJ80" i="3"/>
  <c r="BE80" i="3"/>
  <c r="AD78" i="3"/>
  <c r="AR78" i="3" s="1"/>
  <c r="AV78" i="3" s="1"/>
  <c r="AC78" i="3"/>
  <c r="Y79" i="3"/>
  <c r="AY78" i="3"/>
  <c r="AY79" i="3" s="1"/>
  <c r="V70" i="5"/>
  <c r="BA70" i="5"/>
  <c r="BB70" i="5" s="1"/>
  <c r="U70" i="5"/>
  <c r="Y70" i="5"/>
  <c r="AC70" i="5" s="1"/>
  <c r="P70" i="5"/>
  <c r="AC79" i="3" l="1"/>
  <c r="AD79" i="3"/>
  <c r="AR79" i="3" s="1"/>
  <c r="AV79" i="3" s="1"/>
  <c r="U81" i="3"/>
  <c r="V82" i="3"/>
  <c r="BH81" i="3"/>
  <c r="L81" i="3"/>
  <c r="BA81" i="3"/>
  <c r="BH70" i="5"/>
  <c r="Q71" i="5"/>
  <c r="Q72" i="5" s="1"/>
  <c r="BE70" i="5"/>
  <c r="BJ70" i="5"/>
  <c r="Q82" i="3" l="1"/>
  <c r="BE81" i="3"/>
  <c r="BJ81" i="3"/>
  <c r="Y81" i="3"/>
  <c r="P81" i="3"/>
  <c r="U71" i="5"/>
  <c r="V71" i="5"/>
  <c r="L71" i="5"/>
  <c r="BA71" i="5"/>
  <c r="BB71" i="5" s="1"/>
  <c r="BB72" i="5" s="1"/>
  <c r="BH84" i="3" l="1"/>
  <c r="V83" i="3"/>
  <c r="V84" i="3" s="1"/>
  <c r="AW84" i="3" s="1"/>
  <c r="U82" i="3"/>
  <c r="BH82" i="3"/>
  <c r="L82" i="3"/>
  <c r="AC81" i="3"/>
  <c r="BA82" i="3"/>
  <c r="BH71" i="5"/>
  <c r="Q73" i="5"/>
  <c r="P71" i="5"/>
  <c r="Y71" i="5"/>
  <c r="L72" i="5"/>
  <c r="U72" i="5"/>
  <c r="BE71" i="5"/>
  <c r="BA72" i="5"/>
  <c r="BJ71" i="5"/>
  <c r="AH72" i="5"/>
  <c r="AL72" i="5" s="1"/>
  <c r="V72" i="5"/>
  <c r="AW72" i="5" s="1"/>
  <c r="BE82" i="3" l="1"/>
  <c r="Q83" i="3"/>
  <c r="BA83" i="3"/>
  <c r="BJ82" i="3"/>
  <c r="Y82" i="3"/>
  <c r="P82" i="3"/>
  <c r="BH72" i="5"/>
  <c r="AC71" i="5"/>
  <c r="Y72" i="5"/>
  <c r="BE72" i="5"/>
  <c r="BJ72" i="5"/>
  <c r="BA73" i="5"/>
  <c r="L73" i="5"/>
  <c r="CW73" i="5"/>
  <c r="U73" i="5"/>
  <c r="V73" i="5"/>
  <c r="P72" i="5"/>
  <c r="AM72" i="5"/>
  <c r="AQ72" i="5" s="1"/>
  <c r="BJ83" i="3" l="1"/>
  <c r="BA84" i="3"/>
  <c r="Q85" i="3"/>
  <c r="BE83" i="3"/>
  <c r="V85" i="3"/>
  <c r="BH83" i="3"/>
  <c r="L83" i="3"/>
  <c r="U83" i="3"/>
  <c r="Q84" i="3"/>
  <c r="AC82" i="3"/>
  <c r="Q74" i="5"/>
  <c r="CW74" i="5" s="1"/>
  <c r="BB73" i="5"/>
  <c r="AY72" i="5"/>
  <c r="AD72" i="5"/>
  <c r="AR72" i="5" s="1"/>
  <c r="AV72" i="5" s="1"/>
  <c r="AC72" i="5"/>
  <c r="BH73" i="5"/>
  <c r="BE73" i="5"/>
  <c r="BJ73" i="5"/>
  <c r="CY73" i="5"/>
  <c r="P73" i="5"/>
  <c r="Y73" i="5"/>
  <c r="AC73" i="5" s="1"/>
  <c r="P83" i="3" l="1"/>
  <c r="Y83" i="3"/>
  <c r="L84" i="3"/>
  <c r="V86" i="3"/>
  <c r="BH85" i="3"/>
  <c r="L85" i="3"/>
  <c r="U85" i="3"/>
  <c r="BJ84" i="3"/>
  <c r="BE84" i="3"/>
  <c r="BA85" i="3"/>
  <c r="U84" i="3"/>
  <c r="AM84" i="3"/>
  <c r="AQ84" i="3" s="1"/>
  <c r="AH84" i="3"/>
  <c r="CY74" i="5"/>
  <c r="U74" i="5"/>
  <c r="L74" i="5"/>
  <c r="V74" i="5"/>
  <c r="BA74" i="5"/>
  <c r="Y85" i="3" l="1"/>
  <c r="P85" i="3"/>
  <c r="P84" i="3"/>
  <c r="AC83" i="3"/>
  <c r="Y84" i="3"/>
  <c r="AL84" i="3"/>
  <c r="Q86" i="3"/>
  <c r="BA86" i="3"/>
  <c r="BJ85" i="3"/>
  <c r="BE85" i="3"/>
  <c r="Q75" i="5"/>
  <c r="BB74" i="5"/>
  <c r="BH74" i="5"/>
  <c r="BJ74" i="5"/>
  <c r="BE74" i="5"/>
  <c r="Y74" i="5"/>
  <c r="AC74" i="5" s="1"/>
  <c r="P74" i="5"/>
  <c r="V87" i="3" l="1"/>
  <c r="BH86" i="3"/>
  <c r="L86" i="3"/>
  <c r="U86" i="3"/>
  <c r="BJ86" i="3"/>
  <c r="Q87" i="3"/>
  <c r="BA87" i="3" s="1"/>
  <c r="BE86" i="3"/>
  <c r="AC85" i="3"/>
  <c r="AD84" i="3"/>
  <c r="AR84" i="3" s="1"/>
  <c r="AV84" i="3" s="1"/>
  <c r="AC84" i="3"/>
  <c r="AY84" i="3"/>
  <c r="U75" i="5"/>
  <c r="L75" i="5"/>
  <c r="CW75" i="5"/>
  <c r="V75" i="5"/>
  <c r="BA75" i="5"/>
  <c r="Q88" i="3" l="1"/>
  <c r="BJ87" i="3"/>
  <c r="BE87" i="3"/>
  <c r="V88" i="3"/>
  <c r="BH87" i="3"/>
  <c r="L87" i="3"/>
  <c r="U87" i="3"/>
  <c r="P86" i="3"/>
  <c r="Y86" i="3"/>
  <c r="BB75" i="5"/>
  <c r="Q76" i="5"/>
  <c r="Q77" i="5" s="1"/>
  <c r="Q78" i="5" s="1"/>
  <c r="Q79" i="5" s="1"/>
  <c r="CY75" i="5"/>
  <c r="P75" i="5"/>
  <c r="Y75" i="5"/>
  <c r="BE75" i="5"/>
  <c r="BJ75" i="5"/>
  <c r="BH75" i="5"/>
  <c r="AC86" i="3" l="1"/>
  <c r="P87" i="3"/>
  <c r="Y87" i="3"/>
  <c r="AC87" i="3" s="1"/>
  <c r="V89" i="3"/>
  <c r="V90" i="3" s="1"/>
  <c r="AW90" i="3" s="1"/>
  <c r="BH88" i="3"/>
  <c r="U88" i="3"/>
  <c r="BH90" i="3"/>
  <c r="L88" i="3"/>
  <c r="BA88" i="3"/>
  <c r="BA76" i="5"/>
  <c r="Q80" i="5" s="1"/>
  <c r="V80" i="5" s="1"/>
  <c r="CW76" i="5"/>
  <c r="CY76" i="5" s="1"/>
  <c r="AC75" i="5"/>
  <c r="L76" i="5"/>
  <c r="U76" i="5"/>
  <c r="V76" i="5"/>
  <c r="AH77" i="5"/>
  <c r="Y88" i="3" l="1"/>
  <c r="AC88" i="3" s="1"/>
  <c r="P88" i="3"/>
  <c r="BJ88" i="3"/>
  <c r="BE88" i="3"/>
  <c r="Q89" i="3"/>
  <c r="BB76" i="5"/>
  <c r="BB77" i="5" s="1"/>
  <c r="BB78" i="5" s="1"/>
  <c r="BB79" i="5" s="1"/>
  <c r="BH76" i="5"/>
  <c r="BE76" i="5"/>
  <c r="BA77" i="5"/>
  <c r="BA78" i="5" s="1"/>
  <c r="BJ76" i="5"/>
  <c r="CW77" i="5"/>
  <c r="CW78" i="5" s="1"/>
  <c r="AL77" i="5"/>
  <c r="U77" i="5"/>
  <c r="V77" i="5"/>
  <c r="V78" i="5" s="1"/>
  <c r="V79" i="5" s="1"/>
  <c r="U80" i="5"/>
  <c r="L80" i="5"/>
  <c r="Y76" i="5"/>
  <c r="P76" i="5"/>
  <c r="L77" i="5"/>
  <c r="AM77" i="5" s="1"/>
  <c r="AQ77" i="5" s="1"/>
  <c r="V91" i="3" l="1"/>
  <c r="BH89" i="3"/>
  <c r="L89" i="3"/>
  <c r="U89" i="3"/>
  <c r="Q90" i="3"/>
  <c r="BA89" i="3"/>
  <c r="BE77" i="5"/>
  <c r="BJ77" i="5"/>
  <c r="CY77" i="5"/>
  <c r="BH77" i="5"/>
  <c r="AW77" i="5"/>
  <c r="AW78" i="5" s="1"/>
  <c r="AW79" i="5" s="1"/>
  <c r="AC76" i="5"/>
  <c r="Y77" i="5"/>
  <c r="U78" i="5"/>
  <c r="AL78" i="5" s="1"/>
  <c r="AH78" i="5"/>
  <c r="P80" i="5"/>
  <c r="Y80" i="5"/>
  <c r="AC80" i="5" s="1"/>
  <c r="P77" i="5"/>
  <c r="L78" i="5"/>
  <c r="CW79" i="5"/>
  <c r="CY79" i="5" s="1"/>
  <c r="CY78" i="5"/>
  <c r="BA79" i="5"/>
  <c r="BE78" i="5"/>
  <c r="BJ78" i="5"/>
  <c r="BH78" i="5"/>
  <c r="P89" i="3" l="1"/>
  <c r="Y89" i="3"/>
  <c r="L90" i="3"/>
  <c r="Q91" i="3"/>
  <c r="BJ89" i="3"/>
  <c r="BA90" i="3"/>
  <c r="BE89" i="3"/>
  <c r="U90" i="3"/>
  <c r="AM90" i="3"/>
  <c r="AQ90" i="3" s="1"/>
  <c r="AH90" i="3"/>
  <c r="AH79" i="5"/>
  <c r="AL79" i="5" s="1"/>
  <c r="BJ79" i="5"/>
  <c r="BA80" i="5"/>
  <c r="Q81" i="5" s="1"/>
  <c r="BE79" i="5"/>
  <c r="BH79" i="5"/>
  <c r="AC77" i="5"/>
  <c r="AD77" i="5"/>
  <c r="AR77" i="5" s="1"/>
  <c r="AV77" i="5" s="1"/>
  <c r="Y78" i="5"/>
  <c r="U79" i="5"/>
  <c r="AM78" i="5"/>
  <c r="AQ78" i="5" s="1"/>
  <c r="L79" i="5"/>
  <c r="P79" i="5" s="1"/>
  <c r="P78" i="5"/>
  <c r="AY77" i="5"/>
  <c r="P90" i="3" l="1"/>
  <c r="AL90" i="3"/>
  <c r="BJ90" i="3"/>
  <c r="BE90" i="3"/>
  <c r="BA91" i="3"/>
  <c r="AC89" i="3"/>
  <c r="Y90" i="3"/>
  <c r="V92" i="3"/>
  <c r="BH91" i="3"/>
  <c r="L91" i="3"/>
  <c r="U91" i="3"/>
  <c r="CW91" i="3"/>
  <c r="AY78" i="5"/>
  <c r="AM79" i="5"/>
  <c r="AQ79" i="5" s="1"/>
  <c r="BB80" i="5"/>
  <c r="BA81" i="5"/>
  <c r="Q82" i="5" s="1"/>
  <c r="BE80" i="5"/>
  <c r="BH80" i="5"/>
  <c r="BJ80" i="5"/>
  <c r="AC78" i="5"/>
  <c r="Y79" i="5"/>
  <c r="AD78" i="5"/>
  <c r="AR78" i="5" s="1"/>
  <c r="AV78" i="5" s="1"/>
  <c r="BJ91" i="3" l="1"/>
  <c r="BE91" i="3"/>
  <c r="BA92" i="3"/>
  <c r="Q92" i="3"/>
  <c r="P91" i="3"/>
  <c r="Y91" i="3"/>
  <c r="AD90" i="3"/>
  <c r="AR90" i="3" s="1"/>
  <c r="AV90" i="3" s="1"/>
  <c r="AC90" i="3"/>
  <c r="AY90" i="3"/>
  <c r="CW92" i="3"/>
  <c r="CY91" i="3"/>
  <c r="BB81" i="5"/>
  <c r="BJ81" i="5"/>
  <c r="BE81" i="5"/>
  <c r="L81" i="5"/>
  <c r="V81" i="5"/>
  <c r="U81" i="5"/>
  <c r="BH81" i="5"/>
  <c r="AC79" i="5"/>
  <c r="AD79" i="5"/>
  <c r="AR79" i="5" s="1"/>
  <c r="AV79" i="5" s="1"/>
  <c r="AY79" i="5"/>
  <c r="CY92" i="3" l="1"/>
  <c r="V93" i="3"/>
  <c r="BH92" i="3"/>
  <c r="L92" i="3"/>
  <c r="U92" i="3"/>
  <c r="AC91" i="3"/>
  <c r="BJ92" i="3"/>
  <c r="Q93" i="3"/>
  <c r="BA93" i="3"/>
  <c r="BE92" i="3"/>
  <c r="L82" i="5"/>
  <c r="U82" i="5"/>
  <c r="BA82" i="5"/>
  <c r="Q83" i="5" s="1"/>
  <c r="Q84" i="5" s="1"/>
  <c r="V82" i="5"/>
  <c r="Y81" i="5"/>
  <c r="AC81" i="5" s="1"/>
  <c r="P81" i="5"/>
  <c r="Q94" i="3" l="1"/>
  <c r="BA94" i="3"/>
  <c r="BE93" i="3"/>
  <c r="BJ93" i="3"/>
  <c r="V94" i="3"/>
  <c r="V95" i="3" s="1"/>
  <c r="BH93" i="3"/>
  <c r="L93" i="3"/>
  <c r="U93" i="3"/>
  <c r="P92" i="3"/>
  <c r="Y92" i="3"/>
  <c r="CW93" i="3"/>
  <c r="P82" i="5"/>
  <c r="Y82" i="5"/>
  <c r="AC82" i="5" s="1"/>
  <c r="BB82" i="5"/>
  <c r="BJ82" i="5"/>
  <c r="BE82" i="5"/>
  <c r="BH82" i="5"/>
  <c r="P93" i="3" l="1"/>
  <c r="Y93" i="3"/>
  <c r="AC93" i="3" s="1"/>
  <c r="AC92" i="3"/>
  <c r="BA95" i="3"/>
  <c r="BE94" i="3"/>
  <c r="BJ94" i="3"/>
  <c r="V96" i="3"/>
  <c r="AW95" i="3"/>
  <c r="BH96" i="3"/>
  <c r="BH94" i="3"/>
  <c r="L94" i="3"/>
  <c r="U94" i="3"/>
  <c r="CW94" i="3"/>
  <c r="CY93" i="3"/>
  <c r="Q95" i="3"/>
  <c r="U83" i="5"/>
  <c r="AH84" i="5"/>
  <c r="AL84" i="5" s="1"/>
  <c r="L83" i="5"/>
  <c r="V83" i="5"/>
  <c r="V84" i="5" s="1"/>
  <c r="AW84" i="5" s="1"/>
  <c r="BA83" i="5"/>
  <c r="AM95" i="3" l="1"/>
  <c r="AQ95" i="3" s="1"/>
  <c r="U95" i="3"/>
  <c r="BH95" i="3"/>
  <c r="Q96" i="3"/>
  <c r="AH95" i="3"/>
  <c r="P94" i="3"/>
  <c r="Y94" i="3"/>
  <c r="AC94" i="3" s="1"/>
  <c r="L95" i="3"/>
  <c r="Y95" i="3"/>
  <c r="CW95" i="3"/>
  <c r="CY94" i="3"/>
  <c r="AL95" i="3"/>
  <c r="AW96" i="3"/>
  <c r="BA96" i="3"/>
  <c r="BJ95" i="3"/>
  <c r="BE95" i="3"/>
  <c r="BH83" i="5"/>
  <c r="Q85" i="5"/>
  <c r="BB83" i="5"/>
  <c r="BB84" i="5" s="1"/>
  <c r="BJ83" i="5"/>
  <c r="BE83" i="5"/>
  <c r="BA84" i="5"/>
  <c r="P83" i="5"/>
  <c r="L84" i="5"/>
  <c r="P84" i="5" s="1"/>
  <c r="Y83" i="5"/>
  <c r="U84" i="5"/>
  <c r="P95" i="3" l="1"/>
  <c r="L96" i="3"/>
  <c r="U96" i="3"/>
  <c r="AM96" i="3"/>
  <c r="AQ96" i="3" s="1"/>
  <c r="BE96" i="3"/>
  <c r="BJ96" i="3"/>
  <c r="CW96" i="3"/>
  <c r="CY96" i="3" s="1"/>
  <c r="CY95" i="3"/>
  <c r="AD95" i="3"/>
  <c r="AR95" i="3" s="1"/>
  <c r="AV95" i="3" s="1"/>
  <c r="AC95" i="3"/>
  <c r="Y96" i="3"/>
  <c r="AY95" i="3"/>
  <c r="AH96" i="3"/>
  <c r="AL96" i="3" s="1"/>
  <c r="AM84" i="5"/>
  <c r="AQ84" i="5" s="1"/>
  <c r="L85" i="5"/>
  <c r="V85" i="5"/>
  <c r="U85" i="5"/>
  <c r="BE84" i="5"/>
  <c r="BH84" i="5"/>
  <c r="BJ84" i="5"/>
  <c r="BA85" i="5"/>
  <c r="Q86" i="5" s="1"/>
  <c r="AC83" i="5"/>
  <c r="Y84" i="5"/>
  <c r="AY84" i="5" s="1"/>
  <c r="AC96" i="3" l="1"/>
  <c r="AD96" i="3"/>
  <c r="AR96" i="3" s="1"/>
  <c r="AV96" i="3" s="1"/>
  <c r="P96" i="3"/>
  <c r="AY96" i="3"/>
  <c r="Y85" i="5"/>
  <c r="AC85" i="5" s="1"/>
  <c r="P85" i="5"/>
  <c r="BA86" i="5"/>
  <c r="Q87" i="5" s="1"/>
  <c r="BE85" i="5"/>
  <c r="BB85" i="5"/>
  <c r="BJ85" i="5"/>
  <c r="BH85" i="5"/>
  <c r="AD84" i="5"/>
  <c r="AR84" i="5" s="1"/>
  <c r="AV84" i="5" s="1"/>
  <c r="AC84" i="5"/>
  <c r="BB86" i="5" l="1"/>
  <c r="V87" i="5"/>
  <c r="BJ86" i="5"/>
  <c r="BE86" i="5"/>
  <c r="U86" i="5"/>
  <c r="L86" i="5"/>
  <c r="BH86" i="5"/>
  <c r="V86" i="5"/>
  <c r="L87" i="5" l="1"/>
  <c r="U87" i="5"/>
  <c r="BA87" i="5"/>
  <c r="P86" i="5"/>
  <c r="Y86" i="5"/>
  <c r="AC86" i="5" s="1"/>
  <c r="BH87" i="5" l="1"/>
  <c r="Q88" i="5"/>
  <c r="BE87" i="5"/>
  <c r="BJ87" i="5"/>
  <c r="BB87" i="5"/>
  <c r="P87" i="5"/>
  <c r="Y87" i="5"/>
  <c r="AC87" i="5" s="1"/>
  <c r="BA88" i="5" l="1"/>
  <c r="Q89" i="5" s="1"/>
  <c r="Q90" i="5" s="1"/>
  <c r="V88" i="5"/>
  <c r="L88" i="5"/>
  <c r="U88" i="5"/>
  <c r="BB88" i="5" l="1"/>
  <c r="BJ88" i="5"/>
  <c r="BE88" i="5"/>
  <c r="U90" i="5"/>
  <c r="V89" i="5"/>
  <c r="V90" i="5" s="1"/>
  <c r="AW90" i="5" s="1"/>
  <c r="BH88" i="5"/>
  <c r="U89" i="5"/>
  <c r="L89" i="5"/>
  <c r="L90" i="5" s="1"/>
  <c r="P90" i="5" s="1"/>
  <c r="BA89" i="5"/>
  <c r="AH90" i="5"/>
  <c r="AL90" i="5" s="1"/>
  <c r="Y88" i="5"/>
  <c r="P88" i="5"/>
  <c r="BH89" i="5" l="1"/>
  <c r="Q91" i="5"/>
  <c r="BB89" i="5"/>
  <c r="BB90" i="5" s="1"/>
  <c r="V91" i="5"/>
  <c r="BJ89" i="5"/>
  <c r="BA90" i="5"/>
  <c r="BH90" i="5" s="1"/>
  <c r="BE89" i="5"/>
  <c r="P89" i="5"/>
  <c r="Y89" i="5"/>
  <c r="AC89" i="5" s="1"/>
  <c r="AC88" i="5"/>
  <c r="AM90" i="5"/>
  <c r="AQ90" i="5" s="1"/>
  <c r="Y90" i="5" l="1"/>
  <c r="AC90" i="5" s="1"/>
  <c r="L91" i="5"/>
  <c r="U91" i="5"/>
  <c r="CW91" i="5"/>
  <c r="BJ90" i="5"/>
  <c r="BE90" i="5"/>
  <c r="BA91" i="5"/>
  <c r="BH91" i="5" l="1"/>
  <c r="Q92" i="5"/>
  <c r="AD90" i="5"/>
  <c r="AR90" i="5" s="1"/>
  <c r="AV90" i="5" s="1"/>
  <c r="AY90" i="5"/>
  <c r="Y91" i="5"/>
  <c r="AC91" i="5" s="1"/>
  <c r="P91" i="5"/>
  <c r="BB91" i="5"/>
  <c r="BE91" i="5"/>
  <c r="BJ91" i="5"/>
  <c r="CY91" i="5"/>
  <c r="CW92" i="5" l="1"/>
  <c r="CY92" i="5" s="1"/>
  <c r="V92" i="5"/>
  <c r="U92" i="5"/>
  <c r="L92" i="5"/>
  <c r="BA92" i="5"/>
  <c r="BH92" i="5" l="1"/>
  <c r="Q93" i="5"/>
  <c r="BA93" i="5" s="1"/>
  <c r="Q94" i="5" s="1"/>
  <c r="V93" i="5"/>
  <c r="BE92" i="5"/>
  <c r="BJ92" i="5"/>
  <c r="BB92" i="5"/>
  <c r="Y92" i="5"/>
  <c r="P92" i="5"/>
  <c r="Q95" i="5" l="1"/>
  <c r="Q96" i="5" s="1"/>
  <c r="BH93" i="5"/>
  <c r="BJ93" i="5"/>
  <c r="BB93" i="5"/>
  <c r="BE93" i="5"/>
  <c r="L93" i="5"/>
  <c r="U93" i="5"/>
  <c r="V94" i="5"/>
  <c r="CW93" i="5"/>
  <c r="AC92" i="5"/>
  <c r="U94" i="5" l="1"/>
  <c r="L94" i="5"/>
  <c r="BH94" i="5"/>
  <c r="V95" i="5"/>
  <c r="V96" i="5" s="1"/>
  <c r="BA94" i="5"/>
  <c r="CY93" i="5"/>
  <c r="CW94" i="5"/>
  <c r="P93" i="5"/>
  <c r="Y93" i="5"/>
  <c r="AW95" i="5" l="1"/>
  <c r="AW96" i="5" s="1"/>
  <c r="U95" i="5"/>
  <c r="AL95" i="5" s="1"/>
  <c r="BH95" i="5"/>
  <c r="AH95" i="5"/>
  <c r="Y94" i="5"/>
  <c r="AC94" i="5" s="1"/>
  <c r="P94" i="5"/>
  <c r="L95" i="5"/>
  <c r="AM95" i="5" s="1"/>
  <c r="AQ95" i="5" s="1"/>
  <c r="CW95" i="5"/>
  <c r="CY94" i="5"/>
  <c r="AC93" i="5"/>
  <c r="BA95" i="5"/>
  <c r="BB94" i="5"/>
  <c r="BB95" i="5" s="1"/>
  <c r="BB96" i="5" s="1"/>
  <c r="BE94" i="5"/>
  <c r="BJ94" i="5"/>
  <c r="AH96" i="5" l="1"/>
  <c r="AL96" i="5" s="1"/>
  <c r="BJ95" i="5"/>
  <c r="BE95" i="5"/>
  <c r="BA96" i="5"/>
  <c r="BH96" i="5" s="1"/>
  <c r="Y95" i="5"/>
  <c r="AY95" i="5" s="1"/>
  <c r="CY95" i="5"/>
  <c r="CW96" i="5"/>
  <c r="CY96" i="5" s="1"/>
  <c r="U96" i="5"/>
  <c r="P95" i="5"/>
  <c r="L96" i="5"/>
  <c r="P96" i="5" s="1"/>
  <c r="AM96" i="5" l="1"/>
  <c r="AQ96" i="5" s="1"/>
  <c r="AC95" i="5"/>
  <c r="Y96" i="5"/>
  <c r="AD95" i="5"/>
  <c r="AR95" i="5" s="1"/>
  <c r="AV95" i="5" s="1"/>
  <c r="BE96" i="5"/>
  <c r="BJ96" i="5"/>
  <c r="AC96" i="5" l="1"/>
  <c r="AD96" i="5"/>
  <c r="AR96" i="5" s="1"/>
  <c r="AV96" i="5" s="1"/>
  <c r="AY96" i="5"/>
</calcChain>
</file>

<file path=xl/sharedStrings.xml><?xml version="1.0" encoding="utf-8"?>
<sst xmlns="http://schemas.openxmlformats.org/spreadsheetml/2006/main" count="5859" uniqueCount="485">
  <si>
    <t>Week</t>
  </si>
  <si>
    <t>AIR</t>
  </si>
  <si>
    <t>AUR</t>
  </si>
  <si>
    <t>AUC</t>
  </si>
  <si>
    <t>GM%</t>
  </si>
  <si>
    <t>Retail</t>
  </si>
  <si>
    <t>Retail Sales</t>
  </si>
  <si>
    <t>Discount</t>
  </si>
  <si>
    <t>Units Sales</t>
  </si>
  <si>
    <t>Recs</t>
  </si>
  <si>
    <t>Brand</t>
  </si>
  <si>
    <t>Channel</t>
  </si>
  <si>
    <t>Season</t>
  </si>
  <si>
    <t>Feature Code</t>
  </si>
  <si>
    <t>Gymboree</t>
  </si>
  <si>
    <t>Web</t>
  </si>
  <si>
    <t>Spring</t>
  </si>
  <si>
    <t>Outlet</t>
  </si>
  <si>
    <t>Summer</t>
  </si>
  <si>
    <t>LY</t>
  </si>
  <si>
    <t>Year</t>
  </si>
  <si>
    <t>Feb Total</t>
  </si>
  <si>
    <t>Mar Total</t>
  </si>
  <si>
    <t>Apr Total</t>
  </si>
  <si>
    <t>Q1 Total</t>
  </si>
  <si>
    <t>Var %</t>
  </si>
  <si>
    <t>Status Message:</t>
  </si>
  <si>
    <t>Sales</t>
  </si>
  <si>
    <t>May Total</t>
  </si>
  <si>
    <t>June Total</t>
  </si>
  <si>
    <t>Store OH</t>
  </si>
  <si>
    <t>Data I/O</t>
  </si>
  <si>
    <t>Janie &amp; Jack</t>
  </si>
  <si>
    <t>Fall</t>
  </si>
  <si>
    <t>Winter</t>
  </si>
  <si>
    <t>Basics</t>
  </si>
  <si>
    <t>Forecast Version</t>
  </si>
  <si>
    <t>Forecast Versions</t>
  </si>
  <si>
    <t>Original</t>
  </si>
  <si>
    <t>MBR</t>
  </si>
  <si>
    <t>Last</t>
  </si>
  <si>
    <t>July Total</t>
  </si>
  <si>
    <t>Q3 Total</t>
  </si>
  <si>
    <t>Q4 Total</t>
  </si>
  <si>
    <t>OO</t>
  </si>
  <si>
    <t>PH</t>
  </si>
  <si>
    <t>Stock Adj</t>
  </si>
  <si>
    <t>Gymboree Group</t>
  </si>
  <si>
    <t>FEATURE CODE</t>
  </si>
  <si>
    <t>GY 18 SPR 2</t>
  </si>
  <si>
    <t>GY 17 SPR 2</t>
  </si>
  <si>
    <t>Brand Channel</t>
  </si>
  <si>
    <t>Key</t>
  </si>
  <si>
    <t>DVCode</t>
  </si>
  <si>
    <t>FCDesc</t>
  </si>
  <si>
    <t>LY FC</t>
  </si>
  <si>
    <t>Validation list</t>
  </si>
  <si>
    <t>Row#</t>
  </si>
  <si>
    <t>Ct#</t>
  </si>
  <si>
    <t>Validation formula</t>
  </si>
  <si>
    <t>Crazy 8</t>
  </si>
  <si>
    <t>GY C8 18 SB1</t>
  </si>
  <si>
    <t>GY C8 17 SB1</t>
  </si>
  <si>
    <t>FC</t>
  </si>
  <si>
    <t>GY C8 18 UNIFORM CAP</t>
  </si>
  <si>
    <t>GY C8 18 SB2</t>
  </si>
  <si>
    <t>GY C8 17 SB2</t>
  </si>
  <si>
    <t>GY C8 18 FAL</t>
  </si>
  <si>
    <t>GY C8 17 FAL</t>
  </si>
  <si>
    <t>GY C8 18 FAL DOORBUSTER</t>
  </si>
  <si>
    <t>GY C8 17 FAL DOORBUSTER</t>
  </si>
  <si>
    <t>Seasonal Basics</t>
  </si>
  <si>
    <t>GY C8 18 JULY</t>
  </si>
  <si>
    <t>GY C8 17 BTS</t>
  </si>
  <si>
    <t>GY C8 18 AUG</t>
  </si>
  <si>
    <t>GY C8 17 FALL 1</t>
  </si>
  <si>
    <t>GY C8 17 HALLOWEEN CAP</t>
  </si>
  <si>
    <t>GY C8 18 SEP CAP</t>
  </si>
  <si>
    <t>GY C8 17 PICTURE CAP</t>
  </si>
  <si>
    <t>GY C8 17 SEASONAL</t>
  </si>
  <si>
    <t>Host:</t>
  </si>
  <si>
    <t>GY C8 18 OCTOBER CAP</t>
  </si>
  <si>
    <t>GY C8 17 PARTY CAP</t>
  </si>
  <si>
    <t>GY C8 18 SPR</t>
  </si>
  <si>
    <t>GY C8 17 SPR</t>
  </si>
  <si>
    <t>GY C8 18 VDAY CAP</t>
  </si>
  <si>
    <t>GY C8 17 VDAY CAP</t>
  </si>
  <si>
    <t>GY C8 18 SPRING TRANS</t>
  </si>
  <si>
    <t>GY C8 17 SPRING TRANS</t>
  </si>
  <si>
    <t>GY C8 18 SPR DOORBUSTER</t>
  </si>
  <si>
    <t>GY C8 17 SPR DOORBUSTER</t>
  </si>
  <si>
    <t>GY C8 18 SPRING</t>
  </si>
  <si>
    <t>GY C8 17 SPRING</t>
  </si>
  <si>
    <t>GY C8 18 SWIM 1</t>
  </si>
  <si>
    <t>GY C8 17 SWIM 1</t>
  </si>
  <si>
    <t>GY C8 18 EASTER CAP</t>
  </si>
  <si>
    <t>GY C8 17 SPRING CAP</t>
  </si>
  <si>
    <t>GY C8 18 SPRING BREAK</t>
  </si>
  <si>
    <t>GY C8 17 SPRING BREAK</t>
  </si>
  <si>
    <t>GY C8 18 SWIM 2</t>
  </si>
  <si>
    <t>GY C8 17 SWIM 2</t>
  </si>
  <si>
    <t>GY C8 18 EASTER REFRESH</t>
  </si>
  <si>
    <t>GY C8 17 EASTER CAP</t>
  </si>
  <si>
    <t>GY C8 18 PRE SUMMER</t>
  </si>
  <si>
    <t>GY C8 17 PRE SUMMER</t>
  </si>
  <si>
    <t>GY C8 18 SWIM 3</t>
  </si>
  <si>
    <t>GY C8 17 SWIM 3</t>
  </si>
  <si>
    <t>GY C8 18 SUMMER CAP</t>
  </si>
  <si>
    <t>GY C8 17 SUMMER CAP</t>
  </si>
  <si>
    <t>GY C8 18 SMR</t>
  </si>
  <si>
    <t>GY C8 17 SMR</t>
  </si>
  <si>
    <t>GY C8 18 SUMMER</t>
  </si>
  <si>
    <t>GY C8 17 SUMMER</t>
  </si>
  <si>
    <t>GY C8 18 SWIM 4</t>
  </si>
  <si>
    <t>GY C8 17 SWIM 4</t>
  </si>
  <si>
    <t>GY C8 18 JULY 4TH CAP</t>
  </si>
  <si>
    <t>GY C8 17 JULY 4TH CAP</t>
  </si>
  <si>
    <t>GY C8 18 SMR DOORBUSTER</t>
  </si>
  <si>
    <t>GY C8 17 SMR DOORBUSTER</t>
  </si>
  <si>
    <t>GY C8 18 HIGH SUMMER</t>
  </si>
  <si>
    <t>GY C8 17 HIGH SUMMER</t>
  </si>
  <si>
    <t>GY C8 18 SUMMER TRANS</t>
  </si>
  <si>
    <t>GY C8 17 SUMMER TRANS</t>
  </si>
  <si>
    <t>GY C8 18 TRANS CAP</t>
  </si>
  <si>
    <t>GY C8 17 TRANS CAP</t>
  </si>
  <si>
    <t>GY 18 SPRING BASICS</t>
  </si>
  <si>
    <t>GY 17 SPRING BASICS</t>
  </si>
  <si>
    <t>GY 17 FALL BASICS</t>
  </si>
  <si>
    <t>GY 18 SPR</t>
  </si>
  <si>
    <t>GY 17 SPR</t>
  </si>
  <si>
    <t>GY 18 SPR 1</t>
  </si>
  <si>
    <t>GY 17 SPR 1</t>
  </si>
  <si>
    <t>GY 18 SWIM 1</t>
  </si>
  <si>
    <t>GY 17 SWIM 1</t>
  </si>
  <si>
    <t>GY 18 DRESSY</t>
  </si>
  <si>
    <t>GY 17 DRSY CAP</t>
  </si>
  <si>
    <t>GY 18 SPR VACA</t>
  </si>
  <si>
    <t>GY 17 SPR VAC</t>
  </si>
  <si>
    <t>GY 18 SUM 1</t>
  </si>
  <si>
    <t>GY 17 SUM 1</t>
  </si>
  <si>
    <t>GY 18 SWIM 2</t>
  </si>
  <si>
    <t>GY 17 SWIM 2</t>
  </si>
  <si>
    <t>GY 18 SM2</t>
  </si>
  <si>
    <t>GY 17 SM2</t>
  </si>
  <si>
    <t>GY 18 SM3</t>
  </si>
  <si>
    <t>GY 17 SM3</t>
  </si>
  <si>
    <t>GY 18 SWIM 3</t>
  </si>
  <si>
    <t>GY 17 SWIM 3</t>
  </si>
  <si>
    <t>GY 18 SM4</t>
  </si>
  <si>
    <t>GY 17 SM4</t>
  </si>
  <si>
    <t>GY 18 SM5</t>
  </si>
  <si>
    <t>GY 17 TRANS</t>
  </si>
  <si>
    <t>GY 18 SMR</t>
  </si>
  <si>
    <t>GY 17 SMR</t>
  </si>
  <si>
    <t>JJ 18 JULY TRANS 2</t>
  </si>
  <si>
    <t>JJ 17 TRANS 2</t>
  </si>
  <si>
    <t>JJ 18 JULY TRANS 3</t>
  </si>
  <si>
    <t>JJ 17 JULY TRANS 3 GIRL ONLY</t>
  </si>
  <si>
    <t>JJ 18 AUG FALL 0</t>
  </si>
  <si>
    <t>JJ 17 FALL 0</t>
  </si>
  <si>
    <t>JJ 18 JULY FALL GIFT LAY</t>
  </si>
  <si>
    <t>JJ 18 DEC SWIM</t>
  </si>
  <si>
    <t>JJ 17 DEC SWIM</t>
  </si>
  <si>
    <t>JJ 18 SB1</t>
  </si>
  <si>
    <t>JJ 17 SB1/YEARLY BASICS</t>
  </si>
  <si>
    <t>JJ 18 SWIM 2</t>
  </si>
  <si>
    <t>JJ 17 JAN SWIM 2</t>
  </si>
  <si>
    <t>JJ 18 JAN SO SB1</t>
  </si>
  <si>
    <t>JJ 17 JAN SO SB1</t>
  </si>
  <si>
    <t>JJ 18 SPR SO REFRESH</t>
  </si>
  <si>
    <t>JJ 17 SPR SO REFRESH</t>
  </si>
  <si>
    <t>JJ 18 SMR BASICS</t>
  </si>
  <si>
    <t>JJ 17 SMR BASICS</t>
  </si>
  <si>
    <t>JJ 18 LAY SIGNATURE 1</t>
  </si>
  <si>
    <t>JJ 18 MAR LAY SWIM</t>
  </si>
  <si>
    <t>JJ 17 APR LAY SWIM</t>
  </si>
  <si>
    <t>JJ 18 JULY SB2</t>
  </si>
  <si>
    <t>JJ 17 SB2</t>
  </si>
  <si>
    <t>JJ 18 JULY SO SB 2</t>
  </si>
  <si>
    <t>JJ 17 SO SB2</t>
  </si>
  <si>
    <t>JJ 18 LAY SIGNATURE 2</t>
  </si>
  <si>
    <t>JJ 18 JAN SPRING 1</t>
  </si>
  <si>
    <t>JJ 17 JAN SPRING 1</t>
  </si>
  <si>
    <t>JJ 18 DEC VDAY</t>
  </si>
  <si>
    <t>JJ 17 DEC VDAY</t>
  </si>
  <si>
    <t>JJ 18 DEC RESORT 2</t>
  </si>
  <si>
    <t>JJ 17 DEC RESORT 2</t>
  </si>
  <si>
    <t>JJ 18 FEB EASTER 1</t>
  </si>
  <si>
    <t>JJ 17 FEB EASTER 1</t>
  </si>
  <si>
    <t>JJ 18 FEB EASTER GIFT LAY</t>
  </si>
  <si>
    <t>JJ 17 FEB EASTER GIFT LAY</t>
  </si>
  <si>
    <t>JJ 18 JAN SPRING TRANS</t>
  </si>
  <si>
    <t>JJ 17 JAN SPRING TRANS</t>
  </si>
  <si>
    <t>JJ 18 MAR EASTER 2</t>
  </si>
  <si>
    <t>JJ 17 MAR EASTER 2 A+B</t>
  </si>
  <si>
    <t>JJ 18 JAN SPR GIFTING LAY</t>
  </si>
  <si>
    <t>JJ 17 JAN SPR GIFTING LAYETTE</t>
  </si>
  <si>
    <t>JJ 18 MAR SPR 2</t>
  </si>
  <si>
    <t>JJ 17 FEB SPR 2</t>
  </si>
  <si>
    <t>JJ 18 FEB SPRING LIMITED EDITION</t>
  </si>
  <si>
    <t>JJ 18 MAR JJ SPORT</t>
  </si>
  <si>
    <t>JJ 18 MAR SUMMER 0</t>
  </si>
  <si>
    <t>JJ 17 MAR SUMMER 0</t>
  </si>
  <si>
    <t>JJ 18 APR SMR 1</t>
  </si>
  <si>
    <t>JJ 17 APR SMR 1 A+B</t>
  </si>
  <si>
    <t>JJ 18 MAY SUMMER 2</t>
  </si>
  <si>
    <t>JJ 17 SUMMER 2</t>
  </si>
  <si>
    <t>JJ 18 MAY 4TH OF JULY</t>
  </si>
  <si>
    <t>JJ 17 4TH OF JULY</t>
  </si>
  <si>
    <t>JJ 18 MAY LIBERTY COLLECTION</t>
  </si>
  <si>
    <t>JJ 18 MAY SUMMER 3</t>
  </si>
  <si>
    <t>JJ 17 SUMMER 3</t>
  </si>
  <si>
    <t>JJ 18 MAY SUMMER 4</t>
  </si>
  <si>
    <t>JJ 17 SUMMER 4</t>
  </si>
  <si>
    <t>JJ 18 JUN TRANS 1</t>
  </si>
  <si>
    <t>JJ 17 JULY TRANS 1</t>
  </si>
  <si>
    <t>JJ 18 JUN JJ SPORT</t>
  </si>
  <si>
    <t>JJ 18 MAY TRANS GIFT LAY</t>
  </si>
  <si>
    <t>JJ 17 TRANS GIFTING LAY</t>
  </si>
  <si>
    <t>GY 18 OUTLET FAL</t>
  </si>
  <si>
    <t>GY 17 OUTLET FAL</t>
  </si>
  <si>
    <t>GY 18 OUTLET BTS 1</t>
  </si>
  <si>
    <t>GY 17 OUTLET BTS 1</t>
  </si>
  <si>
    <t>GY 18 OUTLET BTS 2</t>
  </si>
  <si>
    <t>GY 17 OUTLET BTS 2</t>
  </si>
  <si>
    <t>GY 18 OUTLET BNB FAL</t>
  </si>
  <si>
    <t>GY 17 OUTLET BNB FALL</t>
  </si>
  <si>
    <t>GY 18 OUTLET FALL 1</t>
  </si>
  <si>
    <t>GY 17 OUTLET FALL 1</t>
  </si>
  <si>
    <t>GY 18 OUTLET HARVEST</t>
  </si>
  <si>
    <t>GY 18 OUTLET FALL 2</t>
  </si>
  <si>
    <t>GY 17 OUTLET FALL 2</t>
  </si>
  <si>
    <t>GY 18 OUTLET HOLIDAY DRESSY</t>
  </si>
  <si>
    <t>GY 17 OUTLET HOLIDAY DRESSY</t>
  </si>
  <si>
    <t>GY 18 OUTLET SB1</t>
  </si>
  <si>
    <t>GY 17 OUTLET SB1</t>
  </si>
  <si>
    <t>GY 18 OUTLET SB2</t>
  </si>
  <si>
    <t>GY 17 OUTLET SB2</t>
  </si>
  <si>
    <t>GY 18 OUTLET VDAY</t>
  </si>
  <si>
    <t>GY 17 OUTLET VDAY</t>
  </si>
  <si>
    <t>GY 18 OUTLET SPR</t>
  </si>
  <si>
    <t>GY 17 OUTLET SPR</t>
  </si>
  <si>
    <t>GY 18 OUTLET BNB Spring</t>
  </si>
  <si>
    <t>GY 17 OUTLET BNB Spring</t>
  </si>
  <si>
    <t>GY 18 OUTLET SPRING ACTIVE</t>
  </si>
  <si>
    <t>GY 17 OUTLET SPRING ACTIVE</t>
  </si>
  <si>
    <t>GY 18 OUTLET Easter</t>
  </si>
  <si>
    <t>GY 17 OUTLET Easter</t>
  </si>
  <si>
    <t>GY 18 OUTLET Spr Fashion Cap</t>
  </si>
  <si>
    <t>GY 17 OUTLET Spr Fashion Cap</t>
  </si>
  <si>
    <t>GY 18 OUTLET SPRING 1</t>
  </si>
  <si>
    <t>GY 17 OUTLET Spring 1</t>
  </si>
  <si>
    <t>GY 18 OUTLET Spring 2</t>
  </si>
  <si>
    <t>GY 17 OUTLET Spring 2</t>
  </si>
  <si>
    <t>GY 18 OUTLET Spring 3</t>
  </si>
  <si>
    <t>GY 17 OUTLET Spring 3</t>
  </si>
  <si>
    <t>GY 18 OUTLET Swim 1</t>
  </si>
  <si>
    <t>GY 17 OUTLET Swim 1</t>
  </si>
  <si>
    <t>GY 18 OUTLET Swim 2</t>
  </si>
  <si>
    <t>GY 17 OUTLET Swim 2</t>
  </si>
  <si>
    <t>GY 18 OUTLET SWIM 3</t>
  </si>
  <si>
    <t>GY 17 OUTLET SWIM 3</t>
  </si>
  <si>
    <t>GY 18 OUTLET SMR</t>
  </si>
  <si>
    <t>GY 17 OUTLET SMR</t>
  </si>
  <si>
    <t>GY 18 OUTLET BNB SUMMER</t>
  </si>
  <si>
    <t>GY 17 OUTLET BNB SUMMER</t>
  </si>
  <si>
    <t>GY 18 OUTLET SUMMER ACTIVE</t>
  </si>
  <si>
    <t>GY 17 OUTLET SUMMER ACTIVE</t>
  </si>
  <si>
    <t>GY 18 OUTLET Summer 1</t>
  </si>
  <si>
    <t>GY 17 OUTLET Summer 1</t>
  </si>
  <si>
    <t>GY 18 OUTLET SUMMER 2</t>
  </si>
  <si>
    <t>GY 17 OUTLET SUMMER 2</t>
  </si>
  <si>
    <t>GY 18 OUTLET SUMMER 3</t>
  </si>
  <si>
    <t>GY 17 OUTLET SUMMER 3</t>
  </si>
  <si>
    <t>GY 18 OUTLET SUMMER 4</t>
  </si>
  <si>
    <t>GY 17 OUTLET SUMMER 4</t>
  </si>
  <si>
    <t>GY 18 OUTLET UNIFORM</t>
  </si>
  <si>
    <t>GY 17 OUTLET UNIFORM</t>
  </si>
  <si>
    <t>GY 18 OUTLET TRANSITION</t>
  </si>
  <si>
    <t>GY 17 OUTLET TRANSITION</t>
  </si>
  <si>
    <t>GY 18 OUTLET WINTER 1</t>
  </si>
  <si>
    <t>GY 17 OUTLET WINTER 1</t>
  </si>
  <si>
    <t>GY 18 OUTLET WTR</t>
  </si>
  <si>
    <t>GY 17 OUTLET WTR</t>
  </si>
  <si>
    <t>GY 18 OUTLET WINTER 2</t>
  </si>
  <si>
    <t>GY 17 OUTLET WINTER 2</t>
  </si>
  <si>
    <t>GY 18 OUTLET BNB WINTER</t>
  </si>
  <si>
    <t>GY 17 OUTLET BNB WINTER</t>
  </si>
  <si>
    <t>GY 18 OUTLET POLAR FLEECE</t>
  </si>
  <si>
    <t>GY 17 OUTLET FLEECE</t>
  </si>
  <si>
    <t>GY 18 OUTLET WINTER 3</t>
  </si>
  <si>
    <t>GY 17 OUTLET WINTER 3</t>
  </si>
  <si>
    <t>GY 18 OUTLET SPRING TRANS</t>
  </si>
  <si>
    <t>GY 17 OUTLET SPRING TRANS</t>
  </si>
  <si>
    <t>GY C8 YRLY BASICS</t>
  </si>
  <si>
    <t>GY C8 YRLY DENIM</t>
  </si>
  <si>
    <t>Other</t>
  </si>
  <si>
    <t>GY YRLY BASICS</t>
  </si>
  <si>
    <t>GY YRLY DENIM</t>
  </si>
  <si>
    <t>GY YRLY UNIFORM</t>
  </si>
  <si>
    <t>JJ SO YEARLY BASICS</t>
  </si>
  <si>
    <t>JJ YRLY BASICS</t>
  </si>
  <si>
    <t>JJ 3RD PARTY</t>
  </si>
  <si>
    <t>GY OUTLET YRLY BSCS</t>
  </si>
  <si>
    <t>Total WOH</t>
  </si>
  <si>
    <t>Build</t>
  </si>
  <si>
    <t>Country</t>
  </si>
  <si>
    <t>USA</t>
  </si>
  <si>
    <t>Canada</t>
  </si>
  <si>
    <t>Brand Country</t>
  </si>
  <si>
    <t>environ:</t>
  </si>
  <si>
    <t>Q2 Total</t>
  </si>
  <si>
    <t>Aug Total</t>
  </si>
  <si>
    <t>Sep Total</t>
  </si>
  <si>
    <t>Oct Total</t>
  </si>
  <si>
    <t>Nov Total</t>
  </si>
  <si>
    <t>Dec Total</t>
  </si>
  <si>
    <t>Jan Total</t>
  </si>
  <si>
    <t>Inv Adj</t>
  </si>
  <si>
    <t>*</t>
  </si>
  <si>
    <t>XXXXXXXXXX</t>
  </si>
  <si>
    <t>Col Wid--&gt;</t>
  </si>
  <si>
    <t>Col lup Ref--&gt;</t>
  </si>
  <si>
    <t>Export Flds--&gt;</t>
  </si>
  <si>
    <t>Compare to</t>
  </si>
  <si>
    <t>PH Recs</t>
  </si>
  <si>
    <t>OH</t>
  </si>
  <si>
    <t>Reg/ MD</t>
  </si>
  <si>
    <t>Act/ Fcst</t>
  </si>
  <si>
    <t>year</t>
  </si>
  <si>
    <t>week</t>
  </si>
  <si>
    <t>air</t>
  </si>
  <si>
    <t>aur</t>
  </si>
  <si>
    <t>auc</t>
  </si>
  <si>
    <t>Prod</t>
  </si>
  <si>
    <t>a</t>
  </si>
  <si>
    <t>New Plan</t>
  </si>
  <si>
    <t>Plan Type</t>
  </si>
  <si>
    <t>XXXXXX</t>
  </si>
  <si>
    <t>XXXXXXX</t>
  </si>
  <si>
    <t>XXXXX</t>
  </si>
  <si>
    <t>LYFC</t>
  </si>
  <si>
    <t>GY 17 FAL</t>
  </si>
  <si>
    <t>GY 17 FALL 2</t>
  </si>
  <si>
    <t>GY 17 FALL 3</t>
  </si>
  <si>
    <t>GY 17 FALL 4</t>
  </si>
  <si>
    <t>GY 17 HO HO SHOP</t>
  </si>
  <si>
    <t>JJ 17 FALL GIFTING LAY</t>
  </si>
  <si>
    <t>GY 17 FALL 1</t>
  </si>
  <si>
    <t>GY 17 BTS</t>
  </si>
  <si>
    <t>GY 17 JAN CAP</t>
  </si>
  <si>
    <t>GY 18 VDAY</t>
  </si>
  <si>
    <t>GY C8 17 UNIFORM CAP</t>
  </si>
  <si>
    <t>GY C8 17 WTR</t>
  </si>
  <si>
    <t>GY C8 17 WTR DOORBUSTER</t>
  </si>
  <si>
    <t>GY C8 17 HOLIDAY</t>
  </si>
  <si>
    <t>GY C8 17 GIFT</t>
  </si>
  <si>
    <t>GY C8 17 WINTER TRANS</t>
  </si>
  <si>
    <t>GY C8 17 WINTER CAP</t>
  </si>
  <si>
    <t>JJ 18 MAY SPORT</t>
  </si>
  <si>
    <t>brand</t>
  </si>
  <si>
    <t>country</t>
  </si>
  <si>
    <t>channel</t>
  </si>
  <si>
    <t>season</t>
  </si>
  <si>
    <t>fc</t>
  </si>
  <si>
    <t>unit_buys</t>
  </si>
  <si>
    <t>reg_st_target</t>
  </si>
  <si>
    <t>instore_week</t>
  </si>
  <si>
    <t>no_weeks</t>
  </si>
  <si>
    <t>ly_fc</t>
  </si>
  <si>
    <t>GY 18 OUTLET SPR GYM TRANSFERS</t>
  </si>
  <si>
    <t>(new)</t>
  </si>
  <si>
    <t>GY 18 OUTLET SWIM 1</t>
  </si>
  <si>
    <t>GY 18 OUTLET BNB SPRING</t>
  </si>
  <si>
    <t>GY 18 OUTLET EASTER</t>
  </si>
  <si>
    <t>GY 18 OUTLET SPR FASHION CAP</t>
  </si>
  <si>
    <t>GY 18 OUTLET SPRING 2</t>
  </si>
  <si>
    <t>GY 18 OUTLET SPRING 3</t>
  </si>
  <si>
    <t>GY 18 OUTLET SWIM 2</t>
  </si>
  <si>
    <t>GY 18 OUTLET SUMMER 1</t>
  </si>
  <si>
    <t>GY C8 18 MARKET SPRING</t>
  </si>
  <si>
    <t>disc</t>
  </si>
  <si>
    <t>defaults</t>
  </si>
  <si>
    <t>LIVE</t>
  </si>
  <si>
    <t>GY 18 BTS</t>
  </si>
  <si>
    <t>GY 18 FALL 1</t>
  </si>
  <si>
    <t>GY 18 FAL</t>
  </si>
  <si>
    <t>GY 18 FALL 2</t>
  </si>
  <si>
    <t>GY 18 FALL 3</t>
  </si>
  <si>
    <t>GY 18 FALL 4</t>
  </si>
  <si>
    <t>GY 18 HO HO SHOP</t>
  </si>
  <si>
    <t>Last Fcst</t>
  </si>
  <si>
    <t>DV</t>
  </si>
  <si>
    <t>Receipts</t>
  </si>
  <si>
    <t>Forecast by DV Level or FC</t>
  </si>
  <si>
    <t>Unit</t>
  </si>
  <si>
    <t>Cost</t>
  </si>
  <si>
    <t>RecCost</t>
  </si>
  <si>
    <t>RecRtl</t>
  </si>
  <si>
    <t>Trans-In</t>
  </si>
  <si>
    <t>Trans-Out</t>
  </si>
  <si>
    <t>DCInv</t>
  </si>
  <si>
    <t>GM$</t>
  </si>
  <si>
    <t>Plan</t>
  </si>
  <si>
    <t>U Sls</t>
  </si>
  <si>
    <t>U BOP</t>
  </si>
  <si>
    <t>U Rec</t>
  </si>
  <si>
    <t>Act + Fcst</t>
  </si>
  <si>
    <t>Unit Build</t>
  </si>
  <si>
    <t>GM $</t>
  </si>
  <si>
    <t>Total S/T</t>
  </si>
  <si>
    <t>Transfer In</t>
  </si>
  <si>
    <t>Transfer Out</t>
  </si>
  <si>
    <t>Net Transfer</t>
  </si>
  <si>
    <t>Inventory</t>
  </si>
  <si>
    <t>PH Rtl</t>
  </si>
  <si>
    <t>PH Cost</t>
  </si>
  <si>
    <t>OO_Rtl</t>
  </si>
  <si>
    <t>OO_Cost</t>
  </si>
  <si>
    <t>FiscalYr</t>
  </si>
  <si>
    <t>GY C8 18 OCT 1</t>
  </si>
  <si>
    <t>GY C8 18 OCT 2</t>
  </si>
  <si>
    <t>GY C8 18 SEP 1</t>
  </si>
  <si>
    <t>GY C8 18 SEP 2</t>
  </si>
  <si>
    <t>GY C8 18 DEC 1</t>
  </si>
  <si>
    <t>GY C8 18 DEC 2</t>
  </si>
  <si>
    <t>GY C8 18 NOV 1</t>
  </si>
  <si>
    <t>GY C8 18 NOV 2</t>
  </si>
  <si>
    <t>GY C8 18 WTR</t>
  </si>
  <si>
    <t>GY C8 18 WTR DB</t>
  </si>
  <si>
    <t>GY C8 19 JAN 1</t>
  </si>
  <si>
    <t>GY C8 19 JAN 2</t>
  </si>
  <si>
    <t>GY C8 19 SPR</t>
  </si>
  <si>
    <t>OLD</t>
  </si>
  <si>
    <t>WINTER 17</t>
  </si>
  <si>
    <t>2018 TOTAL</t>
  </si>
  <si>
    <t>storeInv</t>
  </si>
  <si>
    <t>dcInv</t>
  </si>
  <si>
    <t>sohAdjust</t>
  </si>
  <si>
    <t>phUnits</t>
  </si>
  <si>
    <t>phRtl</t>
  </si>
  <si>
    <t>phCost</t>
  </si>
  <si>
    <t>ooRtl</t>
  </si>
  <si>
    <t>ooCost</t>
  </si>
  <si>
    <t>transIn</t>
  </si>
  <si>
    <t>transOut</t>
  </si>
  <si>
    <t>recUnits</t>
  </si>
  <si>
    <t>ooUnits</t>
  </si>
  <si>
    <t>recRtl</t>
  </si>
  <si>
    <t>recCost</t>
  </si>
  <si>
    <t>salesUnits</t>
  </si>
  <si>
    <t>bopUnits</t>
  </si>
  <si>
    <t>Unit EOP</t>
  </si>
  <si>
    <t>DC Unit EOP</t>
  </si>
  <si>
    <t>Brand Total</t>
  </si>
  <si>
    <t xml:space="preserve"> </t>
  </si>
  <si>
    <t>Forecast Planning 2.0</t>
  </si>
  <si>
    <t>reforecast</t>
  </si>
  <si>
    <t>Reforecast</t>
  </si>
  <si>
    <t>BOP Units</t>
  </si>
  <si>
    <t>Old</t>
  </si>
  <si>
    <t>Winter 16</t>
  </si>
  <si>
    <t>Winter 17</t>
  </si>
  <si>
    <t>JJ 17 BALLET BASICS</t>
  </si>
  <si>
    <t>JJ 18 AUG FALL 1</t>
  </si>
  <si>
    <t>JJ 17 AUG FALL 1</t>
  </si>
  <si>
    <t>JJ 18 AUG HALLOWEEN</t>
  </si>
  <si>
    <t>JJ 17 AUG HALLOWEEN</t>
  </si>
  <si>
    <t>JJ 18 AUG SPORT</t>
  </si>
  <si>
    <t>JJ 18 FAL BASICS</t>
  </si>
  <si>
    <t>JJ 17 FAL BASIC</t>
  </si>
  <si>
    <t>JJ 18 SEPT FALL 2</t>
  </si>
  <si>
    <t>JJ 17 SEPT FALL 2</t>
  </si>
  <si>
    <t>JJ 18 SEPT FALL 3</t>
  </si>
  <si>
    <t>JJ 17 SEPT FALL 3</t>
  </si>
  <si>
    <t>JJ 18 SEPT FALL TIER</t>
  </si>
  <si>
    <t>JJ 17 SEPT FALL 2 TIER</t>
  </si>
  <si>
    <t>JJ 18 SEPT SWIM</t>
  </si>
  <si>
    <t>JJ 17 SEPT SWIM</t>
  </si>
  <si>
    <t>sort</t>
  </si>
  <si>
    <t>LY FC:</t>
  </si>
  <si>
    <t>GY 18 FALL BASIC</t>
  </si>
  <si>
    <t>http://gymb/forecast/Gym-FCF2/</t>
  </si>
  <si>
    <t>http://gymb/forecast/Gym-FCF2/api/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</si>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</sst>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_(* #,##0.0_);_(* \(#,##0.0\);_(* &quot;-&quot;??_);_(@_)"/>
    <numFmt numFmtId="167" formatCode="_(* #,##0%\ \ \ \ \ ;_(* \-#,##0%\ \ \ \ \ ;_(* &quot;-&quot;??\ \ \ \ \ _);_(@_)"/>
    <numFmt numFmtId="168" formatCode="_(* #,##0.0%\ \ \ \ \ ;_(* \-#,##0.0%\ \ \ \ \ ;_(* &quot;-&quot;??\ \ \ \ \ _);_(@_)"/>
    <numFmt numFmtId="169" formatCode="[$-409]d\-mmm;@"/>
    <numFmt numFmtId="170" formatCode="_(* #,##0_);_(* \-#,##0;_(* &quot;-&quot;??_);_(@_)"/>
    <numFmt numFmtId="171" formatCode="_(* #,##0.00_);_(* \-#,##0.00;_(* &quot;-&quot;??_);_(@_)"/>
  </numFmts>
  <fonts count="4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1" tint="0.499984740745262"/>
      <name val="Segoe UI Semibold"/>
      <family val="2"/>
    </font>
    <font>
      <b/>
      <sz val="12"/>
      <color theme="1" tint="0.499984740745262"/>
      <name val="Calibri"/>
      <family val="2"/>
      <scheme val="minor"/>
    </font>
    <font>
      <b/>
      <sz val="36"/>
      <color rgb="FF0E82B7"/>
      <name val="Segoe UI"/>
      <family val="2"/>
    </font>
    <font>
      <sz val="12"/>
      <color rgb="FFFF0000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</font>
    <font>
      <sz val="11"/>
      <color indexed="8"/>
      <name val="Calibri"/>
      <family val="2"/>
    </font>
    <font>
      <sz val="8"/>
      <color rgb="FFFF0000"/>
      <name val="Calibri"/>
      <family val="2"/>
      <scheme val="minor"/>
    </font>
    <font>
      <sz val="12"/>
      <name val="Calibri"/>
      <family val="2"/>
      <scheme val="minor"/>
    </font>
    <font>
      <sz val="10"/>
      <name val="Arial"/>
      <family val="2"/>
    </font>
    <font>
      <sz val="9"/>
      <color theme="1"/>
      <name val="Arial"/>
      <family val="2"/>
    </font>
    <font>
      <sz val="16"/>
      <color theme="1" tint="0.34998626667073579"/>
      <name val="Calibri"/>
      <family val="2"/>
      <scheme val="minor"/>
    </font>
    <font>
      <b/>
      <sz val="28"/>
      <color rgb="FFA9A4A4"/>
      <name val="Segoe UI Semibold"/>
      <family val="2"/>
    </font>
    <font>
      <sz val="11"/>
      <color rgb="FF000000"/>
      <name val="Calibri"/>
      <family val="2"/>
    </font>
    <font>
      <sz val="10"/>
      <color theme="1"/>
      <name val="Times New Roman"/>
      <family val="1"/>
    </font>
    <font>
      <sz val="12"/>
      <color theme="1" tint="0.14999847407452621"/>
      <name val="Calibri"/>
      <family val="2"/>
      <scheme val="minor"/>
    </font>
    <font>
      <b/>
      <sz val="14"/>
      <color theme="1" tint="0.14999847407452621"/>
      <name val="Calibri"/>
      <family val="2"/>
      <scheme val="minor"/>
    </font>
    <font>
      <b/>
      <sz val="16"/>
      <color theme="1" tint="0.14999847407452621"/>
      <name val="Calibri"/>
      <family val="2"/>
      <scheme val="minor"/>
    </font>
    <font>
      <sz val="16"/>
      <color theme="1" tint="0.14999847407452621"/>
      <name val="Calibri"/>
      <family val="2"/>
      <scheme val="minor"/>
    </font>
    <font>
      <b/>
      <sz val="12"/>
      <color theme="1" tint="0.1499984740745262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000000"/>
      <name val="Times New Roman"/>
      <family val="1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4"/>
      <color rgb="FF00B050"/>
      <name val="Calibri"/>
      <family val="2"/>
      <scheme val="minor"/>
    </font>
    <font>
      <b/>
      <sz val="24"/>
      <color theme="4" tint="0.39997558519241921"/>
      <name val="Segoe UI Semibold"/>
      <family val="2"/>
    </font>
    <font>
      <b/>
      <sz val="24"/>
      <color rgb="FF0E82B7"/>
      <name val="Segoe UI"/>
      <family val="2"/>
    </font>
    <font>
      <b/>
      <sz val="12"/>
      <color rgb="FF0070C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22">
    <border>
      <left/>
      <right/>
      <top/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/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 style="medium">
        <color theme="0" tint="-0.14999847407452621"/>
      </bottom>
      <diagonal/>
    </border>
    <border>
      <left style="medium">
        <color theme="0" tint="-0.14999847407452621"/>
      </left>
      <right/>
      <top/>
      <bottom/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theme="0" tint="-0.14996795556505021"/>
      </left>
      <right/>
      <top/>
      <bottom style="medium">
        <color theme="0" tint="-0.14996795556505021"/>
      </bottom>
      <diagonal/>
    </border>
    <border>
      <left style="medium">
        <color theme="0" tint="-0.14996795556505021"/>
      </left>
      <right/>
      <top/>
      <bottom/>
      <diagonal/>
    </border>
    <border>
      <left style="medium">
        <color theme="0" tint="-0.149967955565050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3743705557422"/>
      </bottom>
      <diagonal/>
    </border>
    <border>
      <left/>
      <right/>
      <top style="medium">
        <color theme="0" tint="-0.14993743705557422"/>
      </top>
      <bottom style="medium">
        <color theme="0" tint="-0.14993743705557422"/>
      </bottom>
      <diagonal/>
    </border>
    <border>
      <left style="medium">
        <color theme="0" tint="-0.1498764000366222"/>
      </left>
      <right/>
      <top style="medium">
        <color theme="0" tint="-0.1498764000366222"/>
      </top>
      <bottom style="medium">
        <color theme="0" tint="-0.1498764000366222"/>
      </bottom>
      <diagonal/>
    </border>
    <border>
      <left/>
      <right/>
      <top style="medium">
        <color theme="0" tint="-0.1498764000366222"/>
      </top>
      <bottom style="medium">
        <color theme="0" tint="-0.14987640003662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/>
      <diagonal/>
    </border>
    <border>
      <left/>
      <right/>
      <top style="medium">
        <color theme="0" tint="-0.1498764000366222"/>
      </top>
      <bottom/>
      <diagonal/>
    </border>
    <border>
      <left style="medium">
        <color theme="0" tint="-0.1498458815271462"/>
      </left>
      <right/>
      <top/>
      <bottom/>
      <diagonal/>
    </border>
    <border>
      <left/>
      <right style="medium">
        <color theme="0" tint="-0.1498458815271462"/>
      </right>
      <top style="medium">
        <color theme="0" tint="-0.1498764000366222"/>
      </top>
      <bottom/>
      <diagonal/>
    </border>
    <border>
      <left style="medium">
        <color theme="0" tint="-0.14999847407452621"/>
      </left>
      <right/>
      <top style="medium">
        <color theme="0" tint="-0.14993743705557422"/>
      </top>
      <bottom/>
      <diagonal/>
    </border>
    <border>
      <left/>
      <right/>
      <top style="medium">
        <color theme="0" tint="-0.14993743705557422"/>
      </top>
      <bottom/>
      <diagonal/>
    </border>
    <border>
      <left style="medium">
        <color theme="0" tint="-0.14990691854609822"/>
      </left>
      <right style="medium">
        <color theme="0" tint="-0.14990691854609822"/>
      </right>
      <top style="medium">
        <color theme="0" tint="-0.14990691854609822"/>
      </top>
      <bottom style="medium">
        <color theme="0" tint="-0.14990691854609822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149906918546098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/>
      <diagonal/>
    </border>
    <border>
      <left style="medium">
        <color theme="0" tint="-0.14993743705557422"/>
      </left>
      <right/>
      <top style="medium">
        <color theme="0" tint="-0.14993743705557422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theme="0" tint="-0.1498458815271462"/>
      </right>
      <top style="medium">
        <color theme="0" tint="-0.14999847407452621"/>
      </top>
      <bottom/>
      <diagonal/>
    </border>
    <border>
      <left/>
      <right style="medium">
        <color theme="0" tint="-0.1498458815271462"/>
      </right>
      <top/>
      <bottom/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8458815271462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8458815271462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 style="medium">
        <color theme="0" tint="-0.14993743705557422"/>
      </left>
      <right/>
      <top/>
      <bottom style="medium">
        <color theme="0" tint="-0.14990691854609822"/>
      </bottom>
      <diagonal/>
    </border>
    <border>
      <left/>
      <right/>
      <top/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/>
      <diagonal/>
    </border>
    <border>
      <left/>
      <right/>
      <top style="medium">
        <color theme="0" tint="-0.1498458815271462"/>
      </top>
      <bottom/>
      <diagonal/>
    </border>
    <border>
      <left/>
      <right style="medium">
        <color theme="0" tint="-0.1498458815271462"/>
      </right>
      <top style="medium">
        <color theme="0" tint="-0.1498458815271462"/>
      </top>
      <bottom/>
      <diagonal/>
    </border>
    <border>
      <left style="medium">
        <color theme="0" tint="-0.1498458815271462"/>
      </left>
      <right/>
      <top/>
      <bottom style="medium">
        <color theme="0" tint="-0.1498458815271462"/>
      </bottom>
      <diagonal/>
    </border>
    <border>
      <left/>
      <right/>
      <top/>
      <bottom style="medium">
        <color theme="0" tint="-0.1498458815271462"/>
      </bottom>
      <diagonal/>
    </border>
    <border>
      <left/>
      <right style="medium">
        <color theme="0" tint="-0.1498458815271462"/>
      </right>
      <top/>
      <bottom style="medium">
        <color theme="0" tint="-0.14984588152714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/>
      <top style="medium">
        <color theme="0" tint="-0.14990691854609822"/>
      </top>
      <bottom/>
      <diagonal/>
    </border>
    <border>
      <left/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/>
      <top style="medium">
        <color theme="0" tint="-0.14996795556505021"/>
      </top>
      <bottom style="medium">
        <color theme="0" tint="-0.14990691854609822"/>
      </bottom>
      <diagonal/>
    </border>
    <border>
      <left/>
      <right/>
      <top style="medium">
        <color theme="0" tint="-0.14999847407452621"/>
      </top>
      <bottom style="medium">
        <color theme="0" tint="-0.1499069185460982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8"/>
      </top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/>
      <bottom style="medium">
        <color theme="0" tint="-0.14990691854609822"/>
      </bottom>
      <diagonal/>
    </border>
    <border>
      <left/>
      <right style="medium">
        <color theme="0" tint="-0.14999847407452621"/>
      </right>
      <top/>
      <bottom style="medium">
        <color theme="0" tint="-0.14990691854609822"/>
      </bottom>
      <diagonal/>
    </border>
    <border>
      <left style="medium">
        <color theme="0" tint="-0.14996795556505021"/>
      </left>
      <right/>
      <top/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764000366222"/>
      </top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/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/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0691854609822"/>
      </top>
      <bottom/>
      <diagonal/>
    </border>
    <border>
      <left/>
      <right style="medium">
        <color theme="1" tint="0.34998626667073579"/>
      </right>
      <top/>
      <bottom/>
      <diagonal/>
    </border>
    <border>
      <left/>
      <right style="medium">
        <color theme="1" tint="0.34998626667073579"/>
      </right>
      <top style="medium">
        <color theme="0" tint="-0.14996795556505021"/>
      </top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3743705557422"/>
      </right>
      <top style="medium">
        <color theme="0" tint="-0.14993743705557422"/>
      </top>
      <bottom style="medium">
        <color theme="0" tint="-0.14993743705557422"/>
      </bottom>
      <diagonal/>
    </border>
  </borders>
  <cellStyleXfs count="23">
    <xf numFmtId="0" fontId="0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8" fillId="0" borderId="0"/>
    <xf numFmtId="0" fontId="18" fillId="0" borderId="0"/>
    <xf numFmtId="0" fontId="10" fillId="0" borderId="0" applyNumberFormat="0" applyFill="0" applyBorder="0" applyAlignment="0" applyProtection="0"/>
    <xf numFmtId="0" fontId="3" fillId="0" borderId="0"/>
    <xf numFmtId="0" fontId="23" fillId="0" borderId="0"/>
    <xf numFmtId="169" fontId="3" fillId="0" borderId="0"/>
    <xf numFmtId="0" fontId="23" fillId="0" borderId="0"/>
    <xf numFmtId="0" fontId="3" fillId="12" borderId="0" applyNumberFormat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</cellStyleXfs>
  <cellXfs count="432">
    <xf numFmtId="0" fontId="0" fillId="0" borderId="0" xfId="0"/>
    <xf numFmtId="0" fontId="0" fillId="0" borderId="0" xfId="0" applyBorder="1"/>
    <xf numFmtId="0" fontId="0" fillId="3" borderId="0" xfId="0" applyFill="1" applyAlignment="1">
      <alignment horizontal="left" vertical="center" indent="1"/>
    </xf>
    <xf numFmtId="0" fontId="14" fillId="0" borderId="0" xfId="0" applyFont="1" applyAlignment="1">
      <alignment horizontal="left" vertical="center" indent="1"/>
    </xf>
    <xf numFmtId="0" fontId="6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14" fillId="0" borderId="0" xfId="0" applyFont="1" applyAlignment="1">
      <alignment horizontal="left" indent="1"/>
    </xf>
    <xf numFmtId="0" fontId="15" fillId="0" borderId="0" xfId="0" applyFont="1" applyAlignment="1">
      <alignment horizontal="left" wrapText="1"/>
    </xf>
    <xf numFmtId="0" fontId="0" fillId="0" borderId="0" xfId="0" applyAlignment="1">
      <alignment vertical="center"/>
    </xf>
    <xf numFmtId="0" fontId="17" fillId="0" borderId="0" xfId="0" applyFont="1"/>
    <xf numFmtId="0" fontId="0" fillId="6" borderId="11" xfId="0" applyFill="1" applyBorder="1"/>
    <xf numFmtId="0" fontId="0" fillId="0" borderId="12" xfId="0" applyFill="1" applyBorder="1"/>
    <xf numFmtId="0" fontId="0" fillId="6" borderId="12" xfId="0" applyFill="1" applyBorder="1"/>
    <xf numFmtId="0" fontId="0" fillId="0" borderId="11" xfId="0" applyFill="1" applyBorder="1"/>
    <xf numFmtId="0" fontId="0" fillId="0" borderId="0" xfId="0" applyFill="1" applyBorder="1"/>
    <xf numFmtId="0" fontId="20" fillId="7" borderId="14" xfId="9" applyFont="1" applyFill="1" applyBorder="1" applyAlignment="1">
      <alignment horizontal="center"/>
    </xf>
    <xf numFmtId="0" fontId="20" fillId="7" borderId="15" xfId="9" applyFont="1" applyFill="1" applyBorder="1" applyAlignment="1">
      <alignment horizontal="center"/>
    </xf>
    <xf numFmtId="0" fontId="20" fillId="7" borderId="16" xfId="9" applyFont="1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20" fillId="0" borderId="18" xfId="9" applyFont="1" applyFill="1" applyBorder="1" applyAlignment="1">
      <alignment wrapText="1"/>
    </xf>
    <xf numFmtId="0" fontId="20" fillId="0" borderId="0" xfId="10" applyFont="1" applyFill="1" applyBorder="1" applyAlignment="1">
      <alignment wrapText="1"/>
    </xf>
    <xf numFmtId="0" fontId="0" fillId="0" borderId="13" xfId="0" applyFill="1" applyBorder="1" applyAlignment="1">
      <alignment horizontal="right"/>
    </xf>
    <xf numFmtId="0" fontId="0" fillId="0" borderId="20" xfId="0" applyBorder="1"/>
    <xf numFmtId="0" fontId="0" fillId="0" borderId="12" xfId="0" applyBorder="1"/>
    <xf numFmtId="0" fontId="0" fillId="0" borderId="21" xfId="0" applyBorder="1"/>
    <xf numFmtId="0" fontId="17" fillId="0" borderId="19" xfId="0" applyFont="1" applyBorder="1"/>
    <xf numFmtId="0" fontId="0" fillId="0" borderId="22" xfId="0" applyFill="1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2" xfId="0" applyBorder="1"/>
    <xf numFmtId="0" fontId="20" fillId="0" borderId="21" xfId="9" applyFont="1" applyFill="1" applyBorder="1" applyAlignment="1">
      <alignment wrapText="1"/>
    </xf>
    <xf numFmtId="0" fontId="0" fillId="6" borderId="14" xfId="0" applyFill="1" applyBorder="1" applyAlignment="1">
      <alignment horizontal="right"/>
    </xf>
    <xf numFmtId="0" fontId="0" fillId="6" borderId="15" xfId="0" applyFill="1" applyBorder="1" applyAlignment="1">
      <alignment horizontal="right"/>
    </xf>
    <xf numFmtId="0" fontId="17" fillId="0" borderId="22" xfId="0" applyFont="1" applyBorder="1"/>
    <xf numFmtId="165" fontId="0" fillId="0" borderId="0" xfId="1" applyNumberFormat="1" applyFont="1"/>
    <xf numFmtId="44" fontId="0" fillId="0" borderId="0" xfId="2" applyFont="1"/>
    <xf numFmtId="0" fontId="21" fillId="0" borderId="0" xfId="0" applyFont="1" applyAlignment="1">
      <alignment horizontal="center"/>
    </xf>
    <xf numFmtId="0" fontId="20" fillId="0" borderId="0" xfId="9" applyFont="1" applyFill="1" applyBorder="1" applyAlignment="1">
      <alignment wrapText="1"/>
    </xf>
    <xf numFmtId="0" fontId="0" fillId="0" borderId="13" xfId="0" applyBorder="1"/>
    <xf numFmtId="0" fontId="0" fillId="0" borderId="18" xfId="0" applyFill="1" applyBorder="1"/>
    <xf numFmtId="0" fontId="21" fillId="8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0" fillId="0" borderId="0" xfId="0" applyProtection="1"/>
    <xf numFmtId="165" fontId="0" fillId="0" borderId="0" xfId="0" applyNumberFormat="1" applyProtection="1"/>
    <xf numFmtId="164" fontId="8" fillId="0" borderId="0" xfId="2" applyNumberFormat="1" applyFont="1" applyBorder="1" applyAlignment="1" applyProtection="1">
      <alignment horizontal="center"/>
    </xf>
    <xf numFmtId="167" fontId="8" fillId="0" borderId="10" xfId="3" applyNumberFormat="1" applyFont="1" applyBorder="1" applyAlignment="1" applyProtection="1">
      <alignment horizontal="center"/>
    </xf>
    <xf numFmtId="165" fontId="8" fillId="0" borderId="0" xfId="1" applyNumberFormat="1" applyFont="1" applyBorder="1" applyAlignment="1" applyProtection="1">
      <alignment horizontal="center"/>
    </xf>
    <xf numFmtId="44" fontId="8" fillId="0" borderId="0" xfId="2" applyNumberFormat="1" applyFont="1" applyBorder="1" applyAlignment="1" applyProtection="1">
      <alignment horizontal="center"/>
    </xf>
    <xf numFmtId="168" fontId="9" fillId="4" borderId="0" xfId="3" applyNumberFormat="1" applyFont="1" applyFill="1" applyBorder="1" applyAlignment="1" applyProtection="1">
      <alignment horizontal="center"/>
    </xf>
    <xf numFmtId="164" fontId="8" fillId="0" borderId="8" xfId="2" applyNumberFormat="1" applyFont="1" applyBorder="1" applyAlignment="1" applyProtection="1">
      <alignment horizontal="center"/>
    </xf>
    <xf numFmtId="164" fontId="12" fillId="2" borderId="1" xfId="1" applyNumberFormat="1" applyFont="1" applyFill="1" applyBorder="1" applyAlignment="1" applyProtection="1">
      <alignment horizontal="center"/>
    </xf>
    <xf numFmtId="164" fontId="12" fillId="2" borderId="2" xfId="1" applyNumberFormat="1" applyFont="1" applyFill="1" applyBorder="1" applyAlignment="1" applyProtection="1">
      <alignment horizontal="center"/>
    </xf>
    <xf numFmtId="167" fontId="12" fillId="2" borderId="3" xfId="3" applyNumberFormat="1" applyFont="1" applyFill="1" applyBorder="1" applyAlignment="1" applyProtection="1">
      <alignment horizontal="center"/>
    </xf>
    <xf numFmtId="165" fontId="12" fillId="2" borderId="1" xfId="1" applyNumberFormat="1" applyFont="1" applyFill="1" applyBorder="1" applyAlignment="1" applyProtection="1">
      <alignment horizontal="center"/>
    </xf>
    <xf numFmtId="165" fontId="12" fillId="2" borderId="2" xfId="1" applyNumberFormat="1" applyFont="1" applyFill="1" applyBorder="1" applyAlignment="1" applyProtection="1">
      <alignment horizontal="center"/>
    </xf>
    <xf numFmtId="44" fontId="12" fillId="2" borderId="1" xfId="2" applyNumberFormat="1" applyFont="1" applyFill="1" applyBorder="1" applyAlignment="1" applyProtection="1">
      <alignment horizontal="center"/>
    </xf>
    <xf numFmtId="44" fontId="12" fillId="2" borderId="2" xfId="2" applyNumberFormat="1" applyFont="1" applyFill="1" applyBorder="1" applyAlignment="1" applyProtection="1">
      <alignment horizontal="center"/>
    </xf>
    <xf numFmtId="167" fontId="12" fillId="2" borderId="1" xfId="3" applyNumberFormat="1" applyFont="1" applyFill="1" applyBorder="1" applyAlignment="1" applyProtection="1">
      <alignment horizontal="center"/>
    </xf>
    <xf numFmtId="167" fontId="12" fillId="2" borderId="2" xfId="3" applyNumberFormat="1" applyFont="1" applyFill="1" applyBorder="1" applyAlignment="1" applyProtection="1">
      <alignment horizontal="center"/>
    </xf>
    <xf numFmtId="168" fontId="9" fillId="2" borderId="2" xfId="3" applyNumberFormat="1" applyFont="1" applyFill="1" applyBorder="1" applyAlignment="1" applyProtection="1">
      <alignment horizontal="center"/>
    </xf>
    <xf numFmtId="166" fontId="12" fillId="2" borderId="1" xfId="1" applyNumberFormat="1" applyFont="1" applyFill="1" applyBorder="1" applyAlignment="1" applyProtection="1">
      <alignment horizontal="center"/>
    </xf>
    <xf numFmtId="164" fontId="12" fillId="10" borderId="1" xfId="1" applyNumberFormat="1" applyFont="1" applyFill="1" applyBorder="1" applyAlignment="1" applyProtection="1">
      <alignment horizontal="center"/>
    </xf>
    <xf numFmtId="164" fontId="12" fillId="10" borderId="2" xfId="1" applyNumberFormat="1" applyFont="1" applyFill="1" applyBorder="1" applyAlignment="1" applyProtection="1">
      <alignment horizontal="center"/>
    </xf>
    <xf numFmtId="167" fontId="12" fillId="10" borderId="3" xfId="3" applyNumberFormat="1" applyFont="1" applyFill="1" applyBorder="1" applyAlignment="1" applyProtection="1">
      <alignment horizontal="center"/>
    </xf>
    <xf numFmtId="165" fontId="12" fillId="10" borderId="1" xfId="1" applyNumberFormat="1" applyFont="1" applyFill="1" applyBorder="1" applyAlignment="1" applyProtection="1">
      <alignment horizontal="center"/>
    </xf>
    <xf numFmtId="165" fontId="12" fillId="10" borderId="2" xfId="1" applyNumberFormat="1" applyFont="1" applyFill="1" applyBorder="1" applyAlignment="1" applyProtection="1">
      <alignment horizontal="center"/>
    </xf>
    <xf numFmtId="44" fontId="12" fillId="10" borderId="1" xfId="2" applyNumberFormat="1" applyFont="1" applyFill="1" applyBorder="1" applyAlignment="1" applyProtection="1">
      <alignment horizontal="center"/>
    </xf>
    <xf numFmtId="44" fontId="12" fillId="10" borderId="2" xfId="2" applyNumberFormat="1" applyFont="1" applyFill="1" applyBorder="1" applyAlignment="1" applyProtection="1">
      <alignment horizontal="center"/>
    </xf>
    <xf numFmtId="167" fontId="12" fillId="10" borderId="1" xfId="3" applyNumberFormat="1" applyFont="1" applyFill="1" applyBorder="1" applyAlignment="1" applyProtection="1">
      <alignment horizontal="center"/>
    </xf>
    <xf numFmtId="167" fontId="12" fillId="10" borderId="2" xfId="3" applyNumberFormat="1" applyFont="1" applyFill="1" applyBorder="1" applyAlignment="1" applyProtection="1">
      <alignment horizontal="center"/>
    </xf>
    <xf numFmtId="168" fontId="9" fillId="10" borderId="2" xfId="3" applyNumberFormat="1" applyFont="1" applyFill="1" applyBorder="1" applyAlignment="1" applyProtection="1">
      <alignment horizontal="center"/>
    </xf>
    <xf numFmtId="44" fontId="8" fillId="3" borderId="8" xfId="2" applyNumberFormat="1" applyFont="1" applyFill="1" applyBorder="1" applyAlignment="1" applyProtection="1">
      <alignment horizontal="center"/>
      <protection locked="0"/>
    </xf>
    <xf numFmtId="0" fontId="21" fillId="0" borderId="0" xfId="0" applyFont="1" applyAlignment="1"/>
    <xf numFmtId="168" fontId="8" fillId="0" borderId="8" xfId="3" applyNumberFormat="1" applyFont="1" applyFill="1" applyBorder="1" applyAlignment="1" applyProtection="1">
      <alignment horizontal="center"/>
    </xf>
    <xf numFmtId="168" fontId="8" fillId="0" borderId="0" xfId="3" applyNumberFormat="1" applyFont="1" applyBorder="1" applyAlignment="1" applyProtection="1">
      <alignment horizontal="center"/>
    </xf>
    <xf numFmtId="168" fontId="12" fillId="2" borderId="1" xfId="3" applyNumberFormat="1" applyFont="1" applyFill="1" applyBorder="1" applyAlignment="1" applyProtection="1">
      <alignment horizontal="center"/>
    </xf>
    <xf numFmtId="168" fontId="12" fillId="2" borderId="2" xfId="3" applyNumberFormat="1" applyFont="1" applyFill="1" applyBorder="1" applyAlignment="1" applyProtection="1">
      <alignment horizontal="center"/>
    </xf>
    <xf numFmtId="168" fontId="12" fillId="10" borderId="1" xfId="3" applyNumberFormat="1" applyFont="1" applyFill="1" applyBorder="1" applyAlignment="1" applyProtection="1">
      <alignment horizontal="center"/>
    </xf>
    <xf numFmtId="168" fontId="12" fillId="10" borderId="2" xfId="3" applyNumberFormat="1" applyFont="1" applyFill="1" applyBorder="1" applyAlignment="1" applyProtection="1">
      <alignment horizontal="center"/>
    </xf>
    <xf numFmtId="43" fontId="21" fillId="9" borderId="0" xfId="1" applyFont="1" applyFill="1" applyAlignment="1">
      <alignment horizontal="center"/>
    </xf>
    <xf numFmtId="43" fontId="0" fillId="0" borderId="0" xfId="1" applyFont="1"/>
    <xf numFmtId="0" fontId="0" fillId="0" borderId="48" xfId="0" applyBorder="1"/>
    <xf numFmtId="0" fontId="20" fillId="0" borderId="49" xfId="9" applyFont="1" applyFill="1" applyBorder="1" applyAlignment="1">
      <alignment wrapText="1"/>
    </xf>
    <xf numFmtId="0" fontId="0" fillId="0" borderId="50" xfId="0" applyBorder="1"/>
    <xf numFmtId="0" fontId="0" fillId="0" borderId="24" xfId="0" applyFill="1" applyBorder="1"/>
    <xf numFmtId="0" fontId="0" fillId="6" borderId="43" xfId="0" applyFill="1" applyBorder="1" applyAlignment="1">
      <alignment horizontal="right"/>
    </xf>
    <xf numFmtId="0" fontId="9" fillId="0" borderId="8" xfId="4" applyFont="1" applyFill="1" applyBorder="1" applyAlignment="1" applyProtection="1">
      <alignment horizontal="center"/>
    </xf>
    <xf numFmtId="164" fontId="8" fillId="0" borderId="4" xfId="2" applyNumberFormat="1" applyFont="1" applyFill="1" applyBorder="1" applyAlignment="1" applyProtection="1">
      <alignment horizontal="center"/>
    </xf>
    <xf numFmtId="164" fontId="8" fillId="0" borderId="0" xfId="2" applyNumberFormat="1" applyFont="1" applyFill="1" applyBorder="1" applyAlignment="1" applyProtection="1">
      <alignment horizontal="center"/>
    </xf>
    <xf numFmtId="167" fontId="8" fillId="0" borderId="10" xfId="3" applyNumberFormat="1" applyFont="1" applyFill="1" applyBorder="1" applyAlignment="1" applyProtection="1">
      <alignment horizontal="center"/>
    </xf>
    <xf numFmtId="165" fontId="8" fillId="0" borderId="0" xfId="1" applyNumberFormat="1" applyFont="1" applyFill="1" applyBorder="1" applyAlignment="1" applyProtection="1">
      <alignment horizontal="center"/>
    </xf>
    <xf numFmtId="168" fontId="8" fillId="0" borderId="0" xfId="3" applyNumberFormat="1" applyFont="1" applyFill="1" applyBorder="1" applyAlignment="1" applyProtection="1">
      <alignment horizontal="center"/>
    </xf>
    <xf numFmtId="44" fontId="8" fillId="0" borderId="0" xfId="2" applyNumberFormat="1" applyFont="1" applyFill="1" applyBorder="1" applyAlignment="1" applyProtection="1">
      <alignment horizontal="center"/>
    </xf>
    <xf numFmtId="168" fontId="9" fillId="0" borderId="26" xfId="3" applyNumberFormat="1" applyFont="1" applyFill="1" applyBorder="1" applyAlignment="1" applyProtection="1">
      <alignment horizontal="center"/>
    </xf>
    <xf numFmtId="168" fontId="9" fillId="0" borderId="0" xfId="3" applyNumberFormat="1" applyFont="1" applyFill="1" applyBorder="1" applyAlignment="1" applyProtection="1">
      <alignment horizontal="center"/>
    </xf>
    <xf numFmtId="164" fontId="8" fillId="0" borderId="8" xfId="2" applyNumberFormat="1" applyFont="1" applyFill="1" applyBorder="1" applyAlignment="1" applyProtection="1">
      <alignment horizontal="center"/>
    </xf>
    <xf numFmtId="164" fontId="8" fillId="0" borderId="9" xfId="2" applyNumberFormat="1" applyFont="1" applyFill="1" applyBorder="1" applyAlignment="1" applyProtection="1">
      <alignment horizontal="center"/>
    </xf>
    <xf numFmtId="167" fontId="12" fillId="0" borderId="3" xfId="3" applyNumberFormat="1" applyFont="1" applyFill="1" applyBorder="1" applyAlignment="1" applyProtection="1">
      <alignment horizontal="center"/>
    </xf>
    <xf numFmtId="165" fontId="12" fillId="0" borderId="1" xfId="1" applyNumberFormat="1" applyFont="1" applyFill="1" applyBorder="1" applyAlignment="1" applyProtection="1">
      <alignment horizontal="center"/>
    </xf>
    <xf numFmtId="165" fontId="12" fillId="0" borderId="2" xfId="1" applyNumberFormat="1" applyFont="1" applyFill="1" applyBorder="1" applyAlignment="1" applyProtection="1">
      <alignment horizontal="center"/>
    </xf>
    <xf numFmtId="165" fontId="4" fillId="0" borderId="8" xfId="1" applyNumberFormat="1" applyFont="1" applyFill="1" applyBorder="1" applyAlignment="1" applyProtection="1">
      <alignment horizontal="center"/>
    </xf>
    <xf numFmtId="165" fontId="8" fillId="0" borderId="8" xfId="1" applyNumberFormat="1" applyFont="1" applyFill="1" applyBorder="1" applyAlignment="1" applyProtection="1">
      <alignment horizontal="center"/>
    </xf>
    <xf numFmtId="44" fontId="8" fillId="0" borderId="8" xfId="2" applyNumberFormat="1" applyFont="1" applyFill="1" applyBorder="1" applyAlignment="1" applyProtection="1">
      <alignment horizontal="center"/>
    </xf>
    <xf numFmtId="0" fontId="12" fillId="2" borderId="1" xfId="4" applyFont="1" applyFill="1" applyBorder="1" applyAlignment="1" applyProtection="1">
      <alignment horizontal="center"/>
    </xf>
    <xf numFmtId="0" fontId="0" fillId="8" borderId="51" xfId="0" applyFill="1" applyBorder="1"/>
    <xf numFmtId="0" fontId="0" fillId="0" borderId="0" xfId="0" applyAlignment="1">
      <alignment horizontal="right"/>
    </xf>
    <xf numFmtId="0" fontId="0" fillId="0" borderId="51" xfId="0" applyBorder="1"/>
    <xf numFmtId="0" fontId="17" fillId="0" borderId="17" xfId="0" applyFont="1" applyBorder="1"/>
    <xf numFmtId="0" fontId="17" fillId="0" borderId="24" xfId="0" applyFont="1" applyBorder="1"/>
    <xf numFmtId="0" fontId="17" fillId="6" borderId="52" xfId="0" applyFont="1" applyFill="1" applyBorder="1"/>
    <xf numFmtId="0" fontId="0" fillId="6" borderId="53" xfId="0" applyFill="1" applyBorder="1"/>
    <xf numFmtId="0" fontId="0" fillId="6" borderId="54" xfId="0" applyFill="1" applyBorder="1"/>
    <xf numFmtId="0" fontId="17" fillId="0" borderId="55" xfId="0" applyFont="1" applyBorder="1"/>
    <xf numFmtId="0" fontId="0" fillId="0" borderId="56" xfId="0" applyBorder="1"/>
    <xf numFmtId="0" fontId="0" fillId="0" borderId="57" xfId="0" applyBorder="1"/>
    <xf numFmtId="0" fontId="0" fillId="6" borderId="53" xfId="0" applyFill="1" applyBorder="1" applyAlignment="1">
      <alignment horizontal="center"/>
    </xf>
    <xf numFmtId="0" fontId="0" fillId="6" borderId="54" xfId="0" applyFill="1" applyBorder="1" applyAlignment="1">
      <alignment horizontal="center"/>
    </xf>
    <xf numFmtId="9" fontId="0" fillId="0" borderId="0" xfId="3" applyFont="1"/>
    <xf numFmtId="0" fontId="17" fillId="6" borderId="55" xfId="0" applyFont="1" applyFill="1" applyBorder="1" applyAlignment="1">
      <alignment horizontal="center"/>
    </xf>
    <xf numFmtId="0" fontId="17" fillId="0" borderId="66" xfId="0" applyFont="1" applyBorder="1"/>
    <xf numFmtId="0" fontId="17" fillId="13" borderId="66" xfId="0" applyFont="1" applyFill="1" applyBorder="1"/>
    <xf numFmtId="0" fontId="17" fillId="13" borderId="17" xfId="0" applyFont="1" applyFill="1" applyBorder="1"/>
    <xf numFmtId="0" fontId="17" fillId="13" borderId="24" xfId="0" applyFont="1" applyFill="1" applyBorder="1"/>
    <xf numFmtId="0" fontId="0" fillId="0" borderId="43" xfId="0" applyFill="1" applyBorder="1"/>
    <xf numFmtId="0" fontId="22" fillId="0" borderId="42" xfId="11" applyFont="1" applyFill="1" applyBorder="1" applyAlignment="1">
      <alignment horizontal="center"/>
    </xf>
    <xf numFmtId="0" fontId="0" fillId="0" borderId="44" xfId="0" applyFill="1" applyBorder="1"/>
    <xf numFmtId="0" fontId="26" fillId="0" borderId="0" xfId="0" applyFont="1" applyAlignment="1">
      <alignment horizontal="left" indent="1"/>
    </xf>
    <xf numFmtId="0" fontId="0" fillId="13" borderId="56" xfId="0" applyFill="1" applyBorder="1"/>
    <xf numFmtId="0" fontId="0" fillId="13" borderId="0" xfId="0" applyFill="1" applyBorder="1"/>
    <xf numFmtId="0" fontId="27" fillId="0" borderId="0" xfId="0" applyFont="1" applyAlignment="1">
      <alignment vertical="center"/>
    </xf>
    <xf numFmtId="0" fontId="28" fillId="0" borderId="0" xfId="0" applyFont="1"/>
    <xf numFmtId="166" fontId="12" fillId="2" borderId="70" xfId="1" applyNumberFormat="1" applyFont="1" applyFill="1" applyBorder="1" applyAlignment="1" applyProtection="1">
      <alignment horizontal="center"/>
    </xf>
    <xf numFmtId="165" fontId="12" fillId="10" borderId="72" xfId="1" applyNumberFormat="1" applyFont="1" applyFill="1" applyBorder="1" applyAlignment="1" applyProtection="1">
      <alignment horizontal="center"/>
    </xf>
    <xf numFmtId="167" fontId="12" fillId="10" borderId="73" xfId="3" applyNumberFormat="1" applyFont="1" applyFill="1" applyBorder="1" applyAlignment="1" applyProtection="1">
      <alignment horizontal="center"/>
    </xf>
    <xf numFmtId="165" fontId="12" fillId="10" borderId="74" xfId="1" applyNumberFormat="1" applyFont="1" applyFill="1" applyBorder="1" applyAlignment="1" applyProtection="1">
      <alignment horizontal="center"/>
    </xf>
    <xf numFmtId="166" fontId="12" fillId="10" borderId="4" xfId="1" applyNumberFormat="1" applyFont="1" applyFill="1" applyBorder="1" applyAlignment="1" applyProtection="1">
      <alignment horizontal="center"/>
    </xf>
    <xf numFmtId="166" fontId="12" fillId="10" borderId="67" xfId="1" applyNumberFormat="1" applyFont="1" applyFill="1" applyBorder="1" applyAlignment="1" applyProtection="1">
      <alignment horizontal="center"/>
    </xf>
    <xf numFmtId="0" fontId="21" fillId="8" borderId="0" xfId="0" applyFont="1" applyFill="1" applyAlignment="1"/>
    <xf numFmtId="0" fontId="29" fillId="0" borderId="0" xfId="0" applyFont="1"/>
    <xf numFmtId="0" fontId="30" fillId="0" borderId="40" xfId="0" applyFont="1" applyBorder="1" applyAlignment="1">
      <alignment horizontal="center" vertical="center"/>
    </xf>
    <xf numFmtId="0" fontId="31" fillId="0" borderId="32" xfId="0" applyFont="1" applyFill="1" applyBorder="1" applyAlignment="1">
      <alignment vertical="center"/>
    </xf>
    <xf numFmtId="0" fontId="31" fillId="0" borderId="33" xfId="0" applyFont="1" applyFill="1" applyBorder="1" applyAlignment="1">
      <alignment vertical="center"/>
    </xf>
    <xf numFmtId="0" fontId="29" fillId="0" borderId="63" xfId="0" applyFont="1" applyBorder="1"/>
    <xf numFmtId="0" fontId="29" fillId="0" borderId="64" xfId="0" applyFont="1" applyBorder="1"/>
    <xf numFmtId="0" fontId="29" fillId="0" borderId="65" xfId="0" applyFont="1" applyBorder="1"/>
    <xf numFmtId="0" fontId="29" fillId="0" borderId="41" xfId="0" applyFont="1" applyBorder="1"/>
    <xf numFmtId="0" fontId="29" fillId="0" borderId="47" xfId="0" applyFont="1" applyBorder="1"/>
    <xf numFmtId="0" fontId="29" fillId="0" borderId="39" xfId="0" applyFont="1" applyBorder="1"/>
    <xf numFmtId="0" fontId="29" fillId="0" borderId="0" xfId="0" applyFont="1" applyFill="1"/>
    <xf numFmtId="0" fontId="33" fillId="0" borderId="30" xfId="4" applyFont="1" applyFill="1" applyBorder="1" applyAlignment="1">
      <alignment horizontal="center" wrapText="1"/>
    </xf>
    <xf numFmtId="0" fontId="33" fillId="0" borderId="76" xfId="4" applyFont="1" applyFill="1" applyBorder="1" applyAlignment="1">
      <alignment horizontal="center" wrapText="1"/>
    </xf>
    <xf numFmtId="0" fontId="33" fillId="0" borderId="77" xfId="4" applyFont="1" applyFill="1" applyBorder="1" applyAlignment="1">
      <alignment horizontal="center" wrapText="1"/>
    </xf>
    <xf numFmtId="164" fontId="33" fillId="0" borderId="6" xfId="2" applyNumberFormat="1" applyFont="1" applyFill="1" applyBorder="1" applyAlignment="1">
      <alignment horizontal="center" wrapText="1"/>
    </xf>
    <xf numFmtId="164" fontId="33" fillId="0" borderId="7" xfId="2" applyNumberFormat="1" applyFont="1" applyFill="1" applyBorder="1" applyAlignment="1">
      <alignment horizontal="center" wrapText="1"/>
    </xf>
    <xf numFmtId="164" fontId="33" fillId="0" borderId="9" xfId="2" applyNumberFormat="1" applyFont="1" applyFill="1" applyBorder="1" applyAlignment="1">
      <alignment horizontal="center" wrapText="1"/>
    </xf>
    <xf numFmtId="43" fontId="33" fillId="0" borderId="28" xfId="1" applyFont="1" applyFill="1" applyBorder="1" applyAlignment="1">
      <alignment horizontal="center" wrapText="1"/>
    </xf>
    <xf numFmtId="43" fontId="33" fillId="0" borderId="29" xfId="1" applyFont="1" applyFill="1" applyBorder="1" applyAlignment="1">
      <alignment horizontal="center" wrapText="1"/>
    </xf>
    <xf numFmtId="164" fontId="33" fillId="0" borderId="25" xfId="2" applyNumberFormat="1" applyFont="1" applyFill="1" applyBorder="1" applyAlignment="1">
      <alignment horizontal="center" wrapText="1"/>
    </xf>
    <xf numFmtId="164" fontId="33" fillId="0" borderId="28" xfId="2" applyNumberFormat="1" applyFont="1" applyFill="1" applyBorder="1" applyAlignment="1">
      <alignment horizontal="center" wrapText="1"/>
    </xf>
    <xf numFmtId="164" fontId="33" fillId="0" borderId="81" xfId="2" applyNumberFormat="1" applyFont="1" applyFill="1" applyBorder="1" applyAlignment="1">
      <alignment horizontal="center" wrapText="1"/>
    </xf>
    <xf numFmtId="164" fontId="33" fillId="0" borderId="82" xfId="2" applyNumberFormat="1" applyFont="1" applyFill="1" applyBorder="1" applyAlignment="1">
      <alignment horizontal="center" wrapText="1"/>
    </xf>
    <xf numFmtId="164" fontId="33" fillId="0" borderId="83" xfId="2" applyNumberFormat="1" applyFont="1" applyFill="1" applyBorder="1" applyAlignment="1">
      <alignment horizontal="center" wrapText="1"/>
    </xf>
    <xf numFmtId="164" fontId="33" fillId="0" borderId="9" xfId="2" applyNumberFormat="1" applyFont="1" applyBorder="1" applyAlignment="1">
      <alignment horizontal="center" wrapText="1"/>
    </xf>
    <xf numFmtId="164" fontId="33" fillId="0" borderId="6" xfId="2" applyNumberFormat="1" applyFont="1" applyBorder="1" applyAlignment="1">
      <alignment horizontal="center" wrapText="1"/>
    </xf>
    <xf numFmtId="164" fontId="33" fillId="0" borderId="7" xfId="2" applyNumberFormat="1" applyFont="1" applyBorder="1" applyAlignment="1">
      <alignment horizontal="center" wrapText="1"/>
    </xf>
    <xf numFmtId="9" fontId="33" fillId="0" borderId="58" xfId="3" applyFont="1" applyFill="1" applyBorder="1" applyAlignment="1">
      <alignment horizontal="center" wrapText="1"/>
    </xf>
    <xf numFmtId="44" fontId="33" fillId="0" borderId="0" xfId="2" applyFont="1" applyFill="1" applyBorder="1" applyAlignment="1">
      <alignment horizontal="center" wrapText="1"/>
    </xf>
    <xf numFmtId="44" fontId="33" fillId="0" borderId="59" xfId="2" applyFont="1" applyFill="1" applyBorder="1" applyAlignment="1">
      <alignment horizontal="center" wrapText="1"/>
    </xf>
    <xf numFmtId="164" fontId="8" fillId="0" borderId="5" xfId="2" applyNumberFormat="1" applyFont="1" applyFill="1" applyBorder="1" applyAlignment="1" applyProtection="1">
      <alignment horizontal="center"/>
    </xf>
    <xf numFmtId="164" fontId="8" fillId="0" borderId="6" xfId="2" applyNumberFormat="1" applyFont="1" applyFill="1" applyBorder="1" applyAlignment="1" applyProtection="1">
      <alignment horizontal="center"/>
    </xf>
    <xf numFmtId="44" fontId="8" fillId="0" borderId="4" xfId="2" applyNumberFormat="1" applyFont="1" applyFill="1" applyBorder="1" applyAlignment="1" applyProtection="1">
      <alignment horizontal="center"/>
    </xf>
    <xf numFmtId="44" fontId="8" fillId="0" borderId="5" xfId="2" applyNumberFormat="1" applyFont="1" applyFill="1" applyBorder="1" applyAlignment="1" applyProtection="1">
      <alignment horizontal="center"/>
    </xf>
    <xf numFmtId="167" fontId="2" fillId="0" borderId="4" xfId="3" applyNumberFormat="1" applyFont="1" applyFill="1" applyBorder="1" applyAlignment="1" applyProtection="1">
      <alignment horizontal="center"/>
    </xf>
    <xf numFmtId="167" fontId="2" fillId="0" borderId="5" xfId="3" applyNumberFormat="1" applyFont="1" applyFill="1" applyBorder="1" applyAlignment="1" applyProtection="1">
      <alignment horizontal="center"/>
    </xf>
    <xf numFmtId="165" fontId="2" fillId="0" borderId="0" xfId="1" applyNumberFormat="1" applyFont="1" applyFill="1" applyBorder="1" applyAlignment="1" applyProtection="1">
      <alignment horizontal="center"/>
    </xf>
    <xf numFmtId="167" fontId="2" fillId="0" borderId="10" xfId="3" applyNumberFormat="1" applyFont="1" applyFill="1" applyBorder="1" applyAlignment="1" applyProtection="1">
      <alignment horizontal="center"/>
    </xf>
    <xf numFmtId="165" fontId="2" fillId="0" borderId="8" xfId="1" applyNumberFormat="1" applyFont="1" applyFill="1" applyBorder="1" applyAlignment="1" applyProtection="1">
      <alignment horizontal="center"/>
    </xf>
    <xf numFmtId="166" fontId="2" fillId="0" borderId="8" xfId="1" applyNumberFormat="1" applyFont="1" applyFill="1" applyBorder="1" applyAlignment="1" applyProtection="1">
      <alignment horizontal="center"/>
    </xf>
    <xf numFmtId="166" fontId="2" fillId="0" borderId="67" xfId="1" applyNumberFormat="1" applyFont="1" applyFill="1" applyBorder="1" applyAlignment="1" applyProtection="1">
      <alignment horizontal="center"/>
    </xf>
    <xf numFmtId="167" fontId="2" fillId="0" borderId="8" xfId="3" applyNumberFormat="1" applyFont="1" applyFill="1" applyBorder="1" applyAlignment="1" applyProtection="1">
      <alignment horizontal="center"/>
    </xf>
    <xf numFmtId="167" fontId="2" fillId="0" borderId="0" xfId="3" applyNumberFormat="1" applyFont="1" applyFill="1" applyBorder="1" applyAlignment="1" applyProtection="1">
      <alignment horizontal="center"/>
    </xf>
    <xf numFmtId="166" fontId="2" fillId="0" borderId="68" xfId="1" applyNumberFormat="1" applyFont="1" applyFill="1" applyBorder="1" applyAlignment="1" applyProtection="1">
      <alignment horizontal="center"/>
    </xf>
    <xf numFmtId="168" fontId="2" fillId="0" borderId="26" xfId="3" applyNumberFormat="1" applyFont="1" applyFill="1" applyBorder="1" applyAlignment="1" applyProtection="1">
      <alignment horizontal="center"/>
    </xf>
    <xf numFmtId="166" fontId="2" fillId="0" borderId="4" xfId="1" applyNumberFormat="1" applyFont="1" applyFill="1" applyBorder="1" applyAlignment="1" applyProtection="1">
      <alignment horizontal="center"/>
    </xf>
    <xf numFmtId="166" fontId="2" fillId="0" borderId="75" xfId="1" applyNumberFormat="1" applyFont="1" applyFill="1" applyBorder="1" applyAlignment="1" applyProtection="1">
      <alignment horizontal="center"/>
    </xf>
    <xf numFmtId="166" fontId="2" fillId="0" borderId="10" xfId="1" applyNumberFormat="1" applyFont="1" applyFill="1" applyBorder="1" applyAlignment="1" applyProtection="1">
      <alignment horizontal="center"/>
    </xf>
    <xf numFmtId="166" fontId="2" fillId="0" borderId="9" xfId="1" applyNumberFormat="1" applyFont="1" applyFill="1" applyBorder="1" applyAlignment="1" applyProtection="1">
      <alignment horizontal="center"/>
    </xf>
    <xf numFmtId="166" fontId="2" fillId="0" borderId="7" xfId="1" applyNumberFormat="1" applyFont="1" applyFill="1" applyBorder="1" applyAlignment="1" applyProtection="1">
      <alignment horizontal="center"/>
    </xf>
    <xf numFmtId="168" fontId="2" fillId="2" borderId="27" xfId="3" applyNumberFormat="1" applyFont="1" applyFill="1" applyBorder="1" applyAlignment="1" applyProtection="1">
      <alignment horizontal="center"/>
    </xf>
    <xf numFmtId="167" fontId="2" fillId="0" borderId="8" xfId="3" applyNumberFormat="1" applyFont="1" applyBorder="1" applyAlignment="1" applyProtection="1">
      <alignment horizontal="center"/>
    </xf>
    <xf numFmtId="167" fontId="2" fillId="0" borderId="0" xfId="3" applyNumberFormat="1" applyFont="1" applyBorder="1" applyAlignment="1" applyProtection="1">
      <alignment horizontal="center"/>
    </xf>
    <xf numFmtId="165" fontId="2" fillId="0" borderId="0" xfId="1" applyNumberFormat="1" applyFont="1" applyBorder="1" applyAlignment="1" applyProtection="1">
      <alignment horizontal="center"/>
    </xf>
    <xf numFmtId="167" fontId="2" fillId="0" borderId="10" xfId="3" applyNumberFormat="1" applyFont="1" applyBorder="1" applyAlignment="1" applyProtection="1">
      <alignment horizontal="center"/>
    </xf>
    <xf numFmtId="168" fontId="2" fillId="4" borderId="26" xfId="3" applyNumberFormat="1" applyFont="1" applyFill="1" applyBorder="1" applyAlignment="1" applyProtection="1">
      <alignment horizontal="center"/>
    </xf>
    <xf numFmtId="168" fontId="2" fillId="10" borderId="27" xfId="3" applyNumberFormat="1" applyFont="1" applyFill="1" applyBorder="1" applyAlignment="1" applyProtection="1">
      <alignment horizontal="center"/>
    </xf>
    <xf numFmtId="0" fontId="33" fillId="8" borderId="77" xfId="4" applyFont="1" applyFill="1" applyBorder="1" applyAlignment="1">
      <alignment horizontal="center" wrapText="1"/>
    </xf>
    <xf numFmtId="165" fontId="2" fillId="0" borderId="88" xfId="1" applyNumberFormat="1" applyFont="1" applyFill="1" applyBorder="1" applyAlignment="1" applyProtection="1">
      <alignment horizontal="center"/>
    </xf>
    <xf numFmtId="164" fontId="2" fillId="0" borderId="88" xfId="1" applyNumberFormat="1" applyFont="1" applyFill="1" applyBorder="1" applyAlignment="1" applyProtection="1">
      <alignment horizontal="center"/>
    </xf>
    <xf numFmtId="167" fontId="2" fillId="0" borderId="88" xfId="3" applyNumberFormat="1" applyFont="1" applyFill="1" applyBorder="1" applyAlignment="1" applyProtection="1">
      <alignment horizontal="center"/>
    </xf>
    <xf numFmtId="44" fontId="2" fillId="0" borderId="88" xfId="2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Alignment="1" applyProtection="1">
      <alignment horizontal="center"/>
    </xf>
    <xf numFmtId="44" fontId="2" fillId="0" borderId="0" xfId="2" applyNumberFormat="1" applyFont="1" applyFill="1" applyBorder="1" applyAlignment="1" applyProtection="1">
      <alignment horizontal="center"/>
    </xf>
    <xf numFmtId="165" fontId="12" fillId="2" borderId="90" xfId="1" applyNumberFormat="1" applyFont="1" applyFill="1" applyBorder="1" applyAlignment="1" applyProtection="1">
      <alignment horizontal="center"/>
    </xf>
    <xf numFmtId="164" fontId="12" fillId="2" borderId="90" xfId="1" applyNumberFormat="1" applyFont="1" applyFill="1" applyBorder="1" applyAlignment="1" applyProtection="1">
      <alignment horizontal="center"/>
    </xf>
    <xf numFmtId="167" fontId="2" fillId="2" borderId="89" xfId="3" applyNumberFormat="1" applyFont="1" applyFill="1" applyBorder="1" applyAlignment="1" applyProtection="1">
      <alignment horizontal="center"/>
    </xf>
    <xf numFmtId="44" fontId="12" fillId="2" borderId="91" xfId="2" applyNumberFormat="1" applyFont="1" applyFill="1" applyBorder="1" applyAlignment="1" applyProtection="1">
      <alignment horizontal="center"/>
    </xf>
    <xf numFmtId="165" fontId="12" fillId="10" borderId="90" xfId="1" applyNumberFormat="1" applyFont="1" applyFill="1" applyBorder="1" applyAlignment="1" applyProtection="1">
      <alignment horizontal="center"/>
    </xf>
    <xf numFmtId="164" fontId="12" fillId="10" borderId="90" xfId="1" applyNumberFormat="1" applyFont="1" applyFill="1" applyBorder="1" applyAlignment="1" applyProtection="1">
      <alignment horizontal="center"/>
    </xf>
    <xf numFmtId="167" fontId="2" fillId="10" borderId="89" xfId="3" applyNumberFormat="1" applyFont="1" applyFill="1" applyBorder="1" applyAlignment="1" applyProtection="1">
      <alignment horizontal="center"/>
    </xf>
    <xf numFmtId="44" fontId="12" fillId="10" borderId="91" xfId="2" applyNumberFormat="1" applyFont="1" applyFill="1" applyBorder="1" applyAlignment="1" applyProtection="1">
      <alignment horizontal="center"/>
    </xf>
    <xf numFmtId="167" fontId="8" fillId="0" borderId="75" xfId="3" applyNumberFormat="1" applyFont="1" applyFill="1" applyBorder="1" applyAlignment="1" applyProtection="1">
      <alignment horizontal="center"/>
    </xf>
    <xf numFmtId="0" fontId="21" fillId="9" borderId="0" xfId="0" applyFont="1" applyFill="1" applyAlignment="1"/>
    <xf numFmtId="0" fontId="19" fillId="7" borderId="84" xfId="9" applyFont="1" applyFill="1" applyBorder="1" applyAlignment="1">
      <alignment horizontal="center"/>
    </xf>
    <xf numFmtId="0" fontId="20" fillId="7" borderId="85" xfId="9" applyFont="1" applyFill="1" applyBorder="1" applyAlignment="1">
      <alignment horizontal="center"/>
    </xf>
    <xf numFmtId="0" fontId="19" fillId="7" borderId="85" xfId="9" applyFont="1" applyFill="1" applyBorder="1" applyAlignment="1">
      <alignment horizontal="center"/>
    </xf>
    <xf numFmtId="0" fontId="20" fillId="7" borderId="95" xfId="9" applyFont="1" applyFill="1" applyBorder="1" applyAlignment="1">
      <alignment horizontal="center"/>
    </xf>
    <xf numFmtId="0" fontId="20" fillId="7" borderId="96" xfId="9" applyFont="1" applyFill="1" applyBorder="1" applyAlignment="1">
      <alignment horizontal="center"/>
    </xf>
    <xf numFmtId="0" fontId="0" fillId="0" borderId="66" xfId="0" applyBorder="1"/>
    <xf numFmtId="0" fontId="0" fillId="0" borderId="97" xfId="0" applyBorder="1"/>
    <xf numFmtId="0" fontId="0" fillId="0" borderId="98" xfId="0" applyBorder="1"/>
    <xf numFmtId="0" fontId="0" fillId="6" borderId="99" xfId="0" applyFill="1" applyBorder="1"/>
    <xf numFmtId="44" fontId="2" fillId="0" borderId="0" xfId="2" applyFont="1" applyFill="1" applyBorder="1" applyAlignment="1" applyProtection="1">
      <alignment horizontal="center"/>
    </xf>
    <xf numFmtId="44" fontId="12" fillId="2" borderId="2" xfId="2" applyFont="1" applyFill="1" applyBorder="1" applyAlignment="1" applyProtection="1">
      <alignment horizontal="center"/>
    </xf>
    <xf numFmtId="44" fontId="12" fillId="10" borderId="72" xfId="2" applyFont="1" applyFill="1" applyBorder="1" applyAlignment="1" applyProtection="1">
      <alignment horizontal="center"/>
    </xf>
    <xf numFmtId="0" fontId="35" fillId="0" borderId="0" xfId="0" applyFont="1"/>
    <xf numFmtId="170" fontId="2" fillId="0" borderId="8" xfId="1" applyNumberFormat="1" applyFont="1" applyFill="1" applyBorder="1" applyAlignment="1" applyProtection="1">
      <alignment horizontal="center"/>
    </xf>
    <xf numFmtId="170" fontId="2" fillId="0" borderId="0" xfId="1" applyNumberFormat="1" applyFont="1" applyFill="1" applyBorder="1" applyAlignment="1" applyProtection="1">
      <alignment horizontal="center"/>
    </xf>
    <xf numFmtId="170" fontId="12" fillId="2" borderId="1" xfId="1" applyNumberFormat="1" applyFont="1" applyFill="1" applyBorder="1" applyAlignment="1" applyProtection="1">
      <alignment horizontal="center"/>
    </xf>
    <xf numFmtId="170" fontId="12" fillId="2" borderId="2" xfId="1" applyNumberFormat="1" applyFont="1" applyFill="1" applyBorder="1" applyAlignment="1" applyProtection="1">
      <alignment horizontal="center"/>
    </xf>
    <xf numFmtId="170" fontId="2" fillId="0" borderId="0" xfId="1" applyNumberFormat="1" applyFont="1" applyBorder="1" applyAlignment="1" applyProtection="1">
      <alignment horizontal="center"/>
    </xf>
    <xf numFmtId="170" fontId="12" fillId="10" borderId="74" xfId="1" applyNumberFormat="1" applyFont="1" applyFill="1" applyBorder="1" applyAlignment="1" applyProtection="1">
      <alignment horizontal="center"/>
    </xf>
    <xf numFmtId="170" fontId="12" fillId="10" borderId="72" xfId="1" applyNumberFormat="1" applyFont="1" applyFill="1" applyBorder="1" applyAlignment="1" applyProtection="1">
      <alignment horizontal="center"/>
    </xf>
    <xf numFmtId="170" fontId="2" fillId="3" borderId="8" xfId="1" applyNumberFormat="1" applyFont="1" applyFill="1" applyBorder="1" applyAlignment="1" applyProtection="1">
      <alignment horizontal="center"/>
      <protection locked="0"/>
    </xf>
    <xf numFmtId="170" fontId="2" fillId="0" borderId="36" xfId="1" applyNumberFormat="1" applyFont="1" applyFill="1" applyBorder="1" applyAlignment="1" applyProtection="1">
      <alignment horizontal="center"/>
    </xf>
    <xf numFmtId="170" fontId="12" fillId="2" borderId="69" xfId="1" applyNumberFormat="1" applyFont="1" applyFill="1" applyBorder="1" applyAlignment="1" applyProtection="1">
      <alignment horizontal="center"/>
    </xf>
    <xf numFmtId="170" fontId="12" fillId="10" borderId="71" xfId="1" applyNumberFormat="1" applyFont="1" applyFill="1" applyBorder="1" applyAlignment="1" applyProtection="1">
      <alignment horizontal="center"/>
    </xf>
    <xf numFmtId="170" fontId="8" fillId="0" borderId="8" xfId="1" applyNumberFormat="1" applyFont="1" applyFill="1" applyBorder="1" applyAlignment="1" applyProtection="1">
      <alignment horizontal="center"/>
    </xf>
    <xf numFmtId="170" fontId="8" fillId="0" borderId="5" xfId="1" applyNumberFormat="1" applyFont="1" applyFill="1" applyBorder="1" applyAlignment="1" applyProtection="1">
      <alignment horizontal="center"/>
    </xf>
    <xf numFmtId="170" fontId="8" fillId="0" borderId="0" xfId="1" applyNumberFormat="1" applyFont="1" applyFill="1" applyBorder="1" applyAlignment="1" applyProtection="1">
      <alignment horizontal="center"/>
    </xf>
    <xf numFmtId="170" fontId="8" fillId="0" borderId="6" xfId="1" applyNumberFormat="1" applyFont="1" applyFill="1" applyBorder="1" applyAlignment="1" applyProtection="1">
      <alignment horizontal="center"/>
    </xf>
    <xf numFmtId="170" fontId="8" fillId="3" borderId="8" xfId="1" applyNumberFormat="1" applyFont="1" applyFill="1" applyBorder="1" applyAlignment="1" applyProtection="1">
      <alignment horizontal="center"/>
      <protection locked="0"/>
    </xf>
    <xf numFmtId="170" fontId="12" fillId="10" borderId="1" xfId="1" applyNumberFormat="1" applyFont="1" applyFill="1" applyBorder="1" applyAlignment="1" applyProtection="1">
      <alignment horizontal="center"/>
    </xf>
    <xf numFmtId="170" fontId="12" fillId="10" borderId="2" xfId="1" applyNumberFormat="1" applyFont="1" applyFill="1" applyBorder="1" applyAlignment="1" applyProtection="1">
      <alignment horizontal="center"/>
    </xf>
    <xf numFmtId="171" fontId="9" fillId="0" borderId="8" xfId="1" applyNumberFormat="1" applyFont="1" applyFill="1" applyBorder="1" applyAlignment="1" applyProtection="1">
      <alignment horizontal="center"/>
    </xf>
    <xf numFmtId="171" fontId="9" fillId="0" borderId="10" xfId="1" applyNumberFormat="1" applyFont="1" applyFill="1" applyBorder="1" applyAlignment="1" applyProtection="1">
      <alignment horizontal="center"/>
    </xf>
    <xf numFmtId="171" fontId="9" fillId="2" borderId="1" xfId="1" applyNumberFormat="1" applyFont="1" applyFill="1" applyBorder="1" applyAlignment="1" applyProtection="1">
      <alignment horizontal="center"/>
    </xf>
    <xf numFmtId="171" fontId="9" fillId="2" borderId="3" xfId="1" applyNumberFormat="1" applyFont="1" applyFill="1" applyBorder="1" applyAlignment="1" applyProtection="1">
      <alignment horizontal="center"/>
    </xf>
    <xf numFmtId="171" fontId="9" fillId="4" borderId="8" xfId="1" applyNumberFormat="1" applyFont="1" applyFill="1" applyBorder="1" applyAlignment="1" applyProtection="1">
      <alignment horizontal="center"/>
    </xf>
    <xf numFmtId="171" fontId="9" fillId="4" borderId="10" xfId="1" applyNumberFormat="1" applyFont="1" applyFill="1" applyBorder="1" applyAlignment="1" applyProtection="1">
      <alignment horizontal="center"/>
    </xf>
    <xf numFmtId="171" fontId="9" fillId="11" borderId="1" xfId="1" applyNumberFormat="1" applyFont="1" applyFill="1" applyBorder="1" applyAlignment="1" applyProtection="1">
      <alignment horizontal="center"/>
    </xf>
    <xf numFmtId="171" fontId="9" fillId="11" borderId="3" xfId="1" applyNumberFormat="1" applyFont="1" applyFill="1" applyBorder="1" applyAlignment="1" applyProtection="1">
      <alignment horizontal="center"/>
    </xf>
    <xf numFmtId="0" fontId="12" fillId="16" borderId="1" xfId="4" applyFont="1" applyFill="1" applyBorder="1" applyAlignment="1" applyProtection="1">
      <alignment horizontal="center"/>
    </xf>
    <xf numFmtId="164" fontId="12" fillId="16" borderId="1" xfId="1" applyNumberFormat="1" applyFont="1" applyFill="1" applyBorder="1" applyAlignment="1" applyProtection="1">
      <alignment horizontal="center"/>
    </xf>
    <xf numFmtId="164" fontId="12" fillId="16" borderId="90" xfId="1" applyNumberFormat="1" applyFont="1" applyFill="1" applyBorder="1" applyAlignment="1" applyProtection="1">
      <alignment horizontal="center"/>
    </xf>
    <xf numFmtId="167" fontId="2" fillId="16" borderId="89" xfId="3" applyNumberFormat="1" applyFont="1" applyFill="1" applyBorder="1" applyAlignment="1" applyProtection="1">
      <alignment horizontal="center"/>
    </xf>
    <xf numFmtId="165" fontId="12" fillId="16" borderId="90" xfId="1" applyNumberFormat="1" applyFont="1" applyFill="1" applyBorder="1" applyAlignment="1" applyProtection="1">
      <alignment horizontal="center"/>
    </xf>
    <xf numFmtId="44" fontId="12" fillId="16" borderId="91" xfId="2" applyNumberFormat="1" applyFont="1" applyFill="1" applyBorder="1" applyAlignment="1" applyProtection="1">
      <alignment horizontal="center"/>
    </xf>
    <xf numFmtId="164" fontId="12" fillId="16" borderId="2" xfId="1" applyNumberFormat="1" applyFont="1" applyFill="1" applyBorder="1" applyAlignment="1" applyProtection="1">
      <alignment horizontal="center"/>
    </xf>
    <xf numFmtId="167" fontId="12" fillId="16" borderId="3" xfId="3" applyNumberFormat="1" applyFont="1" applyFill="1" applyBorder="1" applyAlignment="1" applyProtection="1">
      <alignment horizontal="center"/>
    </xf>
    <xf numFmtId="170" fontId="12" fillId="16" borderId="1" xfId="1" applyNumberFormat="1" applyFont="1" applyFill="1" applyBorder="1" applyAlignment="1" applyProtection="1">
      <alignment horizontal="center"/>
    </xf>
    <xf numFmtId="170" fontId="12" fillId="16" borderId="2" xfId="1" applyNumberFormat="1" applyFont="1" applyFill="1" applyBorder="1" applyAlignment="1" applyProtection="1">
      <alignment horizontal="center"/>
    </xf>
    <xf numFmtId="171" fontId="9" fillId="16" borderId="1" xfId="1" applyNumberFormat="1" applyFont="1" applyFill="1" applyBorder="1" applyAlignment="1" applyProtection="1">
      <alignment horizontal="center"/>
    </xf>
    <xf numFmtId="171" fontId="9" fillId="16" borderId="3" xfId="1" applyNumberFormat="1" applyFont="1" applyFill="1" applyBorder="1" applyAlignment="1" applyProtection="1">
      <alignment horizontal="center"/>
    </xf>
    <xf numFmtId="168" fontId="12" fillId="16" borderId="1" xfId="3" applyNumberFormat="1" applyFont="1" applyFill="1" applyBorder="1" applyAlignment="1" applyProtection="1">
      <alignment horizontal="center"/>
    </xf>
    <xf numFmtId="168" fontId="12" fillId="16" borderId="2" xfId="3" applyNumberFormat="1" applyFont="1" applyFill="1" applyBorder="1" applyAlignment="1" applyProtection="1">
      <alignment horizontal="center"/>
    </xf>
    <xf numFmtId="44" fontId="12" fillId="16" borderId="1" xfId="2" applyNumberFormat="1" applyFont="1" applyFill="1" applyBorder="1" applyAlignment="1" applyProtection="1">
      <alignment horizontal="center"/>
    </xf>
    <xf numFmtId="44" fontId="12" fillId="16" borderId="2" xfId="2" applyNumberFormat="1" applyFont="1" applyFill="1" applyBorder="1" applyAlignment="1" applyProtection="1">
      <alignment horizontal="center"/>
    </xf>
    <xf numFmtId="167" fontId="12" fillId="16" borderId="1" xfId="3" applyNumberFormat="1" applyFont="1" applyFill="1" applyBorder="1" applyAlignment="1" applyProtection="1">
      <alignment horizontal="center"/>
    </xf>
    <xf numFmtId="167" fontId="12" fillId="16" borderId="2" xfId="3" applyNumberFormat="1" applyFont="1" applyFill="1" applyBorder="1" applyAlignment="1" applyProtection="1">
      <alignment horizontal="center"/>
    </xf>
    <xf numFmtId="166" fontId="12" fillId="16" borderId="1" xfId="1" applyNumberFormat="1" applyFont="1" applyFill="1" applyBorder="1" applyAlignment="1" applyProtection="1">
      <alignment horizontal="center"/>
    </xf>
    <xf numFmtId="166" fontId="12" fillId="16" borderId="70" xfId="1" applyNumberFormat="1" applyFont="1" applyFill="1" applyBorder="1" applyAlignment="1" applyProtection="1">
      <alignment horizontal="center"/>
    </xf>
    <xf numFmtId="168" fontId="2" fillId="16" borderId="27" xfId="3" applyNumberFormat="1" applyFont="1" applyFill="1" applyBorder="1" applyAlignment="1" applyProtection="1">
      <alignment horizontal="center"/>
    </xf>
    <xf numFmtId="168" fontId="9" fillId="16" borderId="2" xfId="3" applyNumberFormat="1" applyFont="1" applyFill="1" applyBorder="1" applyAlignment="1" applyProtection="1">
      <alignment horizontal="center"/>
    </xf>
    <xf numFmtId="165" fontId="12" fillId="16" borderId="2" xfId="1" applyNumberFormat="1" applyFont="1" applyFill="1" applyBorder="1" applyAlignment="1" applyProtection="1">
      <alignment horizontal="center"/>
    </xf>
    <xf numFmtId="165" fontId="12" fillId="16" borderId="1" xfId="1" applyNumberFormat="1" applyFont="1" applyFill="1" applyBorder="1" applyAlignment="1" applyProtection="1">
      <alignment horizontal="center"/>
    </xf>
    <xf numFmtId="44" fontId="12" fillId="16" borderId="2" xfId="2" applyFont="1" applyFill="1" applyBorder="1" applyAlignment="1" applyProtection="1">
      <alignment horizontal="center"/>
    </xf>
    <xf numFmtId="9" fontId="0" fillId="0" borderId="58" xfId="3" applyFont="1" applyBorder="1" applyProtection="1"/>
    <xf numFmtId="44" fontId="0" fillId="0" borderId="0" xfId="2" applyFont="1" applyBorder="1" applyProtection="1"/>
    <xf numFmtId="44" fontId="0" fillId="0" borderId="59" xfId="2" applyFont="1" applyBorder="1" applyProtection="1"/>
    <xf numFmtId="0" fontId="0" fillId="0" borderId="58" xfId="0" applyBorder="1" applyProtection="1"/>
    <xf numFmtId="0" fontId="0" fillId="0" borderId="0" xfId="0" applyBorder="1" applyProtection="1"/>
    <xf numFmtId="0" fontId="0" fillId="0" borderId="59" xfId="0" applyBorder="1" applyProtection="1"/>
    <xf numFmtId="0" fontId="12" fillId="5" borderId="1" xfId="4" applyFont="1" applyFill="1" applyBorder="1" applyAlignment="1" applyProtection="1">
      <alignment horizontal="center"/>
    </xf>
    <xf numFmtId="0" fontId="0" fillId="0" borderId="60" xfId="0" applyBorder="1" applyProtection="1"/>
    <xf numFmtId="0" fontId="0" fillId="0" borderId="61" xfId="0" applyBorder="1" applyProtection="1"/>
    <xf numFmtId="0" fontId="0" fillId="0" borderId="62" xfId="0" applyBorder="1" applyProtection="1"/>
    <xf numFmtId="0" fontId="29" fillId="0" borderId="100" xfId="0" applyFont="1" applyBorder="1"/>
    <xf numFmtId="0" fontId="36" fillId="0" borderId="0" xfId="0" applyFont="1" applyProtection="1"/>
    <xf numFmtId="0" fontId="1" fillId="0" borderId="0" xfId="0" applyFont="1" applyProtection="1"/>
    <xf numFmtId="0" fontId="1" fillId="0" borderId="0" xfId="0" applyFont="1" applyAlignment="1">
      <alignment horizontal="left"/>
    </xf>
    <xf numFmtId="43" fontId="1" fillId="0" borderId="0" xfId="1" applyFont="1"/>
    <xf numFmtId="0" fontId="1" fillId="0" borderId="0" xfId="0" applyFont="1"/>
    <xf numFmtId="44" fontId="1" fillId="0" borderId="0" xfId="2" applyFont="1"/>
    <xf numFmtId="165" fontId="1" fillId="0" borderId="0" xfId="1" applyNumberFormat="1" applyFont="1"/>
    <xf numFmtId="9" fontId="1" fillId="0" borderId="0" xfId="3" applyFont="1"/>
    <xf numFmtId="0" fontId="34" fillId="0" borderId="0" xfId="0" applyFont="1" applyAlignment="1">
      <alignment horizontal="left"/>
    </xf>
    <xf numFmtId="0" fontId="33" fillId="0" borderId="116" xfId="4" applyFont="1" applyFill="1" applyBorder="1" applyAlignment="1">
      <alignment horizontal="center" wrapText="1"/>
    </xf>
    <xf numFmtId="165" fontId="2" fillId="0" borderId="117" xfId="1" applyNumberFormat="1" applyFont="1" applyFill="1" applyBorder="1" applyAlignment="1" applyProtection="1">
      <alignment horizontal="center"/>
    </xf>
    <xf numFmtId="165" fontId="2" fillId="0" borderId="118" xfId="1" applyNumberFormat="1" applyFont="1" applyFill="1" applyBorder="1" applyAlignment="1" applyProtection="1">
      <alignment horizontal="center"/>
    </xf>
    <xf numFmtId="165" fontId="12" fillId="16" borderId="119" xfId="1" applyNumberFormat="1" applyFont="1" applyFill="1" applyBorder="1" applyAlignment="1" applyProtection="1">
      <alignment horizontal="center"/>
    </xf>
    <xf numFmtId="165" fontId="12" fillId="2" borderId="119" xfId="1" applyNumberFormat="1" applyFont="1" applyFill="1" applyBorder="1" applyAlignment="1" applyProtection="1">
      <alignment horizontal="center"/>
    </xf>
    <xf numFmtId="165" fontId="12" fillId="10" borderId="119" xfId="1" applyNumberFormat="1" applyFont="1" applyFill="1" applyBorder="1" applyAlignment="1" applyProtection="1">
      <alignment horizontal="center"/>
    </xf>
    <xf numFmtId="0" fontId="29" fillId="0" borderId="113" xfId="0" applyFont="1" applyBorder="1"/>
    <xf numFmtId="0" fontId="33" fillId="8" borderId="116" xfId="4" applyFont="1" applyFill="1" applyBorder="1" applyAlignment="1">
      <alignment horizontal="center" wrapText="1"/>
    </xf>
    <xf numFmtId="0" fontId="37" fillId="0" borderId="0" xfId="0" applyFont="1" applyBorder="1" applyAlignment="1">
      <alignment horizontal="center"/>
    </xf>
    <xf numFmtId="0" fontId="36" fillId="0" borderId="0" xfId="0" applyFont="1" applyBorder="1"/>
    <xf numFmtId="0" fontId="36" fillId="0" borderId="0" xfId="0" applyFont="1" applyBorder="1" applyAlignment="1">
      <alignment horizontal="center"/>
    </xf>
    <xf numFmtId="0" fontId="36" fillId="0" borderId="93" xfId="0" applyFont="1" applyBorder="1"/>
    <xf numFmtId="0" fontId="36" fillId="0" borderId="92" xfId="0" applyFont="1" applyFill="1" applyBorder="1" applyAlignment="1">
      <alignment horizontal="left"/>
    </xf>
    <xf numFmtId="0" fontId="38" fillId="0" borderId="92" xfId="0" applyFont="1" applyFill="1" applyBorder="1" applyAlignment="1"/>
    <xf numFmtId="0" fontId="38" fillId="0" borderId="93" xfId="0" applyFont="1" applyFill="1" applyBorder="1" applyAlignment="1">
      <alignment horizontal="center"/>
    </xf>
    <xf numFmtId="0" fontId="38" fillId="0" borderId="92" xfId="0" applyFont="1" applyFill="1" applyBorder="1" applyAlignment="1">
      <alignment horizontal="center"/>
    </xf>
    <xf numFmtId="0" fontId="36" fillId="0" borderId="92" xfId="0" applyFont="1" applyFill="1" applyBorder="1"/>
    <xf numFmtId="0" fontId="38" fillId="0" borderId="94" xfId="0" applyFont="1" applyFill="1" applyBorder="1" applyAlignment="1">
      <alignment horizontal="center"/>
    </xf>
    <xf numFmtId="0" fontId="36" fillId="0" borderId="94" xfId="0" applyFont="1" applyFill="1" applyBorder="1"/>
    <xf numFmtId="0" fontId="36" fillId="0" borderId="93" xfId="0" applyFont="1" applyFill="1" applyBorder="1"/>
    <xf numFmtId="0" fontId="36" fillId="0" borderId="22" xfId="0" applyFont="1" applyBorder="1" applyAlignment="1">
      <alignment vertical="center"/>
    </xf>
    <xf numFmtId="0" fontId="39" fillId="0" borderId="23" xfId="4" applyFont="1" applyFill="1" applyBorder="1" applyAlignment="1">
      <alignment horizontal="left" vertical="center" wrapText="1"/>
    </xf>
    <xf numFmtId="0" fontId="39" fillId="0" borderId="22" xfId="4" applyFont="1" applyFill="1" applyBorder="1" applyAlignment="1">
      <alignment horizontal="center" vertical="center" wrapText="1"/>
    </xf>
    <xf numFmtId="44" fontId="39" fillId="0" borderId="23" xfId="2" applyFont="1" applyFill="1" applyBorder="1" applyAlignment="1">
      <alignment horizontal="center" vertical="center" wrapText="1"/>
    </xf>
    <xf numFmtId="0" fontId="39" fillId="0" borderId="23" xfId="4" applyFont="1" applyFill="1" applyBorder="1" applyAlignment="1">
      <alignment horizontal="center" vertical="center" wrapText="1"/>
    </xf>
    <xf numFmtId="165" fontId="39" fillId="0" borderId="23" xfId="1" applyNumberFormat="1" applyFont="1" applyFill="1" applyBorder="1" applyAlignment="1">
      <alignment horizontal="center" vertical="center" wrapText="1"/>
    </xf>
    <xf numFmtId="0" fontId="38" fillId="0" borderId="23" xfId="0" applyFont="1" applyFill="1" applyBorder="1" applyAlignment="1">
      <alignment vertical="center"/>
    </xf>
    <xf numFmtId="165" fontId="39" fillId="0" borderId="22" xfId="1" applyNumberFormat="1" applyFont="1" applyFill="1" applyBorder="1" applyAlignment="1">
      <alignment horizontal="center" vertical="center" wrapText="1"/>
    </xf>
    <xf numFmtId="165" fontId="39" fillId="0" borderId="21" xfId="1" applyNumberFormat="1" applyFont="1" applyFill="1" applyBorder="1" applyAlignment="1">
      <alignment horizontal="center" vertical="center" wrapText="1"/>
    </xf>
    <xf numFmtId="0" fontId="36" fillId="0" borderId="23" xfId="0" applyFont="1" applyFill="1" applyBorder="1" applyAlignment="1">
      <alignment vertical="center"/>
    </xf>
    <xf numFmtId="0" fontId="36" fillId="0" borderId="0" xfId="0" applyFont="1" applyBorder="1" applyAlignment="1">
      <alignment vertical="center"/>
    </xf>
    <xf numFmtId="0" fontId="36" fillId="0" borderId="0" xfId="0" applyFont="1" applyBorder="1" applyAlignment="1">
      <alignment horizontal="left"/>
    </xf>
    <xf numFmtId="0" fontId="41" fillId="0" borderId="0" xfId="0" applyFont="1" applyAlignment="1">
      <alignment horizontal="left" indent="1"/>
    </xf>
    <xf numFmtId="171" fontId="9" fillId="0" borderId="0" xfId="1" applyNumberFormat="1" applyFont="1" applyFill="1" applyBorder="1" applyAlignment="1" applyProtection="1">
      <alignment horizontal="center"/>
    </xf>
    <xf numFmtId="171" fontId="9" fillId="16" borderId="2" xfId="1" applyNumberFormat="1" applyFont="1" applyFill="1" applyBorder="1" applyAlignment="1" applyProtection="1">
      <alignment horizontal="center"/>
    </xf>
    <xf numFmtId="171" fontId="9" fillId="2" borderId="2" xfId="1" applyNumberFormat="1" applyFont="1" applyFill="1" applyBorder="1" applyAlignment="1" applyProtection="1">
      <alignment horizontal="center"/>
    </xf>
    <xf numFmtId="171" fontId="9" fillId="4" borderId="0" xfId="1" applyNumberFormat="1" applyFont="1" applyFill="1" applyBorder="1" applyAlignment="1" applyProtection="1">
      <alignment horizontal="center"/>
    </xf>
    <xf numFmtId="171" fontId="9" fillId="11" borderId="2" xfId="1" applyNumberFormat="1" applyFont="1" applyFill="1" applyBorder="1" applyAlignment="1" applyProtection="1">
      <alignment horizontal="center"/>
    </xf>
    <xf numFmtId="171" fontId="9" fillId="0" borderId="5" xfId="1" applyNumberFormat="1" applyFont="1" applyFill="1" applyBorder="1" applyAlignment="1" applyProtection="1">
      <alignment horizontal="center"/>
    </xf>
    <xf numFmtId="44" fontId="2" fillId="3" borderId="8" xfId="2" applyFont="1" applyFill="1" applyBorder="1" applyAlignment="1" applyProtection="1">
      <alignment horizontal="center"/>
      <protection locked="0"/>
    </xf>
    <xf numFmtId="44" fontId="12" fillId="16" borderId="1" xfId="2" applyFont="1" applyFill="1" applyBorder="1" applyAlignment="1" applyProtection="1">
      <alignment horizontal="center"/>
    </xf>
    <xf numFmtId="44" fontId="12" fillId="2" borderId="1" xfId="2" applyFont="1" applyFill="1" applyBorder="1" applyAlignment="1" applyProtection="1">
      <alignment horizontal="center"/>
    </xf>
    <xf numFmtId="44" fontId="12" fillId="10" borderId="74" xfId="2" applyFont="1" applyFill="1" applyBorder="1" applyAlignment="1" applyProtection="1">
      <alignment horizontal="center"/>
    </xf>
    <xf numFmtId="0" fontId="38" fillId="0" borderId="0" xfId="0" applyFont="1" applyBorder="1" applyAlignment="1">
      <alignment horizontal="left"/>
    </xf>
    <xf numFmtId="170" fontId="8" fillId="3" borderId="0" xfId="1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vertical="center" wrapText="1"/>
    </xf>
    <xf numFmtId="0" fontId="20" fillId="7" borderId="0" xfId="9" applyFont="1" applyFill="1" applyBorder="1" applyAlignment="1">
      <alignment horizontal="center"/>
    </xf>
    <xf numFmtId="0" fontId="43" fillId="0" borderId="0" xfId="0" applyFont="1" applyAlignment="1">
      <alignment horizontal="right"/>
    </xf>
    <xf numFmtId="0" fontId="10" fillId="0" borderId="0" xfId="11"/>
    <xf numFmtId="0" fontId="21" fillId="8" borderId="0" xfId="0" applyFont="1" applyFill="1" applyAlignment="1">
      <alignment horizontal="right"/>
    </xf>
    <xf numFmtId="0" fontId="40" fillId="0" borderId="0" xfId="0" applyFont="1" applyAlignment="1">
      <alignment horizontal="left" vertical="center" wrapText="1" indent="1"/>
    </xf>
    <xf numFmtId="0" fontId="40" fillId="0" borderId="0" xfId="0" applyFont="1" applyAlignment="1">
      <alignment horizontal="left" vertical="center" indent="1"/>
    </xf>
    <xf numFmtId="0" fontId="25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32" fillId="0" borderId="8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32" fillId="0" borderId="10" xfId="0" applyFont="1" applyBorder="1" applyAlignment="1">
      <alignment horizontal="center"/>
    </xf>
    <xf numFmtId="0" fontId="29" fillId="0" borderId="63" xfId="0" applyFont="1" applyBorder="1" applyAlignment="1">
      <alignment horizontal="center"/>
    </xf>
    <xf numFmtId="0" fontId="29" fillId="0" borderId="64" xfId="0" applyFont="1" applyBorder="1" applyAlignment="1">
      <alignment horizontal="center"/>
    </xf>
    <xf numFmtId="0" fontId="29" fillId="0" borderId="65" xfId="0" applyFont="1" applyBorder="1" applyAlignment="1">
      <alignment horizontal="center"/>
    </xf>
    <xf numFmtId="0" fontId="43" fillId="0" borderId="0" xfId="0" applyFont="1" applyAlignment="1">
      <alignment horizontal="left"/>
    </xf>
    <xf numFmtId="0" fontId="32" fillId="17" borderId="105" xfId="0" applyFont="1" applyFill="1" applyBorder="1" applyAlignment="1">
      <alignment horizontal="center"/>
    </xf>
    <xf numFmtId="0" fontId="32" fillId="17" borderId="77" xfId="0" applyFont="1" applyFill="1" applyBorder="1" applyAlignment="1">
      <alignment horizontal="center"/>
    </xf>
    <xf numFmtId="0" fontId="32" fillId="17" borderId="106" xfId="0" applyFont="1" applyFill="1" applyBorder="1" applyAlignment="1">
      <alignment horizontal="center"/>
    </xf>
    <xf numFmtId="0" fontId="32" fillId="0" borderId="108" xfId="0" applyFont="1" applyBorder="1" applyAlignment="1">
      <alignment horizontal="center"/>
    </xf>
    <xf numFmtId="0" fontId="32" fillId="0" borderId="89" xfId="0" applyFont="1" applyBorder="1" applyAlignment="1">
      <alignment horizontal="center"/>
    </xf>
    <xf numFmtId="0" fontId="32" fillId="0" borderId="109" xfId="0" applyFont="1" applyBorder="1" applyAlignment="1">
      <alignment horizontal="center"/>
    </xf>
    <xf numFmtId="0" fontId="32" fillId="0" borderId="110" xfId="0" applyFont="1" applyBorder="1" applyAlignment="1">
      <alignment horizontal="center"/>
    </xf>
    <xf numFmtId="0" fontId="32" fillId="0" borderId="111" xfId="0" applyFont="1" applyBorder="1" applyAlignment="1">
      <alignment horizontal="center"/>
    </xf>
    <xf numFmtId="0" fontId="32" fillId="0" borderId="112" xfId="0" applyFont="1" applyBorder="1" applyAlignment="1">
      <alignment horizontal="center"/>
    </xf>
    <xf numFmtId="0" fontId="31" fillId="13" borderId="35" xfId="0" applyFont="1" applyFill="1" applyBorder="1" applyAlignment="1">
      <alignment horizontal="center" vertical="center"/>
    </xf>
    <xf numFmtId="0" fontId="31" fillId="13" borderId="37" xfId="0" applyFont="1" applyFill="1" applyBorder="1" applyAlignment="1">
      <alignment horizontal="center" vertical="center"/>
    </xf>
    <xf numFmtId="0" fontId="32" fillId="17" borderId="104" xfId="0" applyFont="1" applyFill="1" applyBorder="1" applyAlignment="1">
      <alignment horizontal="center"/>
    </xf>
    <xf numFmtId="0" fontId="32" fillId="17" borderId="102" xfId="0" applyFont="1" applyFill="1" applyBorder="1" applyAlignment="1">
      <alignment horizontal="center"/>
    </xf>
    <xf numFmtId="0" fontId="32" fillId="17" borderId="103" xfId="0" applyFont="1" applyFill="1" applyBorder="1" applyAlignment="1">
      <alignment horizontal="center"/>
    </xf>
    <xf numFmtId="0" fontId="32" fillId="0" borderId="105" xfId="0" applyFont="1" applyBorder="1" applyAlignment="1">
      <alignment horizontal="center"/>
    </xf>
    <xf numFmtId="0" fontId="32" fillId="0" borderId="77" xfId="0" applyFont="1" applyBorder="1" applyAlignment="1">
      <alignment horizontal="center"/>
    </xf>
    <xf numFmtId="0" fontId="32" fillId="0" borderId="105" xfId="0" applyFont="1" applyFill="1" applyBorder="1" applyAlignment="1">
      <alignment horizontal="center"/>
    </xf>
    <xf numFmtId="0" fontId="32" fillId="0" borderId="77" xfId="0" applyFont="1" applyFill="1" applyBorder="1" applyAlignment="1">
      <alignment horizontal="center"/>
    </xf>
    <xf numFmtId="0" fontId="32" fillId="0" borderId="106" xfId="0" applyFont="1" applyFill="1" applyBorder="1" applyAlignment="1">
      <alignment horizontal="center"/>
    </xf>
    <xf numFmtId="0" fontId="7" fillId="0" borderId="0" xfId="0" applyFont="1" applyAlignment="1">
      <alignment horizontal="left"/>
    </xf>
    <xf numFmtId="0" fontId="42" fillId="0" borderId="0" xfId="0" applyFont="1" applyAlignment="1">
      <alignment horizontal="left"/>
    </xf>
    <xf numFmtId="0" fontId="0" fillId="0" borderId="0" xfId="0" applyAlignment="1">
      <alignment horizontal="left"/>
    </xf>
    <xf numFmtId="0" fontId="32" fillId="0" borderId="107" xfId="0" applyFont="1" applyBorder="1" applyAlignment="1">
      <alignment horizontal="center"/>
    </xf>
    <xf numFmtId="0" fontId="31" fillId="15" borderId="45" xfId="0" applyFont="1" applyFill="1" applyBorder="1" applyAlignment="1">
      <alignment horizontal="center" vertical="center"/>
    </xf>
    <xf numFmtId="0" fontId="31" fillId="15" borderId="31" xfId="0" applyFont="1" applyFill="1" applyBorder="1" applyAlignment="1">
      <alignment horizontal="center" vertical="center"/>
    </xf>
    <xf numFmtId="0" fontId="31" fillId="15" borderId="114" xfId="0" applyFont="1" applyFill="1" applyBorder="1" applyAlignment="1">
      <alignment horizontal="center" vertical="center"/>
    </xf>
    <xf numFmtId="0" fontId="31" fillId="13" borderId="31" xfId="0" applyFont="1" applyFill="1" applyBorder="1" applyAlignment="1">
      <alignment horizontal="center" vertical="center"/>
    </xf>
    <xf numFmtId="0" fontId="32" fillId="0" borderId="101" xfId="0" applyFont="1" applyBorder="1" applyAlignment="1">
      <alignment horizontal="center"/>
    </xf>
    <xf numFmtId="0" fontId="32" fillId="0" borderId="102" xfId="0" applyFont="1" applyBorder="1" applyAlignment="1">
      <alignment horizontal="center"/>
    </xf>
    <xf numFmtId="0" fontId="32" fillId="0" borderId="115" xfId="0" applyFont="1" applyBorder="1" applyAlignment="1">
      <alignment horizontal="center"/>
    </xf>
    <xf numFmtId="0" fontId="31" fillId="14" borderId="120" xfId="0" applyFont="1" applyFill="1" applyBorder="1" applyAlignment="1">
      <alignment horizontal="center" vertical="center"/>
    </xf>
    <xf numFmtId="0" fontId="31" fillId="14" borderId="31" xfId="0" applyFont="1" applyFill="1" applyBorder="1" applyAlignment="1">
      <alignment horizontal="center" vertical="center"/>
    </xf>
    <xf numFmtId="0" fontId="31" fillId="14" borderId="121" xfId="0" applyFont="1" applyFill="1" applyBorder="1" applyAlignment="1">
      <alignment horizontal="center" vertical="center"/>
    </xf>
    <xf numFmtId="0" fontId="32" fillId="0" borderId="103" xfId="0" applyFont="1" applyBorder="1" applyAlignment="1">
      <alignment horizontal="center"/>
    </xf>
    <xf numFmtId="0" fontId="29" fillId="17" borderId="102" xfId="0" applyFont="1" applyFill="1" applyBorder="1" applyAlignment="1">
      <alignment horizontal="center"/>
    </xf>
    <xf numFmtId="0" fontId="29" fillId="17" borderId="103" xfId="0" applyFont="1" applyFill="1" applyBorder="1" applyAlignment="1">
      <alignment horizontal="center"/>
    </xf>
    <xf numFmtId="43" fontId="32" fillId="0" borderId="104" xfId="1" applyFont="1" applyBorder="1" applyAlignment="1">
      <alignment horizontal="center"/>
    </xf>
    <xf numFmtId="43" fontId="32" fillId="0" borderId="102" xfId="1" applyFont="1" applyBorder="1" applyAlignment="1">
      <alignment horizontal="center"/>
    </xf>
    <xf numFmtId="43" fontId="32" fillId="0" borderId="103" xfId="1" applyFont="1" applyBorder="1" applyAlignment="1">
      <alignment horizontal="center"/>
    </xf>
    <xf numFmtId="0" fontId="32" fillId="0" borderId="104" xfId="0" applyFont="1" applyBorder="1" applyAlignment="1">
      <alignment horizontal="center"/>
    </xf>
    <xf numFmtId="0" fontId="32" fillId="8" borderId="8" xfId="0" applyFont="1" applyFill="1" applyBorder="1" applyAlignment="1">
      <alignment horizontal="center"/>
    </xf>
    <xf numFmtId="0" fontId="32" fillId="8" borderId="0" xfId="0" applyFont="1" applyFill="1" applyBorder="1" applyAlignment="1">
      <alignment horizontal="center"/>
    </xf>
    <xf numFmtId="0" fontId="32" fillId="8" borderId="10" xfId="0" applyFont="1" applyFill="1" applyBorder="1" applyAlignment="1">
      <alignment horizontal="center"/>
    </xf>
    <xf numFmtId="0" fontId="32" fillId="0" borderId="34" xfId="0" applyFont="1" applyBorder="1" applyAlignment="1">
      <alignment horizontal="center"/>
    </xf>
    <xf numFmtId="0" fontId="32" fillId="0" borderId="35" xfId="0" applyFont="1" applyBorder="1" applyAlignment="1">
      <alignment horizontal="center"/>
    </xf>
    <xf numFmtId="0" fontId="32" fillId="0" borderId="37" xfId="0" applyFont="1" applyBorder="1" applyAlignment="1">
      <alignment horizontal="center"/>
    </xf>
    <xf numFmtId="0" fontId="32" fillId="0" borderId="78" xfId="0" applyFont="1" applyBorder="1" applyAlignment="1">
      <alignment horizontal="center"/>
    </xf>
    <xf numFmtId="0" fontId="32" fillId="0" borderId="79" xfId="0" applyFont="1" applyBorder="1" applyAlignment="1">
      <alignment horizontal="center"/>
    </xf>
    <xf numFmtId="0" fontId="32" fillId="0" borderId="80" xfId="0" applyFont="1" applyBorder="1" applyAlignment="1">
      <alignment horizontal="center"/>
    </xf>
    <xf numFmtId="0" fontId="32" fillId="0" borderId="26" xfId="0" applyFont="1" applyBorder="1" applyAlignment="1">
      <alignment horizontal="center"/>
    </xf>
    <xf numFmtId="0" fontId="32" fillId="0" borderId="39" xfId="0" applyFont="1" applyBorder="1" applyAlignment="1">
      <alignment horizontal="center"/>
    </xf>
    <xf numFmtId="0" fontId="32" fillId="0" borderId="46" xfId="0" applyFont="1" applyBorder="1" applyAlignment="1">
      <alignment horizontal="center"/>
    </xf>
    <xf numFmtId="0" fontId="32" fillId="8" borderId="38" xfId="0" applyFont="1" applyFill="1" applyBorder="1" applyAlignment="1">
      <alignment horizontal="center"/>
    </xf>
    <xf numFmtId="0" fontId="32" fillId="8" borderId="39" xfId="0" applyFont="1" applyFill="1" applyBorder="1" applyAlignment="1">
      <alignment horizontal="center"/>
    </xf>
    <xf numFmtId="0" fontId="29" fillId="8" borderId="39" xfId="0" applyFont="1" applyFill="1" applyBorder="1" applyAlignment="1">
      <alignment horizontal="center"/>
    </xf>
    <xf numFmtId="0" fontId="29" fillId="8" borderId="46" xfId="0" applyFont="1" applyFill="1" applyBorder="1" applyAlignment="1">
      <alignment horizontal="center"/>
    </xf>
    <xf numFmtId="43" fontId="32" fillId="0" borderId="38" xfId="1" applyFont="1" applyBorder="1" applyAlignment="1">
      <alignment horizontal="center"/>
    </xf>
    <xf numFmtId="43" fontId="32" fillId="0" borderId="39" xfId="1" applyFont="1" applyBorder="1" applyAlignment="1">
      <alignment horizontal="center"/>
    </xf>
    <xf numFmtId="43" fontId="32" fillId="0" borderId="46" xfId="1" applyFont="1" applyBorder="1" applyAlignment="1">
      <alignment horizontal="center"/>
    </xf>
    <xf numFmtId="0" fontId="32" fillId="0" borderId="38" xfId="0" applyFont="1" applyBorder="1" applyAlignment="1">
      <alignment horizontal="center"/>
    </xf>
    <xf numFmtId="0" fontId="31" fillId="14" borderId="84" xfId="0" applyFont="1" applyFill="1" applyBorder="1" applyAlignment="1">
      <alignment horizontal="center" vertical="center"/>
    </xf>
    <xf numFmtId="0" fontId="31" fillId="14" borderId="85" xfId="0" applyFont="1" applyFill="1" applyBorder="1" applyAlignment="1">
      <alignment horizontal="center" vertical="center"/>
    </xf>
    <xf numFmtId="0" fontId="31" fillId="14" borderId="86" xfId="0" applyFont="1" applyFill="1" applyBorder="1" applyAlignment="1">
      <alignment horizontal="center" vertical="center"/>
    </xf>
    <xf numFmtId="0" fontId="31" fillId="13" borderId="87" xfId="0" applyFont="1" applyFill="1" applyBorder="1" applyAlignment="1">
      <alignment horizontal="center" vertical="center"/>
    </xf>
    <xf numFmtId="0" fontId="32" fillId="8" borderId="46" xfId="0" applyFont="1" applyFill="1" applyBorder="1" applyAlignment="1">
      <alignment horizontal="center"/>
    </xf>
    <xf numFmtId="0" fontId="38" fillId="0" borderId="0" xfId="0" applyFont="1" applyBorder="1" applyAlignment="1">
      <alignment horizontal="left"/>
    </xf>
    <xf numFmtId="0" fontId="0" fillId="6" borderId="1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22" fillId="3" borderId="52" xfId="11" applyFont="1" applyFill="1" applyBorder="1" applyAlignment="1">
      <alignment horizontal="center"/>
    </xf>
    <xf numFmtId="0" fontId="22" fillId="3" borderId="53" xfId="11" applyFont="1" applyFill="1" applyBorder="1" applyAlignment="1">
      <alignment horizontal="center"/>
    </xf>
    <xf numFmtId="0" fontId="22" fillId="3" borderId="54" xfId="11" applyFont="1" applyFill="1" applyBorder="1" applyAlignment="1">
      <alignment horizontal="center"/>
    </xf>
  </cellXfs>
  <cellStyles count="23">
    <cellStyle name="20% - Accent2 2" xfId="16"/>
    <cellStyle name="Comma" xfId="1" builtinId="3"/>
    <cellStyle name="Comma 2" xfId="18"/>
    <cellStyle name="Comma 2 2" xfId="21"/>
    <cellStyle name="Currency" xfId="2" builtinId="4"/>
    <cellStyle name="Followed Hyperlink" xfId="6" builtinId="9" hidden="1"/>
    <cellStyle name="Followed Hyperlink" xfId="8" builtinId="9" hidden="1"/>
    <cellStyle name="Hyperlink" xfId="5" builtinId="8" hidden="1"/>
    <cellStyle name="Hyperlink" xfId="7" builtinId="8" hidden="1"/>
    <cellStyle name="Hyperlink" xfId="11" builtinId="8"/>
    <cellStyle name="Normal" xfId="0" builtinId="0"/>
    <cellStyle name="Normal 2" xfId="4"/>
    <cellStyle name="Normal 2 2" xfId="20"/>
    <cellStyle name="Normal 2 3" xfId="17"/>
    <cellStyle name="Normal 2 4" xfId="13"/>
    <cellStyle name="Normal 3" xfId="14"/>
    <cellStyle name="Normal 4" xfId="12"/>
    <cellStyle name="Normal 6" xfId="15"/>
    <cellStyle name="Normal_Admin" xfId="9"/>
    <cellStyle name="Normal_Settings" xfId="10"/>
    <cellStyle name="Percent" xfId="3" builtinId="5"/>
    <cellStyle name="Percent 2" xfId="19"/>
    <cellStyle name="Percent 2 2" xfId="22"/>
  </cellStyles>
  <dxfs count="81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fgColor theme="4" tint="0.79989013336588644"/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7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39994506668294322"/>
        </patternFill>
      </fill>
      <border>
        <vertical/>
        <horizontal/>
      </border>
    </dxf>
    <dxf>
      <font>
        <color auto="1"/>
      </font>
      <fill>
        <patternFill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7" tint="0.39988402966399123"/>
          <bgColor theme="6" tint="0.39994506668294322"/>
        </patternFill>
      </fill>
      <border>
        <horizontal/>
      </border>
    </dxf>
    <dxf>
      <font>
        <b/>
        <color theme="1"/>
      </font>
      <fill>
        <patternFill patternType="solid">
          <fgColor theme="6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9" defaultPivotStyle="PivotStyleMedium7">
    <tableStyle name="PivotStyleLightTY" table="0" count="11">
      <tableStyleElement type="headerRow" dxfId="80"/>
      <tableStyleElement type="totalRow" dxfId="79"/>
      <tableStyleElement type="firstRowStripe" dxfId="78"/>
      <tableStyleElement type="firstColumnStripe" dxfId="77"/>
      <tableStyleElement type="firstSubtotalColumn" dxfId="76"/>
      <tableStyleElement type="firstSubtotalRow" dxfId="75"/>
      <tableStyleElement type="secondSubtotalRow" dxfId="74"/>
      <tableStyleElement type="firstRowSubheading" dxfId="73"/>
      <tableStyleElement type="secondRowSubheading" dxfId="72"/>
      <tableStyleElement type="pageFieldLabels" dxfId="71"/>
      <tableStyleElement type="pageFieldValues" dxfId="70"/>
    </tableStyle>
    <tableStyle name="PivotStyleLightTY 2 2 2 2 2" table="0" count="10">
      <tableStyleElement type="headerRow" dxfId="69"/>
      <tableStyleElement type="totalRow" dxfId="68"/>
      <tableStyleElement type="firstRowStripe" dxfId="67"/>
      <tableStyleElement type="firstSubtotalColumn" dxfId="66"/>
      <tableStyleElement type="firstSubtotalRow" dxfId="65"/>
      <tableStyleElement type="secondSubtotalRow" dxfId="64"/>
      <tableStyleElement type="firstRowSubheading" dxfId="63"/>
      <tableStyleElement type="secondRowSubheading" dxfId="62"/>
      <tableStyleElement type="pageFieldLabels" dxfId="61"/>
      <tableStyleElement type="pageFieldValues" dxfId="60"/>
    </tableStyle>
  </tableStyles>
  <colors>
    <mruColors>
      <color rgb="FFFFCDD2"/>
      <color rgb="FFF0F4F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885825</xdr:colOff>
      <xdr:row>3</xdr:row>
      <xdr:rowOff>264320</xdr:rowOff>
    </xdr:from>
    <xdr:to>
      <xdr:col>3</xdr:col>
      <xdr:colOff>1163279</xdr:colOff>
      <xdr:row>4</xdr:row>
      <xdr:rowOff>126207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0" y="1600201"/>
          <a:ext cx="277454" cy="266700"/>
        </a:xfrm>
        <a:prstGeom prst="rect">
          <a:avLst/>
        </a:prstGeom>
      </xdr:spPr>
    </xdr:pic>
    <xdr:clientData/>
  </xdr:twoCellAnchor>
  <xdr:twoCellAnchor editAs="absolute">
    <xdr:from>
      <xdr:col>7</xdr:col>
      <xdr:colOff>516733</xdr:colOff>
      <xdr:row>5</xdr:row>
      <xdr:rowOff>45244</xdr:rowOff>
    </xdr:from>
    <xdr:to>
      <xdr:col>9</xdr:col>
      <xdr:colOff>590552</xdr:colOff>
      <xdr:row>7</xdr:row>
      <xdr:rowOff>42863</xdr:rowOff>
    </xdr:to>
    <xdr:grpSp>
      <xdr:nvGrpSpPr>
        <xdr:cNvPr id="18" name="Group 17"/>
        <xdr:cNvGrpSpPr/>
      </xdr:nvGrpSpPr>
      <xdr:grpSpPr>
        <a:xfrm>
          <a:off x="7803358" y="1985963"/>
          <a:ext cx="1740694" cy="569119"/>
          <a:chOff x="1638300" y="6829426"/>
          <a:chExt cx="1743075" cy="571500"/>
        </a:xfrm>
      </xdr:grpSpPr>
      <xdr:grpSp>
        <xdr:nvGrpSpPr>
          <xdr:cNvPr id="11" name="Group 10"/>
          <xdr:cNvGrpSpPr/>
        </xdr:nvGrpSpPr>
        <xdr:grpSpPr>
          <a:xfrm>
            <a:off x="1638300" y="6829426"/>
            <a:ext cx="1743075" cy="571500"/>
            <a:chOff x="1619250" y="6038851"/>
            <a:chExt cx="1743075" cy="571500"/>
          </a:xfrm>
        </xdr:grpSpPr>
        <xdr:sp macro="[0]!Push" textlink="">
          <xdr:nvSpPr>
            <xdr:cNvPr id="12" name="Rounded Rectangle 11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FCDD2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Push" textlink="">
          <xdr:nvSpPr>
            <xdr:cNvPr id="13" name="TextBox 12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Push</a:t>
              </a:r>
            </a:p>
          </xdr:txBody>
        </xdr:sp>
      </xdr:grpSp>
      <xdr:pic macro="[0]!Push">
        <xdr:nvPicPr>
          <xdr:cNvPr id="15" name="Picture 14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57375" y="6905625"/>
            <a:ext cx="419099" cy="419099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504825</xdr:colOff>
      <xdr:row>2</xdr:row>
      <xdr:rowOff>278607</xdr:rowOff>
    </xdr:from>
    <xdr:to>
      <xdr:col>9</xdr:col>
      <xdr:colOff>578644</xdr:colOff>
      <xdr:row>3</xdr:row>
      <xdr:rowOff>323851</xdr:rowOff>
    </xdr:to>
    <xdr:grpSp>
      <xdr:nvGrpSpPr>
        <xdr:cNvPr id="17" name="Group 16"/>
        <xdr:cNvGrpSpPr/>
      </xdr:nvGrpSpPr>
      <xdr:grpSpPr>
        <a:xfrm>
          <a:off x="7791450" y="1100138"/>
          <a:ext cx="1740694" cy="569119"/>
          <a:chOff x="1619250" y="6038851"/>
          <a:chExt cx="1743075" cy="571500"/>
        </a:xfrm>
      </xdr:grpSpPr>
      <xdr:grpSp>
        <xdr:nvGrpSpPr>
          <xdr:cNvPr id="10" name="Group 9"/>
          <xdr:cNvGrpSpPr/>
        </xdr:nvGrpSpPr>
        <xdr:grpSpPr>
          <a:xfrm>
            <a:off x="1619250" y="6038851"/>
            <a:ext cx="1743075" cy="571500"/>
            <a:chOff x="1619250" y="6038851"/>
            <a:chExt cx="1743075" cy="571500"/>
          </a:xfrm>
        </xdr:grpSpPr>
        <xdr:sp macro="[0]!Fetch" textlink="">
          <xdr:nvSpPr>
            <xdr:cNvPr id="5" name="Rounded Rectangle 4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0F4FA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Fetch" textlink="">
          <xdr:nvSpPr>
            <xdr:cNvPr id="8" name="TextBox 7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Fetch</a:t>
              </a:r>
            </a:p>
          </xdr:txBody>
        </xdr:sp>
      </xdr:grpSp>
      <xdr:pic macro="[0]!Fetch">
        <xdr:nvPicPr>
          <xdr:cNvPr id="16" name="Picture 15"/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45450" y="6112650"/>
            <a:ext cx="421500" cy="4215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119118</xdr:colOff>
      <xdr:row>4</xdr:row>
      <xdr:rowOff>168275</xdr:rowOff>
    </xdr:from>
    <xdr:to>
      <xdr:col>23</xdr:col>
      <xdr:colOff>24238</xdr:colOff>
      <xdr:row>6</xdr:row>
      <xdr:rowOff>794</xdr:rowOff>
    </xdr:to>
    <xdr:sp macro="[0]!Push" textlink="">
      <xdr:nvSpPr>
        <xdr:cNvPr id="2" name="Rectangle 1"/>
        <xdr:cNvSpPr/>
      </xdr:nvSpPr>
      <xdr:spPr>
        <a:xfrm>
          <a:off x="7962900" y="368300"/>
          <a:ext cx="1212850" cy="57785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PUSH</a:t>
          </a:r>
        </a:p>
      </xdr:txBody>
    </xdr:sp>
    <xdr:clientData/>
  </xdr:twoCellAnchor>
  <xdr:twoCellAnchor editAs="absolute">
    <xdr:from>
      <xdr:col>19</xdr:col>
      <xdr:colOff>37231</xdr:colOff>
      <xdr:row>4</xdr:row>
      <xdr:rowOff>168275</xdr:rowOff>
    </xdr:from>
    <xdr:to>
      <xdr:col>20</xdr:col>
      <xdr:colOff>728795</xdr:colOff>
      <xdr:row>6</xdr:row>
      <xdr:rowOff>794</xdr:rowOff>
    </xdr:to>
    <xdr:sp macro="[0]!Fetch" textlink="">
      <xdr:nvSpPr>
        <xdr:cNvPr id="4" name="Rectangle 3"/>
        <xdr:cNvSpPr/>
      </xdr:nvSpPr>
      <xdr:spPr>
        <a:xfrm>
          <a:off x="6623050" y="368300"/>
          <a:ext cx="1212850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FETCH</a:t>
          </a:r>
        </a:p>
      </xdr:txBody>
    </xdr:sp>
    <xdr:clientData/>
  </xdr:twoCellAnchor>
  <xdr:twoCellAnchor editAs="absolute">
    <xdr:from>
      <xdr:col>17</xdr:col>
      <xdr:colOff>37047</xdr:colOff>
      <xdr:row>4</xdr:row>
      <xdr:rowOff>168275</xdr:rowOff>
    </xdr:from>
    <xdr:to>
      <xdr:col>18</xdr:col>
      <xdr:colOff>464835</xdr:colOff>
      <xdr:row>6</xdr:row>
      <xdr:rowOff>794</xdr:rowOff>
    </xdr:to>
    <xdr:sp macro="[0]!NewSelection" textlink="">
      <xdr:nvSpPr>
        <xdr:cNvPr id="5" name="Rectangle 4"/>
        <xdr:cNvSpPr/>
      </xdr:nvSpPr>
      <xdr:spPr>
        <a:xfrm>
          <a:off x="5451475" y="368300"/>
          <a:ext cx="1019175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NEW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gymb/forecast/Gym-FCF2/api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Admin" enableFormatConditionsCalculation="0"/>
  <dimension ref="B1:J20"/>
  <sheetViews>
    <sheetView showGridLines="0" tabSelected="1" zoomScale="80" zoomScaleNormal="80" workbookViewId="0">
      <selection activeCell="F11" sqref="F11"/>
    </sheetView>
  </sheetViews>
  <sheetFormatPr defaultColWidth="11" defaultRowHeight="15.75" x14ac:dyDescent="0.25"/>
  <cols>
    <col min="1" max="1" width="5.125" customWidth="1"/>
    <col min="2" max="2" width="27.375" customWidth="1"/>
    <col min="3" max="3" width="3.25" customWidth="1"/>
    <col min="4" max="4" width="21" customWidth="1"/>
    <col min="5" max="5" width="8.75" customWidth="1"/>
    <col min="6" max="6" width="19.25" customWidth="1"/>
  </cols>
  <sheetData>
    <row r="1" spans="2:10" ht="24" customHeight="1" x14ac:dyDescent="0.25"/>
    <row r="2" spans="2:10" ht="40.5" x14ac:dyDescent="0.7">
      <c r="B2" s="128" t="s">
        <v>47</v>
      </c>
    </row>
    <row r="3" spans="2:10" ht="41.25" customHeight="1" x14ac:dyDescent="0.25">
      <c r="B3" s="351" t="s">
        <v>48</v>
      </c>
      <c r="C3" s="351"/>
      <c r="D3" s="351"/>
      <c r="E3" s="351"/>
      <c r="F3" s="351"/>
      <c r="G3" s="351"/>
      <c r="H3" s="351"/>
    </row>
    <row r="4" spans="2:10" ht="31.5" customHeight="1" x14ac:dyDescent="0.7">
      <c r="B4" s="330" t="s">
        <v>456</v>
      </c>
      <c r="C4" s="3"/>
    </row>
    <row r="5" spans="2:10" ht="15" customHeight="1" x14ac:dyDescent="0.7">
      <c r="B5" s="6"/>
      <c r="C5" s="3"/>
    </row>
    <row r="6" spans="2:10" s="8" customFormat="1" ht="19.5" customHeight="1" x14ac:dyDescent="0.25">
      <c r="B6" s="350" t="s">
        <v>394</v>
      </c>
      <c r="C6" s="350"/>
      <c r="D6" s="350"/>
      <c r="E6" s="350"/>
    </row>
    <row r="7" spans="2:10" ht="25.5" customHeight="1" x14ac:dyDescent="0.25">
      <c r="B7" s="7" t="s">
        <v>10</v>
      </c>
      <c r="D7" s="7" t="s">
        <v>306</v>
      </c>
      <c r="F7" s="7" t="s">
        <v>11</v>
      </c>
    </row>
    <row r="8" spans="2:10" ht="25.5" customHeight="1" x14ac:dyDescent="0.25">
      <c r="B8" s="2" t="s">
        <v>14</v>
      </c>
      <c r="D8" s="2" t="s">
        <v>307</v>
      </c>
      <c r="F8" s="2" t="s">
        <v>5</v>
      </c>
    </row>
    <row r="9" spans="2:10" ht="25.5" customHeight="1" x14ac:dyDescent="0.25"/>
    <row r="10" spans="2:10" ht="25.5" customHeight="1" x14ac:dyDescent="0.25">
      <c r="B10" s="7" t="s">
        <v>20</v>
      </c>
      <c r="D10" s="7" t="s">
        <v>392</v>
      </c>
      <c r="F10" s="7" t="s">
        <v>13</v>
      </c>
    </row>
    <row r="11" spans="2:10" ht="19.5" customHeight="1" x14ac:dyDescent="0.25">
      <c r="B11" s="2">
        <v>2018</v>
      </c>
      <c r="D11" s="2" t="s">
        <v>18</v>
      </c>
      <c r="F11" s="2" t="s">
        <v>148</v>
      </c>
    </row>
    <row r="12" spans="2:10" ht="25.5" customHeight="1" x14ac:dyDescent="0.25"/>
    <row r="13" spans="2:10" ht="25.5" customHeight="1" x14ac:dyDescent="0.25">
      <c r="B13" s="7" t="s">
        <v>36</v>
      </c>
      <c r="D13" s="7" t="s">
        <v>324</v>
      </c>
    </row>
    <row r="14" spans="2:10" ht="25.5" customHeight="1" x14ac:dyDescent="0.25">
      <c r="B14" s="2" t="s">
        <v>39</v>
      </c>
      <c r="D14" s="2" t="s">
        <v>19</v>
      </c>
    </row>
    <row r="15" spans="2:10" ht="25.5" customHeight="1" x14ac:dyDescent="0.25">
      <c r="G15" s="131"/>
      <c r="H15" s="131"/>
      <c r="I15" s="132"/>
      <c r="J15" s="131"/>
    </row>
    <row r="16" spans="2:10" ht="25.5" customHeight="1" x14ac:dyDescent="0.25">
      <c r="G16" s="131"/>
      <c r="H16" s="131"/>
      <c r="I16" s="132"/>
      <c r="J16" s="131"/>
    </row>
    <row r="17" spans="2:10" ht="25.5" customHeight="1" x14ac:dyDescent="0.25">
      <c r="G17" s="131"/>
      <c r="H17" s="131"/>
      <c r="I17" s="132"/>
      <c r="J17" s="131"/>
    </row>
    <row r="18" spans="2:10" ht="25.5" customHeight="1" x14ac:dyDescent="0.25">
      <c r="E18" s="7"/>
      <c r="F18" s="7"/>
    </row>
    <row r="19" spans="2:10" x14ac:dyDescent="0.25">
      <c r="B19" s="4" t="s">
        <v>26</v>
      </c>
      <c r="C19" s="5"/>
      <c r="D19" s="5"/>
    </row>
    <row r="20" spans="2:10" ht="33" customHeight="1" x14ac:dyDescent="0.25">
      <c r="B20" s="348" t="s">
        <v>455</v>
      </c>
      <c r="C20" s="349"/>
      <c r="D20" s="349"/>
    </row>
  </sheetData>
  <mergeCells count="3">
    <mergeCell ref="B20:D20"/>
    <mergeCell ref="B6:E6"/>
    <mergeCell ref="B3:H3"/>
  </mergeCells>
  <dataValidations count="7">
    <dataValidation type="list" allowBlank="1" showInputMessage="1" showErrorMessage="1" sqref="F11">
      <formula1>OFFSET(OFFSET(tblFC,,4,,1),MATCH(FiscalYr&amp;Brand&amp;Season,OFFSET(tblFC,,,,1),0)-1,,COUNTIF(OFFSET(tblFC,,,,1),FiscalYr&amp;Brand&amp;Season),1)</formula1>
    </dataValidation>
    <dataValidation type="list" allowBlank="1" showInputMessage="1" showErrorMessage="1" sqref="B8">
      <formula1>ListBrand</formula1>
    </dataValidation>
    <dataValidation type="list" allowBlank="1" showInputMessage="1" showErrorMessage="1" sqref="F8">
      <formula1>OFFSET(OFFSET(tblBrandChannel,,1,,1),MATCH(Brand,OFFSET(tblBrandChannel,,,,1),0)-1,,COUNTIF(OFFSET(tblBrandChannel,,,,1),Brand),1)</formula1>
    </dataValidation>
    <dataValidation type="list" allowBlank="1" showInputMessage="1" showErrorMessage="1" sqref="B11">
      <formula1>ListYr</formula1>
    </dataValidation>
    <dataValidation type="list" allowBlank="1" showInputMessage="1" showErrorMessage="1" sqref="D11">
      <formula1>ListSeason</formula1>
    </dataValidation>
    <dataValidation type="list" allowBlank="1" showInputMessage="1" showErrorMessage="1" sqref="B14">
      <formula1>ListVersions</formula1>
    </dataValidation>
    <dataValidation type="list" allowBlank="1" showInputMessage="1" showErrorMessage="1" sqref="D8">
      <formula1>OFFSET(OFFSET(tblBrandCountry,,1,,1),MATCH(Brand,OFFSET(tblBrandCountry,,,,1),0)-1,,COUNTIF(OFFSET(tblBrandCountry,,,,1),Brand),1)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Settings!$I$2:$I$5</xm:f>
          </x14:formula1>
          <xm:sqref>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ecast" enableFormatConditionsCalculation="0">
    <pageSetUpPr fitToPage="1"/>
  </sheetPr>
  <dimension ref="A1:DC96"/>
  <sheetViews>
    <sheetView showGridLines="0" zoomScale="80" zoomScaleNormal="80" zoomScalePageLayoutView="80" workbookViewId="0">
      <pane xSplit="11" ySplit="10" topLeftCell="L17" activePane="bottomRight" state="frozen"/>
      <selection activeCell="A5" sqref="A5"/>
      <selection pane="topRight" activeCell="L5" sqref="L5"/>
      <selection pane="bottomLeft" activeCell="A11" sqref="A11"/>
      <selection pane="bottomRight" activeCell="C11" sqref="C11"/>
    </sheetView>
  </sheetViews>
  <sheetFormatPr defaultColWidth="18.625" defaultRowHeight="15.75" outlineLevelCol="1" x14ac:dyDescent="0.25"/>
  <cols>
    <col min="1" max="1" width="2.125" style="44" bestFit="1" customWidth="1"/>
    <col min="2" max="2" width="5.5" style="44" hidden="1" customWidth="1"/>
    <col min="3" max="3" width="10.25" bestFit="1" customWidth="1"/>
    <col min="4" max="5" width="14.875" hidden="1" customWidth="1"/>
    <col min="6" max="6" width="8.875" hidden="1" customWidth="1"/>
    <col min="7" max="7" width="12.375" hidden="1" customWidth="1"/>
    <col min="8" max="8" width="9.875" hidden="1" customWidth="1"/>
    <col min="9" max="9" width="10.5" hidden="1" customWidth="1"/>
    <col min="10" max="10" width="11.75" hidden="1" customWidth="1"/>
    <col min="11" max="11" width="10.75" hidden="1" customWidth="1"/>
    <col min="12" max="13" width="10.75" bestFit="1" customWidth="1"/>
    <col min="14" max="14" width="6.75" bestFit="1" customWidth="1"/>
    <col min="15" max="15" width="10.75" bestFit="1" customWidth="1"/>
    <col min="16" max="16" width="9.625" style="82" bestFit="1" customWidth="1"/>
    <col min="17" max="17" width="9.5" style="82" bestFit="1" customWidth="1"/>
    <col min="18" max="18" width="8.75" bestFit="1" customWidth="1"/>
    <col min="19" max="19" width="7.625" bestFit="1" customWidth="1"/>
    <col min="20" max="20" width="8.375" bestFit="1" customWidth="1"/>
    <col min="21" max="21" width="9.625" bestFit="1" customWidth="1"/>
    <col min="22" max="22" width="9.875" bestFit="1" customWidth="1"/>
    <col min="23" max="23" width="8.75" bestFit="1" customWidth="1"/>
    <col min="24" max="24" width="9.875" bestFit="1" customWidth="1"/>
    <col min="25" max="26" width="10.75" bestFit="1" customWidth="1" outlineLevel="1"/>
    <col min="27" max="27" width="10.5" bestFit="1" customWidth="1" outlineLevel="1"/>
    <col min="28" max="28" width="10.75" style="37" bestFit="1" customWidth="1" outlineLevel="1"/>
    <col min="29" max="29" width="11.25" bestFit="1" customWidth="1" outlineLevel="1"/>
    <col min="30" max="30" width="10.5" bestFit="1" customWidth="1" outlineLevel="1"/>
    <col min="31" max="31" width="8.75" bestFit="1" customWidth="1" outlineLevel="1"/>
    <col min="32" max="32" width="7.125" bestFit="1" customWidth="1" outlineLevel="1"/>
    <col min="33" max="33" width="9.375" bestFit="1" customWidth="1" outlineLevel="1"/>
    <col min="34" max="34" width="9.5" bestFit="1" customWidth="1" outlineLevel="1"/>
    <col min="35" max="35" width="8.75" bestFit="1" customWidth="1" outlineLevel="1"/>
    <col min="36" max="36" width="5.75" bestFit="1" customWidth="1" outlineLevel="1"/>
    <col min="37" max="37" width="7.5" bestFit="1" customWidth="1" outlineLevel="1"/>
    <col min="38" max="38" width="8.875" bestFit="1" customWidth="1" outlineLevel="1"/>
    <col min="39" max="39" width="9.5" bestFit="1" customWidth="1" outlineLevel="1"/>
    <col min="40" max="40" width="8.75" bestFit="1" customWidth="1" outlineLevel="1"/>
    <col min="41" max="41" width="5.75" bestFit="1" customWidth="1" outlineLevel="1"/>
    <col min="42" max="42" width="7.5" bestFit="1" customWidth="1" outlineLevel="1"/>
    <col min="43" max="43" width="8.875" bestFit="1" customWidth="1" outlineLevel="1"/>
    <col min="44" max="44" width="9.5" bestFit="1" customWidth="1" outlineLevel="1"/>
    <col min="45" max="45" width="8.75" bestFit="1" customWidth="1" outlineLevel="1"/>
    <col min="46" max="46" width="5.75" bestFit="1" customWidth="1" outlineLevel="1"/>
    <col min="47" max="47" width="6.5" bestFit="1" customWidth="1" outlineLevel="1"/>
    <col min="48" max="48" width="8.875" bestFit="1" customWidth="1" outlineLevel="1"/>
    <col min="49" max="49" width="10.625" bestFit="1" customWidth="1" outlineLevel="1"/>
    <col min="50" max="50" width="9.625" bestFit="1" customWidth="1" outlineLevel="1"/>
    <col min="51" max="51" width="7.125" bestFit="1" customWidth="1" outlineLevel="1"/>
    <col min="52" max="52" width="7.375" bestFit="1" customWidth="1" outlineLevel="1"/>
    <col min="53" max="53" width="10.5" bestFit="1" customWidth="1"/>
    <col min="54" max="56" width="10.5" bestFit="1" customWidth="1" outlineLevel="1"/>
    <col min="57" max="57" width="13.625" bestFit="1" customWidth="1" outlineLevel="1"/>
    <col min="58" max="58" width="9.5" bestFit="1" customWidth="1" outlineLevel="1"/>
    <col min="59" max="59" width="9.875" bestFit="1" customWidth="1" outlineLevel="1"/>
    <col min="60" max="61" width="11.25" bestFit="1" customWidth="1" outlineLevel="1"/>
    <col min="62" max="62" width="9.5" bestFit="1" customWidth="1" outlineLevel="1"/>
    <col min="63" max="63" width="9.625" bestFit="1" customWidth="1" outlineLevel="1"/>
    <col min="64" max="64" width="9.5" bestFit="1" customWidth="1" outlineLevel="1"/>
    <col min="65" max="65" width="7.5" bestFit="1" customWidth="1" outlineLevel="1"/>
    <col min="66" max="66" width="9.5" bestFit="1" customWidth="1" outlineLevel="1"/>
    <col min="67" max="67" width="8.375" bestFit="1" customWidth="1" outlineLevel="1"/>
    <col min="68" max="68" width="9.5" bestFit="1" customWidth="1" outlineLevel="1"/>
    <col min="69" max="69" width="9.875" bestFit="1" customWidth="1" outlineLevel="1"/>
    <col min="70" max="70" width="9.5" bestFit="1" customWidth="1" outlineLevel="1"/>
    <col min="71" max="71" width="8.375" style="36" bestFit="1" customWidth="1" outlineLevel="1"/>
    <col min="72" max="72" width="10.5" bestFit="1" customWidth="1"/>
    <col min="73" max="73" width="7.5" bestFit="1" customWidth="1" outlineLevel="1"/>
    <col min="74" max="74" width="9.5" bestFit="1" customWidth="1" outlineLevel="1"/>
    <col min="75" max="75" width="8.75" bestFit="1" customWidth="1" outlineLevel="1"/>
    <col min="76" max="76" width="5.125" bestFit="1" customWidth="1" outlineLevel="1"/>
    <col min="77" max="77" width="9.875" bestFit="1" customWidth="1" outlineLevel="1"/>
    <col min="78" max="78" width="8.875" bestFit="1" customWidth="1" outlineLevel="1"/>
    <col min="79" max="79" width="10.5" bestFit="1" customWidth="1" outlineLevel="1"/>
    <col min="80" max="80" width="5.75" bestFit="1" customWidth="1" outlineLevel="1"/>
    <col min="81" max="81" width="11.75" bestFit="1" customWidth="1" outlineLevel="1"/>
    <col min="82" max="82" width="8.75" style="119" bestFit="1" customWidth="1" outlineLevel="1"/>
    <col min="83" max="83" width="5.75" style="37" bestFit="1" customWidth="1" outlineLevel="1"/>
    <col min="84" max="84" width="11.75" style="37" bestFit="1" customWidth="1" outlineLevel="1"/>
    <col min="85" max="85" width="8.875" style="37" bestFit="1" customWidth="1" outlineLevel="1"/>
    <col min="86" max="86" width="10.5" bestFit="1" customWidth="1" outlineLevel="1"/>
    <col min="87" max="87" width="9" bestFit="1" customWidth="1" outlineLevel="1"/>
    <col min="88" max="88" width="10.75" bestFit="1" customWidth="1" outlineLevel="1"/>
    <col min="89" max="89" width="8.75" bestFit="1" customWidth="1" outlineLevel="1"/>
    <col min="90" max="90" width="5.75" bestFit="1" customWidth="1" outlineLevel="1"/>
    <col min="91" max="91" width="10.75" bestFit="1" customWidth="1" outlineLevel="1"/>
    <col min="92" max="92" width="8.875" bestFit="1" customWidth="1" outlineLevel="1"/>
    <col min="93" max="93" width="5.125" bestFit="1" customWidth="1" outlineLevel="1"/>
    <col min="94" max="94" width="7.5" bestFit="1" customWidth="1" outlineLevel="1"/>
    <col min="95" max="95" width="8.875" bestFit="1" customWidth="1" outlineLevel="1"/>
    <col min="96" max="96" width="5.125" bestFit="1" customWidth="1" outlineLevel="1"/>
    <col min="97" max="97" width="6.5" bestFit="1" customWidth="1" outlineLevel="1"/>
    <col min="98" max="98" width="8.875" bestFit="1" customWidth="1" outlineLevel="1"/>
    <col min="99" max="99" width="18.625" hidden="1" customWidth="1" collapsed="1"/>
    <col min="100" max="100" width="18.625" hidden="1" customWidth="1"/>
    <col min="101" max="101" width="10.5" style="45" hidden="1" customWidth="1"/>
    <col min="102" max="102" width="10.5" hidden="1" customWidth="1"/>
    <col min="103" max="103" width="8.875" hidden="1" customWidth="1"/>
    <col min="104" max="104" width="4.625" hidden="1" customWidth="1"/>
    <col min="105" max="106" width="8.25" hidden="1" customWidth="1"/>
    <col min="107" max="107" width="7.125" hidden="1" customWidth="1"/>
    <col min="108" max="108" width="18.625" customWidth="1"/>
  </cols>
  <sheetData>
    <row r="1" spans="1:107" s="38" customFormat="1" hidden="1" x14ac:dyDescent="0.25">
      <c r="A1" s="38" t="s">
        <v>319</v>
      </c>
      <c r="C1" s="74" t="s">
        <v>323</v>
      </c>
      <c r="D1" s="213"/>
      <c r="E1" s="213"/>
      <c r="F1" s="213"/>
      <c r="G1" s="139"/>
      <c r="H1" s="139"/>
      <c r="I1" s="139"/>
      <c r="J1" s="139"/>
      <c r="K1" s="139"/>
      <c r="L1" s="81"/>
      <c r="M1" s="81"/>
      <c r="N1" s="81"/>
      <c r="O1" s="81"/>
      <c r="P1" s="81"/>
      <c r="Q1" s="42" t="s">
        <v>450</v>
      </c>
      <c r="R1" s="42"/>
      <c r="S1" s="139"/>
      <c r="T1" s="42"/>
      <c r="U1" s="43"/>
      <c r="V1" s="81"/>
      <c r="W1" s="81"/>
      <c r="X1" s="81"/>
      <c r="Y1" s="43"/>
      <c r="Z1" s="43"/>
      <c r="AA1" s="43"/>
      <c r="AB1" s="43"/>
      <c r="AC1" s="43"/>
      <c r="AD1" s="43"/>
      <c r="AE1" s="43"/>
      <c r="AF1" s="43"/>
      <c r="AG1" s="43"/>
      <c r="AH1" s="42" t="s">
        <v>331</v>
      </c>
      <c r="AI1" s="42"/>
      <c r="AJ1" s="42"/>
      <c r="AK1" s="42"/>
      <c r="AL1" s="43"/>
      <c r="AM1" s="42" t="s">
        <v>332</v>
      </c>
      <c r="AN1" s="42"/>
      <c r="AO1" s="42"/>
      <c r="AP1" s="42"/>
      <c r="AQ1" s="43"/>
      <c r="AR1" s="42" t="s">
        <v>333</v>
      </c>
      <c r="AS1" s="42"/>
      <c r="AT1" s="42"/>
      <c r="AU1" s="42"/>
      <c r="AV1" s="43"/>
      <c r="AW1" s="43"/>
      <c r="AX1" s="43"/>
      <c r="AY1" s="43"/>
      <c r="AZ1" s="43"/>
      <c r="BA1" s="42" t="s">
        <v>451</v>
      </c>
      <c r="BB1" s="42"/>
      <c r="BC1" s="42"/>
      <c r="BD1" s="42"/>
      <c r="BE1" s="43"/>
      <c r="BF1" s="42" t="s">
        <v>437</v>
      </c>
      <c r="BG1" s="42"/>
      <c r="BH1" s="43"/>
      <c r="BI1" s="43"/>
      <c r="BJ1" s="43"/>
      <c r="BK1" s="43"/>
      <c r="BL1" s="42" t="s">
        <v>438</v>
      </c>
      <c r="BM1" s="42"/>
      <c r="BN1" s="42" t="s">
        <v>444</v>
      </c>
      <c r="BO1" s="42"/>
      <c r="BP1" s="42" t="s">
        <v>445</v>
      </c>
      <c r="BQ1" s="42"/>
      <c r="BR1" s="43"/>
      <c r="BS1" s="43"/>
      <c r="BT1" s="42" t="s">
        <v>439</v>
      </c>
      <c r="BU1" s="42"/>
      <c r="BV1" s="42"/>
      <c r="BW1" s="42"/>
      <c r="BX1" s="42"/>
      <c r="BY1" s="42"/>
      <c r="BZ1" s="43"/>
      <c r="CA1" s="42" t="s">
        <v>440</v>
      </c>
      <c r="CB1" s="42"/>
      <c r="CC1" s="42"/>
      <c r="CD1" s="42"/>
      <c r="CE1" s="42"/>
      <c r="CF1" s="42"/>
      <c r="CG1" s="43"/>
      <c r="CH1" s="42" t="s">
        <v>441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/>
      <c r="CW1" s="42"/>
      <c r="CX1" s="42"/>
      <c r="CY1" s="42"/>
    </row>
    <row r="2" spans="1:107" s="38" customFormat="1" hidden="1" x14ac:dyDescent="0.25">
      <c r="C2" s="74" t="s">
        <v>322</v>
      </c>
      <c r="D2" s="213"/>
      <c r="E2" s="213"/>
      <c r="F2" s="213"/>
      <c r="G2" s="139">
        <v>5</v>
      </c>
      <c r="H2" s="139">
        <v>6</v>
      </c>
      <c r="I2" s="139">
        <v>7</v>
      </c>
      <c r="J2" s="139">
        <v>9</v>
      </c>
      <c r="K2" s="139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v>5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:AK2" si="0">AI2</f>
        <v>6</v>
      </c>
      <c r="AK2" s="42">
        <f t="shared" si="0"/>
        <v>6</v>
      </c>
      <c r="AL2" s="43"/>
      <c r="AM2" s="42">
        <v>7</v>
      </c>
      <c r="AN2" s="42">
        <f>AM2</f>
        <v>7</v>
      </c>
      <c r="AO2" s="42">
        <f t="shared" ref="AO2:AP2" si="1">AN2</f>
        <v>7</v>
      </c>
      <c r="AP2" s="42">
        <f t="shared" si="1"/>
        <v>7</v>
      </c>
      <c r="AQ2" s="43"/>
      <c r="AR2" s="42">
        <v>8</v>
      </c>
      <c r="AS2" s="42">
        <f>AR2</f>
        <v>8</v>
      </c>
      <c r="AT2" s="42">
        <f t="shared" ref="AT2:AU2" si="2">AS2</f>
        <v>8</v>
      </c>
      <c r="AU2" s="42">
        <f t="shared" si="2"/>
        <v>8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v>9</v>
      </c>
      <c r="BE2" s="43"/>
      <c r="BF2" s="42">
        <v>10</v>
      </c>
      <c r="BG2" s="42">
        <v>10</v>
      </c>
      <c r="BH2" s="43"/>
      <c r="BI2" s="43"/>
      <c r="BJ2" s="43"/>
      <c r="BK2" s="43"/>
      <c r="BL2" s="42">
        <v>11</v>
      </c>
      <c r="BM2" s="42">
        <f>BL2</f>
        <v>11</v>
      </c>
      <c r="BN2" s="42">
        <v>12</v>
      </c>
      <c r="BO2" s="42">
        <v>12</v>
      </c>
      <c r="BP2" s="42">
        <v>13</v>
      </c>
      <c r="BQ2" s="42">
        <v>13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v>16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v>19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v>22</v>
      </c>
      <c r="CN2" s="43"/>
      <c r="CO2" s="43"/>
      <c r="CP2" s="43"/>
      <c r="CQ2" s="43"/>
      <c r="CR2" s="43"/>
      <c r="CS2" s="43"/>
      <c r="CT2" s="43"/>
      <c r="CV2"/>
      <c r="CW2" s="43">
        <v>9</v>
      </c>
      <c r="CX2" s="43">
        <v>9</v>
      </c>
      <c r="CY2" s="43"/>
    </row>
    <row r="3" spans="1:107" s="38" customFormat="1" hidden="1" x14ac:dyDescent="0.25">
      <c r="C3" s="74" t="s">
        <v>321</v>
      </c>
      <c r="D3" s="43" t="s">
        <v>338</v>
      </c>
      <c r="E3" s="43" t="s">
        <v>338</v>
      </c>
      <c r="F3" s="43" t="s">
        <v>338</v>
      </c>
      <c r="G3" s="43" t="s">
        <v>338</v>
      </c>
      <c r="H3" s="43" t="s">
        <v>338</v>
      </c>
      <c r="I3" s="43" t="s">
        <v>338</v>
      </c>
      <c r="J3" s="43" t="s">
        <v>338</v>
      </c>
      <c r="K3" s="43" t="s">
        <v>338</v>
      </c>
      <c r="L3" s="43" t="s">
        <v>338</v>
      </c>
      <c r="M3" s="43" t="s">
        <v>338</v>
      </c>
      <c r="N3" s="43" t="s">
        <v>338</v>
      </c>
      <c r="O3" s="43" t="s">
        <v>338</v>
      </c>
      <c r="P3" s="43" t="s">
        <v>338</v>
      </c>
      <c r="Q3" s="43" t="s">
        <v>339</v>
      </c>
      <c r="R3" s="43" t="s">
        <v>339</v>
      </c>
      <c r="S3" s="43" t="s">
        <v>339</v>
      </c>
      <c r="T3" s="43" t="s">
        <v>339</v>
      </c>
      <c r="U3" s="43"/>
      <c r="V3" s="81" t="s">
        <v>338</v>
      </c>
      <c r="W3" s="81"/>
      <c r="X3" s="81" t="s">
        <v>338</v>
      </c>
      <c r="Y3" s="43" t="s">
        <v>320</v>
      </c>
      <c r="Z3" s="43" t="s">
        <v>320</v>
      </c>
      <c r="AA3" s="43" t="s">
        <v>320</v>
      </c>
      <c r="AB3" s="43" t="s">
        <v>320</v>
      </c>
      <c r="AC3" s="43"/>
      <c r="AD3" s="43" t="s">
        <v>320</v>
      </c>
      <c r="AE3" s="43"/>
      <c r="AF3" s="43"/>
      <c r="AG3" s="43"/>
      <c r="AH3" s="43" t="s">
        <v>338</v>
      </c>
      <c r="AI3" s="43"/>
      <c r="AJ3" s="43"/>
      <c r="AK3" s="43"/>
      <c r="AL3" s="43"/>
      <c r="AM3" s="43" t="s">
        <v>338</v>
      </c>
      <c r="AN3" s="43"/>
      <c r="AO3" s="43"/>
      <c r="AP3" s="43"/>
      <c r="AQ3" s="43"/>
      <c r="AR3" s="43" t="s">
        <v>338</v>
      </c>
      <c r="AS3" s="43"/>
      <c r="AT3" s="43"/>
      <c r="AU3" s="43"/>
      <c r="AV3" s="43"/>
      <c r="AW3" s="43" t="s">
        <v>338</v>
      </c>
      <c r="AX3" s="43"/>
      <c r="AY3" s="43"/>
      <c r="AZ3" s="43"/>
      <c r="BA3" s="43" t="s">
        <v>320</v>
      </c>
      <c r="BB3" s="43" t="s">
        <v>320</v>
      </c>
      <c r="BC3" s="43" t="s">
        <v>320</v>
      </c>
      <c r="BD3" s="43" t="s">
        <v>320</v>
      </c>
      <c r="BE3" s="43"/>
      <c r="BF3" s="43" t="s">
        <v>340</v>
      </c>
      <c r="BG3" s="43" t="s">
        <v>340</v>
      </c>
      <c r="BH3" s="43" t="s">
        <v>340</v>
      </c>
      <c r="BI3" s="43" t="s">
        <v>340</v>
      </c>
      <c r="BJ3" s="43" t="s">
        <v>338</v>
      </c>
      <c r="BK3" s="43" t="s">
        <v>338</v>
      </c>
      <c r="BL3" s="43" t="s">
        <v>338</v>
      </c>
      <c r="BM3" s="43"/>
      <c r="BN3" s="43" t="s">
        <v>338</v>
      </c>
      <c r="BO3" s="43"/>
      <c r="BP3" s="43" t="s">
        <v>338</v>
      </c>
      <c r="BQ3" s="43"/>
      <c r="BR3" s="43" t="s">
        <v>338</v>
      </c>
      <c r="BS3" s="43"/>
      <c r="BT3" s="43" t="s">
        <v>320</v>
      </c>
      <c r="BU3" s="43"/>
      <c r="BV3" s="43" t="s">
        <v>339</v>
      </c>
      <c r="BW3" s="43"/>
      <c r="BX3" s="43"/>
      <c r="BY3" s="43"/>
      <c r="BZ3" s="43"/>
      <c r="CA3" s="43" t="s">
        <v>320</v>
      </c>
      <c r="CB3" s="43"/>
      <c r="CC3" s="43" t="s">
        <v>339</v>
      </c>
      <c r="CD3" s="43"/>
      <c r="CE3" s="43"/>
      <c r="CF3" s="43"/>
      <c r="CG3" s="43"/>
      <c r="CH3" s="43" t="s">
        <v>320</v>
      </c>
      <c r="CI3" s="43"/>
      <c r="CJ3" s="43" t="s">
        <v>339</v>
      </c>
      <c r="CK3" s="43"/>
      <c r="CL3" s="43"/>
      <c r="CM3" s="43"/>
      <c r="CN3" s="43"/>
      <c r="CO3" s="43"/>
      <c r="CP3" s="43"/>
      <c r="CQ3" s="43"/>
      <c r="CR3" s="43"/>
      <c r="CS3" s="43"/>
      <c r="CT3" s="43"/>
      <c r="CV3"/>
      <c r="CW3" s="43" t="s">
        <v>320</v>
      </c>
      <c r="CX3" s="43" t="s">
        <v>320</v>
      </c>
      <c r="CY3" s="43"/>
    </row>
    <row r="4" spans="1:107" s="38" customFormat="1" hidden="1" x14ac:dyDescent="0.25">
      <c r="C4" s="74"/>
      <c r="D4" s="213"/>
      <c r="E4" s="213"/>
      <c r="F4" s="213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403</v>
      </c>
      <c r="T4" s="347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403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403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403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403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CompareVer</f>
        <v>LY</v>
      </c>
      <c r="BW4" s="42" t="str">
        <f>ForecastVer</f>
        <v>MBR</v>
      </c>
      <c r="BX4" s="42" t="s">
        <v>403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403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403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/>
      <c r="CW4" s="43" t="str">
        <f>ForecastVer</f>
        <v>MBR</v>
      </c>
      <c r="CX4" s="43" t="str">
        <f>CompareVer</f>
        <v>LY</v>
      </c>
      <c r="CY4" s="43"/>
    </row>
    <row r="5" spans="1:107" ht="37.5" x14ac:dyDescent="0.7">
      <c r="C5" s="379" t="str">
        <f>"FEATURE CODE " &amp; FiscalYr</f>
        <v>FEATURE CODE 2018</v>
      </c>
      <c r="D5" s="379"/>
      <c r="E5" s="379"/>
      <c r="F5" s="379"/>
      <c r="G5" s="379"/>
      <c r="H5" s="379"/>
      <c r="I5" s="379"/>
      <c r="J5" s="379"/>
      <c r="K5" s="379"/>
      <c r="L5" s="379"/>
      <c r="M5" s="379"/>
      <c r="N5" s="379"/>
      <c r="O5" s="380"/>
      <c r="P5" s="380"/>
      <c r="Q5" s="380"/>
      <c r="R5" s="380"/>
    </row>
    <row r="6" spans="1:107" ht="27" customHeight="1" x14ac:dyDescent="0.5">
      <c r="C6" s="378" t="str">
        <f>FC &amp; " - " &amp; Channel</f>
        <v>GY 18 SM4 - Retail</v>
      </c>
      <c r="D6" s="378"/>
      <c r="E6" s="378"/>
      <c r="F6" s="378"/>
      <c r="G6" s="378"/>
      <c r="H6" s="378"/>
      <c r="I6" s="378"/>
      <c r="J6" s="378"/>
      <c r="K6" s="378"/>
      <c r="L6" s="378"/>
      <c r="M6" s="378"/>
      <c r="N6" s="378"/>
      <c r="O6" s="378"/>
      <c r="P6" s="378"/>
      <c r="Q6" s="378"/>
      <c r="R6" s="378"/>
    </row>
    <row r="7" spans="1:107" s="293" customFormat="1" ht="16.5" thickBot="1" x14ac:dyDescent="0.3">
      <c r="A7" s="290"/>
      <c r="B7" s="290"/>
      <c r="C7" s="297"/>
      <c r="D7" s="297" t="str">
        <f>IF(Status=0,"",Status)</f>
        <v xml:space="preserve"> </v>
      </c>
      <c r="E7" s="291"/>
      <c r="F7" s="291"/>
      <c r="G7" s="291"/>
      <c r="H7" s="291"/>
      <c r="I7" s="291"/>
      <c r="J7" s="291"/>
      <c r="K7" s="291"/>
      <c r="L7" s="291"/>
      <c r="M7" s="291"/>
      <c r="N7" s="291"/>
      <c r="O7" s="291"/>
      <c r="P7" s="292"/>
      <c r="Q7" s="292"/>
      <c r="Y7" s="345" t="s">
        <v>480</v>
      </c>
      <c r="Z7" s="358" t="str">
        <f>FCLY</f>
        <v>GY 17 SM4</v>
      </c>
      <c r="AA7" s="358"/>
      <c r="AB7" s="358"/>
      <c r="AC7" s="358"/>
      <c r="BS7" s="295"/>
      <c r="CD7" s="296"/>
      <c r="CE7" s="294"/>
      <c r="CF7" s="294"/>
      <c r="CG7" s="294"/>
      <c r="CW7" s="45"/>
    </row>
    <row r="8" spans="1:107" s="140" customFormat="1" ht="21.75" thickBot="1" x14ac:dyDescent="0.3">
      <c r="C8" s="141" t="s">
        <v>39</v>
      </c>
      <c r="D8" s="382" t="s">
        <v>454</v>
      </c>
      <c r="E8" s="383"/>
      <c r="F8" s="383"/>
      <c r="G8" s="383"/>
      <c r="H8" s="383"/>
      <c r="I8" s="383"/>
      <c r="J8" s="383"/>
      <c r="K8" s="384"/>
      <c r="L8" s="385" t="s">
        <v>27</v>
      </c>
      <c r="M8" s="385"/>
      <c r="N8" s="385"/>
      <c r="O8" s="385"/>
      <c r="P8" s="385"/>
      <c r="Q8" s="385"/>
      <c r="R8" s="385"/>
      <c r="S8" s="385"/>
      <c r="T8" s="385"/>
      <c r="U8" s="385"/>
      <c r="V8" s="385"/>
      <c r="W8" s="385"/>
      <c r="X8" s="385"/>
      <c r="Y8" s="385"/>
      <c r="Z8" s="385"/>
      <c r="AA8" s="385"/>
      <c r="AB8" s="385"/>
      <c r="AC8" s="385"/>
      <c r="AD8" s="385"/>
      <c r="AE8" s="385"/>
      <c r="AF8" s="385"/>
      <c r="AG8" s="385"/>
      <c r="AH8" s="385"/>
      <c r="AI8" s="385"/>
      <c r="AJ8" s="385"/>
      <c r="AK8" s="385"/>
      <c r="AL8" s="385"/>
      <c r="AM8" s="385"/>
      <c r="AN8" s="385"/>
      <c r="AO8" s="385"/>
      <c r="AP8" s="385"/>
      <c r="AQ8" s="385"/>
      <c r="AR8" s="385"/>
      <c r="AS8" s="385"/>
      <c r="AT8" s="385"/>
      <c r="AU8" s="385"/>
      <c r="AV8" s="385"/>
      <c r="AW8" s="385"/>
      <c r="AX8" s="385"/>
      <c r="AY8" s="385"/>
      <c r="AZ8" s="385"/>
      <c r="BA8" s="389" t="s">
        <v>414</v>
      </c>
      <c r="BB8" s="390"/>
      <c r="BC8" s="390"/>
      <c r="BD8" s="390"/>
      <c r="BE8" s="390"/>
      <c r="BF8" s="390"/>
      <c r="BG8" s="390"/>
      <c r="BH8" s="390"/>
      <c r="BI8" s="390"/>
      <c r="BJ8" s="390"/>
      <c r="BK8" s="390"/>
      <c r="BL8" s="390"/>
      <c r="BM8" s="390"/>
      <c r="BN8" s="390"/>
      <c r="BO8" s="390"/>
      <c r="BP8" s="390"/>
      <c r="BQ8" s="390"/>
      <c r="BR8" s="390"/>
      <c r="BS8" s="391"/>
      <c r="BT8" s="368" t="s">
        <v>393</v>
      </c>
      <c r="BU8" s="368"/>
      <c r="BV8" s="368"/>
      <c r="BW8" s="368"/>
      <c r="BX8" s="368"/>
      <c r="BY8" s="368"/>
      <c r="BZ8" s="368"/>
      <c r="CA8" s="368"/>
      <c r="CB8" s="368"/>
      <c r="CC8" s="368"/>
      <c r="CD8" s="368"/>
      <c r="CE8" s="368"/>
      <c r="CF8" s="368"/>
      <c r="CG8" s="368"/>
      <c r="CH8" s="368"/>
      <c r="CI8" s="368"/>
      <c r="CJ8" s="368"/>
      <c r="CK8" s="368"/>
      <c r="CL8" s="368"/>
      <c r="CM8" s="368"/>
      <c r="CN8" s="368"/>
      <c r="CO8" s="368"/>
      <c r="CP8" s="368"/>
      <c r="CQ8" s="368"/>
      <c r="CR8" s="368"/>
      <c r="CS8" s="368"/>
      <c r="CT8" s="369"/>
      <c r="CW8" s="142"/>
      <c r="CX8" s="143"/>
      <c r="CY8" s="143"/>
      <c r="CZ8" s="144"/>
      <c r="DA8" s="145"/>
      <c r="DB8" s="145"/>
      <c r="DC8" s="146"/>
    </row>
    <row r="9" spans="1:107" s="140" customFormat="1" ht="21.75" thickBot="1" x14ac:dyDescent="0.4">
      <c r="C9" s="288"/>
      <c r="D9" s="386" t="s">
        <v>407</v>
      </c>
      <c r="E9" s="387"/>
      <c r="F9" s="387"/>
      <c r="G9" s="387"/>
      <c r="H9" s="387"/>
      <c r="I9" s="387"/>
      <c r="J9" s="387"/>
      <c r="K9" s="388"/>
      <c r="L9" s="387" t="s">
        <v>6</v>
      </c>
      <c r="M9" s="387"/>
      <c r="N9" s="387"/>
      <c r="O9" s="387"/>
      <c r="P9" s="392"/>
      <c r="Q9" s="370" t="s">
        <v>8</v>
      </c>
      <c r="R9" s="371"/>
      <c r="S9" s="371"/>
      <c r="T9" s="393"/>
      <c r="U9" s="394"/>
      <c r="V9" s="395" t="s">
        <v>408</v>
      </c>
      <c r="W9" s="396"/>
      <c r="X9" s="397"/>
      <c r="Y9" s="398" t="s">
        <v>409</v>
      </c>
      <c r="Z9" s="387"/>
      <c r="AA9" s="398"/>
      <c r="AB9" s="387"/>
      <c r="AC9" s="392"/>
      <c r="AD9" s="398" t="s">
        <v>4</v>
      </c>
      <c r="AE9" s="387"/>
      <c r="AF9" s="387"/>
      <c r="AG9" s="387"/>
      <c r="AH9" s="359" t="s">
        <v>1</v>
      </c>
      <c r="AI9" s="360"/>
      <c r="AJ9" s="360"/>
      <c r="AK9" s="360"/>
      <c r="AL9" s="361"/>
      <c r="AM9" s="370" t="s">
        <v>2</v>
      </c>
      <c r="AN9" s="371"/>
      <c r="AO9" s="371"/>
      <c r="AP9" s="371"/>
      <c r="AQ9" s="372"/>
      <c r="AR9" s="359" t="s">
        <v>3</v>
      </c>
      <c r="AS9" s="360"/>
      <c r="AT9" s="360"/>
      <c r="AU9" s="360"/>
      <c r="AV9" s="360"/>
      <c r="AW9" s="373" t="s">
        <v>7</v>
      </c>
      <c r="AX9" s="374"/>
      <c r="AY9" s="374"/>
      <c r="AZ9" s="374"/>
      <c r="BA9" s="375" t="s">
        <v>452</v>
      </c>
      <c r="BB9" s="376"/>
      <c r="BC9" s="376"/>
      <c r="BD9" s="376"/>
      <c r="BE9" s="377"/>
      <c r="BF9" s="359" t="s">
        <v>453</v>
      </c>
      <c r="BG9" s="360"/>
      <c r="BH9" s="373" t="s">
        <v>304</v>
      </c>
      <c r="BI9" s="374"/>
      <c r="BJ9" s="381" t="s">
        <v>410</v>
      </c>
      <c r="BK9" s="374"/>
      <c r="BL9" s="359" t="s">
        <v>46</v>
      </c>
      <c r="BM9" s="360"/>
      <c r="BN9" s="359" t="s">
        <v>411</v>
      </c>
      <c r="BO9" s="360"/>
      <c r="BP9" s="359" t="s">
        <v>412</v>
      </c>
      <c r="BQ9" s="360"/>
      <c r="BR9" s="373" t="s">
        <v>413</v>
      </c>
      <c r="BS9" s="374"/>
      <c r="BT9" s="359" t="s">
        <v>395</v>
      </c>
      <c r="BU9" s="360"/>
      <c r="BV9" s="360"/>
      <c r="BW9" s="360"/>
      <c r="BX9" s="360"/>
      <c r="BY9" s="360"/>
      <c r="BZ9" s="361"/>
      <c r="CA9" s="359" t="s">
        <v>5</v>
      </c>
      <c r="CB9" s="360"/>
      <c r="CC9" s="360"/>
      <c r="CD9" s="360"/>
      <c r="CE9" s="360"/>
      <c r="CF9" s="360"/>
      <c r="CG9" s="361"/>
      <c r="CH9" s="359" t="s">
        <v>396</v>
      </c>
      <c r="CI9" s="360"/>
      <c r="CJ9" s="360"/>
      <c r="CK9" s="360"/>
      <c r="CL9" s="360"/>
      <c r="CM9" s="360"/>
      <c r="CN9" s="361"/>
      <c r="CO9" s="362" t="s">
        <v>1</v>
      </c>
      <c r="CP9" s="363"/>
      <c r="CQ9" s="364"/>
      <c r="CR9" s="365" t="s">
        <v>3</v>
      </c>
      <c r="CS9" s="366"/>
      <c r="CT9" s="367"/>
      <c r="CW9" s="352" t="s">
        <v>30</v>
      </c>
      <c r="CX9" s="353"/>
      <c r="CY9" s="354"/>
      <c r="CZ9" s="355" t="s">
        <v>382</v>
      </c>
      <c r="DA9" s="356"/>
      <c r="DB9" s="356"/>
      <c r="DC9" s="357"/>
    </row>
    <row r="10" spans="1:107" s="140" customFormat="1" ht="16.5" thickBot="1" x14ac:dyDescent="0.3">
      <c r="A10" s="150"/>
      <c r="B10" s="150"/>
      <c r="C10" s="151" t="s">
        <v>0</v>
      </c>
      <c r="D10" s="152" t="s">
        <v>6</v>
      </c>
      <c r="E10" s="153" t="s">
        <v>402</v>
      </c>
      <c r="F10" s="153" t="s">
        <v>4</v>
      </c>
      <c r="G10" s="153" t="s">
        <v>404</v>
      </c>
      <c r="H10" s="153" t="s">
        <v>2</v>
      </c>
      <c r="I10" s="153" t="s">
        <v>3</v>
      </c>
      <c r="J10" s="153" t="s">
        <v>405</v>
      </c>
      <c r="K10" s="298" t="s">
        <v>406</v>
      </c>
      <c r="L10" s="154" t="s">
        <v>407</v>
      </c>
      <c r="M10" s="154" t="s">
        <v>391</v>
      </c>
      <c r="N10" s="154" t="s">
        <v>403</v>
      </c>
      <c r="O10" s="154" t="s">
        <v>19</v>
      </c>
      <c r="P10" s="155" t="s">
        <v>25</v>
      </c>
      <c r="Q10" s="156" t="s">
        <v>407</v>
      </c>
      <c r="R10" s="154" t="s">
        <v>391</v>
      </c>
      <c r="S10" s="154" t="s">
        <v>403</v>
      </c>
      <c r="T10" s="154" t="s">
        <v>19</v>
      </c>
      <c r="U10" s="155" t="s">
        <v>25</v>
      </c>
      <c r="V10" s="157" t="s">
        <v>407</v>
      </c>
      <c r="W10" s="154" t="s">
        <v>391</v>
      </c>
      <c r="X10" s="158" t="s">
        <v>19</v>
      </c>
      <c r="Y10" s="156" t="s">
        <v>407</v>
      </c>
      <c r="Z10" s="154" t="s">
        <v>391</v>
      </c>
      <c r="AA10" s="154" t="s">
        <v>403</v>
      </c>
      <c r="AB10" s="154" t="s">
        <v>19</v>
      </c>
      <c r="AC10" s="155" t="s">
        <v>25</v>
      </c>
      <c r="AD10" s="156" t="s">
        <v>407</v>
      </c>
      <c r="AE10" s="154" t="s">
        <v>391</v>
      </c>
      <c r="AF10" s="154" t="s">
        <v>403</v>
      </c>
      <c r="AG10" s="154" t="s">
        <v>19</v>
      </c>
      <c r="AH10" s="156" t="s">
        <v>407</v>
      </c>
      <c r="AI10" s="154" t="s">
        <v>391</v>
      </c>
      <c r="AJ10" s="154" t="s">
        <v>403</v>
      </c>
      <c r="AK10" s="154" t="s">
        <v>19</v>
      </c>
      <c r="AL10" s="155" t="s">
        <v>25</v>
      </c>
      <c r="AM10" s="156" t="s">
        <v>407</v>
      </c>
      <c r="AN10" s="154" t="s">
        <v>391</v>
      </c>
      <c r="AO10" s="154" t="s">
        <v>403</v>
      </c>
      <c r="AP10" s="154" t="s">
        <v>19</v>
      </c>
      <c r="AQ10" s="155" t="s">
        <v>25</v>
      </c>
      <c r="AR10" s="156" t="s">
        <v>407</v>
      </c>
      <c r="AS10" s="154" t="s">
        <v>391</v>
      </c>
      <c r="AT10" s="154" t="s">
        <v>403</v>
      </c>
      <c r="AU10" s="154" t="s">
        <v>19</v>
      </c>
      <c r="AV10" s="155" t="s">
        <v>25</v>
      </c>
      <c r="AW10" s="156" t="s">
        <v>407</v>
      </c>
      <c r="AX10" s="154" t="s">
        <v>391</v>
      </c>
      <c r="AY10" s="154" t="s">
        <v>403</v>
      </c>
      <c r="AZ10" s="154" t="s">
        <v>19</v>
      </c>
      <c r="BA10" s="156" t="s">
        <v>407</v>
      </c>
      <c r="BB10" s="154" t="s">
        <v>391</v>
      </c>
      <c r="BC10" s="154" t="s">
        <v>403</v>
      </c>
      <c r="BD10" s="154" t="s">
        <v>19</v>
      </c>
      <c r="BE10" s="155" t="s">
        <v>25</v>
      </c>
      <c r="BF10" s="156" t="s">
        <v>407</v>
      </c>
      <c r="BG10" s="154" t="s">
        <v>19</v>
      </c>
      <c r="BH10" s="156" t="s">
        <v>407</v>
      </c>
      <c r="BI10" s="154" t="s">
        <v>19</v>
      </c>
      <c r="BJ10" s="159" t="s">
        <v>407</v>
      </c>
      <c r="BK10" s="160" t="s">
        <v>19</v>
      </c>
      <c r="BL10" s="156" t="s">
        <v>407</v>
      </c>
      <c r="BM10" s="154" t="s">
        <v>19</v>
      </c>
      <c r="BN10" s="156" t="s">
        <v>407</v>
      </c>
      <c r="BO10" s="154" t="s">
        <v>19</v>
      </c>
      <c r="BP10" s="156" t="s">
        <v>407</v>
      </c>
      <c r="BQ10" s="154" t="s">
        <v>19</v>
      </c>
      <c r="BR10" s="156" t="s">
        <v>407</v>
      </c>
      <c r="BS10" s="154" t="s">
        <v>19</v>
      </c>
      <c r="BT10" s="156" t="s">
        <v>45</v>
      </c>
      <c r="BU10" s="154" t="s">
        <v>44</v>
      </c>
      <c r="BV10" s="154" t="s">
        <v>407</v>
      </c>
      <c r="BW10" s="154" t="s">
        <v>391</v>
      </c>
      <c r="BX10" s="154" t="s">
        <v>403</v>
      </c>
      <c r="BY10" s="154" t="s">
        <v>19</v>
      </c>
      <c r="BZ10" s="155" t="s">
        <v>25</v>
      </c>
      <c r="CA10" s="156" t="s">
        <v>45</v>
      </c>
      <c r="CB10" s="154" t="s">
        <v>44</v>
      </c>
      <c r="CC10" s="154" t="s">
        <v>407</v>
      </c>
      <c r="CD10" s="154" t="s">
        <v>391</v>
      </c>
      <c r="CE10" s="154" t="s">
        <v>403</v>
      </c>
      <c r="CF10" s="154" t="s">
        <v>19</v>
      </c>
      <c r="CG10" s="155" t="s">
        <v>25</v>
      </c>
      <c r="CH10" s="156" t="s">
        <v>45</v>
      </c>
      <c r="CI10" s="154" t="s">
        <v>44</v>
      </c>
      <c r="CJ10" s="154" t="s">
        <v>407</v>
      </c>
      <c r="CK10" s="154" t="s">
        <v>391</v>
      </c>
      <c r="CL10" s="154" t="s">
        <v>403</v>
      </c>
      <c r="CM10" s="154" t="s">
        <v>19</v>
      </c>
      <c r="CN10" s="155" t="s">
        <v>25</v>
      </c>
      <c r="CO10" s="154" t="s">
        <v>403</v>
      </c>
      <c r="CP10" s="154" t="s">
        <v>19</v>
      </c>
      <c r="CQ10" s="154" t="s">
        <v>25</v>
      </c>
      <c r="CR10" s="161" t="s">
        <v>403</v>
      </c>
      <c r="CS10" s="162" t="s">
        <v>19</v>
      </c>
      <c r="CT10" s="163" t="s">
        <v>25</v>
      </c>
      <c r="CW10" s="164" t="s">
        <v>407</v>
      </c>
      <c r="CX10" s="165" t="s">
        <v>19</v>
      </c>
      <c r="CY10" s="166" t="s">
        <v>25</v>
      </c>
      <c r="CZ10" s="167" t="s">
        <v>381</v>
      </c>
      <c r="DA10" s="168" t="s">
        <v>332</v>
      </c>
      <c r="DB10" s="168" t="s">
        <v>331</v>
      </c>
      <c r="DC10" s="169" t="s">
        <v>333</v>
      </c>
    </row>
    <row r="11" spans="1:107" s="44" customFormat="1" x14ac:dyDescent="0.25">
      <c r="A11" s="44" t="s">
        <v>335</v>
      </c>
      <c r="B11" s="44">
        <v>2018</v>
      </c>
      <c r="C11" s="88">
        <v>1</v>
      </c>
      <c r="D11" s="89">
        <f>G11*H11</f>
        <v>7194766.2871999871</v>
      </c>
      <c r="E11" s="199">
        <f>IFERROR(D11*F11,0)</f>
        <v>4731781.3160999967</v>
      </c>
      <c r="F11" s="200">
        <f t="shared" ref="F11" si="3">IF(H11&lt;&gt;0,1-I11/H11,0)</f>
        <v>0.6576699127139376</v>
      </c>
      <c r="G11" s="198">
        <f t="shared" ref="G11:I14" si="4">IFERROR(VLOOKUP($B11 &amp; $C11&amp;G$4&amp;$A11,tblForecast,G$2,FALSE),0)</f>
        <v>229725</v>
      </c>
      <c r="H11" s="201">
        <f t="shared" si="4"/>
        <v>31.319039230384099</v>
      </c>
      <c r="I11" s="201">
        <f t="shared" si="4"/>
        <v>10.721449433453</v>
      </c>
      <c r="J11" s="198">
        <f>IFERROR(VLOOKUP($B11 &amp; $C11&amp;J$4&amp;$A11,tblForecast,J$2,FALSE),0)+IFERROR(VLOOKUP($B11 &amp; $C11 &amp; J$4 &amp; $A11,tblForecast,J$2+1,FALSE),0)</f>
        <v>8158123</v>
      </c>
      <c r="K11" s="299">
        <f>IFERROR(VLOOKUP($B11 &amp; $C11&amp;K$4&amp;$A11,tblForecast,K$2+2,FALSE),0)</f>
        <v>829879</v>
      </c>
      <c r="L11" s="170">
        <f t="shared" ref="L11:O14" si="5">Q11*AM11</f>
        <v>0</v>
      </c>
      <c r="M11" s="170">
        <f t="shared" si="5"/>
        <v>0</v>
      </c>
      <c r="N11" s="170">
        <f t="shared" si="5"/>
        <v>0</v>
      </c>
      <c r="O11" s="170">
        <f t="shared" si="5"/>
        <v>0</v>
      </c>
      <c r="P11" s="91">
        <f>IFERROR(L11/O11-1,)</f>
        <v>0</v>
      </c>
      <c r="Q11" s="238">
        <f>IFERROR(VLOOKUP($B11 &amp; $C11&amp;CompareVer,tblForecast,Q$2,FALSE),0)</f>
        <v>0</v>
      </c>
      <c r="R11" s="239">
        <f t="shared" ref="R11:S14" si="6">IFERROR(VLOOKUP($B11 &amp; $C11&amp;R$4,tblForecast,R$2,FALSE),0)</f>
        <v>0</v>
      </c>
      <c r="S11" s="239">
        <f t="shared" si="6"/>
        <v>0</v>
      </c>
      <c r="T11" s="240">
        <f>IFERROR(VLOOKUP($B11-IF(CompareVer="LY",1,0) &amp; $C11 &amp;T$4,tblForecast,T$2,FALSE),0)</f>
        <v>0</v>
      </c>
      <c r="U11" s="91">
        <f t="shared" ref="U11:U74" si="7">IFERROR(Q11/T11-1,)</f>
        <v>0</v>
      </c>
      <c r="V11" s="245">
        <v>0</v>
      </c>
      <c r="W11" s="336">
        <v>0</v>
      </c>
      <c r="X11" s="246">
        <v>0</v>
      </c>
      <c r="Y11" s="89">
        <f t="shared" ref="Y11:AB14" si="8">IFERROR(L11*AD11,0)</f>
        <v>0</v>
      </c>
      <c r="Z11" s="170">
        <f t="shared" si="8"/>
        <v>0</v>
      </c>
      <c r="AA11" s="170">
        <f t="shared" si="8"/>
        <v>0</v>
      </c>
      <c r="AB11" s="170">
        <f t="shared" si="8"/>
        <v>0</v>
      </c>
      <c r="AC11" s="212">
        <f t="shared" ref="AC11:AC74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si="10"/>
        <v>0</v>
      </c>
      <c r="AH11" s="172">
        <f>IFERROR(VLOOKUP($B11 &amp; $C11&amp;CompareVer,tblForecast,AH$2,FALSE),0)</f>
        <v>0</v>
      </c>
      <c r="AI11" s="173">
        <f t="shared" ref="AI11:AJ14" si="11">IFERROR(VLOOKUP($B11 &amp; $C11&amp;AI$4,tblForecast,AI$2,FALSE),0)</f>
        <v>0</v>
      </c>
      <c r="AJ11" s="173">
        <f t="shared" si="11"/>
        <v>0</v>
      </c>
      <c r="AK11" s="173">
        <f>IFERROR(VLOOKUP($B11-IF(CompareVer="LY",1,0) &amp; $C11 &amp;AK$4,tblForecast,AK$2,FALSE),0)</f>
        <v>0</v>
      </c>
      <c r="AL11" s="212">
        <f t="shared" ref="AL11:AL26" si="12">IFERROR(AH11/AK11-1,)</f>
        <v>0</v>
      </c>
      <c r="AM11" s="172">
        <f>IFERROR(VLOOKUP($B11 &amp; $C11&amp;CompareVer,tblForecast,AM$2,FALSE),0)</f>
        <v>0</v>
      </c>
      <c r="AN11" s="173">
        <f t="shared" ref="AN11:AO14" si="13">IFERROR(VLOOKUP($B11 &amp; $C11&amp;AN$4,tblForecast,AN$2,FALSE),0)</f>
        <v>0</v>
      </c>
      <c r="AO11" s="173">
        <f t="shared" si="13"/>
        <v>0</v>
      </c>
      <c r="AP11" s="173">
        <f>IFERROR(VLOOKUP($B11-IF(CompareVer="LY",1,0) &amp; $C11 &amp;AP$4,tblForecast,AP$2,FALSE),0)</f>
        <v>0</v>
      </c>
      <c r="AQ11" s="212">
        <f t="shared" ref="AQ11:AQ74" si="14">IFERROR(AM11/AP11-1,)</f>
        <v>0</v>
      </c>
      <c r="AR11" s="172">
        <f>IFERROR(VLOOKUP($B11 &amp; $C11&amp;CompareVer,tblForecast,AR$2,FALSE),0)</f>
        <v>0</v>
      </c>
      <c r="AS11" s="173">
        <f t="shared" ref="AS11:AT14" si="15">IFERROR(VLOOKUP($B11 &amp; $C11&amp;AS$4,tblForecast,AS$2,FALSE),0)</f>
        <v>0</v>
      </c>
      <c r="AT11" s="173">
        <f t="shared" si="15"/>
        <v>0</v>
      </c>
      <c r="AU11" s="173">
        <f>IFERROR(VLOOKUP($B11-IF(CompareVer="LY",1,0) &amp; $C11 &amp;AU$4,tblForecast,AU$2,FALSE),0)</f>
        <v>0</v>
      </c>
      <c r="AV11" s="212">
        <f t="shared" ref="AV11:AV74" si="16">IFERROR(AR11/AU11-1,)</f>
        <v>0</v>
      </c>
      <c r="AW11" s="174">
        <f t="shared" ref="AW11:AZ26" si="17">IFERROR((AM11/AH11-1)*-1,0)</f>
        <v>0</v>
      </c>
      <c r="AX11" s="175">
        <f t="shared" si="17"/>
        <v>0</v>
      </c>
      <c r="AY11" s="175">
        <f t="shared" si="17"/>
        <v>0</v>
      </c>
      <c r="AZ11" s="175">
        <f t="shared" si="17"/>
        <v>0</v>
      </c>
      <c r="BA11" s="227">
        <f>CW11+BF11</f>
        <v>0</v>
      </c>
      <c r="BB11" s="228">
        <f>IF(IFERROR(VLOOKUP($B11 &amp; $C11&amp;BB$4,tblForecast,BB$2,FALSE),0)=0,BA11,IFERROR(VLOOKUP($B11 &amp; $C11&amp;BB$4,tblForecast,BB$2,FALSE),0))</f>
        <v>0</v>
      </c>
      <c r="BC11" s="228">
        <f t="shared" ref="BC11:BC14" si="18">IFERROR(VLOOKUP($B11 &amp; $C11&amp;BC$4,tblForecast,BC$2,FALSE),0)</f>
        <v>0</v>
      </c>
      <c r="BD11" s="228">
        <f>CX11+BG11</f>
        <v>-2</v>
      </c>
      <c r="BE11" s="177">
        <f t="shared" ref="BE11:BE74" si="19">IFERROR(BA11/BD11-1,)</f>
        <v>-1</v>
      </c>
      <c r="BF11" s="228">
        <f>IFERROR(VLOOKUP($B11 &amp; $C11&amp;CompareVer,tblForecast,BF$2,FALSE),0)</f>
        <v>0</v>
      </c>
      <c r="BG11" s="228">
        <f>IFERROR(VLOOKUP($B11-IF(CompareVer="LY",1,0) &amp; $C11 &amp;BG$4,tblForecast,BG$2,FALSE),0)</f>
        <v>0</v>
      </c>
      <c r="BH11" s="179">
        <f>IF(Q11&lt;&gt;0,BA11/Q11,0)</f>
        <v>0</v>
      </c>
      <c r="BI11" s="180">
        <f>IF(T11&lt;&gt;0,BD11/T11,0)</f>
        <v>0</v>
      </c>
      <c r="BJ11" s="95">
        <f t="shared" ref="BJ11:BJ25" si="20">IF(BA11&lt;&gt;0,Q11/BA11,0)</f>
        <v>0</v>
      </c>
      <c r="BK11" s="96">
        <f t="shared" ref="BK11:BK25" si="21">IF(BD11&lt;&gt;0,T11/BD11,0)</f>
        <v>0</v>
      </c>
      <c r="BL11" s="227">
        <f>IFERROR(VLOOKUP($B11 &amp; $C11&amp;CompareVer,tblForecast,BL$2,FALSE),0)</f>
        <v>0</v>
      </c>
      <c r="BM11" s="228">
        <f>IFERROR(VLOOKUP($B11-IF(CompareVer="LY",1,0) &amp; $C11 &amp;BM$4,tblForecast,BM$2,FALSE),0)</f>
        <v>0</v>
      </c>
      <c r="BN11" s="227">
        <f>IFERROR(VLOOKUP($B11 &amp; $C11&amp;CompareVer,tblForecast,BN$2,FALSE),0)</f>
        <v>0</v>
      </c>
      <c r="BO11" s="228">
        <f>IFERROR(VLOOKUP($B11-IF(CompareVer="LY",1,0) &amp; $C11 &amp;BO$4,tblForecast,BO$2,FALSE),0)</f>
        <v>0</v>
      </c>
      <c r="BP11" s="227">
        <f>IFERROR(VLOOKUP($B11 &amp; $C11&amp;CompareVer,tblForecast,BP$2,FALSE),0)</f>
        <v>0</v>
      </c>
      <c r="BQ11" s="228">
        <f>IFERROR(VLOOKUP($B11-IF(CompareVer="LY",1,0) &amp; $C11 &amp;BQ$4,tblForecast,BQ$2,FALSE),0)</f>
        <v>0</v>
      </c>
      <c r="BR11" s="227">
        <f>BN11-BP11</f>
        <v>0</v>
      </c>
      <c r="BS11" s="228">
        <f t="shared" ref="BS11:BS74" si="22">BO11-BQ11</f>
        <v>0</v>
      </c>
      <c r="BT11" s="227">
        <f t="shared" ref="BT11:BU14" si="23">IFERROR(VLOOKUP($B11 &amp; $C11&amp;BT$4,tblForecast,BT$2,FALSE),0)</f>
        <v>0</v>
      </c>
      <c r="BU11" s="228">
        <f t="shared" si="23"/>
        <v>0</v>
      </c>
      <c r="BV11" s="228">
        <f>IFERROR(VLOOKUP($B11 &amp; $C11&amp;CompareVer,tblForecast,BV$2,FALSE),0)</f>
        <v>0</v>
      </c>
      <c r="BW11" s="228">
        <f t="shared" ref="BW11:BX14" si="24">IFERROR(VLOOKUP($B11 &amp; $C11&amp;BW$4,tblForecast,BW$2,FALSE),0)</f>
        <v>0</v>
      </c>
      <c r="BX11" s="228">
        <f t="shared" si="24"/>
        <v>0</v>
      </c>
      <c r="BY11" s="176">
        <f>IFERROR(VLOOKUP($B11-IF(CompareVer="LY",1,0) &amp; $C11 &amp;BY$4,tblForecast,BY$2,FALSE),0)</f>
        <v>0</v>
      </c>
      <c r="BZ11" s="177">
        <f t="shared" ref="BZ11:BZ74" si="25">IFERROR(BV11/BY11-1,)</f>
        <v>0</v>
      </c>
      <c r="CA11" s="170">
        <f t="shared" ref="CA11:CB14" si="26">IFERROR(VLOOKUP($B11 &amp; $C11&amp;CA$4,tblForecast,CA$2,FALSE),0)</f>
        <v>0</v>
      </c>
      <c r="CB11" s="170">
        <f t="shared" si="26"/>
        <v>0</v>
      </c>
      <c r="CC11" s="170">
        <f>IFERROR(VLOOKUP($B11 &amp; $C11&amp;CompareVer,tblForecast,CC$2,FALSE),0)</f>
        <v>0</v>
      </c>
      <c r="CD11" s="170">
        <f t="shared" ref="CD11:CE14" si="27">IFERROR(VLOOKUP($B11 &amp; $C11&amp;CD$4,tblForecast,CD$2,FALSE),0)</f>
        <v>0</v>
      </c>
      <c r="CE11" s="170">
        <f t="shared" si="27"/>
        <v>0</v>
      </c>
      <c r="CF11" s="170">
        <f>IFERROR(VLOOKUP($B11-IF(CompareVer="LY",1,0) &amp; $C11 &amp;CF$4,tblForecast,CF$2,FALSE),0)</f>
        <v>0</v>
      </c>
      <c r="CG11" s="177">
        <f t="shared" ref="CG11:CG74" si="28">IFERROR(CC11/CF11-1,)</f>
        <v>0</v>
      </c>
      <c r="CH11" s="170">
        <f t="shared" ref="CH11:CI14" si="29">IFERROR(VLOOKUP($B11 &amp; $C11&amp;CH$4,tblForecast,CH$2,FALSE),0)</f>
        <v>0</v>
      </c>
      <c r="CI11" s="170">
        <f t="shared" si="29"/>
        <v>0</v>
      </c>
      <c r="CJ11" s="170">
        <f>IFERROR(VLOOKUP($B11 &amp; $C11&amp;CompareVer,tblForecast,CJ$2,FALSE),0)</f>
        <v>0</v>
      </c>
      <c r="CK11" s="170">
        <f t="shared" ref="CK11:CL14" si="30">IFERROR(VLOOKUP($B11 &amp; $C11&amp;CK$4,tblForecast,CK$2,FALSE),0)</f>
        <v>0</v>
      </c>
      <c r="CL11" s="170">
        <f t="shared" si="30"/>
        <v>0</v>
      </c>
      <c r="CM11" s="170">
        <f>IFERROR(VLOOKUP($B11-IF(CompareVer="LY",1,0) &amp; $C11 &amp;CM$4,tblForecast,CM$2,FALSE),0)</f>
        <v>0</v>
      </c>
      <c r="CN11" s="177">
        <f t="shared" ref="CN11:CN74" si="31">IFERROR(CJ11/CM11-1,)</f>
        <v>0</v>
      </c>
      <c r="CO11" s="178">
        <f t="shared" ref="CO11:CP26" si="32">IFERROR(CE11/BX11,0)</f>
        <v>0</v>
      </c>
      <c r="CP11" s="223">
        <f t="shared" si="32"/>
        <v>0</v>
      </c>
      <c r="CQ11" s="177">
        <f t="shared" ref="CQ11:CQ74" si="33">IFERROR(CL11/CP11-1,)</f>
        <v>0</v>
      </c>
      <c r="CR11" s="178">
        <f>IFERROR(CL11/BX11,0)</f>
        <v>0</v>
      </c>
      <c r="CS11" s="223">
        <f t="shared" ref="CS11:CS74" si="34">IFERROR(CM11/BY11,0)</f>
        <v>0</v>
      </c>
      <c r="CT11" s="177">
        <f t="shared" ref="CT11:CT12" si="35">IFERROR(CO11/CS11-1,)</f>
        <v>0</v>
      </c>
      <c r="CW11" s="227">
        <f>IFERROR(VLOOKUP($B11 &amp; $C11&amp;CompareVer,tblForecast,CW$2,FALSE),0)</f>
        <v>0</v>
      </c>
      <c r="CX11" s="92">
        <f>IFERROR(VLOOKUP($B11-IF(CompareVer="LY",1,0) &amp; $C11 &amp;CX$4,tblForecast,CX$2,FALSE),0)</f>
        <v>-2</v>
      </c>
      <c r="CY11" s="91">
        <f t="shared" ref="CY11:CY74" si="36">IFERROR(CW11/CX11-1,)</f>
        <v>-1</v>
      </c>
      <c r="CZ11" s="278">
        <f>IFERROR(VLOOKUP(Brand&amp;Channel&amp;Country&amp;$C11,tblDiscount,6,FALSE),0)</f>
        <v>0.3</v>
      </c>
      <c r="DA11" s="279">
        <f>(1-CZ11)*DB11</f>
        <v>17.513999999999999</v>
      </c>
      <c r="DB11" s="279">
        <f>IFERROR(VLOOKUP(Brand&amp;Country &amp; Channel &amp; FC,tblFCSettings,8,FALSE),0)</f>
        <v>25.02</v>
      </c>
      <c r="DC11" s="280">
        <f>IFERROR(VLOOKUP(Brand&amp;Country &amp; Channel&amp;FC,tblFCSettings,9,FALSE),0)</f>
        <v>4.16</v>
      </c>
    </row>
    <row r="12" spans="1:107" s="44" customFormat="1" x14ac:dyDescent="0.25">
      <c r="A12" s="44" t="s">
        <v>335</v>
      </c>
      <c r="B12" s="44">
        <v>2018</v>
      </c>
      <c r="C12" s="88">
        <v>2</v>
      </c>
      <c r="D12" s="97">
        <f t="shared" ref="D12:D14" si="37">G12*H12</f>
        <v>9286858.3831999823</v>
      </c>
      <c r="E12" s="202">
        <f t="shared" ref="E12:E14" si="38">IFERROR(D12*F12,0)</f>
        <v>6383244.4163999828</v>
      </c>
      <c r="F12" s="182">
        <f>IF(H12&lt;&gt;0,1-I12/H12,0)</f>
        <v>0.68734163406080728</v>
      </c>
      <c r="G12" s="176">
        <f t="shared" si="4"/>
        <v>293123</v>
      </c>
      <c r="H12" s="203">
        <f t="shared" si="4"/>
        <v>31.6824622537296</v>
      </c>
      <c r="I12" s="203">
        <f t="shared" si="4"/>
        <v>9.9057868771812494</v>
      </c>
      <c r="J12" s="176">
        <f>IFERROR(VLOOKUP($B12 &amp; $C12&amp;J$4&amp;$A12,tblForecast,J$2,FALSE),0)+IFERROR(VLOOKUP($B12 &amp; $C12 &amp; J$4 &amp; $A12,tblForecast,J$2+1,FALSE),0)</f>
        <v>8735010</v>
      </c>
      <c r="K12" s="300">
        <f>IFERROR(VLOOKUP($B12 &amp; $C12&amp;K$4&amp;$A12,tblForecast,K$2+2,FALSE),0)</f>
        <v>930840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si="5"/>
        <v>0</v>
      </c>
      <c r="P12" s="91">
        <f t="shared" ref="P12:P75" si="39">IFERROR(L12/O12-1,)</f>
        <v>0</v>
      </c>
      <c r="Q12" s="238">
        <f>IFERROR(VLOOKUP($B12 &amp; $C12&amp;CompareVer,tblForecast,Q$2,FALSE),0)</f>
        <v>0</v>
      </c>
      <c r="R12" s="240">
        <f t="shared" si="6"/>
        <v>0</v>
      </c>
      <c r="S12" s="240">
        <f t="shared" si="6"/>
        <v>0</v>
      </c>
      <c r="T12" s="240">
        <f>IFERROR(VLOOKUP($B12-IF(CompareVer="LY",1,0) &amp; $C12 &amp;T$4,tblForecast,T$2,FALSE),0)</f>
        <v>0</v>
      </c>
      <c r="U12" s="91">
        <f t="shared" si="7"/>
        <v>0</v>
      </c>
      <c r="V12" s="245">
        <f t="shared" ref="V12:W14" si="40">IFERROR(IF(Q11&lt;&gt;0,Q12/Q11,0),0)</f>
        <v>0</v>
      </c>
      <c r="W12" s="331">
        <f t="shared" si="40"/>
        <v>0</v>
      </c>
      <c r="X12" s="246">
        <f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si="8"/>
        <v>0</v>
      </c>
      <c r="AC12" s="91">
        <f t="shared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si="10"/>
        <v>0</v>
      </c>
      <c r="AH12" s="104">
        <f>IFERROR(VLOOKUP($B12 &amp; $C12&amp;CompareVer,tblForecast,AH$2,FALSE),0)</f>
        <v>0</v>
      </c>
      <c r="AI12" s="94">
        <f t="shared" si="11"/>
        <v>0</v>
      </c>
      <c r="AJ12" s="94">
        <f t="shared" si="11"/>
        <v>0</v>
      </c>
      <c r="AK12" s="94">
        <f>IFERROR(VLOOKUP($B12-IF(CompareVer="LY",1,0) &amp; $C12 &amp;AK$4,tblForecast,AK$2,FALSE),0)</f>
        <v>0</v>
      </c>
      <c r="AL12" s="91">
        <f t="shared" si="12"/>
        <v>0</v>
      </c>
      <c r="AM12" s="104">
        <f>IFERROR(VLOOKUP($B12 &amp; $C12&amp;CompareVer,tblForecast,AM$2,FALSE),0)</f>
        <v>0</v>
      </c>
      <c r="AN12" s="94">
        <f t="shared" si="13"/>
        <v>0</v>
      </c>
      <c r="AO12" s="94">
        <f t="shared" si="13"/>
        <v>0</v>
      </c>
      <c r="AP12" s="94">
        <f>IFERROR(VLOOKUP($B12-IF(CompareVer="LY",1,0) &amp; $C12 &amp;AP$4,tblForecast,AP$2,FALSE),0)</f>
        <v>0</v>
      </c>
      <c r="AQ12" s="91">
        <f t="shared" si="14"/>
        <v>0</v>
      </c>
      <c r="AR12" s="104">
        <f>IFERROR(VLOOKUP($B12 &amp; $C12&amp;CompareVer,tblForecast,AR$2,FALSE),0)</f>
        <v>0</v>
      </c>
      <c r="AS12" s="94">
        <f t="shared" si="15"/>
        <v>0</v>
      </c>
      <c r="AT12" s="94">
        <f t="shared" si="15"/>
        <v>0</v>
      </c>
      <c r="AU12" s="94">
        <f>IFERROR(VLOOKUP($B12-IF(CompareVer="LY",1,0) &amp; $C12 &amp;AU$4,tblForecast,AU$2,FALSE),0)</f>
        <v>0</v>
      </c>
      <c r="AV12" s="91">
        <f t="shared" si="16"/>
        <v>0</v>
      </c>
      <c r="AW12" s="181">
        <f t="shared" si="17"/>
        <v>0</v>
      </c>
      <c r="AX12" s="182">
        <f t="shared" si="17"/>
        <v>0</v>
      </c>
      <c r="AY12" s="182">
        <f t="shared" si="17"/>
        <v>0</v>
      </c>
      <c r="AZ12" s="182">
        <f t="shared" si="17"/>
        <v>0</v>
      </c>
      <c r="BA12" s="227">
        <f t="shared" ref="BA12:BA14" si="41">CW12+BF12</f>
        <v>0</v>
      </c>
      <c r="BB12" s="228">
        <f>IF(IFERROR(VLOOKUP($B12 &amp; $C12&amp;BB$4,tblForecast,BB$2,FALSE),0)=0,BA12,IFERROR(VLOOKUP($B12 &amp; $C12&amp;BB$4,tblForecast,BB$2,FALSE),0))</f>
        <v>0</v>
      </c>
      <c r="BC12" s="228">
        <f t="shared" si="18"/>
        <v>0</v>
      </c>
      <c r="BD12" s="228">
        <f t="shared" ref="BD12:BD14" si="42">CX12+BG12</f>
        <v>-2</v>
      </c>
      <c r="BE12" s="177">
        <f t="shared" si="19"/>
        <v>-1</v>
      </c>
      <c r="BF12" s="228">
        <f>IFERROR(VLOOKUP($B12 &amp; $C12&amp;CompareVer,tblForecast,BF$2,FALSE),0)</f>
        <v>0</v>
      </c>
      <c r="BG12" s="228">
        <f>IFERROR(VLOOKUP($B12-IF(CompareVer="LY",1,0) &amp; $C12 &amp;BG$4,tblForecast,BG$2,FALSE),0)</f>
        <v>0</v>
      </c>
      <c r="BH12" s="179">
        <f>IF(Q12&lt;&gt;0,BA12/Q12,0)</f>
        <v>0</v>
      </c>
      <c r="BI12" s="183">
        <f>IF(T12&lt;&gt;0,BD12/T12,0)</f>
        <v>0</v>
      </c>
      <c r="BJ12" s="184">
        <f t="shared" si="20"/>
        <v>0</v>
      </c>
      <c r="BK12" s="96">
        <f t="shared" si="21"/>
        <v>0</v>
      </c>
      <c r="BL12" s="227">
        <f>IFERROR(VLOOKUP($B12 &amp; $C12&amp;CompareVer,tblForecast,BL$2,FALSE),0)</f>
        <v>0</v>
      </c>
      <c r="BM12" s="228">
        <f>IFERROR(VLOOKUP($B12-IF(CompareVer="LY",1,0) &amp; $C12 &amp;BM$4,tblForecast,BM$2,FALSE),0)</f>
        <v>0</v>
      </c>
      <c r="BN12" s="227">
        <f>IFERROR(VLOOKUP($B12 &amp; $C12&amp;CompareVer,tblForecast,BN$2,FALSE),0)</f>
        <v>0</v>
      </c>
      <c r="BO12" s="228">
        <f>IFERROR(VLOOKUP($B12-IF(CompareVer="LY",1,0) &amp; $C12 &amp;BO$4,tblForecast,BO$2,FALSE),0)</f>
        <v>0</v>
      </c>
      <c r="BP12" s="227">
        <f>IFERROR(VLOOKUP($B12 &amp; $C12&amp;CompareVer,tblForecast,BP$2,FALSE),0)</f>
        <v>0</v>
      </c>
      <c r="BQ12" s="228">
        <f>IFERROR(VLOOKUP($B12-IF(CompareVer="LY",1,0) &amp; $C12 &amp;BQ$4,tblForecast,BQ$2,FALSE),0)</f>
        <v>0</v>
      </c>
      <c r="BR12" s="227">
        <f t="shared" ref="BR12:BS75" si="43">BN12-BP12</f>
        <v>0</v>
      </c>
      <c r="BS12" s="228">
        <f t="shared" si="22"/>
        <v>0</v>
      </c>
      <c r="BT12" s="227">
        <f t="shared" si="23"/>
        <v>0</v>
      </c>
      <c r="BU12" s="228">
        <f t="shared" si="23"/>
        <v>0</v>
      </c>
      <c r="BV12" s="228">
        <f>IFERROR(VLOOKUP($B12 &amp; $C12&amp;CompareVer,tblForecast,BV$2,FALSE),0)</f>
        <v>0</v>
      </c>
      <c r="BW12" s="228">
        <f t="shared" si="24"/>
        <v>0</v>
      </c>
      <c r="BX12" s="228">
        <f t="shared" si="24"/>
        <v>0</v>
      </c>
      <c r="BY12" s="176">
        <f>IFERROR(VLOOKUP($B12-IF(CompareVer="LY",1,0) &amp; $C12 &amp;BY$4,tblForecast,BY$2,FALSE),0)</f>
        <v>0</v>
      </c>
      <c r="BZ12" s="177">
        <f t="shared" si="25"/>
        <v>0</v>
      </c>
      <c r="CA12" s="90">
        <f t="shared" si="26"/>
        <v>0</v>
      </c>
      <c r="CB12" s="90">
        <f t="shared" si="26"/>
        <v>0</v>
      </c>
      <c r="CC12" s="90">
        <f>IFERROR(VLOOKUP($B12 &amp; $C12&amp;CompareVer,tblForecast,CC$2,FALSE),0)</f>
        <v>0</v>
      </c>
      <c r="CD12" s="90">
        <f t="shared" si="27"/>
        <v>0</v>
      </c>
      <c r="CE12" s="90">
        <f t="shared" si="27"/>
        <v>0</v>
      </c>
      <c r="CF12" s="90">
        <f>IFERROR(VLOOKUP($B12-IF(CompareVer="LY",1,0) &amp; $C12 &amp;CF$4,tblForecast,CF$2,FALSE),0)</f>
        <v>0</v>
      </c>
      <c r="CG12" s="177">
        <f t="shared" si="28"/>
        <v>0</v>
      </c>
      <c r="CH12" s="90">
        <f t="shared" si="29"/>
        <v>0</v>
      </c>
      <c r="CI12" s="90">
        <f t="shared" si="29"/>
        <v>0</v>
      </c>
      <c r="CJ12" s="90">
        <f>IFERROR(VLOOKUP($B12 &amp; $C12&amp;CompareVer,tblForecast,CJ$2,FALSE),0)</f>
        <v>0</v>
      </c>
      <c r="CK12" s="90">
        <f t="shared" si="30"/>
        <v>0</v>
      </c>
      <c r="CL12" s="90">
        <f t="shared" si="30"/>
        <v>0</v>
      </c>
      <c r="CM12" s="90">
        <f>IFERROR(VLOOKUP($B12-IF(CompareVer="LY",1,0) &amp; $C12 &amp;CM$4,tblForecast,CM$2,FALSE),0)</f>
        <v>0</v>
      </c>
      <c r="CN12" s="177">
        <f t="shared" si="31"/>
        <v>0</v>
      </c>
      <c r="CO12" s="178">
        <f t="shared" si="32"/>
        <v>0</v>
      </c>
      <c r="CP12" s="223">
        <f t="shared" si="32"/>
        <v>0</v>
      </c>
      <c r="CQ12" s="177">
        <f t="shared" si="33"/>
        <v>0</v>
      </c>
      <c r="CR12" s="178">
        <f t="shared" ref="CR12:CS75" si="44">IFERROR(CL12/BX12,0)</f>
        <v>0</v>
      </c>
      <c r="CS12" s="223">
        <f t="shared" si="34"/>
        <v>0</v>
      </c>
      <c r="CT12" s="177">
        <f t="shared" si="35"/>
        <v>0</v>
      </c>
      <c r="CW12" s="103">
        <f>IFERROR(VLOOKUP($B12 &amp; $C12&amp;CompareVer,tblForecast,CW$2,FALSE),0)</f>
        <v>0</v>
      </c>
      <c r="CX12" s="92">
        <f>IFERROR(VLOOKUP($B12-IF(CompareVer="LY",1,0) &amp; $C12 &amp;CX$4,tblForecast,CX$2,FALSE),0)</f>
        <v>-2</v>
      </c>
      <c r="CY12" s="91">
        <f t="shared" si="36"/>
        <v>-1</v>
      </c>
      <c r="CZ12" s="278">
        <f>IFERROR(VLOOKUP(Brand&amp;Channel&amp;Country&amp;$C12,tblDiscount,6,FALSE),0)</f>
        <v>0.3</v>
      </c>
      <c r="DA12" s="279">
        <f>(1-CZ12)*DB12</f>
        <v>17.513999999999999</v>
      </c>
      <c r="DB12" s="279">
        <f>IFERROR(VLOOKUP(Brand&amp;Country &amp; Channel &amp; FC,tblFCSettings,8,FALSE),0)</f>
        <v>25.02</v>
      </c>
      <c r="DC12" s="280">
        <f>IFERROR(VLOOKUP(Brand&amp;Country &amp; Channel&amp;FC,tblFCSettings,9,FALSE),0)</f>
        <v>4.16</v>
      </c>
    </row>
    <row r="13" spans="1:107" s="44" customFormat="1" x14ac:dyDescent="0.25">
      <c r="A13" s="44" t="s">
        <v>335</v>
      </c>
      <c r="B13" s="44">
        <v>2018</v>
      </c>
      <c r="C13" s="88">
        <v>3</v>
      </c>
      <c r="D13" s="97">
        <f t="shared" si="37"/>
        <v>17693591.118399989</v>
      </c>
      <c r="E13" s="202">
        <f t="shared" si="38"/>
        <v>14301687.505199989</v>
      </c>
      <c r="F13" s="182">
        <f t="shared" ref="F13:F76" si="45">IF(H13&lt;&gt;0,1-I13/H13,0)</f>
        <v>0.8082976151928436</v>
      </c>
      <c r="G13" s="176">
        <f t="shared" si="4"/>
        <v>370224</v>
      </c>
      <c r="H13" s="203">
        <f t="shared" si="4"/>
        <v>47.791583253381702</v>
      </c>
      <c r="I13" s="203">
        <f t="shared" si="4"/>
        <v>9.1617604833830306</v>
      </c>
      <c r="J13" s="176">
        <f>IFERROR(VLOOKUP($B13 &amp; $C13&amp;J$4&amp;$A13,tblForecast,J$2,FALSE),0)+IFERROR(VLOOKUP($B13 &amp; $C13 &amp; J$4 &amp; $A13,tblForecast,J$2+1,FALSE),0)</f>
        <v>8446460</v>
      </c>
      <c r="K13" s="300">
        <f>IFERROR(VLOOKUP($B13 &amp; $C13&amp;K$4&amp;$A13,tblForecast,K$2+2,FALSE),0)</f>
        <v>107688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si="5"/>
        <v>0</v>
      </c>
      <c r="P13" s="91">
        <f t="shared" si="39"/>
        <v>0</v>
      </c>
      <c r="Q13" s="238">
        <f>IFERROR(VLOOKUP($B13 &amp; $C13&amp;CompareVer,tblForecast,Q$2,FALSE),0)</f>
        <v>0</v>
      </c>
      <c r="R13" s="240">
        <f t="shared" si="6"/>
        <v>0</v>
      </c>
      <c r="S13" s="240">
        <f t="shared" si="6"/>
        <v>0</v>
      </c>
      <c r="T13" s="240">
        <f>IFERROR(VLOOKUP($B13-IF(CompareVer="LY",1,0) &amp; $C13 &amp;T$4,tblForecast,T$2,FALSE),0)</f>
        <v>0</v>
      </c>
      <c r="U13" s="91">
        <f t="shared" si="7"/>
        <v>0</v>
      </c>
      <c r="V13" s="245">
        <f t="shared" si="40"/>
        <v>0</v>
      </c>
      <c r="W13" s="331">
        <f t="shared" si="40"/>
        <v>0</v>
      </c>
      <c r="X13" s="246">
        <f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si="8"/>
        <v>0</v>
      </c>
      <c r="AC13" s="91">
        <f t="shared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si="10"/>
        <v>0</v>
      </c>
      <c r="AH13" s="104">
        <f>IFERROR(VLOOKUP($B13 &amp; $C13&amp;CompareVer,tblForecast,AH$2,FALSE),0)</f>
        <v>0</v>
      </c>
      <c r="AI13" s="94">
        <f t="shared" si="11"/>
        <v>0</v>
      </c>
      <c r="AJ13" s="94">
        <f t="shared" si="11"/>
        <v>0</v>
      </c>
      <c r="AK13" s="94">
        <f>IFERROR(VLOOKUP($B13-IF(CompareVer="LY",1,0) &amp; $C13 &amp;AK$4,tblForecast,AK$2,FALSE),0)</f>
        <v>0</v>
      </c>
      <c r="AL13" s="91">
        <f t="shared" si="12"/>
        <v>0</v>
      </c>
      <c r="AM13" s="104">
        <f>IFERROR(VLOOKUP($B13 &amp; $C13&amp;CompareVer,tblForecast,AM$2,FALSE),0)</f>
        <v>0</v>
      </c>
      <c r="AN13" s="94">
        <f t="shared" si="13"/>
        <v>0</v>
      </c>
      <c r="AO13" s="94">
        <f t="shared" si="13"/>
        <v>0</v>
      </c>
      <c r="AP13" s="94">
        <f>IFERROR(VLOOKUP($B13-IF(CompareVer="LY",1,0) &amp; $C13 &amp;AP$4,tblForecast,AP$2,FALSE),0)</f>
        <v>0</v>
      </c>
      <c r="AQ13" s="91">
        <f t="shared" si="14"/>
        <v>0</v>
      </c>
      <c r="AR13" s="104">
        <f>IFERROR(VLOOKUP($B13 &amp; $C13&amp;CompareVer,tblForecast,AR$2,FALSE),0)</f>
        <v>0</v>
      </c>
      <c r="AS13" s="94">
        <f t="shared" si="15"/>
        <v>0</v>
      </c>
      <c r="AT13" s="94">
        <f t="shared" si="15"/>
        <v>0</v>
      </c>
      <c r="AU13" s="94">
        <f>IFERROR(VLOOKUP($B13-IF(CompareVer="LY",1,0) &amp; $C13 &amp;AU$4,tblForecast,AU$2,FALSE),0)</f>
        <v>0</v>
      </c>
      <c r="AV13" s="91">
        <f t="shared" si="16"/>
        <v>0</v>
      </c>
      <c r="AW13" s="181">
        <f t="shared" si="17"/>
        <v>0</v>
      </c>
      <c r="AX13" s="182">
        <f t="shared" si="17"/>
        <v>0</v>
      </c>
      <c r="AY13" s="182">
        <f t="shared" si="17"/>
        <v>0</v>
      </c>
      <c r="AZ13" s="182">
        <f t="shared" si="17"/>
        <v>0</v>
      </c>
      <c r="BA13" s="227">
        <f t="shared" si="41"/>
        <v>0</v>
      </c>
      <c r="BB13" s="228">
        <f>IF(IFERROR(VLOOKUP($B13 &amp; $C13&amp;BB$4,tblForecast,BB$2,FALSE),0)=0,BA13,IFERROR(VLOOKUP($B13 &amp; $C13&amp;BB$4,tblForecast,BB$2,FALSE),0))</f>
        <v>0</v>
      </c>
      <c r="BC13" s="228">
        <f t="shared" si="18"/>
        <v>0</v>
      </c>
      <c r="BD13" s="228">
        <f t="shared" si="42"/>
        <v>-2</v>
      </c>
      <c r="BE13" s="177">
        <f t="shared" si="19"/>
        <v>-1</v>
      </c>
      <c r="BF13" s="228">
        <f>IFERROR(VLOOKUP($B13 &amp; $C13&amp;CompareVer,tblForecast,BF$2,FALSE),0)</f>
        <v>0</v>
      </c>
      <c r="BG13" s="228">
        <f>IFERROR(VLOOKUP($B13-IF(CompareVer="LY",1,0) &amp; $C13 &amp;BG$4,tblForecast,BG$2,FALSE),0)</f>
        <v>0</v>
      </c>
      <c r="BH13" s="179">
        <f>IF(Q13&lt;&gt;0,BA13/Q13,0)</f>
        <v>0</v>
      </c>
      <c r="BI13" s="183">
        <f>IF(T13&lt;&gt;0,BD13/T13,0)</f>
        <v>0</v>
      </c>
      <c r="BJ13" s="184">
        <f t="shared" si="20"/>
        <v>0</v>
      </c>
      <c r="BK13" s="96">
        <f t="shared" si="21"/>
        <v>0</v>
      </c>
      <c r="BL13" s="227">
        <f>IFERROR(VLOOKUP($B13 &amp; $C13&amp;CompareVer,tblForecast,BL$2,FALSE),0)</f>
        <v>0</v>
      </c>
      <c r="BM13" s="228">
        <f>IFERROR(VLOOKUP($B13-IF(CompareVer="LY",1,0) &amp; $C13 &amp;BM$4,tblForecast,BM$2,FALSE),0)</f>
        <v>0</v>
      </c>
      <c r="BN13" s="227">
        <f>IFERROR(VLOOKUP($B13 &amp; $C13&amp;CompareVer,tblForecast,BN$2,FALSE),0)</f>
        <v>0</v>
      </c>
      <c r="BO13" s="228">
        <f>IFERROR(VLOOKUP($B13-IF(CompareVer="LY",1,0) &amp; $C13 &amp;BO$4,tblForecast,BO$2,FALSE),0)</f>
        <v>0</v>
      </c>
      <c r="BP13" s="227">
        <f>IFERROR(VLOOKUP($B13 &amp; $C13&amp;CompareVer,tblForecast,BP$2,FALSE),0)</f>
        <v>0</v>
      </c>
      <c r="BQ13" s="228">
        <f>IFERROR(VLOOKUP($B13-IF(CompareVer="LY",1,0) &amp; $C13 &amp;BQ$4,tblForecast,BQ$2,FALSE),0)</f>
        <v>0</v>
      </c>
      <c r="BR13" s="227">
        <f t="shared" si="43"/>
        <v>0</v>
      </c>
      <c r="BS13" s="228">
        <f t="shared" si="22"/>
        <v>0</v>
      </c>
      <c r="BT13" s="227">
        <f t="shared" si="23"/>
        <v>0</v>
      </c>
      <c r="BU13" s="228">
        <f t="shared" si="23"/>
        <v>0</v>
      </c>
      <c r="BV13" s="228">
        <f>IFERROR(VLOOKUP($B13 &amp; $C13&amp;CompareVer,tblForecast,BV$2,FALSE),0)</f>
        <v>0</v>
      </c>
      <c r="BW13" s="228">
        <f t="shared" si="24"/>
        <v>0</v>
      </c>
      <c r="BX13" s="228">
        <f t="shared" si="24"/>
        <v>0</v>
      </c>
      <c r="BY13" s="176">
        <f>IFERROR(VLOOKUP($B13-IF(CompareVer="LY",1,0) &amp; $C13 &amp;BY$4,tblForecast,BY$2,FALSE),0)</f>
        <v>0</v>
      </c>
      <c r="BZ13" s="177">
        <f t="shared" si="25"/>
        <v>0</v>
      </c>
      <c r="CA13" s="90">
        <f t="shared" si="26"/>
        <v>0</v>
      </c>
      <c r="CB13" s="90">
        <f t="shared" si="26"/>
        <v>0</v>
      </c>
      <c r="CC13" s="90">
        <f>IFERROR(VLOOKUP($B13 &amp; $C13&amp;CompareVer,tblForecast,CC$2,FALSE),0)</f>
        <v>0</v>
      </c>
      <c r="CD13" s="90">
        <f t="shared" si="27"/>
        <v>0</v>
      </c>
      <c r="CE13" s="90">
        <f t="shared" si="27"/>
        <v>0</v>
      </c>
      <c r="CF13" s="90">
        <f>IFERROR(VLOOKUP($B13-IF(CompareVer="LY",1,0) &amp; $C13 &amp;CF$4,tblForecast,CF$2,FALSE),0)</f>
        <v>0</v>
      </c>
      <c r="CG13" s="177">
        <f t="shared" si="28"/>
        <v>0</v>
      </c>
      <c r="CH13" s="90">
        <f t="shared" si="29"/>
        <v>0</v>
      </c>
      <c r="CI13" s="90">
        <f t="shared" si="29"/>
        <v>0</v>
      </c>
      <c r="CJ13" s="90">
        <f>IFERROR(VLOOKUP($B13 &amp; $C13&amp;CompareVer,tblForecast,CJ$2,FALSE),0)</f>
        <v>0</v>
      </c>
      <c r="CK13" s="90">
        <f t="shared" si="30"/>
        <v>0</v>
      </c>
      <c r="CL13" s="90">
        <f t="shared" si="30"/>
        <v>0</v>
      </c>
      <c r="CM13" s="90">
        <f>IFERROR(VLOOKUP($B13-IF(CompareVer="LY",1,0) &amp; $C13 &amp;CM$4,tblForecast,CM$2,FALSE),0)</f>
        <v>0</v>
      </c>
      <c r="CN13" s="177">
        <f t="shared" si="31"/>
        <v>0</v>
      </c>
      <c r="CO13" s="178">
        <f>IFERROR(CE13/BX13,0)</f>
        <v>0</v>
      </c>
      <c r="CP13" s="223">
        <f t="shared" si="32"/>
        <v>0</v>
      </c>
      <c r="CQ13" s="177">
        <f t="shared" si="33"/>
        <v>0</v>
      </c>
      <c r="CR13" s="178">
        <f t="shared" si="44"/>
        <v>0</v>
      </c>
      <c r="CS13" s="223">
        <f t="shared" si="34"/>
        <v>0</v>
      </c>
      <c r="CT13" s="177">
        <f>IFERROR(CO13/CS13-1,)</f>
        <v>0</v>
      </c>
      <c r="CW13" s="103">
        <f>IFERROR(VLOOKUP($B13 &amp; $C13&amp;CompareVer,tblForecast,CW$2,FALSE),0)</f>
        <v>0</v>
      </c>
      <c r="CX13" s="92">
        <f>IFERROR(VLOOKUP($B13-IF(CompareVer="LY",1,0) &amp; $C13 &amp;CX$4,tblForecast,CX$2,FALSE),0)</f>
        <v>-2</v>
      </c>
      <c r="CY13" s="91">
        <f t="shared" si="36"/>
        <v>-1</v>
      </c>
      <c r="CZ13" s="278">
        <f>IFERROR(VLOOKUP(Brand&amp;Channel&amp;Country&amp;$C13,tblDiscount,6,FALSE),0)</f>
        <v>0.3</v>
      </c>
      <c r="DA13" s="279">
        <f>(1-CZ13)*DB13</f>
        <v>17.513999999999999</v>
      </c>
      <c r="DB13" s="279">
        <f>IFERROR(VLOOKUP(Brand&amp;Country &amp; Channel &amp; FC,tblFCSettings,8,FALSE),0)</f>
        <v>25.02</v>
      </c>
      <c r="DC13" s="280">
        <f>IFERROR(VLOOKUP(Brand&amp;Country &amp; Channel&amp;FC,tblFCSettings,9,FALSE),0)</f>
        <v>4.16</v>
      </c>
    </row>
    <row r="14" spans="1:107" s="44" customFormat="1" ht="16.5" thickBot="1" x14ac:dyDescent="0.3">
      <c r="A14" s="44" t="s">
        <v>335</v>
      </c>
      <c r="B14" s="44">
        <v>2018</v>
      </c>
      <c r="C14" s="88">
        <v>4</v>
      </c>
      <c r="D14" s="98">
        <f t="shared" si="37"/>
        <v>23821594.139199983</v>
      </c>
      <c r="E14" s="202">
        <f t="shared" si="38"/>
        <v>20329255.414599985</v>
      </c>
      <c r="F14" s="182">
        <f t="shared" si="45"/>
        <v>0.85339609498034696</v>
      </c>
      <c r="G14" s="176">
        <f t="shared" si="4"/>
        <v>444649</v>
      </c>
      <c r="H14" s="203">
        <f t="shared" si="4"/>
        <v>53.573929412188001</v>
      </c>
      <c r="I14" s="203">
        <f t="shared" si="4"/>
        <v>7.8541472590740096</v>
      </c>
      <c r="J14" s="176">
        <f>IFERROR(VLOOKUP($B14 &amp; $C14&amp;J$4&amp;$A14,tblForecast,J$2,FALSE),0)+IFERROR(VLOOKUP($B14 &amp; $C14 &amp; J$4 &amp; $A14,tblForecast,J$2+1,FALSE),0)</f>
        <v>9130559</v>
      </c>
      <c r="K14" s="300">
        <f>IFERROR(VLOOKUP($B14 &amp; $C14&amp;K$4&amp;$A14,tblForecast,K$2+2,FALSE),0)</f>
        <v>1403720</v>
      </c>
      <c r="L14" s="171">
        <f t="shared" si="5"/>
        <v>0</v>
      </c>
      <c r="M14" s="171">
        <f t="shared" si="5"/>
        <v>0</v>
      </c>
      <c r="N14" s="171">
        <f t="shared" si="5"/>
        <v>0</v>
      </c>
      <c r="O14" s="171">
        <f t="shared" si="5"/>
        <v>0</v>
      </c>
      <c r="P14" s="91">
        <f t="shared" si="39"/>
        <v>0</v>
      </c>
      <c r="Q14" s="238">
        <f>IFERROR(VLOOKUP($B14 &amp; $C14&amp;CompareVer,tblForecast,Q$2,FALSE),0)</f>
        <v>0</v>
      </c>
      <c r="R14" s="241">
        <f t="shared" si="6"/>
        <v>0</v>
      </c>
      <c r="S14" s="241">
        <f t="shared" si="6"/>
        <v>0</v>
      </c>
      <c r="T14" s="240">
        <f>IFERROR(VLOOKUP($B14-IF(CompareVer="LY",1,0) &amp; $C14 &amp;T$4,tblForecast,T$2,FALSE),0)</f>
        <v>0</v>
      </c>
      <c r="U14" s="91">
        <f t="shared" si="7"/>
        <v>0</v>
      </c>
      <c r="V14" s="245">
        <f t="shared" si="40"/>
        <v>0</v>
      </c>
      <c r="W14" s="331">
        <f t="shared" si="40"/>
        <v>0</v>
      </c>
      <c r="X14" s="246">
        <f>IFERROR(IF(T13&lt;&gt;0,T14/T13,0),0)</f>
        <v>0</v>
      </c>
      <c r="Y14" s="98">
        <f t="shared" si="8"/>
        <v>0</v>
      </c>
      <c r="Z14" s="171">
        <f t="shared" si="8"/>
        <v>0</v>
      </c>
      <c r="AA14" s="171">
        <f t="shared" si="8"/>
        <v>0</v>
      </c>
      <c r="AB14" s="171">
        <f t="shared" si="8"/>
        <v>0</v>
      </c>
      <c r="AC14" s="91">
        <f t="shared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si="10"/>
        <v>0</v>
      </c>
      <c r="AH14" s="104">
        <f>IFERROR(VLOOKUP($B14 &amp; $C14&amp;CompareVer,tblForecast,AH$2,FALSE),0)</f>
        <v>0</v>
      </c>
      <c r="AI14" s="94">
        <f t="shared" si="11"/>
        <v>0</v>
      </c>
      <c r="AJ14" s="94">
        <f t="shared" si="11"/>
        <v>0</v>
      </c>
      <c r="AK14" s="94">
        <f>IFERROR(VLOOKUP($B14-IF(CompareVer="LY",1,0) &amp; $C14 &amp;AK$4,tblForecast,AK$2,FALSE),0)</f>
        <v>0</v>
      </c>
      <c r="AL14" s="91">
        <f t="shared" si="12"/>
        <v>0</v>
      </c>
      <c r="AM14" s="104">
        <f>IFERROR(VLOOKUP($B14 &amp; $C14&amp;CompareVer,tblForecast,AM$2,FALSE),0)</f>
        <v>0</v>
      </c>
      <c r="AN14" s="94">
        <f t="shared" si="13"/>
        <v>0</v>
      </c>
      <c r="AO14" s="94">
        <f t="shared" si="13"/>
        <v>0</v>
      </c>
      <c r="AP14" s="94">
        <f>IFERROR(VLOOKUP($B14-IF(CompareVer="LY",1,0) &amp; $C14 &amp;AP$4,tblForecast,AP$2,FALSE),0)</f>
        <v>0</v>
      </c>
      <c r="AQ14" s="91">
        <f t="shared" si="14"/>
        <v>0</v>
      </c>
      <c r="AR14" s="104">
        <f>IFERROR(VLOOKUP($B14 &amp; $C14&amp;CompareVer,tblForecast,AR$2,FALSE),0)</f>
        <v>0</v>
      </c>
      <c r="AS14" s="94">
        <f t="shared" si="15"/>
        <v>0</v>
      </c>
      <c r="AT14" s="94">
        <f t="shared" si="15"/>
        <v>0</v>
      </c>
      <c r="AU14" s="94">
        <f>IFERROR(VLOOKUP($B14-IF(CompareVer="LY",1,0) &amp; $C14 &amp;AU$4,tblForecast,AU$2,FALSE),0)</f>
        <v>0</v>
      </c>
      <c r="AV14" s="91">
        <f t="shared" si="16"/>
        <v>0</v>
      </c>
      <c r="AW14" s="181">
        <f t="shared" si="17"/>
        <v>0</v>
      </c>
      <c r="AX14" s="182">
        <f t="shared" si="17"/>
        <v>0</v>
      </c>
      <c r="AY14" s="182">
        <f t="shared" si="17"/>
        <v>0</v>
      </c>
      <c r="AZ14" s="182">
        <f t="shared" si="17"/>
        <v>0</v>
      </c>
      <c r="BA14" s="227">
        <f t="shared" si="41"/>
        <v>0</v>
      </c>
      <c r="BB14" s="228">
        <f>IF(IFERROR(VLOOKUP($B14 &amp; $C14&amp;BB$4,tblForecast,BB$2,FALSE),0)=0,BA14,IFERROR(VLOOKUP($B14 &amp; $C14&amp;BB$4,tblForecast,BB$2,FALSE),0))</f>
        <v>0</v>
      </c>
      <c r="BC14" s="228">
        <f t="shared" si="18"/>
        <v>0</v>
      </c>
      <c r="BD14" s="228">
        <f t="shared" si="42"/>
        <v>-2</v>
      </c>
      <c r="BE14" s="177">
        <f t="shared" si="19"/>
        <v>-1</v>
      </c>
      <c r="BF14" s="228">
        <f>IFERROR(VLOOKUP($B14 &amp; $C14&amp;CompareVer,tblForecast,BF$2,FALSE),0)</f>
        <v>0</v>
      </c>
      <c r="BG14" s="228">
        <f>IFERROR(VLOOKUP($B14-IF(CompareVer="LY",1,0) &amp; $C14 &amp;BG$4,tblForecast,BG$2,FALSE),0)</f>
        <v>0</v>
      </c>
      <c r="BH14" s="179">
        <f>IF(Q14&lt;&gt;0,BA14/Q14,0)</f>
        <v>0</v>
      </c>
      <c r="BI14" s="183">
        <f>IF(T14&lt;&gt;0,BD14/T14,0)</f>
        <v>0</v>
      </c>
      <c r="BJ14" s="184">
        <f t="shared" si="20"/>
        <v>0</v>
      </c>
      <c r="BK14" s="96">
        <f t="shared" si="21"/>
        <v>0</v>
      </c>
      <c r="BL14" s="227">
        <f>IFERROR(VLOOKUP($B14 &amp; $C14&amp;CompareVer,tblForecast,BL$2,FALSE),0)</f>
        <v>0</v>
      </c>
      <c r="BM14" s="228">
        <f>IFERROR(VLOOKUP($B14-IF(CompareVer="LY",1,0) &amp; $C14 &amp;BM$4,tblForecast,BM$2,FALSE),0)</f>
        <v>0</v>
      </c>
      <c r="BN14" s="227">
        <f>IFERROR(VLOOKUP($B14 &amp; $C14&amp;CompareVer,tblForecast,BN$2,FALSE),0)</f>
        <v>0</v>
      </c>
      <c r="BO14" s="228">
        <f>IFERROR(VLOOKUP($B14-IF(CompareVer="LY",1,0) &amp; $C14 &amp;BO$4,tblForecast,BO$2,FALSE),0)</f>
        <v>0</v>
      </c>
      <c r="BP14" s="227">
        <f>IFERROR(VLOOKUP($B14 &amp; $C14&amp;CompareVer,tblForecast,BP$2,FALSE),0)</f>
        <v>0</v>
      </c>
      <c r="BQ14" s="228">
        <f>IFERROR(VLOOKUP($B14-IF(CompareVer="LY",1,0) &amp; $C14 &amp;BQ$4,tblForecast,BQ$2,FALSE),0)</f>
        <v>0</v>
      </c>
      <c r="BR14" s="227">
        <f t="shared" si="43"/>
        <v>0</v>
      </c>
      <c r="BS14" s="228">
        <f t="shared" si="22"/>
        <v>0</v>
      </c>
      <c r="BT14" s="227">
        <f t="shared" si="23"/>
        <v>0</v>
      </c>
      <c r="BU14" s="228">
        <f t="shared" si="23"/>
        <v>0</v>
      </c>
      <c r="BV14" s="228">
        <f>IFERROR(VLOOKUP($B14 &amp; $C14&amp;CompareVer,tblForecast,BV$2,FALSE),0)</f>
        <v>0</v>
      </c>
      <c r="BW14" s="228">
        <f t="shared" si="24"/>
        <v>0</v>
      </c>
      <c r="BX14" s="228">
        <f t="shared" si="24"/>
        <v>0</v>
      </c>
      <c r="BY14" s="176">
        <f>IFERROR(VLOOKUP($B14-IF(CompareVer="LY",1,0) &amp; $C14 &amp;BY$4,tblForecast,BY$2,FALSE),0)</f>
        <v>0</v>
      </c>
      <c r="BZ14" s="177">
        <f t="shared" si="25"/>
        <v>0</v>
      </c>
      <c r="CA14" s="171">
        <f t="shared" si="26"/>
        <v>0</v>
      </c>
      <c r="CB14" s="171">
        <f t="shared" si="26"/>
        <v>0</v>
      </c>
      <c r="CC14" s="171">
        <f>IFERROR(VLOOKUP($B14 &amp; $C14&amp;CompareVer,tblForecast,CC$2,FALSE),0)</f>
        <v>0</v>
      </c>
      <c r="CD14" s="171">
        <f t="shared" si="27"/>
        <v>0</v>
      </c>
      <c r="CE14" s="171">
        <f t="shared" si="27"/>
        <v>0</v>
      </c>
      <c r="CF14" s="171">
        <f>IFERROR(VLOOKUP($B14-IF(CompareVer="LY",1,0) &amp; $C14 &amp;CF$4,tblForecast,CF$2,FALSE),0)</f>
        <v>0</v>
      </c>
      <c r="CG14" s="177">
        <f t="shared" si="28"/>
        <v>0</v>
      </c>
      <c r="CH14" s="171">
        <f t="shared" si="29"/>
        <v>0</v>
      </c>
      <c r="CI14" s="171">
        <f t="shared" si="29"/>
        <v>0</v>
      </c>
      <c r="CJ14" s="171">
        <f>IFERROR(VLOOKUP($B14 &amp; $C14&amp;CompareVer,tblForecast,CJ$2,FALSE),0)</f>
        <v>0</v>
      </c>
      <c r="CK14" s="171">
        <f t="shared" si="30"/>
        <v>0</v>
      </c>
      <c r="CL14" s="171">
        <f t="shared" si="30"/>
        <v>0</v>
      </c>
      <c r="CM14" s="171">
        <f>IFERROR(VLOOKUP($B14-IF(CompareVer="LY",1,0) &amp; $C14 &amp;CM$4,tblForecast,CM$2,FALSE),0)</f>
        <v>0</v>
      </c>
      <c r="CN14" s="177">
        <f t="shared" si="31"/>
        <v>0</v>
      </c>
      <c r="CO14" s="178">
        <f t="shared" ref="CO14:CP77" si="46">IFERROR(CE14/BX14,0)</f>
        <v>0</v>
      </c>
      <c r="CP14" s="223">
        <f t="shared" si="32"/>
        <v>0</v>
      </c>
      <c r="CQ14" s="177">
        <f t="shared" si="33"/>
        <v>0</v>
      </c>
      <c r="CR14" s="178">
        <f t="shared" si="44"/>
        <v>0</v>
      </c>
      <c r="CS14" s="223">
        <f t="shared" si="34"/>
        <v>0</v>
      </c>
      <c r="CT14" s="177">
        <f t="shared" ref="CT14:CT77" si="47">IFERROR(CO14/CS14-1,)</f>
        <v>0</v>
      </c>
      <c r="CW14" s="103">
        <f>IFERROR(VLOOKUP($B14 &amp; $C14&amp;CompareVer,tblForecast,CW$2,FALSE),0)</f>
        <v>0</v>
      </c>
      <c r="CX14" s="92">
        <f>IFERROR(VLOOKUP($B14-IF(CompareVer="LY",1,0) &amp; $C14 &amp;CX$4,tblForecast,CX$2,FALSE),0)</f>
        <v>-2</v>
      </c>
      <c r="CY14" s="91">
        <f t="shared" si="36"/>
        <v>-1</v>
      </c>
      <c r="CZ14" s="278">
        <f>IFERROR(VLOOKUP(Brand&amp;Channel&amp;Country&amp;$C14,tblDiscount,6,FALSE),0)</f>
        <v>0.3</v>
      </c>
      <c r="DA14" s="279">
        <f>(1-CZ14)*DB14</f>
        <v>17.513999999999999</v>
      </c>
      <c r="DB14" s="279">
        <f>IFERROR(VLOOKUP(Brand&amp;Country &amp; Channel &amp; FC,tblFCSettings,8,FALSE),0)</f>
        <v>25.02</v>
      </c>
      <c r="DC14" s="280">
        <f>IFERROR(VLOOKUP(Brand&amp;Country &amp; Channel&amp;FC,tblFCSettings,9,FALSE),0)</f>
        <v>4.16</v>
      </c>
    </row>
    <row r="15" spans="1:107" s="44" customFormat="1" ht="16.5" thickBot="1" x14ac:dyDescent="0.3">
      <c r="C15" s="253" t="s">
        <v>21</v>
      </c>
      <c r="D15" s="254">
        <f t="shared" ref="D15:E15" si="48">SUM(D11:D14)</f>
        <v>57996809.927999943</v>
      </c>
      <c r="E15" s="255">
        <f t="shared" si="48"/>
        <v>45745968.652299955</v>
      </c>
      <c r="F15" s="256">
        <f t="shared" si="45"/>
        <v>0.78876698061654116</v>
      </c>
      <c r="G15" s="257">
        <f>SUM(G11:G14)</f>
        <v>1337721</v>
      </c>
      <c r="H15" s="258">
        <f>IFERROR(D15/G15,0)</f>
        <v>43.354937186453633</v>
      </c>
      <c r="I15" s="258">
        <f>IFERROR(SUMPRODUCT(I11:I14,G11:G14)/G15,0)</f>
        <v>9.1579942870747999</v>
      </c>
      <c r="J15" s="257">
        <f>SUM(J11:J14)</f>
        <v>34470152</v>
      </c>
      <c r="K15" s="301">
        <f>SUM(K11:K14)</f>
        <v>3272127</v>
      </c>
      <c r="L15" s="259">
        <f>SUM(L11:L14)</f>
        <v>0</v>
      </c>
      <c r="M15" s="259">
        <f t="shared" ref="M15:O15" si="49">SUM(M11:M14)</f>
        <v>0</v>
      </c>
      <c r="N15" s="259">
        <f t="shared" si="49"/>
        <v>0</v>
      </c>
      <c r="O15" s="259">
        <f t="shared" si="49"/>
        <v>0</v>
      </c>
      <c r="P15" s="260">
        <f t="shared" si="39"/>
        <v>0</v>
      </c>
      <c r="Q15" s="261">
        <f>SUM(Q11:Q14)</f>
        <v>0</v>
      </c>
      <c r="R15" s="262">
        <f t="shared" ref="R15:S15" si="50">SUM(R11:R14)</f>
        <v>0</v>
      </c>
      <c r="S15" s="262">
        <f t="shared" si="50"/>
        <v>0</v>
      </c>
      <c r="T15" s="262">
        <f>SUM(T11:T14)</f>
        <v>0</v>
      </c>
      <c r="U15" s="260">
        <f t="shared" si="7"/>
        <v>0</v>
      </c>
      <c r="V15" s="263">
        <f>V14</f>
        <v>0</v>
      </c>
      <c r="W15" s="332">
        <f>W14</f>
        <v>0</v>
      </c>
      <c r="X15" s="264">
        <f>X14</f>
        <v>0</v>
      </c>
      <c r="Y15" s="254">
        <f>SUM(Y11:Y14)</f>
        <v>0</v>
      </c>
      <c r="Z15" s="259">
        <f t="shared" ref="Z15:AB15" si="51">SUM(Z11:Z14)</f>
        <v>0</v>
      </c>
      <c r="AA15" s="259">
        <f t="shared" si="51"/>
        <v>0</v>
      </c>
      <c r="AB15" s="259">
        <f t="shared" si="51"/>
        <v>0</v>
      </c>
      <c r="AC15" s="260">
        <f t="shared" si="9"/>
        <v>0</v>
      </c>
      <c r="AD15" s="265">
        <f>IFERROR(Y15/L15,0)</f>
        <v>0</v>
      </c>
      <c r="AE15" s="266">
        <f>IFERROR(Z15/M15,0)</f>
        <v>0</v>
      </c>
      <c r="AF15" s="266">
        <f>IFERROR(AA15/N15,0)</f>
        <v>0</v>
      </c>
      <c r="AG15" s="266">
        <f>IFERROR(AB15/O15,0)</f>
        <v>0</v>
      </c>
      <c r="AH15" s="267">
        <f>IFERROR(SUMPRODUCT(AH11:AH14,Q11:Q14)/Q15,0)</f>
        <v>0</v>
      </c>
      <c r="AI15" s="268">
        <f>IFERROR(SUMPRODUCT(AI11:AI14,R11:R14)/R15,0)</f>
        <v>0</v>
      </c>
      <c r="AJ15" s="268">
        <f>IFERROR(SUMPRODUCT(AJ11:AJ14,S11:S14)/S15,0)</f>
        <v>0</v>
      </c>
      <c r="AK15" s="268">
        <f>IFERROR(SUMPRODUCT(AK11:AK14,T11:T14)/T15,0)</f>
        <v>0</v>
      </c>
      <c r="AL15" s="260">
        <f t="shared" si="12"/>
        <v>0</v>
      </c>
      <c r="AM15" s="267">
        <f>IF(Q15&lt;&gt;0,L15/Q15,0)</f>
        <v>0</v>
      </c>
      <c r="AN15" s="268">
        <f>IF(R15&lt;&gt;0,M15/R15,0)</f>
        <v>0</v>
      </c>
      <c r="AO15" s="268">
        <f>IF(S15&lt;&gt;0,N15/S15,0)</f>
        <v>0</v>
      </c>
      <c r="AP15" s="268">
        <f>IF(T15&lt;&gt;0,O15/T15,0)</f>
        <v>0</v>
      </c>
      <c r="AQ15" s="260">
        <f t="shared" si="14"/>
        <v>0</v>
      </c>
      <c r="AR15" s="267">
        <f>IFERROR((L15*(1-AD15))/Q15,0)</f>
        <v>0</v>
      </c>
      <c r="AS15" s="268">
        <f>IFERROR((M15*(1-AE15))/R15,0)</f>
        <v>0</v>
      </c>
      <c r="AT15" s="268">
        <f>IFERROR((N15*(1-AF15))/S15,0)</f>
        <v>0</v>
      </c>
      <c r="AU15" s="268">
        <f>IFERROR((O15*(1-AG15))/T15,0)</f>
        <v>0</v>
      </c>
      <c r="AV15" s="260">
        <f t="shared" si="16"/>
        <v>0</v>
      </c>
      <c r="AW15" s="269">
        <f t="shared" si="17"/>
        <v>0</v>
      </c>
      <c r="AX15" s="270">
        <f t="shared" si="17"/>
        <v>0</v>
      </c>
      <c r="AY15" s="270">
        <f t="shared" si="17"/>
        <v>0</v>
      </c>
      <c r="AZ15" s="270">
        <f t="shared" si="17"/>
        <v>0</v>
      </c>
      <c r="BA15" s="261">
        <f>BA14</f>
        <v>0</v>
      </c>
      <c r="BB15" s="262">
        <f t="shared" ref="BB15:BD15" si="52">BB14</f>
        <v>0</v>
      </c>
      <c r="BC15" s="262">
        <f t="shared" si="52"/>
        <v>0</v>
      </c>
      <c r="BD15" s="262">
        <f t="shared" si="52"/>
        <v>-2</v>
      </c>
      <c r="BE15" s="260">
        <f t="shared" si="19"/>
        <v>-1</v>
      </c>
      <c r="BF15" s="262">
        <f>BF14</f>
        <v>0</v>
      </c>
      <c r="BG15" s="262">
        <f>BG14</f>
        <v>0</v>
      </c>
      <c r="BH15" s="271">
        <f>IF(Q15&lt;&gt;0,(BA15*COUNTIF(BH11:BH14,"&lt;&gt;0")/Q15),0)</f>
        <v>0</v>
      </c>
      <c r="BI15" s="272">
        <f>IF(T15&lt;&gt;0,(BD15*COUNTIF(BI11:BI14,"&lt;&gt;0")/T15),0)</f>
        <v>0</v>
      </c>
      <c r="BJ15" s="273">
        <f>IF(BA15&lt;&gt;0,(Q15/COUNTIF(BJ11:BJ14,"&lt;&gt;0"))/BA15,0)</f>
        <v>0</v>
      </c>
      <c r="BK15" s="274" t="e">
        <f>IF(BD15&lt;&gt;0,(T15/COUNTIF(BK11:BK14,"&lt;&gt;0"))/BD15,0)</f>
        <v>#DIV/0!</v>
      </c>
      <c r="BL15" s="261">
        <f>SUM(BL11:BL14)</f>
        <v>0</v>
      </c>
      <c r="BM15" s="262">
        <f>SUM(BM11:BM14)</f>
        <v>0</v>
      </c>
      <c r="BN15" s="261">
        <f>SUM(BN11:BN14)</f>
        <v>0</v>
      </c>
      <c r="BO15" s="262">
        <f t="shared" ref="BO15:BQ15" si="53">SUM(BO11:BO14)</f>
        <v>0</v>
      </c>
      <c r="BP15" s="261">
        <f>SUM(BP11:BP14)</f>
        <v>0</v>
      </c>
      <c r="BQ15" s="262">
        <f t="shared" si="53"/>
        <v>0</v>
      </c>
      <c r="BR15" s="261">
        <f t="shared" si="43"/>
        <v>0</v>
      </c>
      <c r="BS15" s="262">
        <f t="shared" si="22"/>
        <v>0</v>
      </c>
      <c r="BT15" s="261">
        <f>SUM(BT11:BT14)</f>
        <v>0</v>
      </c>
      <c r="BU15" s="262">
        <f>SUM(BU11:BU14)</f>
        <v>0</v>
      </c>
      <c r="BV15" s="262">
        <f>SUM(BV11:BV14)</f>
        <v>0</v>
      </c>
      <c r="BW15" s="262">
        <f t="shared" ref="BW15:BX15" si="54">SUM(BW11:BW14)</f>
        <v>0</v>
      </c>
      <c r="BX15" s="262">
        <f t="shared" si="54"/>
        <v>0</v>
      </c>
      <c r="BY15" s="275">
        <f>SUM(BY11:BY14)</f>
        <v>0</v>
      </c>
      <c r="BZ15" s="260">
        <f t="shared" si="25"/>
        <v>0</v>
      </c>
      <c r="CA15" s="259">
        <f t="shared" ref="CA15:CF15" si="55">SUM(CA11:CA14)</f>
        <v>0</v>
      </c>
      <c r="CB15" s="259">
        <f t="shared" si="55"/>
        <v>0</v>
      </c>
      <c r="CC15" s="259">
        <f>SUM(CC11:CC14)</f>
        <v>0</v>
      </c>
      <c r="CD15" s="259">
        <f t="shared" si="55"/>
        <v>0</v>
      </c>
      <c r="CE15" s="259">
        <f t="shared" si="55"/>
        <v>0</v>
      </c>
      <c r="CF15" s="259">
        <f t="shared" si="55"/>
        <v>0</v>
      </c>
      <c r="CG15" s="260">
        <f t="shared" si="28"/>
        <v>0</v>
      </c>
      <c r="CH15" s="259">
        <f t="shared" ref="CH15:CM15" si="56">SUM(CH11:CH14)</f>
        <v>0</v>
      </c>
      <c r="CI15" s="259">
        <f t="shared" si="56"/>
        <v>0</v>
      </c>
      <c r="CJ15" s="259">
        <f>SUM(CJ11:CJ14)</f>
        <v>0</v>
      </c>
      <c r="CK15" s="259">
        <f t="shared" si="56"/>
        <v>0</v>
      </c>
      <c r="CL15" s="259">
        <f t="shared" si="56"/>
        <v>0</v>
      </c>
      <c r="CM15" s="259">
        <f t="shared" si="56"/>
        <v>0</v>
      </c>
      <c r="CN15" s="260">
        <f t="shared" si="31"/>
        <v>0</v>
      </c>
      <c r="CO15" s="276">
        <f t="shared" si="46"/>
        <v>0</v>
      </c>
      <c r="CP15" s="277">
        <f t="shared" si="32"/>
        <v>0</v>
      </c>
      <c r="CQ15" s="260">
        <f t="shared" si="33"/>
        <v>0</v>
      </c>
      <c r="CR15" s="276">
        <f t="shared" si="44"/>
        <v>0</v>
      </c>
      <c r="CS15" s="277">
        <f t="shared" si="34"/>
        <v>0</v>
      </c>
      <c r="CT15" s="260">
        <f t="shared" si="47"/>
        <v>0</v>
      </c>
      <c r="CW15" s="100">
        <f>CW14</f>
        <v>0</v>
      </c>
      <c r="CX15" s="101">
        <f>CX14</f>
        <v>-2</v>
      </c>
      <c r="CY15" s="99">
        <f t="shared" si="36"/>
        <v>-1</v>
      </c>
      <c r="CZ15" s="278"/>
      <c r="DA15" s="279"/>
      <c r="DB15" s="279"/>
      <c r="DC15" s="280"/>
    </row>
    <row r="16" spans="1:107" s="44" customFormat="1" x14ac:dyDescent="0.25">
      <c r="A16" s="44" t="s">
        <v>335</v>
      </c>
      <c r="B16" s="44">
        <v>2018</v>
      </c>
      <c r="C16" s="88">
        <v>5</v>
      </c>
      <c r="D16" s="97">
        <f>G16*H16</f>
        <v>12614679.107299989</v>
      </c>
      <c r="E16" s="199">
        <f>IFERROR(D16*F16,0)</f>
        <v>9300361.3341000173</v>
      </c>
      <c r="F16" s="200">
        <f t="shared" si="45"/>
        <v>0.73726499540666013</v>
      </c>
      <c r="G16" s="198">
        <f t="shared" ref="G16:I20" si="57">IFERROR(VLOOKUP($B16 &amp; $C16&amp;G$4&amp;$A16,tblForecast,G$2,FALSE),0)</f>
        <v>315448</v>
      </c>
      <c r="H16" s="201">
        <f t="shared" si="57"/>
        <v>39.9897260635667</v>
      </c>
      <c r="I16" s="201">
        <f t="shared" si="57"/>
        <v>10.506700860997601</v>
      </c>
      <c r="J16" s="198">
        <f>IFERROR(VLOOKUP($B16 &amp; $C16&amp;J$4&amp;$A16,tblForecast,J$2,FALSE),0)+IFERROR(VLOOKUP($B16 &amp; $C16 &amp; J$4 &amp; $A16,tblForecast,J$2+1,FALSE),0)</f>
        <v>9317022</v>
      </c>
      <c r="K16" s="299">
        <f>IFERROR(VLOOKUP($B16 &amp; $C16&amp;K$4&amp;$A16,tblForecast,K$2+2,FALSE),0)</f>
        <v>579735</v>
      </c>
      <c r="L16" s="90">
        <f t="shared" ref="L16:O20" si="58">Q16*AM16</f>
        <v>0</v>
      </c>
      <c r="M16" s="90">
        <f t="shared" si="58"/>
        <v>0</v>
      </c>
      <c r="N16" s="90">
        <f t="shared" si="58"/>
        <v>0</v>
      </c>
      <c r="O16" s="90">
        <f t="shared" si="58"/>
        <v>0</v>
      </c>
      <c r="P16" s="91">
        <f t="shared" si="39"/>
        <v>0</v>
      </c>
      <c r="Q16" s="238">
        <f>IFERROR(VLOOKUP($B16 &amp; $C16&amp;CompareVer,tblForecast,Q$2,FALSE),0)</f>
        <v>0</v>
      </c>
      <c r="R16" s="239">
        <f t="shared" ref="R16:S20" si="59">IFERROR(VLOOKUP($B16 &amp; $C16&amp;R$4,tblForecast,R$2,FALSE),0)</f>
        <v>0</v>
      </c>
      <c r="S16" s="239">
        <f t="shared" si="59"/>
        <v>0</v>
      </c>
      <c r="T16" s="240">
        <f>IFERROR(VLOOKUP($B16-IF(CompareVer="LY",1,0) &amp; $C16 &amp;T$4,tblForecast,T$2,FALSE),0)</f>
        <v>0</v>
      </c>
      <c r="U16" s="91">
        <f t="shared" si="7"/>
        <v>0</v>
      </c>
      <c r="V16" s="245">
        <f>IFERROR(IF(Q14&gt;0,Q16/Q14,0),0)</f>
        <v>0</v>
      </c>
      <c r="W16" s="331">
        <f>IFERROR(IF(R14&gt;0,R16/R14,0),0)</f>
        <v>0</v>
      </c>
      <c r="X16" s="246">
        <f>IFERROR(IF(T14&gt;0,T16/T14,0),0)</f>
        <v>0</v>
      </c>
      <c r="Y16" s="97">
        <f t="shared" ref="Y16:AB20" si="60">IFERROR(L16*AD16,0)</f>
        <v>0</v>
      </c>
      <c r="Z16" s="90">
        <f t="shared" si="60"/>
        <v>0</v>
      </c>
      <c r="AA16" s="90">
        <f t="shared" si="60"/>
        <v>0</v>
      </c>
      <c r="AB16" s="90">
        <f t="shared" si="60"/>
        <v>0</v>
      </c>
      <c r="AC16" s="91">
        <f t="shared" si="9"/>
        <v>0</v>
      </c>
      <c r="AD16" s="75">
        <f>IF(AM16&lt;&gt;0,1-AR16/AM16,0)</f>
        <v>0</v>
      </c>
      <c r="AE16" s="93">
        <f t="shared" ref="AE16:AG20" si="61">IF(AN16&lt;&gt;0,1-AS16/AN16,0)</f>
        <v>0</v>
      </c>
      <c r="AF16" s="93">
        <f t="shared" si="61"/>
        <v>0</v>
      </c>
      <c r="AG16" s="93">
        <f t="shared" si="61"/>
        <v>0</v>
      </c>
      <c r="AH16" s="104">
        <f>IFERROR(VLOOKUP($B16 &amp; $C16&amp;CompareVer,tblForecast,AH$2,FALSE),0)</f>
        <v>0</v>
      </c>
      <c r="AI16" s="94">
        <f t="shared" ref="AI16:AJ20" si="62">IFERROR(VLOOKUP($B16 &amp; $C16&amp;AI$4,tblForecast,AI$2,FALSE),0)</f>
        <v>0</v>
      </c>
      <c r="AJ16" s="94">
        <f t="shared" si="62"/>
        <v>0</v>
      </c>
      <c r="AK16" s="94">
        <f>IFERROR(VLOOKUP($B16-IF(CompareVer="LY",1,0) &amp; $C16 &amp;AK$4,tblForecast,AK$2,FALSE),0)</f>
        <v>0</v>
      </c>
      <c r="AL16" s="91">
        <f t="shared" si="12"/>
        <v>0</v>
      </c>
      <c r="AM16" s="104">
        <f>IFERROR(VLOOKUP($B16 &amp; $C16&amp;CompareVer,tblForecast,AM$2,FALSE),0)</f>
        <v>0</v>
      </c>
      <c r="AN16" s="94">
        <f t="shared" ref="AN16:AO20" si="63">IFERROR(VLOOKUP($B16 &amp; $C16&amp;AN$4,tblForecast,AN$2,FALSE),0)</f>
        <v>0</v>
      </c>
      <c r="AO16" s="94">
        <f t="shared" si="63"/>
        <v>0</v>
      </c>
      <c r="AP16" s="94">
        <f>IFERROR(VLOOKUP($B16-IF(CompareVer="LY",1,0) &amp; $C16 &amp;AP$4,tblForecast,AP$2,FALSE),0)</f>
        <v>0</v>
      </c>
      <c r="AQ16" s="91">
        <f t="shared" si="14"/>
        <v>0</v>
      </c>
      <c r="AR16" s="104">
        <f>IFERROR(VLOOKUP($B16 &amp; $C16&amp;CompareVer,tblForecast,AR$2,FALSE),0)</f>
        <v>0</v>
      </c>
      <c r="AS16" s="94">
        <f t="shared" ref="AS16:AT20" si="64">IFERROR(VLOOKUP($B16 &amp; $C16&amp;AS$4,tblForecast,AS$2,FALSE),0)</f>
        <v>0</v>
      </c>
      <c r="AT16" s="94">
        <f t="shared" si="64"/>
        <v>0</v>
      </c>
      <c r="AU16" s="94">
        <f>IFERROR(VLOOKUP($B16-IF(CompareVer="LY",1,0) &amp; $C16 &amp;AU$4,tblForecast,AU$2,FALSE),0)</f>
        <v>0</v>
      </c>
      <c r="AV16" s="91">
        <f t="shared" si="16"/>
        <v>0</v>
      </c>
      <c r="AW16" s="181">
        <f t="shared" si="17"/>
        <v>0</v>
      </c>
      <c r="AX16" s="182">
        <f t="shared" si="17"/>
        <v>0</v>
      </c>
      <c r="AY16" s="182">
        <f t="shared" si="17"/>
        <v>0</v>
      </c>
      <c r="AZ16" s="182">
        <f t="shared" si="17"/>
        <v>0</v>
      </c>
      <c r="BA16" s="227">
        <f t="shared" ref="BA16:BA20" si="65">CW16+BF16</f>
        <v>0</v>
      </c>
      <c r="BB16" s="228">
        <f>IF(IFERROR(VLOOKUP($B16 &amp; $C16&amp;BB$4,tblForecast,BB$2,FALSE),0)=0,BA16,IFERROR(VLOOKUP($B16 &amp; $C16&amp;BB$4,tblForecast,BB$2,FALSE),0))</f>
        <v>0</v>
      </c>
      <c r="BC16" s="228">
        <f t="shared" ref="BC16:BC20" si="66">IFERROR(VLOOKUP($B16 &amp; $C16&amp;BC$4,tblForecast,BC$2,FALSE),0)</f>
        <v>0</v>
      </c>
      <c r="BD16" s="228">
        <f t="shared" ref="BD16:BD20" si="67">CX16+BG16</f>
        <v>-2</v>
      </c>
      <c r="BE16" s="177">
        <f t="shared" si="19"/>
        <v>-1</v>
      </c>
      <c r="BF16" s="228">
        <f>IFERROR(VLOOKUP($B16 &amp; $C16&amp;CompareVer,tblForecast,BF$2,FALSE),0)</f>
        <v>0</v>
      </c>
      <c r="BG16" s="228">
        <f>IFERROR(VLOOKUP($B16-IF(CompareVer="LY",1,0) &amp; $C16 &amp;BG$4,tblForecast,BG$2,FALSE),0)</f>
        <v>0</v>
      </c>
      <c r="BH16" s="179">
        <f>IF(Q16&lt;&gt;0,BA16/Q16,0)</f>
        <v>0</v>
      </c>
      <c r="BI16" s="183">
        <f>IF(T16&lt;&gt;0,BD16/T16,0)</f>
        <v>0</v>
      </c>
      <c r="BJ16" s="184">
        <f t="shared" si="20"/>
        <v>0</v>
      </c>
      <c r="BK16" s="96">
        <f t="shared" si="21"/>
        <v>0</v>
      </c>
      <c r="BL16" s="227">
        <f>IFERROR(VLOOKUP($B16 &amp; $C16&amp;CompareVer,tblForecast,BL$2,FALSE),0)</f>
        <v>0</v>
      </c>
      <c r="BM16" s="228">
        <f>IFERROR(VLOOKUP($B16-IF(CompareVer="LY",1,0) &amp; $C16 &amp;BM$4,tblForecast,BM$2,FALSE),0)</f>
        <v>0</v>
      </c>
      <c r="BN16" s="227">
        <f>IFERROR(VLOOKUP($B16 &amp; $C16&amp;CompareVer,tblForecast,BN$2,FALSE),0)</f>
        <v>0</v>
      </c>
      <c r="BO16" s="228">
        <f>IFERROR(VLOOKUP($B16-IF(CompareVer="LY",1,0) &amp; $C16 &amp;BO$4,tblForecast,BO$2,FALSE),0)</f>
        <v>0</v>
      </c>
      <c r="BP16" s="227">
        <f>IFERROR(VLOOKUP($B16 &amp; $C16&amp;CompareVer,tblForecast,BP$2,FALSE),0)</f>
        <v>0</v>
      </c>
      <c r="BQ16" s="228">
        <f>IFERROR(VLOOKUP($B16-IF(CompareVer="LY",1,0) &amp; $C16 &amp;BQ$4,tblForecast,BQ$2,FALSE),0)</f>
        <v>0</v>
      </c>
      <c r="BR16" s="227">
        <f t="shared" si="43"/>
        <v>0</v>
      </c>
      <c r="BS16" s="228">
        <f t="shared" si="22"/>
        <v>0</v>
      </c>
      <c r="BT16" s="227">
        <f t="shared" ref="BT16:BU20" si="68">IFERROR(VLOOKUP($B16 &amp; $C16&amp;BT$4,tblForecast,BT$2,FALSE),0)</f>
        <v>0</v>
      </c>
      <c r="BU16" s="228">
        <f t="shared" si="68"/>
        <v>0</v>
      </c>
      <c r="BV16" s="228">
        <f>IFERROR(VLOOKUP($B16 &amp; $C16&amp;CompareVer,tblForecast,BV$2,FALSE),0)</f>
        <v>0</v>
      </c>
      <c r="BW16" s="228">
        <f t="shared" ref="BW16:BX20" si="69">IFERROR(VLOOKUP($B16 &amp; $C16&amp;BW$4,tblForecast,BW$2,FALSE),0)</f>
        <v>0</v>
      </c>
      <c r="BX16" s="228">
        <f t="shared" si="69"/>
        <v>0</v>
      </c>
      <c r="BY16" s="176">
        <f>IFERROR(VLOOKUP($B16-IF(CompareVer="LY",1,0) &amp; $C16 &amp;BY$4,tblForecast,BY$2,FALSE),0)</f>
        <v>0</v>
      </c>
      <c r="BZ16" s="177">
        <f t="shared" si="25"/>
        <v>0</v>
      </c>
      <c r="CA16" s="90">
        <f t="shared" ref="CA16:CB20" si="70">IFERROR(VLOOKUP($B16 &amp; $C16&amp;CA$4,tblForecast,CA$2,FALSE),0)</f>
        <v>0</v>
      </c>
      <c r="CB16" s="90">
        <f t="shared" si="70"/>
        <v>0</v>
      </c>
      <c r="CC16" s="90">
        <f>IFERROR(VLOOKUP($B16 &amp; $C16&amp;CompareVer,tblForecast,CC$2,FALSE),0)</f>
        <v>0</v>
      </c>
      <c r="CD16" s="90">
        <f t="shared" ref="CD16:CE20" si="71">IFERROR(VLOOKUP($B16 &amp; $C16&amp;CD$4,tblForecast,CD$2,FALSE),0)</f>
        <v>0</v>
      </c>
      <c r="CE16" s="90">
        <f t="shared" si="71"/>
        <v>0</v>
      </c>
      <c r="CF16" s="90">
        <f>IFERROR(VLOOKUP($B16-IF(CompareVer="LY",1,0) &amp; $C16 &amp;CF$4,tblForecast,CF$2,FALSE),0)</f>
        <v>0</v>
      </c>
      <c r="CG16" s="177">
        <f t="shared" si="28"/>
        <v>0</v>
      </c>
      <c r="CH16" s="90">
        <f t="shared" ref="CH16:CI20" si="72">IFERROR(VLOOKUP($B16 &amp; $C16&amp;CH$4,tblForecast,CH$2,FALSE),0)</f>
        <v>0</v>
      </c>
      <c r="CI16" s="90">
        <f t="shared" si="72"/>
        <v>0</v>
      </c>
      <c r="CJ16" s="90">
        <f>IFERROR(VLOOKUP($B16 &amp; $C16&amp;CompareVer,tblForecast,CJ$2,FALSE),0)</f>
        <v>0</v>
      </c>
      <c r="CK16" s="90">
        <f t="shared" ref="CK16:CL20" si="73">IFERROR(VLOOKUP($B16 &amp; $C16&amp;CK$4,tblForecast,CK$2,FALSE),0)</f>
        <v>0</v>
      </c>
      <c r="CL16" s="90">
        <f t="shared" si="73"/>
        <v>0</v>
      </c>
      <c r="CM16" s="90">
        <f>IFERROR(VLOOKUP($B16-IF(CompareVer="LY",1,0) &amp; $C16 &amp;CM$4,tblForecast,CM$2,FALSE),0)</f>
        <v>0</v>
      </c>
      <c r="CN16" s="177">
        <f t="shared" si="31"/>
        <v>0</v>
      </c>
      <c r="CO16" s="178">
        <f t="shared" si="46"/>
        <v>0</v>
      </c>
      <c r="CP16" s="223">
        <f t="shared" si="32"/>
        <v>0</v>
      </c>
      <c r="CQ16" s="177">
        <f t="shared" si="33"/>
        <v>0</v>
      </c>
      <c r="CR16" s="178">
        <f t="shared" si="44"/>
        <v>0</v>
      </c>
      <c r="CS16" s="223">
        <f t="shared" si="34"/>
        <v>0</v>
      </c>
      <c r="CT16" s="177">
        <f t="shared" si="47"/>
        <v>0</v>
      </c>
      <c r="CW16" s="103">
        <f>IFERROR(VLOOKUP($B16 &amp; $C16&amp;CompareVer,tblForecast,CW$2,FALSE),0)</f>
        <v>0</v>
      </c>
      <c r="CX16" s="92">
        <f>IFERROR(VLOOKUP($B16-IF(CompareVer="LY",1,0) &amp; $C16 &amp;CX$4,tblForecast,CX$2,FALSE),0)</f>
        <v>-2</v>
      </c>
      <c r="CY16" s="91">
        <f t="shared" si="36"/>
        <v>-1</v>
      </c>
      <c r="CZ16" s="278">
        <f>IFERROR(VLOOKUP(Brand&amp;Channel&amp;Country&amp;$C16,tblDiscount,6,FALSE),0)</f>
        <v>0.35</v>
      </c>
      <c r="DA16" s="279">
        <f>(1-CZ16)*DB16</f>
        <v>16.263000000000002</v>
      </c>
      <c r="DB16" s="279">
        <f>IFERROR(VLOOKUP(Brand&amp;Country &amp; Channel &amp;FC,tblFCSettings,8,FALSE),0)</f>
        <v>25.02</v>
      </c>
      <c r="DC16" s="280">
        <f>IFERROR(VLOOKUP(Brand&amp;Country &amp; Channel &amp;FC,tblFCSettings,9,FALSE),0)</f>
        <v>4.16</v>
      </c>
    </row>
    <row r="17" spans="1:107" s="44" customFormat="1" x14ac:dyDescent="0.25">
      <c r="A17" s="44" t="s">
        <v>335</v>
      </c>
      <c r="B17" s="44">
        <v>2018</v>
      </c>
      <c r="C17" s="88">
        <v>6</v>
      </c>
      <c r="D17" s="97">
        <f t="shared" ref="D17:D20" si="74">G17*H17</f>
        <v>18674460.950999971</v>
      </c>
      <c r="E17" s="202">
        <f t="shared" ref="E17:E20" si="75">IFERROR(D17*F17,0)</f>
        <v>14655460.763199972</v>
      </c>
      <c r="F17" s="182">
        <f t="shared" si="45"/>
        <v>0.78478628120268223</v>
      </c>
      <c r="G17" s="176">
        <f t="shared" si="57"/>
        <v>443601</v>
      </c>
      <c r="H17" s="203">
        <f t="shared" si="57"/>
        <v>42.097427532850404</v>
      </c>
      <c r="I17" s="203">
        <f t="shared" si="57"/>
        <v>9.0599439311453303</v>
      </c>
      <c r="J17" s="176">
        <f>IFERROR(VLOOKUP($B17 &amp; $C17&amp;J$4&amp;$A17,tblForecast,J$2,FALSE),0)+IFERROR(VLOOKUP($B17 &amp; $C17 &amp; J$4 &amp; $A17,tblForecast,J$2+1,FALSE),0)</f>
        <v>9376184</v>
      </c>
      <c r="K17" s="300">
        <f>IFERROR(VLOOKUP($B17 &amp; $C17&amp;K$4&amp;$A17,tblForecast,K$2+2,FALSE),0)</f>
        <v>627170</v>
      </c>
      <c r="L17" s="90">
        <f t="shared" si="58"/>
        <v>0</v>
      </c>
      <c r="M17" s="90">
        <f t="shared" si="58"/>
        <v>0</v>
      </c>
      <c r="N17" s="90">
        <f t="shared" si="58"/>
        <v>0</v>
      </c>
      <c r="O17" s="90">
        <f t="shared" si="58"/>
        <v>0</v>
      </c>
      <c r="P17" s="91">
        <f t="shared" si="39"/>
        <v>0</v>
      </c>
      <c r="Q17" s="238">
        <f>IFERROR(VLOOKUP($B17 &amp; $C17&amp;CompareVer,tblForecast,Q$2,FALSE),0)</f>
        <v>0</v>
      </c>
      <c r="R17" s="240">
        <f t="shared" si="59"/>
        <v>0</v>
      </c>
      <c r="S17" s="240">
        <f t="shared" si="59"/>
        <v>0</v>
      </c>
      <c r="T17" s="240">
        <f>IFERROR(VLOOKUP($B17-IF(CompareVer="LY",1,0) &amp; $C17 &amp;T$4,tblForecast,T$2,FALSE),0)</f>
        <v>0</v>
      </c>
      <c r="U17" s="91">
        <f t="shared" si="7"/>
        <v>0</v>
      </c>
      <c r="V17" s="245">
        <f t="shared" ref="V17:W20" si="76">IFERROR(IF(Q16&lt;&gt;0,Q17/Q16,0),0)</f>
        <v>0</v>
      </c>
      <c r="W17" s="331">
        <f t="shared" si="76"/>
        <v>0</v>
      </c>
      <c r="X17" s="246">
        <f t="shared" ref="X17:X20" si="77">IFERROR(IF(T16&lt;&gt;0,T17/T16,0),0)</f>
        <v>0</v>
      </c>
      <c r="Y17" s="97">
        <f t="shared" si="60"/>
        <v>0</v>
      </c>
      <c r="Z17" s="90">
        <f t="shared" si="60"/>
        <v>0</v>
      </c>
      <c r="AA17" s="90">
        <f t="shared" si="60"/>
        <v>0</v>
      </c>
      <c r="AB17" s="90">
        <f t="shared" si="60"/>
        <v>0</v>
      </c>
      <c r="AC17" s="91">
        <f t="shared" si="9"/>
        <v>0</v>
      </c>
      <c r="AD17" s="75">
        <f>IF(AM17&lt;&gt;0,1-AR17/AM17,0)</f>
        <v>0</v>
      </c>
      <c r="AE17" s="93">
        <f t="shared" si="61"/>
        <v>0</v>
      </c>
      <c r="AF17" s="93">
        <f t="shared" si="61"/>
        <v>0</v>
      </c>
      <c r="AG17" s="93">
        <f t="shared" si="61"/>
        <v>0</v>
      </c>
      <c r="AH17" s="104">
        <f>IFERROR(VLOOKUP($B17 &amp; $C17&amp;CompareVer,tblForecast,AH$2,FALSE),0)</f>
        <v>0</v>
      </c>
      <c r="AI17" s="94">
        <f t="shared" si="62"/>
        <v>0</v>
      </c>
      <c r="AJ17" s="94">
        <f t="shared" si="62"/>
        <v>0</v>
      </c>
      <c r="AK17" s="94">
        <f>IFERROR(VLOOKUP($B17-IF(CompareVer="LY",1,0) &amp; $C17 &amp;AK$4,tblForecast,AK$2,FALSE),0)</f>
        <v>0</v>
      </c>
      <c r="AL17" s="91">
        <f t="shared" si="12"/>
        <v>0</v>
      </c>
      <c r="AM17" s="104">
        <f>IFERROR(VLOOKUP($B17 &amp; $C17&amp;CompareVer,tblForecast,AM$2,FALSE),0)</f>
        <v>0</v>
      </c>
      <c r="AN17" s="94">
        <f t="shared" si="63"/>
        <v>0</v>
      </c>
      <c r="AO17" s="94">
        <f t="shared" si="63"/>
        <v>0</v>
      </c>
      <c r="AP17" s="94">
        <f>IFERROR(VLOOKUP($B17-IF(CompareVer="LY",1,0) &amp; $C17 &amp;AP$4,tblForecast,AP$2,FALSE),0)</f>
        <v>0</v>
      </c>
      <c r="AQ17" s="91">
        <f t="shared" si="14"/>
        <v>0</v>
      </c>
      <c r="AR17" s="104">
        <f>IFERROR(VLOOKUP($B17 &amp; $C17&amp;CompareVer,tblForecast,AR$2,FALSE),0)</f>
        <v>0</v>
      </c>
      <c r="AS17" s="94">
        <f t="shared" si="64"/>
        <v>0</v>
      </c>
      <c r="AT17" s="94">
        <f t="shared" si="64"/>
        <v>0</v>
      </c>
      <c r="AU17" s="94">
        <f>IFERROR(VLOOKUP($B17-IF(CompareVer="LY",1,0) &amp; $C17 &amp;AU$4,tblForecast,AU$2,FALSE),0)</f>
        <v>0</v>
      </c>
      <c r="AV17" s="91">
        <f t="shared" si="16"/>
        <v>0</v>
      </c>
      <c r="AW17" s="181">
        <f t="shared" si="17"/>
        <v>0</v>
      </c>
      <c r="AX17" s="182">
        <f t="shared" si="17"/>
        <v>0</v>
      </c>
      <c r="AY17" s="182">
        <f t="shared" si="17"/>
        <v>0</v>
      </c>
      <c r="AZ17" s="182">
        <f t="shared" si="17"/>
        <v>0</v>
      </c>
      <c r="BA17" s="227">
        <f t="shared" si="65"/>
        <v>0</v>
      </c>
      <c r="BB17" s="228">
        <f>IF(IFERROR(VLOOKUP($B17 &amp; $C17&amp;BB$4,tblForecast,BB$2,FALSE),0)=0,BA17,IFERROR(VLOOKUP($B17 &amp; $C17&amp;BB$4,tblForecast,BB$2,FALSE),0))</f>
        <v>0</v>
      </c>
      <c r="BC17" s="228">
        <f t="shared" si="66"/>
        <v>0</v>
      </c>
      <c r="BD17" s="228">
        <f t="shared" si="67"/>
        <v>-2</v>
      </c>
      <c r="BE17" s="177">
        <f t="shared" si="19"/>
        <v>-1</v>
      </c>
      <c r="BF17" s="228">
        <f>IFERROR(VLOOKUP($B17 &amp; $C17&amp;CompareVer,tblForecast,BF$2,FALSE),0)</f>
        <v>0</v>
      </c>
      <c r="BG17" s="228">
        <f>IFERROR(VLOOKUP($B17-IF(CompareVer="LY",1,0) &amp; $C17 &amp;BG$4,tblForecast,BG$2,FALSE),0)</f>
        <v>0</v>
      </c>
      <c r="BH17" s="179">
        <f>IF(Q17&lt;&gt;0,BA17/Q17,0)</f>
        <v>0</v>
      </c>
      <c r="BI17" s="183">
        <f>IF(T17&lt;&gt;0,BD17/T17,0)</f>
        <v>0</v>
      </c>
      <c r="BJ17" s="184">
        <f t="shared" si="20"/>
        <v>0</v>
      </c>
      <c r="BK17" s="96">
        <f t="shared" si="21"/>
        <v>0</v>
      </c>
      <c r="BL17" s="227">
        <f>IFERROR(VLOOKUP($B17 &amp; $C17&amp;CompareVer,tblForecast,BL$2,FALSE),0)</f>
        <v>0</v>
      </c>
      <c r="BM17" s="228">
        <f>IFERROR(VLOOKUP($B17-IF(CompareVer="LY",1,0) &amp; $C17 &amp;BM$4,tblForecast,BM$2,FALSE),0)</f>
        <v>0</v>
      </c>
      <c r="BN17" s="227">
        <f>IFERROR(VLOOKUP($B17 &amp; $C17&amp;CompareVer,tblForecast,BN$2,FALSE),0)</f>
        <v>0</v>
      </c>
      <c r="BO17" s="228">
        <f>IFERROR(VLOOKUP($B17-IF(CompareVer="LY",1,0) &amp; $C17 &amp;BO$4,tblForecast,BO$2,FALSE),0)</f>
        <v>0</v>
      </c>
      <c r="BP17" s="227">
        <f>IFERROR(VLOOKUP($B17 &amp; $C17&amp;CompareVer,tblForecast,BP$2,FALSE),0)</f>
        <v>0</v>
      </c>
      <c r="BQ17" s="228">
        <f>IFERROR(VLOOKUP($B17-IF(CompareVer="LY",1,0) &amp; $C17 &amp;BQ$4,tblForecast,BQ$2,FALSE),0)</f>
        <v>0</v>
      </c>
      <c r="BR17" s="227">
        <f t="shared" si="43"/>
        <v>0</v>
      </c>
      <c r="BS17" s="228">
        <f t="shared" si="22"/>
        <v>0</v>
      </c>
      <c r="BT17" s="227">
        <f t="shared" si="68"/>
        <v>0</v>
      </c>
      <c r="BU17" s="228">
        <f t="shared" si="68"/>
        <v>0</v>
      </c>
      <c r="BV17" s="228">
        <f>IFERROR(VLOOKUP($B17 &amp; $C17&amp;CompareVer,tblForecast,BV$2,FALSE),0)</f>
        <v>0</v>
      </c>
      <c r="BW17" s="228">
        <f t="shared" si="69"/>
        <v>0</v>
      </c>
      <c r="BX17" s="228">
        <f t="shared" si="69"/>
        <v>0</v>
      </c>
      <c r="BY17" s="176">
        <f>IFERROR(VLOOKUP($B17-IF(CompareVer="LY",1,0) &amp; $C17 &amp;BY$4,tblForecast,BY$2,FALSE),0)</f>
        <v>0</v>
      </c>
      <c r="BZ17" s="177">
        <f t="shared" si="25"/>
        <v>0</v>
      </c>
      <c r="CA17" s="90">
        <f t="shared" si="70"/>
        <v>0</v>
      </c>
      <c r="CB17" s="90">
        <f t="shared" si="70"/>
        <v>0</v>
      </c>
      <c r="CC17" s="90">
        <f>IFERROR(VLOOKUP($B17 &amp; $C17&amp;CompareVer,tblForecast,CC$2,FALSE),0)</f>
        <v>0</v>
      </c>
      <c r="CD17" s="90">
        <f t="shared" si="71"/>
        <v>0</v>
      </c>
      <c r="CE17" s="90">
        <f t="shared" si="71"/>
        <v>0</v>
      </c>
      <c r="CF17" s="90">
        <f>IFERROR(VLOOKUP($B17-IF(CompareVer="LY",1,0) &amp; $C17 &amp;CF$4,tblForecast,CF$2,FALSE),0)</f>
        <v>0</v>
      </c>
      <c r="CG17" s="177">
        <f t="shared" si="28"/>
        <v>0</v>
      </c>
      <c r="CH17" s="90">
        <f t="shared" si="72"/>
        <v>0</v>
      </c>
      <c r="CI17" s="90">
        <f t="shared" si="72"/>
        <v>0</v>
      </c>
      <c r="CJ17" s="90">
        <f>IFERROR(VLOOKUP($B17 &amp; $C17&amp;CompareVer,tblForecast,CJ$2,FALSE),0)</f>
        <v>0</v>
      </c>
      <c r="CK17" s="90">
        <f t="shared" si="73"/>
        <v>0</v>
      </c>
      <c r="CL17" s="90">
        <f t="shared" si="73"/>
        <v>0</v>
      </c>
      <c r="CM17" s="90">
        <f>IFERROR(VLOOKUP($B17-IF(CompareVer="LY",1,0) &amp; $C17 &amp;CM$4,tblForecast,CM$2,FALSE),0)</f>
        <v>0</v>
      </c>
      <c r="CN17" s="177">
        <f t="shared" si="31"/>
        <v>0</v>
      </c>
      <c r="CO17" s="178">
        <f t="shared" si="46"/>
        <v>0</v>
      </c>
      <c r="CP17" s="223">
        <f t="shared" si="32"/>
        <v>0</v>
      </c>
      <c r="CQ17" s="177">
        <f t="shared" si="33"/>
        <v>0</v>
      </c>
      <c r="CR17" s="178">
        <f t="shared" si="44"/>
        <v>0</v>
      </c>
      <c r="CS17" s="223">
        <f t="shared" si="34"/>
        <v>0</v>
      </c>
      <c r="CT17" s="177">
        <f t="shared" si="47"/>
        <v>0</v>
      </c>
      <c r="CW17" s="103">
        <f>IFERROR(VLOOKUP($B17 &amp; $C17&amp;CompareVer,tblForecast,CW$2,FALSE),0)</f>
        <v>0</v>
      </c>
      <c r="CX17" s="92">
        <f>IFERROR(VLOOKUP($B17-IF(CompareVer="LY",1,0) &amp; $C17 &amp;CX$4,tblForecast,CX$2,FALSE),0)</f>
        <v>-2</v>
      </c>
      <c r="CY17" s="91">
        <f t="shared" si="36"/>
        <v>-1</v>
      </c>
      <c r="CZ17" s="278">
        <f>IFERROR(VLOOKUP(Brand&amp;Channel&amp;Country&amp;$C17,tblDiscount,6,FALSE),0)</f>
        <v>0.35</v>
      </c>
      <c r="DA17" s="279">
        <f>(1-CZ17)*DB17</f>
        <v>16.263000000000002</v>
      </c>
      <c r="DB17" s="279">
        <f>IFERROR(VLOOKUP(Brand&amp;Country &amp; Channel &amp;FC,tblFCSettings,8,FALSE),0)</f>
        <v>25.02</v>
      </c>
      <c r="DC17" s="280">
        <f>IFERROR(VLOOKUP(Brand&amp;Country &amp; Channel &amp;FC,tblFCSettings,9,FALSE),0)</f>
        <v>4.16</v>
      </c>
    </row>
    <row r="18" spans="1:107" s="44" customFormat="1" x14ac:dyDescent="0.25">
      <c r="A18" s="44" t="s">
        <v>335</v>
      </c>
      <c r="B18" s="44">
        <v>2018</v>
      </c>
      <c r="C18" s="88">
        <v>7</v>
      </c>
      <c r="D18" s="97">
        <f t="shared" si="74"/>
        <v>16437761.035499977</v>
      </c>
      <c r="E18" s="202">
        <f t="shared" si="75"/>
        <v>12598468.536699977</v>
      </c>
      <c r="F18" s="182">
        <f t="shared" si="45"/>
        <v>0.76643458373020312</v>
      </c>
      <c r="G18" s="176">
        <f t="shared" si="57"/>
        <v>418976</v>
      </c>
      <c r="H18" s="203">
        <f t="shared" si="57"/>
        <v>39.233180505565898</v>
      </c>
      <c r="I18" s="203">
        <f t="shared" si="57"/>
        <v>9.1635141363705799</v>
      </c>
      <c r="J18" s="176">
        <f>IFERROR(VLOOKUP($B18 &amp; $C18&amp;J$4&amp;$A18,tblForecast,J$2,FALSE),0)+IFERROR(VLOOKUP($B18 &amp; $C18 &amp; J$4 &amp; $A18,tblForecast,J$2+1,FALSE),0)</f>
        <v>9275455</v>
      </c>
      <c r="K18" s="300">
        <f>IFERROR(VLOOKUP($B18 &amp; $C18&amp;K$4&amp;$A18,tblForecast,K$2+2,FALSE),0)</f>
        <v>480444</v>
      </c>
      <c r="L18" s="90">
        <f t="shared" si="58"/>
        <v>0</v>
      </c>
      <c r="M18" s="90">
        <f t="shared" si="58"/>
        <v>0</v>
      </c>
      <c r="N18" s="90">
        <f t="shared" si="58"/>
        <v>0</v>
      </c>
      <c r="O18" s="90">
        <f t="shared" si="58"/>
        <v>0</v>
      </c>
      <c r="P18" s="91">
        <f t="shared" si="39"/>
        <v>0</v>
      </c>
      <c r="Q18" s="238">
        <f>IFERROR(VLOOKUP($B18 &amp; $C18&amp;CompareVer,tblForecast,Q$2,FALSE),0)</f>
        <v>0</v>
      </c>
      <c r="R18" s="240">
        <f t="shared" si="59"/>
        <v>0</v>
      </c>
      <c r="S18" s="240">
        <f t="shared" si="59"/>
        <v>0</v>
      </c>
      <c r="T18" s="240">
        <f>IFERROR(VLOOKUP($B18-IF(CompareVer="LY",1,0) &amp; $C18 &amp;T$4,tblForecast,T$2,FALSE),0)</f>
        <v>0</v>
      </c>
      <c r="U18" s="91">
        <f t="shared" si="7"/>
        <v>0</v>
      </c>
      <c r="V18" s="245">
        <f t="shared" si="76"/>
        <v>0</v>
      </c>
      <c r="W18" s="331">
        <f t="shared" si="76"/>
        <v>0</v>
      </c>
      <c r="X18" s="246">
        <f t="shared" si="77"/>
        <v>0</v>
      </c>
      <c r="Y18" s="97">
        <f t="shared" si="60"/>
        <v>0</v>
      </c>
      <c r="Z18" s="90">
        <f t="shared" si="60"/>
        <v>0</v>
      </c>
      <c r="AA18" s="90">
        <f t="shared" si="60"/>
        <v>0</v>
      </c>
      <c r="AB18" s="90">
        <f t="shared" si="60"/>
        <v>0</v>
      </c>
      <c r="AC18" s="91">
        <f t="shared" si="9"/>
        <v>0</v>
      </c>
      <c r="AD18" s="75">
        <f>IF(AM18&lt;&gt;0,1-AR18/AM18,0)</f>
        <v>0</v>
      </c>
      <c r="AE18" s="93">
        <f t="shared" si="61"/>
        <v>0</v>
      </c>
      <c r="AF18" s="93">
        <f t="shared" si="61"/>
        <v>0</v>
      </c>
      <c r="AG18" s="93">
        <f t="shared" si="61"/>
        <v>0</v>
      </c>
      <c r="AH18" s="104">
        <f>IFERROR(VLOOKUP($B18 &amp; $C18&amp;CompareVer,tblForecast,AH$2,FALSE),0)</f>
        <v>0</v>
      </c>
      <c r="AI18" s="94">
        <f t="shared" si="62"/>
        <v>0</v>
      </c>
      <c r="AJ18" s="94">
        <f t="shared" si="62"/>
        <v>0</v>
      </c>
      <c r="AK18" s="94">
        <f>IFERROR(VLOOKUP($B18-IF(CompareVer="LY",1,0) &amp; $C18 &amp;AK$4,tblForecast,AK$2,FALSE),0)</f>
        <v>0</v>
      </c>
      <c r="AL18" s="91">
        <f t="shared" si="12"/>
        <v>0</v>
      </c>
      <c r="AM18" s="104">
        <f>IFERROR(VLOOKUP($B18 &amp; $C18&amp;CompareVer,tblForecast,AM$2,FALSE),0)</f>
        <v>0</v>
      </c>
      <c r="AN18" s="94">
        <f t="shared" si="63"/>
        <v>0</v>
      </c>
      <c r="AO18" s="94">
        <f t="shared" si="63"/>
        <v>0</v>
      </c>
      <c r="AP18" s="94">
        <f>IFERROR(VLOOKUP($B18-IF(CompareVer="LY",1,0) &amp; $C18 &amp;AP$4,tblForecast,AP$2,FALSE),0)</f>
        <v>0</v>
      </c>
      <c r="AQ18" s="91">
        <f t="shared" si="14"/>
        <v>0</v>
      </c>
      <c r="AR18" s="104">
        <f>IFERROR(VLOOKUP($B18 &amp; $C18&amp;CompareVer,tblForecast,AR$2,FALSE),0)</f>
        <v>0</v>
      </c>
      <c r="AS18" s="94">
        <f t="shared" si="64"/>
        <v>0</v>
      </c>
      <c r="AT18" s="94">
        <f t="shared" si="64"/>
        <v>0</v>
      </c>
      <c r="AU18" s="94">
        <f>IFERROR(VLOOKUP($B18-IF(CompareVer="LY",1,0) &amp; $C18 &amp;AU$4,tblForecast,AU$2,FALSE),0)</f>
        <v>0</v>
      </c>
      <c r="AV18" s="91">
        <f t="shared" si="16"/>
        <v>0</v>
      </c>
      <c r="AW18" s="181">
        <f t="shared" si="17"/>
        <v>0</v>
      </c>
      <c r="AX18" s="182">
        <f t="shared" si="17"/>
        <v>0</v>
      </c>
      <c r="AY18" s="182">
        <f t="shared" si="17"/>
        <v>0</v>
      </c>
      <c r="AZ18" s="182">
        <f t="shared" si="17"/>
        <v>0</v>
      </c>
      <c r="BA18" s="227">
        <f t="shared" si="65"/>
        <v>-1</v>
      </c>
      <c r="BB18" s="228">
        <f>IF(IFERROR(VLOOKUP($B18 &amp; $C18&amp;BB$4,tblForecast,BB$2,FALSE),0)=0,BA18,IFERROR(VLOOKUP($B18 &amp; $C18&amp;BB$4,tblForecast,BB$2,FALSE),0))</f>
        <v>-1</v>
      </c>
      <c r="BC18" s="228">
        <f t="shared" si="66"/>
        <v>0</v>
      </c>
      <c r="BD18" s="228">
        <f t="shared" si="67"/>
        <v>-2</v>
      </c>
      <c r="BE18" s="177">
        <f t="shared" si="19"/>
        <v>-0.5</v>
      </c>
      <c r="BF18" s="228">
        <f>IFERROR(VLOOKUP($B18 &amp; $C18&amp;CompareVer,tblForecast,BF$2,FALSE),0)</f>
        <v>0</v>
      </c>
      <c r="BG18" s="228">
        <f>IFERROR(VLOOKUP($B18-IF(CompareVer="LY",1,0) &amp; $C18 &amp;BG$4,tblForecast,BG$2,FALSE),0)</f>
        <v>0</v>
      </c>
      <c r="BH18" s="179">
        <f>IF(Q18&lt;&gt;0,BA18/Q18,0)</f>
        <v>0</v>
      </c>
      <c r="BI18" s="183">
        <f>IF(T18&lt;&gt;0,BD18/T18,0)</f>
        <v>0</v>
      </c>
      <c r="BJ18" s="184">
        <f t="shared" si="20"/>
        <v>0</v>
      </c>
      <c r="BK18" s="96">
        <f t="shared" si="21"/>
        <v>0</v>
      </c>
      <c r="BL18" s="227">
        <f>IFERROR(VLOOKUP($B18 &amp; $C18&amp;CompareVer,tblForecast,BL$2,FALSE),0)</f>
        <v>-1</v>
      </c>
      <c r="BM18" s="228">
        <f>IFERROR(VLOOKUP($B18-IF(CompareVer="LY",1,0) &amp; $C18 &amp;BM$4,tblForecast,BM$2,FALSE),0)</f>
        <v>0</v>
      </c>
      <c r="BN18" s="227">
        <f>IFERROR(VLOOKUP($B18 &amp; $C18&amp;CompareVer,tblForecast,BN$2,FALSE),0)</f>
        <v>0</v>
      </c>
      <c r="BO18" s="228">
        <f>IFERROR(VLOOKUP($B18-IF(CompareVer="LY",1,0) &amp; $C18 &amp;BO$4,tblForecast,BO$2,FALSE),0)</f>
        <v>0</v>
      </c>
      <c r="BP18" s="227">
        <f>IFERROR(VLOOKUP($B18 &amp; $C18&amp;CompareVer,tblForecast,BP$2,FALSE),0)</f>
        <v>0</v>
      </c>
      <c r="BQ18" s="228">
        <f>IFERROR(VLOOKUP($B18-IF(CompareVer="LY",1,0) &amp; $C18 &amp;BQ$4,tblForecast,BQ$2,FALSE),0)</f>
        <v>0</v>
      </c>
      <c r="BR18" s="227">
        <f t="shared" si="43"/>
        <v>0</v>
      </c>
      <c r="BS18" s="228">
        <f t="shared" si="22"/>
        <v>0</v>
      </c>
      <c r="BT18" s="227">
        <f t="shared" si="68"/>
        <v>0</v>
      </c>
      <c r="BU18" s="228">
        <f t="shared" si="68"/>
        <v>0</v>
      </c>
      <c r="BV18" s="228">
        <f>IFERROR(VLOOKUP($B18 &amp; $C18&amp;CompareVer,tblForecast,BV$2,FALSE),0)</f>
        <v>0</v>
      </c>
      <c r="BW18" s="228">
        <f t="shared" si="69"/>
        <v>0</v>
      </c>
      <c r="BX18" s="228">
        <f t="shared" si="69"/>
        <v>0</v>
      </c>
      <c r="BY18" s="176">
        <f>IFERROR(VLOOKUP($B18-IF(CompareVer="LY",1,0) &amp; $C18 &amp;BY$4,tblForecast,BY$2,FALSE),0)</f>
        <v>0</v>
      </c>
      <c r="BZ18" s="177">
        <f t="shared" si="25"/>
        <v>0</v>
      </c>
      <c r="CA18" s="90">
        <f t="shared" si="70"/>
        <v>0</v>
      </c>
      <c r="CB18" s="90">
        <f t="shared" si="70"/>
        <v>0</v>
      </c>
      <c r="CC18" s="90">
        <f>IFERROR(VLOOKUP($B18 &amp; $C18&amp;CompareVer,tblForecast,CC$2,FALSE),0)</f>
        <v>0</v>
      </c>
      <c r="CD18" s="90">
        <f t="shared" si="71"/>
        <v>0</v>
      </c>
      <c r="CE18" s="90">
        <f t="shared" si="71"/>
        <v>0</v>
      </c>
      <c r="CF18" s="90">
        <f>IFERROR(VLOOKUP($B18-IF(CompareVer="LY",1,0) &amp; $C18 &amp;CF$4,tblForecast,CF$2,FALSE),0)</f>
        <v>0</v>
      </c>
      <c r="CG18" s="177">
        <f t="shared" si="28"/>
        <v>0</v>
      </c>
      <c r="CH18" s="90">
        <f t="shared" si="72"/>
        <v>0</v>
      </c>
      <c r="CI18" s="90">
        <f t="shared" si="72"/>
        <v>0</v>
      </c>
      <c r="CJ18" s="90">
        <f>IFERROR(VLOOKUP($B18 &amp; $C18&amp;CompareVer,tblForecast,CJ$2,FALSE),0)</f>
        <v>0</v>
      </c>
      <c r="CK18" s="90">
        <f t="shared" si="73"/>
        <v>0</v>
      </c>
      <c r="CL18" s="90">
        <f t="shared" si="73"/>
        <v>0</v>
      </c>
      <c r="CM18" s="90">
        <f>IFERROR(VLOOKUP($B18-IF(CompareVer="LY",1,0) &amp; $C18 &amp;CM$4,tblForecast,CM$2,FALSE),0)</f>
        <v>0</v>
      </c>
      <c r="CN18" s="177">
        <f t="shared" si="31"/>
        <v>0</v>
      </c>
      <c r="CO18" s="178">
        <f t="shared" si="46"/>
        <v>0</v>
      </c>
      <c r="CP18" s="223">
        <f t="shared" si="32"/>
        <v>0</v>
      </c>
      <c r="CQ18" s="177">
        <f t="shared" si="33"/>
        <v>0</v>
      </c>
      <c r="CR18" s="178">
        <f t="shared" si="44"/>
        <v>0</v>
      </c>
      <c r="CS18" s="223">
        <f t="shared" si="34"/>
        <v>0</v>
      </c>
      <c r="CT18" s="177">
        <f t="shared" si="47"/>
        <v>0</v>
      </c>
      <c r="CW18" s="103">
        <f>IFERROR(VLOOKUP($B18 &amp; $C18&amp;CompareVer,tblForecast,CW$2,FALSE),0)</f>
        <v>-1</v>
      </c>
      <c r="CX18" s="92">
        <f>IFERROR(VLOOKUP($B18-IF(CompareVer="LY",1,0) &amp; $C18 &amp;CX$4,tblForecast,CX$2,FALSE),0)</f>
        <v>-2</v>
      </c>
      <c r="CY18" s="91">
        <f t="shared" si="36"/>
        <v>-0.5</v>
      </c>
      <c r="CZ18" s="278">
        <f>IFERROR(VLOOKUP(Brand&amp;Channel&amp;Country&amp;$C18,tblDiscount,6,FALSE),0)</f>
        <v>0.35</v>
      </c>
      <c r="DA18" s="279">
        <f>(1-CZ18)*DB18</f>
        <v>16.263000000000002</v>
      </c>
      <c r="DB18" s="279">
        <f>IFERROR(VLOOKUP(Brand&amp;Country &amp; Channel &amp;FC,tblFCSettings,8,FALSE),0)</f>
        <v>25.02</v>
      </c>
      <c r="DC18" s="280">
        <f>IFERROR(VLOOKUP(Brand&amp;Country &amp; Channel &amp;FC,tblFCSettings,9,FALSE),0)</f>
        <v>4.16</v>
      </c>
    </row>
    <row r="19" spans="1:107" s="44" customFormat="1" x14ac:dyDescent="0.25">
      <c r="A19" s="44" t="s">
        <v>335</v>
      </c>
      <c r="B19" s="44">
        <v>2018</v>
      </c>
      <c r="C19" s="88">
        <v>8</v>
      </c>
      <c r="D19" s="97">
        <f t="shared" si="74"/>
        <v>18715880.803099956</v>
      </c>
      <c r="E19" s="202">
        <f t="shared" si="75"/>
        <v>13800247.387899958</v>
      </c>
      <c r="F19" s="182">
        <f t="shared" si="45"/>
        <v>0.73735495182327671</v>
      </c>
      <c r="G19" s="176">
        <f t="shared" si="57"/>
        <v>495798</v>
      </c>
      <c r="H19" s="203">
        <f t="shared" si="57"/>
        <v>37.749004237814503</v>
      </c>
      <c r="I19" s="203">
        <f t="shared" si="57"/>
        <v>9.9145890366641201</v>
      </c>
      <c r="J19" s="176">
        <f>IFERROR(VLOOKUP($B19 &amp; $C19&amp;J$4&amp;$A19,tblForecast,J$2,FALSE),0)+IFERROR(VLOOKUP($B19 &amp; $C19 &amp; J$4 &amp; $A19,tblForecast,J$2+1,FALSE),0)</f>
        <v>9237992</v>
      </c>
      <c r="K19" s="300">
        <f>IFERROR(VLOOKUP($B19 &amp; $C19&amp;K$4&amp;$A19,tblForecast,K$2+2,FALSE),0)</f>
        <v>458994</v>
      </c>
      <c r="L19" s="90">
        <f t="shared" si="58"/>
        <v>0</v>
      </c>
      <c r="M19" s="90">
        <f t="shared" si="58"/>
        <v>0</v>
      </c>
      <c r="N19" s="90">
        <f t="shared" si="58"/>
        <v>0</v>
      </c>
      <c r="O19" s="90">
        <f t="shared" si="58"/>
        <v>0</v>
      </c>
      <c r="P19" s="91">
        <f t="shared" si="39"/>
        <v>0</v>
      </c>
      <c r="Q19" s="238">
        <f>IFERROR(VLOOKUP($B19 &amp; $C19&amp;CompareVer,tblForecast,Q$2,FALSE),0)</f>
        <v>0</v>
      </c>
      <c r="R19" s="240">
        <f t="shared" si="59"/>
        <v>0</v>
      </c>
      <c r="S19" s="240">
        <f t="shared" si="59"/>
        <v>0</v>
      </c>
      <c r="T19" s="240">
        <f>IFERROR(VLOOKUP($B19-IF(CompareVer="LY",1,0) &amp; $C19 &amp;T$4,tblForecast,T$2,FALSE),0)</f>
        <v>0</v>
      </c>
      <c r="U19" s="91">
        <f t="shared" si="7"/>
        <v>0</v>
      </c>
      <c r="V19" s="245">
        <f t="shared" si="76"/>
        <v>0</v>
      </c>
      <c r="W19" s="331">
        <f t="shared" si="76"/>
        <v>0</v>
      </c>
      <c r="X19" s="246">
        <f t="shared" si="77"/>
        <v>0</v>
      </c>
      <c r="Y19" s="97">
        <f t="shared" si="60"/>
        <v>0</v>
      </c>
      <c r="Z19" s="90">
        <f t="shared" si="60"/>
        <v>0</v>
      </c>
      <c r="AA19" s="90">
        <f t="shared" si="60"/>
        <v>0</v>
      </c>
      <c r="AB19" s="90">
        <f t="shared" si="60"/>
        <v>0</v>
      </c>
      <c r="AC19" s="91">
        <f t="shared" si="9"/>
        <v>0</v>
      </c>
      <c r="AD19" s="75">
        <f>IF(AM19&lt;&gt;0,1-AR19/AM19,0)</f>
        <v>0</v>
      </c>
      <c r="AE19" s="93">
        <f t="shared" si="61"/>
        <v>0</v>
      </c>
      <c r="AF19" s="93">
        <f t="shared" si="61"/>
        <v>0</v>
      </c>
      <c r="AG19" s="93">
        <f t="shared" si="61"/>
        <v>0</v>
      </c>
      <c r="AH19" s="104">
        <f>IFERROR(VLOOKUP($B19 &amp; $C19&amp;CompareVer,tblForecast,AH$2,FALSE),0)</f>
        <v>0</v>
      </c>
      <c r="AI19" s="94">
        <f t="shared" si="62"/>
        <v>0</v>
      </c>
      <c r="AJ19" s="94">
        <f t="shared" si="62"/>
        <v>0</v>
      </c>
      <c r="AK19" s="94">
        <f>IFERROR(VLOOKUP($B19-IF(CompareVer="LY",1,0) &amp; $C19 &amp;AK$4,tblForecast,AK$2,FALSE),0)</f>
        <v>0</v>
      </c>
      <c r="AL19" s="91">
        <f t="shared" si="12"/>
        <v>0</v>
      </c>
      <c r="AM19" s="104">
        <f>IFERROR(VLOOKUP($B19 &amp; $C19&amp;CompareVer,tblForecast,AM$2,FALSE),0)</f>
        <v>0</v>
      </c>
      <c r="AN19" s="94">
        <f t="shared" si="63"/>
        <v>0</v>
      </c>
      <c r="AO19" s="94">
        <f t="shared" si="63"/>
        <v>0</v>
      </c>
      <c r="AP19" s="94">
        <f>IFERROR(VLOOKUP($B19-IF(CompareVer="LY",1,0) &amp; $C19 &amp;AP$4,tblForecast,AP$2,FALSE),0)</f>
        <v>0</v>
      </c>
      <c r="AQ19" s="91">
        <f t="shared" si="14"/>
        <v>0</v>
      </c>
      <c r="AR19" s="104">
        <f>IFERROR(VLOOKUP($B19 &amp; $C19&amp;CompareVer,tblForecast,AR$2,FALSE),0)</f>
        <v>0</v>
      </c>
      <c r="AS19" s="94">
        <f t="shared" si="64"/>
        <v>0</v>
      </c>
      <c r="AT19" s="94">
        <f t="shared" si="64"/>
        <v>0</v>
      </c>
      <c r="AU19" s="94">
        <f>IFERROR(VLOOKUP($B19-IF(CompareVer="LY",1,0) &amp; $C19 &amp;AU$4,tblForecast,AU$2,FALSE),0)</f>
        <v>0</v>
      </c>
      <c r="AV19" s="91">
        <f t="shared" si="16"/>
        <v>0</v>
      </c>
      <c r="AW19" s="181">
        <f t="shared" si="17"/>
        <v>0</v>
      </c>
      <c r="AX19" s="182">
        <f t="shared" si="17"/>
        <v>0</v>
      </c>
      <c r="AY19" s="182">
        <f t="shared" si="17"/>
        <v>0</v>
      </c>
      <c r="AZ19" s="182">
        <f t="shared" si="17"/>
        <v>0</v>
      </c>
      <c r="BA19" s="227">
        <f t="shared" si="65"/>
        <v>-1</v>
      </c>
      <c r="BB19" s="228">
        <f>IF(IFERROR(VLOOKUP($B19 &amp; $C19&amp;BB$4,tblForecast,BB$2,FALSE),0)=0,BA19,IFERROR(VLOOKUP($B19 &amp; $C19&amp;BB$4,tblForecast,BB$2,FALSE),0))</f>
        <v>-1</v>
      </c>
      <c r="BC19" s="228">
        <f t="shared" si="66"/>
        <v>0</v>
      </c>
      <c r="BD19" s="228">
        <f t="shared" si="67"/>
        <v>-2</v>
      </c>
      <c r="BE19" s="177">
        <f t="shared" si="19"/>
        <v>-0.5</v>
      </c>
      <c r="BF19" s="228">
        <f>IFERROR(VLOOKUP($B19 &amp; $C19&amp;CompareVer,tblForecast,BF$2,FALSE),0)</f>
        <v>0</v>
      </c>
      <c r="BG19" s="228">
        <f>IFERROR(VLOOKUP($B19-IF(CompareVer="LY",1,0) &amp; $C19 &amp;BG$4,tblForecast,BG$2,FALSE),0)</f>
        <v>0</v>
      </c>
      <c r="BH19" s="179">
        <f>IF(Q19&lt;&gt;0,BA19/Q19,0)</f>
        <v>0</v>
      </c>
      <c r="BI19" s="183">
        <f>IF(T19&lt;&gt;0,BD19/T19,0)</f>
        <v>0</v>
      </c>
      <c r="BJ19" s="184">
        <f t="shared" si="20"/>
        <v>0</v>
      </c>
      <c r="BK19" s="96">
        <f t="shared" si="21"/>
        <v>0</v>
      </c>
      <c r="BL19" s="227">
        <f>IFERROR(VLOOKUP($B19 &amp; $C19&amp;CompareVer,tblForecast,BL$2,FALSE),0)</f>
        <v>0</v>
      </c>
      <c r="BM19" s="228">
        <f>IFERROR(VLOOKUP($B19-IF(CompareVer="LY",1,0) &amp; $C19 &amp;BM$4,tblForecast,BM$2,FALSE),0)</f>
        <v>0</v>
      </c>
      <c r="BN19" s="227">
        <f>IFERROR(VLOOKUP($B19 &amp; $C19&amp;CompareVer,tblForecast,BN$2,FALSE),0)</f>
        <v>0</v>
      </c>
      <c r="BO19" s="228">
        <f>IFERROR(VLOOKUP($B19-IF(CompareVer="LY",1,0) &amp; $C19 &amp;BO$4,tblForecast,BO$2,FALSE),0)</f>
        <v>0</v>
      </c>
      <c r="BP19" s="227">
        <f>IFERROR(VLOOKUP($B19 &amp; $C19&amp;CompareVer,tblForecast,BP$2,FALSE),0)</f>
        <v>0</v>
      </c>
      <c r="BQ19" s="228">
        <f>IFERROR(VLOOKUP($B19-IF(CompareVer="LY",1,0) &amp; $C19 &amp;BQ$4,tblForecast,BQ$2,FALSE),0)</f>
        <v>0</v>
      </c>
      <c r="BR19" s="227">
        <f t="shared" si="43"/>
        <v>0</v>
      </c>
      <c r="BS19" s="228">
        <f t="shared" si="22"/>
        <v>0</v>
      </c>
      <c r="BT19" s="227">
        <f t="shared" si="68"/>
        <v>0</v>
      </c>
      <c r="BU19" s="228">
        <f t="shared" si="68"/>
        <v>0</v>
      </c>
      <c r="BV19" s="228">
        <f>IFERROR(VLOOKUP($B19 &amp; $C19&amp;CompareVer,tblForecast,BV$2,FALSE),0)</f>
        <v>0</v>
      </c>
      <c r="BW19" s="228">
        <f t="shared" si="69"/>
        <v>0</v>
      </c>
      <c r="BX19" s="228">
        <f t="shared" si="69"/>
        <v>0</v>
      </c>
      <c r="BY19" s="176">
        <f>IFERROR(VLOOKUP($B19-IF(CompareVer="LY",1,0) &amp; $C19 &amp;BY$4,tblForecast,BY$2,FALSE),0)</f>
        <v>0</v>
      </c>
      <c r="BZ19" s="177">
        <f t="shared" si="25"/>
        <v>0</v>
      </c>
      <c r="CA19" s="90">
        <f t="shared" si="70"/>
        <v>0</v>
      </c>
      <c r="CB19" s="90">
        <f t="shared" si="70"/>
        <v>0</v>
      </c>
      <c r="CC19" s="90">
        <f>IFERROR(VLOOKUP($B19 &amp; $C19&amp;CompareVer,tblForecast,CC$2,FALSE),0)</f>
        <v>0</v>
      </c>
      <c r="CD19" s="90">
        <f t="shared" si="71"/>
        <v>0</v>
      </c>
      <c r="CE19" s="90">
        <f t="shared" si="71"/>
        <v>0</v>
      </c>
      <c r="CF19" s="90">
        <f>IFERROR(VLOOKUP($B19-IF(CompareVer="LY",1,0) &amp; $C19 &amp;CF$4,tblForecast,CF$2,FALSE),0)</f>
        <v>0</v>
      </c>
      <c r="CG19" s="177">
        <f t="shared" si="28"/>
        <v>0</v>
      </c>
      <c r="CH19" s="90">
        <f t="shared" si="72"/>
        <v>0</v>
      </c>
      <c r="CI19" s="90">
        <f t="shared" si="72"/>
        <v>0</v>
      </c>
      <c r="CJ19" s="90">
        <f>IFERROR(VLOOKUP($B19 &amp; $C19&amp;CompareVer,tblForecast,CJ$2,FALSE),0)</f>
        <v>0</v>
      </c>
      <c r="CK19" s="90">
        <f t="shared" si="73"/>
        <v>0</v>
      </c>
      <c r="CL19" s="90">
        <f t="shared" si="73"/>
        <v>0</v>
      </c>
      <c r="CM19" s="90">
        <f>IFERROR(VLOOKUP($B19-IF(CompareVer="LY",1,0) &amp; $C19 &amp;CM$4,tblForecast,CM$2,FALSE),0)</f>
        <v>0</v>
      </c>
      <c r="CN19" s="177">
        <f t="shared" si="31"/>
        <v>0</v>
      </c>
      <c r="CO19" s="178">
        <f t="shared" si="46"/>
        <v>0</v>
      </c>
      <c r="CP19" s="223">
        <f t="shared" si="32"/>
        <v>0</v>
      </c>
      <c r="CQ19" s="177">
        <f t="shared" si="33"/>
        <v>0</v>
      </c>
      <c r="CR19" s="178">
        <f t="shared" si="44"/>
        <v>0</v>
      </c>
      <c r="CS19" s="223">
        <f t="shared" si="34"/>
        <v>0</v>
      </c>
      <c r="CT19" s="177">
        <f t="shared" si="47"/>
        <v>0</v>
      </c>
      <c r="CW19" s="103">
        <f>IFERROR(VLOOKUP($B19 &amp; $C19&amp;CompareVer,tblForecast,CW$2,FALSE),0)</f>
        <v>-1</v>
      </c>
      <c r="CX19" s="92">
        <f>IFERROR(VLOOKUP($B19-IF(CompareVer="LY",1,0) &amp; $C19 &amp;CX$4,tblForecast,CX$2,FALSE),0)</f>
        <v>-2</v>
      </c>
      <c r="CY19" s="91">
        <f t="shared" si="36"/>
        <v>-0.5</v>
      </c>
      <c r="CZ19" s="278">
        <f>IFERROR(VLOOKUP(Brand&amp;Channel&amp;Country&amp;$C19,tblDiscount,6,FALSE),0)</f>
        <v>0.4</v>
      </c>
      <c r="DA19" s="279">
        <f>(1-CZ19)*DB19</f>
        <v>15.011999999999999</v>
      </c>
      <c r="DB19" s="279">
        <f>IFERROR(VLOOKUP(Brand&amp;Country &amp; Channel &amp;FC,tblFCSettings,8,FALSE),0)</f>
        <v>25.02</v>
      </c>
      <c r="DC19" s="280">
        <f>IFERROR(VLOOKUP(Brand&amp;Country &amp; Channel &amp;FC,tblFCSettings,9,FALSE),0)</f>
        <v>4.16</v>
      </c>
    </row>
    <row r="20" spans="1:107" s="44" customFormat="1" ht="16.5" thickBot="1" x14ac:dyDescent="0.3">
      <c r="A20" s="44" t="s">
        <v>335</v>
      </c>
      <c r="B20" s="44">
        <v>2018</v>
      </c>
      <c r="C20" s="88">
        <v>9</v>
      </c>
      <c r="D20" s="97">
        <f t="shared" si="74"/>
        <v>12301895.203799982</v>
      </c>
      <c r="E20" s="202">
        <f t="shared" si="75"/>
        <v>9858022.7323999815</v>
      </c>
      <c r="F20" s="182">
        <f t="shared" si="45"/>
        <v>0.80134179076366197</v>
      </c>
      <c r="G20" s="176">
        <f t="shared" si="57"/>
        <v>277837</v>
      </c>
      <c r="H20" s="203">
        <f t="shared" si="57"/>
        <v>44.277382795667897</v>
      </c>
      <c r="I20" s="203">
        <f t="shared" si="57"/>
        <v>8.7960655758592292</v>
      </c>
      <c r="J20" s="176">
        <f>IFERROR(VLOOKUP($B20 &amp; $C20&amp;J$4&amp;$A20,tblForecast,J$2,FALSE),0)+IFERROR(VLOOKUP($B20 &amp; $C20 &amp; J$4 &amp; $A20,tblForecast,J$2+1,FALSE),0)</f>
        <v>9014658</v>
      </c>
      <c r="K20" s="300">
        <f>IFERROR(VLOOKUP($B20 &amp; $C20&amp;K$4&amp;$A20,tblForecast,K$2+2,FALSE),0)</f>
        <v>68662</v>
      </c>
      <c r="L20" s="90">
        <f t="shared" si="58"/>
        <v>0</v>
      </c>
      <c r="M20" s="90">
        <f t="shared" si="58"/>
        <v>8.9700000000000006</v>
      </c>
      <c r="N20" s="90">
        <f t="shared" si="58"/>
        <v>0</v>
      </c>
      <c r="O20" s="90">
        <f t="shared" si="58"/>
        <v>0</v>
      </c>
      <c r="P20" s="91">
        <f t="shared" si="39"/>
        <v>0</v>
      </c>
      <c r="Q20" s="238">
        <f>IFERROR(VLOOKUP($B20 &amp; $C20&amp;CompareVer,tblForecast,Q$2,FALSE),0)</f>
        <v>0</v>
      </c>
      <c r="R20" s="240">
        <f t="shared" si="59"/>
        <v>1</v>
      </c>
      <c r="S20" s="240">
        <f t="shared" si="59"/>
        <v>0</v>
      </c>
      <c r="T20" s="240">
        <f>IFERROR(VLOOKUP($B20-IF(CompareVer="LY",1,0) &amp; $C20 &amp;T$4,tblForecast,T$2,FALSE),0)</f>
        <v>0</v>
      </c>
      <c r="U20" s="91">
        <f t="shared" si="7"/>
        <v>0</v>
      </c>
      <c r="V20" s="245">
        <f t="shared" si="76"/>
        <v>0</v>
      </c>
      <c r="W20" s="331">
        <f t="shared" si="76"/>
        <v>0</v>
      </c>
      <c r="X20" s="246">
        <f t="shared" si="77"/>
        <v>0</v>
      </c>
      <c r="Y20" s="97">
        <f t="shared" si="60"/>
        <v>0</v>
      </c>
      <c r="Z20" s="90">
        <f t="shared" si="60"/>
        <v>6.91</v>
      </c>
      <c r="AA20" s="90">
        <f t="shared" si="60"/>
        <v>0</v>
      </c>
      <c r="AB20" s="90">
        <f t="shared" si="60"/>
        <v>0</v>
      </c>
      <c r="AC20" s="91">
        <f t="shared" si="9"/>
        <v>0</v>
      </c>
      <c r="AD20" s="75">
        <f>IF(AM20&lt;&gt;0,1-AR20/AM20,0)</f>
        <v>0</v>
      </c>
      <c r="AE20" s="93">
        <f t="shared" si="61"/>
        <v>0.77034559643255296</v>
      </c>
      <c r="AF20" s="93">
        <f t="shared" si="61"/>
        <v>0</v>
      </c>
      <c r="AG20" s="93">
        <f t="shared" si="61"/>
        <v>0</v>
      </c>
      <c r="AH20" s="104">
        <f>IFERROR(VLOOKUP($B20 &amp; $C20&amp;CompareVer,tblForecast,AH$2,FALSE),0)</f>
        <v>0</v>
      </c>
      <c r="AI20" s="94">
        <f t="shared" si="62"/>
        <v>14.95</v>
      </c>
      <c r="AJ20" s="94">
        <f t="shared" si="62"/>
        <v>0</v>
      </c>
      <c r="AK20" s="94">
        <f>IFERROR(VLOOKUP($B20-IF(CompareVer="LY",1,0) &amp; $C20 &amp;AK$4,tblForecast,AK$2,FALSE),0)</f>
        <v>0</v>
      </c>
      <c r="AL20" s="91">
        <f t="shared" si="12"/>
        <v>0</v>
      </c>
      <c r="AM20" s="104">
        <f>IFERROR(VLOOKUP($B20 &amp; $C20&amp;CompareVer,tblForecast,AM$2,FALSE),0)</f>
        <v>0</v>
      </c>
      <c r="AN20" s="94">
        <f t="shared" si="63"/>
        <v>8.9700000000000006</v>
      </c>
      <c r="AO20" s="94">
        <f t="shared" si="63"/>
        <v>0</v>
      </c>
      <c r="AP20" s="94">
        <f>IFERROR(VLOOKUP($B20-IF(CompareVer="LY",1,0) &amp; $C20 &amp;AP$4,tblForecast,AP$2,FALSE),0)</f>
        <v>0</v>
      </c>
      <c r="AQ20" s="91">
        <f t="shared" si="14"/>
        <v>0</v>
      </c>
      <c r="AR20" s="104">
        <f>IFERROR(VLOOKUP($B20 &amp; $C20&amp;CompareVer,tblForecast,AR$2,FALSE),0)</f>
        <v>0</v>
      </c>
      <c r="AS20" s="94">
        <f t="shared" si="64"/>
        <v>2.06</v>
      </c>
      <c r="AT20" s="94">
        <f t="shared" si="64"/>
        <v>0</v>
      </c>
      <c r="AU20" s="94">
        <f>IFERROR(VLOOKUP($B20-IF(CompareVer="LY",1,0) &amp; $C20 &amp;AU$4,tblForecast,AU$2,FALSE),0)</f>
        <v>0</v>
      </c>
      <c r="AV20" s="91">
        <f t="shared" si="16"/>
        <v>0</v>
      </c>
      <c r="AW20" s="181">
        <f t="shared" si="17"/>
        <v>0</v>
      </c>
      <c r="AX20" s="182">
        <f t="shared" si="17"/>
        <v>0.39999999999999991</v>
      </c>
      <c r="AY20" s="182">
        <f t="shared" si="17"/>
        <v>0</v>
      </c>
      <c r="AZ20" s="182">
        <f t="shared" si="17"/>
        <v>0</v>
      </c>
      <c r="BA20" s="227">
        <f t="shared" si="65"/>
        <v>-1</v>
      </c>
      <c r="BB20" s="228">
        <f>IF(IFERROR(VLOOKUP($B20 &amp; $C20&amp;BB$4,tblForecast,BB$2,FALSE),0)=0,BA20,IFERROR(VLOOKUP($B20 &amp; $C20&amp;BB$4,tblForecast,BB$2,FALSE),0))</f>
        <v>-1</v>
      </c>
      <c r="BC20" s="228">
        <f t="shared" si="66"/>
        <v>0</v>
      </c>
      <c r="BD20" s="228">
        <f t="shared" si="67"/>
        <v>-2</v>
      </c>
      <c r="BE20" s="177">
        <f t="shared" si="19"/>
        <v>-0.5</v>
      </c>
      <c r="BF20" s="228">
        <f>IFERROR(VLOOKUP($B20 &amp; $C20&amp;CompareVer,tblForecast,BF$2,FALSE),0)</f>
        <v>0</v>
      </c>
      <c r="BG20" s="228">
        <f>IFERROR(VLOOKUP($B20-IF(CompareVer="LY",1,0) &amp; $C20 &amp;BG$4,tblForecast,BG$2,FALSE),0)</f>
        <v>0</v>
      </c>
      <c r="BH20" s="179">
        <f>IF(Q20&lt;&gt;0,BA20/Q20,0)</f>
        <v>0</v>
      </c>
      <c r="BI20" s="183">
        <f>IF(T20&lt;&gt;0,BD20/T20,0)</f>
        <v>0</v>
      </c>
      <c r="BJ20" s="184">
        <f t="shared" si="20"/>
        <v>0</v>
      </c>
      <c r="BK20" s="96">
        <f t="shared" si="21"/>
        <v>0</v>
      </c>
      <c r="BL20" s="227">
        <f>IFERROR(VLOOKUP($B20 &amp; $C20&amp;CompareVer,tblForecast,BL$2,FALSE),0)</f>
        <v>0</v>
      </c>
      <c r="BM20" s="228">
        <f>IFERROR(VLOOKUP($B20-IF(CompareVer="LY",1,0) &amp; $C20 &amp;BM$4,tblForecast,BM$2,FALSE),0)</f>
        <v>0</v>
      </c>
      <c r="BN20" s="227">
        <f>IFERROR(VLOOKUP($B20 &amp; $C20&amp;CompareVer,tblForecast,BN$2,FALSE),0)</f>
        <v>0</v>
      </c>
      <c r="BO20" s="228">
        <f>IFERROR(VLOOKUP($B20-IF(CompareVer="LY",1,0) &amp; $C20 &amp;BO$4,tblForecast,BO$2,FALSE),0)</f>
        <v>0</v>
      </c>
      <c r="BP20" s="227">
        <f>IFERROR(VLOOKUP($B20 &amp; $C20&amp;CompareVer,tblForecast,BP$2,FALSE),0)</f>
        <v>0</v>
      </c>
      <c r="BQ20" s="228">
        <f>IFERROR(VLOOKUP($B20-IF(CompareVer="LY",1,0) &amp; $C20 &amp;BQ$4,tblForecast,BQ$2,FALSE),0)</f>
        <v>0</v>
      </c>
      <c r="BR20" s="227">
        <f t="shared" si="43"/>
        <v>0</v>
      </c>
      <c r="BS20" s="228">
        <f t="shared" si="22"/>
        <v>0</v>
      </c>
      <c r="BT20" s="227">
        <f t="shared" si="68"/>
        <v>0</v>
      </c>
      <c r="BU20" s="228">
        <f t="shared" si="68"/>
        <v>0</v>
      </c>
      <c r="BV20" s="228">
        <f>IFERROR(VLOOKUP($B20 &amp; $C20&amp;CompareVer,tblForecast,BV$2,FALSE),0)</f>
        <v>0</v>
      </c>
      <c r="BW20" s="228">
        <f t="shared" si="69"/>
        <v>0</v>
      </c>
      <c r="BX20" s="228">
        <f t="shared" si="69"/>
        <v>0</v>
      </c>
      <c r="BY20" s="176">
        <f>IFERROR(VLOOKUP($B20-IF(CompareVer="LY",1,0) &amp; $C20 &amp;BY$4,tblForecast,BY$2,FALSE),0)</f>
        <v>0</v>
      </c>
      <c r="BZ20" s="177">
        <f t="shared" si="25"/>
        <v>0</v>
      </c>
      <c r="CA20" s="90">
        <f t="shared" si="70"/>
        <v>0</v>
      </c>
      <c r="CB20" s="90">
        <f t="shared" si="70"/>
        <v>0</v>
      </c>
      <c r="CC20" s="90">
        <f>IFERROR(VLOOKUP($B20 &amp; $C20&amp;CompareVer,tblForecast,CC$2,FALSE),0)</f>
        <v>0</v>
      </c>
      <c r="CD20" s="90">
        <f t="shared" si="71"/>
        <v>0</v>
      </c>
      <c r="CE20" s="90">
        <f t="shared" si="71"/>
        <v>0</v>
      </c>
      <c r="CF20" s="90">
        <f>IFERROR(VLOOKUP($B20-IF(CompareVer="LY",1,0) &amp; $C20 &amp;CF$4,tblForecast,CF$2,FALSE),0)</f>
        <v>0</v>
      </c>
      <c r="CG20" s="177">
        <f t="shared" si="28"/>
        <v>0</v>
      </c>
      <c r="CH20" s="90">
        <f t="shared" si="72"/>
        <v>0</v>
      </c>
      <c r="CI20" s="90">
        <f t="shared" si="72"/>
        <v>0</v>
      </c>
      <c r="CJ20" s="90">
        <f>IFERROR(VLOOKUP($B20 &amp; $C20&amp;CompareVer,tblForecast,CJ$2,FALSE),0)</f>
        <v>0</v>
      </c>
      <c r="CK20" s="90">
        <f t="shared" si="73"/>
        <v>0</v>
      </c>
      <c r="CL20" s="90">
        <f t="shared" si="73"/>
        <v>0</v>
      </c>
      <c r="CM20" s="90">
        <f>IFERROR(VLOOKUP($B20-IF(CompareVer="LY",1,0) &amp; $C20 &amp;CM$4,tblForecast,CM$2,FALSE),0)</f>
        <v>0</v>
      </c>
      <c r="CN20" s="177">
        <f t="shared" si="31"/>
        <v>0</v>
      </c>
      <c r="CO20" s="178">
        <f t="shared" si="46"/>
        <v>0</v>
      </c>
      <c r="CP20" s="223">
        <f t="shared" si="32"/>
        <v>0</v>
      </c>
      <c r="CQ20" s="177">
        <f t="shared" si="33"/>
        <v>0</v>
      </c>
      <c r="CR20" s="178">
        <f t="shared" si="44"/>
        <v>0</v>
      </c>
      <c r="CS20" s="223">
        <f t="shared" si="34"/>
        <v>0</v>
      </c>
      <c r="CT20" s="177">
        <f t="shared" si="47"/>
        <v>0</v>
      </c>
      <c r="CW20" s="103">
        <f>IFERROR(VLOOKUP($B20 &amp; $C20&amp;CompareVer,tblForecast,CW$2,FALSE),0)</f>
        <v>-1</v>
      </c>
      <c r="CX20" s="92">
        <f>IFERROR(VLOOKUP($B20-IF(CompareVer="LY",1,0) &amp; $C20 &amp;CX$4,tblForecast,CX$2,FALSE),0)</f>
        <v>-2</v>
      </c>
      <c r="CY20" s="91">
        <f t="shared" si="36"/>
        <v>-0.5</v>
      </c>
      <c r="CZ20" s="278">
        <f>IFERROR(VLOOKUP(Brand&amp;Channel&amp;Country&amp;$C20,tblDiscount,6,FALSE),0)</f>
        <v>0.4</v>
      </c>
      <c r="DA20" s="279">
        <f>(1-CZ20)*DB20</f>
        <v>15.011999999999999</v>
      </c>
      <c r="DB20" s="279">
        <f>IFERROR(VLOOKUP(Brand&amp;Country &amp; Channel &amp;FC,tblFCSettings,8,FALSE),0)</f>
        <v>25.02</v>
      </c>
      <c r="DC20" s="280">
        <f>IFERROR(VLOOKUP(Brand&amp;Country &amp; Channel &amp;FC,tblFCSettings,9,FALSE),0)</f>
        <v>4.16</v>
      </c>
    </row>
    <row r="21" spans="1:107" s="44" customFormat="1" ht="16.5" thickBot="1" x14ac:dyDescent="0.3">
      <c r="C21" s="253" t="s">
        <v>22</v>
      </c>
      <c r="D21" s="254">
        <f>SUM(D16:D20)</f>
        <v>78744677.100699872</v>
      </c>
      <c r="E21" s="255">
        <f>SUM(E16:E20)</f>
        <v>60212560.754299909</v>
      </c>
      <c r="F21" s="256">
        <f t="shared" si="45"/>
        <v>0.76465563097425848</v>
      </c>
      <c r="G21" s="257">
        <f>SUM(G16:G20)</f>
        <v>1951660</v>
      </c>
      <c r="H21" s="258">
        <f>IFERROR(D21/G21,0)</f>
        <v>40.347538557279378</v>
      </c>
      <c r="I21" s="258">
        <f>IFERROR(SUMPRODUCT(I16:I20,G16:G20)/G21,0)</f>
        <v>9.4955660035046936</v>
      </c>
      <c r="J21" s="257">
        <f>SUM(J16:J20)</f>
        <v>46221311</v>
      </c>
      <c r="K21" s="301">
        <f>SUM(K16:K20)</f>
        <v>2215005</v>
      </c>
      <c r="L21" s="259">
        <f>SUM(L16:L20)</f>
        <v>0</v>
      </c>
      <c r="M21" s="259">
        <f t="shared" ref="M21:O21" si="78">SUM(M16:M20)</f>
        <v>8.9700000000000006</v>
      </c>
      <c r="N21" s="259">
        <f t="shared" si="78"/>
        <v>0</v>
      </c>
      <c r="O21" s="259">
        <f t="shared" si="78"/>
        <v>0</v>
      </c>
      <c r="P21" s="260">
        <f t="shared" si="39"/>
        <v>0</v>
      </c>
      <c r="Q21" s="261">
        <f>SUM(Q16:Q20)</f>
        <v>0</v>
      </c>
      <c r="R21" s="262">
        <f t="shared" ref="R21:S21" si="79">SUM(R16:R20)</f>
        <v>1</v>
      </c>
      <c r="S21" s="262">
        <f t="shared" si="79"/>
        <v>0</v>
      </c>
      <c r="T21" s="262">
        <f>SUM(T16:T20)</f>
        <v>0</v>
      </c>
      <c r="U21" s="260">
        <f t="shared" si="7"/>
        <v>0</v>
      </c>
      <c r="V21" s="263">
        <f>V20</f>
        <v>0</v>
      </c>
      <c r="W21" s="332">
        <f>W20</f>
        <v>0</v>
      </c>
      <c r="X21" s="264">
        <f>X20</f>
        <v>0</v>
      </c>
      <c r="Y21" s="254">
        <f>SUM(Y16:Y20)</f>
        <v>0</v>
      </c>
      <c r="Z21" s="259">
        <f t="shared" ref="Z21:AB21" si="80">SUM(Z16:Z20)</f>
        <v>6.91</v>
      </c>
      <c r="AA21" s="259">
        <f t="shared" si="80"/>
        <v>0</v>
      </c>
      <c r="AB21" s="259">
        <f t="shared" si="80"/>
        <v>0</v>
      </c>
      <c r="AC21" s="260">
        <f t="shared" si="9"/>
        <v>0</v>
      </c>
      <c r="AD21" s="265">
        <f>IFERROR(Y21/L21,0)</f>
        <v>0</v>
      </c>
      <c r="AE21" s="266">
        <f>IFERROR(Z21/M21,0)</f>
        <v>0.77034559643255296</v>
      </c>
      <c r="AF21" s="266">
        <f>IFERROR(AA21/N21,0)</f>
        <v>0</v>
      </c>
      <c r="AG21" s="266">
        <f>IFERROR(AB21/O21,0)</f>
        <v>0</v>
      </c>
      <c r="AH21" s="267">
        <f>IFERROR(SUMPRODUCT(AH16:AH20,Q16:Q20)/Q21,0)</f>
        <v>0</v>
      </c>
      <c r="AI21" s="268">
        <f>IFERROR(SUMPRODUCT(AI16:AI20,R16:R20)/R21,0)</f>
        <v>14.95</v>
      </c>
      <c r="AJ21" s="268">
        <f>IFERROR(SUMPRODUCT(AJ16:AJ20,S16:S20)/S21,0)</f>
        <v>0</v>
      </c>
      <c r="AK21" s="268">
        <f>IFERROR(SUMPRODUCT(AK16:AK20,T16:T20)/T21,0)</f>
        <v>0</v>
      </c>
      <c r="AL21" s="260">
        <f t="shared" si="12"/>
        <v>0</v>
      </c>
      <c r="AM21" s="267">
        <f>IF(Q21&lt;&gt;0,L21/Q21,0)</f>
        <v>0</v>
      </c>
      <c r="AN21" s="268">
        <f>IF(R21&lt;&gt;0,M21/R21,0)</f>
        <v>8.9700000000000006</v>
      </c>
      <c r="AO21" s="268">
        <f>IF(S21&lt;&gt;0,N21/S21,0)</f>
        <v>0</v>
      </c>
      <c r="AP21" s="268">
        <f>IF(T21&lt;&gt;0,O21/T21,0)</f>
        <v>0</v>
      </c>
      <c r="AQ21" s="260">
        <f t="shared" si="14"/>
        <v>0</v>
      </c>
      <c r="AR21" s="267">
        <f>IFERROR((L21*(1-AD21))/Q21,0)</f>
        <v>0</v>
      </c>
      <c r="AS21" s="268">
        <f>IFERROR((M21*(1-AE21))/R21,0)</f>
        <v>2.06</v>
      </c>
      <c r="AT21" s="268">
        <f>IFERROR((N21*(1-AF21))/S21,0)</f>
        <v>0</v>
      </c>
      <c r="AU21" s="268">
        <f>IFERROR((O21*(1-AG21))/T21,0)</f>
        <v>0</v>
      </c>
      <c r="AV21" s="260">
        <f t="shared" si="16"/>
        <v>0</v>
      </c>
      <c r="AW21" s="269">
        <f t="shared" si="17"/>
        <v>0</v>
      </c>
      <c r="AX21" s="270">
        <f t="shared" si="17"/>
        <v>0.39999999999999991</v>
      </c>
      <c r="AY21" s="270">
        <f t="shared" si="17"/>
        <v>0</v>
      </c>
      <c r="AZ21" s="270">
        <f t="shared" si="17"/>
        <v>0</v>
      </c>
      <c r="BA21" s="261">
        <f>BA20</f>
        <v>-1</v>
      </c>
      <c r="BB21" s="262">
        <f t="shared" ref="BB21:BD21" si="81">BB20</f>
        <v>-1</v>
      </c>
      <c r="BC21" s="262">
        <f t="shared" si="81"/>
        <v>0</v>
      </c>
      <c r="BD21" s="262">
        <f t="shared" si="81"/>
        <v>-2</v>
      </c>
      <c r="BE21" s="260">
        <f t="shared" si="19"/>
        <v>-0.5</v>
      </c>
      <c r="BF21" s="262">
        <f>BF20</f>
        <v>0</v>
      </c>
      <c r="BG21" s="262">
        <f>BG20</f>
        <v>0</v>
      </c>
      <c r="BH21" s="271">
        <f>IF(Q21&lt;&gt;0,(BA21*COUNTIF(BH16:BH20,"&lt;&gt;0")/Q21),0)</f>
        <v>0</v>
      </c>
      <c r="BI21" s="272">
        <f>IF(T21&lt;&gt;0,(BD21*COUNTIF(BI16:BI20,"&lt;&gt;0")/T21),0)</f>
        <v>0</v>
      </c>
      <c r="BJ21" s="273" t="e">
        <f>IF(BA21&lt;&gt;0,(Q21/COUNTIF(BJ16:BJ20,"&lt;&gt;0"))/BA21,0)</f>
        <v>#DIV/0!</v>
      </c>
      <c r="BK21" s="274" t="e">
        <f>IF(BD21&lt;&gt;0,(T21/COUNTIF(BK16:BK20,"&lt;&gt;0"))/BD21,0)</f>
        <v>#DIV/0!</v>
      </c>
      <c r="BL21" s="261">
        <f>SUM(BL16:BL20)</f>
        <v>-1</v>
      </c>
      <c r="BM21" s="262">
        <f>SUM(BM16:BM20)</f>
        <v>0</v>
      </c>
      <c r="BN21" s="261">
        <f>SUM(BN16:BN20)</f>
        <v>0</v>
      </c>
      <c r="BO21" s="262">
        <f t="shared" ref="BO21:BQ21" si="82">SUM(BO16:BO20)</f>
        <v>0</v>
      </c>
      <c r="BP21" s="261">
        <f>SUM(BP16:BP20)</f>
        <v>0</v>
      </c>
      <c r="BQ21" s="262">
        <f t="shared" si="82"/>
        <v>0</v>
      </c>
      <c r="BR21" s="261">
        <f t="shared" si="43"/>
        <v>0</v>
      </c>
      <c r="BS21" s="262">
        <f t="shared" si="22"/>
        <v>0</v>
      </c>
      <c r="BT21" s="261">
        <f t="shared" ref="BT21:BY21" si="83">SUM(BT16:BT20)</f>
        <v>0</v>
      </c>
      <c r="BU21" s="262">
        <f t="shared" si="83"/>
        <v>0</v>
      </c>
      <c r="BV21" s="262">
        <f>SUM(BV16:BV20)</f>
        <v>0</v>
      </c>
      <c r="BW21" s="262">
        <f t="shared" si="83"/>
        <v>0</v>
      </c>
      <c r="BX21" s="262">
        <f t="shared" si="83"/>
        <v>0</v>
      </c>
      <c r="BY21" s="275">
        <f t="shared" si="83"/>
        <v>0</v>
      </c>
      <c r="BZ21" s="260">
        <f t="shared" si="25"/>
        <v>0</v>
      </c>
      <c r="CA21" s="259">
        <f t="shared" ref="CA21:CF21" si="84">SUM(CA16:CA20)</f>
        <v>0</v>
      </c>
      <c r="CB21" s="259">
        <f t="shared" si="84"/>
        <v>0</v>
      </c>
      <c r="CC21" s="259">
        <f>SUM(CC16:CC20)</f>
        <v>0</v>
      </c>
      <c r="CD21" s="259">
        <f t="shared" si="84"/>
        <v>0</v>
      </c>
      <c r="CE21" s="259">
        <f t="shared" si="84"/>
        <v>0</v>
      </c>
      <c r="CF21" s="259">
        <f t="shared" si="84"/>
        <v>0</v>
      </c>
      <c r="CG21" s="260">
        <f t="shared" si="28"/>
        <v>0</v>
      </c>
      <c r="CH21" s="259">
        <f t="shared" ref="CH21:CM21" si="85">SUM(CH16:CH20)</f>
        <v>0</v>
      </c>
      <c r="CI21" s="259">
        <f t="shared" si="85"/>
        <v>0</v>
      </c>
      <c r="CJ21" s="259">
        <f>SUM(CJ16:CJ20)</f>
        <v>0</v>
      </c>
      <c r="CK21" s="259">
        <f t="shared" si="85"/>
        <v>0</v>
      </c>
      <c r="CL21" s="259">
        <f t="shared" si="85"/>
        <v>0</v>
      </c>
      <c r="CM21" s="259">
        <f t="shared" si="85"/>
        <v>0</v>
      </c>
      <c r="CN21" s="260">
        <f t="shared" si="31"/>
        <v>0</v>
      </c>
      <c r="CO21" s="276">
        <f t="shared" si="46"/>
        <v>0</v>
      </c>
      <c r="CP21" s="277">
        <f t="shared" si="32"/>
        <v>0</v>
      </c>
      <c r="CQ21" s="260">
        <f t="shared" si="33"/>
        <v>0</v>
      </c>
      <c r="CR21" s="276">
        <f t="shared" si="44"/>
        <v>0</v>
      </c>
      <c r="CS21" s="277">
        <f t="shared" si="34"/>
        <v>0</v>
      </c>
      <c r="CT21" s="260">
        <f t="shared" si="47"/>
        <v>0</v>
      </c>
      <c r="CW21" s="100">
        <f>CW20</f>
        <v>-1</v>
      </c>
      <c r="CX21" s="101">
        <f>CX20</f>
        <v>-2</v>
      </c>
      <c r="CY21" s="99">
        <f t="shared" si="36"/>
        <v>-0.5</v>
      </c>
      <c r="CZ21" s="278"/>
      <c r="DA21" s="279"/>
      <c r="DB21" s="279"/>
      <c r="DC21" s="280"/>
    </row>
    <row r="22" spans="1:107" s="44" customFormat="1" x14ac:dyDescent="0.25">
      <c r="A22" s="44" t="s">
        <v>335</v>
      </c>
      <c r="B22" s="44">
        <v>2018</v>
      </c>
      <c r="C22" s="88">
        <v>10</v>
      </c>
      <c r="D22" s="97">
        <f>G22*H22</f>
        <v>10871386.694999978</v>
      </c>
      <c r="E22" s="199">
        <f>IFERROR(D22*F22,0)</f>
        <v>8364136.3964999998</v>
      </c>
      <c r="F22" s="200">
        <f t="shared" si="45"/>
        <v>0.76937162030551953</v>
      </c>
      <c r="G22" s="198">
        <f t="shared" ref="G22:I25" si="86">IFERROR(VLOOKUP($B22 &amp; $C22&amp;G$4&amp;$A22,tblForecast,G$2,FALSE),0)</f>
        <v>249127</v>
      </c>
      <c r="H22" s="201">
        <f t="shared" si="86"/>
        <v>43.637930433072199</v>
      </c>
      <c r="I22" s="201">
        <f t="shared" si="86"/>
        <v>10.0641451889999</v>
      </c>
      <c r="J22" s="198">
        <f>IFERROR(VLOOKUP($B22 &amp; $C22&amp;J$4&amp;$A22,tblForecast,J$2,FALSE),0)+IFERROR(VLOOKUP($B22 &amp; $C22 &amp; J$4 &amp; $A22,tblForecast,J$2+1,FALSE),0)</f>
        <v>8775983</v>
      </c>
      <c r="K22" s="299">
        <f>IFERROR(VLOOKUP($B22 &amp; $C22&amp;K$4&amp;$A22,tblForecast,K$2+2,FALSE),0)</f>
        <v>358578</v>
      </c>
      <c r="L22" s="90">
        <f t="shared" ref="L22:O25" si="87">Q22*AM22</f>
        <v>0</v>
      </c>
      <c r="M22" s="90">
        <f t="shared" si="87"/>
        <v>0</v>
      </c>
      <c r="N22" s="90">
        <f t="shared" si="87"/>
        <v>0</v>
      </c>
      <c r="O22" s="90">
        <f t="shared" si="87"/>
        <v>0</v>
      </c>
      <c r="P22" s="91">
        <f t="shared" si="39"/>
        <v>0</v>
      </c>
      <c r="Q22" s="238">
        <f>IFERROR(VLOOKUP($B22 &amp; $C22&amp;CompareVer,tblForecast,Q$2,FALSE),0)</f>
        <v>0</v>
      </c>
      <c r="R22" s="239">
        <f t="shared" ref="R22:S25" si="88">IFERROR(VLOOKUP($B22 &amp; $C22&amp;R$4,tblForecast,R$2,FALSE),0)</f>
        <v>0</v>
      </c>
      <c r="S22" s="239">
        <f t="shared" si="88"/>
        <v>0</v>
      </c>
      <c r="T22" s="240">
        <f>IFERROR(VLOOKUP($B22-IF(CompareVer="LY",1,0) &amp; $C22 &amp;T$4,tblForecast,T$2,FALSE),0)</f>
        <v>0</v>
      </c>
      <c r="U22" s="91">
        <f t="shared" si="7"/>
        <v>0</v>
      </c>
      <c r="V22" s="245">
        <f>IFERROR(IF(Q20&gt;0,Q22/Q20,0),0)</f>
        <v>0</v>
      </c>
      <c r="W22" s="331">
        <f>IFERROR(IF(R20&gt;0,R22/R20,0),0)</f>
        <v>0</v>
      </c>
      <c r="X22" s="246">
        <f>IFERROR(IF(T20&gt;0,T22/T20,0),0)</f>
        <v>0</v>
      </c>
      <c r="Y22" s="97">
        <f t="shared" ref="Y22:AB25" si="89">IFERROR(L22*AD22,0)</f>
        <v>0</v>
      </c>
      <c r="Z22" s="90">
        <f t="shared" si="89"/>
        <v>0</v>
      </c>
      <c r="AA22" s="90">
        <f t="shared" si="89"/>
        <v>0</v>
      </c>
      <c r="AB22" s="90">
        <f t="shared" si="89"/>
        <v>0</v>
      </c>
      <c r="AC22" s="91">
        <f t="shared" si="9"/>
        <v>0</v>
      </c>
      <c r="AD22" s="75">
        <f>IF(AM22&lt;&gt;0,1-AR22/AM22,0)</f>
        <v>0</v>
      </c>
      <c r="AE22" s="93">
        <f t="shared" ref="AE22:AG25" si="90">IF(AN22&lt;&gt;0,1-AS22/AN22,0)</f>
        <v>0</v>
      </c>
      <c r="AF22" s="93">
        <f t="shared" si="90"/>
        <v>0</v>
      </c>
      <c r="AG22" s="93">
        <f t="shared" si="90"/>
        <v>0</v>
      </c>
      <c r="AH22" s="104">
        <f>IFERROR(VLOOKUP($B22 &amp; $C22&amp;CompareVer,tblForecast,AH$2,FALSE),0)</f>
        <v>0</v>
      </c>
      <c r="AI22" s="94">
        <f t="shared" ref="AI22:AJ25" si="91">IFERROR(VLOOKUP($B22 &amp; $C22&amp;AI$4,tblForecast,AI$2,FALSE),0)</f>
        <v>0</v>
      </c>
      <c r="AJ22" s="94">
        <f t="shared" si="91"/>
        <v>0</v>
      </c>
      <c r="AK22" s="94">
        <f>IFERROR(VLOOKUP($B22-IF(CompareVer="LY",1,0) &amp; $C22 &amp;AK$4,tblForecast,AK$2,FALSE),0)</f>
        <v>0</v>
      </c>
      <c r="AL22" s="91">
        <f t="shared" si="12"/>
        <v>0</v>
      </c>
      <c r="AM22" s="104">
        <f>IFERROR(VLOOKUP($B22 &amp; $C22&amp;CompareVer,tblForecast,AM$2,FALSE),0)</f>
        <v>0</v>
      </c>
      <c r="AN22" s="94">
        <f t="shared" ref="AN22:AO25" si="92">IFERROR(VLOOKUP($B22 &amp; $C22&amp;AN$4,tblForecast,AN$2,FALSE),0)</f>
        <v>0</v>
      </c>
      <c r="AO22" s="94">
        <f t="shared" si="92"/>
        <v>0</v>
      </c>
      <c r="AP22" s="94">
        <f>IFERROR(VLOOKUP($B22-IF(CompareVer="LY",1,0) &amp; $C22 &amp;AP$4,tblForecast,AP$2,FALSE),0)</f>
        <v>0</v>
      </c>
      <c r="AQ22" s="91">
        <f t="shared" si="14"/>
        <v>0</v>
      </c>
      <c r="AR22" s="104">
        <f>IFERROR(VLOOKUP($B22 &amp; $C22&amp;CompareVer,tblForecast,AR$2,FALSE),0)</f>
        <v>0</v>
      </c>
      <c r="AS22" s="94">
        <f t="shared" ref="AS22:AT25" si="93">IFERROR(VLOOKUP($B22 &amp; $C22&amp;AS$4,tblForecast,AS$2,FALSE),0)</f>
        <v>0</v>
      </c>
      <c r="AT22" s="94">
        <f t="shared" si="93"/>
        <v>0</v>
      </c>
      <c r="AU22" s="94">
        <f>IFERROR(VLOOKUP($B22-IF(CompareVer="LY",1,0) &amp; $C22 &amp;AU$4,tblForecast,AU$2,FALSE),0)</f>
        <v>0</v>
      </c>
      <c r="AV22" s="91">
        <f t="shared" si="16"/>
        <v>0</v>
      </c>
      <c r="AW22" s="181">
        <f t="shared" si="17"/>
        <v>0</v>
      </c>
      <c r="AX22" s="182">
        <f t="shared" si="17"/>
        <v>0</v>
      </c>
      <c r="AY22" s="182">
        <f t="shared" si="17"/>
        <v>0</v>
      </c>
      <c r="AZ22" s="182">
        <f t="shared" si="17"/>
        <v>0</v>
      </c>
      <c r="BA22" s="227">
        <f t="shared" ref="BA22:BA25" si="94">CW22+BF22</f>
        <v>-1</v>
      </c>
      <c r="BB22" s="228">
        <f>IF(IFERROR(VLOOKUP($B22 &amp; $C22&amp;BB$4,tblForecast,BB$2,FALSE),0)=0,BA22,IFERROR(VLOOKUP($B22 &amp; $C22&amp;BB$4,tblForecast,BB$2,FALSE),0))</f>
        <v>-1</v>
      </c>
      <c r="BC22" s="228">
        <f t="shared" ref="BC22:BC25" si="95">IFERROR(VLOOKUP($B22 &amp; $C22&amp;BC$4,tblForecast,BC$2,FALSE),0)</f>
        <v>0</v>
      </c>
      <c r="BD22" s="228">
        <f t="shared" ref="BD22:BD25" si="96">CX22+BG22</f>
        <v>-2</v>
      </c>
      <c r="BE22" s="177">
        <f t="shared" si="19"/>
        <v>-0.5</v>
      </c>
      <c r="BF22" s="228">
        <f>IFERROR(VLOOKUP($B22 &amp; $C22&amp;CompareVer,tblForecast,BF$2,FALSE),0)</f>
        <v>0</v>
      </c>
      <c r="BG22" s="228">
        <f>IFERROR(VLOOKUP($B22-IF(CompareVer="LY",1,0) &amp; $C22 &amp;BG$4,tblForecast,BG$2,FALSE),0)</f>
        <v>0</v>
      </c>
      <c r="BH22" s="185">
        <f>IF(Q22&lt;&gt;0,BA22/Q22,0)</f>
        <v>0</v>
      </c>
      <c r="BI22" s="186">
        <f>IF(T22&lt;&gt;0,BD22/T22,0)</f>
        <v>0</v>
      </c>
      <c r="BJ22" s="184">
        <f t="shared" si="20"/>
        <v>0</v>
      </c>
      <c r="BK22" s="96">
        <f t="shared" si="21"/>
        <v>0</v>
      </c>
      <c r="BL22" s="227">
        <f>IFERROR(VLOOKUP($B22 &amp; $C22&amp;CompareVer,tblForecast,BL$2,FALSE),0)</f>
        <v>0</v>
      </c>
      <c r="BM22" s="228">
        <f>IFERROR(VLOOKUP($B22-IF(CompareVer="LY",1,0) &amp; $C22 &amp;BM$4,tblForecast,BM$2,FALSE),0)</f>
        <v>0</v>
      </c>
      <c r="BN22" s="227">
        <f>IFERROR(VLOOKUP($B22 &amp; $C22&amp;CompareVer,tblForecast,BN$2,FALSE),0)</f>
        <v>0</v>
      </c>
      <c r="BO22" s="228">
        <f>IFERROR(VLOOKUP($B22-IF(CompareVer="LY",1,0) &amp; $C22 &amp;BO$4,tblForecast,BO$2,FALSE),0)</f>
        <v>0</v>
      </c>
      <c r="BP22" s="227">
        <f>IFERROR(VLOOKUP($B22 &amp; $C22&amp;CompareVer,tblForecast,BP$2,FALSE),0)</f>
        <v>0</v>
      </c>
      <c r="BQ22" s="228">
        <f>IFERROR(VLOOKUP($B22-IF(CompareVer="LY",1,0) &amp; $C22 &amp;BQ$4,tblForecast,BQ$2,FALSE),0)</f>
        <v>0</v>
      </c>
      <c r="BR22" s="227">
        <f t="shared" si="43"/>
        <v>0</v>
      </c>
      <c r="BS22" s="228">
        <f t="shared" si="22"/>
        <v>0</v>
      </c>
      <c r="BT22" s="227">
        <f t="shared" ref="BT22:BU25" si="97">IFERROR(VLOOKUP($B22 &amp; $C22&amp;BT$4,tblForecast,BT$2,FALSE),0)</f>
        <v>0</v>
      </c>
      <c r="BU22" s="228">
        <f t="shared" si="97"/>
        <v>0</v>
      </c>
      <c r="BV22" s="228">
        <f>IFERROR(VLOOKUP($B22 &amp; $C22&amp;CompareVer,tblForecast,BV$2,FALSE),0)</f>
        <v>0</v>
      </c>
      <c r="BW22" s="228">
        <f t="shared" ref="BW22:BX25" si="98">IFERROR(VLOOKUP($B22 &amp; $C22&amp;BW$4,tblForecast,BW$2,FALSE),0)</f>
        <v>0</v>
      </c>
      <c r="BX22" s="228">
        <f t="shared" si="98"/>
        <v>0</v>
      </c>
      <c r="BY22" s="176">
        <f>IFERROR(VLOOKUP($B22-IF(CompareVer="LY",1,0) &amp; $C22 &amp;BY$4,tblForecast,BY$2,FALSE),0)</f>
        <v>0</v>
      </c>
      <c r="BZ22" s="177">
        <f t="shared" si="25"/>
        <v>0</v>
      </c>
      <c r="CA22" s="90">
        <f t="shared" ref="CA22:CB25" si="99">IFERROR(VLOOKUP($B22 &amp; $C22&amp;CA$4,tblForecast,CA$2,FALSE),0)</f>
        <v>0</v>
      </c>
      <c r="CB22" s="90">
        <f t="shared" si="99"/>
        <v>0</v>
      </c>
      <c r="CC22" s="90">
        <f>IFERROR(VLOOKUP($B22 &amp; $C22&amp;CompareVer,tblForecast,CC$2,FALSE),0)</f>
        <v>0</v>
      </c>
      <c r="CD22" s="90">
        <f t="shared" ref="CD22:CE25" si="100">IFERROR(VLOOKUP($B22 &amp; $C22&amp;CD$4,tblForecast,CD$2,FALSE),0)</f>
        <v>0</v>
      </c>
      <c r="CE22" s="90">
        <f t="shared" si="100"/>
        <v>0</v>
      </c>
      <c r="CF22" s="90">
        <f>IFERROR(VLOOKUP($B22-IF(CompareVer="LY",1,0) &amp; $C22 &amp;CF$4,tblForecast,CF$2,FALSE),0)</f>
        <v>0</v>
      </c>
      <c r="CG22" s="177">
        <f t="shared" si="28"/>
        <v>0</v>
      </c>
      <c r="CH22" s="90">
        <f t="shared" ref="CH22:CI25" si="101">IFERROR(VLOOKUP($B22 &amp; $C22&amp;CH$4,tblForecast,CH$2,FALSE),0)</f>
        <v>0</v>
      </c>
      <c r="CI22" s="90">
        <f t="shared" si="101"/>
        <v>0</v>
      </c>
      <c r="CJ22" s="90">
        <f>IFERROR(VLOOKUP($B22 &amp; $C22&amp;CompareVer,tblForecast,CJ$2,FALSE),0)</f>
        <v>0</v>
      </c>
      <c r="CK22" s="90">
        <f t="shared" ref="CK22:CL25" si="102">IFERROR(VLOOKUP($B22 &amp; $C22&amp;CK$4,tblForecast,CK$2,FALSE),0)</f>
        <v>0</v>
      </c>
      <c r="CL22" s="90">
        <f t="shared" si="102"/>
        <v>0</v>
      </c>
      <c r="CM22" s="90">
        <f>IFERROR(VLOOKUP($B22-IF(CompareVer="LY",1,0) &amp; $C22 &amp;CM$4,tblForecast,CM$2,FALSE),0)</f>
        <v>0</v>
      </c>
      <c r="CN22" s="177">
        <f t="shared" si="31"/>
        <v>0</v>
      </c>
      <c r="CO22" s="178">
        <f t="shared" si="46"/>
        <v>0</v>
      </c>
      <c r="CP22" s="223">
        <f t="shared" si="32"/>
        <v>0</v>
      </c>
      <c r="CQ22" s="177">
        <f t="shared" si="33"/>
        <v>0</v>
      </c>
      <c r="CR22" s="178">
        <f t="shared" si="44"/>
        <v>0</v>
      </c>
      <c r="CS22" s="223">
        <f t="shared" si="34"/>
        <v>0</v>
      </c>
      <c r="CT22" s="177">
        <f t="shared" si="47"/>
        <v>0</v>
      </c>
      <c r="CW22" s="103">
        <f>IFERROR(VLOOKUP($B22 &amp; $C22&amp;CompareVer,tblForecast,CW$2,FALSE),0)</f>
        <v>-1</v>
      </c>
      <c r="CX22" s="92">
        <f>IFERROR(VLOOKUP($B22-IF(CompareVer="LY",1,0) &amp; $C22 &amp;CX$4,tblForecast,CX$2,FALSE),0)</f>
        <v>-2</v>
      </c>
      <c r="CY22" s="91">
        <f t="shared" si="36"/>
        <v>-0.5</v>
      </c>
      <c r="CZ22" s="278">
        <f>IFERROR(VLOOKUP(Brand&amp;Channel&amp;Country&amp;$C22,tblDiscount,6,FALSE),0)</f>
        <v>0.4</v>
      </c>
      <c r="DA22" s="279">
        <f>(1-CZ22)*DB22</f>
        <v>15.011999999999999</v>
      </c>
      <c r="DB22" s="279">
        <f>IFERROR(VLOOKUP(Brand&amp;Country &amp; Channel &amp;FC,tblFCSettings,8,FALSE),0)</f>
        <v>25.02</v>
      </c>
      <c r="DC22" s="280">
        <f>IFERROR(VLOOKUP(Brand&amp;Country &amp; Channel &amp;FC,tblFCSettings,9,FALSE),0)</f>
        <v>4.16</v>
      </c>
    </row>
    <row r="23" spans="1:107" s="44" customFormat="1" x14ac:dyDescent="0.25">
      <c r="A23" s="44" t="s">
        <v>335</v>
      </c>
      <c r="B23" s="44">
        <v>2018</v>
      </c>
      <c r="C23" s="88">
        <v>11</v>
      </c>
      <c r="D23" s="97">
        <f t="shared" ref="D23:D25" si="103">G23*H23</f>
        <v>14426081.28019999</v>
      </c>
      <c r="E23" s="202">
        <f t="shared" ref="E23:E25" si="104">IFERROR(D23*F23,0)</f>
        <v>10843134.13219999</v>
      </c>
      <c r="F23" s="182">
        <f t="shared" si="45"/>
        <v>0.75163406621605222</v>
      </c>
      <c r="G23" s="176">
        <f t="shared" si="86"/>
        <v>371806</v>
      </c>
      <c r="H23" s="203">
        <f t="shared" si="86"/>
        <v>38.800022808131096</v>
      </c>
      <c r="I23" s="203">
        <f t="shared" si="86"/>
        <v>9.6366038955799507</v>
      </c>
      <c r="J23" s="176">
        <f>IFERROR(VLOOKUP($B23 &amp; $C23&amp;J$4&amp;$A23,tblForecast,J$2,FALSE),0)+IFERROR(VLOOKUP($B23 &amp; $C23 &amp; J$4 &amp; $A23,tblForecast,J$2+1,FALSE),0)</f>
        <v>8692687</v>
      </c>
      <c r="K23" s="300">
        <f>IFERROR(VLOOKUP($B23 &amp; $C23&amp;K$4&amp;$A23,tblForecast,K$2+2,FALSE),0)</f>
        <v>457219</v>
      </c>
      <c r="L23" s="90">
        <f t="shared" si="87"/>
        <v>0</v>
      </c>
      <c r="M23" s="90">
        <f t="shared" si="87"/>
        <v>0</v>
      </c>
      <c r="N23" s="90">
        <f t="shared" si="87"/>
        <v>0</v>
      </c>
      <c r="O23" s="90">
        <f t="shared" si="87"/>
        <v>0</v>
      </c>
      <c r="P23" s="91">
        <f t="shared" si="39"/>
        <v>0</v>
      </c>
      <c r="Q23" s="238">
        <f>IFERROR(VLOOKUP($B23 &amp; $C23&amp;CompareVer,tblForecast,Q$2,FALSE),0)</f>
        <v>0</v>
      </c>
      <c r="R23" s="240">
        <f t="shared" si="88"/>
        <v>0</v>
      </c>
      <c r="S23" s="240">
        <f t="shared" si="88"/>
        <v>0</v>
      </c>
      <c r="T23" s="240">
        <f>IFERROR(VLOOKUP($B23-IF(CompareVer="LY",1,0) &amp; $C23 &amp;T$4,tblForecast,T$2,FALSE),0)</f>
        <v>0</v>
      </c>
      <c r="U23" s="91">
        <f t="shared" si="7"/>
        <v>0</v>
      </c>
      <c r="V23" s="245">
        <f t="shared" ref="V23:W25" si="105">IFERROR(IF(Q22&lt;&gt;0,Q23/Q22,0),0)</f>
        <v>0</v>
      </c>
      <c r="W23" s="331">
        <f t="shared" si="105"/>
        <v>0</v>
      </c>
      <c r="X23" s="246">
        <f t="shared" ref="X23:X25" si="106">IFERROR(IF(T22&lt;&gt;0,T23/T22,0),0)</f>
        <v>0</v>
      </c>
      <c r="Y23" s="97">
        <f t="shared" si="89"/>
        <v>0</v>
      </c>
      <c r="Z23" s="90">
        <f t="shared" si="89"/>
        <v>0</v>
      </c>
      <c r="AA23" s="90">
        <f t="shared" si="89"/>
        <v>0</v>
      </c>
      <c r="AB23" s="90">
        <f t="shared" si="89"/>
        <v>0</v>
      </c>
      <c r="AC23" s="91">
        <f t="shared" si="9"/>
        <v>0</v>
      </c>
      <c r="AD23" s="75">
        <f>IF(AM23&lt;&gt;0,1-AR23/AM23,0)</f>
        <v>0</v>
      </c>
      <c r="AE23" s="93">
        <f t="shared" si="90"/>
        <v>0</v>
      </c>
      <c r="AF23" s="93">
        <f t="shared" si="90"/>
        <v>0</v>
      </c>
      <c r="AG23" s="93">
        <f t="shared" si="90"/>
        <v>0</v>
      </c>
      <c r="AH23" s="104">
        <f>IFERROR(VLOOKUP($B23 &amp; $C23&amp;CompareVer,tblForecast,AH$2,FALSE),0)</f>
        <v>0</v>
      </c>
      <c r="AI23" s="94">
        <f t="shared" si="91"/>
        <v>0</v>
      </c>
      <c r="AJ23" s="94">
        <f t="shared" si="91"/>
        <v>0</v>
      </c>
      <c r="AK23" s="94">
        <f>IFERROR(VLOOKUP($B23-IF(CompareVer="LY",1,0) &amp; $C23 &amp;AK$4,tblForecast,AK$2,FALSE),0)</f>
        <v>0</v>
      </c>
      <c r="AL23" s="91">
        <f t="shared" si="12"/>
        <v>0</v>
      </c>
      <c r="AM23" s="104">
        <f>IFERROR(VLOOKUP($B23 &amp; $C23&amp;CompareVer,tblForecast,AM$2,FALSE),0)</f>
        <v>0</v>
      </c>
      <c r="AN23" s="94">
        <f t="shared" si="92"/>
        <v>0</v>
      </c>
      <c r="AO23" s="94">
        <f t="shared" si="92"/>
        <v>0</v>
      </c>
      <c r="AP23" s="94">
        <f>IFERROR(VLOOKUP($B23-IF(CompareVer="LY",1,0) &amp; $C23 &amp;AP$4,tblForecast,AP$2,FALSE),0)</f>
        <v>0</v>
      </c>
      <c r="AQ23" s="91">
        <f t="shared" si="14"/>
        <v>0</v>
      </c>
      <c r="AR23" s="104">
        <f>IFERROR(VLOOKUP($B23 &amp; $C23&amp;CompareVer,tblForecast,AR$2,FALSE),0)</f>
        <v>0</v>
      </c>
      <c r="AS23" s="94">
        <f t="shared" si="93"/>
        <v>0</v>
      </c>
      <c r="AT23" s="94">
        <f t="shared" si="93"/>
        <v>0</v>
      </c>
      <c r="AU23" s="94">
        <f>IFERROR(VLOOKUP($B23-IF(CompareVer="LY",1,0) &amp; $C23 &amp;AU$4,tblForecast,AU$2,FALSE),0)</f>
        <v>0</v>
      </c>
      <c r="AV23" s="91">
        <f t="shared" si="16"/>
        <v>0</v>
      </c>
      <c r="AW23" s="181">
        <f t="shared" si="17"/>
        <v>0</v>
      </c>
      <c r="AX23" s="182">
        <f t="shared" si="17"/>
        <v>0</v>
      </c>
      <c r="AY23" s="182">
        <f t="shared" si="17"/>
        <v>0</v>
      </c>
      <c r="AZ23" s="182">
        <f t="shared" si="17"/>
        <v>0</v>
      </c>
      <c r="BA23" s="227">
        <f t="shared" si="94"/>
        <v>2619</v>
      </c>
      <c r="BB23" s="228">
        <f>IF(IFERROR(VLOOKUP($B23 &amp; $C23&amp;BB$4,tblForecast,BB$2,FALSE),0)=0,BA23,IFERROR(VLOOKUP($B23 &amp; $C23&amp;BB$4,tblForecast,BB$2,FALSE),0))</f>
        <v>2619</v>
      </c>
      <c r="BC23" s="228">
        <f t="shared" si="95"/>
        <v>0</v>
      </c>
      <c r="BD23" s="228">
        <f t="shared" si="96"/>
        <v>25639</v>
      </c>
      <c r="BE23" s="177">
        <f t="shared" si="19"/>
        <v>-0.89785093022348761</v>
      </c>
      <c r="BF23" s="228">
        <f>IFERROR(VLOOKUP($B23 &amp; $C23&amp;CompareVer,tblForecast,BF$2,FALSE),0)</f>
        <v>2620</v>
      </c>
      <c r="BG23" s="228">
        <f>IFERROR(VLOOKUP($B23-IF(CompareVer="LY",1,0) &amp; $C23 &amp;BG$4,tblForecast,BG$2,FALSE),0)</f>
        <v>25641</v>
      </c>
      <c r="BH23" s="179">
        <f>IF(Q23&lt;&gt;0,BA23/Q23,0)</f>
        <v>0</v>
      </c>
      <c r="BI23" s="187">
        <f>IF(T23&lt;&gt;0,BD23/T23,0)</f>
        <v>0</v>
      </c>
      <c r="BJ23" s="184">
        <f t="shared" si="20"/>
        <v>0</v>
      </c>
      <c r="BK23" s="96">
        <f t="shared" si="21"/>
        <v>0</v>
      </c>
      <c r="BL23" s="227">
        <f>IFERROR(VLOOKUP($B23 &amp; $C23&amp;CompareVer,tblForecast,BL$2,FALSE),0)</f>
        <v>0</v>
      </c>
      <c r="BM23" s="228">
        <f>IFERROR(VLOOKUP($B23-IF(CompareVer="LY",1,0) &amp; $C23 &amp;BM$4,tblForecast,BM$2,FALSE),0)</f>
        <v>-2</v>
      </c>
      <c r="BN23" s="227">
        <f>IFERROR(VLOOKUP($B23 &amp; $C23&amp;CompareVer,tblForecast,BN$2,FALSE),0)</f>
        <v>0</v>
      </c>
      <c r="BO23" s="228">
        <f>IFERROR(VLOOKUP($B23-IF(CompareVer="LY",1,0) &amp; $C23 &amp;BO$4,tblForecast,BO$2,FALSE),0)</f>
        <v>0</v>
      </c>
      <c r="BP23" s="227">
        <f>IFERROR(VLOOKUP($B23 &amp; $C23&amp;CompareVer,tblForecast,BP$2,FALSE),0)</f>
        <v>0</v>
      </c>
      <c r="BQ23" s="228">
        <f>IFERROR(VLOOKUP($B23-IF(CompareVer="LY",1,0) &amp; $C23 &amp;BQ$4,tblForecast,BQ$2,FALSE),0)</f>
        <v>0</v>
      </c>
      <c r="BR23" s="227">
        <f t="shared" si="43"/>
        <v>0</v>
      </c>
      <c r="BS23" s="228">
        <f t="shared" si="22"/>
        <v>0</v>
      </c>
      <c r="BT23" s="227">
        <f t="shared" si="97"/>
        <v>0</v>
      </c>
      <c r="BU23" s="228">
        <f t="shared" si="97"/>
        <v>0</v>
      </c>
      <c r="BV23" s="228">
        <f>IFERROR(VLOOKUP($B23 &amp; $C23&amp;CompareVer,tblForecast,BV$2,FALSE),0)</f>
        <v>2620</v>
      </c>
      <c r="BW23" s="228">
        <f t="shared" si="98"/>
        <v>0</v>
      </c>
      <c r="BX23" s="228">
        <f t="shared" si="98"/>
        <v>0</v>
      </c>
      <c r="BY23" s="176">
        <f>IFERROR(VLOOKUP($B23-IF(CompareVer="LY",1,0) &amp; $C23 &amp;BY$4,tblForecast,BY$2,FALSE),0)</f>
        <v>25643</v>
      </c>
      <c r="BZ23" s="177">
        <f t="shared" si="25"/>
        <v>-0.89782786725422148</v>
      </c>
      <c r="CA23" s="90">
        <f t="shared" si="99"/>
        <v>0</v>
      </c>
      <c r="CB23" s="90">
        <f t="shared" si="99"/>
        <v>0</v>
      </c>
      <c r="CC23" s="90">
        <f>IFERROR(VLOOKUP($B23 &amp; $C23&amp;CompareVer,tblForecast,CC$2,FALSE),0)</f>
        <v>33929</v>
      </c>
      <c r="CD23" s="90">
        <f t="shared" si="100"/>
        <v>0</v>
      </c>
      <c r="CE23" s="90">
        <f t="shared" si="100"/>
        <v>0</v>
      </c>
      <c r="CF23" s="90">
        <f>IFERROR(VLOOKUP($B23-IF(CompareVer="LY",1,0) &amp; $C23 &amp;CF$4,tblForecast,CF$2,FALSE),0)</f>
        <v>691078.85</v>
      </c>
      <c r="CG23" s="177">
        <f t="shared" si="28"/>
        <v>-0.95090429984943103</v>
      </c>
      <c r="CH23" s="90">
        <f t="shared" si="101"/>
        <v>0</v>
      </c>
      <c r="CI23" s="90">
        <f t="shared" si="101"/>
        <v>0</v>
      </c>
      <c r="CJ23" s="90">
        <f>IFERROR(VLOOKUP($B23 &amp; $C23&amp;CompareVer,tblForecast,CJ$2,FALSE),0)</f>
        <v>9088.7800000000007</v>
      </c>
      <c r="CK23" s="90">
        <f t="shared" si="102"/>
        <v>0</v>
      </c>
      <c r="CL23" s="90">
        <f t="shared" si="102"/>
        <v>0</v>
      </c>
      <c r="CM23" s="90">
        <f>IFERROR(VLOOKUP($B23-IF(CompareVer="LY",1,0) &amp; $C23 &amp;CM$4,tblForecast,CM$2,FALSE),0)</f>
        <v>115106.8376</v>
      </c>
      <c r="CN23" s="177">
        <f t="shared" si="31"/>
        <v>-0.92104048560882368</v>
      </c>
      <c r="CO23" s="178">
        <f t="shared" si="46"/>
        <v>0</v>
      </c>
      <c r="CP23" s="223">
        <f t="shared" si="32"/>
        <v>26.95</v>
      </c>
      <c r="CQ23" s="177">
        <f t="shared" si="33"/>
        <v>-1</v>
      </c>
      <c r="CR23" s="178">
        <f t="shared" si="44"/>
        <v>0</v>
      </c>
      <c r="CS23" s="223">
        <f t="shared" si="34"/>
        <v>4.488821027180907</v>
      </c>
      <c r="CT23" s="177">
        <f t="shared" si="47"/>
        <v>-1</v>
      </c>
      <c r="CW23" s="103">
        <f>IFERROR(VLOOKUP($B23 &amp; $C23&amp;CompareVer,tblForecast,CW$2,FALSE),0)</f>
        <v>-1</v>
      </c>
      <c r="CX23" s="92">
        <f>IFERROR(VLOOKUP($B23-IF(CompareVer="LY",1,0) &amp; $C23 &amp;CX$4,tblForecast,CX$2,FALSE),0)</f>
        <v>-2</v>
      </c>
      <c r="CY23" s="91">
        <f t="shared" si="36"/>
        <v>-0.5</v>
      </c>
      <c r="CZ23" s="278">
        <f>IFERROR(VLOOKUP(Brand&amp;Channel&amp;Country&amp;$C23,tblDiscount,6,FALSE),0)</f>
        <v>0.45</v>
      </c>
      <c r="DA23" s="279">
        <f>(1-CZ23)*DB23</f>
        <v>13.761000000000001</v>
      </c>
      <c r="DB23" s="279">
        <f>IFERROR(VLOOKUP(Brand&amp;Country &amp; Channel &amp;FC,tblFCSettings,8,FALSE),0)</f>
        <v>25.02</v>
      </c>
      <c r="DC23" s="280">
        <f>IFERROR(VLOOKUP(Brand&amp;Country &amp; Channel &amp;FC,tblFCSettings,9,FALSE),0)</f>
        <v>4.16</v>
      </c>
    </row>
    <row r="24" spans="1:107" s="44" customFormat="1" x14ac:dyDescent="0.25">
      <c r="A24" s="44" t="s">
        <v>335</v>
      </c>
      <c r="B24" s="44">
        <v>2018</v>
      </c>
      <c r="C24" s="88">
        <v>12</v>
      </c>
      <c r="D24" s="97">
        <f t="shared" si="103"/>
        <v>14736753.578799974</v>
      </c>
      <c r="E24" s="202">
        <f t="shared" si="104"/>
        <v>11024187.365199976</v>
      </c>
      <c r="F24" s="182">
        <f t="shared" si="45"/>
        <v>0.74807435072125861</v>
      </c>
      <c r="G24" s="176">
        <f t="shared" si="86"/>
        <v>386907</v>
      </c>
      <c r="H24" s="203">
        <f t="shared" si="86"/>
        <v>38.088619691036797</v>
      </c>
      <c r="I24" s="203">
        <f t="shared" si="86"/>
        <v>9.5955002457955008</v>
      </c>
      <c r="J24" s="176">
        <f>IFERROR(VLOOKUP($B24 &amp; $C24&amp;J$4&amp;$A24,tblForecast,J$2,FALSE),0)+IFERROR(VLOOKUP($B24 &amp; $C24 &amp; J$4 &amp; $A24,tblForecast,J$2+1,FALSE),0)</f>
        <v>8321716</v>
      </c>
      <c r="K24" s="300">
        <f>IFERROR(VLOOKUP($B24 &amp; $C24&amp;K$4&amp;$A24,tblForecast,K$2+2,FALSE),0)</f>
        <v>50668</v>
      </c>
      <c r="L24" s="90">
        <f t="shared" si="87"/>
        <v>0</v>
      </c>
      <c r="M24" s="90">
        <f t="shared" si="87"/>
        <v>0</v>
      </c>
      <c r="N24" s="90">
        <f t="shared" si="87"/>
        <v>0</v>
      </c>
      <c r="O24" s="90">
        <f t="shared" si="87"/>
        <v>0</v>
      </c>
      <c r="P24" s="91">
        <f t="shared" si="39"/>
        <v>0</v>
      </c>
      <c r="Q24" s="238">
        <f>IFERROR(VLOOKUP($B24 &amp; $C24&amp;CompareVer,tblForecast,Q$2,FALSE),0)</f>
        <v>0</v>
      </c>
      <c r="R24" s="240">
        <f t="shared" si="88"/>
        <v>0</v>
      </c>
      <c r="S24" s="240">
        <f t="shared" si="88"/>
        <v>0</v>
      </c>
      <c r="T24" s="240">
        <f>IFERROR(VLOOKUP($B24-IF(CompareVer="LY",1,0) &amp; $C24 &amp;T$4,tblForecast,T$2,FALSE),0)</f>
        <v>0</v>
      </c>
      <c r="U24" s="91">
        <f t="shared" si="7"/>
        <v>0</v>
      </c>
      <c r="V24" s="245">
        <f t="shared" si="105"/>
        <v>0</v>
      </c>
      <c r="W24" s="331">
        <f t="shared" si="105"/>
        <v>0</v>
      </c>
      <c r="X24" s="246">
        <f t="shared" si="106"/>
        <v>0</v>
      </c>
      <c r="Y24" s="97">
        <f t="shared" si="89"/>
        <v>0</v>
      </c>
      <c r="Z24" s="90">
        <f t="shared" si="89"/>
        <v>0</v>
      </c>
      <c r="AA24" s="90">
        <f t="shared" si="89"/>
        <v>0</v>
      </c>
      <c r="AB24" s="90">
        <f t="shared" si="89"/>
        <v>0</v>
      </c>
      <c r="AC24" s="91">
        <f t="shared" si="9"/>
        <v>0</v>
      </c>
      <c r="AD24" s="75">
        <f>IF(AM24&lt;&gt;0,1-AR24/AM24,0)</f>
        <v>0</v>
      </c>
      <c r="AE24" s="93">
        <f t="shared" si="90"/>
        <v>0</v>
      </c>
      <c r="AF24" s="93">
        <f t="shared" si="90"/>
        <v>0</v>
      </c>
      <c r="AG24" s="93">
        <f t="shared" si="90"/>
        <v>0</v>
      </c>
      <c r="AH24" s="104">
        <f>IFERROR(VLOOKUP($B24 &amp; $C24&amp;CompareVer,tblForecast,AH$2,FALSE),0)</f>
        <v>0</v>
      </c>
      <c r="AI24" s="94">
        <f t="shared" si="91"/>
        <v>0</v>
      </c>
      <c r="AJ24" s="94">
        <f t="shared" si="91"/>
        <v>0</v>
      </c>
      <c r="AK24" s="94">
        <f>IFERROR(VLOOKUP($B24-IF(CompareVer="LY",1,0) &amp; $C24 &amp;AK$4,tblForecast,AK$2,FALSE),0)</f>
        <v>0</v>
      </c>
      <c r="AL24" s="91">
        <f t="shared" si="12"/>
        <v>0</v>
      </c>
      <c r="AM24" s="104">
        <f>IFERROR(VLOOKUP($B24 &amp; $C24&amp;CompareVer,tblForecast,AM$2,FALSE),0)</f>
        <v>0</v>
      </c>
      <c r="AN24" s="94">
        <f t="shared" si="92"/>
        <v>0</v>
      </c>
      <c r="AO24" s="94">
        <f t="shared" si="92"/>
        <v>0</v>
      </c>
      <c r="AP24" s="94">
        <f>IFERROR(VLOOKUP($B24-IF(CompareVer="LY",1,0) &amp; $C24 &amp;AP$4,tblForecast,AP$2,FALSE),0)</f>
        <v>0</v>
      </c>
      <c r="AQ24" s="91">
        <f t="shared" si="14"/>
        <v>0</v>
      </c>
      <c r="AR24" s="104">
        <f>IFERROR(VLOOKUP($B24 &amp; $C24&amp;CompareVer,tblForecast,AR$2,FALSE),0)</f>
        <v>0</v>
      </c>
      <c r="AS24" s="94">
        <f t="shared" si="93"/>
        <v>0</v>
      </c>
      <c r="AT24" s="94">
        <f t="shared" si="93"/>
        <v>0</v>
      </c>
      <c r="AU24" s="94">
        <f>IFERROR(VLOOKUP($B24-IF(CompareVer="LY",1,0) &amp; $C24 &amp;AU$4,tblForecast,AU$2,FALSE),0)</f>
        <v>0</v>
      </c>
      <c r="AV24" s="91">
        <f t="shared" si="16"/>
        <v>0</v>
      </c>
      <c r="AW24" s="181">
        <f t="shared" si="17"/>
        <v>0</v>
      </c>
      <c r="AX24" s="182">
        <f t="shared" si="17"/>
        <v>0</v>
      </c>
      <c r="AY24" s="182">
        <f t="shared" si="17"/>
        <v>0</v>
      </c>
      <c r="AZ24" s="182">
        <f t="shared" si="17"/>
        <v>0</v>
      </c>
      <c r="BA24" s="227">
        <f t="shared" si="94"/>
        <v>48093</v>
      </c>
      <c r="BB24" s="228">
        <f>IF(IFERROR(VLOOKUP($B24 &amp; $C24&amp;BB$4,tblForecast,BB$2,FALSE),0)=0,BA24,IFERROR(VLOOKUP($B24 &amp; $C24&amp;BB$4,tblForecast,BB$2,FALSE),0))</f>
        <v>48093</v>
      </c>
      <c r="BC24" s="228">
        <f t="shared" si="95"/>
        <v>0</v>
      </c>
      <c r="BD24" s="228">
        <f t="shared" si="96"/>
        <v>881519</v>
      </c>
      <c r="BE24" s="177">
        <f t="shared" si="19"/>
        <v>-0.94544303639513161</v>
      </c>
      <c r="BF24" s="228">
        <f>IFERROR(VLOOKUP($B24 &amp; $C24&amp;CompareVer,tblForecast,BF$2,FALSE),0)</f>
        <v>48094</v>
      </c>
      <c r="BG24" s="228">
        <f>IFERROR(VLOOKUP($B24-IF(CompareVer="LY",1,0) &amp; $C24 &amp;BG$4,tblForecast,BG$2,FALSE),0)</f>
        <v>881521</v>
      </c>
      <c r="BH24" s="179">
        <f>IF(Q24&lt;&gt;0,BA24/Q24,0)</f>
        <v>0</v>
      </c>
      <c r="BI24" s="187">
        <f>IF(T24&lt;&gt;0,BD24/T24,0)</f>
        <v>0</v>
      </c>
      <c r="BJ24" s="184">
        <f t="shared" si="20"/>
        <v>0</v>
      </c>
      <c r="BK24" s="96">
        <f t="shared" si="21"/>
        <v>0</v>
      </c>
      <c r="BL24" s="227">
        <f>IFERROR(VLOOKUP($B24 &amp; $C24&amp;CompareVer,tblForecast,BL$2,FALSE),0)</f>
        <v>0</v>
      </c>
      <c r="BM24" s="228">
        <f>IFERROR(VLOOKUP($B24-IF(CompareVer="LY",1,0) &amp; $C24 &amp;BM$4,tblForecast,BM$2,FALSE),0)</f>
        <v>-109</v>
      </c>
      <c r="BN24" s="227">
        <f>IFERROR(VLOOKUP($B24 &amp; $C24&amp;CompareVer,tblForecast,BN$2,FALSE),0)</f>
        <v>0</v>
      </c>
      <c r="BO24" s="228">
        <f>IFERROR(VLOOKUP($B24-IF(CompareVer="LY",1,0) &amp; $C24 &amp;BO$4,tblForecast,BO$2,FALSE),0)</f>
        <v>0</v>
      </c>
      <c r="BP24" s="227">
        <f>IFERROR(VLOOKUP($B24 &amp; $C24&amp;CompareVer,tblForecast,BP$2,FALSE),0)</f>
        <v>0</v>
      </c>
      <c r="BQ24" s="228">
        <f>IFERROR(VLOOKUP($B24-IF(CompareVer="LY",1,0) &amp; $C24 &amp;BQ$4,tblForecast,BQ$2,FALSE),0)</f>
        <v>0</v>
      </c>
      <c r="BR24" s="227">
        <f t="shared" si="43"/>
        <v>0</v>
      </c>
      <c r="BS24" s="228">
        <f t="shared" si="22"/>
        <v>0</v>
      </c>
      <c r="BT24" s="227">
        <f t="shared" si="97"/>
        <v>0</v>
      </c>
      <c r="BU24" s="228">
        <f t="shared" si="97"/>
        <v>-1503</v>
      </c>
      <c r="BV24" s="228">
        <f>IFERROR(VLOOKUP($B24 &amp; $C24&amp;CompareVer,tblForecast,BV$2,FALSE),0)</f>
        <v>45474</v>
      </c>
      <c r="BW24" s="228">
        <f t="shared" si="98"/>
        <v>0</v>
      </c>
      <c r="BX24" s="228">
        <f t="shared" si="98"/>
        <v>0</v>
      </c>
      <c r="BY24" s="176">
        <f>IFERROR(VLOOKUP($B24-IF(CompareVer="LY",1,0) &amp; $C24 &amp;BY$4,tblForecast,BY$2,FALSE),0)</f>
        <v>855989</v>
      </c>
      <c r="BZ24" s="177">
        <f t="shared" si="25"/>
        <v>-0.94687548554946388</v>
      </c>
      <c r="CA24" s="90">
        <f t="shared" si="99"/>
        <v>0</v>
      </c>
      <c r="CB24" s="90">
        <f t="shared" si="99"/>
        <v>0</v>
      </c>
      <c r="CC24" s="90">
        <f>IFERROR(VLOOKUP($B24 &amp; $C24&amp;CompareVer,tblForecast,CC$2,FALSE),0)</f>
        <v>1252533.3</v>
      </c>
      <c r="CD24" s="90">
        <f t="shared" si="100"/>
        <v>0</v>
      </c>
      <c r="CE24" s="90">
        <f t="shared" si="100"/>
        <v>0</v>
      </c>
      <c r="CF24" s="90">
        <f>IFERROR(VLOOKUP($B24-IF(CompareVer="LY",1,0) &amp; $C24 &amp;CF$4,tblForecast,CF$2,FALSE),0)</f>
        <v>19913825.550000001</v>
      </c>
      <c r="CG24" s="177">
        <f t="shared" si="28"/>
        <v>-0.93710232637846924</v>
      </c>
      <c r="CH24" s="90">
        <f t="shared" si="101"/>
        <v>0</v>
      </c>
      <c r="CI24" s="90">
        <f t="shared" si="101"/>
        <v>-3289.51</v>
      </c>
      <c r="CJ24" s="90">
        <f>IFERROR(VLOOKUP($B24 &amp; $C24&amp;CompareVer,tblForecast,CJ$2,FALSE),0)</f>
        <v>211543.75719999999</v>
      </c>
      <c r="CK24" s="90">
        <f t="shared" si="102"/>
        <v>0</v>
      </c>
      <c r="CL24" s="90">
        <f t="shared" si="102"/>
        <v>0</v>
      </c>
      <c r="CM24" s="90">
        <f>IFERROR(VLOOKUP($B24-IF(CompareVer="LY",1,0) &amp; $C24 &amp;CM$4,tblForecast,CM$2,FALSE),0)</f>
        <v>3309227.8248999999</v>
      </c>
      <c r="CN24" s="177">
        <f t="shared" si="31"/>
        <v>-0.9360745864614527</v>
      </c>
      <c r="CO24" s="178">
        <f t="shared" si="46"/>
        <v>0</v>
      </c>
      <c r="CP24" s="223">
        <f t="shared" si="32"/>
        <v>23.264113849593862</v>
      </c>
      <c r="CQ24" s="177">
        <f t="shared" si="33"/>
        <v>-1</v>
      </c>
      <c r="CR24" s="178">
        <f t="shared" si="44"/>
        <v>0</v>
      </c>
      <c r="CS24" s="223">
        <f t="shared" si="34"/>
        <v>3.8659700357130755</v>
      </c>
      <c r="CT24" s="177">
        <f t="shared" si="47"/>
        <v>-1</v>
      </c>
      <c r="CW24" s="103">
        <f>IFERROR(VLOOKUP($B24 &amp; $C24&amp;CompareVer,tblForecast,CW$2,FALSE),0)</f>
        <v>-1</v>
      </c>
      <c r="CX24" s="92">
        <f>IFERROR(VLOOKUP($B24-IF(CompareVer="LY",1,0) &amp; $C24 &amp;CX$4,tblForecast,CX$2,FALSE),0)</f>
        <v>-2</v>
      </c>
      <c r="CY24" s="91">
        <f t="shared" si="36"/>
        <v>-0.5</v>
      </c>
      <c r="CZ24" s="278">
        <f>IFERROR(VLOOKUP(Brand&amp;Channel&amp;Country&amp;$C24,tblDiscount,6,FALSE),0)</f>
        <v>0.45</v>
      </c>
      <c r="DA24" s="279">
        <f>(1-CZ24)*DB24</f>
        <v>13.761000000000001</v>
      </c>
      <c r="DB24" s="279">
        <f>IFERROR(VLOOKUP(Brand&amp;Country &amp; Channel &amp;FC,tblFCSettings,8,FALSE),0)</f>
        <v>25.02</v>
      </c>
      <c r="DC24" s="280">
        <f>IFERROR(VLOOKUP(Brand&amp;Country &amp; Channel &amp;FC,tblFCSettings,9,FALSE),0)</f>
        <v>4.16</v>
      </c>
    </row>
    <row r="25" spans="1:107" s="44" customFormat="1" ht="16.5" thickBot="1" x14ac:dyDescent="0.3">
      <c r="A25" s="44" t="s">
        <v>335</v>
      </c>
      <c r="B25" s="44">
        <v>2018</v>
      </c>
      <c r="C25" s="88">
        <v>13</v>
      </c>
      <c r="D25" s="97">
        <f t="shared" si="103"/>
        <v>11912901.464599974</v>
      </c>
      <c r="E25" s="202">
        <f t="shared" si="104"/>
        <v>8623302.4317999948</v>
      </c>
      <c r="F25" s="182">
        <f t="shared" si="45"/>
        <v>0.72386248282374743</v>
      </c>
      <c r="G25" s="176">
        <f t="shared" si="86"/>
        <v>320543</v>
      </c>
      <c r="H25" s="203">
        <f t="shared" si="86"/>
        <v>37.164753136396598</v>
      </c>
      <c r="I25" s="203">
        <f t="shared" si="86"/>
        <v>10.262582657552899</v>
      </c>
      <c r="J25" s="176">
        <f>IFERROR(VLOOKUP($B25 &amp; $C25&amp;J$4&amp;$A25,tblForecast,J$2,FALSE),0)+IFERROR(VLOOKUP($B25 &amp; $C25 &amp; J$4 &amp; $A25,tblForecast,J$2+1,FALSE),0)</f>
        <v>8377720</v>
      </c>
      <c r="K25" s="300">
        <f>IFERROR(VLOOKUP($B25 &amp; $C25&amp;K$4&amp;$A25,tblForecast,K$2+2,FALSE),0)</f>
        <v>474340</v>
      </c>
      <c r="L25" s="90">
        <f t="shared" si="87"/>
        <v>18</v>
      </c>
      <c r="M25" s="90">
        <f t="shared" si="87"/>
        <v>17.97</v>
      </c>
      <c r="N25" s="90">
        <f t="shared" si="87"/>
        <v>0</v>
      </c>
      <c r="O25" s="90">
        <f t="shared" si="87"/>
        <v>20</v>
      </c>
      <c r="P25" s="91">
        <f t="shared" si="39"/>
        <v>-9.9999999999999978E-2</v>
      </c>
      <c r="Q25" s="238">
        <f>IFERROR(VLOOKUP($B25 &amp; $C25&amp;CompareVer,tblForecast,Q$2,FALSE),0)</f>
        <v>1</v>
      </c>
      <c r="R25" s="241">
        <f t="shared" si="88"/>
        <v>1</v>
      </c>
      <c r="S25" s="241">
        <f t="shared" si="88"/>
        <v>0</v>
      </c>
      <c r="T25" s="240">
        <f>IFERROR(VLOOKUP($B25-IF(CompareVer="LY",1,0) &amp; $C25 &amp;T$4,tblForecast,T$2,FALSE),0)</f>
        <v>2</v>
      </c>
      <c r="U25" s="91">
        <f t="shared" si="7"/>
        <v>-0.5</v>
      </c>
      <c r="V25" s="245">
        <f t="shared" si="105"/>
        <v>0</v>
      </c>
      <c r="W25" s="331">
        <f t="shared" si="105"/>
        <v>0</v>
      </c>
      <c r="X25" s="246">
        <f t="shared" si="106"/>
        <v>0</v>
      </c>
      <c r="Y25" s="97">
        <f t="shared" si="89"/>
        <v>9</v>
      </c>
      <c r="Z25" s="90">
        <f t="shared" si="89"/>
        <v>8.4799999999999986</v>
      </c>
      <c r="AA25" s="90">
        <f t="shared" si="89"/>
        <v>0</v>
      </c>
      <c r="AB25" s="90">
        <f t="shared" si="89"/>
        <v>13</v>
      </c>
      <c r="AC25" s="91">
        <f t="shared" si="9"/>
        <v>-0.30769230769230771</v>
      </c>
      <c r="AD25" s="75">
        <f>IF(AM25&lt;&gt;0,1-AR25/AM25,0)</f>
        <v>0.5</v>
      </c>
      <c r="AE25" s="93">
        <f t="shared" si="90"/>
        <v>0.47189760712298268</v>
      </c>
      <c r="AF25" s="93">
        <f t="shared" si="90"/>
        <v>0</v>
      </c>
      <c r="AG25" s="93">
        <f t="shared" si="90"/>
        <v>0.65</v>
      </c>
      <c r="AH25" s="104">
        <f>IFERROR(VLOOKUP($B25 &amp; $C25&amp;CompareVer,tblForecast,AH$2,FALSE),0)</f>
        <v>29.95</v>
      </c>
      <c r="AI25" s="94">
        <f t="shared" si="91"/>
        <v>29.95</v>
      </c>
      <c r="AJ25" s="94">
        <f t="shared" si="91"/>
        <v>0</v>
      </c>
      <c r="AK25" s="94">
        <f>IFERROR(VLOOKUP($B25-IF(CompareVer="LY",1,0) &amp; $C25 &amp;AK$4,tblForecast,AK$2,FALSE),0)</f>
        <v>18.45</v>
      </c>
      <c r="AL25" s="91">
        <f t="shared" si="12"/>
        <v>0.62330623306233068</v>
      </c>
      <c r="AM25" s="104">
        <f>IFERROR(VLOOKUP($B25 &amp; $C25&amp;CompareVer,tblForecast,AM$2,FALSE),0)</f>
        <v>18</v>
      </c>
      <c r="AN25" s="94">
        <f t="shared" si="92"/>
        <v>17.97</v>
      </c>
      <c r="AO25" s="94">
        <f t="shared" si="92"/>
        <v>0</v>
      </c>
      <c r="AP25" s="94">
        <f>IFERROR(VLOOKUP($B25-IF(CompareVer="LY",1,0) &amp; $C25 &amp;AP$4,tblForecast,AP$2,FALSE),0)</f>
        <v>10</v>
      </c>
      <c r="AQ25" s="91">
        <f t="shared" si="14"/>
        <v>0.8</v>
      </c>
      <c r="AR25" s="104">
        <f>IFERROR(VLOOKUP($B25 &amp; $C25&amp;CompareVer,tblForecast,AR$2,FALSE),0)</f>
        <v>9</v>
      </c>
      <c r="AS25" s="94">
        <f t="shared" si="93"/>
        <v>9.49</v>
      </c>
      <c r="AT25" s="94">
        <f t="shared" si="93"/>
        <v>0</v>
      </c>
      <c r="AU25" s="94">
        <f>IFERROR(VLOOKUP($B25-IF(CompareVer="LY",1,0) &amp; $C25 &amp;AU$4,tblForecast,AU$2,FALSE),0)</f>
        <v>3.5</v>
      </c>
      <c r="AV25" s="91">
        <f t="shared" si="16"/>
        <v>1.5714285714285716</v>
      </c>
      <c r="AW25" s="181">
        <f t="shared" si="17"/>
        <v>0.39899833055091816</v>
      </c>
      <c r="AX25" s="182">
        <f t="shared" si="17"/>
        <v>0.4</v>
      </c>
      <c r="AY25" s="182">
        <f t="shared" si="17"/>
        <v>0</v>
      </c>
      <c r="AZ25" s="182">
        <f t="shared" si="17"/>
        <v>0.4579945799457994</v>
      </c>
      <c r="BA25" s="227">
        <f t="shared" si="94"/>
        <v>525557</v>
      </c>
      <c r="BB25" s="228">
        <f>IF(IFERROR(VLOOKUP($B25 &amp; $C25&amp;BB$4,tblForecast,BB$2,FALSE),0)=0,BA25,IFERROR(VLOOKUP($B25 &amp; $C25&amp;BB$4,tblForecast,BB$2,FALSE),0))</f>
        <v>525557</v>
      </c>
      <c r="BC25" s="228">
        <f t="shared" si="95"/>
        <v>0</v>
      </c>
      <c r="BD25" s="228">
        <f t="shared" si="96"/>
        <v>1112279</v>
      </c>
      <c r="BE25" s="177">
        <f t="shared" si="19"/>
        <v>-0.52749534963799549</v>
      </c>
      <c r="BF25" s="228">
        <f>IFERROR(VLOOKUP($B25 &amp; $C25&amp;CompareVer,tblForecast,BF$2,FALSE),0)</f>
        <v>525559</v>
      </c>
      <c r="BG25" s="228">
        <f>IFERROR(VLOOKUP($B25-IF(CompareVer="LY",1,0) &amp; $C25 &amp;BG$4,tblForecast,BG$2,FALSE),0)</f>
        <v>1112283</v>
      </c>
      <c r="BH25" s="188">
        <f>IF(Q25&lt;&gt;0,BA25/Q25,0)</f>
        <v>525557</v>
      </c>
      <c r="BI25" s="189">
        <f>IF(T25&lt;&gt;0,BD25/T25,0)</f>
        <v>556139.5</v>
      </c>
      <c r="BJ25" s="184">
        <f t="shared" si="20"/>
        <v>1.9027431848495977E-6</v>
      </c>
      <c r="BK25" s="96">
        <f t="shared" si="21"/>
        <v>1.7981100065720921E-6</v>
      </c>
      <c r="BL25" s="227">
        <f>IFERROR(VLOOKUP($B25 &amp; $C25&amp;CompareVer,tblForecast,BL$2,FALSE),0)</f>
        <v>3125</v>
      </c>
      <c r="BM25" s="228">
        <f>IFERROR(VLOOKUP($B25-IF(CompareVer="LY",1,0) &amp; $C25 &amp;BM$4,tblForecast,BM$2,FALSE),0)</f>
        <v>18</v>
      </c>
      <c r="BN25" s="227">
        <f>IFERROR(VLOOKUP($B25 &amp; $C25&amp;CompareVer,tblForecast,BN$2,FALSE),0)</f>
        <v>0</v>
      </c>
      <c r="BO25" s="228">
        <f>IFERROR(VLOOKUP($B25-IF(CompareVer="LY",1,0) &amp; $C25 &amp;BO$4,tblForecast,BO$2,FALSE),0)</f>
        <v>0</v>
      </c>
      <c r="BP25" s="227">
        <f>IFERROR(VLOOKUP($B25 &amp; $C25&amp;CompareVer,tblForecast,BP$2,FALSE),0)</f>
        <v>0</v>
      </c>
      <c r="BQ25" s="228">
        <f>IFERROR(VLOOKUP($B25-IF(CompareVer="LY",1,0) &amp; $C25 &amp;BQ$4,tblForecast,BQ$2,FALSE),0)</f>
        <v>0</v>
      </c>
      <c r="BR25" s="227">
        <f t="shared" si="43"/>
        <v>0</v>
      </c>
      <c r="BS25" s="228">
        <f t="shared" si="22"/>
        <v>0</v>
      </c>
      <c r="BT25" s="227">
        <f t="shared" si="97"/>
        <v>0</v>
      </c>
      <c r="BU25" s="228">
        <f t="shared" si="97"/>
        <v>-5695</v>
      </c>
      <c r="BV25" s="228">
        <f>IFERROR(VLOOKUP($B25 &amp; $C25&amp;CompareVer,tblForecast,BV$2,FALSE),0)</f>
        <v>474340</v>
      </c>
      <c r="BW25" s="228">
        <f t="shared" si="98"/>
        <v>0</v>
      </c>
      <c r="BX25" s="228">
        <f t="shared" si="98"/>
        <v>0</v>
      </c>
      <c r="BY25" s="176">
        <f>IFERROR(VLOOKUP($B25-IF(CompareVer="LY",1,0) &amp; $C25 &amp;BY$4,tblForecast,BY$2,FALSE),0)</f>
        <v>230744</v>
      </c>
      <c r="BZ25" s="177">
        <f t="shared" si="25"/>
        <v>1.0556980896578025</v>
      </c>
      <c r="CA25" s="90">
        <f t="shared" si="99"/>
        <v>0</v>
      </c>
      <c r="CB25" s="90">
        <f t="shared" si="99"/>
        <v>0</v>
      </c>
      <c r="CC25" s="90">
        <f>IFERROR(VLOOKUP($B25 &amp; $C25&amp;CompareVer,tblForecast,CC$2,FALSE),0)</f>
        <v>11734366</v>
      </c>
      <c r="CD25" s="90">
        <f t="shared" si="100"/>
        <v>0</v>
      </c>
      <c r="CE25" s="90">
        <f t="shared" si="100"/>
        <v>0</v>
      </c>
      <c r="CF25" s="90">
        <f>IFERROR(VLOOKUP($B25-IF(CompareVer="LY",1,0) &amp; $C25 &amp;CF$4,tblForecast,CF$2,FALSE),0)</f>
        <v>5330517.8</v>
      </c>
      <c r="CG25" s="177">
        <f t="shared" si="28"/>
        <v>1.2013557482164305</v>
      </c>
      <c r="CH25" s="90">
        <f t="shared" si="101"/>
        <v>0</v>
      </c>
      <c r="CI25" s="90">
        <f t="shared" si="101"/>
        <v>-19898.2</v>
      </c>
      <c r="CJ25" s="90">
        <f>IFERROR(VLOOKUP($B25 &amp; $C25&amp;CompareVer,tblForecast,CJ$2,FALSE),0)</f>
        <v>1959649.2675999999</v>
      </c>
      <c r="CK25" s="90">
        <f t="shared" si="102"/>
        <v>0</v>
      </c>
      <c r="CL25" s="90">
        <f t="shared" si="102"/>
        <v>0</v>
      </c>
      <c r="CM25" s="90">
        <f>IFERROR(VLOOKUP($B25-IF(CompareVer="LY",1,0) &amp; $C25 &amp;CM$4,tblForecast,CM$2,FALSE),0)</f>
        <v>832883.99580000003</v>
      </c>
      <c r="CN25" s="177">
        <f t="shared" si="31"/>
        <v>1.3528477885059149</v>
      </c>
      <c r="CO25" s="178">
        <f t="shared" si="46"/>
        <v>0</v>
      </c>
      <c r="CP25" s="223">
        <f t="shared" si="32"/>
        <v>23.101436223693788</v>
      </c>
      <c r="CQ25" s="177">
        <f t="shared" si="33"/>
        <v>-1</v>
      </c>
      <c r="CR25" s="178">
        <f t="shared" si="44"/>
        <v>0</v>
      </c>
      <c r="CS25" s="223">
        <f t="shared" si="34"/>
        <v>3.6095586268765385</v>
      </c>
      <c r="CT25" s="177">
        <f t="shared" si="47"/>
        <v>-1</v>
      </c>
      <c r="CW25" s="103">
        <f>IFERROR(VLOOKUP($B25 &amp; $C25&amp;CompareVer,tblForecast,CW$2,FALSE),0)</f>
        <v>-2</v>
      </c>
      <c r="CX25" s="92">
        <f>IFERROR(VLOOKUP($B25-IF(CompareVer="LY",1,0) &amp; $C25 &amp;CX$4,tblForecast,CX$2,FALSE),0)</f>
        <v>-4</v>
      </c>
      <c r="CY25" s="91">
        <f t="shared" si="36"/>
        <v>-0.5</v>
      </c>
      <c r="CZ25" s="278">
        <f>IFERROR(VLOOKUP(Brand&amp;Channel&amp;Country&amp;$C25,tblDiscount,6,FALSE),0)</f>
        <v>0.45</v>
      </c>
      <c r="DA25" s="279">
        <f>(1-CZ25)*DB25</f>
        <v>13.761000000000001</v>
      </c>
      <c r="DB25" s="279">
        <f>IFERROR(VLOOKUP(Brand&amp;Country &amp; Channel &amp;FC,tblFCSettings,8,FALSE),0)</f>
        <v>25.02</v>
      </c>
      <c r="DC25" s="280">
        <f>IFERROR(VLOOKUP(Brand&amp;Country &amp; Channel &amp;FC,tblFCSettings,9,FALSE),0)</f>
        <v>4.16</v>
      </c>
    </row>
    <row r="26" spans="1:107" s="44" customFormat="1" ht="16.5" thickBot="1" x14ac:dyDescent="0.3">
      <c r="C26" s="253" t="s">
        <v>23</v>
      </c>
      <c r="D26" s="254">
        <f t="shared" ref="D26" si="107">SUM(D22:D25)</f>
        <v>51947123.01859992</v>
      </c>
      <c r="E26" s="255">
        <f t="shared" ref="E26" si="108">SUM(E22:E25)</f>
        <v>38854760.325699963</v>
      </c>
      <c r="F26" s="256">
        <f t="shared" si="45"/>
        <v>0.74796751134394546</v>
      </c>
      <c r="G26" s="257">
        <f>SUM(G22:G25)</f>
        <v>1328383</v>
      </c>
      <c r="H26" s="258">
        <f>IFERROR(D26/G26,0)</f>
        <v>39.105531325378237</v>
      </c>
      <c r="I26" s="258">
        <f>IFERROR(SUMPRODUCT(I22:I25,G22:G25)/G26,0)</f>
        <v>9.8558643801523793</v>
      </c>
      <c r="J26" s="257">
        <f>SUM(J22:J25)</f>
        <v>34168106</v>
      </c>
      <c r="K26" s="301">
        <f>SUM(K22:K25)</f>
        <v>1340805</v>
      </c>
      <c r="L26" s="259">
        <f>SUM(L22:L25)</f>
        <v>18</v>
      </c>
      <c r="M26" s="259">
        <f t="shared" ref="M26:O26" si="109">SUM(M22:M25)</f>
        <v>17.97</v>
      </c>
      <c r="N26" s="259">
        <f t="shared" si="109"/>
        <v>0</v>
      </c>
      <c r="O26" s="259">
        <f t="shared" si="109"/>
        <v>20</v>
      </c>
      <c r="P26" s="260">
        <f t="shared" si="39"/>
        <v>-9.9999999999999978E-2</v>
      </c>
      <c r="Q26" s="261">
        <f>SUM(Q22:Q25)</f>
        <v>1</v>
      </c>
      <c r="R26" s="262">
        <f t="shared" ref="R26:S26" si="110">SUM(R22:R25)</f>
        <v>1</v>
      </c>
      <c r="S26" s="262">
        <f t="shared" si="110"/>
        <v>0</v>
      </c>
      <c r="T26" s="262">
        <f>SUM(T22:T25)</f>
        <v>2</v>
      </c>
      <c r="U26" s="260">
        <f t="shared" si="7"/>
        <v>-0.5</v>
      </c>
      <c r="V26" s="263">
        <f t="shared" ref="V26:X27" si="111">V25</f>
        <v>0</v>
      </c>
      <c r="W26" s="332">
        <f t="shared" si="111"/>
        <v>0</v>
      </c>
      <c r="X26" s="264">
        <f t="shared" si="111"/>
        <v>0</v>
      </c>
      <c r="Y26" s="254">
        <f>SUM(Y22:Y25)</f>
        <v>9</v>
      </c>
      <c r="Z26" s="259">
        <f t="shared" ref="Z26:AB26" si="112">SUM(Z22:Z25)</f>
        <v>8.4799999999999986</v>
      </c>
      <c r="AA26" s="259">
        <f t="shared" si="112"/>
        <v>0</v>
      </c>
      <c r="AB26" s="259">
        <f t="shared" si="112"/>
        <v>13</v>
      </c>
      <c r="AC26" s="260">
        <f t="shared" si="9"/>
        <v>-0.30769230769230771</v>
      </c>
      <c r="AD26" s="265">
        <f t="shared" ref="AD26:AG27" si="113">IFERROR(Y26/L26,0)</f>
        <v>0.5</v>
      </c>
      <c r="AE26" s="266">
        <f t="shared" si="113"/>
        <v>0.47189760712298268</v>
      </c>
      <c r="AF26" s="266">
        <f t="shared" si="113"/>
        <v>0</v>
      </c>
      <c r="AG26" s="266">
        <f t="shared" si="113"/>
        <v>0.65</v>
      </c>
      <c r="AH26" s="267">
        <f>IFERROR(SUMPRODUCT(AH22:AH25,Q22:Q25)/Q26,0)</f>
        <v>29.95</v>
      </c>
      <c r="AI26" s="268">
        <f>IFERROR(SUMPRODUCT(AI22:AI25,R22:R25)/R26,0)</f>
        <v>29.95</v>
      </c>
      <c r="AJ26" s="268">
        <f t="shared" ref="AJ26:AK26" si="114">IFERROR(SUMPRODUCT(AJ22:AJ25,S22:S25)/S26,0)</f>
        <v>0</v>
      </c>
      <c r="AK26" s="268">
        <f t="shared" si="114"/>
        <v>18.45</v>
      </c>
      <c r="AL26" s="260">
        <f t="shared" si="12"/>
        <v>0.62330623306233068</v>
      </c>
      <c r="AM26" s="267">
        <f t="shared" ref="AM26:AP27" si="115">IF(Q26&lt;&gt;0,L26/Q26,0)</f>
        <v>18</v>
      </c>
      <c r="AN26" s="268">
        <f t="shared" si="115"/>
        <v>17.97</v>
      </c>
      <c r="AO26" s="268">
        <f t="shared" si="115"/>
        <v>0</v>
      </c>
      <c r="AP26" s="268">
        <f t="shared" si="115"/>
        <v>10</v>
      </c>
      <c r="AQ26" s="260">
        <f t="shared" si="14"/>
        <v>0.8</v>
      </c>
      <c r="AR26" s="267">
        <f t="shared" ref="AR26:AU27" si="116">IFERROR((L26*(1-AD26))/Q26,0)</f>
        <v>9</v>
      </c>
      <c r="AS26" s="268">
        <f t="shared" si="116"/>
        <v>9.49</v>
      </c>
      <c r="AT26" s="268">
        <f t="shared" si="116"/>
        <v>0</v>
      </c>
      <c r="AU26" s="268">
        <f t="shared" si="116"/>
        <v>3.5</v>
      </c>
      <c r="AV26" s="260">
        <f t="shared" si="16"/>
        <v>1.5714285714285716</v>
      </c>
      <c r="AW26" s="269">
        <f t="shared" si="17"/>
        <v>0.39899833055091816</v>
      </c>
      <c r="AX26" s="270">
        <f t="shared" si="17"/>
        <v>0.4</v>
      </c>
      <c r="AY26" s="270">
        <f t="shared" si="17"/>
        <v>0</v>
      </c>
      <c r="AZ26" s="270">
        <f t="shared" si="17"/>
        <v>0.4579945799457994</v>
      </c>
      <c r="BA26" s="261">
        <f t="shared" ref="BA26:BD27" si="117">BA25</f>
        <v>525557</v>
      </c>
      <c r="BB26" s="262">
        <f t="shared" si="117"/>
        <v>525557</v>
      </c>
      <c r="BC26" s="262">
        <f t="shared" si="117"/>
        <v>0</v>
      </c>
      <c r="BD26" s="262">
        <f t="shared" si="117"/>
        <v>1112279</v>
      </c>
      <c r="BE26" s="260">
        <f t="shared" si="19"/>
        <v>-0.52749534963799549</v>
      </c>
      <c r="BF26" s="262">
        <f>BF25</f>
        <v>525559</v>
      </c>
      <c r="BG26" s="262">
        <f>BG25</f>
        <v>1112283</v>
      </c>
      <c r="BH26" s="271">
        <f>IF(Q26&lt;&gt;0,(BA26*COUNTIF(BH22:BH25,"&lt;&gt;0")/Q26),0)</f>
        <v>525557</v>
      </c>
      <c r="BI26" s="272">
        <f>IF(T26&lt;&gt;0,(BD26*COUNTIF(BI22:BI25,"&lt;&gt;0")/T26),0)</f>
        <v>556139.5</v>
      </c>
      <c r="BJ26" s="273">
        <f>IF(BA26&lt;&gt;0,(Q26/COUNTIF(BJ22:BJ25,"&lt;&gt;0"))/BA26,0)</f>
        <v>1.9027431848495977E-6</v>
      </c>
      <c r="BK26" s="274">
        <f>IF(BD26&lt;&gt;0,(T26/COUNTIF(BK22:BK25,"&lt;&gt;0"))/BD26,0)</f>
        <v>1.7981100065720921E-6</v>
      </c>
      <c r="BL26" s="261">
        <f>SUM(BL22:BL25)</f>
        <v>3125</v>
      </c>
      <c r="BM26" s="262">
        <f>SUM(BM22:BM25)</f>
        <v>-93</v>
      </c>
      <c r="BN26" s="261">
        <f>SUM(BN22:BN25)</f>
        <v>0</v>
      </c>
      <c r="BO26" s="262">
        <f t="shared" ref="BO26:BQ26" si="118">SUM(BO22:BO25)</f>
        <v>0</v>
      </c>
      <c r="BP26" s="261">
        <f>SUM(BP22:BP25)</f>
        <v>0</v>
      </c>
      <c r="BQ26" s="262">
        <f t="shared" si="118"/>
        <v>0</v>
      </c>
      <c r="BR26" s="261">
        <f t="shared" si="43"/>
        <v>0</v>
      </c>
      <c r="BS26" s="262">
        <f t="shared" si="22"/>
        <v>0</v>
      </c>
      <c r="BT26" s="261">
        <f t="shared" ref="BT26:BY26" si="119">SUM(BT22:BT25)</f>
        <v>0</v>
      </c>
      <c r="BU26" s="262">
        <f t="shared" si="119"/>
        <v>-7198</v>
      </c>
      <c r="BV26" s="262">
        <f>SUM(BV22:BV25)</f>
        <v>522434</v>
      </c>
      <c r="BW26" s="262">
        <f t="shared" si="119"/>
        <v>0</v>
      </c>
      <c r="BX26" s="262">
        <f t="shared" si="119"/>
        <v>0</v>
      </c>
      <c r="BY26" s="275">
        <f t="shared" si="119"/>
        <v>1112376</v>
      </c>
      <c r="BZ26" s="260">
        <f t="shared" si="25"/>
        <v>-0.53034405632627823</v>
      </c>
      <c r="CA26" s="259">
        <f t="shared" ref="CA26:CF26" si="120">SUM(CA22:CA25)</f>
        <v>0</v>
      </c>
      <c r="CB26" s="259">
        <f t="shared" si="120"/>
        <v>0</v>
      </c>
      <c r="CC26" s="259">
        <f>SUM(CC22:CC25)</f>
        <v>13020828.300000001</v>
      </c>
      <c r="CD26" s="259">
        <f t="shared" si="120"/>
        <v>0</v>
      </c>
      <c r="CE26" s="259">
        <f t="shared" si="120"/>
        <v>0</v>
      </c>
      <c r="CF26" s="259">
        <f t="shared" si="120"/>
        <v>25935422.200000003</v>
      </c>
      <c r="CG26" s="260">
        <f t="shared" si="28"/>
        <v>-0.49795194388622677</v>
      </c>
      <c r="CH26" s="259">
        <f t="shared" ref="CH26:CM26" si="121">SUM(CH22:CH25)</f>
        <v>0</v>
      </c>
      <c r="CI26" s="259">
        <f t="shared" si="121"/>
        <v>-23187.71</v>
      </c>
      <c r="CJ26" s="259">
        <f>SUM(CJ22:CJ25)</f>
        <v>2180281.8048</v>
      </c>
      <c r="CK26" s="259">
        <f t="shared" si="121"/>
        <v>0</v>
      </c>
      <c r="CL26" s="259">
        <f t="shared" si="121"/>
        <v>0</v>
      </c>
      <c r="CM26" s="259">
        <f t="shared" si="121"/>
        <v>4257218.6583000002</v>
      </c>
      <c r="CN26" s="260">
        <f t="shared" si="31"/>
        <v>-0.48786238626732081</v>
      </c>
      <c r="CO26" s="276">
        <f t="shared" si="46"/>
        <v>0</v>
      </c>
      <c r="CP26" s="277">
        <f t="shared" si="32"/>
        <v>23.315337799449111</v>
      </c>
      <c r="CQ26" s="260">
        <f t="shared" si="33"/>
        <v>-1</v>
      </c>
      <c r="CR26" s="276">
        <f t="shared" si="44"/>
        <v>0</v>
      </c>
      <c r="CS26" s="277">
        <f t="shared" si="34"/>
        <v>3.8271399763209564</v>
      </c>
      <c r="CT26" s="260">
        <f t="shared" si="47"/>
        <v>-1</v>
      </c>
      <c r="CW26" s="100">
        <f>CW25</f>
        <v>-2</v>
      </c>
      <c r="CX26" s="101">
        <f>CX25</f>
        <v>-4</v>
      </c>
      <c r="CY26" s="99">
        <f t="shared" si="36"/>
        <v>-0.5</v>
      </c>
      <c r="CZ26" s="278"/>
      <c r="DA26" s="279"/>
      <c r="DB26" s="279"/>
      <c r="DC26" s="280"/>
    </row>
    <row r="27" spans="1:107" s="44" customFormat="1" ht="16.5" thickBot="1" x14ac:dyDescent="0.3">
      <c r="C27" s="105" t="s">
        <v>24</v>
      </c>
      <c r="D27" s="52">
        <f t="shared" ref="D27:E27" si="122">D15+D21+D26</f>
        <v>188688610.04729974</v>
      </c>
      <c r="E27" s="205">
        <f t="shared" si="122"/>
        <v>144813289.73229983</v>
      </c>
      <c r="F27" s="206">
        <f t="shared" si="45"/>
        <v>0.76747234343397086</v>
      </c>
      <c r="G27" s="204">
        <f>G15+G21+G26</f>
        <v>4617764</v>
      </c>
      <c r="H27" s="207">
        <f>IFERROR(D27/G27,0)</f>
        <v>40.861466728767375</v>
      </c>
      <c r="I27" s="58">
        <f>IFERROR((I15*G15+I21*G21+I26*G26)/G27,0)</f>
        <v>9.5014211022910473</v>
      </c>
      <c r="J27" s="204">
        <f t="shared" ref="J27:K27" si="123">J15+J21+J26</f>
        <v>114859569</v>
      </c>
      <c r="K27" s="302">
        <f t="shared" si="123"/>
        <v>6827937</v>
      </c>
      <c r="L27" s="53">
        <f>L15+L21+L26</f>
        <v>18</v>
      </c>
      <c r="M27" s="53">
        <f t="shared" ref="M27:O27" si="124">M15+M21+M26</f>
        <v>26.939999999999998</v>
      </c>
      <c r="N27" s="53">
        <f t="shared" si="124"/>
        <v>0</v>
      </c>
      <c r="O27" s="53">
        <f t="shared" si="124"/>
        <v>20</v>
      </c>
      <c r="P27" s="54">
        <f t="shared" si="39"/>
        <v>-9.9999999999999978E-2</v>
      </c>
      <c r="Q27" s="230">
        <f t="shared" ref="Q27:S27" si="125">Q15+Q21+Q26</f>
        <v>1</v>
      </c>
      <c r="R27" s="230">
        <f t="shared" si="125"/>
        <v>2</v>
      </c>
      <c r="S27" s="230">
        <f t="shared" si="125"/>
        <v>0</v>
      </c>
      <c r="T27" s="230">
        <f>T15+T21+T26</f>
        <v>2</v>
      </c>
      <c r="U27" s="54">
        <f t="shared" si="7"/>
        <v>-0.5</v>
      </c>
      <c r="V27" s="247">
        <f t="shared" si="111"/>
        <v>0</v>
      </c>
      <c r="W27" s="333">
        <f t="shared" si="111"/>
        <v>0</v>
      </c>
      <c r="X27" s="248">
        <f t="shared" si="111"/>
        <v>0</v>
      </c>
      <c r="Y27" s="52">
        <f>Y15+Y21+Y26</f>
        <v>9</v>
      </c>
      <c r="Z27" s="53">
        <f t="shared" ref="Z27:AB27" si="126">Z15+Z21+Z26</f>
        <v>15.389999999999999</v>
      </c>
      <c r="AA27" s="53">
        <f t="shared" si="126"/>
        <v>0</v>
      </c>
      <c r="AB27" s="53">
        <f t="shared" si="126"/>
        <v>13</v>
      </c>
      <c r="AC27" s="54">
        <f t="shared" si="9"/>
        <v>-0.30769230769230771</v>
      </c>
      <c r="AD27" s="77">
        <f t="shared" si="113"/>
        <v>0.5</v>
      </c>
      <c r="AE27" s="78">
        <f t="shared" si="113"/>
        <v>0.57126948775055675</v>
      </c>
      <c r="AF27" s="78">
        <f t="shared" si="113"/>
        <v>0</v>
      </c>
      <c r="AG27" s="78">
        <f t="shared" si="113"/>
        <v>0.65</v>
      </c>
      <c r="AH27" s="58">
        <f>IFERROR((AH15*Q15+AH21*Q21+AH26*Q26)/Q27,0)</f>
        <v>29.95</v>
      </c>
      <c r="AI27" s="58">
        <f t="shared" ref="AI27:AL27" si="127">IFERROR((AI15*R15+AI21*R21+AI26*R26)/R27,0)</f>
        <v>22.45</v>
      </c>
      <c r="AJ27" s="58">
        <f t="shared" si="127"/>
        <v>0</v>
      </c>
      <c r="AK27" s="58">
        <f t="shared" si="127"/>
        <v>18.45</v>
      </c>
      <c r="AL27" s="54">
        <f t="shared" si="127"/>
        <v>0.62330623306233068</v>
      </c>
      <c r="AM27" s="57">
        <f t="shared" si="115"/>
        <v>18</v>
      </c>
      <c r="AN27" s="58">
        <f t="shared" si="115"/>
        <v>13.469999999999999</v>
      </c>
      <c r="AO27" s="58">
        <f t="shared" si="115"/>
        <v>0</v>
      </c>
      <c r="AP27" s="58">
        <f t="shared" si="115"/>
        <v>10</v>
      </c>
      <c r="AQ27" s="54">
        <f t="shared" si="14"/>
        <v>0.8</v>
      </c>
      <c r="AR27" s="57">
        <f t="shared" si="116"/>
        <v>9</v>
      </c>
      <c r="AS27" s="58">
        <f t="shared" si="116"/>
        <v>5.7750000000000004</v>
      </c>
      <c r="AT27" s="58">
        <f t="shared" si="116"/>
        <v>0</v>
      </c>
      <c r="AU27" s="58">
        <f t="shared" si="116"/>
        <v>3.5</v>
      </c>
      <c r="AV27" s="54">
        <f t="shared" si="16"/>
        <v>1.5714285714285716</v>
      </c>
      <c r="AW27" s="59">
        <f t="shared" ref="AW27:AZ42" si="128">IFERROR((AM27/AH27-1)*-1,0)</f>
        <v>0.39899833055091816</v>
      </c>
      <c r="AX27" s="60">
        <f t="shared" si="128"/>
        <v>0.4</v>
      </c>
      <c r="AY27" s="60">
        <f t="shared" si="128"/>
        <v>0</v>
      </c>
      <c r="AZ27" s="60">
        <f t="shared" si="128"/>
        <v>0.4579945799457994</v>
      </c>
      <c r="BA27" s="229">
        <f t="shared" si="117"/>
        <v>525557</v>
      </c>
      <c r="BB27" s="230">
        <f t="shared" si="117"/>
        <v>525557</v>
      </c>
      <c r="BC27" s="230">
        <f t="shared" si="117"/>
        <v>0</v>
      </c>
      <c r="BD27" s="230">
        <f t="shared" si="117"/>
        <v>1112279</v>
      </c>
      <c r="BE27" s="54">
        <f t="shared" si="19"/>
        <v>-0.52749534963799549</v>
      </c>
      <c r="BF27" s="230">
        <f>BF26</f>
        <v>525559</v>
      </c>
      <c r="BG27" s="230">
        <f>BG26</f>
        <v>1112283</v>
      </c>
      <c r="BH27" s="62">
        <f>IF(Q25&lt;&gt;0,(BA27/(Q27/13)),0)</f>
        <v>6832241</v>
      </c>
      <c r="BI27" s="133">
        <f>IF(T25&lt;&gt;0,(BD27/(T27/13)),0)</f>
        <v>7229813.5</v>
      </c>
      <c r="BJ27" s="190">
        <f>IF(BA27&lt;&gt;0,(Q27/13)/BA27,0)</f>
        <v>1.4636486037304598E-7</v>
      </c>
      <c r="BK27" s="61">
        <f>IF(BD27&lt;&gt;0,(T27/13)/BD27,0)</f>
        <v>1.3831615435169939E-7</v>
      </c>
      <c r="BL27" s="229">
        <f t="shared" ref="BL27:BQ27" si="129">BL15+BL21+BL26</f>
        <v>3124</v>
      </c>
      <c r="BM27" s="230">
        <f t="shared" si="129"/>
        <v>-93</v>
      </c>
      <c r="BN27" s="229">
        <f t="shared" si="129"/>
        <v>0</v>
      </c>
      <c r="BO27" s="230">
        <f t="shared" si="129"/>
        <v>0</v>
      </c>
      <c r="BP27" s="229">
        <f t="shared" si="129"/>
        <v>0</v>
      </c>
      <c r="BQ27" s="230">
        <f t="shared" si="129"/>
        <v>0</v>
      </c>
      <c r="BR27" s="229">
        <f t="shared" si="43"/>
        <v>0</v>
      </c>
      <c r="BS27" s="230">
        <f t="shared" si="22"/>
        <v>0</v>
      </c>
      <c r="BT27" s="229">
        <f t="shared" ref="BT27:BY27" si="130">BT15+BT21+BT26</f>
        <v>0</v>
      </c>
      <c r="BU27" s="230">
        <f t="shared" si="130"/>
        <v>-7198</v>
      </c>
      <c r="BV27" s="230">
        <f t="shared" si="130"/>
        <v>522434</v>
      </c>
      <c r="BW27" s="230">
        <f t="shared" si="130"/>
        <v>0</v>
      </c>
      <c r="BX27" s="230">
        <f t="shared" si="130"/>
        <v>0</v>
      </c>
      <c r="BY27" s="56">
        <f t="shared" si="130"/>
        <v>1112376</v>
      </c>
      <c r="BZ27" s="54">
        <f t="shared" si="25"/>
        <v>-0.53034405632627823</v>
      </c>
      <c r="CA27" s="53">
        <f t="shared" ref="CA27:CF27" si="131">CA15+CA21+CA26</f>
        <v>0</v>
      </c>
      <c r="CB27" s="53">
        <f t="shared" si="131"/>
        <v>0</v>
      </c>
      <c r="CC27" s="53">
        <f t="shared" si="131"/>
        <v>13020828.300000001</v>
      </c>
      <c r="CD27" s="53">
        <f t="shared" si="131"/>
        <v>0</v>
      </c>
      <c r="CE27" s="53">
        <f t="shared" si="131"/>
        <v>0</v>
      </c>
      <c r="CF27" s="53">
        <f t="shared" si="131"/>
        <v>25935422.200000003</v>
      </c>
      <c r="CG27" s="54">
        <f t="shared" si="28"/>
        <v>-0.49795194388622677</v>
      </c>
      <c r="CH27" s="53">
        <f t="shared" ref="CH27:CM27" si="132">CH15+CH21+CH26</f>
        <v>0</v>
      </c>
      <c r="CI27" s="53">
        <f t="shared" si="132"/>
        <v>-23187.71</v>
      </c>
      <c r="CJ27" s="53">
        <f t="shared" si="132"/>
        <v>2180281.8048</v>
      </c>
      <c r="CK27" s="53">
        <f t="shared" si="132"/>
        <v>0</v>
      </c>
      <c r="CL27" s="53">
        <f t="shared" si="132"/>
        <v>0</v>
      </c>
      <c r="CM27" s="53">
        <f t="shared" si="132"/>
        <v>4257218.6583000002</v>
      </c>
      <c r="CN27" s="54">
        <f t="shared" si="31"/>
        <v>-0.48786238626732081</v>
      </c>
      <c r="CO27" s="55">
        <f t="shared" si="46"/>
        <v>0</v>
      </c>
      <c r="CP27" s="224">
        <f t="shared" si="46"/>
        <v>23.315337799449111</v>
      </c>
      <c r="CQ27" s="54">
        <f t="shared" si="33"/>
        <v>-1</v>
      </c>
      <c r="CR27" s="55">
        <f t="shared" si="44"/>
        <v>0</v>
      </c>
      <c r="CS27" s="224">
        <f t="shared" si="34"/>
        <v>3.8271399763209564</v>
      </c>
      <c r="CT27" s="54">
        <f t="shared" si="47"/>
        <v>-1</v>
      </c>
      <c r="CW27" s="55">
        <f>CW26</f>
        <v>-2</v>
      </c>
      <c r="CX27" s="56">
        <f>CX26</f>
        <v>-4</v>
      </c>
      <c r="CY27" s="54">
        <f t="shared" si="36"/>
        <v>-0.5</v>
      </c>
      <c r="CZ27" s="278"/>
      <c r="DA27" s="279"/>
      <c r="DB27" s="279"/>
      <c r="DC27" s="280"/>
    </row>
    <row r="28" spans="1:107" s="44" customFormat="1" x14ac:dyDescent="0.25">
      <c r="A28" s="44" t="s">
        <v>335</v>
      </c>
      <c r="B28" s="44">
        <v>2018</v>
      </c>
      <c r="C28" s="88">
        <v>14</v>
      </c>
      <c r="D28" s="97">
        <f t="shared" ref="D28:D31" si="133">G28*H28</f>
        <v>17908696.63609999</v>
      </c>
      <c r="E28" s="199">
        <f t="shared" ref="E28:E31" si="134">IFERROR(D28*F28,0)</f>
        <v>14773847.425499992</v>
      </c>
      <c r="F28" s="200">
        <f t="shared" si="45"/>
        <v>0.824953804606817</v>
      </c>
      <c r="G28" s="198">
        <f t="shared" ref="G28:I31" si="135">IFERROR(VLOOKUP($B28 &amp; $C28&amp;G$4&amp;$A28,tblForecast,G$2,FALSE),0)</f>
        <v>343897</v>
      </c>
      <c r="H28" s="201">
        <f t="shared" si="135"/>
        <v>52.075757090349697</v>
      </c>
      <c r="I28" s="201">
        <f t="shared" si="135"/>
        <v>9.1156631508852897</v>
      </c>
      <c r="J28" s="198">
        <f>IFERROR(VLOOKUP($B28 &amp; $C28&amp;J$4&amp;$A28,tblForecast,J$2,FALSE),0)+IFERROR(VLOOKUP($B28 &amp; $C28 &amp; J$4 &amp; $A28,tblForecast,J$2+1,FALSE),0)</f>
        <v>8346119</v>
      </c>
      <c r="K28" s="299">
        <f>IFERROR(VLOOKUP($B28 &amp; $C28&amp;K$4&amp;$A28,tblForecast,K$2+2,FALSE),0)</f>
        <v>363627</v>
      </c>
      <c r="L28" s="90">
        <f>Q28*AM28</f>
        <v>28</v>
      </c>
      <c r="M28" s="90">
        <f t="shared" ref="M28:O31" si="136">R28*AN28</f>
        <v>27.54</v>
      </c>
      <c r="N28" s="90">
        <f t="shared" si="136"/>
        <v>0</v>
      </c>
      <c r="O28" s="90">
        <f t="shared" si="136"/>
        <v>28</v>
      </c>
      <c r="P28" s="91">
        <f t="shared" si="39"/>
        <v>0</v>
      </c>
      <c r="Q28" s="238">
        <f>IFERROR(VLOOKUP($B28 &amp; $C28&amp;CompareVer,tblForecast,Q$2,FALSE),0)</f>
        <v>2</v>
      </c>
      <c r="R28" s="239">
        <f t="shared" ref="R28:S31" si="137">IFERROR(VLOOKUP($B28 &amp; $C28&amp;R$4,tblForecast,R$2,FALSE),0)</f>
        <v>2</v>
      </c>
      <c r="S28" s="239">
        <f t="shared" si="137"/>
        <v>0</v>
      </c>
      <c r="T28" s="240">
        <f>IFERROR(VLOOKUP($B28-IF(CompareVer="LY",1,0) &amp; $C28 &amp;T$4,tblForecast,T$2,FALSE),0)</f>
        <v>2</v>
      </c>
      <c r="U28" s="91">
        <f t="shared" si="7"/>
        <v>0</v>
      </c>
      <c r="V28" s="245">
        <f>IFERROR(IF(Q25&lt;&gt;0,Q28/Q25,0),0)</f>
        <v>2</v>
      </c>
      <c r="W28" s="331">
        <f>IFERROR(IF(R25&lt;&gt;0,R28/R25,0),0)</f>
        <v>2</v>
      </c>
      <c r="X28" s="246">
        <f>IFERROR(IF(T25&lt;&gt;0,T28/T25,0),0)</f>
        <v>1</v>
      </c>
      <c r="Y28" s="97">
        <f t="shared" ref="Y28:AB31" si="138">IFERROR(L28*AD28,0)</f>
        <v>22</v>
      </c>
      <c r="Z28" s="90">
        <f t="shared" si="138"/>
        <v>21.319999999999997</v>
      </c>
      <c r="AA28" s="90">
        <f t="shared" si="138"/>
        <v>0</v>
      </c>
      <c r="AB28" s="90">
        <f t="shared" si="138"/>
        <v>20</v>
      </c>
      <c r="AC28" s="91">
        <f t="shared" si="9"/>
        <v>0.10000000000000009</v>
      </c>
      <c r="AD28" s="75">
        <f t="shared" ref="AD28:AG31" si="139">IF(AM28&lt;&gt;0,1-AR28/AM28,0)</f>
        <v>0.7857142857142857</v>
      </c>
      <c r="AE28" s="93">
        <f t="shared" si="139"/>
        <v>0.77414669571532313</v>
      </c>
      <c r="AF28" s="93">
        <f t="shared" si="139"/>
        <v>0</v>
      </c>
      <c r="AG28" s="93">
        <f t="shared" si="139"/>
        <v>0.7142857142857143</v>
      </c>
      <c r="AH28" s="104">
        <f>IFERROR(VLOOKUP($B28 &amp; $C28&amp;CompareVer,tblForecast,AH$2,FALSE),0)</f>
        <v>22.95</v>
      </c>
      <c r="AI28" s="94">
        <f t="shared" ref="AI28:AJ31" si="140">IFERROR(VLOOKUP($B28 &amp; $C28&amp;AI$4,tblForecast,AI$2,FALSE),0)</f>
        <v>22.95</v>
      </c>
      <c r="AJ28" s="94">
        <f t="shared" si="140"/>
        <v>0</v>
      </c>
      <c r="AK28" s="94">
        <f>IFERROR(VLOOKUP($B28-IF(CompareVer="LY",1,0) &amp; $C28 &amp;AK$4,tblForecast,AK$2,FALSE),0)</f>
        <v>22.45</v>
      </c>
      <c r="AL28" s="91">
        <f t="shared" ref="AL28:AL43" si="141">IFERROR(AH28/AK28-1,)</f>
        <v>2.2271714922049046E-2</v>
      </c>
      <c r="AM28" s="104">
        <f>IFERROR(VLOOKUP($B28 &amp; $C28&amp;CompareVer,tblForecast,AM$2,FALSE),0)</f>
        <v>14</v>
      </c>
      <c r="AN28" s="94">
        <f t="shared" ref="AN28:AO31" si="142">IFERROR(VLOOKUP($B28 &amp; $C28&amp;AN$4,tblForecast,AN$2,FALSE),0)</f>
        <v>13.77</v>
      </c>
      <c r="AO28" s="94">
        <f t="shared" si="142"/>
        <v>0</v>
      </c>
      <c r="AP28" s="94">
        <f>IFERROR(VLOOKUP($B28-IF(CompareVer="LY",1,0) &amp; $C28 &amp;AP$4,tblForecast,AP$2,FALSE),0)</f>
        <v>14</v>
      </c>
      <c r="AQ28" s="91">
        <f t="shared" si="14"/>
        <v>0</v>
      </c>
      <c r="AR28" s="104">
        <f>IFERROR(VLOOKUP($B28 &amp; $C28&amp;CompareVer,tblForecast,AR$2,FALSE),0)</f>
        <v>3</v>
      </c>
      <c r="AS28" s="94">
        <f t="shared" ref="AS28:AT31" si="143">IFERROR(VLOOKUP($B28 &amp; $C28&amp;AS$4,tblForecast,AS$2,FALSE),0)</f>
        <v>3.11</v>
      </c>
      <c r="AT28" s="94">
        <f t="shared" si="143"/>
        <v>0</v>
      </c>
      <c r="AU28" s="94">
        <f>IFERROR(VLOOKUP($B28-IF(CompareVer="LY",1,0) &amp; $C28 &amp;AU$4,tblForecast,AU$2,FALSE),0)</f>
        <v>4</v>
      </c>
      <c r="AV28" s="91">
        <f t="shared" si="16"/>
        <v>-0.25</v>
      </c>
      <c r="AW28" s="181">
        <f t="shared" si="128"/>
        <v>0.38997821350762529</v>
      </c>
      <c r="AX28" s="182">
        <f t="shared" si="128"/>
        <v>0.4</v>
      </c>
      <c r="AY28" s="182">
        <f t="shared" si="128"/>
        <v>0</v>
      </c>
      <c r="AZ28" s="182">
        <f t="shared" si="128"/>
        <v>0.37639198218262804</v>
      </c>
      <c r="BA28" s="227">
        <f t="shared" ref="BA28:BA31" si="144">CW28+BF28</f>
        <v>884946</v>
      </c>
      <c r="BB28" s="228">
        <f>IF(IFERROR(VLOOKUP($B28 &amp; $C28&amp;BB$4,tblForecast,BB$2,FALSE),0)=0,BA28,IFERROR(VLOOKUP($B28 &amp; $C28&amp;BB$4,tblForecast,BB$2,FALSE),0))</f>
        <v>884946</v>
      </c>
      <c r="BC28" s="228">
        <f t="shared" ref="BC28:BC31" si="145">IFERROR(VLOOKUP($B28 &amp; $C28&amp;BC$4,tblForecast,BC$2,FALSE),0)</f>
        <v>0</v>
      </c>
      <c r="BD28" s="228">
        <f t="shared" ref="BD28:BD41" si="146">CX28+BG28</f>
        <v>1112451</v>
      </c>
      <c r="BE28" s="177">
        <f t="shared" si="19"/>
        <v>-0.20450788394275343</v>
      </c>
      <c r="BF28" s="228">
        <f>IFERROR(VLOOKUP($B28 &amp; $C28&amp;CompareVer,tblForecast,BF$2,FALSE),0)</f>
        <v>884950</v>
      </c>
      <c r="BG28" s="228">
        <f>IFERROR(VLOOKUP($B28-IF(CompareVer="LY",1,0) &amp; $C28 &amp;BG$4,tblForecast,BG$2,FALSE),0)</f>
        <v>1112457</v>
      </c>
      <c r="BH28" s="185">
        <f>IF(Q28&lt;&gt;0,BA28/Q28,0)</f>
        <v>442473</v>
      </c>
      <c r="BI28" s="186">
        <f t="shared" ref="BI28:BI31" si="147">IF(T28&lt;&gt;0,BD28/T28,0)</f>
        <v>556225.5</v>
      </c>
      <c r="BJ28" s="184">
        <f t="shared" ref="BJ28:BJ31" si="148">IF(BA28&lt;&gt;0,Q28/BA28,0)</f>
        <v>2.2600249054744583E-6</v>
      </c>
      <c r="BK28" s="96">
        <f t="shared" ref="BK28:BK31" si="149">IF(BD28&lt;&gt;0,T28/BD28,0)</f>
        <v>1.7978319943979555E-6</v>
      </c>
      <c r="BL28" s="227">
        <f>IFERROR(VLOOKUP($B28 &amp; $C28&amp;CompareVer,tblForecast,BL$2,FALSE),0)</f>
        <v>2703</v>
      </c>
      <c r="BM28" s="228">
        <f>IFERROR(VLOOKUP($B28-IF(CompareVer="LY",1,0) &amp; $C28 &amp;BM$4,tblForecast,BM$2,FALSE),0)</f>
        <v>174</v>
      </c>
      <c r="BN28" s="227">
        <f>IFERROR(VLOOKUP($B28 &amp; $C28&amp;CompareVer,tblForecast,BN$2,FALSE),0)</f>
        <v>0</v>
      </c>
      <c r="BO28" s="228">
        <f>IFERROR(VLOOKUP($B28-IF(CompareVer="LY",1,0) &amp; $C28 &amp;BO$4,tblForecast,BO$2,FALSE),0)</f>
        <v>16</v>
      </c>
      <c r="BP28" s="227">
        <f>IFERROR(VLOOKUP($B28 &amp; $C28&amp;CompareVer,tblForecast,BP$2,FALSE),0)</f>
        <v>0</v>
      </c>
      <c r="BQ28" s="228">
        <f>IFERROR(VLOOKUP($B28-IF(CompareVer="LY",1,0) &amp; $C28 &amp;BQ$4,tblForecast,BQ$2,FALSE),0)</f>
        <v>16</v>
      </c>
      <c r="BR28" s="227">
        <f t="shared" si="43"/>
        <v>0</v>
      </c>
      <c r="BS28" s="228">
        <f t="shared" si="22"/>
        <v>0</v>
      </c>
      <c r="BT28" s="227">
        <f t="shared" ref="BT28:BU31" si="150">IFERROR(VLOOKUP($B28 &amp; $C28&amp;BT$4,tblForecast,BT$2,FALSE),0)</f>
        <v>0</v>
      </c>
      <c r="BU28" s="228">
        <f t="shared" si="150"/>
        <v>-6692</v>
      </c>
      <c r="BV28" s="228">
        <f>IFERROR(VLOOKUP($B28 &amp; $C28&amp;CompareVer,tblForecast,BV$2,FALSE),0)</f>
        <v>356688</v>
      </c>
      <c r="BW28" s="228">
        <f t="shared" ref="BW28:BX31" si="151">IFERROR(VLOOKUP($B28 &amp; $C28&amp;BW$4,tblForecast,BW$2,FALSE),0)</f>
        <v>0</v>
      </c>
      <c r="BX28" s="228">
        <f t="shared" si="151"/>
        <v>0</v>
      </c>
      <c r="BY28" s="176">
        <f>IFERROR(VLOOKUP($B28-IF(CompareVer="LY",1,0) &amp; $C28 &amp;BY$4,tblForecast,BY$2,FALSE),0)</f>
        <v>0</v>
      </c>
      <c r="BZ28" s="177">
        <f t="shared" si="25"/>
        <v>0</v>
      </c>
      <c r="CA28" s="90">
        <f t="shared" ref="CA28:CB31" si="152">IFERROR(VLOOKUP($B28 &amp; $C28&amp;CA$4,tblForecast,CA$2,FALSE),0)</f>
        <v>0</v>
      </c>
      <c r="CB28" s="90">
        <f t="shared" si="152"/>
        <v>0</v>
      </c>
      <c r="CC28" s="90">
        <f>IFERROR(VLOOKUP($B28 &amp; $C28&amp;CompareVer,tblForecast,CC$2,FALSE),0)</f>
        <v>9172275.5999999996</v>
      </c>
      <c r="CD28" s="90">
        <f t="shared" ref="CD28:CE31" si="153">IFERROR(VLOOKUP($B28 &amp; $C28&amp;CD$4,tblForecast,CD$2,FALSE),0)</f>
        <v>0</v>
      </c>
      <c r="CE28" s="90">
        <f t="shared" si="153"/>
        <v>0</v>
      </c>
      <c r="CF28" s="90">
        <f>IFERROR(VLOOKUP($B28-IF(CompareVer="LY",1,0) &amp; $C28 &amp;CF$4,tblForecast,CF$2,FALSE),0)</f>
        <v>0</v>
      </c>
      <c r="CG28" s="177">
        <f t="shared" si="28"/>
        <v>0</v>
      </c>
      <c r="CH28" s="90">
        <f t="shared" ref="CH28:CI31" si="154">IFERROR(VLOOKUP($B28 &amp; $C28&amp;CH$4,tblForecast,CH$2,FALSE),0)</f>
        <v>0</v>
      </c>
      <c r="CI28" s="90">
        <f t="shared" si="154"/>
        <v>-32379.0099999999</v>
      </c>
      <c r="CJ28" s="90">
        <f>IFERROR(VLOOKUP($B28 &amp; $C28&amp;CompareVer,tblForecast,CJ$2,FALSE),0)</f>
        <v>1502866.8104000001</v>
      </c>
      <c r="CK28" s="90">
        <f t="shared" ref="CK28:CL31" si="155">IFERROR(VLOOKUP($B28 &amp; $C28&amp;CK$4,tblForecast,CK$2,FALSE),0)</f>
        <v>0</v>
      </c>
      <c r="CL28" s="90">
        <f t="shared" si="155"/>
        <v>0</v>
      </c>
      <c r="CM28" s="90">
        <f>IFERROR(VLOOKUP($B28-IF(CompareVer="LY",1,0) &amp; $C28 &amp;CM$4,tblForecast,CM$2,FALSE),0)</f>
        <v>0</v>
      </c>
      <c r="CN28" s="177">
        <f t="shared" si="31"/>
        <v>0</v>
      </c>
      <c r="CO28" s="178">
        <f t="shared" si="46"/>
        <v>0</v>
      </c>
      <c r="CP28" s="223">
        <f t="shared" si="46"/>
        <v>0</v>
      </c>
      <c r="CQ28" s="177">
        <f t="shared" si="33"/>
        <v>0</v>
      </c>
      <c r="CR28" s="178">
        <f t="shared" si="44"/>
        <v>0</v>
      </c>
      <c r="CS28" s="223">
        <f t="shared" si="34"/>
        <v>0</v>
      </c>
      <c r="CT28" s="177">
        <f t="shared" si="47"/>
        <v>0</v>
      </c>
      <c r="CW28" s="102">
        <f>IFERROR(VLOOKUP($B28 &amp; $C28&amp;CompareVer,tblForecast,CW$2,FALSE),0)</f>
        <v>-4</v>
      </c>
      <c r="CX28" s="92">
        <f>IFERROR(VLOOKUP($B28-IF(CompareVer="LY",1,0) &amp; $C28 &amp;CX$4,tblForecast,CX$2,FALSE),0)</f>
        <v>-6</v>
      </c>
      <c r="CY28" s="91">
        <f t="shared" si="36"/>
        <v>-0.33333333333333337</v>
      </c>
      <c r="CZ28" s="278">
        <f>IFERROR(VLOOKUP(Brand&amp;Channel&amp;Country&amp;$C28,tblDiscount,6,FALSE),0)</f>
        <v>0.5</v>
      </c>
      <c r="DA28" s="279">
        <f>(1-CZ28)*DB28</f>
        <v>12.51</v>
      </c>
      <c r="DB28" s="279">
        <f>IFERROR(VLOOKUP(Brand&amp;Country &amp; Channel &amp;FC,tblFCSettings,8,FALSE),0)</f>
        <v>25.02</v>
      </c>
      <c r="DC28" s="280">
        <f>IFERROR(VLOOKUP(Brand&amp;Country &amp; Channel &amp;FC,tblFCSettings,9,FALSE),0)</f>
        <v>4.16</v>
      </c>
    </row>
    <row r="29" spans="1:107" x14ac:dyDescent="0.25">
      <c r="A29" s="44" t="s">
        <v>335</v>
      </c>
      <c r="B29" s="44">
        <v>2018</v>
      </c>
      <c r="C29" s="88">
        <v>15</v>
      </c>
      <c r="D29" s="97">
        <f t="shared" si="133"/>
        <v>17395309.056499977</v>
      </c>
      <c r="E29" s="202">
        <f t="shared" si="134"/>
        <v>14421529.35739998</v>
      </c>
      <c r="F29" s="182">
        <f t="shared" si="45"/>
        <v>0.82904703276951519</v>
      </c>
      <c r="G29" s="176">
        <f t="shared" si="135"/>
        <v>348808</v>
      </c>
      <c r="H29" s="203">
        <f t="shared" si="135"/>
        <v>49.870728470963897</v>
      </c>
      <c r="I29" s="203">
        <f t="shared" si="135"/>
        <v>8.5255490100570999</v>
      </c>
      <c r="J29" s="176">
        <f>IFERROR(VLOOKUP($B29 &amp; $C29&amp;J$4&amp;$A29,tblForecast,J$2,FALSE),0)+IFERROR(VLOOKUP($B29 &amp; $C29 &amp; J$4 &amp; $A29,tblForecast,J$2+1,FALSE),0)</f>
        <v>7713660</v>
      </c>
      <c r="K29" s="300">
        <f>IFERROR(VLOOKUP($B29 &amp; $C29&amp;K$4&amp;$A29,tblForecast,K$2+2,FALSE),0)</f>
        <v>38390</v>
      </c>
      <c r="L29" s="90">
        <f>Q29*AM29</f>
        <v>-65</v>
      </c>
      <c r="M29" s="90">
        <f t="shared" si="136"/>
        <v>0</v>
      </c>
      <c r="N29" s="90">
        <f t="shared" si="136"/>
        <v>0</v>
      </c>
      <c r="O29" s="90">
        <f t="shared" si="136"/>
        <v>256976.16889999999</v>
      </c>
      <c r="P29" s="91">
        <f t="shared" si="39"/>
        <v>-1.0002529417427235</v>
      </c>
      <c r="Q29" s="238">
        <f>IFERROR(VLOOKUP($B29 &amp; $C29&amp;CompareVer,tblForecast,Q$2,FALSE),0)</f>
        <v>-1</v>
      </c>
      <c r="R29" s="240">
        <f t="shared" si="137"/>
        <v>0</v>
      </c>
      <c r="S29" s="240">
        <f t="shared" si="137"/>
        <v>0</v>
      </c>
      <c r="T29" s="240">
        <f>IFERROR(VLOOKUP($B29-IF(CompareVer="LY",1,0) &amp; $C29 &amp;T$4,tblForecast,T$2,FALSE),0)</f>
        <v>22913</v>
      </c>
      <c r="U29" s="91">
        <f t="shared" si="7"/>
        <v>-1.0000436433465718</v>
      </c>
      <c r="V29" s="245">
        <f t="shared" ref="V29:W31" si="156">IFERROR(IF(Q28&lt;&gt;0,Q29/Q28,0),0)</f>
        <v>-0.5</v>
      </c>
      <c r="W29" s="331">
        <f t="shared" si="156"/>
        <v>0</v>
      </c>
      <c r="X29" s="246">
        <f>IFERROR(IF(T28&lt;&gt;0,T29/T28,0),0)</f>
        <v>11456.5</v>
      </c>
      <c r="Y29" s="97">
        <f t="shared" si="138"/>
        <v>-55</v>
      </c>
      <c r="Z29" s="90">
        <f t="shared" si="138"/>
        <v>0</v>
      </c>
      <c r="AA29" s="90">
        <f t="shared" si="138"/>
        <v>0</v>
      </c>
      <c r="AB29" s="90">
        <f t="shared" si="138"/>
        <v>164377.86199999996</v>
      </c>
      <c r="AC29" s="91">
        <f t="shared" si="9"/>
        <v>-1.0003345949346878</v>
      </c>
      <c r="AD29" s="75">
        <f t="shared" si="139"/>
        <v>0.84615384615384615</v>
      </c>
      <c r="AE29" s="93">
        <f t="shared" si="139"/>
        <v>0.66746602717825732</v>
      </c>
      <c r="AF29" s="93">
        <f t="shared" si="139"/>
        <v>0</v>
      </c>
      <c r="AG29" s="93">
        <f t="shared" si="139"/>
        <v>0.63966189045322008</v>
      </c>
      <c r="AH29" s="104">
        <f>IFERROR(VLOOKUP($B29 &amp; $C29&amp;CompareVer,tblForecast,AH$2,FALSE),0)</f>
        <v>54.95</v>
      </c>
      <c r="AI29" s="94">
        <f t="shared" si="140"/>
        <v>25.02</v>
      </c>
      <c r="AJ29" s="94">
        <f t="shared" si="140"/>
        <v>0</v>
      </c>
      <c r="AK29" s="94">
        <f>IFERROR(VLOOKUP($B29-IF(CompareVer="LY",1,0) &amp; $C29 &amp;AK$4,tblForecast,AK$2,FALSE),0)</f>
        <v>24.668099999999999</v>
      </c>
      <c r="AL29" s="91">
        <f t="shared" si="141"/>
        <v>1.2275732626347389</v>
      </c>
      <c r="AM29" s="104">
        <f>IFERROR(VLOOKUP($B29 &amp; $C29&amp;CompareVer,tblForecast,AM$2,FALSE),0)</f>
        <v>65</v>
      </c>
      <c r="AN29" s="94">
        <f t="shared" si="142"/>
        <v>12.51</v>
      </c>
      <c r="AO29" s="94">
        <f t="shared" si="142"/>
        <v>0</v>
      </c>
      <c r="AP29" s="94">
        <f>IFERROR(VLOOKUP($B29-IF(CompareVer="LY",1,0) &amp; $C29 &amp;AP$4,tblForecast,AP$2,FALSE),0)</f>
        <v>11.215299999999999</v>
      </c>
      <c r="AQ29" s="91">
        <f t="shared" si="14"/>
        <v>4.7956541510258308</v>
      </c>
      <c r="AR29" s="104">
        <f>IFERROR(VLOOKUP($B29 &amp; $C29&amp;CompareVer,tblForecast,AR$2,FALSE),0)</f>
        <v>10</v>
      </c>
      <c r="AS29" s="94">
        <f t="shared" si="143"/>
        <v>4.16</v>
      </c>
      <c r="AT29" s="94">
        <f t="shared" si="143"/>
        <v>0</v>
      </c>
      <c r="AU29" s="94">
        <f>IFERROR(VLOOKUP($B29-IF(CompareVer="LY",1,0) &amp; $C29 &amp;AU$4,tblForecast,AU$2,FALSE),0)</f>
        <v>4.0412999999999997</v>
      </c>
      <c r="AV29" s="91">
        <f t="shared" si="16"/>
        <v>1.474451290426348</v>
      </c>
      <c r="AW29" s="181">
        <f t="shared" si="128"/>
        <v>-0.1828935395814375</v>
      </c>
      <c r="AX29" s="182">
        <f t="shared" si="128"/>
        <v>0.5</v>
      </c>
      <c r="AY29" s="182">
        <f t="shared" si="128"/>
        <v>0</v>
      </c>
      <c r="AZ29" s="182">
        <f t="shared" si="128"/>
        <v>0.54535209440532517</v>
      </c>
      <c r="BA29" s="227">
        <f t="shared" si="144"/>
        <v>885037</v>
      </c>
      <c r="BB29" s="228">
        <f>IF(IFERROR(VLOOKUP($B29 &amp; $C29&amp;BB$4,tblForecast,BB$2,FALSE),0)=0,BA29,IFERROR(VLOOKUP($B29 &amp; $C29&amp;BB$4,tblForecast,BB$2,FALSE),0))</f>
        <v>885037</v>
      </c>
      <c r="BC29" s="228">
        <f t="shared" si="145"/>
        <v>0</v>
      </c>
      <c r="BD29" s="228">
        <f t="shared" si="146"/>
        <v>867845</v>
      </c>
      <c r="BE29" s="177">
        <f t="shared" si="19"/>
        <v>1.9809989110958659E-2</v>
      </c>
      <c r="BF29" s="228">
        <f>IFERROR(VLOOKUP($B29 &amp; $C29&amp;CompareVer,tblForecast,BF$2,FALSE),0)</f>
        <v>885040</v>
      </c>
      <c r="BG29" s="228">
        <f>IFERROR(VLOOKUP($B29-IF(CompareVer="LY",1,0) &amp; $C29 &amp;BG$4,tblForecast,BG$2,FALSE),0)</f>
        <v>528427</v>
      </c>
      <c r="BH29" s="179">
        <f>IF(Q29&lt;&gt;0,BA29/Q29,0)</f>
        <v>-885037</v>
      </c>
      <c r="BI29" s="187">
        <f t="shared" si="147"/>
        <v>37.875660105616902</v>
      </c>
      <c r="BJ29" s="184">
        <f t="shared" si="148"/>
        <v>-1.1298962642239815E-6</v>
      </c>
      <c r="BK29" s="96">
        <f t="shared" si="149"/>
        <v>2.6402180112808163E-2</v>
      </c>
      <c r="BL29" s="227">
        <f>IFERROR(VLOOKUP($B29 &amp; $C29&amp;CompareVer,tblForecast,BL$2,FALSE),0)</f>
        <v>90</v>
      </c>
      <c r="BM29" s="228">
        <f>IFERROR(VLOOKUP($B29-IF(CompareVer="LY",1,0) &amp; $C29 &amp;BM$4,tblForecast,BM$2,FALSE),0)</f>
        <v>32</v>
      </c>
      <c r="BN29" s="227">
        <f>IFERROR(VLOOKUP($B29 &amp; $C29&amp;CompareVer,tblForecast,BN$2,FALSE),0)</f>
        <v>0</v>
      </c>
      <c r="BO29" s="228">
        <f>IFERROR(VLOOKUP($B29-IF(CompareVer="LY",1,0) &amp; $C29 &amp;BO$4,tblForecast,BO$2,FALSE),0)</f>
        <v>621247</v>
      </c>
      <c r="BP29" s="227">
        <f>IFERROR(VLOOKUP($B29 &amp; $C29&amp;CompareVer,tblForecast,BP$2,FALSE),0)</f>
        <v>0</v>
      </c>
      <c r="BQ29" s="228">
        <f>IFERROR(VLOOKUP($B29-IF(CompareVer="LY",1,0) &amp; $C29 &amp;BQ$4,tblForecast,BQ$2,FALSE),0)</f>
        <v>941887</v>
      </c>
      <c r="BR29" s="227">
        <f t="shared" si="43"/>
        <v>0</v>
      </c>
      <c r="BS29" s="228">
        <f t="shared" si="22"/>
        <v>-320640</v>
      </c>
      <c r="BT29" s="227">
        <f t="shared" si="150"/>
        <v>245000</v>
      </c>
      <c r="BU29" s="228">
        <f t="shared" si="150"/>
        <v>1326</v>
      </c>
      <c r="BV29" s="228">
        <f>IFERROR(VLOOKUP($B29 &amp; $C29&amp;CompareVer,tblForecast,BV$2,FALSE),0)</f>
        <v>0</v>
      </c>
      <c r="BW29" s="228">
        <f t="shared" si="151"/>
        <v>0</v>
      </c>
      <c r="BX29" s="228">
        <f t="shared" si="151"/>
        <v>0</v>
      </c>
      <c r="BY29" s="176">
        <f>IFERROR(VLOOKUP($B29-IF(CompareVer="LY",1,0) &amp; $C29 &amp;BY$4,tblForecast,BY$2,FALSE),0)</f>
        <v>0</v>
      </c>
      <c r="BZ29" s="177">
        <f t="shared" si="25"/>
        <v>0</v>
      </c>
      <c r="CA29" s="90">
        <f t="shared" si="152"/>
        <v>0</v>
      </c>
      <c r="CB29" s="90">
        <f t="shared" si="152"/>
        <v>0</v>
      </c>
      <c r="CC29" s="90">
        <f>IFERROR(VLOOKUP($B29 &amp; $C29&amp;CompareVer,tblForecast,CC$2,FALSE),0)</f>
        <v>0</v>
      </c>
      <c r="CD29" s="90">
        <f t="shared" si="153"/>
        <v>0</v>
      </c>
      <c r="CE29" s="90">
        <f t="shared" si="153"/>
        <v>0</v>
      </c>
      <c r="CF29" s="90">
        <f>IFERROR(VLOOKUP($B29-IF(CompareVer="LY",1,0) &amp; $C29 &amp;CF$4,tblForecast,CF$2,FALSE),0)</f>
        <v>0</v>
      </c>
      <c r="CG29" s="177">
        <f t="shared" si="28"/>
        <v>0</v>
      </c>
      <c r="CH29" s="90">
        <f t="shared" si="154"/>
        <v>0</v>
      </c>
      <c r="CI29" s="90">
        <f t="shared" si="154"/>
        <v>5671.11</v>
      </c>
      <c r="CJ29" s="90">
        <f>IFERROR(VLOOKUP($B29 &amp; $C29&amp;CompareVer,tblForecast,CJ$2,FALSE),0)</f>
        <v>0</v>
      </c>
      <c r="CK29" s="90">
        <f t="shared" si="155"/>
        <v>0</v>
      </c>
      <c r="CL29" s="90">
        <f t="shared" si="155"/>
        <v>0</v>
      </c>
      <c r="CM29" s="90">
        <f>IFERROR(VLOOKUP($B29-IF(CompareVer="LY",1,0) &amp; $C29 &amp;CM$4,tblForecast,CM$2,FALSE),0)</f>
        <v>0</v>
      </c>
      <c r="CN29" s="177">
        <f t="shared" si="31"/>
        <v>0</v>
      </c>
      <c r="CO29" s="178">
        <f t="shared" si="46"/>
        <v>0</v>
      </c>
      <c r="CP29" s="223">
        <f t="shared" si="46"/>
        <v>0</v>
      </c>
      <c r="CQ29" s="177">
        <f t="shared" si="33"/>
        <v>0</v>
      </c>
      <c r="CR29" s="178">
        <f t="shared" si="44"/>
        <v>0</v>
      </c>
      <c r="CS29" s="223">
        <f t="shared" si="34"/>
        <v>0</v>
      </c>
      <c r="CT29" s="177">
        <f t="shared" si="47"/>
        <v>0</v>
      </c>
      <c r="CU29" s="44"/>
      <c r="CV29" s="44"/>
      <c r="CW29" s="102">
        <f>IFERROR(VLOOKUP($B29 &amp; $C29&amp;CompareVer,tblForecast,CW$2,FALSE),0)</f>
        <v>-3</v>
      </c>
      <c r="CX29" s="48">
        <f>IFERROR(VLOOKUP($B29-IF(CompareVer="LY",1,0) &amp; $C29 &amp;CX$4,tblForecast,CX$2,FALSE),0)</f>
        <v>339418</v>
      </c>
      <c r="CY29" s="47">
        <f t="shared" si="36"/>
        <v>-1.0000088386591164</v>
      </c>
      <c r="CZ29" s="278">
        <f>IFERROR(VLOOKUP(Brand&amp;Channel&amp;Country&amp;$C29,tblDiscount,6,FALSE),0)</f>
        <v>0.5</v>
      </c>
      <c r="DA29" s="279">
        <f>(1-CZ29)*DB29</f>
        <v>12.51</v>
      </c>
      <c r="DB29" s="279">
        <f>IFERROR(VLOOKUP(Brand&amp;Country &amp; Channel &amp;FC,tblFCSettings,8,FALSE),0)</f>
        <v>25.02</v>
      </c>
      <c r="DC29" s="280">
        <f>IFERROR(VLOOKUP(Brand&amp;Country &amp; Channel &amp;FC,tblFCSettings,9,FALSE),0)</f>
        <v>4.16</v>
      </c>
    </row>
    <row r="30" spans="1:107" x14ac:dyDescent="0.25">
      <c r="A30" s="44" t="s">
        <v>335</v>
      </c>
      <c r="B30" s="44">
        <v>2018</v>
      </c>
      <c r="C30" s="88">
        <v>16</v>
      </c>
      <c r="D30" s="97">
        <f t="shared" si="133"/>
        <v>16866908.479499981</v>
      </c>
      <c r="E30" s="202">
        <f t="shared" si="134"/>
        <v>13668990.327399982</v>
      </c>
      <c r="F30" s="182">
        <f t="shared" si="45"/>
        <v>0.81040282776261319</v>
      </c>
      <c r="G30" s="176">
        <f t="shared" si="135"/>
        <v>394037</v>
      </c>
      <c r="H30" s="203">
        <f t="shared" si="135"/>
        <v>42.805392588766999</v>
      </c>
      <c r="I30" s="203">
        <f t="shared" si="135"/>
        <v>8.1157813913414198</v>
      </c>
      <c r="J30" s="176">
        <f>IFERROR(VLOOKUP($B30 &amp; $C30&amp;J$4&amp;$A30,tblForecast,J$2,FALSE),0)+IFERROR(VLOOKUP($B30 &amp; $C30 &amp; J$4 &amp; $A30,tblForecast,J$2+1,FALSE),0)</f>
        <v>7283447</v>
      </c>
      <c r="K30" s="300">
        <f>IFERROR(VLOOKUP($B30 &amp; $C30&amp;K$4&amp;$A30,tblForecast,K$2+2,FALSE),0)</f>
        <v>87175</v>
      </c>
      <c r="L30" s="90">
        <f>Q30*AM30</f>
        <v>394338.8493</v>
      </c>
      <c r="M30" s="90">
        <f t="shared" si="136"/>
        <v>312750</v>
      </c>
      <c r="N30" s="90">
        <f t="shared" si="136"/>
        <v>0</v>
      </c>
      <c r="O30" s="90">
        <f t="shared" si="136"/>
        <v>510868.47359999997</v>
      </c>
      <c r="P30" s="91">
        <f t="shared" si="39"/>
        <v>-0.22810102858537395</v>
      </c>
      <c r="Q30" s="238">
        <f>IFERROR(VLOOKUP($B30 &amp; $C30&amp;CompareVer,tblForecast,Q$2,FALSE),0)</f>
        <v>38411</v>
      </c>
      <c r="R30" s="240">
        <f t="shared" si="137"/>
        <v>25000</v>
      </c>
      <c r="S30" s="240">
        <f t="shared" si="137"/>
        <v>0</v>
      </c>
      <c r="T30" s="240">
        <f>IFERROR(VLOOKUP($B30-IF(CompareVer="LY",1,0) &amp; $C30 &amp;T$4,tblForecast,T$2,FALSE),0)</f>
        <v>48108</v>
      </c>
      <c r="U30" s="91">
        <f t="shared" si="7"/>
        <v>-0.20156730689282443</v>
      </c>
      <c r="V30" s="245">
        <f t="shared" si="156"/>
        <v>-38411</v>
      </c>
      <c r="W30" s="331">
        <f t="shared" si="156"/>
        <v>0</v>
      </c>
      <c r="X30" s="246">
        <f>IFERROR(IF(T29&lt;&gt;0,T30/T29,0),0)</f>
        <v>2.0995941168768821</v>
      </c>
      <c r="Y30" s="97">
        <f t="shared" si="138"/>
        <v>241094.32370000001</v>
      </c>
      <c r="Z30" s="90">
        <f t="shared" si="138"/>
        <v>208749.99999999997</v>
      </c>
      <c r="AA30" s="90">
        <f t="shared" si="138"/>
        <v>0</v>
      </c>
      <c r="AB30" s="90">
        <f t="shared" si="138"/>
        <v>317796.63719999994</v>
      </c>
      <c r="AC30" s="91">
        <f t="shared" si="9"/>
        <v>-0.24135659261784015</v>
      </c>
      <c r="AD30" s="75">
        <f t="shared" si="139"/>
        <v>0.6113887184282556</v>
      </c>
      <c r="AE30" s="93">
        <f t="shared" si="139"/>
        <v>0.66746602717825732</v>
      </c>
      <c r="AF30" s="93">
        <f t="shared" si="139"/>
        <v>0</v>
      </c>
      <c r="AG30" s="93">
        <f t="shared" si="139"/>
        <v>0.6220713424740093</v>
      </c>
      <c r="AH30" s="104">
        <f>IFERROR(VLOOKUP($B30 &amp; $C30&amp;CompareVer,tblForecast,AH$2,FALSE),0)</f>
        <v>23.994399999999999</v>
      </c>
      <c r="AI30" s="94">
        <f t="shared" si="140"/>
        <v>25.02</v>
      </c>
      <c r="AJ30" s="94">
        <f t="shared" si="140"/>
        <v>0</v>
      </c>
      <c r="AK30" s="94">
        <f>IFERROR(VLOOKUP($B30-IF(CompareVer="LY",1,0) &amp; $C30 &amp;AK$4,tblForecast,AK$2,FALSE),0)</f>
        <v>24.388300000000001</v>
      </c>
      <c r="AL30" s="91">
        <f t="shared" si="141"/>
        <v>-1.6151187249623833E-2</v>
      </c>
      <c r="AM30" s="104">
        <f>IFERROR(VLOOKUP($B30 &amp; $C30&amp;CompareVer,tblForecast,AM$2,FALSE),0)</f>
        <v>10.266299999999999</v>
      </c>
      <c r="AN30" s="94">
        <f t="shared" si="142"/>
        <v>12.51</v>
      </c>
      <c r="AO30" s="94">
        <f t="shared" si="142"/>
        <v>0</v>
      </c>
      <c r="AP30" s="94">
        <f>IFERROR(VLOOKUP($B30-IF(CompareVer="LY",1,0) &amp; $C30 &amp;AP$4,tblForecast,AP$2,FALSE),0)</f>
        <v>10.619199999999999</v>
      </c>
      <c r="AQ30" s="91">
        <f t="shared" si="14"/>
        <v>-3.3232258550549898E-2</v>
      </c>
      <c r="AR30" s="104">
        <f>IFERROR(VLOOKUP($B30 &amp; $C30&amp;CompareVer,tblForecast,AR$2,FALSE),0)</f>
        <v>3.9895999999999998</v>
      </c>
      <c r="AS30" s="94">
        <f t="shared" si="143"/>
        <v>4.16</v>
      </c>
      <c r="AT30" s="94">
        <f t="shared" si="143"/>
        <v>0</v>
      </c>
      <c r="AU30" s="94">
        <f>IFERROR(VLOOKUP($B30-IF(CompareVer="LY",1,0) &amp; $C30 &amp;AU$4,tblForecast,AU$2,FALSE),0)</f>
        <v>4.0133000000000001</v>
      </c>
      <c r="AV30" s="91">
        <f t="shared" si="16"/>
        <v>-5.9053646624972478E-3</v>
      </c>
      <c r="AW30" s="181">
        <f t="shared" si="128"/>
        <v>0.57213766545527289</v>
      </c>
      <c r="AX30" s="182">
        <f t="shared" si="128"/>
        <v>0.5</v>
      </c>
      <c r="AY30" s="182">
        <f t="shared" si="128"/>
        <v>0</v>
      </c>
      <c r="AZ30" s="182">
        <f t="shared" si="128"/>
        <v>0.56457809687432092</v>
      </c>
      <c r="BA30" s="227">
        <f t="shared" si="144"/>
        <v>787266</v>
      </c>
      <c r="BB30" s="228">
        <f>IF(IFERROR(VLOOKUP($B30 &amp; $C30&amp;BB$4,tblForecast,BB$2,FALSE),0)=0,BA30,IFERROR(VLOOKUP($B30 &amp; $C30&amp;BB$4,tblForecast,BB$2,FALSE),0))</f>
        <v>787266</v>
      </c>
      <c r="BC30" s="228">
        <f t="shared" si="145"/>
        <v>0</v>
      </c>
      <c r="BD30" s="228">
        <f t="shared" si="146"/>
        <v>665483</v>
      </c>
      <c r="BE30" s="177">
        <f t="shared" si="19"/>
        <v>0.18299941546215304</v>
      </c>
      <c r="BF30" s="228">
        <f>IFERROR(VLOOKUP($B30 &amp; $C30&amp;CompareVer,tblForecast,BF$2,FALSE),0)</f>
        <v>408466</v>
      </c>
      <c r="BG30" s="228">
        <f>IFERROR(VLOOKUP($B30-IF(CompareVer="LY",1,0) &amp; $C30 &amp;BG$4,tblForecast,BG$2,FALSE),0)</f>
        <v>94879</v>
      </c>
      <c r="BH30" s="179">
        <f>IF(Q30&lt;&gt;0,BA30/Q30,0)</f>
        <v>20.495847543672387</v>
      </c>
      <c r="BI30" s="187">
        <f t="shared" si="147"/>
        <v>13.833104681134115</v>
      </c>
      <c r="BJ30" s="184">
        <f t="shared" si="148"/>
        <v>4.8790370726031609E-2</v>
      </c>
      <c r="BK30" s="96">
        <f t="shared" si="149"/>
        <v>7.2290351519122206E-2</v>
      </c>
      <c r="BL30" s="227">
        <f>IFERROR(VLOOKUP($B30 &amp; $C30&amp;CompareVer,tblForecast,BL$2,FALSE),0)</f>
        <v>9</v>
      </c>
      <c r="BM30" s="228">
        <f>IFERROR(VLOOKUP($B30-IF(CompareVer="LY",1,0) &amp; $C30 &amp;BM$4,tblForecast,BM$2,FALSE),0)</f>
        <v>-113</v>
      </c>
      <c r="BN30" s="227">
        <f>IFERROR(VLOOKUP($B30 &amp; $C30&amp;CompareVer,tblForecast,BN$2,FALSE),0)</f>
        <v>418124</v>
      </c>
      <c r="BO30" s="228">
        <f>IFERROR(VLOOKUP($B30-IF(CompareVer="LY",1,0) &amp; $C30 &amp;BO$4,tblForecast,BO$2,FALSE),0)</f>
        <v>20480</v>
      </c>
      <c r="BP30" s="227">
        <f>IFERROR(VLOOKUP($B30 &amp; $C30&amp;CompareVer,tblForecast,BP$2,FALSE),0)</f>
        <v>489743</v>
      </c>
      <c r="BQ30" s="228">
        <f>IFERROR(VLOOKUP($B30-IF(CompareVer="LY",1,0) &amp; $C30 &amp;BQ$4,tblForecast,BQ$2,FALSE),0)</f>
        <v>75728</v>
      </c>
      <c r="BR30" s="227">
        <f t="shared" si="43"/>
        <v>-71619</v>
      </c>
      <c r="BS30" s="228">
        <f t="shared" si="22"/>
        <v>-55248</v>
      </c>
      <c r="BT30" s="227">
        <f t="shared" si="150"/>
        <v>17311</v>
      </c>
      <c r="BU30" s="228">
        <f t="shared" si="150"/>
        <v>0</v>
      </c>
      <c r="BV30" s="228">
        <f>IFERROR(VLOOKUP($B30 &amp; $C30&amp;CompareVer,tblForecast,BV$2,FALSE),0)</f>
        <v>10591</v>
      </c>
      <c r="BW30" s="228">
        <f t="shared" si="151"/>
        <v>0</v>
      </c>
      <c r="BX30" s="228">
        <f t="shared" si="151"/>
        <v>0</v>
      </c>
      <c r="BY30" s="176">
        <f>IFERROR(VLOOKUP($B30-IF(CompareVer="LY",1,0) &amp; $C30 &amp;BY$4,tblForecast,BY$2,FALSE),0)</f>
        <v>0</v>
      </c>
      <c r="BZ30" s="177">
        <f t="shared" si="25"/>
        <v>0</v>
      </c>
      <c r="CA30" s="90">
        <f t="shared" si="152"/>
        <v>0</v>
      </c>
      <c r="CB30" s="90">
        <f t="shared" si="152"/>
        <v>0</v>
      </c>
      <c r="CC30" s="90">
        <f>IFERROR(VLOOKUP($B30 &amp; $C30&amp;CompareVer,tblForecast,CC$2,FALSE),0)</f>
        <v>206524.5</v>
      </c>
      <c r="CD30" s="90">
        <f t="shared" si="153"/>
        <v>0</v>
      </c>
      <c r="CE30" s="90">
        <f t="shared" si="153"/>
        <v>0</v>
      </c>
      <c r="CF30" s="90">
        <f>IFERROR(VLOOKUP($B30-IF(CompareVer="LY",1,0) &amp; $C30 &amp;CF$4,tblForecast,CF$2,FALSE),0)</f>
        <v>0</v>
      </c>
      <c r="CG30" s="177">
        <f t="shared" si="28"/>
        <v>0</v>
      </c>
      <c r="CH30" s="90">
        <f t="shared" si="154"/>
        <v>0</v>
      </c>
      <c r="CI30" s="90">
        <f t="shared" si="154"/>
        <v>0</v>
      </c>
      <c r="CJ30" s="90">
        <f>IFERROR(VLOOKUP($B30 &amp; $C30&amp;CompareVer,tblForecast,CJ$2,FALSE),0)</f>
        <v>52414.858999999997</v>
      </c>
      <c r="CK30" s="90">
        <f t="shared" si="155"/>
        <v>0</v>
      </c>
      <c r="CL30" s="90">
        <f t="shared" si="155"/>
        <v>0</v>
      </c>
      <c r="CM30" s="90">
        <f>IFERROR(VLOOKUP($B30-IF(CompareVer="LY",1,0) &amp; $C30 &amp;CM$4,tblForecast,CM$2,FALSE),0)</f>
        <v>0</v>
      </c>
      <c r="CN30" s="177">
        <f t="shared" si="31"/>
        <v>0</v>
      </c>
      <c r="CO30" s="178">
        <f t="shared" si="46"/>
        <v>0</v>
      </c>
      <c r="CP30" s="223">
        <f t="shared" si="46"/>
        <v>0</v>
      </c>
      <c r="CQ30" s="177">
        <f t="shared" si="33"/>
        <v>0</v>
      </c>
      <c r="CR30" s="178">
        <f t="shared" si="44"/>
        <v>0</v>
      </c>
      <c r="CS30" s="223">
        <f t="shared" si="34"/>
        <v>0</v>
      </c>
      <c r="CT30" s="177">
        <f t="shared" si="47"/>
        <v>0</v>
      </c>
      <c r="CU30" s="44"/>
      <c r="CV30" s="44"/>
      <c r="CW30" s="102">
        <f>IFERROR(VLOOKUP($B30 &amp; $C30&amp;CompareVer,tblForecast,CW$2,FALSE),0)</f>
        <v>378800</v>
      </c>
      <c r="CX30" s="48">
        <f>IFERROR(VLOOKUP($B30-IF(CompareVer="LY",1,0) &amp; $C30 &amp;CX$4,tblForecast,CX$2,FALSE),0)</f>
        <v>570604</v>
      </c>
      <c r="CY30" s="47">
        <f t="shared" si="36"/>
        <v>-0.3361420529824537</v>
      </c>
      <c r="CZ30" s="278">
        <f>IFERROR(VLOOKUP(Brand&amp;Channel&amp;Country&amp;$C30,tblDiscount,6,FALSE),0)</f>
        <v>0.5</v>
      </c>
      <c r="DA30" s="279">
        <f>(1-CZ30)*DB30</f>
        <v>12.51</v>
      </c>
      <c r="DB30" s="279">
        <f>IFERROR(VLOOKUP(Brand&amp;Country &amp; Channel &amp;FC,tblFCSettings,8,FALSE),0)</f>
        <v>25.02</v>
      </c>
      <c r="DC30" s="280">
        <f>IFERROR(VLOOKUP(Brand&amp;Country &amp; Channel &amp;FC,tblFCSettings,9,FALSE),0)</f>
        <v>4.16</v>
      </c>
    </row>
    <row r="31" spans="1:107" ht="16.5" thickBot="1" x14ac:dyDescent="0.3">
      <c r="A31" s="44" t="s">
        <v>335</v>
      </c>
      <c r="B31" s="44">
        <v>2018</v>
      </c>
      <c r="C31" s="88">
        <v>17</v>
      </c>
      <c r="D31" s="97">
        <f t="shared" si="133"/>
        <v>15269887.58299998</v>
      </c>
      <c r="E31" s="202">
        <f t="shared" si="134"/>
        <v>12034238.245699983</v>
      </c>
      <c r="F31" s="182">
        <f t="shared" si="45"/>
        <v>0.78810260915723718</v>
      </c>
      <c r="G31" s="176">
        <f t="shared" si="135"/>
        <v>383492</v>
      </c>
      <c r="H31" s="203">
        <f t="shared" si="135"/>
        <v>39.818008154016198</v>
      </c>
      <c r="I31" s="203">
        <f t="shared" si="135"/>
        <v>8.43733203639189</v>
      </c>
      <c r="J31" s="176">
        <f>IFERROR(VLOOKUP($B31 &amp; $C31&amp;J$4&amp;$A31,tblForecast,J$2,FALSE),0)+IFERROR(VLOOKUP($B31 &amp; $C31 &amp; J$4 &amp; $A31,tblForecast,J$2+1,FALSE),0)</f>
        <v>7179595</v>
      </c>
      <c r="K31" s="300">
        <f>IFERROR(VLOOKUP($B31 &amp; $C31&amp;K$4&amp;$A31,tblForecast,K$2+2,FALSE),0)</f>
        <v>302390</v>
      </c>
      <c r="L31" s="90">
        <f>Q31*AM31</f>
        <v>625631.04</v>
      </c>
      <c r="M31" s="90">
        <f t="shared" si="136"/>
        <v>442844.54</v>
      </c>
      <c r="N31" s="90">
        <f t="shared" si="136"/>
        <v>0</v>
      </c>
      <c r="O31" s="90">
        <f t="shared" si="136"/>
        <v>478168.22899999999</v>
      </c>
      <c r="P31" s="91">
        <f t="shared" si="39"/>
        <v>0.30839106836602492</v>
      </c>
      <c r="Q31" s="238">
        <f>IFERROR(VLOOKUP($B31 &amp; $C31&amp;CompareVer,tblForecast,Q$2,FALSE),0)</f>
        <v>51840</v>
      </c>
      <c r="R31" s="240">
        <f t="shared" si="137"/>
        <v>39329</v>
      </c>
      <c r="S31" s="240">
        <f t="shared" si="137"/>
        <v>0</v>
      </c>
      <c r="T31" s="240">
        <f>IFERROR(VLOOKUP($B31-IF(CompareVer="LY",1,0) &amp; $C31 &amp;T$4,tblForecast,T$2,FALSE),0)</f>
        <v>45542</v>
      </c>
      <c r="U31" s="91">
        <f t="shared" si="7"/>
        <v>0.13828993017434454</v>
      </c>
      <c r="V31" s="245">
        <f t="shared" si="156"/>
        <v>1.3496133919970841</v>
      </c>
      <c r="W31" s="331">
        <f t="shared" si="156"/>
        <v>1.5731599999999999</v>
      </c>
      <c r="X31" s="246">
        <f>IFERROR(IF(T30&lt;&gt;0,T31/T30,0),0)</f>
        <v>0.94666167789141098</v>
      </c>
      <c r="Y31" s="97">
        <f t="shared" si="138"/>
        <v>417083.90400000004</v>
      </c>
      <c r="Z31" s="90">
        <f t="shared" si="138"/>
        <v>279235.90000000002</v>
      </c>
      <c r="AA31" s="90">
        <f t="shared" si="138"/>
        <v>0</v>
      </c>
      <c r="AB31" s="90">
        <f t="shared" si="138"/>
        <v>303810.68199999997</v>
      </c>
      <c r="AC31" s="91">
        <f t="shared" si="9"/>
        <v>0.37284147237456278</v>
      </c>
      <c r="AD31" s="75">
        <f t="shared" si="139"/>
        <v>0.66666114264407339</v>
      </c>
      <c r="AE31" s="93">
        <f t="shared" si="139"/>
        <v>0.63055062166962705</v>
      </c>
      <c r="AF31" s="93">
        <f t="shared" si="139"/>
        <v>0</v>
      </c>
      <c r="AG31" s="93">
        <f t="shared" si="139"/>
        <v>0.63536358874232102</v>
      </c>
      <c r="AH31" s="104">
        <f>IFERROR(VLOOKUP($B31 &amp; $C31&amp;CompareVer,tblForecast,AH$2,FALSE),0)</f>
        <v>24.217199999999998</v>
      </c>
      <c r="AI31" s="94">
        <f t="shared" si="140"/>
        <v>25.02</v>
      </c>
      <c r="AJ31" s="94">
        <f t="shared" si="140"/>
        <v>0</v>
      </c>
      <c r="AK31" s="94">
        <f>IFERROR(VLOOKUP($B31-IF(CompareVer="LY",1,0) &amp; $C31 &amp;AK$4,tblForecast,AK$2,FALSE),0)</f>
        <v>23.103400000000001</v>
      </c>
      <c r="AL31" s="91">
        <f t="shared" si="141"/>
        <v>4.8209354467307675E-2</v>
      </c>
      <c r="AM31" s="104">
        <f>IFERROR(VLOOKUP($B31 &amp; $C31&amp;CompareVer,tblForecast,AM$2,FALSE),0)</f>
        <v>12.0685</v>
      </c>
      <c r="AN31" s="94">
        <f t="shared" si="142"/>
        <v>11.26</v>
      </c>
      <c r="AO31" s="94">
        <f t="shared" si="142"/>
        <v>0</v>
      </c>
      <c r="AP31" s="94">
        <f>IFERROR(VLOOKUP($B31-IF(CompareVer="LY",1,0) &amp; $C31 &amp;AP$4,tblForecast,AP$2,FALSE),0)</f>
        <v>10.499499999999999</v>
      </c>
      <c r="AQ31" s="91">
        <f t="shared" si="14"/>
        <v>0.1494356874136864</v>
      </c>
      <c r="AR31" s="104">
        <f>IFERROR(VLOOKUP($B31 &amp; $C31&amp;CompareVer,tblForecast,AR$2,FALSE),0)</f>
        <v>4.0228999999999999</v>
      </c>
      <c r="AS31" s="94">
        <f t="shared" si="143"/>
        <v>4.16</v>
      </c>
      <c r="AT31" s="94">
        <f t="shared" si="143"/>
        <v>0</v>
      </c>
      <c r="AU31" s="94">
        <f>IFERROR(VLOOKUP($B31-IF(CompareVer="LY",1,0) &amp; $C31 &amp;AU$4,tblForecast,AU$2,FALSE),0)</f>
        <v>3.8285</v>
      </c>
      <c r="AV31" s="91">
        <f t="shared" si="16"/>
        <v>5.0777066736319654E-2</v>
      </c>
      <c r="AW31" s="181">
        <f t="shared" si="128"/>
        <v>0.50165584790975004</v>
      </c>
      <c r="AX31" s="182">
        <f t="shared" si="128"/>
        <v>0.54996003197442045</v>
      </c>
      <c r="AY31" s="182">
        <f t="shared" si="128"/>
        <v>0</v>
      </c>
      <c r="AZ31" s="182">
        <f t="shared" si="128"/>
        <v>0.54554308023927223</v>
      </c>
      <c r="BA31" s="227">
        <f t="shared" si="144"/>
        <v>736049</v>
      </c>
      <c r="BB31" s="228">
        <f>IF(IFERROR(VLOOKUP($B31 &amp; $C31&amp;BB$4,tblForecast,BB$2,FALSE),0)=0,BA31,IFERROR(VLOOKUP($B31 &amp; $C31&amp;BB$4,tblForecast,BB$2,FALSE),0))</f>
        <v>736049</v>
      </c>
      <c r="BC31" s="228">
        <f t="shared" si="145"/>
        <v>0</v>
      </c>
      <c r="BD31" s="228">
        <f t="shared" si="146"/>
        <v>615010</v>
      </c>
      <c r="BE31" s="177">
        <f t="shared" si="19"/>
        <v>0.19680818198078076</v>
      </c>
      <c r="BF31" s="228">
        <f>IFERROR(VLOOKUP($B31 &amp; $C31&amp;CompareVer,tblForecast,BF$2,FALSE),0)</f>
        <v>408162</v>
      </c>
      <c r="BG31" s="228">
        <f>IFERROR(VLOOKUP($B31-IF(CompareVer="LY",1,0) &amp; $C31 &amp;BG$4,tblForecast,BG$2,FALSE),0)</f>
        <v>85811</v>
      </c>
      <c r="BH31" s="179">
        <f>IF(Q31&lt;&gt;0,BA31/Q31,0)</f>
        <v>14.198476080246914</v>
      </c>
      <c r="BI31" s="187">
        <f t="shared" si="147"/>
        <v>13.504237846383559</v>
      </c>
      <c r="BJ31" s="184">
        <f t="shared" si="148"/>
        <v>7.0430093648656544E-2</v>
      </c>
      <c r="BK31" s="96">
        <f t="shared" si="149"/>
        <v>7.405082844181396E-2</v>
      </c>
      <c r="BL31" s="227">
        <f>IFERROR(VLOOKUP($B31 &amp; $C31&amp;CompareVer,tblForecast,BL$2,FALSE),0)</f>
        <v>-74</v>
      </c>
      <c r="BM31" s="228">
        <f>IFERROR(VLOOKUP($B31-IF(CompareVer="LY",1,0) &amp; $C31 &amp;BM$4,tblForecast,BM$2,FALSE),0)</f>
        <v>-94</v>
      </c>
      <c r="BN31" s="227">
        <f>IFERROR(VLOOKUP($B31 &amp; $C31&amp;CompareVer,tblForecast,BN$2,FALSE),0)</f>
        <v>979</v>
      </c>
      <c r="BO31" s="228">
        <f>IFERROR(VLOOKUP($B31-IF(CompareVer="LY",1,0) &amp; $C31 &amp;BO$4,tblForecast,BO$2,FALSE),0)</f>
        <v>4221</v>
      </c>
      <c r="BP31" s="227">
        <f>IFERROR(VLOOKUP($B31 &amp; $C31&amp;CompareVer,tblForecast,BP$2,FALSE),0)</f>
        <v>5513</v>
      </c>
      <c r="BQ31" s="228">
        <f>IFERROR(VLOOKUP($B31-IF(CompareVer="LY",1,0) &amp; $C31 &amp;BQ$4,tblForecast,BQ$2,FALSE),0)</f>
        <v>9042</v>
      </c>
      <c r="BR31" s="227">
        <f t="shared" si="43"/>
        <v>-4534</v>
      </c>
      <c r="BS31" s="228">
        <f t="shared" si="22"/>
        <v>-4821</v>
      </c>
      <c r="BT31" s="227">
        <f t="shared" si="150"/>
        <v>0</v>
      </c>
      <c r="BU31" s="228">
        <f t="shared" si="150"/>
        <v>2</v>
      </c>
      <c r="BV31" s="228">
        <f>IFERROR(VLOOKUP($B31 &amp; $C31&amp;CompareVer,tblForecast,BV$2,FALSE),0)</f>
        <v>6873</v>
      </c>
      <c r="BW31" s="228">
        <f t="shared" si="151"/>
        <v>0</v>
      </c>
      <c r="BX31" s="228">
        <f t="shared" si="151"/>
        <v>0</v>
      </c>
      <c r="BY31" s="176">
        <f>IFERROR(VLOOKUP($B31-IF(CompareVer="LY",1,0) &amp; $C31 &amp;BY$4,tblForecast,BY$2,FALSE),0)</f>
        <v>0</v>
      </c>
      <c r="BZ31" s="177">
        <f t="shared" si="25"/>
        <v>0</v>
      </c>
      <c r="CA31" s="90">
        <f t="shared" si="152"/>
        <v>0</v>
      </c>
      <c r="CB31" s="90">
        <f t="shared" si="152"/>
        <v>0</v>
      </c>
      <c r="CC31" s="90">
        <f>IFERROR(VLOOKUP($B31 &amp; $C31&amp;CompareVer,tblForecast,CC$2,FALSE),0)</f>
        <v>134551.35</v>
      </c>
      <c r="CD31" s="90">
        <f t="shared" si="153"/>
        <v>0</v>
      </c>
      <c r="CE31" s="90">
        <f t="shared" si="153"/>
        <v>0</v>
      </c>
      <c r="CF31" s="90">
        <f>IFERROR(VLOOKUP($B31-IF(CompareVer="LY",1,0) &amp; $C31 &amp;CF$4,tblForecast,CF$2,FALSE),0)</f>
        <v>0</v>
      </c>
      <c r="CG31" s="177">
        <f t="shared" si="28"/>
        <v>0</v>
      </c>
      <c r="CH31" s="90">
        <f t="shared" si="154"/>
        <v>0</v>
      </c>
      <c r="CI31" s="90">
        <f t="shared" si="154"/>
        <v>7.37</v>
      </c>
      <c r="CJ31" s="90">
        <f>IFERROR(VLOOKUP($B31 &amp; $C31&amp;CompareVer,tblForecast,CJ$2,FALSE),0)</f>
        <v>33742.641900000002</v>
      </c>
      <c r="CK31" s="90">
        <f t="shared" si="155"/>
        <v>0</v>
      </c>
      <c r="CL31" s="90">
        <f t="shared" si="155"/>
        <v>0</v>
      </c>
      <c r="CM31" s="90">
        <f>IFERROR(VLOOKUP($B31-IF(CompareVer="LY",1,0) &amp; $C31 &amp;CM$4,tblForecast,CM$2,FALSE),0)</f>
        <v>0</v>
      </c>
      <c r="CN31" s="177">
        <f t="shared" si="31"/>
        <v>0</v>
      </c>
      <c r="CO31" s="178">
        <f t="shared" si="46"/>
        <v>0</v>
      </c>
      <c r="CP31" s="223">
        <f t="shared" si="46"/>
        <v>0</v>
      </c>
      <c r="CQ31" s="177">
        <f t="shared" si="33"/>
        <v>0</v>
      </c>
      <c r="CR31" s="178">
        <f t="shared" si="44"/>
        <v>0</v>
      </c>
      <c r="CS31" s="223">
        <f t="shared" si="34"/>
        <v>0</v>
      </c>
      <c r="CT31" s="177">
        <f t="shared" si="47"/>
        <v>0</v>
      </c>
      <c r="CU31" s="44"/>
      <c r="CV31" s="44"/>
      <c r="CW31" s="102">
        <f>IFERROR(VLOOKUP($B31 &amp; $C31&amp;CompareVer,tblForecast,CW$2,FALSE),0)</f>
        <v>327887</v>
      </c>
      <c r="CX31" s="48">
        <f>IFERROR(VLOOKUP($B31-IF(CompareVer="LY",1,0) &amp; $C31 &amp;CX$4,tblForecast,CX$2,FALSE),0)</f>
        <v>529199</v>
      </c>
      <c r="CY31" s="47">
        <f t="shared" si="36"/>
        <v>-0.38040888210295187</v>
      </c>
      <c r="CZ31" s="278">
        <f>IFERROR(VLOOKUP(Brand&amp;Channel&amp;Country&amp;$C31,tblDiscount,6,FALSE),0)</f>
        <v>0.55000000000000004</v>
      </c>
      <c r="DA31" s="279">
        <f>(1-CZ31)*DB31</f>
        <v>11.258999999999999</v>
      </c>
      <c r="DB31" s="279">
        <f>IFERROR(VLOOKUP(Brand&amp;Country &amp; Channel &amp;FC,tblFCSettings,8,FALSE),0)</f>
        <v>25.02</v>
      </c>
      <c r="DC31" s="280">
        <f>IFERROR(VLOOKUP(Brand&amp;Country &amp; Channel &amp;FC,tblFCSettings,9,FALSE),0)</f>
        <v>4.16</v>
      </c>
    </row>
    <row r="32" spans="1:107" s="44" customFormat="1" ht="16.5" thickBot="1" x14ac:dyDescent="0.3">
      <c r="C32" s="253" t="s">
        <v>28</v>
      </c>
      <c r="D32" s="254">
        <f t="shared" ref="D32" si="157">SUM(D28:D31)</f>
        <v>67440801.755099922</v>
      </c>
      <c r="E32" s="255">
        <f t="shared" ref="E32" si="158">SUM(E28:E31)</f>
        <v>54898605.355999932</v>
      </c>
      <c r="F32" s="256">
        <f t="shared" si="45"/>
        <v>0.81402658223659774</v>
      </c>
      <c r="G32" s="257">
        <f>SUM(G28:G31)</f>
        <v>1470234</v>
      </c>
      <c r="H32" s="258">
        <f>IFERROR(D32/G32,0)</f>
        <v>45.870794550459259</v>
      </c>
      <c r="I32" s="258">
        <f>IFERROR(SUMPRODUCT(I28:I31,G28:G31)/G32,0)</f>
        <v>8.5307484380717575</v>
      </c>
      <c r="J32" s="257">
        <f>SUM(J28:J31)</f>
        <v>30522821</v>
      </c>
      <c r="K32" s="301">
        <f>SUM(K28:K31)</f>
        <v>791582</v>
      </c>
      <c r="L32" s="259">
        <f>SUM(L28:L31)</f>
        <v>1019932.8893</v>
      </c>
      <c r="M32" s="259">
        <f t="shared" ref="M32:O32" si="159">SUM(M28:M31)</f>
        <v>755622.08</v>
      </c>
      <c r="N32" s="259">
        <f t="shared" si="159"/>
        <v>0</v>
      </c>
      <c r="O32" s="259">
        <f t="shared" si="159"/>
        <v>1246040.8714999999</v>
      </c>
      <c r="P32" s="260">
        <f t="shared" si="39"/>
        <v>-0.18146112809911941</v>
      </c>
      <c r="Q32" s="261">
        <f>SUM(Q28:Q31)</f>
        <v>90252</v>
      </c>
      <c r="R32" s="262">
        <f t="shared" ref="R32:S32" si="160">SUM(R28:R31)</f>
        <v>64331</v>
      </c>
      <c r="S32" s="262">
        <f t="shared" si="160"/>
        <v>0</v>
      </c>
      <c r="T32" s="262">
        <f>SUM(T28:T31)</f>
        <v>116565</v>
      </c>
      <c r="U32" s="260">
        <f t="shared" si="7"/>
        <v>-0.2257367134216961</v>
      </c>
      <c r="V32" s="263">
        <f>V31</f>
        <v>1.3496133919970841</v>
      </c>
      <c r="W32" s="332">
        <f>W31</f>
        <v>1.5731599999999999</v>
      </c>
      <c r="X32" s="264">
        <f>X31</f>
        <v>0.94666167789141098</v>
      </c>
      <c r="Y32" s="254">
        <f>SUM(Y28:Y31)</f>
        <v>658145.22770000005</v>
      </c>
      <c r="Z32" s="259">
        <f t="shared" ref="Z32:AB32" si="161">SUM(Z28:Z31)</f>
        <v>488007.22</v>
      </c>
      <c r="AA32" s="259">
        <f t="shared" si="161"/>
        <v>0</v>
      </c>
      <c r="AB32" s="259">
        <f t="shared" si="161"/>
        <v>786005.18119999988</v>
      </c>
      <c r="AC32" s="260">
        <f t="shared" si="9"/>
        <v>-0.16267062426330969</v>
      </c>
      <c r="AD32" s="265">
        <f>IFERROR(Y32/L32,0)</f>
        <v>0.64528287557399788</v>
      </c>
      <c r="AE32" s="266">
        <f>IFERROR(Z32/M32,0)</f>
        <v>0.64583504494733668</v>
      </c>
      <c r="AF32" s="266">
        <f>IFERROR(AA32/N32,0)</f>
        <v>0</v>
      </c>
      <c r="AG32" s="266">
        <f>IFERROR(AB32/O32,0)</f>
        <v>0.63080208617378397</v>
      </c>
      <c r="AH32" s="267">
        <f>IFERROR(SUMPRODUCT(AH28:AH31,Q28:Q31)/Q32,0)</f>
        <v>24.122008336657355</v>
      </c>
      <c r="AI32" s="268">
        <f>IFERROR(SUMPRODUCT(AI28:AI31,R28:R31)/R32,0)</f>
        <v>25.019935645334286</v>
      </c>
      <c r="AJ32" s="268">
        <f t="shared" ref="AJ32:AK32" si="162">IFERROR(SUMPRODUCT(AJ28:AJ31,S28:S31)/S32,0)</f>
        <v>0</v>
      </c>
      <c r="AK32" s="268">
        <f t="shared" si="162"/>
        <v>23.941255561274826</v>
      </c>
      <c r="AL32" s="260">
        <f t="shared" si="141"/>
        <v>7.5498452835907059E-3</v>
      </c>
      <c r="AM32" s="267">
        <f>IF(Q32&lt;&gt;0,L32/Q32,0)</f>
        <v>11.300945012852901</v>
      </c>
      <c r="AN32" s="268">
        <f>IF(R32&lt;&gt;0,M32/R32,0)</f>
        <v>11.74584694781676</v>
      </c>
      <c r="AO32" s="268">
        <f>IF(S32&lt;&gt;0,N32/S32,0)</f>
        <v>0</v>
      </c>
      <c r="AP32" s="268">
        <f>IF(T32&lt;&gt;0,O32/T32,0)</f>
        <v>10.689665607171964</v>
      </c>
      <c r="AQ32" s="260">
        <f t="shared" si="14"/>
        <v>5.7184146646347411E-2</v>
      </c>
      <c r="AR32" s="267">
        <f>IFERROR((L32*(1-AD32))/Q32,0)</f>
        <v>4.0086387182555505</v>
      </c>
      <c r="AS32" s="268">
        <f>IFERROR((M32*(1-AE32))/R32,0)</f>
        <v>4.159967356328985</v>
      </c>
      <c r="AT32" s="268">
        <f>IFERROR((N32*(1-AF32))/S32,0)</f>
        <v>0</v>
      </c>
      <c r="AU32" s="268">
        <f>IFERROR((O32*(1-AG32))/T32,0)</f>
        <v>3.9466022416677395</v>
      </c>
      <c r="AV32" s="260">
        <f t="shared" si="16"/>
        <v>1.5718958432860974E-2</v>
      </c>
      <c r="AW32" s="269">
        <f t="shared" si="128"/>
        <v>0.53150895003716347</v>
      </c>
      <c r="AX32" s="270">
        <f t="shared" si="128"/>
        <v>0.53054048122593289</v>
      </c>
      <c r="AY32" s="270">
        <f t="shared" si="128"/>
        <v>0</v>
      </c>
      <c r="AZ32" s="270">
        <f t="shared" si="128"/>
        <v>0.55350438577404504</v>
      </c>
      <c r="BA32" s="261">
        <f>BA31</f>
        <v>736049</v>
      </c>
      <c r="BB32" s="262">
        <f t="shared" ref="BB32:BD32" si="163">BB31</f>
        <v>736049</v>
      </c>
      <c r="BC32" s="262">
        <f t="shared" si="163"/>
        <v>0</v>
      </c>
      <c r="BD32" s="262">
        <f t="shared" si="163"/>
        <v>615010</v>
      </c>
      <c r="BE32" s="260">
        <f t="shared" si="19"/>
        <v>0.19680818198078076</v>
      </c>
      <c r="BF32" s="262">
        <f>BF31</f>
        <v>408162</v>
      </c>
      <c r="BG32" s="262">
        <f>BG31</f>
        <v>85811</v>
      </c>
      <c r="BH32" s="271">
        <f>IF(Q32&lt;&gt;0,(BA32*COUNTIF(BH28:BH31,"&lt;&gt;0")/Q32),0)</f>
        <v>32.621947436067899</v>
      </c>
      <c r="BI32" s="272">
        <f>IF(T32&lt;&gt;0,(BD32*COUNTIF(BI28:BI31,"&lt;&gt;0")/T32),0)</f>
        <v>21.104448161969717</v>
      </c>
      <c r="BJ32" s="273">
        <f t="shared" ref="BJ32" si="164">IF(BA32&lt;&gt;0,(Q32/COUNTIF(BJ28:BJ31,"&lt;&gt;0"))/BA32,0)</f>
        <v>3.0654209162705202E-2</v>
      </c>
      <c r="BK32" s="274">
        <f t="shared" ref="BK32" si="165">IF(BD32&lt;&gt;0,(T32/COUNTIF(BK28:BK31,"&lt;&gt;0"))/BD32,0)</f>
        <v>4.738337588006699E-2</v>
      </c>
      <c r="BL32" s="261">
        <f>SUM(BL28:BL31)</f>
        <v>2728</v>
      </c>
      <c r="BM32" s="262">
        <f>SUM(BM28:BM31)</f>
        <v>-1</v>
      </c>
      <c r="BN32" s="261">
        <f>SUM(BN28:BN31)</f>
        <v>419103</v>
      </c>
      <c r="BO32" s="262">
        <f t="shared" ref="BO32:BQ32" si="166">SUM(BO28:BO31)</f>
        <v>645964</v>
      </c>
      <c r="BP32" s="261">
        <f>SUM(BP28:BP31)</f>
        <v>495256</v>
      </c>
      <c r="BQ32" s="262">
        <f t="shared" si="166"/>
        <v>1026673</v>
      </c>
      <c r="BR32" s="261">
        <f t="shared" si="43"/>
        <v>-76153</v>
      </c>
      <c r="BS32" s="262">
        <f t="shared" si="22"/>
        <v>-380709</v>
      </c>
      <c r="BT32" s="261">
        <f>SUM(BT28:BT31)</f>
        <v>262311</v>
      </c>
      <c r="BU32" s="262">
        <f>SUM(BU28:BU31)</f>
        <v>-5364</v>
      </c>
      <c r="BV32" s="262">
        <f>SUM(BV28:BV31)</f>
        <v>374152</v>
      </c>
      <c r="BW32" s="262">
        <f t="shared" ref="BW32:BX32" si="167">SUM(BW28:BW31)</f>
        <v>0</v>
      </c>
      <c r="BX32" s="262">
        <f t="shared" si="167"/>
        <v>0</v>
      </c>
      <c r="BY32" s="275">
        <f>SUM(BY28:BY31)</f>
        <v>0</v>
      </c>
      <c r="BZ32" s="260">
        <f t="shared" si="25"/>
        <v>0</v>
      </c>
      <c r="CA32" s="259">
        <f t="shared" ref="CA32:CF32" si="168">SUM(CA28:CA31)</f>
        <v>0</v>
      </c>
      <c r="CB32" s="259">
        <f t="shared" si="168"/>
        <v>0</v>
      </c>
      <c r="CC32" s="259">
        <f>SUM(CC28:CC31)</f>
        <v>9513351.4499999993</v>
      </c>
      <c r="CD32" s="259">
        <f t="shared" si="168"/>
        <v>0</v>
      </c>
      <c r="CE32" s="259">
        <f t="shared" si="168"/>
        <v>0</v>
      </c>
      <c r="CF32" s="259">
        <f t="shared" si="168"/>
        <v>0</v>
      </c>
      <c r="CG32" s="260">
        <f t="shared" si="28"/>
        <v>0</v>
      </c>
      <c r="CH32" s="259">
        <f t="shared" ref="CH32:CM32" si="169">SUM(CH28:CH31)</f>
        <v>0</v>
      </c>
      <c r="CI32" s="259">
        <f t="shared" si="169"/>
        <v>-26700.529999999901</v>
      </c>
      <c r="CJ32" s="259">
        <f>SUM(CJ28:CJ31)</f>
        <v>1589024.3112999999</v>
      </c>
      <c r="CK32" s="259">
        <f t="shared" si="169"/>
        <v>0</v>
      </c>
      <c r="CL32" s="259">
        <f t="shared" si="169"/>
        <v>0</v>
      </c>
      <c r="CM32" s="259">
        <f t="shared" si="169"/>
        <v>0</v>
      </c>
      <c r="CN32" s="260">
        <f t="shared" si="31"/>
        <v>0</v>
      </c>
      <c r="CO32" s="276">
        <f t="shared" si="46"/>
        <v>0</v>
      </c>
      <c r="CP32" s="277">
        <f t="shared" si="46"/>
        <v>0</v>
      </c>
      <c r="CQ32" s="260">
        <f t="shared" si="33"/>
        <v>0</v>
      </c>
      <c r="CR32" s="276">
        <f t="shared" si="44"/>
        <v>0</v>
      </c>
      <c r="CS32" s="277">
        <f t="shared" si="34"/>
        <v>0</v>
      </c>
      <c r="CT32" s="260">
        <f t="shared" si="47"/>
        <v>0</v>
      </c>
      <c r="CW32" s="100">
        <f>CW31</f>
        <v>327887</v>
      </c>
      <c r="CX32" s="101">
        <f>CX31</f>
        <v>529199</v>
      </c>
      <c r="CY32" s="99">
        <f t="shared" si="36"/>
        <v>-0.38040888210295187</v>
      </c>
      <c r="CZ32" s="278"/>
      <c r="DA32" s="279"/>
      <c r="DB32" s="279"/>
      <c r="DC32" s="280"/>
    </row>
    <row r="33" spans="1:107" x14ac:dyDescent="0.25">
      <c r="A33" s="44" t="s">
        <v>335</v>
      </c>
      <c r="B33" s="44">
        <v>2018</v>
      </c>
      <c r="C33" s="88">
        <v>18</v>
      </c>
      <c r="D33" s="97">
        <f>G33*H33</f>
        <v>14028974.9496</v>
      </c>
      <c r="E33" s="199">
        <f>IFERROR(D33*F33,0)</f>
        <v>10849234.321200002</v>
      </c>
      <c r="F33" s="200">
        <f t="shared" si="45"/>
        <v>0.77334476397431584</v>
      </c>
      <c r="G33" s="198">
        <f t="shared" ref="G33:I37" si="170">IFERROR(VLOOKUP($B33 &amp; $C33&amp;G$4&amp;$A33,tblForecast,G$2,FALSE),0)</f>
        <v>381450</v>
      </c>
      <c r="H33" s="201">
        <f t="shared" si="170"/>
        <v>36.778017956744002</v>
      </c>
      <c r="I33" s="201">
        <f t="shared" si="170"/>
        <v>8.3359303405426601</v>
      </c>
      <c r="J33" s="198">
        <f>IFERROR(VLOOKUP($B33 &amp; $C33&amp;J$4&amp;$A33,tblForecast,J$2,FALSE),0)+IFERROR(VLOOKUP($B33 &amp; $C33 &amp; J$4 &amp; $A33,tblForecast,J$2+1,FALSE),0)</f>
        <v>7055693</v>
      </c>
      <c r="K33" s="299">
        <f>IFERROR(VLOOKUP($B33 &amp; $C33&amp;K$4&amp;$A33,tblForecast,K$2+2,FALSE),0)</f>
        <v>520087</v>
      </c>
      <c r="L33" s="90">
        <f>Q33*AM33</f>
        <v>496617.60479999997</v>
      </c>
      <c r="M33" s="90">
        <f t="shared" ref="M33:O37" si="171">R33*AN33</f>
        <v>376196.6</v>
      </c>
      <c r="N33" s="90">
        <f t="shared" si="171"/>
        <v>0</v>
      </c>
      <c r="O33" s="90">
        <f t="shared" si="171"/>
        <v>414867.22269999998</v>
      </c>
      <c r="P33" s="91">
        <f t="shared" si="39"/>
        <v>0.19705191836549485</v>
      </c>
      <c r="Q33" s="238">
        <f>IFERROR(VLOOKUP($B33 &amp; $C33&amp;CompareVer,tblForecast,Q$2,FALSE),0)</f>
        <v>35414</v>
      </c>
      <c r="R33" s="239">
        <f t="shared" ref="R33:S37" si="172">IFERROR(VLOOKUP($B33 &amp; $C33&amp;R$4,tblForecast,R$2,FALSE),0)</f>
        <v>33410</v>
      </c>
      <c r="S33" s="239">
        <f t="shared" si="172"/>
        <v>0</v>
      </c>
      <c r="T33" s="240">
        <f>IFERROR(VLOOKUP($B33-IF(CompareVer="LY",1,0) &amp; $C33 &amp;T$4,tblForecast,T$2,FALSE),0)</f>
        <v>38773</v>
      </c>
      <c r="U33" s="91">
        <f t="shared" si="7"/>
        <v>-8.6632450416527007E-2</v>
      </c>
      <c r="V33" s="245">
        <f>IFERROR(IF(Q31&gt;0,Q33/Q31,0),0)</f>
        <v>0.6831404320987654</v>
      </c>
      <c r="W33" s="331">
        <f>IFERROR(IF(R31&gt;0,R33/R31,0),0)</f>
        <v>0.84950036868468559</v>
      </c>
      <c r="X33" s="246">
        <f>IFERROR(IF(T31&gt;0,T33/T31,0),0)</f>
        <v>0.8513679680295112</v>
      </c>
      <c r="Y33" s="97">
        <f t="shared" ref="Y33:AB37" si="173">IFERROR(L33*AD33,0)</f>
        <v>352758.85399999999</v>
      </c>
      <c r="Z33" s="90">
        <f t="shared" si="173"/>
        <v>237211</v>
      </c>
      <c r="AA33" s="90">
        <f t="shared" si="173"/>
        <v>0</v>
      </c>
      <c r="AB33" s="90">
        <f t="shared" si="173"/>
        <v>266948.22769999999</v>
      </c>
      <c r="AC33" s="91">
        <f t="shared" si="9"/>
        <v>0.32145044392815803</v>
      </c>
      <c r="AD33" s="75">
        <f>IF(AM33&lt;&gt;0,1-AR33/AM33,0)</f>
        <v>0.7103228934907867</v>
      </c>
      <c r="AE33" s="93">
        <f t="shared" ref="AE33:AG37" si="174">IF(AN33&lt;&gt;0,1-AS33/AN33,0)</f>
        <v>0.63055062166962705</v>
      </c>
      <c r="AF33" s="93">
        <f t="shared" si="174"/>
        <v>0</v>
      </c>
      <c r="AG33" s="93">
        <f t="shared" si="174"/>
        <v>0.64345461172534324</v>
      </c>
      <c r="AH33" s="104">
        <f>IFERROR(VLOOKUP($B33 &amp; $C33&amp;CompareVer,tblForecast,AH$2,FALSE),0)</f>
        <v>24.376000000000001</v>
      </c>
      <c r="AI33" s="94">
        <f t="shared" ref="AI33:AJ42" si="175">IFERROR(VLOOKUP($B33 &amp; $C33&amp;AI$4,tblForecast,AI$2,FALSE),0)</f>
        <v>25.02</v>
      </c>
      <c r="AJ33" s="94">
        <f t="shared" si="175"/>
        <v>0</v>
      </c>
      <c r="AK33" s="94">
        <f>IFERROR(VLOOKUP($B33-IF(CompareVer="LY",1,0) &amp; $C33 &amp;AK$4,tblForecast,AK$2,FALSE),0)</f>
        <v>23.0061</v>
      </c>
      <c r="AL33" s="91">
        <f t="shared" si="141"/>
        <v>5.954507717518398E-2</v>
      </c>
      <c r="AM33" s="104">
        <f>IFERROR(VLOOKUP($B33 &amp; $C33&amp;CompareVer,tblForecast,AM$2,FALSE),0)</f>
        <v>14.023199999999999</v>
      </c>
      <c r="AN33" s="94">
        <f t="shared" ref="AN33:AO42" si="176">IFERROR(VLOOKUP($B33 &amp; $C33&amp;AN$4,tblForecast,AN$2,FALSE),0)</f>
        <v>11.26</v>
      </c>
      <c r="AO33" s="94">
        <f t="shared" si="176"/>
        <v>0</v>
      </c>
      <c r="AP33" s="94">
        <f>IFERROR(VLOOKUP($B33-IF(CompareVer="LY",1,0) &amp; $C33 &amp;AP$4,tblForecast,AP$2,FALSE),0)</f>
        <v>10.6999</v>
      </c>
      <c r="AQ33" s="91">
        <f t="shared" si="14"/>
        <v>0.31059168777278301</v>
      </c>
      <c r="AR33" s="104">
        <f>IFERROR(VLOOKUP($B33 &amp; $C33&amp;CompareVer,tblForecast,AR$2,FALSE),0)</f>
        <v>4.0621999999999998</v>
      </c>
      <c r="AS33" s="94">
        <f t="shared" ref="AS33:AT37" si="177">IFERROR(VLOOKUP($B33 &amp; $C33&amp;AS$4,tblForecast,AS$2,FALSE),0)</f>
        <v>4.16</v>
      </c>
      <c r="AT33" s="94">
        <f t="shared" si="177"/>
        <v>0</v>
      </c>
      <c r="AU33" s="94">
        <f>IFERROR(VLOOKUP($B33-IF(CompareVer="LY",1,0) &amp; $C33 &amp;AU$4,tblForecast,AU$2,FALSE),0)</f>
        <v>3.8149999999999999</v>
      </c>
      <c r="AV33" s="91">
        <f t="shared" si="16"/>
        <v>6.4796854521625091E-2</v>
      </c>
      <c r="AW33" s="181">
        <f t="shared" si="128"/>
        <v>0.42471283229405976</v>
      </c>
      <c r="AX33" s="182">
        <f t="shared" si="128"/>
        <v>0.54996003197442045</v>
      </c>
      <c r="AY33" s="182">
        <f t="shared" si="128"/>
        <v>0</v>
      </c>
      <c r="AZ33" s="182">
        <f t="shared" si="128"/>
        <v>0.5349103063969991</v>
      </c>
      <c r="BA33" s="227">
        <f t="shared" ref="BA33:BA37" si="178">CW33+BF33</f>
        <v>669567</v>
      </c>
      <c r="BB33" s="228">
        <f>IF(IFERROR(VLOOKUP($B33 &amp; $C33&amp;BB$4,tblForecast,BB$2,FALSE),0)=0,BA33,IFERROR(VLOOKUP($B33 &amp; $C33&amp;BB$4,tblForecast,BB$2,FALSE),0))</f>
        <v>669567</v>
      </c>
      <c r="BC33" s="228">
        <f t="shared" ref="BC33:BC37" si="179">IFERROR(VLOOKUP($B33 &amp; $C33&amp;BC$4,tblForecast,BC$2,FALSE),0)</f>
        <v>0</v>
      </c>
      <c r="BD33" s="228">
        <f t="shared" si="146"/>
        <v>569367</v>
      </c>
      <c r="BE33" s="177">
        <f t="shared" si="19"/>
        <v>0.17598490955745594</v>
      </c>
      <c r="BF33" s="228">
        <f>IFERROR(VLOOKUP($B33 &amp; $C33&amp;CompareVer,tblForecast,BF$2,FALSE),0)</f>
        <v>333682</v>
      </c>
      <c r="BG33" s="228">
        <f>IFERROR(VLOOKUP($B33-IF(CompareVer="LY",1,0) &amp; $C33 &amp;BG$4,tblForecast,BG$2,FALSE),0)</f>
        <v>70703</v>
      </c>
      <c r="BH33" s="185">
        <f>IF(Q33&lt;&gt;0,BA33/Q33,0)</f>
        <v>18.906844750663581</v>
      </c>
      <c r="BI33" s="186">
        <f>IF(T33&lt;&gt;0,BD33/T33,0)</f>
        <v>14.684625899466123</v>
      </c>
      <c r="BJ33" s="184">
        <f t="shared" ref="BJ33:BJ37" si="180">IF(BA33&lt;&gt;0,Q33/BA33,0)</f>
        <v>5.2890898147608827E-2</v>
      </c>
      <c r="BK33" s="96">
        <f t="shared" ref="BK33:BK37" si="181">IF(BD33&lt;&gt;0,T33/BD33,0)</f>
        <v>6.8098432118475424E-2</v>
      </c>
      <c r="BL33" s="227">
        <f>IFERROR(VLOOKUP($B33 &amp; $C33&amp;CompareVer,tblForecast,BL$2,FALSE),0)</f>
        <v>1</v>
      </c>
      <c r="BM33" s="228">
        <f>IFERROR(VLOOKUP($B33-IF(CompareVer="LY",1,0) &amp; $C33 &amp;BM$4,tblForecast,BM$2,FALSE),0)</f>
        <v>-50</v>
      </c>
      <c r="BN33" s="227">
        <f>IFERROR(VLOOKUP($B33 &amp; $C33&amp;CompareVer,tblForecast,BN$2,FALSE),0)</f>
        <v>77667</v>
      </c>
      <c r="BO33" s="228">
        <f>IFERROR(VLOOKUP($B33-IF(CompareVer="LY",1,0) &amp; $C33 &amp;BO$4,tblForecast,BO$2,FALSE),0)</f>
        <v>8314</v>
      </c>
      <c r="BP33" s="227">
        <f>IFERROR(VLOOKUP($B33 &amp; $C33&amp;CompareVer,tblForecast,BP$2,FALSE),0)</f>
        <v>112409</v>
      </c>
      <c r="BQ33" s="228">
        <f>IFERROR(VLOOKUP($B33-IF(CompareVer="LY",1,0) &amp; $C33 &amp;BQ$4,tblForecast,BQ$2,FALSE),0)</f>
        <v>15126</v>
      </c>
      <c r="BR33" s="227">
        <f t="shared" si="43"/>
        <v>-34742</v>
      </c>
      <c r="BS33" s="228">
        <f t="shared" si="22"/>
        <v>-6812</v>
      </c>
      <c r="BT33" s="227">
        <f t="shared" ref="BT33:BU37" si="182">IFERROR(VLOOKUP($B33 &amp; $C33&amp;BT$4,tblForecast,BT$2,FALSE),0)</f>
        <v>0</v>
      </c>
      <c r="BU33" s="228">
        <f t="shared" si="182"/>
        <v>0</v>
      </c>
      <c r="BV33" s="228">
        <f>IFERROR(VLOOKUP($B33 &amp; $C33&amp;CompareVer,tblForecast,BV$2,FALSE),0)</f>
        <v>0</v>
      </c>
      <c r="BW33" s="228">
        <f t="shared" ref="BW33:BX37" si="183">IFERROR(VLOOKUP($B33 &amp; $C33&amp;BW$4,tblForecast,BW$2,FALSE),0)</f>
        <v>0</v>
      </c>
      <c r="BX33" s="228">
        <f t="shared" si="183"/>
        <v>0</v>
      </c>
      <c r="BY33" s="176">
        <f>IFERROR(VLOOKUP($B33-IF(CompareVer="LY",1,0) &amp; $C33 &amp;BY$4,tblForecast,BY$2,FALSE),0)</f>
        <v>0</v>
      </c>
      <c r="BZ33" s="177">
        <f t="shared" si="25"/>
        <v>0</v>
      </c>
      <c r="CA33" s="90">
        <f t="shared" ref="CA33:CB37" si="184">IFERROR(VLOOKUP($B33 &amp; $C33&amp;CA$4,tblForecast,CA$2,FALSE),0)</f>
        <v>0</v>
      </c>
      <c r="CB33" s="90">
        <f t="shared" si="184"/>
        <v>0</v>
      </c>
      <c r="CC33" s="90">
        <f>IFERROR(VLOOKUP($B33 &amp; $C33&amp;CompareVer,tblForecast,CC$2,FALSE),0)</f>
        <v>0</v>
      </c>
      <c r="CD33" s="90">
        <f t="shared" ref="CD33:CE37" si="185">IFERROR(VLOOKUP($B33 &amp; $C33&amp;CD$4,tblForecast,CD$2,FALSE),0)</f>
        <v>0</v>
      </c>
      <c r="CE33" s="90">
        <f t="shared" si="185"/>
        <v>0</v>
      </c>
      <c r="CF33" s="90">
        <f>IFERROR(VLOOKUP($B33-IF(CompareVer="LY",1,0) &amp; $C33 &amp;CF$4,tblForecast,CF$2,FALSE),0)</f>
        <v>0</v>
      </c>
      <c r="CG33" s="177">
        <f t="shared" si="28"/>
        <v>0</v>
      </c>
      <c r="CH33" s="90">
        <f t="shared" ref="CH33:CI37" si="186">IFERROR(VLOOKUP($B33 &amp; $C33&amp;CH$4,tblForecast,CH$2,FALSE),0)</f>
        <v>0</v>
      </c>
      <c r="CI33" s="90">
        <f t="shared" si="186"/>
        <v>0</v>
      </c>
      <c r="CJ33" s="90">
        <f>IFERROR(VLOOKUP($B33 &amp; $C33&amp;CompareVer,tblForecast,CJ$2,FALSE),0)</f>
        <v>0</v>
      </c>
      <c r="CK33" s="90">
        <f t="shared" ref="CK33:CL37" si="187">IFERROR(VLOOKUP($B33 &amp; $C33&amp;CK$4,tblForecast,CK$2,FALSE),0)</f>
        <v>0</v>
      </c>
      <c r="CL33" s="90">
        <f t="shared" si="187"/>
        <v>0</v>
      </c>
      <c r="CM33" s="90">
        <f>IFERROR(VLOOKUP($B33-IF(CompareVer="LY",1,0) &amp; $C33 &amp;CM$4,tblForecast,CM$2,FALSE),0)</f>
        <v>0</v>
      </c>
      <c r="CN33" s="177">
        <f t="shared" si="31"/>
        <v>0</v>
      </c>
      <c r="CO33" s="178">
        <f t="shared" si="46"/>
        <v>0</v>
      </c>
      <c r="CP33" s="223">
        <f t="shared" si="46"/>
        <v>0</v>
      </c>
      <c r="CQ33" s="177">
        <f t="shared" si="33"/>
        <v>0</v>
      </c>
      <c r="CR33" s="178">
        <f t="shared" si="44"/>
        <v>0</v>
      </c>
      <c r="CS33" s="223">
        <f t="shared" si="34"/>
        <v>0</v>
      </c>
      <c r="CT33" s="177">
        <f t="shared" si="47"/>
        <v>0</v>
      </c>
      <c r="CU33" s="44"/>
      <c r="CV33" s="44"/>
      <c r="CW33" s="102">
        <f>IFERROR(VLOOKUP($B33 &amp; $C33&amp;CompareVer,tblForecast,CW$2,FALSE),0)</f>
        <v>335885</v>
      </c>
      <c r="CX33" s="48">
        <f>IFERROR(VLOOKUP($B33-IF(CompareVer="LY",1,0) &amp; $C33 &amp;CX$4,tblForecast,CX$2,FALSE),0)</f>
        <v>498664</v>
      </c>
      <c r="CY33" s="47">
        <f t="shared" si="36"/>
        <v>-0.32643022155198687</v>
      </c>
      <c r="CZ33" s="278">
        <f>IFERROR(VLOOKUP(Brand&amp;Channel&amp;Country&amp;$C33,tblDiscount,6,FALSE),0)</f>
        <v>0.55000000000000004</v>
      </c>
      <c r="DA33" s="279">
        <f>(1-CZ33)*DB33</f>
        <v>11.258999999999999</v>
      </c>
      <c r="DB33" s="279">
        <f>IFERROR(VLOOKUP(Brand&amp;Country &amp; Channel &amp;FC,tblFCSettings,8,FALSE),0)</f>
        <v>25.02</v>
      </c>
      <c r="DC33" s="280">
        <f>IFERROR(VLOOKUP(Brand&amp;Country &amp; Channel &amp;FC,tblFCSettings,9,FALSE),0)</f>
        <v>4.16</v>
      </c>
    </row>
    <row r="34" spans="1:107" x14ac:dyDescent="0.25">
      <c r="A34" s="44" t="s">
        <v>335</v>
      </c>
      <c r="B34" s="44">
        <v>2018</v>
      </c>
      <c r="C34" s="88">
        <v>19</v>
      </c>
      <c r="D34" s="97">
        <f t="shared" ref="D34:D37" si="188">G34*H34</f>
        <v>13938058.87319999</v>
      </c>
      <c r="E34" s="202">
        <f t="shared" ref="E34:E37" si="189">IFERROR(D34*F34,0)</f>
        <v>10743614.233199989</v>
      </c>
      <c r="F34" s="182">
        <f t="shared" si="45"/>
        <v>0.77081136842216547</v>
      </c>
      <c r="G34" s="176">
        <f t="shared" si="170"/>
        <v>380320</v>
      </c>
      <c r="H34" s="203">
        <f t="shared" si="170"/>
        <v>36.648240621581799</v>
      </c>
      <c r="I34" s="203">
        <f t="shared" si="170"/>
        <v>8.3993601177955401</v>
      </c>
      <c r="J34" s="176">
        <f>IFERROR(VLOOKUP($B34 &amp; $C34&amp;J$4&amp;$A34,tblForecast,J$2,FALSE),0)+IFERROR(VLOOKUP($B34 &amp; $C34 &amp; J$4 &amp; $A34,tblForecast,J$2+1,FALSE),0)</f>
        <v>7391156</v>
      </c>
      <c r="K34" s="300">
        <f>IFERROR(VLOOKUP($B34 &amp; $C34&amp;K$4&amp;$A34,tblForecast,K$2+2,FALSE),0)</f>
        <v>808941</v>
      </c>
      <c r="L34" s="90">
        <f>Q34*AM34</f>
        <v>477023.72999999701</v>
      </c>
      <c r="M34" s="90">
        <f t="shared" si="171"/>
        <v>414649.5</v>
      </c>
      <c r="N34" s="90">
        <f t="shared" si="171"/>
        <v>0</v>
      </c>
      <c r="O34" s="90">
        <f t="shared" si="171"/>
        <v>436239.43780000001</v>
      </c>
      <c r="P34" s="91">
        <f t="shared" si="39"/>
        <v>9.3490612416145424E-2</v>
      </c>
      <c r="Q34" s="238">
        <f>IFERROR(VLOOKUP($B34 &amp; $C34&amp;CompareVer,tblForecast,Q$2,FALSE),0)</f>
        <v>33130</v>
      </c>
      <c r="R34" s="240">
        <f t="shared" si="172"/>
        <v>36825</v>
      </c>
      <c r="S34" s="240">
        <f t="shared" si="172"/>
        <v>0</v>
      </c>
      <c r="T34" s="240">
        <f>IFERROR(VLOOKUP($B34-IF(CompareVer="LY",1,0) &amp; $C34 &amp;T$4,tblForecast,T$2,FALSE),0)</f>
        <v>40783</v>
      </c>
      <c r="U34" s="91">
        <f t="shared" si="7"/>
        <v>-0.18765171762744282</v>
      </c>
      <c r="V34" s="245">
        <f t="shared" ref="V34:W37" si="190">IFERROR(IF(Q33&lt;&gt;0,Q34/Q33,0),0)</f>
        <v>0.93550573219630651</v>
      </c>
      <c r="W34" s="331">
        <f t="shared" si="190"/>
        <v>1.1022149057168513</v>
      </c>
      <c r="X34" s="246">
        <f t="shared" ref="X34:X37" si="191">IFERROR(IF(T33&lt;&gt;0,T34/T33,0),0)</f>
        <v>1.0518401980759806</v>
      </c>
      <c r="Y34" s="97">
        <f t="shared" si="173"/>
        <v>340994.5472999973</v>
      </c>
      <c r="Z34" s="90">
        <f t="shared" si="173"/>
        <v>261457.50000000003</v>
      </c>
      <c r="AA34" s="90">
        <f t="shared" si="173"/>
        <v>0</v>
      </c>
      <c r="AB34" s="90">
        <f t="shared" si="173"/>
        <v>274465.51170000003</v>
      </c>
      <c r="AC34" s="91">
        <f t="shared" si="9"/>
        <v>0.24239488301435741</v>
      </c>
      <c r="AD34" s="75">
        <f t="shared" ref="AD34:AD37" si="192">IF(AM34&lt;&gt;0,1-AR34/AM34,0)</f>
        <v>0.71483770272812097</v>
      </c>
      <c r="AE34" s="93">
        <f t="shared" si="174"/>
        <v>0.63055062166962705</v>
      </c>
      <c r="AF34" s="93">
        <f t="shared" si="174"/>
        <v>0</v>
      </c>
      <c r="AG34" s="93">
        <f t="shared" si="174"/>
        <v>0.62916253762877927</v>
      </c>
      <c r="AH34" s="104">
        <f>IFERROR(VLOOKUP($B34 &amp; $C34&amp;CompareVer,tblForecast,AH$2,FALSE),0)</f>
        <v>24.650472487171701</v>
      </c>
      <c r="AI34" s="94">
        <f t="shared" si="175"/>
        <v>25.02</v>
      </c>
      <c r="AJ34" s="94">
        <f t="shared" si="175"/>
        <v>0</v>
      </c>
      <c r="AK34" s="94">
        <f>IFERROR(VLOOKUP($B34-IF(CompareVer="LY",1,0) &amp; $C34 &amp;AK$4,tblForecast,AK$2,FALSE),0)</f>
        <v>24.142299999999999</v>
      </c>
      <c r="AL34" s="91">
        <f t="shared" si="141"/>
        <v>2.1049050304722483E-2</v>
      </c>
      <c r="AM34" s="104">
        <f>IFERROR(VLOOKUP($B34 &amp; $C34&amp;CompareVer,tblForecast,AM$2,FALSE),0)</f>
        <v>14.3985430123754</v>
      </c>
      <c r="AN34" s="94">
        <f t="shared" si="176"/>
        <v>11.26</v>
      </c>
      <c r="AO34" s="94">
        <f t="shared" si="176"/>
        <v>0</v>
      </c>
      <c r="AP34" s="94">
        <f>IFERROR(VLOOKUP($B34-IF(CompareVer="LY",1,0) &amp; $C34 &amp;AP$4,tblForecast,AP$2,FALSE),0)</f>
        <v>10.6966</v>
      </c>
      <c r="AQ34" s="91">
        <f t="shared" si="14"/>
        <v>0.34608595370261575</v>
      </c>
      <c r="AR34" s="104">
        <f>IFERROR(VLOOKUP($B34 &amp; $C34&amp;CompareVer,tblForecast,AR$2,FALSE),0)</f>
        <v>4.1059216027769301</v>
      </c>
      <c r="AS34" s="94">
        <f t="shared" si="177"/>
        <v>4.16</v>
      </c>
      <c r="AT34" s="94">
        <f t="shared" si="177"/>
        <v>0</v>
      </c>
      <c r="AU34" s="94">
        <f>IFERROR(VLOOKUP($B34-IF(CompareVer="LY",1,0) &amp; $C34 &amp;AU$4,tblForecast,AU$2,FALSE),0)</f>
        <v>3.9666999999999999</v>
      </c>
      <c r="AV34" s="91">
        <f t="shared" si="16"/>
        <v>3.50975881152924E-2</v>
      </c>
      <c r="AW34" s="181">
        <f t="shared" si="128"/>
        <v>0.41589180410766913</v>
      </c>
      <c r="AX34" s="182">
        <f t="shared" si="128"/>
        <v>0.54996003197442045</v>
      </c>
      <c r="AY34" s="182">
        <f t="shared" si="128"/>
        <v>0</v>
      </c>
      <c r="AZ34" s="182">
        <f t="shared" si="128"/>
        <v>0.5569353375610443</v>
      </c>
      <c r="BA34" s="227">
        <f t="shared" si="178"/>
        <v>629151</v>
      </c>
      <c r="BB34" s="228">
        <f>IF(IFERROR(VLOOKUP($B34 &amp; $C34&amp;BB$4,tblForecast,BB$2,FALSE),0)=0,BA34,IFERROR(VLOOKUP($B34 &amp; $C34&amp;BB$4,tblForecast,BB$2,FALSE),0))</f>
        <v>629151</v>
      </c>
      <c r="BC34" s="228">
        <f t="shared" si="179"/>
        <v>0</v>
      </c>
      <c r="BD34" s="228">
        <f t="shared" si="146"/>
        <v>512135</v>
      </c>
      <c r="BE34" s="177">
        <f t="shared" si="19"/>
        <v>0.22848662950198673</v>
      </c>
      <c r="BF34" s="228">
        <f>IFERROR(VLOOKUP($B34 &amp; $C34&amp;CompareVer,tblForecast,BF$2,FALSE),0)</f>
        <v>276369</v>
      </c>
      <c r="BG34" s="228">
        <f>IFERROR(VLOOKUP($B34-IF(CompareVer="LY",1,0) &amp; $C34 &amp;BG$4,tblForecast,BG$2,FALSE),0)</f>
        <v>38393</v>
      </c>
      <c r="BH34" s="179">
        <f>IF(Q34&lt;&gt;0,BA34/Q34,0)</f>
        <v>18.99037126471476</v>
      </c>
      <c r="BI34" s="187">
        <f t="shared" ref="BI34:BI37" si="193">IF(T34&lt;&gt;0,BD34/T34,0)</f>
        <v>12.557560748351028</v>
      </c>
      <c r="BJ34" s="184">
        <f t="shared" si="180"/>
        <v>5.2658264868052342E-2</v>
      </c>
      <c r="BK34" s="96">
        <f t="shared" si="181"/>
        <v>7.9633299813525724E-2</v>
      </c>
      <c r="BL34" s="227">
        <f>IFERROR(VLOOKUP($B34 &amp; $C34&amp;CompareVer,tblForecast,BL$2,FALSE),0)</f>
        <v>-211</v>
      </c>
      <c r="BM34" s="228">
        <f>IFERROR(VLOOKUP($B34-IF(CompareVer="LY",1,0) &amp; $C34 &amp;BM$4,tblForecast,BM$2,FALSE),0)</f>
        <v>129</v>
      </c>
      <c r="BN34" s="227">
        <f>IFERROR(VLOOKUP($B34 &amp; $C34&amp;CompareVer,tblForecast,BN$2,FALSE),0)</f>
        <v>17211</v>
      </c>
      <c r="BO34" s="228">
        <f>IFERROR(VLOOKUP($B34-IF(CompareVer="LY",1,0) &amp; $C34 &amp;BO$4,tblForecast,BO$2,FALSE),0)</f>
        <v>15948</v>
      </c>
      <c r="BP34" s="227">
        <f>IFERROR(VLOOKUP($B34 &amp; $C34&amp;CompareVer,tblForecast,BP$2,FALSE),0)</f>
        <v>20891</v>
      </c>
      <c r="BQ34" s="228">
        <f>IFERROR(VLOOKUP($B34-IF(CompareVer="LY",1,0) &amp; $C34 &amp;BQ$4,tblForecast,BQ$2,FALSE),0)</f>
        <v>32541</v>
      </c>
      <c r="BR34" s="227">
        <f t="shared" si="43"/>
        <v>-3680</v>
      </c>
      <c r="BS34" s="228">
        <f t="shared" si="22"/>
        <v>-16593</v>
      </c>
      <c r="BT34" s="227">
        <f t="shared" si="182"/>
        <v>0</v>
      </c>
      <c r="BU34" s="228">
        <f t="shared" si="182"/>
        <v>0</v>
      </c>
      <c r="BV34" s="228">
        <f>IFERROR(VLOOKUP($B34 &amp; $C34&amp;CompareVer,tblForecast,BV$2,FALSE),0)</f>
        <v>0</v>
      </c>
      <c r="BW34" s="228">
        <f t="shared" si="183"/>
        <v>0</v>
      </c>
      <c r="BX34" s="228">
        <f t="shared" si="183"/>
        <v>0</v>
      </c>
      <c r="BY34" s="176">
        <f>IFERROR(VLOOKUP($B34-IF(CompareVer="LY",1,0) &amp; $C34 &amp;BY$4,tblForecast,BY$2,FALSE),0)</f>
        <v>0</v>
      </c>
      <c r="BZ34" s="177">
        <f t="shared" si="25"/>
        <v>0</v>
      </c>
      <c r="CA34" s="90">
        <f t="shared" si="184"/>
        <v>0</v>
      </c>
      <c r="CB34" s="90">
        <f t="shared" si="184"/>
        <v>0</v>
      </c>
      <c r="CC34" s="90">
        <f>IFERROR(VLOOKUP($B34 &amp; $C34&amp;CompareVer,tblForecast,CC$2,FALSE),0)</f>
        <v>0</v>
      </c>
      <c r="CD34" s="90">
        <f t="shared" si="185"/>
        <v>0</v>
      </c>
      <c r="CE34" s="90">
        <f t="shared" si="185"/>
        <v>0</v>
      </c>
      <c r="CF34" s="90">
        <f>IFERROR(VLOOKUP($B34-IF(CompareVer="LY",1,0) &amp; $C34 &amp;CF$4,tblForecast,CF$2,FALSE),0)</f>
        <v>0</v>
      </c>
      <c r="CG34" s="177">
        <f t="shared" si="28"/>
        <v>0</v>
      </c>
      <c r="CH34" s="90">
        <f t="shared" si="186"/>
        <v>0</v>
      </c>
      <c r="CI34" s="90">
        <f t="shared" si="186"/>
        <v>0</v>
      </c>
      <c r="CJ34" s="90">
        <f>IFERROR(VLOOKUP($B34 &amp; $C34&amp;CompareVer,tblForecast,CJ$2,FALSE),0)</f>
        <v>0</v>
      </c>
      <c r="CK34" s="90">
        <f t="shared" si="187"/>
        <v>0</v>
      </c>
      <c r="CL34" s="90">
        <f t="shared" si="187"/>
        <v>0</v>
      </c>
      <c r="CM34" s="90">
        <f>IFERROR(VLOOKUP($B34-IF(CompareVer="LY",1,0) &amp; $C34 &amp;CM$4,tblForecast,CM$2,FALSE),0)</f>
        <v>0</v>
      </c>
      <c r="CN34" s="177">
        <f t="shared" si="31"/>
        <v>0</v>
      </c>
      <c r="CO34" s="178">
        <f t="shared" si="46"/>
        <v>0</v>
      </c>
      <c r="CP34" s="223">
        <f t="shared" si="46"/>
        <v>0</v>
      </c>
      <c r="CQ34" s="177">
        <f t="shared" si="33"/>
        <v>0</v>
      </c>
      <c r="CR34" s="178">
        <f t="shared" si="44"/>
        <v>0</v>
      </c>
      <c r="CS34" s="223">
        <f t="shared" si="34"/>
        <v>0</v>
      </c>
      <c r="CT34" s="177">
        <f t="shared" si="47"/>
        <v>0</v>
      </c>
      <c r="CU34" s="44"/>
      <c r="CV34" s="44"/>
      <c r="CW34" s="102">
        <f>IFERROR(VLOOKUP($B34 &amp; $C34&amp;CompareVer,tblForecast,CW$2,FALSE),0)</f>
        <v>352782</v>
      </c>
      <c r="CX34" s="48">
        <f>IFERROR(VLOOKUP($B34-IF(CompareVer="LY",1,0) &amp; $C34 &amp;CX$4,tblForecast,CX$2,FALSE),0)</f>
        <v>473742</v>
      </c>
      <c r="CY34" s="47">
        <f t="shared" si="36"/>
        <v>-0.25532884988031457</v>
      </c>
      <c r="CZ34" s="278">
        <f>IFERROR(VLOOKUP(Brand&amp;Channel&amp;Country&amp;$C34,tblDiscount,6,FALSE),0)</f>
        <v>0.55000000000000004</v>
      </c>
      <c r="DA34" s="279">
        <f>(1-CZ34)*DB34</f>
        <v>11.258999999999999</v>
      </c>
      <c r="DB34" s="279">
        <f>IFERROR(VLOOKUP(Brand&amp;Country &amp; Channel &amp;FC,tblFCSettings,8,FALSE),0)</f>
        <v>25.02</v>
      </c>
      <c r="DC34" s="280">
        <f>IFERROR(VLOOKUP(Brand&amp;Country &amp; Channel &amp;FC,tblFCSettings,9,FALSE),0)</f>
        <v>4.16</v>
      </c>
    </row>
    <row r="35" spans="1:107" x14ac:dyDescent="0.25">
      <c r="A35" s="44" t="s">
        <v>335</v>
      </c>
      <c r="B35" s="44">
        <v>2018</v>
      </c>
      <c r="C35" s="88">
        <v>20</v>
      </c>
      <c r="D35" s="97">
        <f t="shared" si="188"/>
        <v>13340449.428099975</v>
      </c>
      <c r="E35" s="202">
        <f t="shared" si="189"/>
        <v>10434410.008099977</v>
      </c>
      <c r="F35" s="182">
        <f t="shared" si="45"/>
        <v>0.78216330449266636</v>
      </c>
      <c r="G35" s="176">
        <f t="shared" si="170"/>
        <v>345537</v>
      </c>
      <c r="H35" s="203">
        <f t="shared" si="170"/>
        <v>38.607875359512803</v>
      </c>
      <c r="I35" s="203">
        <f t="shared" si="170"/>
        <v>8.4102119888752807</v>
      </c>
      <c r="J35" s="176">
        <f>IFERROR(VLOOKUP($B35 &amp; $C35&amp;J$4&amp;$A35,tblForecast,J$2,FALSE),0)+IFERROR(VLOOKUP($B35 &amp; $C35 &amp; J$4 &amp; $A35,tblForecast,J$2+1,FALSE),0)</f>
        <v>8372697</v>
      </c>
      <c r="K35" s="300">
        <f>IFERROR(VLOOKUP($B35 &amp; $C35&amp;K$4&amp;$A35,tblForecast,K$2+2,FALSE),0)</f>
        <v>1395389</v>
      </c>
      <c r="L35" s="90">
        <f>Q35*AM35</f>
        <v>397306.68999999895</v>
      </c>
      <c r="M35" s="90">
        <f t="shared" si="171"/>
        <v>397278.08</v>
      </c>
      <c r="N35" s="90">
        <f t="shared" si="171"/>
        <v>0</v>
      </c>
      <c r="O35" s="90">
        <f t="shared" si="171"/>
        <v>367682.94959999999</v>
      </c>
      <c r="P35" s="91">
        <f t="shared" si="39"/>
        <v>8.0568708536053801E-2</v>
      </c>
      <c r="Q35" s="238">
        <f>IFERROR(VLOOKUP($B35 &amp; $C35&amp;CompareVer,tblForecast,Q$2,FALSE),0)</f>
        <v>26989</v>
      </c>
      <c r="R35" s="240">
        <f t="shared" si="172"/>
        <v>26989</v>
      </c>
      <c r="S35" s="240">
        <f t="shared" si="172"/>
        <v>0</v>
      </c>
      <c r="T35" s="240">
        <f>IFERROR(VLOOKUP($B35-IF(CompareVer="LY",1,0) &amp; $C35 &amp;T$4,tblForecast,T$2,FALSE),0)</f>
        <v>34017</v>
      </c>
      <c r="U35" s="91">
        <f t="shared" si="7"/>
        <v>-0.20660258106240992</v>
      </c>
      <c r="V35" s="245">
        <f t="shared" si="190"/>
        <v>0.81463929972834292</v>
      </c>
      <c r="W35" s="331">
        <f t="shared" si="190"/>
        <v>0.73289884589273591</v>
      </c>
      <c r="X35" s="246">
        <f t="shared" si="191"/>
        <v>0.83409754064193409</v>
      </c>
      <c r="Y35" s="97">
        <f t="shared" si="173"/>
        <v>285572.11769999901</v>
      </c>
      <c r="Z35" s="90">
        <f t="shared" si="173"/>
        <v>285543.62</v>
      </c>
      <c r="AA35" s="90">
        <f t="shared" si="173"/>
        <v>0</v>
      </c>
      <c r="AB35" s="90">
        <f t="shared" si="173"/>
        <v>233394.03869999998</v>
      </c>
      <c r="AC35" s="91">
        <f t="shared" si="9"/>
        <v>0.22356217532645584</v>
      </c>
      <c r="AD35" s="75">
        <f t="shared" si="192"/>
        <v>0.71876997012056298</v>
      </c>
      <c r="AE35" s="93">
        <f t="shared" si="174"/>
        <v>0.71875</v>
      </c>
      <c r="AF35" s="93">
        <f t="shared" si="174"/>
        <v>0</v>
      </c>
      <c r="AG35" s="93">
        <f t="shared" si="174"/>
        <v>0.63476981718599657</v>
      </c>
      <c r="AH35" s="104">
        <f>IFERROR(VLOOKUP($B35 &amp; $C35&amp;CompareVer,tblForecast,AH$2,FALSE),0)</f>
        <v>24.6946533550705</v>
      </c>
      <c r="AI35" s="94">
        <f t="shared" si="175"/>
        <v>24.69</v>
      </c>
      <c r="AJ35" s="94">
        <f t="shared" si="175"/>
        <v>0</v>
      </c>
      <c r="AK35" s="94">
        <f>IFERROR(VLOOKUP($B35-IF(CompareVer="LY",1,0) &amp; $C35 &amp;AK$4,tblForecast,AK$2,FALSE),0)</f>
        <v>24.081399999999999</v>
      </c>
      <c r="AL35" s="91">
        <f t="shared" si="141"/>
        <v>2.5465851448441601E-2</v>
      </c>
      <c r="AM35" s="104">
        <f>IFERROR(VLOOKUP($B35 &amp; $C35&amp;CompareVer,tblForecast,AM$2,FALSE),0)</f>
        <v>14.721060061506501</v>
      </c>
      <c r="AN35" s="94">
        <f t="shared" si="176"/>
        <v>14.72</v>
      </c>
      <c r="AO35" s="94">
        <f t="shared" si="176"/>
        <v>0</v>
      </c>
      <c r="AP35" s="94">
        <f>IFERROR(VLOOKUP($B35-IF(CompareVer="LY",1,0) &amp; $C35 &amp;AP$4,tblForecast,AP$2,FALSE),0)</f>
        <v>10.8088</v>
      </c>
      <c r="AQ35" s="91">
        <f t="shared" si="14"/>
        <v>0.36195137864577953</v>
      </c>
      <c r="AR35" s="104">
        <f>IFERROR(VLOOKUP($B35 &amp; $C35&amp;CompareVer,tblForecast,AR$2,FALSE),0)</f>
        <v>4.1400041609544598</v>
      </c>
      <c r="AS35" s="94">
        <f t="shared" si="177"/>
        <v>4.1399999999999997</v>
      </c>
      <c r="AT35" s="94">
        <f t="shared" si="177"/>
        <v>0</v>
      </c>
      <c r="AU35" s="94">
        <f>IFERROR(VLOOKUP($B35-IF(CompareVer="LY",1,0) &amp; $C35 &amp;AU$4,tblForecast,AU$2,FALSE),0)</f>
        <v>3.9477000000000002</v>
      </c>
      <c r="AV35" s="91">
        <f t="shared" si="16"/>
        <v>4.8712962219636724E-2</v>
      </c>
      <c r="AW35" s="181">
        <f t="shared" si="128"/>
        <v>0.40387662665919311</v>
      </c>
      <c r="AX35" s="182">
        <f t="shared" si="128"/>
        <v>0.40380720939651682</v>
      </c>
      <c r="AY35" s="182">
        <f t="shared" si="128"/>
        <v>0</v>
      </c>
      <c r="AZ35" s="182">
        <f t="shared" si="128"/>
        <v>0.55115566370725955</v>
      </c>
      <c r="BA35" s="227">
        <f t="shared" si="178"/>
        <v>585592</v>
      </c>
      <c r="BB35" s="228">
        <f>IF(IFERROR(VLOOKUP($B35 &amp; $C35&amp;BB$4,tblForecast,BB$2,FALSE),0)=0,BA35,IFERROR(VLOOKUP($B35 &amp; $C35&amp;BB$4,tblForecast,BB$2,FALSE),0))</f>
        <v>585592</v>
      </c>
      <c r="BC35" s="228">
        <f t="shared" si="179"/>
        <v>0</v>
      </c>
      <c r="BD35" s="228">
        <f t="shared" si="146"/>
        <v>474317</v>
      </c>
      <c r="BE35" s="177">
        <f t="shared" si="19"/>
        <v>0.23460048870270311</v>
      </c>
      <c r="BF35" s="228">
        <f>IFERROR(VLOOKUP($B35 &amp; $C35&amp;CompareVer,tblForecast,BF$2,FALSE),0)</f>
        <v>240802</v>
      </c>
      <c r="BG35" s="228">
        <f>IFERROR(VLOOKUP($B35-IF(CompareVer="LY",1,0) &amp; $C35 &amp;BG$4,tblForecast,BG$2,FALSE),0)</f>
        <v>32193</v>
      </c>
      <c r="BH35" s="179">
        <f>IF(Q35&lt;&gt;0,BA35/Q35,0)</f>
        <v>21.697432287228128</v>
      </c>
      <c r="BI35" s="187">
        <f t="shared" si="193"/>
        <v>13.943528235882059</v>
      </c>
      <c r="BJ35" s="184">
        <f t="shared" si="180"/>
        <v>4.608840284703343E-2</v>
      </c>
      <c r="BK35" s="96">
        <f t="shared" si="181"/>
        <v>7.171785957492563E-2</v>
      </c>
      <c r="BL35" s="227">
        <f>IFERROR(VLOOKUP($B35 &amp; $C35&amp;CompareVer,tblForecast,BL$2,FALSE),0)</f>
        <v>-257</v>
      </c>
      <c r="BM35" s="228">
        <f>IFERROR(VLOOKUP($B35-IF(CompareVer="LY",1,0) &amp; $C35 &amp;BM$4,tblForecast,BM$2,FALSE),0)</f>
        <v>-117</v>
      </c>
      <c r="BN35" s="227">
        <f>IFERROR(VLOOKUP($B35 &amp; $C35&amp;CompareVer,tblForecast,BN$2,FALSE),0)</f>
        <v>10465</v>
      </c>
      <c r="BO35" s="228">
        <f>IFERROR(VLOOKUP($B35-IF(CompareVer="LY",1,0) &amp; $C35 &amp;BO$4,tblForecast,BO$2,FALSE),0)</f>
        <v>2578</v>
      </c>
      <c r="BP35" s="227">
        <f>IFERROR(VLOOKUP($B35 &amp; $C35&amp;CompareVer,tblForecast,BP$2,FALSE),0)</f>
        <v>10311</v>
      </c>
      <c r="BQ35" s="228">
        <f>IFERROR(VLOOKUP($B35-IF(CompareVer="LY",1,0) &amp; $C35 &amp;BQ$4,tblForecast,BQ$2,FALSE),0)</f>
        <v>6255</v>
      </c>
      <c r="BR35" s="227">
        <f t="shared" si="43"/>
        <v>154</v>
      </c>
      <c r="BS35" s="228">
        <f t="shared" si="22"/>
        <v>-3677</v>
      </c>
      <c r="BT35" s="227">
        <f t="shared" si="182"/>
        <v>0</v>
      </c>
      <c r="BU35" s="228">
        <f t="shared" si="182"/>
        <v>0</v>
      </c>
      <c r="BV35" s="228">
        <f>IFERROR(VLOOKUP($B35 &amp; $C35&amp;CompareVer,tblForecast,BV$2,FALSE),0)</f>
        <v>0</v>
      </c>
      <c r="BW35" s="228">
        <f t="shared" si="183"/>
        <v>0</v>
      </c>
      <c r="BX35" s="228">
        <f t="shared" si="183"/>
        <v>0</v>
      </c>
      <c r="BY35" s="176">
        <f>IFERROR(VLOOKUP($B35-IF(CompareVer="LY",1,0) &amp; $C35 &amp;BY$4,tblForecast,BY$2,FALSE),0)</f>
        <v>0</v>
      </c>
      <c r="BZ35" s="177">
        <f t="shared" si="25"/>
        <v>0</v>
      </c>
      <c r="CA35" s="90">
        <f t="shared" si="184"/>
        <v>0</v>
      </c>
      <c r="CB35" s="90">
        <f t="shared" si="184"/>
        <v>0</v>
      </c>
      <c r="CC35" s="90">
        <f>IFERROR(VLOOKUP($B35 &amp; $C35&amp;CompareVer,tblForecast,CC$2,FALSE),0)</f>
        <v>0</v>
      </c>
      <c r="CD35" s="90">
        <f t="shared" si="185"/>
        <v>0</v>
      </c>
      <c r="CE35" s="90">
        <f t="shared" si="185"/>
        <v>0</v>
      </c>
      <c r="CF35" s="90">
        <f>IFERROR(VLOOKUP($B35-IF(CompareVer="LY",1,0) &amp; $C35 &amp;CF$4,tblForecast,CF$2,FALSE),0)</f>
        <v>0</v>
      </c>
      <c r="CG35" s="177">
        <f t="shared" si="28"/>
        <v>0</v>
      </c>
      <c r="CH35" s="90">
        <f t="shared" si="186"/>
        <v>0</v>
      </c>
      <c r="CI35" s="90">
        <f t="shared" si="186"/>
        <v>0</v>
      </c>
      <c r="CJ35" s="90">
        <f>IFERROR(VLOOKUP($B35 &amp; $C35&amp;CompareVer,tblForecast,CJ$2,FALSE),0)</f>
        <v>0</v>
      </c>
      <c r="CK35" s="90">
        <f t="shared" si="187"/>
        <v>0</v>
      </c>
      <c r="CL35" s="90">
        <f t="shared" si="187"/>
        <v>0</v>
      </c>
      <c r="CM35" s="90">
        <f>IFERROR(VLOOKUP($B35-IF(CompareVer="LY",1,0) &amp; $C35 &amp;CM$4,tblForecast,CM$2,FALSE),0)</f>
        <v>0</v>
      </c>
      <c r="CN35" s="177">
        <f t="shared" si="31"/>
        <v>0</v>
      </c>
      <c r="CO35" s="178">
        <f t="shared" si="46"/>
        <v>0</v>
      </c>
      <c r="CP35" s="223">
        <f t="shared" si="46"/>
        <v>0</v>
      </c>
      <c r="CQ35" s="177">
        <f t="shared" si="33"/>
        <v>0</v>
      </c>
      <c r="CR35" s="178">
        <f t="shared" si="44"/>
        <v>0</v>
      </c>
      <c r="CS35" s="223">
        <f t="shared" si="34"/>
        <v>0</v>
      </c>
      <c r="CT35" s="177">
        <f t="shared" si="47"/>
        <v>0</v>
      </c>
      <c r="CU35" s="44"/>
      <c r="CV35" s="44"/>
      <c r="CW35" s="102">
        <f>IFERROR(VLOOKUP($B35 &amp; $C35&amp;CompareVer,tblForecast,CW$2,FALSE),0)</f>
        <v>344790</v>
      </c>
      <c r="CX35" s="48">
        <f>IFERROR(VLOOKUP($B35-IF(CompareVer="LY",1,0) &amp; $C35 &amp;CX$4,tblForecast,CX$2,FALSE),0)</f>
        <v>442124</v>
      </c>
      <c r="CY35" s="47">
        <f t="shared" si="36"/>
        <v>-0.22015090789009417</v>
      </c>
      <c r="CZ35" s="278">
        <f>IFERROR(VLOOKUP(Brand&amp;Channel&amp;Country&amp;$C35,tblDiscount,6,FALSE),0)</f>
        <v>0.6</v>
      </c>
      <c r="DA35" s="279">
        <f>(1-CZ35)*DB35</f>
        <v>10.008000000000001</v>
      </c>
      <c r="DB35" s="279">
        <f>IFERROR(VLOOKUP(Brand&amp;Country &amp; Channel &amp;FC,tblFCSettings,8,FALSE),0)</f>
        <v>25.02</v>
      </c>
      <c r="DC35" s="280">
        <f>IFERROR(VLOOKUP(Brand&amp;Country &amp; Channel &amp;FC,tblFCSettings,9,FALSE),0)</f>
        <v>4.16</v>
      </c>
    </row>
    <row r="36" spans="1:107" x14ac:dyDescent="0.25">
      <c r="A36" s="44" t="s">
        <v>335</v>
      </c>
      <c r="B36" s="44">
        <v>2018</v>
      </c>
      <c r="C36" s="88">
        <v>21</v>
      </c>
      <c r="D36" s="97">
        <f t="shared" si="188"/>
        <v>15307375.325799992</v>
      </c>
      <c r="E36" s="202">
        <f t="shared" si="189"/>
        <v>12318440.575799994</v>
      </c>
      <c r="F36" s="182">
        <f t="shared" si="45"/>
        <v>0.80473891268856113</v>
      </c>
      <c r="G36" s="176">
        <f t="shared" si="170"/>
        <v>397441</v>
      </c>
      <c r="H36" s="203">
        <f t="shared" si="170"/>
        <v>38.514836984105798</v>
      </c>
      <c r="I36" s="203">
        <f t="shared" si="170"/>
        <v>7.5204489471393199</v>
      </c>
      <c r="J36" s="176">
        <f>IFERROR(VLOOKUP($B36 &amp; $C36&amp;J$4&amp;$A36,tblForecast,J$2,FALSE),0)+IFERROR(VLOOKUP($B36 &amp; $C36 &amp; J$4 &amp; $A36,tblForecast,J$2+1,FALSE),0)</f>
        <v>8583557</v>
      </c>
      <c r="K36" s="300">
        <f>IFERROR(VLOOKUP($B36 &amp; $C36&amp;K$4&amp;$A36,tblForecast,K$2+2,FALSE),0)</f>
        <v>706008</v>
      </c>
      <c r="L36" s="90">
        <f t="shared" ref="L36:L37" si="194">Q36*AM36</f>
        <v>368782.4199999994</v>
      </c>
      <c r="M36" s="90">
        <f t="shared" si="171"/>
        <v>368756.25</v>
      </c>
      <c r="N36" s="90">
        <f t="shared" si="171"/>
        <v>0</v>
      </c>
      <c r="O36" s="90">
        <f t="shared" si="171"/>
        <v>251610.0692</v>
      </c>
      <c r="P36" s="91">
        <f t="shared" si="39"/>
        <v>0.46569022922076053</v>
      </c>
      <c r="Q36" s="238">
        <f>IFERROR(VLOOKUP($B36 &amp; $C36&amp;CompareVer,tblForecast,Q$2,FALSE),0)</f>
        <v>26625</v>
      </c>
      <c r="R36" s="240">
        <f t="shared" si="172"/>
        <v>26625</v>
      </c>
      <c r="S36" s="240">
        <f t="shared" si="172"/>
        <v>0</v>
      </c>
      <c r="T36" s="240">
        <f>IFERROR(VLOOKUP($B36-IF(CompareVer="LY",1,0) &amp; $C36 &amp;T$4,tblForecast,T$2,FALSE),0)</f>
        <v>25732</v>
      </c>
      <c r="U36" s="91">
        <f t="shared" si="7"/>
        <v>3.4703870666873859E-2</v>
      </c>
      <c r="V36" s="245">
        <f t="shared" si="190"/>
        <v>0.98651302382452111</v>
      </c>
      <c r="W36" s="331">
        <f t="shared" si="190"/>
        <v>0.98651302382452111</v>
      </c>
      <c r="X36" s="246">
        <f t="shared" si="191"/>
        <v>0.75644530675838551</v>
      </c>
      <c r="Y36" s="97">
        <f t="shared" si="173"/>
        <v>258363.72099999941</v>
      </c>
      <c r="Z36" s="90">
        <f t="shared" si="173"/>
        <v>258528.75</v>
      </c>
      <c r="AA36" s="90">
        <f t="shared" si="173"/>
        <v>0</v>
      </c>
      <c r="AB36" s="90">
        <f t="shared" si="173"/>
        <v>153318.97560000001</v>
      </c>
      <c r="AC36" s="91">
        <f t="shared" si="9"/>
        <v>0.68513858111115233</v>
      </c>
      <c r="AD36" s="75">
        <f t="shared" si="192"/>
        <v>0.70058578443083008</v>
      </c>
      <c r="AE36" s="93">
        <f t="shared" si="174"/>
        <v>0.7010830324909747</v>
      </c>
      <c r="AF36" s="93">
        <f t="shared" si="174"/>
        <v>0</v>
      </c>
      <c r="AG36" s="93">
        <f t="shared" si="174"/>
        <v>0.60935151000705656</v>
      </c>
      <c r="AH36" s="104">
        <f>IFERROR(VLOOKUP($B36 &amp; $C36&amp;CompareVer,tblForecast,AH$2,FALSE),0)</f>
        <v>24.681786617840299</v>
      </c>
      <c r="AI36" s="94">
        <f t="shared" si="175"/>
        <v>24.68</v>
      </c>
      <c r="AJ36" s="94">
        <f t="shared" si="175"/>
        <v>0</v>
      </c>
      <c r="AK36" s="94">
        <f>IFERROR(VLOOKUP($B36-IF(CompareVer="LY",1,0) &amp; $C36 &amp;AK$4,tblForecast,AK$2,FALSE),0)</f>
        <v>23.244299999999999</v>
      </c>
      <c r="AL36" s="91">
        <f t="shared" si="141"/>
        <v>6.1842542810078172E-2</v>
      </c>
      <c r="AM36" s="104">
        <f>IFERROR(VLOOKUP($B36 &amp; $C36&amp;CompareVer,tblForecast,AM$2,FALSE),0)</f>
        <v>13.8509829107981</v>
      </c>
      <c r="AN36" s="94">
        <f t="shared" si="176"/>
        <v>13.85</v>
      </c>
      <c r="AO36" s="94">
        <f t="shared" si="176"/>
        <v>0</v>
      </c>
      <c r="AP36" s="94">
        <f>IFERROR(VLOOKUP($B36-IF(CompareVer="LY",1,0) &amp; $C36 &amp;AP$4,tblForecast,AP$2,FALSE),0)</f>
        <v>9.7781000000000002</v>
      </c>
      <c r="AQ36" s="91">
        <f t="shared" si="14"/>
        <v>0.41653111655619179</v>
      </c>
      <c r="AR36" s="104">
        <f>IFERROR(VLOOKUP($B36 &amp; $C36&amp;CompareVer,tblForecast,AR$2,FALSE),0)</f>
        <v>4.1471811830985903</v>
      </c>
      <c r="AS36" s="94">
        <f t="shared" si="177"/>
        <v>4.1399999999999997</v>
      </c>
      <c r="AT36" s="94">
        <f t="shared" si="177"/>
        <v>0</v>
      </c>
      <c r="AU36" s="94">
        <f>IFERROR(VLOOKUP($B36-IF(CompareVer="LY",1,0) &amp; $C36 &amp;AU$4,tblForecast,AU$2,FALSE),0)</f>
        <v>3.8197999999999999</v>
      </c>
      <c r="AV36" s="91">
        <f t="shared" si="16"/>
        <v>8.5706367636680048E-2</v>
      </c>
      <c r="AW36" s="181">
        <f t="shared" si="128"/>
        <v>0.43881765427846142</v>
      </c>
      <c r="AX36" s="182">
        <f t="shared" si="128"/>
        <v>0.43881685575364671</v>
      </c>
      <c r="AY36" s="182">
        <f t="shared" si="128"/>
        <v>0</v>
      </c>
      <c r="AZ36" s="182">
        <f t="shared" si="128"/>
        <v>0.57933342798019294</v>
      </c>
      <c r="BA36" s="227">
        <f t="shared" si="178"/>
        <v>553684</v>
      </c>
      <c r="BB36" s="228">
        <f>IF(IFERROR(VLOOKUP($B36 &amp; $C36&amp;BB$4,tblForecast,BB$2,FALSE),0)=0,BA36,IFERROR(VLOOKUP($B36 &amp; $C36&amp;BB$4,tblForecast,BB$2,FALSE),0))</f>
        <v>553684</v>
      </c>
      <c r="BC36" s="228">
        <f t="shared" si="179"/>
        <v>0</v>
      </c>
      <c r="BD36" s="228">
        <f t="shared" si="146"/>
        <v>446266</v>
      </c>
      <c r="BE36" s="177">
        <f t="shared" si="19"/>
        <v>0.24070397475944838</v>
      </c>
      <c r="BF36" s="228">
        <f>IFERROR(VLOOKUP($B36 &amp; $C36&amp;CompareVer,tblForecast,BF$2,FALSE),0)</f>
        <v>197550</v>
      </c>
      <c r="BG36" s="228">
        <f>IFERROR(VLOOKUP($B36-IF(CompareVer="LY",1,0) &amp; $C36 &amp;BG$4,tblForecast,BG$2,FALSE),0)</f>
        <v>27404</v>
      </c>
      <c r="BH36" s="179">
        <f t="shared" ref="BH36:BH37" si="195">IF(Q36&lt;&gt;0,BA36/Q36,0)</f>
        <v>20.795643192488264</v>
      </c>
      <c r="BI36" s="187">
        <f t="shared" si="193"/>
        <v>17.34284159801026</v>
      </c>
      <c r="BJ36" s="184">
        <f t="shared" si="180"/>
        <v>4.8086995470340482E-2</v>
      </c>
      <c r="BK36" s="96">
        <f t="shared" si="181"/>
        <v>5.7660677712395747E-2</v>
      </c>
      <c r="BL36" s="227">
        <f>IFERROR(VLOOKUP($B36 &amp; $C36&amp;CompareVer,tblForecast,BL$2,FALSE),0)</f>
        <v>-182</v>
      </c>
      <c r="BM36" s="228">
        <f>IFERROR(VLOOKUP($B36-IF(CompareVer="LY",1,0) &amp; $C36 &amp;BM$4,tblForecast,BM$2,FALSE),0)</f>
        <v>-13</v>
      </c>
      <c r="BN36" s="227">
        <f>IFERROR(VLOOKUP($B36 &amp; $C36&amp;CompareVer,tblForecast,BN$2,FALSE),0)</f>
        <v>1170</v>
      </c>
      <c r="BO36" s="228">
        <f>IFERROR(VLOOKUP($B36-IF(CompareVer="LY",1,0) &amp; $C36 &amp;BO$4,tblForecast,BO$2,FALSE),0)</f>
        <v>2511</v>
      </c>
      <c r="BP36" s="227">
        <f>IFERROR(VLOOKUP($B36 &amp; $C36&amp;CompareVer,tblForecast,BP$2,FALSE),0)</f>
        <v>497</v>
      </c>
      <c r="BQ36" s="228">
        <f>IFERROR(VLOOKUP($B36-IF(CompareVer="LY",1,0) &amp; $C36 &amp;BQ$4,tblForecast,BQ$2,FALSE),0)</f>
        <v>4816</v>
      </c>
      <c r="BR36" s="227">
        <f t="shared" si="43"/>
        <v>673</v>
      </c>
      <c r="BS36" s="228">
        <f t="shared" si="22"/>
        <v>-2305</v>
      </c>
      <c r="BT36" s="227">
        <f t="shared" si="182"/>
        <v>0</v>
      </c>
      <c r="BU36" s="228">
        <f t="shared" si="182"/>
        <v>0</v>
      </c>
      <c r="BV36" s="228">
        <f>IFERROR(VLOOKUP($B36 &amp; $C36&amp;CompareVer,tblForecast,BV$2,FALSE),0)</f>
        <v>0</v>
      </c>
      <c r="BW36" s="228">
        <f t="shared" si="183"/>
        <v>0</v>
      </c>
      <c r="BX36" s="228">
        <f t="shared" si="183"/>
        <v>0</v>
      </c>
      <c r="BY36" s="176">
        <f>IFERROR(VLOOKUP($B36-IF(CompareVer="LY",1,0) &amp; $C36 &amp;BY$4,tblForecast,BY$2,FALSE),0)</f>
        <v>0</v>
      </c>
      <c r="BZ36" s="177">
        <f t="shared" si="25"/>
        <v>0</v>
      </c>
      <c r="CA36" s="90">
        <f t="shared" si="184"/>
        <v>0</v>
      </c>
      <c r="CB36" s="90">
        <f t="shared" si="184"/>
        <v>0</v>
      </c>
      <c r="CC36" s="90">
        <f>IFERROR(VLOOKUP($B36 &amp; $C36&amp;CompareVer,tblForecast,CC$2,FALSE),0)</f>
        <v>0</v>
      </c>
      <c r="CD36" s="90">
        <f t="shared" si="185"/>
        <v>0</v>
      </c>
      <c r="CE36" s="90">
        <f t="shared" si="185"/>
        <v>0</v>
      </c>
      <c r="CF36" s="90">
        <f>IFERROR(VLOOKUP($B36-IF(CompareVer="LY",1,0) &amp; $C36 &amp;CF$4,tblForecast,CF$2,FALSE),0)</f>
        <v>0</v>
      </c>
      <c r="CG36" s="177">
        <f t="shared" si="28"/>
        <v>0</v>
      </c>
      <c r="CH36" s="90">
        <f t="shared" si="186"/>
        <v>0</v>
      </c>
      <c r="CI36" s="90">
        <f t="shared" si="186"/>
        <v>0</v>
      </c>
      <c r="CJ36" s="90">
        <f>IFERROR(VLOOKUP($B36 &amp; $C36&amp;CompareVer,tblForecast,CJ$2,FALSE),0)</f>
        <v>0</v>
      </c>
      <c r="CK36" s="90">
        <f t="shared" si="187"/>
        <v>0</v>
      </c>
      <c r="CL36" s="90">
        <f t="shared" si="187"/>
        <v>0</v>
      </c>
      <c r="CM36" s="90">
        <f>IFERROR(VLOOKUP($B36-IF(CompareVer="LY",1,0) &amp; $C36 &amp;CM$4,tblForecast,CM$2,FALSE),0)</f>
        <v>0</v>
      </c>
      <c r="CN36" s="177">
        <f t="shared" si="31"/>
        <v>0</v>
      </c>
      <c r="CO36" s="178">
        <f t="shared" si="46"/>
        <v>0</v>
      </c>
      <c r="CP36" s="223">
        <f t="shared" si="46"/>
        <v>0</v>
      </c>
      <c r="CQ36" s="177">
        <f t="shared" si="33"/>
        <v>0</v>
      </c>
      <c r="CR36" s="178">
        <f t="shared" si="44"/>
        <v>0</v>
      </c>
      <c r="CS36" s="223">
        <f t="shared" si="34"/>
        <v>0</v>
      </c>
      <c r="CT36" s="177">
        <f t="shared" si="47"/>
        <v>0</v>
      </c>
      <c r="CU36" s="44"/>
      <c r="CV36" s="44"/>
      <c r="CW36" s="102">
        <f>IFERROR(VLOOKUP($B36 &amp; $C36&amp;CompareVer,tblForecast,CW$2,FALSE),0)</f>
        <v>356134</v>
      </c>
      <c r="CX36" s="48">
        <f>IFERROR(VLOOKUP($B36-IF(CompareVer="LY",1,0) &amp; $C36 &amp;CX$4,tblForecast,CX$2,FALSE),0)</f>
        <v>418862</v>
      </c>
      <c r="CY36" s="47">
        <f t="shared" si="36"/>
        <v>-0.14975815423695638</v>
      </c>
      <c r="CZ36" s="278">
        <f>IFERROR(VLOOKUP(Brand&amp;Channel&amp;Country&amp;$C36,tblDiscount,6,FALSE),0)</f>
        <v>0.6</v>
      </c>
      <c r="DA36" s="279">
        <f t="shared" ref="DA36:DA37" si="196">(1-CZ36)*DB36</f>
        <v>10.008000000000001</v>
      </c>
      <c r="DB36" s="279">
        <f>IFERROR(VLOOKUP(Brand&amp;Country &amp; Channel &amp;FC,tblFCSettings,8,FALSE),0)</f>
        <v>25.02</v>
      </c>
      <c r="DC36" s="280">
        <f>IFERROR(VLOOKUP(Brand&amp;Country &amp; Channel &amp;FC,tblFCSettings,9,FALSE),0)</f>
        <v>4.16</v>
      </c>
    </row>
    <row r="37" spans="1:107" ht="16.5" thickBot="1" x14ac:dyDescent="0.3">
      <c r="A37" s="44" t="s">
        <v>335</v>
      </c>
      <c r="B37" s="44">
        <v>2018</v>
      </c>
      <c r="C37" s="88">
        <v>22</v>
      </c>
      <c r="D37" s="97">
        <f t="shared" si="188"/>
        <v>17288260.214899994</v>
      </c>
      <c r="E37" s="202">
        <f t="shared" si="189"/>
        <v>14342990.604899997</v>
      </c>
      <c r="F37" s="182">
        <f t="shared" si="45"/>
        <v>0.82963759375500379</v>
      </c>
      <c r="G37" s="176">
        <f t="shared" si="170"/>
        <v>467190</v>
      </c>
      <c r="H37" s="203">
        <f t="shared" si="170"/>
        <v>37.004773678588997</v>
      </c>
      <c r="I37" s="203">
        <f t="shared" si="170"/>
        <v>6.3042222864359196</v>
      </c>
      <c r="J37" s="176">
        <f>IFERROR(VLOOKUP($B37 &amp; $C37&amp;J$4&amp;$A37,tblForecast,J$2,FALSE),0)+IFERROR(VLOOKUP($B37 &amp; $C37 &amp; J$4 &amp; $A37,tblForecast,J$2+1,FALSE),0)</f>
        <v>8338606</v>
      </c>
      <c r="K37" s="300">
        <f>IFERROR(VLOOKUP($B37 &amp; $C37&amp;K$4&amp;$A37,tblForecast,K$2+2,FALSE),0)</f>
        <v>286910</v>
      </c>
      <c r="L37" s="90">
        <f t="shared" si="194"/>
        <v>356627.96999999823</v>
      </c>
      <c r="M37" s="90">
        <f t="shared" si="171"/>
        <v>356521.07999999996</v>
      </c>
      <c r="N37" s="90">
        <f t="shared" si="171"/>
        <v>0</v>
      </c>
      <c r="O37" s="90">
        <f t="shared" si="171"/>
        <v>227604.36320000002</v>
      </c>
      <c r="P37" s="91">
        <f t="shared" si="39"/>
        <v>0.56687668455029949</v>
      </c>
      <c r="Q37" s="238">
        <f>IFERROR(VLOOKUP($B37 &amp; $C37&amp;CompareVer,tblForecast,Q$2,FALSE),0)</f>
        <v>29636</v>
      </c>
      <c r="R37" s="240">
        <f t="shared" si="172"/>
        <v>29636</v>
      </c>
      <c r="S37" s="240">
        <f t="shared" si="172"/>
        <v>0</v>
      </c>
      <c r="T37" s="240">
        <f>IFERROR(VLOOKUP($B37-IF(CompareVer="LY",1,0) &amp; $C37 &amp;T$4,tblForecast,T$2,FALSE),0)</f>
        <v>27292</v>
      </c>
      <c r="U37" s="91">
        <f t="shared" si="7"/>
        <v>8.5885973911768998E-2</v>
      </c>
      <c r="V37" s="245">
        <f t="shared" si="190"/>
        <v>1.1130892018779344</v>
      </c>
      <c r="W37" s="331">
        <f t="shared" si="190"/>
        <v>1.1130892018779344</v>
      </c>
      <c r="X37" s="246">
        <f t="shared" si="191"/>
        <v>1.060624902844707</v>
      </c>
      <c r="Y37" s="97">
        <f t="shared" si="173"/>
        <v>231619.04719999823</v>
      </c>
      <c r="Z37" s="90">
        <f t="shared" si="173"/>
        <v>231753.51999999996</v>
      </c>
      <c r="AA37" s="90">
        <f t="shared" si="173"/>
        <v>0</v>
      </c>
      <c r="AB37" s="90">
        <f t="shared" si="173"/>
        <v>125142.00760000003</v>
      </c>
      <c r="AC37" s="91">
        <f t="shared" si="9"/>
        <v>0.85084969980934022</v>
      </c>
      <c r="AD37" s="75">
        <f t="shared" si="192"/>
        <v>0.64946966218044921</v>
      </c>
      <c r="AE37" s="93">
        <f t="shared" si="174"/>
        <v>0.65004156275976721</v>
      </c>
      <c r="AF37" s="93">
        <f t="shared" si="174"/>
        <v>0</v>
      </c>
      <c r="AG37" s="93">
        <f t="shared" si="174"/>
        <v>0.549822533454842</v>
      </c>
      <c r="AH37" s="104">
        <f>IFERROR(VLOOKUP($B37 &amp; $C37&amp;CompareVer,tblForecast,AH$2,FALSE),0)</f>
        <v>24.9731895060062</v>
      </c>
      <c r="AI37" s="94">
        <f t="shared" si="175"/>
        <v>24.97</v>
      </c>
      <c r="AJ37" s="94">
        <f t="shared" si="175"/>
        <v>0</v>
      </c>
      <c r="AK37" s="94">
        <f>IFERROR(VLOOKUP($B37-IF(CompareVer="LY",1,0) &amp; $C37 &amp;AK$4,tblForecast,AK$2,FALSE),0)</f>
        <v>22.851299999999998</v>
      </c>
      <c r="AL37" s="91">
        <f t="shared" si="141"/>
        <v>9.2856402305610652E-2</v>
      </c>
      <c r="AM37" s="104">
        <f>IFERROR(VLOOKUP($B37 &amp; $C37&amp;CompareVer,tblForecast,AM$2,FALSE),0)</f>
        <v>12.0336067620461</v>
      </c>
      <c r="AN37" s="94">
        <f t="shared" si="176"/>
        <v>12.03</v>
      </c>
      <c r="AO37" s="94">
        <f t="shared" si="176"/>
        <v>0</v>
      </c>
      <c r="AP37" s="94">
        <f>IFERROR(VLOOKUP($B37-IF(CompareVer="LY",1,0) &amp; $C37 &amp;AP$4,tblForecast,AP$2,FALSE),0)</f>
        <v>8.3396000000000008</v>
      </c>
      <c r="AQ37" s="91">
        <f t="shared" si="14"/>
        <v>0.44294771476402928</v>
      </c>
      <c r="AR37" s="104">
        <f>IFERROR(VLOOKUP($B37 &amp; $C37&amp;CompareVer,tblForecast,AR$2,FALSE),0)</f>
        <v>4.2181442434876502</v>
      </c>
      <c r="AS37" s="94">
        <f t="shared" si="177"/>
        <v>4.21</v>
      </c>
      <c r="AT37" s="94">
        <f t="shared" si="177"/>
        <v>0</v>
      </c>
      <c r="AU37" s="94">
        <f>IFERROR(VLOOKUP($B37-IF(CompareVer="LY",1,0) &amp; $C37 &amp;AU$4,tblForecast,AU$2,FALSE),0)</f>
        <v>3.7543000000000002</v>
      </c>
      <c r="AV37" s="91">
        <f t="shared" si="16"/>
        <v>0.12355012745056326</v>
      </c>
      <c r="AW37" s="181">
        <f t="shared" si="128"/>
        <v>0.51813897223052163</v>
      </c>
      <c r="AX37" s="182">
        <f t="shared" si="128"/>
        <v>0.51822186623948741</v>
      </c>
      <c r="AY37" s="182">
        <f t="shared" si="128"/>
        <v>0</v>
      </c>
      <c r="AZ37" s="182">
        <f t="shared" si="128"/>
        <v>0.63504920945416665</v>
      </c>
      <c r="BA37" s="227">
        <f t="shared" si="178"/>
        <v>511526</v>
      </c>
      <c r="BB37" s="228">
        <f>IF(IFERROR(VLOOKUP($B37 &amp; $C37&amp;BB$4,tblForecast,BB$2,FALSE),0)=0,BA37,IFERROR(VLOOKUP($B37 &amp; $C37&amp;BB$4,tblForecast,BB$2,FALSE),0))</f>
        <v>511526</v>
      </c>
      <c r="BC37" s="228">
        <f t="shared" si="179"/>
        <v>0</v>
      </c>
      <c r="BD37" s="228">
        <f t="shared" si="146"/>
        <v>417906</v>
      </c>
      <c r="BE37" s="177">
        <f t="shared" si="19"/>
        <v>0.22402166994491579</v>
      </c>
      <c r="BF37" s="228">
        <f>IFERROR(VLOOKUP($B37 &amp; $C37&amp;CompareVer,tblForecast,BF$2,FALSE),0)</f>
        <v>159635</v>
      </c>
      <c r="BG37" s="228">
        <f>IFERROR(VLOOKUP($B37-IF(CompareVer="LY",1,0) &amp; $C37 &amp;BG$4,tblForecast,BG$2,FALSE),0)</f>
        <v>24572</v>
      </c>
      <c r="BH37" s="179">
        <f t="shared" si="195"/>
        <v>17.260291537319475</v>
      </c>
      <c r="BI37" s="187">
        <f t="shared" si="193"/>
        <v>15.312399237871904</v>
      </c>
      <c r="BJ37" s="184">
        <f t="shared" si="180"/>
        <v>5.7936448978155558E-2</v>
      </c>
      <c r="BK37" s="96">
        <f t="shared" si="181"/>
        <v>6.5306552191162603E-2</v>
      </c>
      <c r="BL37" s="227">
        <f>IFERROR(VLOOKUP($B37 &amp; $C37&amp;CompareVer,tblForecast,BL$2,FALSE),0)</f>
        <v>-271</v>
      </c>
      <c r="BM37" s="228">
        <f>IFERROR(VLOOKUP($B37-IF(CompareVer="LY",1,0) &amp; $C37 &amp;BM$4,tblForecast,BM$2,FALSE),0)</f>
        <v>-128</v>
      </c>
      <c r="BN37" s="227">
        <f>IFERROR(VLOOKUP($B37 &amp; $C37&amp;CompareVer,tblForecast,BN$2,FALSE),0)</f>
        <v>1364</v>
      </c>
      <c r="BO37" s="228">
        <f>IFERROR(VLOOKUP($B37-IF(CompareVer="LY",1,0) &amp; $C37 &amp;BO$4,tblForecast,BO$2,FALSE),0)</f>
        <v>1870</v>
      </c>
      <c r="BP37" s="227">
        <f>IFERROR(VLOOKUP($B37 &amp; $C37&amp;CompareVer,tblForecast,BP$2,FALSE),0)</f>
        <v>5601</v>
      </c>
      <c r="BQ37" s="228">
        <f>IFERROR(VLOOKUP($B37-IF(CompareVer="LY",1,0) &amp; $C37 &amp;BQ$4,tblForecast,BQ$2,FALSE),0)</f>
        <v>2828</v>
      </c>
      <c r="BR37" s="227">
        <f t="shared" si="43"/>
        <v>-4237</v>
      </c>
      <c r="BS37" s="228">
        <f t="shared" si="22"/>
        <v>-958</v>
      </c>
      <c r="BT37" s="227">
        <f t="shared" si="182"/>
        <v>0</v>
      </c>
      <c r="BU37" s="228">
        <f t="shared" si="182"/>
        <v>0</v>
      </c>
      <c r="BV37" s="228">
        <f>IFERROR(VLOOKUP($B37 &amp; $C37&amp;CompareVer,tblForecast,BV$2,FALSE),0)</f>
        <v>0</v>
      </c>
      <c r="BW37" s="228">
        <f t="shared" si="183"/>
        <v>0</v>
      </c>
      <c r="BX37" s="228">
        <f t="shared" si="183"/>
        <v>0</v>
      </c>
      <c r="BY37" s="176">
        <f>IFERROR(VLOOKUP($B37-IF(CompareVer="LY",1,0) &amp; $C37 &amp;BY$4,tblForecast,BY$2,FALSE),0)</f>
        <v>0</v>
      </c>
      <c r="BZ37" s="177">
        <f t="shared" si="25"/>
        <v>0</v>
      </c>
      <c r="CA37" s="90">
        <f t="shared" si="184"/>
        <v>0</v>
      </c>
      <c r="CB37" s="90">
        <f t="shared" si="184"/>
        <v>0</v>
      </c>
      <c r="CC37" s="90">
        <f>IFERROR(VLOOKUP($B37 &amp; $C37&amp;CompareVer,tblForecast,CC$2,FALSE),0)</f>
        <v>0</v>
      </c>
      <c r="CD37" s="90">
        <f t="shared" si="185"/>
        <v>0</v>
      </c>
      <c r="CE37" s="90">
        <f t="shared" si="185"/>
        <v>0</v>
      </c>
      <c r="CF37" s="90">
        <f>IFERROR(VLOOKUP($B37-IF(CompareVer="LY",1,0) &amp; $C37 &amp;CF$4,tblForecast,CF$2,FALSE),0)</f>
        <v>0</v>
      </c>
      <c r="CG37" s="177">
        <f t="shared" si="28"/>
        <v>0</v>
      </c>
      <c r="CH37" s="90">
        <f t="shared" si="186"/>
        <v>0</v>
      </c>
      <c r="CI37" s="90">
        <f t="shared" si="186"/>
        <v>0</v>
      </c>
      <c r="CJ37" s="90">
        <f>IFERROR(VLOOKUP($B37 &amp; $C37&amp;CompareVer,tblForecast,CJ$2,FALSE),0)</f>
        <v>0</v>
      </c>
      <c r="CK37" s="90">
        <f t="shared" si="187"/>
        <v>0</v>
      </c>
      <c r="CL37" s="90">
        <f t="shared" si="187"/>
        <v>0</v>
      </c>
      <c r="CM37" s="90">
        <f>IFERROR(VLOOKUP($B37-IF(CompareVer="LY",1,0) &amp; $C37 &amp;CM$4,tblForecast,CM$2,FALSE),0)</f>
        <v>0</v>
      </c>
      <c r="CN37" s="177">
        <f t="shared" si="31"/>
        <v>0</v>
      </c>
      <c r="CO37" s="178">
        <f t="shared" si="46"/>
        <v>0</v>
      </c>
      <c r="CP37" s="223">
        <f t="shared" si="46"/>
        <v>0</v>
      </c>
      <c r="CQ37" s="177">
        <f t="shared" si="33"/>
        <v>0</v>
      </c>
      <c r="CR37" s="178">
        <f t="shared" si="44"/>
        <v>0</v>
      </c>
      <c r="CS37" s="223">
        <f t="shared" si="34"/>
        <v>0</v>
      </c>
      <c r="CT37" s="177">
        <f t="shared" si="47"/>
        <v>0</v>
      </c>
      <c r="CU37" s="44"/>
      <c r="CV37" s="44"/>
      <c r="CW37" s="102">
        <f>IFERROR(VLOOKUP($B37 &amp; $C37&amp;CompareVer,tblForecast,CW$2,FALSE),0)</f>
        <v>351891</v>
      </c>
      <c r="CX37" s="48">
        <f>IFERROR(VLOOKUP($B37-IF(CompareVer="LY",1,0) &amp; $C37 &amp;CX$4,tblForecast,CX$2,FALSE),0)</f>
        <v>393334</v>
      </c>
      <c r="CY37" s="47">
        <f t="shared" si="36"/>
        <v>-0.1053633807400326</v>
      </c>
      <c r="CZ37" s="278">
        <f>IFERROR(VLOOKUP(Brand&amp;Channel&amp;Country&amp;$C37,tblDiscount,6,FALSE),0)</f>
        <v>0.6</v>
      </c>
      <c r="DA37" s="279">
        <f t="shared" si="196"/>
        <v>10.008000000000001</v>
      </c>
      <c r="DB37" s="279">
        <f>IFERROR(VLOOKUP(Brand&amp;Country &amp; Channel &amp;FC,tblFCSettings,8,FALSE),0)</f>
        <v>25.02</v>
      </c>
      <c r="DC37" s="280">
        <f>IFERROR(VLOOKUP(Brand&amp;Country &amp; Channel &amp;FC,tblFCSettings,9,FALSE),0)</f>
        <v>4.16</v>
      </c>
    </row>
    <row r="38" spans="1:107" s="44" customFormat="1" ht="16.5" thickBot="1" x14ac:dyDescent="0.3">
      <c r="C38" s="253" t="s">
        <v>29</v>
      </c>
      <c r="D38" s="254">
        <f>SUM(D33:D37)</f>
        <v>73903118.791599959</v>
      </c>
      <c r="E38" s="255">
        <f>SUM(E33:E37)</f>
        <v>58688689.743199952</v>
      </c>
      <c r="F38" s="256">
        <f t="shared" si="45"/>
        <v>0.79413008142047037</v>
      </c>
      <c r="G38" s="257">
        <f>SUM(G33:G37)</f>
        <v>1971938</v>
      </c>
      <c r="H38" s="258">
        <f>IFERROR(D38/G38,0)</f>
        <v>37.477404863438892</v>
      </c>
      <c r="I38" s="258">
        <f>IFERROR(SUMPRODUCT(I33:I37,G33:G37)/G38,0)</f>
        <v>7.7154702878082322</v>
      </c>
      <c r="J38" s="257">
        <f>SUM(J33:J37)</f>
        <v>39741709</v>
      </c>
      <c r="K38" s="301">
        <f>SUM(K33:K37)</f>
        <v>3717335</v>
      </c>
      <c r="L38" s="259">
        <f>SUM(L33:L37)</f>
        <v>2096358.4147999939</v>
      </c>
      <c r="M38" s="259">
        <f t="shared" ref="M38:O38" si="197">SUM(M33:M37)</f>
        <v>1913401.5099999998</v>
      </c>
      <c r="N38" s="259">
        <f t="shared" si="197"/>
        <v>0</v>
      </c>
      <c r="O38" s="259">
        <f t="shared" si="197"/>
        <v>1698004.0425</v>
      </c>
      <c r="P38" s="260">
        <f t="shared" si="39"/>
        <v>0.23460154530226562</v>
      </c>
      <c r="Q38" s="261">
        <f>SUM(Q33:Q37)</f>
        <v>151794</v>
      </c>
      <c r="R38" s="262">
        <f t="shared" ref="R38:S38" si="198">SUM(R33:R37)</f>
        <v>153485</v>
      </c>
      <c r="S38" s="262">
        <f t="shared" si="198"/>
        <v>0</v>
      </c>
      <c r="T38" s="262">
        <f>SUM(T33:T37)</f>
        <v>166597</v>
      </c>
      <c r="U38" s="260">
        <f t="shared" si="7"/>
        <v>-8.8855141449125763E-2</v>
      </c>
      <c r="V38" s="263">
        <f>V37</f>
        <v>1.1130892018779344</v>
      </c>
      <c r="W38" s="332">
        <f>W37</f>
        <v>1.1130892018779344</v>
      </c>
      <c r="X38" s="264">
        <f>X37</f>
        <v>1.060624902844707</v>
      </c>
      <c r="Y38" s="254">
        <f>SUM(Y33:Y37)</f>
        <v>1469308.2871999939</v>
      </c>
      <c r="Z38" s="259">
        <f t="shared" ref="Z38:AB38" si="199">SUM(Z33:Z37)</f>
        <v>1274494.3899999999</v>
      </c>
      <c r="AA38" s="259">
        <f t="shared" si="199"/>
        <v>0</v>
      </c>
      <c r="AB38" s="259">
        <f t="shared" si="199"/>
        <v>1053268.7613000001</v>
      </c>
      <c r="AC38" s="260">
        <f t="shared" si="9"/>
        <v>0.39499844786671123</v>
      </c>
      <c r="AD38" s="265">
        <f>IFERROR(Y38/L38,0)</f>
        <v>0.70088601110711091</v>
      </c>
      <c r="AE38" s="266">
        <f>IFERROR(Z38/M38,0)</f>
        <v>0.66608831619454512</v>
      </c>
      <c r="AF38" s="266">
        <f>IFERROR(AA38/N38,0)</f>
        <v>0</v>
      </c>
      <c r="AG38" s="266">
        <f>IFERROR(AB38/O38,0)</f>
        <v>0.62029814708170827</v>
      </c>
      <c r="AH38" s="267">
        <f>IFERROR(SUMPRODUCT(AH33:AH37,Q33:Q37)/Q38,0)</f>
        <v>24.662791874514102</v>
      </c>
      <c r="AI38" s="268">
        <f>IFERROR(SUMPRODUCT(AI33:AI37,R33:R37)/R38,0)</f>
        <v>24.893338306674917</v>
      </c>
      <c r="AJ38" s="268">
        <f>IFERROR(SUMPRODUCT(AJ33:AJ37,S33:S37)/S38,0)</f>
        <v>0</v>
      </c>
      <c r="AK38" s="268">
        <f>IFERROR(SUMPRODUCT(AK33:AK37,T33:T37)/T38,0)</f>
        <v>23.515236932237674</v>
      </c>
      <c r="AL38" s="260">
        <f t="shared" si="141"/>
        <v>4.8800483940828032E-2</v>
      </c>
      <c r="AM38" s="267">
        <f>IF(Q38&lt;&gt;0,L38/Q38,0)</f>
        <v>13.810548604029105</v>
      </c>
      <c r="AN38" s="268">
        <f>IF(R38&lt;&gt;0,M38/R38,0)</f>
        <v>12.466374629442615</v>
      </c>
      <c r="AO38" s="268">
        <f>IF(S38&lt;&gt;0,N38/S38,0)</f>
        <v>0</v>
      </c>
      <c r="AP38" s="268">
        <f>IF(T38&lt;&gt;0,O38/T38,0)</f>
        <v>10.19228462997533</v>
      </c>
      <c r="AQ38" s="260">
        <f t="shared" si="14"/>
        <v>0.35500028751282353</v>
      </c>
      <c r="AR38" s="267">
        <f>IFERROR((L38*(1-AD38))/Q38,0)</f>
        <v>4.1309282817502666</v>
      </c>
      <c r="AS38" s="268">
        <f>IFERROR((M38*(1-AE38))/R38,0)</f>
        <v>4.1626681434667878</v>
      </c>
      <c r="AT38" s="268">
        <f>IFERROR((N38*(1-AF38))/S38,0)</f>
        <v>0</v>
      </c>
      <c r="AU38" s="268">
        <f>IFERROR((O38*(1-AG38))/T38,0)</f>
        <v>3.8700293594722579</v>
      </c>
      <c r="AV38" s="260">
        <f t="shared" si="16"/>
        <v>6.7415230749977129E-2</v>
      </c>
      <c r="AW38" s="269">
        <f t="shared" si="128"/>
        <v>0.44002493009315091</v>
      </c>
      <c r="AX38" s="270">
        <f t="shared" si="128"/>
        <v>0.49920840363544683</v>
      </c>
      <c r="AY38" s="270">
        <f t="shared" si="128"/>
        <v>0</v>
      </c>
      <c r="AZ38" s="270">
        <f t="shared" si="128"/>
        <v>0.56656678989262277</v>
      </c>
      <c r="BA38" s="261">
        <f>BA37</f>
        <v>511526</v>
      </c>
      <c r="BB38" s="262">
        <f t="shared" ref="BB38:BD38" si="200">BB37</f>
        <v>511526</v>
      </c>
      <c r="BC38" s="262">
        <f t="shared" si="200"/>
        <v>0</v>
      </c>
      <c r="BD38" s="262">
        <f t="shared" si="200"/>
        <v>417906</v>
      </c>
      <c r="BE38" s="260">
        <f t="shared" si="19"/>
        <v>0.22402166994491579</v>
      </c>
      <c r="BF38" s="262">
        <f>BF37</f>
        <v>159635</v>
      </c>
      <c r="BG38" s="262">
        <f>BG37</f>
        <v>24572</v>
      </c>
      <c r="BH38" s="271">
        <f>IF(Q38&lt;&gt;0,(BA38*COUNTIF(BH33:BH37,"&lt;&gt;0")/Q38),0)</f>
        <v>16.849348459095879</v>
      </c>
      <c r="BI38" s="272">
        <f>IF(T38&lt;&gt;0,(BD38*COUNTIF(BI33:BI37,"&lt;&gt;0")/T38),0)</f>
        <v>12.542422732702269</v>
      </c>
      <c r="BJ38" s="273">
        <f t="shared" ref="BJ38" si="201">IF(BA38&lt;&gt;0,(Q38/COUNTIF(BJ33:BJ37,"&lt;&gt;0"))/BA38,0)</f>
        <v>5.9349475881968851E-2</v>
      </c>
      <c r="BK38" s="274">
        <f t="shared" ref="BK38" si="202">IF(BD38&lt;&gt;0,(T38/COUNTIF(BK33:BK37,"&lt;&gt;0"))/BD38,0)</f>
        <v>7.9729412834465177E-2</v>
      </c>
      <c r="BL38" s="261">
        <f t="shared" ref="BL38" si="203">SUM(BL33:BL37)</f>
        <v>-920</v>
      </c>
      <c r="BM38" s="262">
        <f>SUM(BM33:BM37)</f>
        <v>-179</v>
      </c>
      <c r="BN38" s="261">
        <f t="shared" ref="BN38:BQ38" si="204">SUM(BN33:BN37)</f>
        <v>107877</v>
      </c>
      <c r="BO38" s="262">
        <f t="shared" si="204"/>
        <v>31221</v>
      </c>
      <c r="BP38" s="261">
        <f t="shared" si="204"/>
        <v>149709</v>
      </c>
      <c r="BQ38" s="262">
        <f t="shared" si="204"/>
        <v>61566</v>
      </c>
      <c r="BR38" s="261">
        <f t="shared" si="43"/>
        <v>-41832</v>
      </c>
      <c r="BS38" s="262">
        <f t="shared" si="22"/>
        <v>-30345</v>
      </c>
      <c r="BT38" s="261">
        <f t="shared" ref="BT38:BY38" si="205">SUM(BT33:BT37)</f>
        <v>0</v>
      </c>
      <c r="BU38" s="262">
        <f t="shared" si="205"/>
        <v>0</v>
      </c>
      <c r="BV38" s="262">
        <f t="shared" si="205"/>
        <v>0</v>
      </c>
      <c r="BW38" s="262">
        <f t="shared" si="205"/>
        <v>0</v>
      </c>
      <c r="BX38" s="262">
        <f t="shared" si="205"/>
        <v>0</v>
      </c>
      <c r="BY38" s="275">
        <f t="shared" si="205"/>
        <v>0</v>
      </c>
      <c r="BZ38" s="260">
        <f t="shared" si="25"/>
        <v>0</v>
      </c>
      <c r="CA38" s="338">
        <f t="shared" ref="CA38:CF38" si="206">SUM(CA33:CA37)</f>
        <v>0</v>
      </c>
      <c r="CB38" s="259">
        <f t="shared" si="206"/>
        <v>0</v>
      </c>
      <c r="CC38" s="259">
        <f t="shared" si="206"/>
        <v>0</v>
      </c>
      <c r="CD38" s="259">
        <f t="shared" si="206"/>
        <v>0</v>
      </c>
      <c r="CE38" s="259">
        <f t="shared" si="206"/>
        <v>0</v>
      </c>
      <c r="CF38" s="259">
        <f t="shared" si="206"/>
        <v>0</v>
      </c>
      <c r="CG38" s="260">
        <f t="shared" si="28"/>
        <v>0</v>
      </c>
      <c r="CH38" s="338">
        <f t="shared" ref="CH38:CM38" si="207">SUM(CH33:CH37)</f>
        <v>0</v>
      </c>
      <c r="CI38" s="259">
        <f t="shared" si="207"/>
        <v>0</v>
      </c>
      <c r="CJ38" s="259">
        <f t="shared" si="207"/>
        <v>0</v>
      </c>
      <c r="CK38" s="259">
        <f t="shared" si="207"/>
        <v>0</v>
      </c>
      <c r="CL38" s="259">
        <f t="shared" si="207"/>
        <v>0</v>
      </c>
      <c r="CM38" s="259">
        <f t="shared" si="207"/>
        <v>0</v>
      </c>
      <c r="CN38" s="260">
        <f t="shared" si="31"/>
        <v>0</v>
      </c>
      <c r="CO38" s="276">
        <f t="shared" si="46"/>
        <v>0</v>
      </c>
      <c r="CP38" s="277">
        <f t="shared" si="46"/>
        <v>0</v>
      </c>
      <c r="CQ38" s="260">
        <f t="shared" si="33"/>
        <v>0</v>
      </c>
      <c r="CR38" s="276">
        <f t="shared" si="44"/>
        <v>0</v>
      </c>
      <c r="CS38" s="277">
        <f t="shared" si="34"/>
        <v>0</v>
      </c>
      <c r="CT38" s="260">
        <f t="shared" si="47"/>
        <v>0</v>
      </c>
      <c r="CV38"/>
      <c r="CW38" s="100">
        <f>CW37</f>
        <v>351891</v>
      </c>
      <c r="CX38" s="101">
        <f>CX37</f>
        <v>393334</v>
      </c>
      <c r="CY38" s="99">
        <f t="shared" si="36"/>
        <v>-0.1053633807400326</v>
      </c>
      <c r="CZ38" s="278"/>
      <c r="DA38" s="279"/>
      <c r="DB38" s="279"/>
      <c r="DC38" s="280"/>
    </row>
    <row r="39" spans="1:107" x14ac:dyDescent="0.25">
      <c r="B39" s="44">
        <v>2018</v>
      </c>
      <c r="C39" s="88">
        <v>23</v>
      </c>
      <c r="D39" s="51">
        <f>G39*H39</f>
        <v>8450439.2452560011</v>
      </c>
      <c r="E39" s="202">
        <f>IFERROR(D39*F39,0)</f>
        <v>5566263.2546920013</v>
      </c>
      <c r="F39" s="182">
        <f t="shared" si="45"/>
        <v>0.65869513916887223</v>
      </c>
      <c r="G39" s="176">
        <f t="shared" ref="G39:I42" si="208">IFERROR(VLOOKUP($B39 &amp; $C39&amp;G$4&amp;$A39,tblForecast,G$2,FALSE),0)</f>
        <v>363764</v>
      </c>
      <c r="H39" s="203">
        <f t="shared" si="208"/>
        <v>23.230554000000001</v>
      </c>
      <c r="I39" s="203">
        <f t="shared" si="208"/>
        <v>7.9287010000000002</v>
      </c>
      <c r="J39" s="176">
        <f>IFERROR(VLOOKUP($B39 &amp; $C39&amp;J$4&amp;$A39,tblForecast,J$2,FALSE),0)+IFERROR(VLOOKUP($B39 &amp; $C39 &amp; J$4 &amp; $A39,tblForecast,J$2+1,FALSE),0)</f>
        <v>1388779</v>
      </c>
      <c r="K39" s="300">
        <f>IFERROR(VLOOKUP($B39 &amp; $C39&amp;K$4&amp;$A39,tblForecast,K$2,FALSE),0)+IFERROR(VLOOKUP($B39 &amp; $C39&amp;K$4&amp;$A39,tblForecast,K$2+1,FALSE),0)</f>
        <v>332853</v>
      </c>
      <c r="L39" s="90">
        <f t="shared" ref="L39:O42" si="209">Q39*AM39</f>
        <v>284496</v>
      </c>
      <c r="M39" s="90">
        <f t="shared" si="209"/>
        <v>284496</v>
      </c>
      <c r="N39" s="46">
        <f t="shared" si="209"/>
        <v>0</v>
      </c>
      <c r="O39" s="46">
        <f t="shared" si="209"/>
        <v>235192.17660000001</v>
      </c>
      <c r="P39" s="47">
        <f t="shared" si="39"/>
        <v>0.20963207243008264</v>
      </c>
      <c r="Q39" s="242">
        <f>ROUND(IF(BA37-(Q37*IF(W39=0,X39,W39))&lt;0,BA37,Q37*IF(W39=0,X39,W39)),0)</f>
        <v>23708</v>
      </c>
      <c r="R39" s="240">
        <f t="shared" ref="R39:S42" si="210">IFERROR(VLOOKUP($B39 &amp; $C39&amp;R$4,tblForecast,R$2,FALSE),0)</f>
        <v>23708</v>
      </c>
      <c r="S39" s="240">
        <f t="shared" si="210"/>
        <v>0</v>
      </c>
      <c r="T39" s="240">
        <f>IFERROR(VLOOKUP($B39-IF(CompareVer="LY",1,0) &amp; $C39 &amp;T$4,tblForecast,T$2,FALSE),0)</f>
        <v>28887</v>
      </c>
      <c r="U39" s="91">
        <f t="shared" si="7"/>
        <v>-0.17928479939072939</v>
      </c>
      <c r="V39" s="249">
        <f>IFERROR(IF(Q37&gt;0,Q39/Q37,0),0)</f>
        <v>0.79997300580375219</v>
      </c>
      <c r="W39" s="334">
        <f>IFERROR(IF(R37&gt;0,R39/R37,0),0)</f>
        <v>0.79997300580375219</v>
      </c>
      <c r="X39" s="250">
        <f>IFERROR(IF(T37&gt;0,T39/T37,0),0)</f>
        <v>1.0584420342957643</v>
      </c>
      <c r="Y39" s="51">
        <f t="shared" ref="Y39:AB42" si="211">IFERROR(L39*AD39,0)</f>
        <v>185870.72</v>
      </c>
      <c r="Z39" s="46">
        <f t="shared" si="211"/>
        <v>185870.72</v>
      </c>
      <c r="AA39" s="46">
        <f t="shared" si="211"/>
        <v>0</v>
      </c>
      <c r="AB39" s="46">
        <f t="shared" si="211"/>
        <v>129849.95370000001</v>
      </c>
      <c r="AC39" s="91">
        <f t="shared" si="9"/>
        <v>0.43142692549146422</v>
      </c>
      <c r="AD39" s="75">
        <f>IF(AM39&lt;&gt;0,1-AR39/AM39,0)</f>
        <v>0.65333333333333332</v>
      </c>
      <c r="AE39" s="93">
        <f t="shared" ref="AE39:AG42" si="212">IF(AN39&lt;&gt;0,1-AS39/AN39,0)</f>
        <v>0.65333333333333332</v>
      </c>
      <c r="AF39" s="93">
        <f t="shared" si="212"/>
        <v>0</v>
      </c>
      <c r="AG39" s="76">
        <f t="shared" si="212"/>
        <v>0.5521015008966077</v>
      </c>
      <c r="AH39" s="73">
        <f>IF(IFERROR(VLOOKUP($B39 &amp; $C39&amp;AH$4,tblForecast,AH$2,FALSE),0)=0,DB39,IFERROR(VLOOKUP($B39 &amp; $C39&amp;AH$4,tblForecast,AH$2,FALSE),0))</f>
        <v>25.02</v>
      </c>
      <c r="AI39" s="94">
        <f t="shared" si="175"/>
        <v>25.02</v>
      </c>
      <c r="AJ39" s="94">
        <f t="shared" si="175"/>
        <v>0</v>
      </c>
      <c r="AK39" s="49">
        <f>IFERROR(VLOOKUP($B39-IF(CompareVer="LY",1,0) &amp; $C39 &amp;AK$4,tblForecast,AK$2,FALSE),0)</f>
        <v>22.1861</v>
      </c>
      <c r="AL39" s="47">
        <f t="shared" si="141"/>
        <v>0.12773313020314525</v>
      </c>
      <c r="AM39" s="73">
        <f>IF(IFERROR(VLOOKUP($B39 &amp; $C39&amp;AM$4,tblForecast,AM$2,FALSE),0)=0,DA39,IFERROR(VLOOKUP($B39 &amp; $C39&amp;AM$4,tblForecast,AM$2,FALSE),0))</f>
        <v>12</v>
      </c>
      <c r="AN39" s="94">
        <f t="shared" si="176"/>
        <v>12</v>
      </c>
      <c r="AO39" s="94">
        <f t="shared" si="176"/>
        <v>0</v>
      </c>
      <c r="AP39" s="49">
        <f>IFERROR(VLOOKUP($B39-IF(CompareVer="LY",1,0) &amp; $C39 &amp;AP$4,tblForecast,AP$2,FALSE),0)</f>
        <v>8.1417999999999999</v>
      </c>
      <c r="AQ39" s="47">
        <f t="shared" si="14"/>
        <v>0.47387555577390761</v>
      </c>
      <c r="AR39" s="73">
        <f>IF(IFERROR(VLOOKUP($B39 &amp; $C39&amp;AR$4,tblForecast,AR$2,FALSE),0)=0,DC39,IFERROR(VLOOKUP($B39 &amp; $C39&amp;AR$4,tblForecast,AR$2,FALSE),0))</f>
        <v>4.16</v>
      </c>
      <c r="AS39" s="94">
        <f t="shared" ref="AS39:AT42" si="213">IFERROR(VLOOKUP($B39 &amp; $C39&amp;AS$4,tblForecast,AS$2,FALSE),0)</f>
        <v>4.16</v>
      </c>
      <c r="AT39" s="94">
        <f t="shared" si="213"/>
        <v>0</v>
      </c>
      <c r="AU39" s="49">
        <f>IFERROR(VLOOKUP($B39-IF(CompareVer="LY",1,0) &amp; $C39 &amp;AU$4,tblForecast,AU$2,FALSE),0)</f>
        <v>3.6467000000000001</v>
      </c>
      <c r="AV39" s="47">
        <f t="shared" si="16"/>
        <v>0.14075739709874679</v>
      </c>
      <c r="AW39" s="191">
        <f t="shared" si="128"/>
        <v>0.52038369304556353</v>
      </c>
      <c r="AX39" s="192">
        <f t="shared" si="128"/>
        <v>0.52038369304556353</v>
      </c>
      <c r="AY39" s="192">
        <f t="shared" si="128"/>
        <v>0</v>
      </c>
      <c r="AZ39" s="192">
        <f t="shared" si="128"/>
        <v>0.6330224780380509</v>
      </c>
      <c r="BA39" s="235">
        <f>IF(BA38+BV39+BL39+BR39-Q39&lt;0,0,BA38+BV39+BL39+BR39-Q39)</f>
        <v>362818</v>
      </c>
      <c r="BB39" s="231">
        <f>IF(IFERROR(VLOOKUP($B39 &amp; $C39&amp;BB$4,tblForecast,BB$2,FALSE),0)=0,BA39,IFERROR(VLOOKUP($B39 &amp; $C39&amp;BB$4,tblForecast,BB$2,FALSE),0))</f>
        <v>362818</v>
      </c>
      <c r="BC39" s="231">
        <f>IFERROR(VLOOKUP($B39-IF(CompareVer="LY",1,0) &amp; $C39 &amp;BC$4,tblForecast,BC$2,FALSE),0)</f>
        <v>0</v>
      </c>
      <c r="BD39" s="231">
        <f t="shared" si="146"/>
        <v>383042</v>
      </c>
      <c r="BE39" s="194">
        <f t="shared" si="19"/>
        <v>-5.2798387644174771E-2</v>
      </c>
      <c r="BF39" s="231">
        <f>IFERROR(VLOOKUP($B39 &amp; $C39&amp;IF($A39="a",BG$4,BF$4),tblForecast,BF$2,FALSE),0)</f>
        <v>0</v>
      </c>
      <c r="BG39" s="228">
        <f>IFERROR(VLOOKUP($B39-IF(CompareVer="LY",1,0) &amp; $C39 &amp;BG$4,tblForecast,BG$2,FALSE),0)</f>
        <v>21604</v>
      </c>
      <c r="BH39" s="179">
        <f>IF(Q39&lt;&gt;0,BA39/Q39,0)</f>
        <v>15.303610595579551</v>
      </c>
      <c r="BI39" s="183">
        <f>IF(T39&lt;&gt;0,BD39/T39,0)</f>
        <v>13.26001315470627</v>
      </c>
      <c r="BJ39" s="195">
        <f t="shared" ref="BJ39:BJ42" si="214">IF(BA39&lt;&gt;0,Q39/BA39,0)</f>
        <v>6.5344056799828007E-2</v>
      </c>
      <c r="BK39" s="50">
        <f t="shared" ref="BK39:BK42" si="215">IF(BD39&lt;&gt;0,T39/BD39,0)</f>
        <v>7.5414706481273588E-2</v>
      </c>
      <c r="BL39" s="234">
        <f>IFERROR(VLOOKUP($B39 &amp; $C39&amp;IF($A39="a",BM$4,BL$4),tblForecast,BL$2,FALSE),0)</f>
        <v>0</v>
      </c>
      <c r="BM39" s="228">
        <f>IFERROR(VLOOKUP($B39-IF(CompareVer="LY",1,0) &amp; $C39 &amp;BM$4,tblForecast,BM$2,FALSE),0)</f>
        <v>-4967</v>
      </c>
      <c r="BN39" s="234">
        <f>IFERROR(VLOOKUP($B39 &amp; $C39&amp;IF($A39="a",BO$4,BN$4),tblForecast,BN$2,FALSE),0)</f>
        <v>0</v>
      </c>
      <c r="BO39" s="228">
        <f>IFERROR(VLOOKUP($B39-IF(CompareVer="LY",1,0) &amp; $C39 &amp;BO$4,tblForecast,BO$2,FALSE),0)</f>
        <v>0</v>
      </c>
      <c r="BP39" s="234">
        <f>IFERROR(VLOOKUP($B39 &amp; $C39&amp;IF($A39="a",BQ$4,BP$4),tblForecast,BP$2,FALSE),0)</f>
        <v>125000</v>
      </c>
      <c r="BQ39" s="228">
        <f>IFERROR(VLOOKUP($B39-IF(CompareVer="LY",1,0) &amp; $C39 &amp;BQ$4,tblForecast,BQ$2,FALSE),0)</f>
        <v>1005</v>
      </c>
      <c r="BR39" s="227">
        <f t="shared" si="43"/>
        <v>-125000</v>
      </c>
      <c r="BS39" s="231">
        <f t="shared" si="22"/>
        <v>-1005</v>
      </c>
      <c r="BT39" s="234">
        <f t="shared" ref="BT39:BU42" si="216">IFERROR(VLOOKUP($B39 &amp; $C39&amp;BT$4,tblForecast,BT$2,FALSE),0)</f>
        <v>0</v>
      </c>
      <c r="BU39" s="231">
        <f t="shared" si="216"/>
        <v>0</v>
      </c>
      <c r="BV39" s="231">
        <f>IF($A39="a",IFERROR(VLOOKUP($B39 &amp; $C39&amp;BV$4,tblForecast,BV$2,FALSE),0),BT39+BU39)</f>
        <v>0</v>
      </c>
      <c r="BW39" s="231">
        <f t="shared" ref="BW39:BX42" si="217">IFERROR(VLOOKUP($B39 &amp; $C39&amp;BW$4,tblForecast,BW$2,FALSE),0)</f>
        <v>0</v>
      </c>
      <c r="BX39" s="231">
        <f t="shared" si="217"/>
        <v>0</v>
      </c>
      <c r="BY39" s="193">
        <f>IFERROR(VLOOKUP($B39-IF(CompareVer="LY",1,0) &amp; $C39 &amp;BY$4,tblForecast,BY$2,FALSE),0)</f>
        <v>0</v>
      </c>
      <c r="BZ39" s="194">
        <f t="shared" si="25"/>
        <v>0</v>
      </c>
      <c r="CA39" s="337">
        <f t="shared" ref="CA39:CB42" si="218">IFERROR(VLOOKUP($B39 &amp; $C39&amp;CA$4,tblForecast,CA$2,FALSE),0)</f>
        <v>0</v>
      </c>
      <c r="CB39" s="46">
        <f t="shared" si="218"/>
        <v>0</v>
      </c>
      <c r="CC39" s="46">
        <f>IF($A39="a",IFERROR(VLOOKUP($B39 &amp; $C39&amp;CC$4,tblForecast,CC$2,FALSE),0),CA39+CB39)</f>
        <v>0</v>
      </c>
      <c r="CD39" s="46">
        <f t="shared" ref="CD39:CE42" si="219">IFERROR(VLOOKUP($B39 &amp; $C39&amp;CD$4,tblForecast,CD$2,FALSE),0)</f>
        <v>0</v>
      </c>
      <c r="CE39" s="46">
        <f t="shared" si="219"/>
        <v>0</v>
      </c>
      <c r="CF39" s="46">
        <f>IFERROR(VLOOKUP($B39-IF(CompareVer="LY",1,0) &amp; $C39 &amp;CF$4,tblForecast,CF$2,FALSE),0)</f>
        <v>0</v>
      </c>
      <c r="CG39" s="194">
        <f t="shared" si="28"/>
        <v>0</v>
      </c>
      <c r="CH39" s="337">
        <f t="shared" ref="CH39:CI42" si="220">IFERROR(VLOOKUP($B39 &amp; $C39&amp;CH$4,tblForecast,CH$2,FALSE),0)</f>
        <v>0</v>
      </c>
      <c r="CI39" s="46">
        <f t="shared" si="220"/>
        <v>0</v>
      </c>
      <c r="CJ39" s="46">
        <f>IF($A39="a",IFERROR(VLOOKUP($B39 &amp; $C39&amp;CJ$4,tblForecast,CJ$2,FALSE),0),CH39+CI39)</f>
        <v>0</v>
      </c>
      <c r="CK39" s="46">
        <f t="shared" ref="CK39:CL42" si="221">IFERROR(VLOOKUP($B39 &amp; $C39&amp;CK$4,tblForecast,CK$2,FALSE),0)</f>
        <v>0</v>
      </c>
      <c r="CL39" s="46">
        <f t="shared" si="221"/>
        <v>0</v>
      </c>
      <c r="CM39" s="46">
        <f>IFERROR(VLOOKUP($B39-IF(CompareVer="LY",1,0) &amp; $C39 &amp;CM$4,tblForecast,CM$2,FALSE),0)</f>
        <v>0</v>
      </c>
      <c r="CN39" s="194">
        <f t="shared" si="31"/>
        <v>0</v>
      </c>
      <c r="CO39" s="178">
        <f t="shared" si="46"/>
        <v>0</v>
      </c>
      <c r="CP39" s="223">
        <f t="shared" si="46"/>
        <v>0</v>
      </c>
      <c r="CQ39" s="194">
        <f t="shared" si="33"/>
        <v>0</v>
      </c>
      <c r="CR39" s="178">
        <f t="shared" si="44"/>
        <v>0</v>
      </c>
      <c r="CS39" s="223">
        <f t="shared" si="34"/>
        <v>0</v>
      </c>
      <c r="CT39" s="194">
        <f t="shared" si="47"/>
        <v>0</v>
      </c>
      <c r="CU39" s="44"/>
      <c r="CW39" s="102">
        <f>IF(CW38+BV39+BL39-Q39&lt;0,0,CW38+BV39+BL39-Q39)</f>
        <v>328183</v>
      </c>
      <c r="CX39" s="48">
        <f>IFERROR(VLOOKUP($B39-IF(CompareVer="LY",1,0) &amp; $C39 &amp;CX$4,tblForecast,CX$2,FALSE),0)</f>
        <v>361438</v>
      </c>
      <c r="CY39" s="47">
        <f t="shared" si="36"/>
        <v>-9.2007481227762478E-2</v>
      </c>
      <c r="CZ39" s="278">
        <f>IFERROR(VLOOKUP(Brand&amp;Channel&amp;Country&amp;$C39,tblDiscount,6,FALSE),0)</f>
        <v>0.65</v>
      </c>
      <c r="DA39" s="279">
        <f>(1-CZ39)*DB39</f>
        <v>8.7569999999999997</v>
      </c>
      <c r="DB39" s="279">
        <f>IFERROR(VLOOKUP(Brand&amp;Country &amp; Channel &amp;FC,tblFCSettings,8,FALSE),0)</f>
        <v>25.02</v>
      </c>
      <c r="DC39" s="280">
        <f>IFERROR(VLOOKUP(Brand&amp;Country &amp; Channel &amp;FC,tblFCSettings,9,FALSE),0)</f>
        <v>4.16</v>
      </c>
    </row>
    <row r="40" spans="1:107" x14ac:dyDescent="0.25">
      <c r="B40" s="44">
        <v>2018</v>
      </c>
      <c r="C40" s="88">
        <v>24</v>
      </c>
      <c r="D40" s="51">
        <f t="shared" ref="D40:D42" si="222">G40*H40</f>
        <v>9764434.486668</v>
      </c>
      <c r="E40" s="202">
        <f t="shared" ref="E40:E42" si="223">IFERROR(D40*F40,0)</f>
        <v>6345392.5103639998</v>
      </c>
      <c r="F40" s="182">
        <f t="shared" si="45"/>
        <v>0.64984741502723642</v>
      </c>
      <c r="G40" s="176">
        <f t="shared" si="208"/>
        <v>421986</v>
      </c>
      <c r="H40" s="203">
        <f t="shared" si="208"/>
        <v>23.139237999999999</v>
      </c>
      <c r="I40" s="203">
        <f t="shared" si="208"/>
        <v>8.1022639999999999</v>
      </c>
      <c r="J40" s="176">
        <f>IFERROR(VLOOKUP($B40 &amp; $C40&amp;J$4&amp;$A40,tblForecast,J$2,FALSE),0)+IFERROR(VLOOKUP($B40 &amp; $C40 &amp; J$4 &amp; $A40,tblForecast,J$2+1,FALSE),0)</f>
        <v>1584336</v>
      </c>
      <c r="K40" s="300">
        <f>IFERROR(VLOOKUP($B40 &amp; $C40&amp;K$4&amp;$A40,tblForecast,K$2,FALSE),0)+IFERROR(VLOOKUP($B40 &amp; $C40&amp;K$4&amp;$A40,tblForecast,K$2+1,FALSE),0)</f>
        <v>1352754</v>
      </c>
      <c r="L40" s="90">
        <f t="shared" si="209"/>
        <v>181359</v>
      </c>
      <c r="M40" s="90">
        <f t="shared" si="209"/>
        <v>181359</v>
      </c>
      <c r="N40" s="46">
        <f t="shared" si="209"/>
        <v>0</v>
      </c>
      <c r="O40" s="46">
        <f t="shared" si="209"/>
        <v>191869.66019999998</v>
      </c>
      <c r="P40" s="47">
        <f t="shared" si="39"/>
        <v>-5.4780209591469231E-2</v>
      </c>
      <c r="Q40" s="242">
        <f t="shared" ref="Q40:Q42" si="224">ROUND(IF(BA39-(Q39*IF(W40=0,X40,W40))&lt;0,BA39,Q39*IF(W40=0,X40,W40)),0)</f>
        <v>20151</v>
      </c>
      <c r="R40" s="240">
        <f t="shared" si="210"/>
        <v>20151</v>
      </c>
      <c r="S40" s="240">
        <f t="shared" si="210"/>
        <v>0</v>
      </c>
      <c r="T40" s="240">
        <f>IFERROR(VLOOKUP($B40-IF(CompareVer="LY",1,0) &amp; $C40 &amp;T$4,tblForecast,T$2,FALSE),0)</f>
        <v>17799</v>
      </c>
      <c r="U40" s="91">
        <f t="shared" si="7"/>
        <v>0.13214225518287548</v>
      </c>
      <c r="V40" s="249">
        <f t="shared" ref="V40:W42" si="225">IFERROR(IF(Q39&lt;&gt;0,Q40/Q39,0),0)</f>
        <v>0.84996625611607901</v>
      </c>
      <c r="W40" s="334">
        <f t="shared" si="225"/>
        <v>0.84996625611607901</v>
      </c>
      <c r="X40" s="250">
        <f t="shared" ref="X40:X42" si="226">IFERROR(IF(T39&lt;&gt;0,T40/T39,0),0)</f>
        <v>0.61615951812233882</v>
      </c>
      <c r="Y40" s="51">
        <f t="shared" si="211"/>
        <v>97530.839999999982</v>
      </c>
      <c r="Z40" s="46">
        <f t="shared" si="211"/>
        <v>97530.839999999982</v>
      </c>
      <c r="AA40" s="46">
        <f t="shared" si="211"/>
        <v>0</v>
      </c>
      <c r="AB40" s="46">
        <f t="shared" si="211"/>
        <v>126735.99959999998</v>
      </c>
      <c r="AC40" s="91">
        <f t="shared" si="9"/>
        <v>-0.23044091412208345</v>
      </c>
      <c r="AD40" s="75">
        <f>IF(AM40&lt;&gt;0,1-AR40/AM40,0)</f>
        <v>0.53777777777777769</v>
      </c>
      <c r="AE40" s="93">
        <f t="shared" si="212"/>
        <v>0.53777777777777769</v>
      </c>
      <c r="AF40" s="93">
        <f t="shared" si="212"/>
        <v>0</v>
      </c>
      <c r="AG40" s="76">
        <f t="shared" si="212"/>
        <v>0.66053173528265829</v>
      </c>
      <c r="AH40" s="73">
        <f>IF(IFERROR(VLOOKUP($B40 &amp; $C40&amp;AH$4,tblForecast,AH$2,FALSE),0)=0,DB40,IFERROR(VLOOKUP($B40 &amp; $C40&amp;AH$4,tblForecast,AH$2,FALSE),0))</f>
        <v>25.02</v>
      </c>
      <c r="AI40" s="94">
        <f t="shared" si="175"/>
        <v>25.02</v>
      </c>
      <c r="AJ40" s="94">
        <f t="shared" si="175"/>
        <v>0</v>
      </c>
      <c r="AK40" s="49">
        <f>IFERROR(VLOOKUP($B40-IF(CompareVer="LY",1,0) &amp; $C40 &amp;AK$4,tblForecast,AK$2,FALSE),0)</f>
        <v>22.349599999999999</v>
      </c>
      <c r="AL40" s="47">
        <f t="shared" si="141"/>
        <v>0.11948312274045181</v>
      </c>
      <c r="AM40" s="73">
        <f>IF(IFERROR(VLOOKUP($B40 &amp; $C40&amp;AM$4,tblForecast,AM$2,FALSE),0)=0,DA40,IFERROR(VLOOKUP($B40 &amp; $C40&amp;AM$4,tblForecast,AM$2,FALSE),0))</f>
        <v>9</v>
      </c>
      <c r="AN40" s="94">
        <f t="shared" si="176"/>
        <v>9</v>
      </c>
      <c r="AO40" s="94">
        <f t="shared" si="176"/>
        <v>0</v>
      </c>
      <c r="AP40" s="49">
        <f>IFERROR(VLOOKUP($B40-IF(CompareVer="LY",1,0) &amp; $C40 &amp;AP$4,tblForecast,AP$2,FALSE),0)</f>
        <v>10.7798</v>
      </c>
      <c r="AQ40" s="47">
        <f t="shared" si="14"/>
        <v>-0.16510510399079759</v>
      </c>
      <c r="AR40" s="73">
        <f>IF(IFERROR(VLOOKUP($B40 &amp; $C40&amp;AR$4,tblForecast,AR$2,FALSE),0)=0,DC40,IFERROR(VLOOKUP($B40 &amp; $C40&amp;AR$4,tblForecast,AR$2,FALSE),0))</f>
        <v>4.16</v>
      </c>
      <c r="AS40" s="94">
        <f t="shared" si="213"/>
        <v>4.16</v>
      </c>
      <c r="AT40" s="94">
        <f t="shared" si="213"/>
        <v>0</v>
      </c>
      <c r="AU40" s="49">
        <f>IFERROR(VLOOKUP($B40-IF(CompareVer="LY",1,0) &amp; $C40 &amp;AU$4,tblForecast,AU$2,FALSE),0)</f>
        <v>3.6594000000000002</v>
      </c>
      <c r="AV40" s="47">
        <f t="shared" si="16"/>
        <v>0.13679838224845597</v>
      </c>
      <c r="AW40" s="191">
        <f t="shared" si="128"/>
        <v>0.64028776978417268</v>
      </c>
      <c r="AX40" s="192">
        <f t="shared" si="128"/>
        <v>0.64028776978417268</v>
      </c>
      <c r="AY40" s="192">
        <f t="shared" si="128"/>
        <v>0</v>
      </c>
      <c r="AZ40" s="192">
        <f t="shared" si="128"/>
        <v>0.51767369438379207</v>
      </c>
      <c r="BA40" s="235">
        <f>IF(BA39+BV40+BL40+BR40-Q40&lt;0,0,BA39+BV40+BL40+BR40-Q40)</f>
        <v>371394</v>
      </c>
      <c r="BB40" s="231">
        <f>IF(IFERROR(VLOOKUP($B40 &amp; $C40&amp;BB$4,tblForecast,BB$2,FALSE),0)=0,BA40,IFERROR(VLOOKUP($B40 &amp; $C40&amp;BB$4,tblForecast,BB$2,FALSE),0))</f>
        <v>371394</v>
      </c>
      <c r="BC40" s="231">
        <f>IFERROR(VLOOKUP($B40-IF(CompareVer="LY",1,0) &amp; $C40 &amp;BC$4,tblForecast,BC$2,FALSE),0)</f>
        <v>0</v>
      </c>
      <c r="BD40" s="231">
        <f t="shared" si="146"/>
        <v>365173</v>
      </c>
      <c r="BE40" s="194">
        <f t="shared" si="19"/>
        <v>1.70357611323948E-2</v>
      </c>
      <c r="BF40" s="231">
        <f>IFERROR(VLOOKUP($B40 &amp; $C40&amp;IF($A40="a",BG$4,BF$4),tblForecast,BF$2,FALSE),0)</f>
        <v>0</v>
      </c>
      <c r="BG40" s="228">
        <f>IFERROR(VLOOKUP($B40-IF(CompareVer="LY",1,0) &amp; $C40 &amp;BG$4,tblForecast,BG$2,FALSE),0)</f>
        <v>21568</v>
      </c>
      <c r="BH40" s="179">
        <f>IF(Q40&lt;&gt;0,BA40/Q40,0)</f>
        <v>18.430549352389459</v>
      </c>
      <c r="BI40" s="183">
        <f>IF(T40&lt;&gt;0,BD40/T40,0)</f>
        <v>20.516489690432046</v>
      </c>
      <c r="BJ40" s="195">
        <f t="shared" si="214"/>
        <v>5.4257742451412787E-2</v>
      </c>
      <c r="BK40" s="50">
        <f t="shared" si="215"/>
        <v>4.8741281529576394E-2</v>
      </c>
      <c r="BL40" s="234">
        <f>IFERROR(VLOOKUP($B40 &amp; $C40&amp;IF($A40="a",BM$4,BL$4),tblForecast,BL$2,FALSE),0)</f>
        <v>0</v>
      </c>
      <c r="BM40" s="228">
        <f>IFERROR(VLOOKUP($B40-IF(CompareVer="LY",1,0) &amp; $C40 &amp;BM$4,tblForecast,BM$2,FALSE),0)</f>
        <v>-40</v>
      </c>
      <c r="BN40" s="234">
        <f>IFERROR(VLOOKUP($B40 &amp; $C40&amp;IF($A40="a",BO$4,BN$4),tblForecast,BN$2,FALSE),0)</f>
        <v>0</v>
      </c>
      <c r="BO40" s="228">
        <f>IFERROR(VLOOKUP($B40-IF(CompareVer="LY",1,0) &amp; $C40 &amp;BO$4,tblForecast,BO$2,FALSE),0)</f>
        <v>9</v>
      </c>
      <c r="BP40" s="234">
        <f>IFERROR(VLOOKUP($B40 &amp; $C40&amp;IF($A40="a",BQ$4,BP$4),tblForecast,BP$2,FALSE),0)</f>
        <v>0</v>
      </c>
      <c r="BQ40" s="228">
        <f>IFERROR(VLOOKUP($B40-IF(CompareVer="LY",1,0) &amp; $C40 &amp;BQ$4,tblForecast,BQ$2,FALSE),0)</f>
        <v>28</v>
      </c>
      <c r="BR40" s="227">
        <f t="shared" si="43"/>
        <v>0</v>
      </c>
      <c r="BS40" s="231">
        <f t="shared" si="22"/>
        <v>-19</v>
      </c>
      <c r="BT40" s="234">
        <f t="shared" si="216"/>
        <v>0</v>
      </c>
      <c r="BU40" s="231">
        <f t="shared" si="216"/>
        <v>28727</v>
      </c>
      <c r="BV40" s="231">
        <f>IF($A40="a",IFERROR(VLOOKUP($B40 &amp; $C40&amp;BV$4,tblForecast,BV$2,FALSE),0),BT40+BU40)</f>
        <v>28727</v>
      </c>
      <c r="BW40" s="231">
        <f t="shared" si="217"/>
        <v>0</v>
      </c>
      <c r="BX40" s="231">
        <f t="shared" si="217"/>
        <v>0</v>
      </c>
      <c r="BY40" s="193">
        <f>IFERROR(VLOOKUP($B40-IF(CompareVer="LY",1,0) &amp; $C40 &amp;BY$4,tblForecast,BY$2,FALSE),0)</f>
        <v>0</v>
      </c>
      <c r="BZ40" s="194">
        <f t="shared" si="25"/>
        <v>0</v>
      </c>
      <c r="CA40" s="337">
        <f t="shared" si="218"/>
        <v>0</v>
      </c>
      <c r="CB40" s="46">
        <f t="shared" si="218"/>
        <v>0</v>
      </c>
      <c r="CC40" s="46">
        <f>IF($A40="a",IFERROR(VLOOKUP($B40 &amp; $C40&amp;CC$4,tblForecast,CC$2,FALSE),0),CA40+CB40)</f>
        <v>0</v>
      </c>
      <c r="CD40" s="46">
        <f t="shared" si="219"/>
        <v>0</v>
      </c>
      <c r="CE40" s="46">
        <f t="shared" si="219"/>
        <v>0</v>
      </c>
      <c r="CF40" s="46">
        <f>IFERROR(VLOOKUP($B40-IF(CompareVer="LY",1,0) &amp; $C40 &amp;CF$4,tblForecast,CF$2,FALSE),0)</f>
        <v>0</v>
      </c>
      <c r="CG40" s="194">
        <f t="shared" si="28"/>
        <v>0</v>
      </c>
      <c r="CH40" s="337">
        <f t="shared" si="220"/>
        <v>0</v>
      </c>
      <c r="CI40" s="46">
        <f t="shared" si="220"/>
        <v>77545.66</v>
      </c>
      <c r="CJ40" s="46">
        <f>IF($A40="a",IFERROR(VLOOKUP($B40 &amp; $C40&amp;CJ$4,tblForecast,CJ$2,FALSE),0),CH40+CI40)</f>
        <v>77545.66</v>
      </c>
      <c r="CK40" s="46">
        <f t="shared" si="221"/>
        <v>0</v>
      </c>
      <c r="CL40" s="46">
        <f t="shared" si="221"/>
        <v>0</v>
      </c>
      <c r="CM40" s="46">
        <f>IFERROR(VLOOKUP($B40-IF(CompareVer="LY",1,0) &amp; $C40 &amp;CM$4,tblForecast,CM$2,FALSE),0)</f>
        <v>0</v>
      </c>
      <c r="CN40" s="194">
        <f t="shared" si="31"/>
        <v>0</v>
      </c>
      <c r="CO40" s="178">
        <f t="shared" si="46"/>
        <v>0</v>
      </c>
      <c r="CP40" s="223">
        <f t="shared" si="46"/>
        <v>0</v>
      </c>
      <c r="CQ40" s="194">
        <f t="shared" si="33"/>
        <v>0</v>
      </c>
      <c r="CR40" s="178">
        <f t="shared" si="44"/>
        <v>0</v>
      </c>
      <c r="CS40" s="223">
        <f t="shared" si="34"/>
        <v>0</v>
      </c>
      <c r="CT40" s="194">
        <f t="shared" si="47"/>
        <v>0</v>
      </c>
      <c r="CU40" s="44"/>
      <c r="CW40" s="102">
        <f>IF(CW39+BV40+BL40-Q40&lt;0,0,CW39+BV40+BL40-Q40)</f>
        <v>336759</v>
      </c>
      <c r="CX40" s="48">
        <f>IFERROR(VLOOKUP($B40-IF(CompareVer="LY",1,0) &amp; $C40 &amp;CX$4,tblForecast,CX$2,FALSE),0)</f>
        <v>343605</v>
      </c>
      <c r="CY40" s="47">
        <f t="shared" si="36"/>
        <v>-1.9924040686253086E-2</v>
      </c>
      <c r="CZ40" s="278">
        <f>IFERROR(VLOOKUP(Brand&amp;Channel&amp;Country&amp;$C40,tblDiscount,6,FALSE),0)</f>
        <v>0.65</v>
      </c>
      <c r="DA40" s="279">
        <f>(1-CZ40)*DB40</f>
        <v>8.7569999999999997</v>
      </c>
      <c r="DB40" s="279">
        <f>IFERROR(VLOOKUP(Brand&amp;Country &amp; Channel &amp;FC,tblFCSettings,8,FALSE),0)</f>
        <v>25.02</v>
      </c>
      <c r="DC40" s="280">
        <f>IFERROR(VLOOKUP(Brand&amp;Country &amp; Channel &amp;FC,tblFCSettings,9,FALSE),0)</f>
        <v>4.16</v>
      </c>
    </row>
    <row r="41" spans="1:107" x14ac:dyDescent="0.25">
      <c r="B41" s="44">
        <v>2018</v>
      </c>
      <c r="C41" s="88">
        <v>25</v>
      </c>
      <c r="D41" s="51">
        <f t="shared" si="222"/>
        <v>11904238.954074999</v>
      </c>
      <c r="E41" s="202">
        <f t="shared" si="223"/>
        <v>7182963.9952849997</v>
      </c>
      <c r="F41" s="182">
        <f t="shared" si="45"/>
        <v>0.60339548147478705</v>
      </c>
      <c r="G41" s="176">
        <f t="shared" si="208"/>
        <v>518479</v>
      </c>
      <c r="H41" s="203">
        <f t="shared" si="208"/>
        <v>22.959924999999998</v>
      </c>
      <c r="I41" s="203">
        <f t="shared" si="208"/>
        <v>9.1060099999999995</v>
      </c>
      <c r="J41" s="176">
        <f>IFERROR(VLOOKUP($B41 &amp; $C41&amp;J$4&amp;$A41,tblForecast,J$2,FALSE),0)+IFERROR(VLOOKUP($B41 &amp; $C41 &amp; J$4 &amp; $A41,tblForecast,J$2+1,FALSE),0)</f>
        <v>1557011</v>
      </c>
      <c r="K41" s="300">
        <f>IFERROR(VLOOKUP($B41 &amp; $C41&amp;K$4&amp;$A41,tblForecast,K$2,FALSE),0)+IFERROR(VLOOKUP($B41 &amp; $C41&amp;K$4&amp;$A41,tblForecast,K$2+1,FALSE),0)</f>
        <v>85959</v>
      </c>
      <c r="L41" s="90">
        <f t="shared" si="209"/>
        <v>211587.6</v>
      </c>
      <c r="M41" s="90">
        <f t="shared" si="209"/>
        <v>211587.6</v>
      </c>
      <c r="N41" s="46">
        <f t="shared" si="209"/>
        <v>0</v>
      </c>
      <c r="O41" s="46">
        <f t="shared" si="209"/>
        <v>219127.902</v>
      </c>
      <c r="P41" s="47">
        <f t="shared" si="39"/>
        <v>-3.4410506061432589E-2</v>
      </c>
      <c r="Q41" s="242">
        <f t="shared" si="224"/>
        <v>25189</v>
      </c>
      <c r="R41" s="240">
        <f t="shared" si="210"/>
        <v>25189</v>
      </c>
      <c r="S41" s="240">
        <f t="shared" si="210"/>
        <v>0</v>
      </c>
      <c r="T41" s="240">
        <f>IFERROR(VLOOKUP($B41-IF(CompareVer="LY",1,0) &amp; $C41 &amp;T$4,tblForecast,T$2,FALSE),0)</f>
        <v>22785</v>
      </c>
      <c r="U41" s="91">
        <f t="shared" si="7"/>
        <v>0.10550800965547502</v>
      </c>
      <c r="V41" s="249">
        <f t="shared" si="225"/>
        <v>1.250012406332192</v>
      </c>
      <c r="W41" s="334">
        <f t="shared" si="225"/>
        <v>1.250012406332192</v>
      </c>
      <c r="X41" s="250">
        <f t="shared" si="226"/>
        <v>1.2801280970841058</v>
      </c>
      <c r="Y41" s="51">
        <f t="shared" si="211"/>
        <v>106801.36</v>
      </c>
      <c r="Z41" s="46">
        <f t="shared" si="211"/>
        <v>106801.36</v>
      </c>
      <c r="AA41" s="46">
        <f t="shared" si="211"/>
        <v>0</v>
      </c>
      <c r="AB41" s="46">
        <f t="shared" si="211"/>
        <v>136705.44300000003</v>
      </c>
      <c r="AC41" s="91">
        <f t="shared" si="9"/>
        <v>-0.21874829812006846</v>
      </c>
      <c r="AD41" s="75">
        <f>IF(AM41&lt;&gt;0,1-AR41/AM41,0)</f>
        <v>0.50476190476190474</v>
      </c>
      <c r="AE41" s="93">
        <f t="shared" si="212"/>
        <v>0.50476190476190474</v>
      </c>
      <c r="AF41" s="93">
        <f t="shared" si="212"/>
        <v>0</v>
      </c>
      <c r="AG41" s="76">
        <f t="shared" si="212"/>
        <v>0.6238614149648547</v>
      </c>
      <c r="AH41" s="73">
        <f>IF(IFERROR(VLOOKUP($B41 &amp; $C41&amp;AH$4,tblForecast,AH$2,FALSE),0)=0,DB41,IFERROR(VLOOKUP($B41 &amp; $C41&amp;AH$4,tblForecast,AH$2,FALSE),0))</f>
        <v>25.02</v>
      </c>
      <c r="AI41" s="94">
        <f t="shared" si="175"/>
        <v>25.02</v>
      </c>
      <c r="AJ41" s="94">
        <f t="shared" si="175"/>
        <v>0</v>
      </c>
      <c r="AK41" s="49">
        <f>IFERROR(VLOOKUP($B41-IF(CompareVer="LY",1,0) &amp; $C41 &amp;AK$4,tblForecast,AK$2,FALSE),0)</f>
        <v>22.181799999999999</v>
      </c>
      <c r="AL41" s="47">
        <f t="shared" si="141"/>
        <v>0.12795174422274114</v>
      </c>
      <c r="AM41" s="73">
        <f>IF(IFERROR(VLOOKUP($B41 &amp; $C41&amp;AM$4,tblForecast,AM$2,FALSE),0)=0,DA41,IFERROR(VLOOKUP($B41 &amp; $C41&amp;AM$4,tblForecast,AM$2,FALSE),0))</f>
        <v>8.4</v>
      </c>
      <c r="AN41" s="94">
        <f t="shared" si="176"/>
        <v>8.4</v>
      </c>
      <c r="AO41" s="94">
        <f t="shared" si="176"/>
        <v>0</v>
      </c>
      <c r="AP41" s="49">
        <f>IFERROR(VLOOKUP($B41-IF(CompareVer="LY",1,0) &amp; $C41 &amp;AP$4,tblForecast,AP$2,FALSE),0)</f>
        <v>9.6172000000000004</v>
      </c>
      <c r="AQ41" s="47">
        <f t="shared" si="14"/>
        <v>-0.12656490454602176</v>
      </c>
      <c r="AR41" s="73">
        <f>IF(IFERROR(VLOOKUP($B41 &amp; $C41&amp;AR$4,tblForecast,AR$2,FALSE),0)=0,DC41,IFERROR(VLOOKUP($B41 &amp; $C41&amp;AR$4,tblForecast,AR$2,FALSE),0))</f>
        <v>4.16</v>
      </c>
      <c r="AS41" s="94">
        <f t="shared" si="213"/>
        <v>4.16</v>
      </c>
      <c r="AT41" s="94">
        <f t="shared" si="213"/>
        <v>0</v>
      </c>
      <c r="AU41" s="49">
        <f>IFERROR(VLOOKUP($B41-IF(CompareVer="LY",1,0) &amp; $C41 &amp;AU$4,tblForecast,AU$2,FALSE),0)</f>
        <v>3.6173999999999999</v>
      </c>
      <c r="AV41" s="47">
        <f t="shared" si="16"/>
        <v>0.14999723558356837</v>
      </c>
      <c r="AW41" s="191">
        <f t="shared" si="128"/>
        <v>0.66426858513189446</v>
      </c>
      <c r="AX41" s="192">
        <f t="shared" si="128"/>
        <v>0.66426858513189446</v>
      </c>
      <c r="AY41" s="192">
        <f t="shared" si="128"/>
        <v>0</v>
      </c>
      <c r="AZ41" s="192">
        <f t="shared" si="128"/>
        <v>0.56643734953881109</v>
      </c>
      <c r="BA41" s="235">
        <f>IF(BA40+BV41+BL41+BR41-Q41&lt;0,0,BA40+BV41+BL41+BR41-Q41)</f>
        <v>346205</v>
      </c>
      <c r="BB41" s="231">
        <f>IF(IFERROR(VLOOKUP($B41 &amp; $C41&amp;BB$4,tblForecast,BB$2,FALSE),0)=0,BA41,IFERROR(VLOOKUP($B41 &amp; $C41&amp;BB$4,tblForecast,BB$2,FALSE),0))</f>
        <v>346205</v>
      </c>
      <c r="BC41" s="231">
        <f>IFERROR(VLOOKUP($B41-IF(CompareVer="LY",1,0) &amp; $C41 &amp;BC$4,tblForecast,BC$2,FALSE),0)</f>
        <v>0</v>
      </c>
      <c r="BD41" s="231">
        <f t="shared" si="146"/>
        <v>342225</v>
      </c>
      <c r="BE41" s="194">
        <f t="shared" si="19"/>
        <v>1.1629775732339809E-2</v>
      </c>
      <c r="BF41" s="231">
        <f>IFERROR(VLOOKUP($B41 &amp; $C41&amp;IF($A41="a",BG$4,BF$4),tblForecast,BF$2,FALSE),0)</f>
        <v>0</v>
      </c>
      <c r="BG41" s="228">
        <f>IFERROR(VLOOKUP($B41-IF(CompareVer="LY",1,0) &amp; $C41 &amp;BG$4,tblForecast,BG$2,FALSE),0)</f>
        <v>21567</v>
      </c>
      <c r="BH41" s="179">
        <f>IF(Q41&lt;&gt;0,BA41/Q41,0)</f>
        <v>13.744293143832625</v>
      </c>
      <c r="BI41" s="183">
        <f>IF(T41&lt;&gt;0,BD41/T41,0)</f>
        <v>15.019749835418038</v>
      </c>
      <c r="BJ41" s="195">
        <f t="shared" si="214"/>
        <v>7.2757470284946779E-2</v>
      </c>
      <c r="BK41" s="50">
        <f t="shared" si="215"/>
        <v>6.6579005040543496E-2</v>
      </c>
      <c r="BL41" s="234">
        <f>IFERROR(VLOOKUP($B41 &amp; $C41&amp;IF($A41="a",BM$4,BL$4),tblForecast,BL$2,FALSE),0)</f>
        <v>0</v>
      </c>
      <c r="BM41" s="228">
        <f>IFERROR(VLOOKUP($B41-IF(CompareVer="LY",1,0) &amp; $C41 &amp;BM$4,tblForecast,BM$2,FALSE),0)</f>
        <v>-83</v>
      </c>
      <c r="BN41" s="234">
        <f>IFERROR(VLOOKUP($B41 &amp; $C41&amp;IF($A41="a",BO$4,BN$4),tblForecast,BN$2,FALSE),0)</f>
        <v>0</v>
      </c>
      <c r="BO41" s="228">
        <f>IFERROR(VLOOKUP($B41-IF(CompareVer="LY",1,0) &amp; $C41 &amp;BO$4,tblForecast,BO$2,FALSE),0)</f>
        <v>96</v>
      </c>
      <c r="BP41" s="234">
        <f>IFERROR(VLOOKUP($B41 &amp; $C41&amp;IF($A41="a",BQ$4,BP$4),tblForecast,BP$2,FALSE),0)</f>
        <v>0</v>
      </c>
      <c r="BQ41" s="228">
        <f>IFERROR(VLOOKUP($B41-IF(CompareVer="LY",1,0) &amp; $C41 &amp;BQ$4,tblForecast,BQ$2,FALSE),0)</f>
        <v>181</v>
      </c>
      <c r="BR41" s="227">
        <f t="shared" si="43"/>
        <v>0</v>
      </c>
      <c r="BS41" s="231">
        <f t="shared" si="22"/>
        <v>-85</v>
      </c>
      <c r="BT41" s="234">
        <f t="shared" si="216"/>
        <v>0</v>
      </c>
      <c r="BU41" s="231">
        <f t="shared" si="216"/>
        <v>0</v>
      </c>
      <c r="BV41" s="231">
        <f>IF($A41="a",IFERROR(VLOOKUP($B41 &amp; $C41&amp;BV$4,tblForecast,BV$2,FALSE),0),BT41+BU41)</f>
        <v>0</v>
      </c>
      <c r="BW41" s="231">
        <f t="shared" si="217"/>
        <v>0</v>
      </c>
      <c r="BX41" s="231">
        <f t="shared" si="217"/>
        <v>0</v>
      </c>
      <c r="BY41" s="193">
        <f>IFERROR(VLOOKUP($B41-IF(CompareVer="LY",1,0) &amp; $C41 &amp;BY$4,tblForecast,BY$2,FALSE),0)</f>
        <v>0</v>
      </c>
      <c r="BZ41" s="194">
        <f t="shared" si="25"/>
        <v>0</v>
      </c>
      <c r="CA41" s="337">
        <f t="shared" si="218"/>
        <v>0</v>
      </c>
      <c r="CB41" s="46">
        <f t="shared" si="218"/>
        <v>0</v>
      </c>
      <c r="CC41" s="46">
        <f>IF($A41="a",IFERROR(VLOOKUP($B41 &amp; $C41&amp;CC$4,tblForecast,CC$2,FALSE),0),CA41+CB41)</f>
        <v>0</v>
      </c>
      <c r="CD41" s="46">
        <f t="shared" si="219"/>
        <v>0</v>
      </c>
      <c r="CE41" s="46">
        <f t="shared" si="219"/>
        <v>0</v>
      </c>
      <c r="CF41" s="46">
        <f>IFERROR(VLOOKUP($B41-IF(CompareVer="LY",1,0) &amp; $C41 &amp;CF$4,tblForecast,CF$2,FALSE),0)</f>
        <v>0</v>
      </c>
      <c r="CG41" s="194">
        <f t="shared" si="28"/>
        <v>0</v>
      </c>
      <c r="CH41" s="337">
        <f t="shared" si="220"/>
        <v>0</v>
      </c>
      <c r="CI41" s="46">
        <f t="shared" si="220"/>
        <v>0</v>
      </c>
      <c r="CJ41" s="46">
        <f>IF($A41="a",IFERROR(VLOOKUP($B41 &amp; $C41&amp;CJ$4,tblForecast,CJ$2,FALSE),0),CH41+CI41)</f>
        <v>0</v>
      </c>
      <c r="CK41" s="46">
        <f t="shared" si="221"/>
        <v>0</v>
      </c>
      <c r="CL41" s="46">
        <f t="shared" si="221"/>
        <v>0</v>
      </c>
      <c r="CM41" s="46">
        <f>IFERROR(VLOOKUP($B41-IF(CompareVer="LY",1,0) &amp; $C41 &amp;CM$4,tblForecast,CM$2,FALSE),0)</f>
        <v>0</v>
      </c>
      <c r="CN41" s="194">
        <f t="shared" si="31"/>
        <v>0</v>
      </c>
      <c r="CO41" s="178">
        <f t="shared" si="46"/>
        <v>0</v>
      </c>
      <c r="CP41" s="223">
        <f t="shared" si="46"/>
        <v>0</v>
      </c>
      <c r="CQ41" s="194">
        <f t="shared" si="33"/>
        <v>0</v>
      </c>
      <c r="CR41" s="178">
        <f t="shared" si="44"/>
        <v>0</v>
      </c>
      <c r="CS41" s="223">
        <f t="shared" si="34"/>
        <v>0</v>
      </c>
      <c r="CT41" s="194">
        <f t="shared" si="47"/>
        <v>0</v>
      </c>
      <c r="CU41" s="44"/>
      <c r="CW41" s="102">
        <f>IF(CW40+BV41+BL41-Q41&lt;0,0,CW40+BV41+BL41-Q41)</f>
        <v>311570</v>
      </c>
      <c r="CX41" s="48">
        <f>IFERROR(VLOOKUP($B41-IF(CompareVer="LY",1,0) &amp; $C41 &amp;CX$4,tblForecast,CX$2,FALSE),0)</f>
        <v>320658</v>
      </c>
      <c r="CY41" s="47">
        <f t="shared" si="36"/>
        <v>-2.8341722333451891E-2</v>
      </c>
      <c r="CZ41" s="278">
        <f>IFERROR(VLOOKUP(Brand&amp;Channel&amp;Country&amp;$C41,tblDiscount,6,FALSE),0)</f>
        <v>0.65</v>
      </c>
      <c r="DA41" s="279">
        <f>(1-CZ41)*DB41</f>
        <v>8.7569999999999997</v>
      </c>
      <c r="DB41" s="279">
        <f>IFERROR(VLOOKUP(Brand&amp;Country &amp; Channel &amp;FC,tblFCSettings,8,FALSE),0)</f>
        <v>25.02</v>
      </c>
      <c r="DC41" s="280">
        <f>IFERROR(VLOOKUP(Brand&amp;Country &amp; Channel &amp;FC,tblFCSettings,9,FALSE),0)</f>
        <v>4.16</v>
      </c>
    </row>
    <row r="42" spans="1:107" ht="16.5" thickBot="1" x14ac:dyDescent="0.3">
      <c r="B42" s="44">
        <v>2018</v>
      </c>
      <c r="C42" s="88">
        <v>26</v>
      </c>
      <c r="D42" s="51">
        <f t="shared" si="222"/>
        <v>11196463.492401</v>
      </c>
      <c r="E42" s="202">
        <f t="shared" si="223"/>
        <v>6315946.4327499997</v>
      </c>
      <c r="F42" s="182">
        <f t="shared" si="45"/>
        <v>0.56410190923559123</v>
      </c>
      <c r="G42" s="176">
        <f t="shared" si="208"/>
        <v>486319</v>
      </c>
      <c r="H42" s="203">
        <f t="shared" si="208"/>
        <v>23.022879</v>
      </c>
      <c r="I42" s="203">
        <f t="shared" si="208"/>
        <v>10.035629</v>
      </c>
      <c r="J42" s="176">
        <f>IFERROR(VLOOKUP($B42 &amp; $C42&amp;J$4&amp;$A42,tblForecast,J$2,FALSE),0)+IFERROR(VLOOKUP($B42 &amp; $C42 &amp; J$4 &amp; $A42,tblForecast,J$2+1,FALSE),0)</f>
        <v>1090790</v>
      </c>
      <c r="K42" s="300">
        <f>IFERROR(VLOOKUP($B42 &amp; $C42&amp;K$4&amp;$A42,tblForecast,K$2,FALSE),0)+IFERROR(VLOOKUP($B42 &amp; $C42&amp;K$4&amp;$A42,tblForecast,K$2+1,FALSE),0)</f>
        <v>333746</v>
      </c>
      <c r="L42" s="90">
        <f t="shared" si="209"/>
        <v>211584</v>
      </c>
      <c r="M42" s="90">
        <f t="shared" si="209"/>
        <v>211584</v>
      </c>
      <c r="N42" s="46">
        <f t="shared" si="209"/>
        <v>0</v>
      </c>
      <c r="O42" s="46">
        <f t="shared" si="209"/>
        <v>197466.82200000001</v>
      </c>
      <c r="P42" s="47">
        <f t="shared" si="39"/>
        <v>7.1491392108391727E-2</v>
      </c>
      <c r="Q42" s="242">
        <f t="shared" si="224"/>
        <v>26448</v>
      </c>
      <c r="R42" s="240">
        <f t="shared" si="210"/>
        <v>26448</v>
      </c>
      <c r="S42" s="240">
        <f t="shared" si="210"/>
        <v>0</v>
      </c>
      <c r="T42" s="240">
        <f>IFERROR(VLOOKUP($B42-IF(CompareVer="LY",1,0) &amp; $C42 &amp;T$4,tblForecast,T$2,FALSE),0)</f>
        <v>23730</v>
      </c>
      <c r="U42" s="91">
        <f t="shared" si="7"/>
        <v>0.11453855878634633</v>
      </c>
      <c r="V42" s="249">
        <f t="shared" si="225"/>
        <v>1.0499821350589542</v>
      </c>
      <c r="W42" s="334">
        <f t="shared" si="225"/>
        <v>1.0499821350589542</v>
      </c>
      <c r="X42" s="250">
        <f t="shared" si="226"/>
        <v>1.0414746543778801</v>
      </c>
      <c r="Y42" s="51">
        <f t="shared" si="211"/>
        <v>101560.31999999999</v>
      </c>
      <c r="Z42" s="46">
        <f t="shared" si="211"/>
        <v>101560.31999999999</v>
      </c>
      <c r="AA42" s="46">
        <f t="shared" si="211"/>
        <v>0</v>
      </c>
      <c r="AB42" s="46">
        <f t="shared" si="211"/>
        <v>109328.85600000003</v>
      </c>
      <c r="AC42" s="91">
        <f t="shared" si="9"/>
        <v>-7.1056592780958328E-2</v>
      </c>
      <c r="AD42" s="75">
        <f>IF(AM42&lt;&gt;0,1-AR42/AM42,0)</f>
        <v>0.48</v>
      </c>
      <c r="AE42" s="93">
        <f t="shared" si="212"/>
        <v>0.48</v>
      </c>
      <c r="AF42" s="93">
        <f t="shared" si="212"/>
        <v>0</v>
      </c>
      <c r="AG42" s="76">
        <f t="shared" si="212"/>
        <v>0.55365683658999698</v>
      </c>
      <c r="AH42" s="73">
        <f>IF(IFERROR(VLOOKUP($B42 &amp; $C42&amp;AH$4,tblForecast,AH$2,FALSE),0)=0,DB42,IFERROR(VLOOKUP($B42 &amp; $C42&amp;AH$4,tblForecast,AH$2,FALSE),0))</f>
        <v>25.02</v>
      </c>
      <c r="AI42" s="94">
        <f t="shared" si="175"/>
        <v>25.02</v>
      </c>
      <c r="AJ42" s="94">
        <f t="shared" si="175"/>
        <v>0</v>
      </c>
      <c r="AK42" s="49">
        <f>IFERROR(VLOOKUP($B42-IF(CompareVer="LY",1,0) &amp; $C42 &amp;AK$4,tblForecast,AK$2,FALSE),0)</f>
        <v>22.8047</v>
      </c>
      <c r="AL42" s="47">
        <f t="shared" si="141"/>
        <v>9.7142255763066343E-2</v>
      </c>
      <c r="AM42" s="73">
        <f>IF(IFERROR(VLOOKUP($B42 &amp; $C42&amp;AM$4,tblForecast,AM$2,FALSE),0)=0,DA42,IFERROR(VLOOKUP($B42 &amp; $C42&amp;AM$4,tblForecast,AM$2,FALSE),0))</f>
        <v>8</v>
      </c>
      <c r="AN42" s="94">
        <f t="shared" si="176"/>
        <v>8</v>
      </c>
      <c r="AO42" s="94">
        <f t="shared" si="176"/>
        <v>0</v>
      </c>
      <c r="AP42" s="49">
        <f>IFERROR(VLOOKUP($B42-IF(CompareVer="LY",1,0) &amp; $C42 &amp;AP$4,tblForecast,AP$2,FALSE),0)</f>
        <v>8.3214000000000006</v>
      </c>
      <c r="AQ42" s="47">
        <f t="shared" si="14"/>
        <v>-3.8623308577883542E-2</v>
      </c>
      <c r="AR42" s="73">
        <f>IF(IFERROR(VLOOKUP($B42 &amp; $C42&amp;AR$4,tblForecast,AR$2,FALSE),0)=0,DC42,IFERROR(VLOOKUP($B42 &amp; $C42&amp;AR$4,tblForecast,AR$2,FALSE),0))</f>
        <v>4.16</v>
      </c>
      <c r="AS42" s="94">
        <f t="shared" si="213"/>
        <v>4.16</v>
      </c>
      <c r="AT42" s="94">
        <f t="shared" si="213"/>
        <v>0</v>
      </c>
      <c r="AU42" s="49">
        <f>IFERROR(VLOOKUP($B42-IF(CompareVer="LY",1,0) &amp; $C42 &amp;AU$4,tblForecast,AU$2,FALSE),0)</f>
        <v>3.7141999999999999</v>
      </c>
      <c r="AV42" s="47">
        <f t="shared" si="16"/>
        <v>0.12002584675030969</v>
      </c>
      <c r="AW42" s="191">
        <f t="shared" si="128"/>
        <v>0.68025579536370895</v>
      </c>
      <c r="AX42" s="192">
        <f t="shared" si="128"/>
        <v>0.68025579536370895</v>
      </c>
      <c r="AY42" s="192">
        <f t="shared" si="128"/>
        <v>0</v>
      </c>
      <c r="AZ42" s="192">
        <f t="shared" si="128"/>
        <v>0.63510153608685926</v>
      </c>
      <c r="BA42" s="235">
        <f>IF(BA41+BV42+BL42+BR42-Q42&lt;0,0,BA41+BV42+BL42+BR42-Q42)</f>
        <v>319757</v>
      </c>
      <c r="BB42" s="231">
        <f>IF(IFERROR(VLOOKUP($B42 &amp; $C42&amp;BB$4,tblForecast,BB$2,FALSE),0)=0,BA42,IFERROR(VLOOKUP($B42 &amp; $C42&amp;BB$4,tblForecast,BB$2,FALSE),0))</f>
        <v>319757</v>
      </c>
      <c r="BC42" s="231">
        <f>IFERROR(VLOOKUP($B42-IF(CompareVer="LY",1,0) &amp; $C42 &amp;BC$4,tblForecast,BC$2,FALSE),0)</f>
        <v>0</v>
      </c>
      <c r="BD42" s="231">
        <f>CX42+BG42</f>
        <v>318502</v>
      </c>
      <c r="BE42" s="194">
        <f t="shared" si="19"/>
        <v>3.9403206259300827E-3</v>
      </c>
      <c r="BF42" s="231">
        <f>IFERROR(VLOOKUP($B42 &amp; $C42&amp;IF($A42="a",BG$4,BF$4),tblForecast,BF$2,FALSE),0)</f>
        <v>0</v>
      </c>
      <c r="BG42" s="228">
        <f>IFERROR(VLOOKUP($B42-IF(CompareVer="LY",1,0) &amp; $C42 &amp;BG$4,tblForecast,BG$2,FALSE),0)</f>
        <v>21638</v>
      </c>
      <c r="BH42" s="179">
        <f>IF(Q42&lt;&gt;0,BA42/Q42,0)</f>
        <v>12.090025710828796</v>
      </c>
      <c r="BI42" s="183">
        <f>IF(T42&lt;&gt;0,BD42/T42,0)</f>
        <v>13.421913190054783</v>
      </c>
      <c r="BJ42" s="195">
        <f t="shared" si="214"/>
        <v>8.2712810040124221E-2</v>
      </c>
      <c r="BK42" s="50">
        <f t="shared" si="215"/>
        <v>7.4505026656033563E-2</v>
      </c>
      <c r="BL42" s="234">
        <f>IFERROR(VLOOKUP($B42 &amp; $C42&amp;IF($A42="a",BM$4,BL$4),tblForecast,BL$2,FALSE),0)</f>
        <v>0</v>
      </c>
      <c r="BM42" s="228">
        <f>IFERROR(VLOOKUP($B42-IF(CompareVer="LY",1,0) &amp; $C42 &amp;BM$4,tblForecast,BM$2,FALSE),0)</f>
        <v>24</v>
      </c>
      <c r="BN42" s="234">
        <f>IFERROR(VLOOKUP($B42 &amp; $C42&amp;IF($A42="a",BO$4,BN$4),tblForecast,BN$2,FALSE),0)</f>
        <v>0</v>
      </c>
      <c r="BO42" s="228">
        <f>IFERROR(VLOOKUP($B42-IF(CompareVer="LY",1,0) &amp; $C42 &amp;BO$4,tblForecast,BO$2,FALSE),0)</f>
        <v>18</v>
      </c>
      <c r="BP42" s="234">
        <f>IFERROR(VLOOKUP($B42 &amp; $C42&amp;IF($A42="a",BQ$4,BP$4),tblForecast,BP$2,FALSE),0)</f>
        <v>0</v>
      </c>
      <c r="BQ42" s="228">
        <f>IFERROR(VLOOKUP($B42-IF(CompareVer="LY",1,0) &amp; $C42 &amp;BQ$4,tblForecast,BQ$2,FALSE),0)</f>
        <v>35</v>
      </c>
      <c r="BR42" s="227">
        <f t="shared" si="43"/>
        <v>0</v>
      </c>
      <c r="BS42" s="231">
        <f t="shared" si="22"/>
        <v>-17</v>
      </c>
      <c r="BT42" s="234">
        <f t="shared" si="216"/>
        <v>0</v>
      </c>
      <c r="BU42" s="231">
        <f t="shared" si="216"/>
        <v>0</v>
      </c>
      <c r="BV42" s="231">
        <f>IF($A42="a",IFERROR(VLOOKUP($B42 &amp; $C42&amp;BV$4,tblForecast,BV$2,FALSE),0),BT42+BU42)</f>
        <v>0</v>
      </c>
      <c r="BW42" s="231">
        <f t="shared" si="217"/>
        <v>0</v>
      </c>
      <c r="BX42" s="231">
        <f t="shared" si="217"/>
        <v>0</v>
      </c>
      <c r="BY42" s="193">
        <f>IFERROR(VLOOKUP($B42-IF(CompareVer="LY",1,0) &amp; $C42 &amp;BY$4,tblForecast,BY$2,FALSE),0)</f>
        <v>0</v>
      </c>
      <c r="BZ42" s="194">
        <f t="shared" si="25"/>
        <v>0</v>
      </c>
      <c r="CA42" s="337">
        <f t="shared" si="218"/>
        <v>0</v>
      </c>
      <c r="CB42" s="46">
        <f t="shared" si="218"/>
        <v>0</v>
      </c>
      <c r="CC42" s="46">
        <f>IF($A42="a",IFERROR(VLOOKUP($B42 &amp; $C42&amp;CC$4,tblForecast,CC$2,FALSE),0),CA42+CB42)</f>
        <v>0</v>
      </c>
      <c r="CD42" s="46">
        <f t="shared" si="219"/>
        <v>0</v>
      </c>
      <c r="CE42" s="46">
        <f t="shared" si="219"/>
        <v>0</v>
      </c>
      <c r="CF42" s="46">
        <f>IFERROR(VLOOKUP($B42-IF(CompareVer="LY",1,0) &amp; $C42 &amp;CF$4,tblForecast,CF$2,FALSE),0)</f>
        <v>0</v>
      </c>
      <c r="CG42" s="194">
        <f t="shared" si="28"/>
        <v>0</v>
      </c>
      <c r="CH42" s="337">
        <f t="shared" si="220"/>
        <v>0</v>
      </c>
      <c r="CI42" s="46">
        <f t="shared" si="220"/>
        <v>0</v>
      </c>
      <c r="CJ42" s="46">
        <f>IF($A42="a",IFERROR(VLOOKUP($B42 &amp; $C42&amp;CJ$4,tblForecast,CJ$2,FALSE),0),CH42+CI42)</f>
        <v>0</v>
      </c>
      <c r="CK42" s="46">
        <f t="shared" si="221"/>
        <v>0</v>
      </c>
      <c r="CL42" s="46">
        <f t="shared" si="221"/>
        <v>0</v>
      </c>
      <c r="CM42" s="46">
        <f>IFERROR(VLOOKUP($B42-IF(CompareVer="LY",1,0) &amp; $C42 &amp;CM$4,tblForecast,CM$2,FALSE),0)</f>
        <v>0</v>
      </c>
      <c r="CN42" s="194">
        <f t="shared" si="31"/>
        <v>0</v>
      </c>
      <c r="CO42" s="178">
        <f t="shared" si="46"/>
        <v>0</v>
      </c>
      <c r="CP42" s="223">
        <f t="shared" si="46"/>
        <v>0</v>
      </c>
      <c r="CQ42" s="194">
        <f t="shared" si="33"/>
        <v>0</v>
      </c>
      <c r="CR42" s="178">
        <f t="shared" si="44"/>
        <v>0</v>
      </c>
      <c r="CS42" s="223">
        <f t="shared" si="34"/>
        <v>0</v>
      </c>
      <c r="CT42" s="194">
        <f t="shared" si="47"/>
        <v>0</v>
      </c>
      <c r="CU42" s="44"/>
      <c r="CW42" s="102">
        <f>IF(CW41+BV42+BL42-Q42&lt;0,0,CW41+BV42+BL42-Q42)</f>
        <v>285122</v>
      </c>
      <c r="CX42" s="48">
        <f>IFERROR(VLOOKUP($B42-IF(CompareVer="LY",1,0) &amp; $C42 &amp;CX$4,tblForecast,CX$2,FALSE),0)</f>
        <v>296864</v>
      </c>
      <c r="CY42" s="47">
        <f t="shared" si="36"/>
        <v>-3.9553465559987067E-2</v>
      </c>
      <c r="CZ42" s="278">
        <f>IFERROR(VLOOKUP(Brand&amp;Channel&amp;Country&amp;$C42,tblDiscount,6,FALSE),0)</f>
        <v>0.7</v>
      </c>
      <c r="DA42" s="279">
        <f>(1-CZ42)*DB42</f>
        <v>7.5060000000000011</v>
      </c>
      <c r="DB42" s="279">
        <f>IFERROR(VLOOKUP(Brand&amp;Country &amp; Channel &amp;FC,tblFCSettings,8,FALSE),0)</f>
        <v>25.02</v>
      </c>
      <c r="DC42" s="280">
        <f>IFERROR(VLOOKUP(Brand&amp;Country &amp; Channel &amp;FC,tblFCSettings,9,FALSE),0)</f>
        <v>4.16</v>
      </c>
    </row>
    <row r="43" spans="1:107" ht="16.5" thickBot="1" x14ac:dyDescent="0.3">
      <c r="C43" s="253" t="s">
        <v>41</v>
      </c>
      <c r="D43" s="254">
        <f t="shared" ref="D43" si="227">SUM(D39:D42)</f>
        <v>41315576.178399995</v>
      </c>
      <c r="E43" s="255">
        <f t="shared" ref="E43" si="228">SUM(E39:E42)</f>
        <v>25410566.193090998</v>
      </c>
      <c r="F43" s="256">
        <f t="shared" si="45"/>
        <v>0.61503598747766652</v>
      </c>
      <c r="G43" s="257">
        <f>SUM(G39:G42)</f>
        <v>1790548</v>
      </c>
      <c r="H43" s="258">
        <f>IFERROR(D43/G43,0)</f>
        <v>23.074263397797765</v>
      </c>
      <c r="I43" s="258">
        <f>IFERROR(SUMPRODUCT(I39:I42,G39:G42)/G43,0)</f>
        <v>8.8827610236134404</v>
      </c>
      <c r="J43" s="257">
        <f>SUM(J39:J42)</f>
        <v>5620916</v>
      </c>
      <c r="K43" s="301">
        <f>SUM(K39:K42)</f>
        <v>2105312</v>
      </c>
      <c r="L43" s="259">
        <f>SUM(L39:L42)</f>
        <v>889026.6</v>
      </c>
      <c r="M43" s="259">
        <f t="shared" ref="M43:O43" si="229">SUM(M39:M42)</f>
        <v>889026.6</v>
      </c>
      <c r="N43" s="259">
        <f t="shared" si="229"/>
        <v>0</v>
      </c>
      <c r="O43" s="259">
        <f t="shared" si="229"/>
        <v>843656.56079999998</v>
      </c>
      <c r="P43" s="260">
        <f t="shared" si="39"/>
        <v>5.3777853818830934E-2</v>
      </c>
      <c r="Q43" s="261">
        <f>SUM(Q39:Q42)</f>
        <v>95496</v>
      </c>
      <c r="R43" s="262">
        <f t="shared" ref="R43:S43" si="230">SUM(R39:R42)</f>
        <v>95496</v>
      </c>
      <c r="S43" s="262">
        <f t="shared" si="230"/>
        <v>0</v>
      </c>
      <c r="T43" s="262">
        <f>SUM(T39:T42)</f>
        <v>93201</v>
      </c>
      <c r="U43" s="260">
        <f t="shared" si="7"/>
        <v>2.4624199311166217E-2</v>
      </c>
      <c r="V43" s="263">
        <f t="shared" ref="V43:X44" si="231">V42</f>
        <v>1.0499821350589542</v>
      </c>
      <c r="W43" s="332">
        <f t="shared" si="231"/>
        <v>1.0499821350589542</v>
      </c>
      <c r="X43" s="264">
        <f t="shared" si="231"/>
        <v>1.0414746543778801</v>
      </c>
      <c r="Y43" s="254">
        <f>SUM(Y39:Y42)</f>
        <v>491763.24</v>
      </c>
      <c r="Z43" s="259">
        <f t="shared" ref="Z43:AB43" si="232">SUM(Z39:Z42)</f>
        <v>491763.24</v>
      </c>
      <c r="AA43" s="259">
        <f t="shared" si="232"/>
        <v>0</v>
      </c>
      <c r="AB43" s="259">
        <f t="shared" si="232"/>
        <v>502620.25230000005</v>
      </c>
      <c r="AC43" s="260">
        <f t="shared" si="9"/>
        <v>-2.1600825375257315E-2</v>
      </c>
      <c r="AD43" s="265">
        <f t="shared" ref="AD43:AG44" si="233">IFERROR(Y43/L43,0)</f>
        <v>0.55314794855407023</v>
      </c>
      <c r="AE43" s="266">
        <f t="shared" si="233"/>
        <v>0.55314794855407023</v>
      </c>
      <c r="AF43" s="266">
        <f t="shared" si="233"/>
        <v>0</v>
      </c>
      <c r="AG43" s="266">
        <f t="shared" si="233"/>
        <v>0.59576405335292937</v>
      </c>
      <c r="AH43" s="267">
        <f>IFERROR(SUMPRODUCT(AH39:AH42,Q39:Q42)/Q43,0)</f>
        <v>25.02</v>
      </c>
      <c r="AI43" s="268">
        <f>IFERROR(SUMPRODUCT(AI39:AI42,R39:R42)/R43,0)</f>
        <v>25.02</v>
      </c>
      <c r="AJ43" s="268">
        <f t="shared" ref="AJ43:AK43" si="234">IFERROR(SUMPRODUCT(AJ39:AJ42,S39:S42)/S43,0)</f>
        <v>0</v>
      </c>
      <c r="AK43" s="268">
        <f t="shared" si="234"/>
        <v>22.373775443396529</v>
      </c>
      <c r="AL43" s="260">
        <f t="shared" si="141"/>
        <v>0.11827349225427608</v>
      </c>
      <c r="AM43" s="267">
        <f t="shared" ref="AM43:AP44" si="235">IF(Q43&lt;&gt;0,L43/Q43,0)</f>
        <v>9.3095689871827094</v>
      </c>
      <c r="AN43" s="268">
        <f t="shared" si="235"/>
        <v>9.3095689871827094</v>
      </c>
      <c r="AO43" s="268">
        <f t="shared" si="235"/>
        <v>0</v>
      </c>
      <c r="AP43" s="268">
        <f t="shared" si="235"/>
        <v>9.0520118968680592</v>
      </c>
      <c r="AQ43" s="260">
        <f t="shared" si="14"/>
        <v>2.8453021631993591E-2</v>
      </c>
      <c r="AR43" s="267">
        <f t="shared" ref="AR43:AU44" si="236">IFERROR((L43*(1-AD43))/Q43,0)</f>
        <v>4.16</v>
      </c>
      <c r="AS43" s="268">
        <f t="shared" si="236"/>
        <v>4.16</v>
      </c>
      <c r="AT43" s="268">
        <f t="shared" si="236"/>
        <v>0</v>
      </c>
      <c r="AU43" s="268">
        <f t="shared" si="236"/>
        <v>3.6591485981910052</v>
      </c>
      <c r="AV43" s="260">
        <f t="shared" si="16"/>
        <v>0.13687648598272384</v>
      </c>
      <c r="AW43" s="269">
        <f t="shared" ref="AW43:AZ48" si="237">IFERROR((AM43/AH43-1)*-1,0)</f>
        <v>0.62791490858582288</v>
      </c>
      <c r="AX43" s="270">
        <f t="shared" si="237"/>
        <v>0.62791490858582288</v>
      </c>
      <c r="AY43" s="270">
        <f t="shared" si="237"/>
        <v>0</v>
      </c>
      <c r="AZ43" s="270">
        <f t="shared" si="237"/>
        <v>0.5954186668330177</v>
      </c>
      <c r="BA43" s="261">
        <f>BA42</f>
        <v>319757</v>
      </c>
      <c r="BB43" s="262">
        <f t="shared" ref="BB43:BD44" si="238">BB42</f>
        <v>319757</v>
      </c>
      <c r="BC43" s="262">
        <f t="shared" si="238"/>
        <v>0</v>
      </c>
      <c r="BD43" s="262">
        <f t="shared" si="238"/>
        <v>318502</v>
      </c>
      <c r="BE43" s="260">
        <f t="shared" si="19"/>
        <v>3.9403206259300827E-3</v>
      </c>
      <c r="BF43" s="262">
        <f t="shared" ref="BF43:BG44" si="239">BF42</f>
        <v>0</v>
      </c>
      <c r="BG43" s="262">
        <f t="shared" si="239"/>
        <v>21638</v>
      </c>
      <c r="BH43" s="271">
        <f>IF(Q43&lt;&gt;0,(BA43*COUNTIF(BH39:BH42,"&lt;&gt;0")/Q43),0)</f>
        <v>13.393524336097848</v>
      </c>
      <c r="BI43" s="272">
        <f>IF(T43&lt;&gt;0,(BD43*COUNTIF(BI39:BI42,"&lt;&gt;0")/T43),0)</f>
        <v>13.669467065804016</v>
      </c>
      <c r="BJ43" s="273">
        <f t="shared" ref="BJ43" si="240">IF(BA43&lt;&gt;0,(Q43/COUNTIF(BJ39:BJ42,"&lt;&gt;0"))/BA43,0)</f>
        <v>7.4662947175511404E-2</v>
      </c>
      <c r="BK43" s="274">
        <f t="shared" ref="BK43" si="241">IF(BD43&lt;&gt;0,(T43/COUNTIF(BK39:BK42,"&lt;&gt;0"))/BD43,0)</f>
        <v>7.3155741565202104E-2</v>
      </c>
      <c r="BL43" s="261">
        <f>SUM(BL39:BL42)</f>
        <v>0</v>
      </c>
      <c r="BM43" s="262">
        <f>SUM(BM39:BM42)</f>
        <v>-5066</v>
      </c>
      <c r="BN43" s="261">
        <f>SUM(BN39:BN42)</f>
        <v>0</v>
      </c>
      <c r="BO43" s="262">
        <f t="shared" ref="BO43:BQ43" si="242">SUM(BO39:BO42)</f>
        <v>123</v>
      </c>
      <c r="BP43" s="261">
        <f>SUM(BP39:BP42)</f>
        <v>125000</v>
      </c>
      <c r="BQ43" s="262">
        <f t="shared" si="242"/>
        <v>1249</v>
      </c>
      <c r="BR43" s="261">
        <f t="shared" si="43"/>
        <v>-125000</v>
      </c>
      <c r="BS43" s="262">
        <f t="shared" si="22"/>
        <v>-1126</v>
      </c>
      <c r="BT43" s="261">
        <f t="shared" ref="BT43:BY43" si="243">SUM(BT39:BT42)</f>
        <v>0</v>
      </c>
      <c r="BU43" s="262">
        <f t="shared" si="243"/>
        <v>28727</v>
      </c>
      <c r="BV43" s="262">
        <f t="shared" si="243"/>
        <v>28727</v>
      </c>
      <c r="BW43" s="262">
        <f t="shared" si="243"/>
        <v>0</v>
      </c>
      <c r="BX43" s="262">
        <f t="shared" si="243"/>
        <v>0</v>
      </c>
      <c r="BY43" s="275">
        <f t="shared" si="243"/>
        <v>0</v>
      </c>
      <c r="BZ43" s="260">
        <f t="shared" si="25"/>
        <v>0</v>
      </c>
      <c r="CA43" s="338">
        <f t="shared" ref="CA43:CF43" si="244">SUM(CA39:CA42)</f>
        <v>0</v>
      </c>
      <c r="CB43" s="259">
        <f t="shared" si="244"/>
        <v>0</v>
      </c>
      <c r="CC43" s="259">
        <f t="shared" si="244"/>
        <v>0</v>
      </c>
      <c r="CD43" s="259">
        <f t="shared" si="244"/>
        <v>0</v>
      </c>
      <c r="CE43" s="259">
        <f t="shared" si="244"/>
        <v>0</v>
      </c>
      <c r="CF43" s="259">
        <f t="shared" si="244"/>
        <v>0</v>
      </c>
      <c r="CG43" s="260">
        <f t="shared" si="28"/>
        <v>0</v>
      </c>
      <c r="CH43" s="338">
        <f t="shared" ref="CH43:CM43" si="245">SUM(CH39:CH42)</f>
        <v>0</v>
      </c>
      <c r="CI43" s="259">
        <f t="shared" si="245"/>
        <v>77545.66</v>
      </c>
      <c r="CJ43" s="259">
        <f t="shared" si="245"/>
        <v>77545.66</v>
      </c>
      <c r="CK43" s="259">
        <f t="shared" si="245"/>
        <v>0</v>
      </c>
      <c r="CL43" s="259">
        <f t="shared" si="245"/>
        <v>0</v>
      </c>
      <c r="CM43" s="259">
        <f t="shared" si="245"/>
        <v>0</v>
      </c>
      <c r="CN43" s="260">
        <f t="shared" si="31"/>
        <v>0</v>
      </c>
      <c r="CO43" s="276">
        <f t="shared" si="46"/>
        <v>0</v>
      </c>
      <c r="CP43" s="277">
        <f t="shared" si="46"/>
        <v>0</v>
      </c>
      <c r="CQ43" s="260">
        <f t="shared" si="33"/>
        <v>0</v>
      </c>
      <c r="CR43" s="276">
        <f t="shared" si="44"/>
        <v>0</v>
      </c>
      <c r="CS43" s="277">
        <f t="shared" si="34"/>
        <v>0</v>
      </c>
      <c r="CT43" s="260">
        <f t="shared" si="47"/>
        <v>0</v>
      </c>
      <c r="CU43" s="44"/>
      <c r="CW43" s="100">
        <f>CW42</f>
        <v>285122</v>
      </c>
      <c r="CX43" s="101">
        <f>CX42</f>
        <v>296864</v>
      </c>
      <c r="CY43" s="99">
        <f t="shared" si="36"/>
        <v>-3.9553465559987067E-2</v>
      </c>
      <c r="CZ43" s="278"/>
      <c r="DA43" s="279"/>
      <c r="DB43" s="279"/>
      <c r="DC43" s="280"/>
    </row>
    <row r="44" spans="1:107" ht="16.5" thickBot="1" x14ac:dyDescent="0.3">
      <c r="C44" s="105" t="s">
        <v>311</v>
      </c>
      <c r="D44" s="52">
        <f t="shared" ref="D44:E44" si="246">D32+D38+D43</f>
        <v>182659496.72509986</v>
      </c>
      <c r="E44" s="205">
        <f t="shared" si="246"/>
        <v>138997861.2922909</v>
      </c>
      <c r="F44" s="206">
        <f t="shared" si="45"/>
        <v>0.76096706595814634</v>
      </c>
      <c r="G44" s="204">
        <f>G32+G38+G43</f>
        <v>5232720</v>
      </c>
      <c r="H44" s="207">
        <f>IFERROR(D44/G44,0)</f>
        <v>34.907179578708558</v>
      </c>
      <c r="I44" s="58">
        <f>IFERROR((I32*G32+I38*G38+I43*G43)/G44,0)</f>
        <v>8.3439655538245852</v>
      </c>
      <c r="J44" s="204">
        <f t="shared" ref="J44:K44" si="247">J32+J38+J43</f>
        <v>75885446</v>
      </c>
      <c r="K44" s="302">
        <f t="shared" si="247"/>
        <v>6614229</v>
      </c>
      <c r="L44" s="53">
        <f>L32+L38+L43</f>
        <v>4005317.9040999939</v>
      </c>
      <c r="M44" s="53">
        <f t="shared" ref="M44:O44" si="248">M32+M38+M43</f>
        <v>3558050.19</v>
      </c>
      <c r="N44" s="53">
        <f t="shared" si="248"/>
        <v>0</v>
      </c>
      <c r="O44" s="53">
        <f t="shared" si="248"/>
        <v>3787701.4748</v>
      </c>
      <c r="P44" s="54">
        <f t="shared" si="39"/>
        <v>5.7453426767611004E-2</v>
      </c>
      <c r="Q44" s="229">
        <f>Q32+Q38+Q43</f>
        <v>337542</v>
      </c>
      <c r="R44" s="230">
        <f t="shared" ref="R44:S44" si="249">R32+R38+R43</f>
        <v>313312</v>
      </c>
      <c r="S44" s="230">
        <f t="shared" si="249"/>
        <v>0</v>
      </c>
      <c r="T44" s="230">
        <f>T32+T38+T43</f>
        <v>376363</v>
      </c>
      <c r="U44" s="54">
        <f t="shared" si="7"/>
        <v>-0.10314775894548611</v>
      </c>
      <c r="V44" s="247">
        <f t="shared" si="231"/>
        <v>1.0499821350589542</v>
      </c>
      <c r="W44" s="333">
        <f t="shared" si="231"/>
        <v>1.0499821350589542</v>
      </c>
      <c r="X44" s="248">
        <f t="shared" si="231"/>
        <v>1.0414746543778801</v>
      </c>
      <c r="Y44" s="52">
        <f>Y32+Y38+Y43</f>
        <v>2619216.7548999935</v>
      </c>
      <c r="Z44" s="53">
        <f t="shared" ref="Z44:AB44" si="250">Z32+Z38+Z43</f>
        <v>2254264.8499999996</v>
      </c>
      <c r="AA44" s="53">
        <f t="shared" si="250"/>
        <v>0</v>
      </c>
      <c r="AB44" s="53">
        <f t="shared" si="250"/>
        <v>2341894.1947999997</v>
      </c>
      <c r="AC44" s="54">
        <f t="shared" si="9"/>
        <v>0.11841805693688801</v>
      </c>
      <c r="AD44" s="77">
        <f t="shared" si="233"/>
        <v>0.65393479808902677</v>
      </c>
      <c r="AE44" s="78">
        <f t="shared" si="233"/>
        <v>0.63356746802944897</v>
      </c>
      <c r="AF44" s="78">
        <f t="shared" si="233"/>
        <v>0</v>
      </c>
      <c r="AG44" s="78">
        <f t="shared" si="233"/>
        <v>0.6182890099393743</v>
      </c>
      <c r="AH44" s="58">
        <f t="shared" ref="AH44:AL44" si="251">IFERROR((AH32*Q32+AH38*Q38+AH43*Q43)/Q44,0)</f>
        <v>24.619256999721497</v>
      </c>
      <c r="AI44" s="58">
        <f t="shared" si="251"/>
        <v>24.957937870237973</v>
      </c>
      <c r="AJ44" s="58">
        <f t="shared" si="251"/>
        <v>0</v>
      </c>
      <c r="AK44" s="58">
        <f t="shared" si="251"/>
        <v>23.364514117487641</v>
      </c>
      <c r="AL44" s="54">
        <f t="shared" si="251"/>
        <v>3.0326021136962811E-2</v>
      </c>
      <c r="AM44" s="57">
        <f t="shared" si="235"/>
        <v>11.866131930544922</v>
      </c>
      <c r="AN44" s="58">
        <f t="shared" si="235"/>
        <v>11.356252521448269</v>
      </c>
      <c r="AO44" s="58">
        <f t="shared" si="235"/>
        <v>0</v>
      </c>
      <c r="AP44" s="58">
        <f t="shared" si="235"/>
        <v>10.063958132972688</v>
      </c>
      <c r="AQ44" s="54">
        <f t="shared" si="14"/>
        <v>0.17907206824199173</v>
      </c>
      <c r="AR44" s="57">
        <f t="shared" si="236"/>
        <v>4.1064553424462753</v>
      </c>
      <c r="AS44" s="58">
        <f t="shared" si="236"/>
        <v>4.1613003651312432</v>
      </c>
      <c r="AT44" s="58">
        <f t="shared" si="236"/>
        <v>0</v>
      </c>
      <c r="AU44" s="58">
        <f t="shared" si="236"/>
        <v>3.8415234228656909</v>
      </c>
      <c r="AV44" s="54">
        <f t="shared" si="16"/>
        <v>6.8965327141738753E-2</v>
      </c>
      <c r="AW44" s="59">
        <f t="shared" si="237"/>
        <v>0.51801421421129179</v>
      </c>
      <c r="AX44" s="60">
        <f t="shared" si="237"/>
        <v>0.54498434203610802</v>
      </c>
      <c r="AY44" s="60">
        <f t="shared" si="237"/>
        <v>0</v>
      </c>
      <c r="AZ44" s="60">
        <f t="shared" si="237"/>
        <v>0.56926311061439461</v>
      </c>
      <c r="BA44" s="236">
        <f>BA43</f>
        <v>319757</v>
      </c>
      <c r="BB44" s="230">
        <f t="shared" si="238"/>
        <v>319757</v>
      </c>
      <c r="BC44" s="230">
        <f t="shared" si="238"/>
        <v>0</v>
      </c>
      <c r="BD44" s="230">
        <f t="shared" si="238"/>
        <v>318502</v>
      </c>
      <c r="BE44" s="54">
        <f t="shared" si="19"/>
        <v>3.9403206259300827E-3</v>
      </c>
      <c r="BF44" s="230">
        <f t="shared" si="239"/>
        <v>0</v>
      </c>
      <c r="BG44" s="230">
        <f t="shared" si="239"/>
        <v>21638</v>
      </c>
      <c r="BH44" s="62">
        <f>IF(Q42&lt;&gt;0,(BA44/(Q44/13)),0)</f>
        <v>12.315033388437588</v>
      </c>
      <c r="BI44" s="133">
        <f>IF(T42&lt;&gt;0,(BD44/(T44/13)),0)</f>
        <v>11.001416185969397</v>
      </c>
      <c r="BJ44" s="190">
        <f t="shared" ref="BJ44" si="252">IF(BA44&lt;&gt;0,(Q44/13)/BA44,0)</f>
        <v>8.1201566285551932E-2</v>
      </c>
      <c r="BK44" s="61">
        <f t="shared" ref="BK44" si="253">IF(BD44&lt;&gt;0,(T44/13)/BD44,0)</f>
        <v>9.0897388399444903E-2</v>
      </c>
      <c r="BL44" s="229">
        <f t="shared" ref="BL44:BQ44" si="254">BL32+BL38+BL43</f>
        <v>1808</v>
      </c>
      <c r="BM44" s="230">
        <f t="shared" si="254"/>
        <v>-5246</v>
      </c>
      <c r="BN44" s="229">
        <f t="shared" si="254"/>
        <v>526980</v>
      </c>
      <c r="BO44" s="230">
        <f t="shared" si="254"/>
        <v>677308</v>
      </c>
      <c r="BP44" s="229">
        <f t="shared" si="254"/>
        <v>769965</v>
      </c>
      <c r="BQ44" s="230">
        <f t="shared" si="254"/>
        <v>1089488</v>
      </c>
      <c r="BR44" s="229">
        <f t="shared" si="43"/>
        <v>-242985</v>
      </c>
      <c r="BS44" s="230">
        <f t="shared" si="22"/>
        <v>-412180</v>
      </c>
      <c r="BT44" s="229">
        <f t="shared" ref="BT44:BY44" si="255">BT32+BT38+BT43</f>
        <v>262311</v>
      </c>
      <c r="BU44" s="230">
        <f t="shared" si="255"/>
        <v>23363</v>
      </c>
      <c r="BV44" s="230">
        <f t="shared" si="255"/>
        <v>402879</v>
      </c>
      <c r="BW44" s="230">
        <f t="shared" si="255"/>
        <v>0</v>
      </c>
      <c r="BX44" s="230">
        <f t="shared" si="255"/>
        <v>0</v>
      </c>
      <c r="BY44" s="56">
        <f t="shared" si="255"/>
        <v>0</v>
      </c>
      <c r="BZ44" s="54">
        <f t="shared" si="25"/>
        <v>0</v>
      </c>
      <c r="CA44" s="339">
        <f t="shared" ref="CA44:CF44" si="256">CA32+CA38+CA43</f>
        <v>0</v>
      </c>
      <c r="CB44" s="53">
        <f t="shared" si="256"/>
        <v>0</v>
      </c>
      <c r="CC44" s="53">
        <f t="shared" si="256"/>
        <v>9513351.4499999993</v>
      </c>
      <c r="CD44" s="53">
        <f t="shared" si="256"/>
        <v>0</v>
      </c>
      <c r="CE44" s="53">
        <f t="shared" si="256"/>
        <v>0</v>
      </c>
      <c r="CF44" s="53">
        <f t="shared" si="256"/>
        <v>0</v>
      </c>
      <c r="CG44" s="54">
        <f t="shared" si="28"/>
        <v>0</v>
      </c>
      <c r="CH44" s="339">
        <f t="shared" ref="CH44:CM44" si="257">CH32+CH38+CH43</f>
        <v>0</v>
      </c>
      <c r="CI44" s="53">
        <f t="shared" si="257"/>
        <v>50845.130000000107</v>
      </c>
      <c r="CJ44" s="53">
        <f t="shared" si="257"/>
        <v>1666569.9712999999</v>
      </c>
      <c r="CK44" s="53">
        <f t="shared" si="257"/>
        <v>0</v>
      </c>
      <c r="CL44" s="53">
        <f t="shared" si="257"/>
        <v>0</v>
      </c>
      <c r="CM44" s="53">
        <f t="shared" si="257"/>
        <v>0</v>
      </c>
      <c r="CN44" s="54">
        <f t="shared" si="31"/>
        <v>0</v>
      </c>
      <c r="CO44" s="55">
        <f t="shared" si="46"/>
        <v>0</v>
      </c>
      <c r="CP44" s="224">
        <f t="shared" si="46"/>
        <v>0</v>
      </c>
      <c r="CQ44" s="54">
        <f t="shared" si="33"/>
        <v>0</v>
      </c>
      <c r="CR44" s="55">
        <f t="shared" si="44"/>
        <v>0</v>
      </c>
      <c r="CS44" s="224">
        <f t="shared" si="34"/>
        <v>0</v>
      </c>
      <c r="CT44" s="54">
        <f t="shared" si="47"/>
        <v>0</v>
      </c>
      <c r="CU44" s="44"/>
      <c r="CW44" s="55">
        <f>CW43</f>
        <v>285122</v>
      </c>
      <c r="CX44" s="56">
        <f>CX43</f>
        <v>296864</v>
      </c>
      <c r="CY44" s="54">
        <f t="shared" si="36"/>
        <v>-3.9553465559987067E-2</v>
      </c>
      <c r="CZ44" s="278"/>
      <c r="DA44" s="279"/>
      <c r="DB44" s="279"/>
      <c r="DC44" s="280"/>
    </row>
    <row r="45" spans="1:107" x14ac:dyDescent="0.25">
      <c r="B45" s="44">
        <v>2018</v>
      </c>
      <c r="C45" s="88">
        <v>27</v>
      </c>
      <c r="D45" s="51">
        <f>G45*H45</f>
        <v>1328964.30128</v>
      </c>
      <c r="E45" s="202">
        <f>IFERROR(D45*F45,0)</f>
        <v>-2329036.6627940005</v>
      </c>
      <c r="F45" s="182">
        <f t="shared" si="45"/>
        <v>-1.752520109494871</v>
      </c>
      <c r="G45" s="176">
        <f t="shared" ref="G45:I48" si="258">IFERROR(VLOOKUP($B45 &amp; $C45&amp;G$4&amp;$A45,tblForecast,G$2,FALSE),0)</f>
        <v>147163</v>
      </c>
      <c r="H45" s="203">
        <f t="shared" si="258"/>
        <v>9.0305599999999995</v>
      </c>
      <c r="I45" s="203">
        <f t="shared" si="258"/>
        <v>24.856798000000001</v>
      </c>
      <c r="J45" s="176">
        <f>IFERROR(VLOOKUP($B45 &amp; $C45&amp;J$4&amp;$A45,tblForecast,J$2,FALSE),0)+IFERROR(VLOOKUP($B45 &amp; $C45 &amp; J$4 &amp; $A45,tblForecast,J$2+1,FALSE),0)</f>
        <v>1332492</v>
      </c>
      <c r="K45" s="300">
        <f>IFERROR(VLOOKUP($B45 &amp; $C45&amp;K$4&amp;$A45,tblForecast,K$2,FALSE),0)+IFERROR(VLOOKUP($B45 &amp; $C45&amp;K$4&amp;$A45,tblForecast,K$2+1,FALSE),0)</f>
        <v>1211069</v>
      </c>
      <c r="L45" s="90">
        <f t="shared" ref="L45:O48" si="259">Q45*AM45</f>
        <v>198624.47999999998</v>
      </c>
      <c r="M45" s="90">
        <f t="shared" si="259"/>
        <v>198624.47999999998</v>
      </c>
      <c r="N45" s="46">
        <f t="shared" si="259"/>
        <v>0</v>
      </c>
      <c r="O45" s="46">
        <f t="shared" si="259"/>
        <v>185006.766</v>
      </c>
      <c r="P45" s="47">
        <f t="shared" si="39"/>
        <v>7.3606572853665231E-2</v>
      </c>
      <c r="Q45" s="242">
        <f>ROUND(IF(BA42-(Q42*IF(W45=0,X45,W45))&lt;0,BA42,Q42*IF(W45=0,X45,W45)),0)</f>
        <v>26448</v>
      </c>
      <c r="R45" s="240">
        <f t="shared" ref="R45:S48" si="260">IFERROR(VLOOKUP($B45 &amp; $C45&amp;R$4,tblForecast,R$2,FALSE),0)</f>
        <v>26448</v>
      </c>
      <c r="S45" s="240">
        <f t="shared" si="260"/>
        <v>0</v>
      </c>
      <c r="T45" s="240">
        <f>IFERROR(VLOOKUP($B45-IF(CompareVer="LY",1,0) &amp; $C45 &amp;T$4,tblForecast,T$2,FALSE),0)</f>
        <v>29470</v>
      </c>
      <c r="U45" s="91">
        <f t="shared" si="7"/>
        <v>-0.10254496097726506</v>
      </c>
      <c r="V45" s="249">
        <f>IFERROR(IF(Q42&lt;&gt;0,Q45/Q42,0),0)</f>
        <v>1</v>
      </c>
      <c r="W45" s="334">
        <f>IFERROR(IF(R42&lt;&gt;0,R45/R42,0),0)</f>
        <v>1</v>
      </c>
      <c r="X45" s="250">
        <f>IFERROR(IF(T42&lt;&gt;0,T45/T42,0),0)</f>
        <v>1.2418879056047198</v>
      </c>
      <c r="Y45" s="51">
        <f t="shared" ref="Y45:AB48" si="261">IFERROR(L45*AD45,0)</f>
        <v>88600.799999999974</v>
      </c>
      <c r="Z45" s="46">
        <f t="shared" si="261"/>
        <v>88600.799999999974</v>
      </c>
      <c r="AA45" s="46">
        <f t="shared" si="261"/>
        <v>0</v>
      </c>
      <c r="AB45" s="46">
        <f t="shared" si="261"/>
        <v>74187.778000000006</v>
      </c>
      <c r="AC45" s="91">
        <f t="shared" si="9"/>
        <v>0.19427758033135811</v>
      </c>
      <c r="AD45" s="75">
        <f>IF(AM45&lt;&gt;0,1-AR45/AM45,0)</f>
        <v>0.44607190412782949</v>
      </c>
      <c r="AE45" s="93">
        <f t="shared" ref="AE45:AG48" si="262">IF(AN45&lt;&gt;0,1-AS45/AN45,0)</f>
        <v>0.44607190412782949</v>
      </c>
      <c r="AF45" s="93">
        <f t="shared" si="262"/>
        <v>0</v>
      </c>
      <c r="AG45" s="76">
        <f t="shared" si="262"/>
        <v>0.40100035044123739</v>
      </c>
      <c r="AH45" s="73">
        <f>IF(IFERROR(VLOOKUP($B45 &amp; $C45&amp;AH$4,tblForecast,AH$2,FALSE),0)=0,DB45,IFERROR(VLOOKUP($B45 &amp; $C45&amp;AH$4,tblForecast,AH$2,FALSE),0))</f>
        <v>25.02</v>
      </c>
      <c r="AI45" s="94">
        <f t="shared" ref="AI45:AJ48" si="263">IFERROR(VLOOKUP($B45 &amp; $C45&amp;AI$4,tblForecast,AI$2,FALSE),0)</f>
        <v>25.02</v>
      </c>
      <c r="AJ45" s="94">
        <f t="shared" si="263"/>
        <v>0</v>
      </c>
      <c r="AK45" s="49">
        <f>IFERROR(VLOOKUP($B45-IF(CompareVer="LY",1,0) &amp; $C45 &amp;AK$4,tblForecast,AK$2,FALSE),0)</f>
        <v>23.263300000000001</v>
      </c>
      <c r="AL45" s="47">
        <f t="shared" ref="AL45:AL60" si="264">IFERROR(AH45/AK45-1,)</f>
        <v>7.5513792110319722E-2</v>
      </c>
      <c r="AM45" s="73">
        <f>IF(IFERROR(VLOOKUP($B45 &amp; $C45&amp;AM$4,tblForecast,AM$2,FALSE),0)=0,DA45,IFERROR(VLOOKUP($B45 &amp; $C45&amp;AM$4,tblForecast,AM$2,FALSE),0))</f>
        <v>7.51</v>
      </c>
      <c r="AN45" s="94">
        <f t="shared" ref="AN45:AO48" si="265">IFERROR(VLOOKUP($B45 &amp; $C45&amp;AN$4,tblForecast,AN$2,FALSE),0)</f>
        <v>7.51</v>
      </c>
      <c r="AO45" s="94">
        <f t="shared" si="265"/>
        <v>0</v>
      </c>
      <c r="AP45" s="49">
        <f>IFERROR(VLOOKUP($B45-IF(CompareVer="LY",1,0) &amp; $C45 &amp;AP$4,tblForecast,AP$2,FALSE),0)</f>
        <v>6.2778</v>
      </c>
      <c r="AQ45" s="47">
        <f t="shared" si="14"/>
        <v>0.19627895122495143</v>
      </c>
      <c r="AR45" s="73">
        <f>IF(IFERROR(VLOOKUP($B45 &amp; $C45&amp;AR$4,tblForecast,AR$2,FALSE),0)=0,DC45,IFERROR(VLOOKUP($B45 &amp; $C45&amp;AR$4,tblForecast,AR$2,FALSE),0))</f>
        <v>4.16</v>
      </c>
      <c r="AS45" s="94">
        <f t="shared" ref="AS45:AT48" si="266">IFERROR(VLOOKUP($B45 &amp; $C45&amp;AS$4,tblForecast,AS$2,FALSE),0)</f>
        <v>4.16</v>
      </c>
      <c r="AT45" s="94">
        <f t="shared" si="266"/>
        <v>0</v>
      </c>
      <c r="AU45" s="49">
        <f>IFERROR(VLOOKUP($B45-IF(CompareVer="LY",1,0) &amp; $C45 &amp;AU$4,tblForecast,AU$2,FALSE),0)</f>
        <v>3.7604000000000002</v>
      </c>
      <c r="AV45" s="47">
        <f t="shared" si="16"/>
        <v>0.10626529092649717</v>
      </c>
      <c r="AW45" s="191">
        <f t="shared" si="237"/>
        <v>0.6998401278976818</v>
      </c>
      <c r="AX45" s="192">
        <f t="shared" si="237"/>
        <v>0.6998401278976818</v>
      </c>
      <c r="AY45" s="192">
        <f t="shared" si="237"/>
        <v>0</v>
      </c>
      <c r="AZ45" s="192">
        <f t="shared" si="237"/>
        <v>0.73014146746162412</v>
      </c>
      <c r="BA45" s="235">
        <f>IF(BA44+BV45+BL45+BR45-Q45&lt;0,0,BA44+BV45+BL45+BR45-Q45)</f>
        <v>293309</v>
      </c>
      <c r="BB45" s="231">
        <f>IF(IFERROR(VLOOKUP($B45 &amp; $C45&amp;BB$4,tblForecast,BB$2,FALSE),0)=0,BA45,IFERROR(VLOOKUP($B45 &amp; $C45&amp;BB$4,tblForecast,BB$2,FALSE),0))</f>
        <v>293309</v>
      </c>
      <c r="BC45" s="231">
        <f>IFERROR(VLOOKUP($B45-IF(CompareVer="LY",1,0) &amp; $C45 &amp;BC$4,tblForecast,BC$2,FALSE),0)</f>
        <v>0</v>
      </c>
      <c r="BD45" s="231">
        <f t="shared" ref="BD45:BD48" si="267">CX45+BG45</f>
        <v>288510</v>
      </c>
      <c r="BE45" s="194">
        <f t="shared" si="19"/>
        <v>1.6633738865204029E-2</v>
      </c>
      <c r="BF45" s="231">
        <f>IFERROR(VLOOKUP($B45 &amp; $C45&amp;IF($A45="a",BG$4,BF$4),tblForecast,BF$2,FALSE),0)</f>
        <v>0</v>
      </c>
      <c r="BG45" s="228">
        <f>IFERROR(VLOOKUP($B45-IF(CompareVer="LY",1,0) &amp; $C45 &amp;BG$4,tblForecast,BG$2,FALSE),0)</f>
        <v>21603</v>
      </c>
      <c r="BH45" s="179">
        <f>IF(Q45&lt;&gt;0,BA45/Q45,0)</f>
        <v>11.090025710828796</v>
      </c>
      <c r="BI45" s="183">
        <f>IF(T45&lt;&gt;0,BD45/T45,0)</f>
        <v>9.7899558873430603</v>
      </c>
      <c r="BJ45" s="195">
        <f t="shared" ref="BJ45:BJ48" si="268">IF(BA45&lt;&gt;0,Q45/BA45,0)</f>
        <v>9.0171116467616066E-2</v>
      </c>
      <c r="BK45" s="50">
        <f t="shared" ref="BK45:BK48" si="269">IF(BD45&lt;&gt;0,T45/BD45,0)</f>
        <v>0.10214550622162144</v>
      </c>
      <c r="BL45" s="234">
        <f>IFERROR(VLOOKUP($B45 &amp; $C45&amp;IF($A45="a",BM$4,BL$4),tblForecast,BL$2,FALSE),0)</f>
        <v>0</v>
      </c>
      <c r="BM45" s="228">
        <f>IFERROR(VLOOKUP($B45-IF(CompareVer="LY",1,0) &amp; $C45 &amp;BM$4,tblForecast,BM$2,FALSE),0)</f>
        <v>-99</v>
      </c>
      <c r="BN45" s="234">
        <f>IFERROR(VLOOKUP($B45 &amp; $C45&amp;IF($A45="a",BO$4,BN$4),tblForecast,BN$2,FALSE),0)</f>
        <v>0</v>
      </c>
      <c r="BO45" s="228">
        <f>IFERROR(VLOOKUP($B45-IF(CompareVer="LY",1,0) &amp; $C45 &amp;BO$4,tblForecast,BO$2,FALSE),0)</f>
        <v>1</v>
      </c>
      <c r="BP45" s="234">
        <f>IFERROR(VLOOKUP($B45 &amp; $C45&amp;IF($A45="a",BQ$4,BP$4),tblForecast,BP$2,FALSE),0)</f>
        <v>0</v>
      </c>
      <c r="BQ45" s="228">
        <f>IFERROR(VLOOKUP($B45-IF(CompareVer="LY",1,0) &amp; $C45 &amp;BQ$4,tblForecast,BQ$2,FALSE),0)</f>
        <v>419</v>
      </c>
      <c r="BR45" s="227">
        <f t="shared" si="43"/>
        <v>0</v>
      </c>
      <c r="BS45" s="231">
        <f t="shared" si="22"/>
        <v>-418</v>
      </c>
      <c r="BT45" s="234">
        <f t="shared" ref="BT45:BU48" si="270">IFERROR(VLOOKUP($B45 &amp; $C45&amp;BT$4,tblForecast,BT$2,FALSE),0)</f>
        <v>0</v>
      </c>
      <c r="BU45" s="231">
        <f t="shared" si="270"/>
        <v>0</v>
      </c>
      <c r="BV45" s="231">
        <f>IF($A45="a",IFERROR(VLOOKUP($B45 &amp; $C45&amp;BV$4,tblForecast,BV$2,FALSE),0),BT45+BU45)</f>
        <v>0</v>
      </c>
      <c r="BW45" s="231">
        <f t="shared" ref="BW45:BX48" si="271">IFERROR(VLOOKUP($B45 &amp; $C45&amp;BW$4,tblForecast,BW$2,FALSE),0)</f>
        <v>0</v>
      </c>
      <c r="BX45" s="231">
        <f t="shared" si="271"/>
        <v>0</v>
      </c>
      <c r="BY45" s="193">
        <f>IFERROR(VLOOKUP($B45-IF(CompareVer="LY",1,0) &amp; $C45 &amp;BY$4,tblForecast,BY$2,FALSE),0)</f>
        <v>0</v>
      </c>
      <c r="BZ45" s="194">
        <f t="shared" si="25"/>
        <v>0</v>
      </c>
      <c r="CA45" s="337">
        <f t="shared" ref="CA45:CB48" si="272">IFERROR(VLOOKUP($B45 &amp; $C45&amp;CA$4,tblForecast,CA$2,FALSE),0)</f>
        <v>0</v>
      </c>
      <c r="CB45" s="46">
        <f t="shared" si="272"/>
        <v>0</v>
      </c>
      <c r="CC45" s="46">
        <f>IF($A45="a",IFERROR(VLOOKUP($B45 &amp; $C45&amp;CC$4,tblForecast,CC$2,FALSE),0),CA45+CB45)</f>
        <v>0</v>
      </c>
      <c r="CD45" s="46">
        <f t="shared" ref="CD45:CE48" si="273">IFERROR(VLOOKUP($B45 &amp; $C45&amp;CD$4,tblForecast,CD$2,FALSE),0)</f>
        <v>0</v>
      </c>
      <c r="CE45" s="46">
        <f t="shared" si="273"/>
        <v>0</v>
      </c>
      <c r="CF45" s="46">
        <f>IFERROR(VLOOKUP($B45-IF(CompareVer="LY",1,0) &amp; $C45 &amp;CF$4,tblForecast,CF$2,FALSE),0)</f>
        <v>0</v>
      </c>
      <c r="CG45" s="194">
        <f t="shared" si="28"/>
        <v>0</v>
      </c>
      <c r="CH45" s="337">
        <f t="shared" ref="CH45:CI48" si="274">IFERROR(VLOOKUP($B45 &amp; $C45&amp;CH$4,tblForecast,CH$2,FALSE),0)</f>
        <v>0</v>
      </c>
      <c r="CI45" s="46">
        <f t="shared" si="274"/>
        <v>0</v>
      </c>
      <c r="CJ45" s="46">
        <f>IF($A45="a",IFERROR(VLOOKUP($B45 &amp; $C45&amp;CJ$4,tblForecast,CJ$2,FALSE),0),CH45+CI45)</f>
        <v>0</v>
      </c>
      <c r="CK45" s="46">
        <f t="shared" ref="CK45:CL48" si="275">IFERROR(VLOOKUP($B45 &amp; $C45&amp;CK$4,tblForecast,CK$2,FALSE),0)</f>
        <v>0</v>
      </c>
      <c r="CL45" s="46">
        <f t="shared" si="275"/>
        <v>0</v>
      </c>
      <c r="CM45" s="46">
        <f>IFERROR(VLOOKUP($B45-IF(CompareVer="LY",1,0) &amp; $C45 &amp;CM$4,tblForecast,CM$2,FALSE),0)</f>
        <v>0</v>
      </c>
      <c r="CN45" s="194">
        <f t="shared" si="31"/>
        <v>0</v>
      </c>
      <c r="CO45" s="178">
        <f t="shared" si="46"/>
        <v>0</v>
      </c>
      <c r="CP45" s="223">
        <f t="shared" si="46"/>
        <v>0</v>
      </c>
      <c r="CQ45" s="194">
        <f t="shared" si="33"/>
        <v>0</v>
      </c>
      <c r="CR45" s="178">
        <f t="shared" si="44"/>
        <v>0</v>
      </c>
      <c r="CS45" s="223">
        <f t="shared" si="34"/>
        <v>0</v>
      </c>
      <c r="CT45" s="194">
        <f t="shared" si="47"/>
        <v>0</v>
      </c>
      <c r="CU45" s="44"/>
      <c r="CW45" s="102">
        <f>IFERROR(VLOOKUP($B45 &amp; $C45&amp;CompareVer,tblForecast,CW$2,FALSE),0)</f>
        <v>0</v>
      </c>
      <c r="CX45" s="48">
        <f>IFERROR(VLOOKUP($B45-IF(CompareVer="LY",1,0) &amp; $C45 &amp;CX$4,tblForecast,CX$2,FALSE),0)</f>
        <v>266907</v>
      </c>
      <c r="CY45" s="47">
        <f t="shared" si="36"/>
        <v>-1</v>
      </c>
      <c r="CZ45" s="278">
        <f>IFERROR(VLOOKUP(Brand&amp;Channel&amp;Country&amp;$C45,tblDiscount,6,FALSE),0)</f>
        <v>0.7</v>
      </c>
      <c r="DA45" s="279">
        <f>(1-CZ45)*DB45</f>
        <v>7.5060000000000011</v>
      </c>
      <c r="DB45" s="279">
        <f>IFERROR(VLOOKUP(Brand&amp;Country &amp; Channel &amp;FC,tblFCSettings,8,FALSE),0)</f>
        <v>25.02</v>
      </c>
      <c r="DC45" s="280">
        <f>IFERROR(VLOOKUP(Brand&amp;Country &amp; Channel &amp;FC,tblFCSettings,9,FALSE),0)</f>
        <v>4.16</v>
      </c>
    </row>
    <row r="46" spans="1:107" x14ac:dyDescent="0.25">
      <c r="B46" s="44">
        <v>2018</v>
      </c>
      <c r="C46" s="88">
        <v>28</v>
      </c>
      <c r="D46" s="51">
        <f t="shared" ref="D46:D48" si="276">G46*H46</f>
        <v>458487.28824000002</v>
      </c>
      <c r="E46" s="202">
        <f t="shared" ref="E46:E48" si="277">IFERROR(D46*F46,0)</f>
        <v>-2698533.1759200003</v>
      </c>
      <c r="F46" s="182">
        <f t="shared" si="45"/>
        <v>-5.8857317206740625</v>
      </c>
      <c r="G46" s="176">
        <f t="shared" si="258"/>
        <v>101040</v>
      </c>
      <c r="H46" s="203">
        <f t="shared" si="258"/>
        <v>4.5376810000000001</v>
      </c>
      <c r="I46" s="203">
        <f t="shared" si="258"/>
        <v>31.245253999999999</v>
      </c>
      <c r="J46" s="176">
        <f>IFERROR(VLOOKUP($B46 &amp; $C46&amp;J$4&amp;$A46,tblForecast,J$2,FALSE),0)+IFERROR(VLOOKUP($B46 &amp; $C46 &amp; J$4 &amp; $A46,tblForecast,J$2+1,FALSE),0)</f>
        <v>1302292</v>
      </c>
      <c r="K46" s="300">
        <f>IFERROR(VLOOKUP($B46 &amp; $C46&amp;K$4&amp;$A46,tblForecast,K$2,FALSE),0)+IFERROR(VLOOKUP($B46 &amp; $C46&amp;K$4&amp;$A46,tblForecast,K$2+1,FALSE),0)</f>
        <v>76678</v>
      </c>
      <c r="L46" s="90">
        <f t="shared" si="259"/>
        <v>168832.31</v>
      </c>
      <c r="M46" s="90">
        <f t="shared" si="259"/>
        <v>168832.31</v>
      </c>
      <c r="N46" s="46">
        <f t="shared" si="259"/>
        <v>0</v>
      </c>
      <c r="O46" s="46">
        <f t="shared" si="259"/>
        <v>143764.764</v>
      </c>
      <c r="P46" s="47">
        <f t="shared" si="39"/>
        <v>0.1743650203467102</v>
      </c>
      <c r="Q46" s="242">
        <f t="shared" ref="Q46:Q48" si="278">ROUND(IF(BA45-(Q45*IF(W46=0,X46,W46))&lt;0,BA45,Q45*IF(W46=0,X46,W46)),0)</f>
        <v>22481</v>
      </c>
      <c r="R46" s="240">
        <f t="shared" si="260"/>
        <v>22481</v>
      </c>
      <c r="S46" s="240">
        <f t="shared" si="260"/>
        <v>0</v>
      </c>
      <c r="T46" s="240">
        <f>IFERROR(VLOOKUP($B46-IF(CompareVer="LY",1,0) &amp; $C46 &amp;T$4,tblForecast,T$2,FALSE),0)</f>
        <v>21892</v>
      </c>
      <c r="U46" s="91">
        <f t="shared" si="7"/>
        <v>2.690480540836826E-2</v>
      </c>
      <c r="V46" s="249">
        <f t="shared" ref="V46:W48" si="279">IFERROR(IF(Q45&lt;&gt;0,Q46/Q45,0),0)</f>
        <v>0.8500075620084695</v>
      </c>
      <c r="W46" s="334">
        <f t="shared" si="279"/>
        <v>0.8500075620084695</v>
      </c>
      <c r="X46" s="250">
        <f>IFERROR(IF(T45&lt;&gt;0,T46/T45,0),0)</f>
        <v>0.74285714285714288</v>
      </c>
      <c r="Y46" s="51">
        <f t="shared" si="261"/>
        <v>75311.349999999991</v>
      </c>
      <c r="Z46" s="46">
        <f t="shared" si="261"/>
        <v>75311.349999999991</v>
      </c>
      <c r="AA46" s="46">
        <f t="shared" si="261"/>
        <v>0</v>
      </c>
      <c r="AB46" s="46">
        <f t="shared" si="261"/>
        <v>62523.552000000003</v>
      </c>
      <c r="AC46" s="91">
        <f t="shared" si="9"/>
        <v>0.20452769541947946</v>
      </c>
      <c r="AD46" s="75">
        <f>IF(AM46&lt;&gt;0,1-AR46/AM46,0)</f>
        <v>0.44607190412782949</v>
      </c>
      <c r="AE46" s="93">
        <f t="shared" si="262"/>
        <v>0.44607190412782949</v>
      </c>
      <c r="AF46" s="93">
        <f t="shared" si="262"/>
        <v>0</v>
      </c>
      <c r="AG46" s="76">
        <f t="shared" si="262"/>
        <v>0.43490178163545001</v>
      </c>
      <c r="AH46" s="73">
        <f>IF(IFERROR(VLOOKUP($B46 &amp; $C46&amp;AH$4,tblForecast,AH$2,FALSE),0)=0,DB46,IFERROR(VLOOKUP($B46 &amp; $C46&amp;AH$4,tblForecast,AH$2,FALSE),0))</f>
        <v>25.02</v>
      </c>
      <c r="AI46" s="94">
        <f t="shared" si="263"/>
        <v>25.02</v>
      </c>
      <c r="AJ46" s="94">
        <f t="shared" si="263"/>
        <v>0</v>
      </c>
      <c r="AK46" s="49">
        <f>IFERROR(VLOOKUP($B46-IF(CompareVer="LY",1,0) &amp; $C46 &amp;AK$4,tblForecast,AK$2,FALSE),0)</f>
        <v>22.901599999999998</v>
      </c>
      <c r="AL46" s="47">
        <f t="shared" si="264"/>
        <v>9.2500087330142922E-2</v>
      </c>
      <c r="AM46" s="73">
        <f>IF(IFERROR(VLOOKUP($B46 &amp; $C46&amp;AM$4,tblForecast,AM$2,FALSE),0)=0,DA46,IFERROR(VLOOKUP($B46 &amp; $C46&amp;AM$4,tblForecast,AM$2,FALSE),0))</f>
        <v>7.51</v>
      </c>
      <c r="AN46" s="94">
        <f t="shared" si="265"/>
        <v>7.51</v>
      </c>
      <c r="AO46" s="94">
        <f t="shared" si="265"/>
        <v>0</v>
      </c>
      <c r="AP46" s="49">
        <f>IFERROR(VLOOKUP($B46-IF(CompareVer="LY",1,0) &amp; $C46 &amp;AP$4,tblForecast,AP$2,FALSE),0)</f>
        <v>6.5670000000000002</v>
      </c>
      <c r="AQ46" s="47">
        <f t="shared" si="14"/>
        <v>0.14359677173747509</v>
      </c>
      <c r="AR46" s="73">
        <f>IF(IFERROR(VLOOKUP($B46 &amp; $C46&amp;AR$4,tblForecast,AR$2,FALSE),0)=0,DC46,IFERROR(VLOOKUP($B46 &amp; $C46&amp;AR$4,tblForecast,AR$2,FALSE),0))</f>
        <v>4.16</v>
      </c>
      <c r="AS46" s="94">
        <f t="shared" si="266"/>
        <v>4.16</v>
      </c>
      <c r="AT46" s="94">
        <f t="shared" si="266"/>
        <v>0</v>
      </c>
      <c r="AU46" s="49">
        <f>IFERROR(VLOOKUP($B46-IF(CompareVer="LY",1,0) &amp; $C46 &amp;AU$4,tblForecast,AU$2,FALSE),0)</f>
        <v>3.7109999999999999</v>
      </c>
      <c r="AV46" s="47">
        <f t="shared" si="16"/>
        <v>0.12099164645648086</v>
      </c>
      <c r="AW46" s="191">
        <f t="shared" si="237"/>
        <v>0.6998401278976818</v>
      </c>
      <c r="AX46" s="192">
        <f t="shared" si="237"/>
        <v>0.6998401278976818</v>
      </c>
      <c r="AY46" s="192">
        <f t="shared" si="237"/>
        <v>0</v>
      </c>
      <c r="AZ46" s="192">
        <f t="shared" si="237"/>
        <v>0.71325147587941451</v>
      </c>
      <c r="BA46" s="235">
        <f>IF(BA45+BV46+BL46+BR46-Q46&lt;0,0,BA45+BV46+BL46+BR46-Q46)</f>
        <v>270828</v>
      </c>
      <c r="BB46" s="231">
        <f>IF(IFERROR(VLOOKUP($B46 &amp; $C46&amp;BB$4,tblForecast,BB$2,FALSE),0)=0,BA46,IFERROR(VLOOKUP($B46 &amp; $C46&amp;BB$4,tblForecast,BB$2,FALSE),0))</f>
        <v>270828</v>
      </c>
      <c r="BC46" s="231">
        <f>IFERROR(VLOOKUP($B46-IF(CompareVer="LY",1,0) &amp; $C46 &amp;BC$4,tblForecast,BC$2,FALSE),0)</f>
        <v>0</v>
      </c>
      <c r="BD46" s="231">
        <f t="shared" si="267"/>
        <v>265762</v>
      </c>
      <c r="BE46" s="194">
        <f t="shared" si="19"/>
        <v>1.9062168406318358E-2</v>
      </c>
      <c r="BF46" s="231">
        <f>IFERROR(VLOOKUP($B46 &amp; $C46&amp;IF($A46="a",BG$4,BF$4),tblForecast,BF$2,FALSE),0)</f>
        <v>0</v>
      </c>
      <c r="BG46" s="228">
        <f>IFERROR(VLOOKUP($B46-IF(CompareVer="LY",1,0) &amp; $C46 &amp;BG$4,tblForecast,BG$2,FALSE),0)</f>
        <v>21636</v>
      </c>
      <c r="BH46" s="179">
        <f>IF(Q46&lt;&gt;0,BA46/Q46,0)</f>
        <v>12.046972999421733</v>
      </c>
      <c r="BI46" s="183">
        <f>IF(T46&lt;&gt;0,BD46/T46,0)</f>
        <v>12.139685729947013</v>
      </c>
      <c r="BJ46" s="195">
        <f t="shared" si="268"/>
        <v>8.3008403857799049E-2</v>
      </c>
      <c r="BK46" s="50">
        <f t="shared" si="269"/>
        <v>8.2374455339740069E-2</v>
      </c>
      <c r="BL46" s="234">
        <f>IFERROR(VLOOKUP($B46 &amp; $C46&amp;IF($A46="a",BM$4,BL$4),tblForecast,BL$2,FALSE),0)</f>
        <v>0</v>
      </c>
      <c r="BM46" s="228">
        <f>IFERROR(VLOOKUP($B46-IF(CompareVer="LY",1,0) &amp; $C46 &amp;BM$4,tblForecast,BM$2,FALSE),0)</f>
        <v>-41</v>
      </c>
      <c r="BN46" s="234">
        <f>IFERROR(VLOOKUP($B46 &amp; $C46&amp;IF($A46="a",BO$4,BN$4),tblForecast,BN$2,FALSE),0)</f>
        <v>0</v>
      </c>
      <c r="BO46" s="228">
        <f>IFERROR(VLOOKUP($B46-IF(CompareVer="LY",1,0) &amp; $C46 &amp;BO$4,tblForecast,BO$2,FALSE),0)</f>
        <v>0</v>
      </c>
      <c r="BP46" s="234">
        <f>IFERROR(VLOOKUP($B46 &amp; $C46&amp;IF($A46="a",BQ$4,BP$4),tblForecast,BP$2,FALSE),0)</f>
        <v>0</v>
      </c>
      <c r="BQ46" s="228">
        <f>IFERROR(VLOOKUP($B46-IF(CompareVer="LY",1,0) &amp; $C46 &amp;BQ$4,tblForecast,BQ$2,FALSE),0)</f>
        <v>745</v>
      </c>
      <c r="BR46" s="227">
        <f t="shared" si="43"/>
        <v>0</v>
      </c>
      <c r="BS46" s="231">
        <f t="shared" si="22"/>
        <v>-745</v>
      </c>
      <c r="BT46" s="234">
        <f t="shared" si="270"/>
        <v>0</v>
      </c>
      <c r="BU46" s="231">
        <f t="shared" si="270"/>
        <v>0</v>
      </c>
      <c r="BV46" s="231">
        <f>IF($A46="a",IFERROR(VLOOKUP($B46 &amp; $C46&amp;BV$4,tblForecast,BV$2,FALSE),0),BT46+BU46)</f>
        <v>0</v>
      </c>
      <c r="BW46" s="231">
        <f t="shared" si="271"/>
        <v>0</v>
      </c>
      <c r="BX46" s="231">
        <f t="shared" si="271"/>
        <v>0</v>
      </c>
      <c r="BY46" s="193">
        <f>IFERROR(VLOOKUP($B46-IF(CompareVer="LY",1,0) &amp; $C46 &amp;BY$4,tblForecast,BY$2,FALSE),0)</f>
        <v>0</v>
      </c>
      <c r="BZ46" s="194">
        <f t="shared" si="25"/>
        <v>0</v>
      </c>
      <c r="CA46" s="337">
        <f t="shared" si="272"/>
        <v>0</v>
      </c>
      <c r="CB46" s="46">
        <f t="shared" si="272"/>
        <v>0</v>
      </c>
      <c r="CC46" s="46">
        <f>IF($A46="a",IFERROR(VLOOKUP($B46 &amp; $C46&amp;CC$4,tblForecast,CC$2,FALSE),0),CA46+CB46)</f>
        <v>0</v>
      </c>
      <c r="CD46" s="46">
        <f t="shared" si="273"/>
        <v>0</v>
      </c>
      <c r="CE46" s="46">
        <f t="shared" si="273"/>
        <v>0</v>
      </c>
      <c r="CF46" s="46">
        <f>IFERROR(VLOOKUP($B46-IF(CompareVer="LY",1,0) &amp; $C46 &amp;CF$4,tblForecast,CF$2,FALSE),0)</f>
        <v>0</v>
      </c>
      <c r="CG46" s="194">
        <f t="shared" si="28"/>
        <v>0</v>
      </c>
      <c r="CH46" s="337">
        <f t="shared" si="274"/>
        <v>0</v>
      </c>
      <c r="CI46" s="46">
        <f t="shared" si="274"/>
        <v>0</v>
      </c>
      <c r="CJ46" s="46">
        <f>IF($A46="a",IFERROR(VLOOKUP($B46 &amp; $C46&amp;CJ$4,tblForecast,CJ$2,FALSE),0),CH46+CI46)</f>
        <v>0</v>
      </c>
      <c r="CK46" s="46">
        <f t="shared" si="275"/>
        <v>0</v>
      </c>
      <c r="CL46" s="46">
        <f t="shared" si="275"/>
        <v>0</v>
      </c>
      <c r="CM46" s="46">
        <f>IFERROR(VLOOKUP($B46-IF(CompareVer="LY",1,0) &amp; $C46 &amp;CM$4,tblForecast,CM$2,FALSE),0)</f>
        <v>0</v>
      </c>
      <c r="CN46" s="194">
        <f t="shared" si="31"/>
        <v>0</v>
      </c>
      <c r="CO46" s="178">
        <f t="shared" si="46"/>
        <v>0</v>
      </c>
      <c r="CP46" s="223">
        <f t="shared" si="46"/>
        <v>0</v>
      </c>
      <c r="CQ46" s="194">
        <f t="shared" si="33"/>
        <v>0</v>
      </c>
      <c r="CR46" s="178">
        <f t="shared" si="44"/>
        <v>0</v>
      </c>
      <c r="CS46" s="223">
        <f t="shared" si="34"/>
        <v>0</v>
      </c>
      <c r="CT46" s="194">
        <f t="shared" si="47"/>
        <v>0</v>
      </c>
      <c r="CU46" s="44"/>
      <c r="CW46" s="102">
        <f>IFERROR(VLOOKUP($B46 &amp; $C46&amp;CompareVer,tblForecast,CW$2,FALSE),0)</f>
        <v>0</v>
      </c>
      <c r="CX46" s="48">
        <f>IFERROR(VLOOKUP($B46-IF(CompareVer="LY",1,0) &amp; $C46 &amp;CX$4,tblForecast,CX$2,FALSE),0)</f>
        <v>244126</v>
      </c>
      <c r="CY46" s="47">
        <f t="shared" si="36"/>
        <v>-1</v>
      </c>
      <c r="CZ46" s="278">
        <f>IFERROR(VLOOKUP(Brand&amp;Channel&amp;Country&amp;$C46,tblDiscount,6,FALSE),0)</f>
        <v>0.7</v>
      </c>
      <c r="DA46" s="279">
        <f>(1-CZ46)*DB46</f>
        <v>7.5060000000000011</v>
      </c>
      <c r="DB46" s="279">
        <f>IFERROR(VLOOKUP(Brand&amp;Country &amp; Channel &amp;FC,tblFCSettings,8,FALSE),0)</f>
        <v>25.02</v>
      </c>
      <c r="DC46" s="280">
        <f>IFERROR(VLOOKUP(Brand&amp;Country &amp; Channel &amp;FC,tblFCSettings,9,FALSE),0)</f>
        <v>4.16</v>
      </c>
    </row>
    <row r="47" spans="1:107" x14ac:dyDescent="0.25">
      <c r="B47" s="44">
        <v>2018</v>
      </c>
      <c r="C47" s="88">
        <v>29</v>
      </c>
      <c r="D47" s="51">
        <f t="shared" si="276"/>
        <v>-4413553.0949999997</v>
      </c>
      <c r="E47" s="202">
        <f t="shared" si="277"/>
        <v>-5041682.963583</v>
      </c>
      <c r="F47" s="182">
        <f t="shared" si="45"/>
        <v>1.142318412186905</v>
      </c>
      <c r="G47" s="176">
        <f t="shared" si="258"/>
        <v>-129297</v>
      </c>
      <c r="H47" s="203">
        <f t="shared" si="258"/>
        <v>34.134999999999998</v>
      </c>
      <c r="I47" s="203">
        <f t="shared" si="258"/>
        <v>-4.8580389999999998</v>
      </c>
      <c r="J47" s="176">
        <f>IFERROR(VLOOKUP($B47 &amp; $C47&amp;J$4&amp;$A47,tblForecast,J$2,FALSE),0)+IFERROR(VLOOKUP($B47 &amp; $C47 &amp; J$4 &amp; $A47,tblForecast,J$2+1,FALSE),0)</f>
        <v>1267333</v>
      </c>
      <c r="K47" s="300">
        <f>IFERROR(VLOOKUP($B47 &amp; $C47&amp;K$4&amp;$A47,tblForecast,K$2,FALSE),0)+IFERROR(VLOOKUP($B47 &amp; $C47&amp;K$4&amp;$A47,tblForecast,K$2+1,FALSE),0)</f>
        <v>41908</v>
      </c>
      <c r="L47" s="90">
        <f t="shared" si="259"/>
        <v>119616.08</v>
      </c>
      <c r="M47" s="90">
        <f t="shared" si="259"/>
        <v>119616.08</v>
      </c>
      <c r="N47" s="46">
        <f t="shared" si="259"/>
        <v>0</v>
      </c>
      <c r="O47" s="46">
        <f t="shared" si="259"/>
        <v>85859.297999999995</v>
      </c>
      <c r="P47" s="47">
        <f t="shared" si="39"/>
        <v>0.39316396460637271</v>
      </c>
      <c r="Q47" s="242">
        <f t="shared" si="278"/>
        <v>19108</v>
      </c>
      <c r="R47" s="240">
        <f t="shared" si="260"/>
        <v>19108</v>
      </c>
      <c r="S47" s="240">
        <f t="shared" si="260"/>
        <v>0</v>
      </c>
      <c r="T47" s="240">
        <f>IFERROR(VLOOKUP($B47-IF(CompareVer="LY",1,0) &amp; $C47 &amp;T$4,tblForecast,T$2,FALSE),0)</f>
        <v>11820</v>
      </c>
      <c r="U47" s="91">
        <f t="shared" si="7"/>
        <v>0.61658206429780038</v>
      </c>
      <c r="V47" s="249">
        <f t="shared" si="279"/>
        <v>0.84996219029402609</v>
      </c>
      <c r="W47" s="334">
        <f t="shared" si="279"/>
        <v>0.84996219029402609</v>
      </c>
      <c r="X47" s="250">
        <f>IFERROR(IF(T46&lt;&gt;0,T47/T46,0),0)</f>
        <v>0.53992325963822396</v>
      </c>
      <c r="Y47" s="51">
        <f t="shared" si="261"/>
        <v>40126.799999999988</v>
      </c>
      <c r="Z47" s="46">
        <f t="shared" si="261"/>
        <v>40126.799999999988</v>
      </c>
      <c r="AA47" s="46">
        <f t="shared" si="261"/>
        <v>0</v>
      </c>
      <c r="AB47" s="46">
        <f t="shared" si="261"/>
        <v>42151.301999999996</v>
      </c>
      <c r="AC47" s="91">
        <f t="shared" si="9"/>
        <v>-4.8029406066745217E-2</v>
      </c>
      <c r="AD47" s="75">
        <f>IF(AM47&lt;&gt;0,1-AR47/AM47,0)</f>
        <v>0.33546325878594241</v>
      </c>
      <c r="AE47" s="93">
        <f t="shared" si="262"/>
        <v>0.33546325878594241</v>
      </c>
      <c r="AF47" s="93">
        <f t="shared" si="262"/>
        <v>0</v>
      </c>
      <c r="AG47" s="76">
        <f t="shared" si="262"/>
        <v>0.49093462189732784</v>
      </c>
      <c r="AH47" s="73">
        <f>IF(IFERROR(VLOOKUP($B47 &amp; $C47&amp;AH$4,tblForecast,AH$2,FALSE),0)=0,DB47,IFERROR(VLOOKUP($B47 &amp; $C47&amp;AH$4,tblForecast,AH$2,FALSE),0))</f>
        <v>25.02</v>
      </c>
      <c r="AI47" s="94">
        <f t="shared" si="263"/>
        <v>25.02</v>
      </c>
      <c r="AJ47" s="94">
        <f t="shared" si="263"/>
        <v>0</v>
      </c>
      <c r="AK47" s="49">
        <f>IFERROR(VLOOKUP($B47-IF(CompareVer="LY",1,0) &amp; $C47 &amp;AK$4,tblForecast,AK$2,FALSE),0)</f>
        <v>22.803799999999999</v>
      </c>
      <c r="AL47" s="47">
        <f t="shared" si="264"/>
        <v>9.7185556793166095E-2</v>
      </c>
      <c r="AM47" s="73">
        <f>IF(IFERROR(VLOOKUP($B47 &amp; $C47&amp;AM$4,tblForecast,AM$2,FALSE),0)=0,DA47,IFERROR(VLOOKUP($B47 &amp; $C47&amp;AM$4,tblForecast,AM$2,FALSE),0))</f>
        <v>6.26</v>
      </c>
      <c r="AN47" s="94">
        <f t="shared" si="265"/>
        <v>6.26</v>
      </c>
      <c r="AO47" s="94">
        <f t="shared" si="265"/>
        <v>0</v>
      </c>
      <c r="AP47" s="49">
        <f>IFERROR(VLOOKUP($B47-IF(CompareVer="LY",1,0) &amp; $C47 &amp;AP$4,tblForecast,AP$2,FALSE),0)</f>
        <v>7.2638999999999996</v>
      </c>
      <c r="AQ47" s="47">
        <f t="shared" si="14"/>
        <v>-0.13820399509905146</v>
      </c>
      <c r="AR47" s="73">
        <f>IF(IFERROR(VLOOKUP($B47 &amp; $C47&amp;AR$4,tblForecast,AR$2,FALSE),0)=0,DC47,IFERROR(VLOOKUP($B47 &amp; $C47&amp;AR$4,tblForecast,AR$2,FALSE),0))</f>
        <v>4.16</v>
      </c>
      <c r="AS47" s="94">
        <f t="shared" si="266"/>
        <v>4.16</v>
      </c>
      <c r="AT47" s="94">
        <f t="shared" si="266"/>
        <v>0</v>
      </c>
      <c r="AU47" s="49">
        <f>IFERROR(VLOOKUP($B47-IF(CompareVer="LY",1,0) &amp; $C47 &amp;AU$4,tblForecast,AU$2,FALSE),0)</f>
        <v>3.6978</v>
      </c>
      <c r="AV47" s="47">
        <f t="shared" si="16"/>
        <v>0.12499323922332195</v>
      </c>
      <c r="AW47" s="191">
        <f t="shared" si="237"/>
        <v>0.74980015987210225</v>
      </c>
      <c r="AX47" s="192">
        <f t="shared" si="237"/>
        <v>0.74980015987210225</v>
      </c>
      <c r="AY47" s="192">
        <f t="shared" si="237"/>
        <v>0</v>
      </c>
      <c r="AZ47" s="192">
        <f t="shared" si="237"/>
        <v>0.68146098457274662</v>
      </c>
      <c r="BA47" s="235">
        <f>IF(BA46+BV47+BL47+BR47-Q47&lt;0,0,BA46+BV47+BL47+BR47-Q47)</f>
        <v>251720</v>
      </c>
      <c r="BB47" s="231">
        <f>IF(IFERROR(VLOOKUP($B47 &amp; $C47&amp;BB$4,tblForecast,BB$2,FALSE),0)=0,BA47,IFERROR(VLOOKUP($B47 &amp; $C47&amp;BB$4,tblForecast,BB$2,FALSE),0))</f>
        <v>251720</v>
      </c>
      <c r="BC47" s="231">
        <f>IFERROR(VLOOKUP($B47-IF(CompareVer="LY",1,0) &amp; $C47 &amp;BC$4,tblForecast,BC$2,FALSE),0)</f>
        <v>0</v>
      </c>
      <c r="BD47" s="231">
        <f t="shared" si="267"/>
        <v>252227</v>
      </c>
      <c r="BE47" s="194">
        <f t="shared" si="19"/>
        <v>-2.0100940819183233E-3</v>
      </c>
      <c r="BF47" s="231">
        <f>IFERROR(VLOOKUP($B47 &amp; $C47&amp;IF($A47="a",BG$4,BF$4),tblForecast,BF$2,FALSE),0)</f>
        <v>0</v>
      </c>
      <c r="BG47" s="228">
        <f>IFERROR(VLOOKUP($B47-IF(CompareVer="LY",1,0) &amp; $C47 &amp;BG$4,tblForecast,BG$2,FALSE),0)</f>
        <v>21623</v>
      </c>
      <c r="BH47" s="179">
        <f>IF(Q47&lt;&gt;0,BA47/Q47,0)</f>
        <v>13.173539878584887</v>
      </c>
      <c r="BI47" s="183">
        <f>IF(T47&lt;&gt;0,BD47/T47,0)</f>
        <v>21.339001692047379</v>
      </c>
      <c r="BJ47" s="195">
        <f t="shared" si="268"/>
        <v>7.5909740982043547E-2</v>
      </c>
      <c r="BK47" s="50">
        <f t="shared" si="269"/>
        <v>4.6862548418686339E-2</v>
      </c>
      <c r="BL47" s="234">
        <f>IFERROR(VLOOKUP($B47 &amp; $C47&amp;IF($A47="a",BM$4,BL$4),tblForecast,BL$2,FALSE),0)</f>
        <v>0</v>
      </c>
      <c r="BM47" s="228">
        <f>IFERROR(VLOOKUP($B47-IF(CompareVer="LY",1,0) &amp; $C47 &amp;BM$4,tblForecast,BM$2,FALSE),0)</f>
        <v>-91</v>
      </c>
      <c r="BN47" s="234">
        <f>IFERROR(VLOOKUP($B47 &amp; $C47&amp;IF($A47="a",BO$4,BN$4),tblForecast,BN$2,FALSE),0)</f>
        <v>0</v>
      </c>
      <c r="BO47" s="228">
        <f>IFERROR(VLOOKUP($B47-IF(CompareVer="LY",1,0) &amp; $C47 &amp;BO$4,tblForecast,BO$2,FALSE),0)</f>
        <v>334</v>
      </c>
      <c r="BP47" s="234">
        <f>IFERROR(VLOOKUP($B47 &amp; $C47&amp;IF($A47="a",BQ$4,BP$4),tblForecast,BP$2,FALSE),0)</f>
        <v>0</v>
      </c>
      <c r="BQ47" s="228">
        <f>IFERROR(VLOOKUP($B47-IF(CompareVer="LY",1,0) &amp; $C47 &amp;BQ$4,tblForecast,BQ$2,FALSE),0)</f>
        <v>1967</v>
      </c>
      <c r="BR47" s="227">
        <f t="shared" si="43"/>
        <v>0</v>
      </c>
      <c r="BS47" s="231">
        <f t="shared" si="22"/>
        <v>-1633</v>
      </c>
      <c r="BT47" s="234">
        <f t="shared" si="270"/>
        <v>0</v>
      </c>
      <c r="BU47" s="231">
        <f t="shared" si="270"/>
        <v>0</v>
      </c>
      <c r="BV47" s="231">
        <f>IF($A47="a",IFERROR(VLOOKUP($B47 &amp; $C47&amp;BV$4,tblForecast,BV$2,FALSE),0),BT47+BU47)</f>
        <v>0</v>
      </c>
      <c r="BW47" s="231">
        <f t="shared" si="271"/>
        <v>0</v>
      </c>
      <c r="BX47" s="231">
        <f t="shared" si="271"/>
        <v>0</v>
      </c>
      <c r="BY47" s="193">
        <f>IFERROR(VLOOKUP($B47-IF(CompareVer="LY",1,0) &amp; $C47 &amp;BY$4,tblForecast,BY$2,FALSE),0)</f>
        <v>0</v>
      </c>
      <c r="BZ47" s="194">
        <f t="shared" si="25"/>
        <v>0</v>
      </c>
      <c r="CA47" s="337">
        <f t="shared" si="272"/>
        <v>0</v>
      </c>
      <c r="CB47" s="46">
        <f t="shared" si="272"/>
        <v>0</v>
      </c>
      <c r="CC47" s="46">
        <f>IF($A47="a",IFERROR(VLOOKUP($B47 &amp; $C47&amp;CC$4,tblForecast,CC$2,FALSE),0),CA47+CB47)</f>
        <v>0</v>
      </c>
      <c r="CD47" s="46">
        <f t="shared" si="273"/>
        <v>0</v>
      </c>
      <c r="CE47" s="46">
        <f t="shared" si="273"/>
        <v>0</v>
      </c>
      <c r="CF47" s="46">
        <f>IFERROR(VLOOKUP($B47-IF(CompareVer="LY",1,0) &amp; $C47 &amp;CF$4,tblForecast,CF$2,FALSE),0)</f>
        <v>0</v>
      </c>
      <c r="CG47" s="194">
        <f t="shared" si="28"/>
        <v>0</v>
      </c>
      <c r="CH47" s="337">
        <f t="shared" si="274"/>
        <v>0</v>
      </c>
      <c r="CI47" s="46">
        <f t="shared" si="274"/>
        <v>0</v>
      </c>
      <c r="CJ47" s="46">
        <f>IF($A47="a",IFERROR(VLOOKUP($B47 &amp; $C47&amp;CJ$4,tblForecast,CJ$2,FALSE),0),CH47+CI47)</f>
        <v>0</v>
      </c>
      <c r="CK47" s="46">
        <f t="shared" si="275"/>
        <v>0</v>
      </c>
      <c r="CL47" s="46">
        <f t="shared" si="275"/>
        <v>0</v>
      </c>
      <c r="CM47" s="46">
        <f>IFERROR(VLOOKUP($B47-IF(CompareVer="LY",1,0) &amp; $C47 &amp;CM$4,tblForecast,CM$2,FALSE),0)</f>
        <v>0</v>
      </c>
      <c r="CN47" s="194">
        <f t="shared" si="31"/>
        <v>0</v>
      </c>
      <c r="CO47" s="178">
        <f t="shared" si="46"/>
        <v>0</v>
      </c>
      <c r="CP47" s="223">
        <f t="shared" si="46"/>
        <v>0</v>
      </c>
      <c r="CQ47" s="194">
        <f t="shared" si="33"/>
        <v>0</v>
      </c>
      <c r="CR47" s="178">
        <f t="shared" si="44"/>
        <v>0</v>
      </c>
      <c r="CS47" s="223">
        <f t="shared" si="34"/>
        <v>0</v>
      </c>
      <c r="CT47" s="194">
        <f t="shared" si="47"/>
        <v>0</v>
      </c>
      <c r="CU47" s="44"/>
      <c r="CW47" s="102">
        <f>IFERROR(VLOOKUP($B47 &amp; $C47&amp;CompareVer,tblForecast,CW$2,FALSE),0)</f>
        <v>0</v>
      </c>
      <c r="CX47" s="48">
        <f>IFERROR(VLOOKUP($B47-IF(CompareVer="LY",1,0) &amp; $C47 &amp;CX$4,tblForecast,CX$2,FALSE),0)</f>
        <v>230604</v>
      </c>
      <c r="CY47" s="47">
        <f t="shared" si="36"/>
        <v>-1</v>
      </c>
      <c r="CZ47" s="278">
        <f>IFERROR(VLOOKUP(Brand&amp;Channel&amp;Country&amp;$C47,tblDiscount,6,FALSE),0)</f>
        <v>0.75</v>
      </c>
      <c r="DA47" s="279">
        <f>(1-CZ47)*DB47</f>
        <v>6.2549999999999999</v>
      </c>
      <c r="DB47" s="279">
        <f>IFERROR(VLOOKUP(Brand&amp;Country &amp; Channel &amp;FC,tblFCSettings,8,FALSE),0)</f>
        <v>25.02</v>
      </c>
      <c r="DC47" s="280">
        <f>IFERROR(VLOOKUP(Brand&amp;Country &amp; Channel &amp;FC,tblFCSettings,9,FALSE),0)</f>
        <v>4.16</v>
      </c>
    </row>
    <row r="48" spans="1:107" ht="16.5" thickBot="1" x14ac:dyDescent="0.3">
      <c r="B48" s="44">
        <v>2018</v>
      </c>
      <c r="C48" s="88">
        <v>30</v>
      </c>
      <c r="D48" s="51">
        <f t="shared" si="276"/>
        <v>-4213486.8455129992</v>
      </c>
      <c r="E48" s="202">
        <f t="shared" si="277"/>
        <v>-4918483.5206429986</v>
      </c>
      <c r="F48" s="182">
        <f t="shared" si="45"/>
        <v>1.1673190639910886</v>
      </c>
      <c r="G48" s="176">
        <f t="shared" si="258"/>
        <v>-120219</v>
      </c>
      <c r="H48" s="203">
        <f t="shared" si="258"/>
        <v>35.048426999999997</v>
      </c>
      <c r="I48" s="203">
        <f t="shared" si="258"/>
        <v>-5.8642700000000003</v>
      </c>
      <c r="J48" s="176">
        <f>IFERROR(VLOOKUP($B48 &amp; $C48&amp;J$4&amp;$A48,tblForecast,J$2,FALSE),0)+IFERROR(VLOOKUP($B48 &amp; $C48 &amp; J$4 &amp; $A48,tblForecast,J$2+1,FALSE),0)</f>
        <v>1235669</v>
      </c>
      <c r="K48" s="300">
        <f>IFERROR(VLOOKUP($B48 &amp; $C48&amp;K$4&amp;$A48,tblForecast,K$2,FALSE),0)+IFERROR(VLOOKUP($B48 &amp; $C48&amp;K$4&amp;$A48,tblForecast,K$2+1,FALSE),0)</f>
        <v>74039</v>
      </c>
      <c r="L48" s="90">
        <f t="shared" si="259"/>
        <v>113637.78</v>
      </c>
      <c r="M48" s="90">
        <f t="shared" si="259"/>
        <v>113637.78</v>
      </c>
      <c r="N48" s="46">
        <f t="shared" si="259"/>
        <v>0</v>
      </c>
      <c r="O48" s="46">
        <f t="shared" si="259"/>
        <v>82291.393800000005</v>
      </c>
      <c r="P48" s="47">
        <f t="shared" si="39"/>
        <v>0.38091937385559249</v>
      </c>
      <c r="Q48" s="242">
        <f t="shared" si="278"/>
        <v>18153</v>
      </c>
      <c r="R48" s="240">
        <f t="shared" si="260"/>
        <v>18153</v>
      </c>
      <c r="S48" s="240">
        <f t="shared" si="260"/>
        <v>0</v>
      </c>
      <c r="T48" s="240">
        <f>IFERROR(VLOOKUP($B48-IF(CompareVer="LY",1,0) &amp; $C48 &amp;T$4,tblForecast,T$2,FALSE),0)</f>
        <v>12694</v>
      </c>
      <c r="U48" s="91">
        <f t="shared" si="7"/>
        <v>0.43004569087758004</v>
      </c>
      <c r="V48" s="249">
        <f t="shared" si="279"/>
        <v>0.95002093364036011</v>
      </c>
      <c r="W48" s="334">
        <f t="shared" si="279"/>
        <v>0.95002093364036011</v>
      </c>
      <c r="X48" s="250">
        <f>IFERROR(IF(T47&lt;&gt;0,T48/T47,0),0)</f>
        <v>1.0739424703891709</v>
      </c>
      <c r="Y48" s="51">
        <f t="shared" si="261"/>
        <v>38121.299999999988</v>
      </c>
      <c r="Z48" s="46">
        <f t="shared" si="261"/>
        <v>38121.299999999988</v>
      </c>
      <c r="AA48" s="46">
        <f t="shared" si="261"/>
        <v>0</v>
      </c>
      <c r="AB48" s="46">
        <f t="shared" si="261"/>
        <v>36507.944000000003</v>
      </c>
      <c r="AC48" s="91">
        <f t="shared" si="9"/>
        <v>4.4191916148441202E-2</v>
      </c>
      <c r="AD48" s="75">
        <f>IF(AM48&lt;&gt;0,1-AR48/AM48,0)</f>
        <v>0.33546325878594241</v>
      </c>
      <c r="AE48" s="93">
        <f t="shared" si="262"/>
        <v>0.33546325878594241</v>
      </c>
      <c r="AF48" s="93">
        <f t="shared" si="262"/>
        <v>0</v>
      </c>
      <c r="AG48" s="76">
        <f t="shared" si="262"/>
        <v>0.44364230953152239</v>
      </c>
      <c r="AH48" s="73">
        <f>IF(IFERROR(VLOOKUP($B48 &amp; $C48&amp;AH$4,tblForecast,AH$2,FALSE),0)=0,DB48,IFERROR(VLOOKUP($B48 &amp; $C48&amp;AH$4,tblForecast,AH$2,FALSE),0))</f>
        <v>25.02</v>
      </c>
      <c r="AI48" s="94">
        <f t="shared" si="263"/>
        <v>25.02</v>
      </c>
      <c r="AJ48" s="94">
        <f t="shared" si="263"/>
        <v>0</v>
      </c>
      <c r="AK48" s="49">
        <f>IFERROR(VLOOKUP($B48-IF(CompareVer="LY",1,0) &amp; $C48 &amp;AK$4,tblForecast,AK$2,FALSE),0)</f>
        <v>22.216699999999999</v>
      </c>
      <c r="AL48" s="47">
        <f t="shared" si="264"/>
        <v>0.12617985569414003</v>
      </c>
      <c r="AM48" s="73">
        <f>IF(IFERROR(VLOOKUP($B48 &amp; $C48&amp;AM$4,tblForecast,AM$2,FALSE),0)=0,DA48,IFERROR(VLOOKUP($B48 &amp; $C48&amp;AM$4,tblForecast,AM$2,FALSE),0))</f>
        <v>6.26</v>
      </c>
      <c r="AN48" s="94">
        <f t="shared" si="265"/>
        <v>6.26</v>
      </c>
      <c r="AO48" s="94">
        <f t="shared" si="265"/>
        <v>0</v>
      </c>
      <c r="AP48" s="49">
        <f>IFERROR(VLOOKUP($B48-IF(CompareVer="LY",1,0) &amp; $C48 &amp;AP$4,tblForecast,AP$2,FALSE),0)</f>
        <v>6.4827000000000004</v>
      </c>
      <c r="AQ48" s="47">
        <f t="shared" si="14"/>
        <v>-3.4352970213028633E-2</v>
      </c>
      <c r="AR48" s="73">
        <f>IF(IFERROR(VLOOKUP($B48 &amp; $C48&amp;AR$4,tblForecast,AR$2,FALSE),0)=0,DC48,IFERROR(VLOOKUP($B48 &amp; $C48&amp;AR$4,tblForecast,AR$2,FALSE),0))</f>
        <v>4.16</v>
      </c>
      <c r="AS48" s="94">
        <f t="shared" si="266"/>
        <v>4.16</v>
      </c>
      <c r="AT48" s="94">
        <f t="shared" si="266"/>
        <v>0</v>
      </c>
      <c r="AU48" s="49">
        <f>IFERROR(VLOOKUP($B48-IF(CompareVer="LY",1,0) &amp; $C48 &amp;AU$4,tblForecast,AU$2,FALSE),0)</f>
        <v>3.6067</v>
      </c>
      <c r="AV48" s="47">
        <f t="shared" si="16"/>
        <v>0.15340893337399852</v>
      </c>
      <c r="AW48" s="191">
        <f t="shared" si="237"/>
        <v>0.74980015987210225</v>
      </c>
      <c r="AX48" s="192">
        <f t="shared" si="237"/>
        <v>0.74980015987210225</v>
      </c>
      <c r="AY48" s="192">
        <f t="shared" si="237"/>
        <v>0</v>
      </c>
      <c r="AZ48" s="192">
        <f t="shared" si="237"/>
        <v>0.70820598918831323</v>
      </c>
      <c r="BA48" s="235">
        <f>IF(BA47+BV48+BL48+BR48-Q48&lt;0,0,BA47+BV48+BL48+BR48-Q48)</f>
        <v>233567</v>
      </c>
      <c r="BB48" s="231">
        <f>IF(IFERROR(VLOOKUP($B48 &amp; $C48&amp;BB$4,tblForecast,BB$2,FALSE),0)=0,BA48,IFERROR(VLOOKUP($B48 &amp; $C48&amp;BB$4,tblForecast,BB$2,FALSE),0))</f>
        <v>233567</v>
      </c>
      <c r="BC48" s="231">
        <f>IFERROR(VLOOKUP($B48-IF(CompareVer="LY",1,0) &amp; $C48 &amp;BC$4,tblForecast,BC$2,FALSE),0)</f>
        <v>0</v>
      </c>
      <c r="BD48" s="231">
        <f t="shared" si="267"/>
        <v>237299</v>
      </c>
      <c r="BE48" s="194">
        <f t="shared" si="19"/>
        <v>-1.572699421405066E-2</v>
      </c>
      <c r="BF48" s="231">
        <f>IFERROR(VLOOKUP($B48 &amp; $C48&amp;IF($A48="a",BG$4,BF$4),tblForecast,BF$2,FALSE),0)</f>
        <v>0</v>
      </c>
      <c r="BG48" s="228">
        <f>IFERROR(VLOOKUP($B48-IF(CompareVer="LY",1,0) &amp; $C48 &amp;BG$4,tblForecast,BG$2,FALSE),0)</f>
        <v>20378</v>
      </c>
      <c r="BH48" s="179">
        <f>IF(Q48&lt;&gt;0,BA48/Q48,0)</f>
        <v>12.86657852696524</v>
      </c>
      <c r="BI48" s="183">
        <f>IF(T48&lt;&gt;0,BD48/T48,0)</f>
        <v>18.693792342839135</v>
      </c>
      <c r="BJ48" s="195">
        <f t="shared" si="268"/>
        <v>7.7720739659284055E-2</v>
      </c>
      <c r="BK48" s="50">
        <f t="shared" si="269"/>
        <v>5.3493693610171138E-2</v>
      </c>
      <c r="BL48" s="234">
        <f>IFERROR(VLOOKUP($B48 &amp; $C48&amp;IF($A48="a",BM$4,BL$4),tblForecast,BL$2,FALSE),0)</f>
        <v>0</v>
      </c>
      <c r="BM48" s="228">
        <f>IFERROR(VLOOKUP($B48-IF(CompareVer="LY",1,0) &amp; $C48 &amp;BM$4,tblForecast,BM$2,FALSE),0)</f>
        <v>-103</v>
      </c>
      <c r="BN48" s="234">
        <f>IFERROR(VLOOKUP($B48 &amp; $C48&amp;IF($A48="a",BO$4,BN$4),tblForecast,BN$2,FALSE),0)</f>
        <v>0</v>
      </c>
      <c r="BO48" s="228">
        <f>IFERROR(VLOOKUP($B48-IF(CompareVer="LY",1,0) &amp; $C48 &amp;BO$4,tblForecast,BO$2,FALSE),0)</f>
        <v>147</v>
      </c>
      <c r="BP48" s="234">
        <f>IFERROR(VLOOKUP($B48 &amp; $C48&amp;IF($A48="a",BQ$4,BP$4),tblForecast,BP$2,FALSE),0)</f>
        <v>0</v>
      </c>
      <c r="BQ48" s="228">
        <f>IFERROR(VLOOKUP($B48-IF(CompareVer="LY",1,0) &amp; $C48 &amp;BQ$4,tblForecast,BQ$2,FALSE),0)</f>
        <v>2268</v>
      </c>
      <c r="BR48" s="227">
        <f t="shared" si="43"/>
        <v>0</v>
      </c>
      <c r="BS48" s="231">
        <f t="shared" si="22"/>
        <v>-2121</v>
      </c>
      <c r="BT48" s="234">
        <f t="shared" si="270"/>
        <v>0</v>
      </c>
      <c r="BU48" s="231">
        <f t="shared" si="270"/>
        <v>0</v>
      </c>
      <c r="BV48" s="231">
        <f>IF($A48="a",IFERROR(VLOOKUP($B48 &amp; $C48&amp;BV$4,tblForecast,BV$2,FALSE),0),BT48+BU48)</f>
        <v>0</v>
      </c>
      <c r="BW48" s="231">
        <f t="shared" si="271"/>
        <v>0</v>
      </c>
      <c r="BX48" s="231">
        <f t="shared" si="271"/>
        <v>0</v>
      </c>
      <c r="BY48" s="193">
        <f>IFERROR(VLOOKUP($B48-IF(CompareVer="LY",1,0) &amp; $C48 &amp;BY$4,tblForecast,BY$2,FALSE),0)</f>
        <v>0</v>
      </c>
      <c r="BZ48" s="194">
        <f t="shared" si="25"/>
        <v>0</v>
      </c>
      <c r="CA48" s="337">
        <f t="shared" si="272"/>
        <v>0</v>
      </c>
      <c r="CB48" s="46">
        <f t="shared" si="272"/>
        <v>0</v>
      </c>
      <c r="CC48" s="46">
        <f>IF($A48="a",IFERROR(VLOOKUP($B48 &amp; $C48&amp;CC$4,tblForecast,CC$2,FALSE),0),CA48+CB48)</f>
        <v>0</v>
      </c>
      <c r="CD48" s="46">
        <f t="shared" si="273"/>
        <v>0</v>
      </c>
      <c r="CE48" s="46">
        <f t="shared" si="273"/>
        <v>0</v>
      </c>
      <c r="CF48" s="46">
        <f>IFERROR(VLOOKUP($B48-IF(CompareVer="LY",1,0) &amp; $C48 &amp;CF$4,tblForecast,CF$2,FALSE),0)</f>
        <v>0</v>
      </c>
      <c r="CG48" s="194">
        <f t="shared" si="28"/>
        <v>0</v>
      </c>
      <c r="CH48" s="337">
        <f t="shared" si="274"/>
        <v>0</v>
      </c>
      <c r="CI48" s="46">
        <f t="shared" si="274"/>
        <v>0</v>
      </c>
      <c r="CJ48" s="46">
        <f>IF($A48="a",IFERROR(VLOOKUP($B48 &amp; $C48&amp;CJ$4,tblForecast,CJ$2,FALSE),0),CH48+CI48)</f>
        <v>0</v>
      </c>
      <c r="CK48" s="46">
        <f t="shared" si="275"/>
        <v>0</v>
      </c>
      <c r="CL48" s="46">
        <f t="shared" si="275"/>
        <v>0</v>
      </c>
      <c r="CM48" s="46">
        <f>IFERROR(VLOOKUP($B48-IF(CompareVer="LY",1,0) &amp; $C48 &amp;CM$4,tblForecast,CM$2,FALSE),0)</f>
        <v>0</v>
      </c>
      <c r="CN48" s="194">
        <f t="shared" si="31"/>
        <v>0</v>
      </c>
      <c r="CO48" s="178">
        <f t="shared" si="46"/>
        <v>0</v>
      </c>
      <c r="CP48" s="223">
        <f t="shared" si="46"/>
        <v>0</v>
      </c>
      <c r="CQ48" s="194">
        <f t="shared" si="33"/>
        <v>0</v>
      </c>
      <c r="CR48" s="178">
        <f t="shared" si="44"/>
        <v>0</v>
      </c>
      <c r="CS48" s="223">
        <f t="shared" si="34"/>
        <v>0</v>
      </c>
      <c r="CT48" s="194">
        <f t="shared" si="47"/>
        <v>0</v>
      </c>
      <c r="CU48" s="44"/>
      <c r="CW48" s="102">
        <f>IFERROR(VLOOKUP($B48 &amp; $C48&amp;CompareVer,tblForecast,CW$2,FALSE),0)</f>
        <v>0</v>
      </c>
      <c r="CX48" s="48">
        <f>IFERROR(VLOOKUP($B48-IF(CompareVer="LY",1,0) &amp; $C48 &amp;CX$4,tblForecast,CX$2,FALSE),0)</f>
        <v>216921</v>
      </c>
      <c r="CY48" s="47">
        <f t="shared" si="36"/>
        <v>-1</v>
      </c>
      <c r="CZ48" s="278">
        <f>IFERROR(VLOOKUP(Brand&amp;Channel&amp;Country&amp;$C48,tblDiscount,6,FALSE),0)</f>
        <v>0.75</v>
      </c>
      <c r="DA48" s="279">
        <f>(1-CZ48)*DB48</f>
        <v>6.2549999999999999</v>
      </c>
      <c r="DB48" s="279">
        <f>IFERROR(VLOOKUP(Brand&amp;Country &amp; Channel &amp;FC,tblFCSettings,8,FALSE),0)</f>
        <v>25.02</v>
      </c>
      <c r="DC48" s="280">
        <f>IFERROR(VLOOKUP(Brand&amp;Country &amp; Channel &amp;FC,tblFCSettings,9,FALSE),0)</f>
        <v>4.16</v>
      </c>
    </row>
    <row r="49" spans="2:107" ht="16.5" thickBot="1" x14ac:dyDescent="0.3">
      <c r="C49" s="253" t="s">
        <v>312</v>
      </c>
      <c r="D49" s="254">
        <f t="shared" ref="D49" si="280">SUM(D45:D48)</f>
        <v>-6839588.350992999</v>
      </c>
      <c r="E49" s="255">
        <f t="shared" ref="E49" si="281">SUM(E45:E48)</f>
        <v>-14987736.322939999</v>
      </c>
      <c r="F49" s="256">
        <f t="shared" si="45"/>
        <v>2.1913214003243366</v>
      </c>
      <c r="G49" s="257">
        <f>SUM(G45:G48)</f>
        <v>-1313</v>
      </c>
      <c r="H49" s="258">
        <f>IFERROR(D49/G49,0)</f>
        <v>5209.130503421934</v>
      </c>
      <c r="I49" s="258">
        <f>IFERROR(SUMPRODUCT(I45:I48,G45:G48)/G49,0)</f>
        <v>-6205.7486458088351</v>
      </c>
      <c r="J49" s="257">
        <f>SUM(J45:J48)</f>
        <v>5137786</v>
      </c>
      <c r="K49" s="301">
        <f>SUM(K45:K48)</f>
        <v>1403694</v>
      </c>
      <c r="L49" s="259">
        <f>SUM(L45:L48)</f>
        <v>600710.65</v>
      </c>
      <c r="M49" s="259">
        <f t="shared" ref="M49:O49" si="282">SUM(M45:M48)</f>
        <v>600710.65</v>
      </c>
      <c r="N49" s="259">
        <f t="shared" si="282"/>
        <v>0</v>
      </c>
      <c r="O49" s="259">
        <f t="shared" si="282"/>
        <v>496922.22180000006</v>
      </c>
      <c r="P49" s="260">
        <f t="shared" si="39"/>
        <v>0.20886252143051154</v>
      </c>
      <c r="Q49" s="262">
        <f t="shared" ref="Q49:S49" si="283">SUM(Q45:Q48)</f>
        <v>86190</v>
      </c>
      <c r="R49" s="262">
        <f t="shared" si="283"/>
        <v>86190</v>
      </c>
      <c r="S49" s="262">
        <f t="shared" si="283"/>
        <v>0</v>
      </c>
      <c r="T49" s="262">
        <f>SUM(T45:T48)</f>
        <v>75876</v>
      </c>
      <c r="U49" s="260">
        <f t="shared" si="7"/>
        <v>0.13593231061205113</v>
      </c>
      <c r="V49" s="263">
        <f>V48</f>
        <v>0.95002093364036011</v>
      </c>
      <c r="W49" s="332">
        <f>W48</f>
        <v>0.95002093364036011</v>
      </c>
      <c r="X49" s="264">
        <f>X48</f>
        <v>1.0739424703891709</v>
      </c>
      <c r="Y49" s="254">
        <f>SUM(Y45:Y48)</f>
        <v>242160.24999999994</v>
      </c>
      <c r="Z49" s="259">
        <f t="shared" ref="Z49:AB49" si="284">SUM(Z45:Z48)</f>
        <v>242160.24999999994</v>
      </c>
      <c r="AA49" s="259">
        <f t="shared" si="284"/>
        <v>0</v>
      </c>
      <c r="AB49" s="259">
        <f t="shared" si="284"/>
        <v>215370.576</v>
      </c>
      <c r="AC49" s="260">
        <f t="shared" si="9"/>
        <v>0.12438873729900757</v>
      </c>
      <c r="AD49" s="265">
        <f>IFERROR(Y49/L49,0)</f>
        <v>0.4031229511246387</v>
      </c>
      <c r="AE49" s="266">
        <f>IFERROR(Z49/M49,0)</f>
        <v>0.4031229511246387</v>
      </c>
      <c r="AF49" s="266">
        <f>IFERROR(AA49/N49,0)</f>
        <v>0</v>
      </c>
      <c r="AG49" s="266">
        <f>IFERROR(AB49/O49,0)</f>
        <v>0.43340902570197753</v>
      </c>
      <c r="AH49" s="267">
        <f>IFERROR(SUMPRODUCT(AH45:AH48,Q45:Q48)/Q49,0)</f>
        <v>25.02</v>
      </c>
      <c r="AI49" s="268">
        <f>IFERROR(SUMPRODUCT(AI45:AI48,R45:R48)/R49,0)</f>
        <v>25.02</v>
      </c>
      <c r="AJ49" s="268">
        <f t="shared" ref="AJ49:AK49" si="285">IFERROR(SUMPRODUCT(AJ45:AJ48,S45:S48)/S49,0)</f>
        <v>0</v>
      </c>
      <c r="AK49" s="268">
        <f t="shared" si="285"/>
        <v>22.912264536875956</v>
      </c>
      <c r="AL49" s="260">
        <f t="shared" si="264"/>
        <v>9.1991582051253129E-2</v>
      </c>
      <c r="AM49" s="267">
        <f>IF(Q49&lt;&gt;0,L49/Q49,0)</f>
        <v>6.9696095834783618</v>
      </c>
      <c r="AN49" s="268">
        <f>IF(R49&lt;&gt;0,M49/R49,0)</f>
        <v>6.9696095834783618</v>
      </c>
      <c r="AO49" s="268">
        <f>IF(S49&lt;&gt;0,N49/S49,0)</f>
        <v>0</v>
      </c>
      <c r="AP49" s="268">
        <f>IF(T49&lt;&gt;0,O49/T49,0)</f>
        <v>6.549135718804366</v>
      </c>
      <c r="AQ49" s="260">
        <f t="shared" si="14"/>
        <v>6.4202954821458436E-2</v>
      </c>
      <c r="AR49" s="267">
        <f>IFERROR((L49*(1-AD49))/Q49,0)</f>
        <v>4.160000000000001</v>
      </c>
      <c r="AS49" s="268">
        <f>IFERROR((M49*(1-AE49))/R49,0)</f>
        <v>4.160000000000001</v>
      </c>
      <c r="AT49" s="268">
        <f>IFERROR((N49*(1-AF49))/S49,0)</f>
        <v>0</v>
      </c>
      <c r="AU49" s="268">
        <f>IFERROR((O49*(1-AG49))/T49,0)</f>
        <v>3.7106811877273445</v>
      </c>
      <c r="AV49" s="260">
        <f t="shared" si="16"/>
        <v>0.12108795920240389</v>
      </c>
      <c r="AW49" s="269">
        <f>IFERROR(SUMPRODUCT(AW45:AW48,V45:V48)/V49,0)</f>
        <v>2.7834514685566019</v>
      </c>
      <c r="AX49" s="270">
        <f t="shared" ref="AX49:AZ49" si="286">IFERROR(SUMPRODUCT(AX45:AX48,X45:X48)/X49,0)</f>
        <v>2.4201305773899078</v>
      </c>
      <c r="AY49" s="270">
        <f t="shared" si="286"/>
        <v>0</v>
      </c>
      <c r="AZ49" s="270">
        <f t="shared" si="286"/>
        <v>0.71336906564823555</v>
      </c>
      <c r="BA49" s="261">
        <f>BA48</f>
        <v>233567</v>
      </c>
      <c r="BB49" s="262">
        <f t="shared" ref="BB49:BD49" si="287">BB48</f>
        <v>233567</v>
      </c>
      <c r="BC49" s="262">
        <f t="shared" si="287"/>
        <v>0</v>
      </c>
      <c r="BD49" s="262">
        <f t="shared" si="287"/>
        <v>237299</v>
      </c>
      <c r="BE49" s="260">
        <f t="shared" si="19"/>
        <v>-1.572699421405066E-2</v>
      </c>
      <c r="BF49" s="262">
        <f>BF48</f>
        <v>0</v>
      </c>
      <c r="BG49" s="262">
        <f>BG48</f>
        <v>20378</v>
      </c>
      <c r="BH49" s="271">
        <f>IF(Q49&lt;&gt;0,(BA49*COUNTIF(BH45:BH48,"&lt;&gt;0")/Q49),0)</f>
        <v>10.839633368140156</v>
      </c>
      <c r="BI49" s="272">
        <f>IF(T49&lt;&gt;0,(BD49*COUNTIF(BI45:BI48,"&lt;&gt;0")/T49),0)</f>
        <v>12.509831830881966</v>
      </c>
      <c r="BJ49" s="273">
        <f t="shared" ref="BJ49" si="288">IF(BA49&lt;&gt;0,(Q49/COUNTIF(BJ45:BJ48,"&lt;&gt;0"))/BA49,0)</f>
        <v>9.2254042737201739E-2</v>
      </c>
      <c r="BK49" s="274">
        <f t="shared" ref="BK49" si="289">IF(BD49&lt;&gt;0,(T49/COUNTIF(BK45:BK48,"&lt;&gt;0"))/BD49,0)</f>
        <v>7.9937125735885947E-2</v>
      </c>
      <c r="BL49" s="261">
        <f>SUM(BL45:BL48)</f>
        <v>0</v>
      </c>
      <c r="BM49" s="262">
        <f>SUM(BM45:BM48)</f>
        <v>-334</v>
      </c>
      <c r="BN49" s="261">
        <f>SUM(BN45:BN48)</f>
        <v>0</v>
      </c>
      <c r="BO49" s="262">
        <f t="shared" ref="BO49:BQ49" si="290">SUM(BO45:BO48)</f>
        <v>482</v>
      </c>
      <c r="BP49" s="261">
        <f>SUM(BP45:BP48)</f>
        <v>0</v>
      </c>
      <c r="BQ49" s="262">
        <f t="shared" si="290"/>
        <v>5399</v>
      </c>
      <c r="BR49" s="261">
        <f t="shared" si="43"/>
        <v>0</v>
      </c>
      <c r="BS49" s="262">
        <f t="shared" si="22"/>
        <v>-4917</v>
      </c>
      <c r="BT49" s="261">
        <f>SUM(BT45:BT48)</f>
        <v>0</v>
      </c>
      <c r="BU49" s="262">
        <f>SUM(BU45:BU48)</f>
        <v>0</v>
      </c>
      <c r="BV49" s="262">
        <f>SUM(BV45:BV48)</f>
        <v>0</v>
      </c>
      <c r="BW49" s="262">
        <f t="shared" ref="BW49:BX49" si="291">SUM(BW45:BW48)</f>
        <v>0</v>
      </c>
      <c r="BX49" s="262">
        <f t="shared" si="291"/>
        <v>0</v>
      </c>
      <c r="BY49" s="275">
        <f>SUM(BY45:BY48)</f>
        <v>0</v>
      </c>
      <c r="BZ49" s="260">
        <f t="shared" si="25"/>
        <v>0</v>
      </c>
      <c r="CA49" s="338">
        <f>SUM(CA45:CA48)</f>
        <v>0</v>
      </c>
      <c r="CB49" s="259">
        <f t="shared" ref="CB49:CF49" si="292">SUM(CB45:CB48)</f>
        <v>0</v>
      </c>
      <c r="CC49" s="259">
        <f t="shared" si="292"/>
        <v>0</v>
      </c>
      <c r="CD49" s="259">
        <f t="shared" si="292"/>
        <v>0</v>
      </c>
      <c r="CE49" s="259">
        <f t="shared" si="292"/>
        <v>0</v>
      </c>
      <c r="CF49" s="259">
        <f t="shared" si="292"/>
        <v>0</v>
      </c>
      <c r="CG49" s="260">
        <f t="shared" si="28"/>
        <v>0</v>
      </c>
      <c r="CH49" s="338">
        <f>SUM(CH45:CH48)</f>
        <v>0</v>
      </c>
      <c r="CI49" s="259">
        <f t="shared" ref="CI49:CM49" si="293">SUM(CI45:CI48)</f>
        <v>0</v>
      </c>
      <c r="CJ49" s="259">
        <f t="shared" si="293"/>
        <v>0</v>
      </c>
      <c r="CK49" s="259">
        <f t="shared" si="293"/>
        <v>0</v>
      </c>
      <c r="CL49" s="259">
        <f t="shared" si="293"/>
        <v>0</v>
      </c>
      <c r="CM49" s="259">
        <f t="shared" si="293"/>
        <v>0</v>
      </c>
      <c r="CN49" s="260">
        <f t="shared" si="31"/>
        <v>0</v>
      </c>
      <c r="CO49" s="276">
        <f t="shared" si="46"/>
        <v>0</v>
      </c>
      <c r="CP49" s="277">
        <f t="shared" si="46"/>
        <v>0</v>
      </c>
      <c r="CQ49" s="260">
        <f t="shared" si="33"/>
        <v>0</v>
      </c>
      <c r="CR49" s="276">
        <f t="shared" si="44"/>
        <v>0</v>
      </c>
      <c r="CS49" s="277">
        <f t="shared" si="34"/>
        <v>0</v>
      </c>
      <c r="CT49" s="260">
        <f t="shared" si="47"/>
        <v>0</v>
      </c>
      <c r="CU49" s="44"/>
      <c r="CW49" s="100">
        <f>CW48</f>
        <v>0</v>
      </c>
      <c r="CX49" s="101">
        <f>CX48</f>
        <v>216921</v>
      </c>
      <c r="CY49" s="99">
        <f t="shared" si="36"/>
        <v>-1</v>
      </c>
      <c r="CZ49" s="278"/>
      <c r="DA49" s="279"/>
      <c r="DB49" s="279"/>
      <c r="DC49" s="280"/>
    </row>
    <row r="50" spans="2:107" x14ac:dyDescent="0.25">
      <c r="B50" s="44">
        <v>2018</v>
      </c>
      <c r="C50" s="88">
        <v>31</v>
      </c>
      <c r="D50" s="51">
        <f>G50*H50</f>
        <v>-6294952.2662959993</v>
      </c>
      <c r="E50" s="202">
        <f>IFERROR(D50*F50,0)</f>
        <v>-6183582.4635159997</v>
      </c>
      <c r="F50" s="182">
        <f t="shared" si="45"/>
        <v>0.98230807827149247</v>
      </c>
      <c r="G50" s="176">
        <f t="shared" ref="G50:I54" si="294">IFERROR(VLOOKUP($B50 &amp; $C50&amp;G$4&amp;$A50,tblForecast,G$2,FALSE),0)</f>
        <v>-193394</v>
      </c>
      <c r="H50" s="203">
        <f t="shared" si="294"/>
        <v>32.549883999999999</v>
      </c>
      <c r="I50" s="203">
        <f t="shared" si="294"/>
        <v>0.57586999999999999</v>
      </c>
      <c r="J50" s="176">
        <f>IFERROR(VLOOKUP($B50 &amp; $C50&amp;J$4&amp;$A50,tblForecast,J$2,FALSE),0)+IFERROR(VLOOKUP($B50 &amp; $C50 &amp; J$4 &amp; $A50,tblForecast,J$2+1,FALSE),0)</f>
        <v>1177112</v>
      </c>
      <c r="K50" s="300">
        <f>IFERROR(VLOOKUP($B50 &amp; $C50&amp;K$4&amp;$A50,tblForecast,K$2,FALSE),0)+IFERROR(VLOOKUP($B50 &amp; $C50&amp;K$4&amp;$A50,tblForecast,K$2+1,FALSE),0)</f>
        <v>0</v>
      </c>
      <c r="L50" s="90">
        <f t="shared" ref="L50:O54" si="295">Q50*AM50</f>
        <v>102275.87999999999</v>
      </c>
      <c r="M50" s="90">
        <f t="shared" si="295"/>
        <v>102275.87999999999</v>
      </c>
      <c r="N50" s="46">
        <f t="shared" si="295"/>
        <v>0</v>
      </c>
      <c r="O50" s="46">
        <f t="shared" si="295"/>
        <v>67445.592000000004</v>
      </c>
      <c r="P50" s="47">
        <f t="shared" si="39"/>
        <v>0.51642052456148635</v>
      </c>
      <c r="Q50" s="242">
        <f>ROUND(IF(BA48-(Q48*IF(W50=0,X50,W50))&lt;0,BA48,Q48*IF(W50=0,X50,W50)),0)</f>
        <v>16338</v>
      </c>
      <c r="R50" s="240">
        <f t="shared" ref="R50:S54" si="296">IFERROR(VLOOKUP($B50 &amp; $C50&amp;R$4,tblForecast,R$2,FALSE),0)</f>
        <v>16338</v>
      </c>
      <c r="S50" s="240">
        <f t="shared" si="296"/>
        <v>0</v>
      </c>
      <c r="T50" s="240">
        <f>IFERROR(VLOOKUP($B50-IF(CompareVer="LY",1,0) &amp; $C50 &amp;T$4,tblForecast,T$2,FALSE),0)</f>
        <v>10590</v>
      </c>
      <c r="U50" s="91">
        <f t="shared" si="7"/>
        <v>0.54277620396600557</v>
      </c>
      <c r="V50" s="249">
        <f>IFERROR(IF(Q48&gt;0,Q50/Q48,0),0)</f>
        <v>0.90001652619401751</v>
      </c>
      <c r="W50" s="334">
        <f>IFERROR(IF(R48&gt;0,R50/R48,0),0)</f>
        <v>0.90001652619401751</v>
      </c>
      <c r="X50" s="250">
        <f>IFERROR(IF(T48&gt;0,T50/T48,0),0)</f>
        <v>0.83425240270994172</v>
      </c>
      <c r="Y50" s="51">
        <f t="shared" ref="Y50:AB54" si="297">IFERROR(L50*AD50,0)</f>
        <v>34309.799999999988</v>
      </c>
      <c r="Z50" s="46">
        <f t="shared" si="297"/>
        <v>34309.799999999988</v>
      </c>
      <c r="AA50" s="46">
        <f t="shared" si="297"/>
        <v>0</v>
      </c>
      <c r="AB50" s="46">
        <f t="shared" si="297"/>
        <v>29592.696000000004</v>
      </c>
      <c r="AC50" s="91">
        <f t="shared" si="9"/>
        <v>0.15940095488427231</v>
      </c>
      <c r="AD50" s="75">
        <f>IF(AM50&lt;&gt;0,1-AR50/AM50,0)</f>
        <v>0.33546325878594241</v>
      </c>
      <c r="AE50" s="93">
        <f t="shared" ref="AE50:AG54" si="298">IF(AN50&lt;&gt;0,1-AS50/AN50,0)</f>
        <v>0.33546325878594241</v>
      </c>
      <c r="AF50" s="93">
        <f t="shared" si="298"/>
        <v>0</v>
      </c>
      <c r="AG50" s="76">
        <f t="shared" si="298"/>
        <v>0.43876397437507852</v>
      </c>
      <c r="AH50" s="73">
        <f>IF(IFERROR(VLOOKUP($B50 &amp; $C50&amp;AH$4,tblForecast,AH$2,FALSE),0)=0,DB50,IFERROR(VLOOKUP($B50 &amp; $C50&amp;AH$4,tblForecast,AH$2,FALSE),0))</f>
        <v>25.02</v>
      </c>
      <c r="AI50" s="94">
        <f t="shared" ref="AI50:AJ54" si="299">IFERROR(VLOOKUP($B50 &amp; $C50&amp;AI$4,tblForecast,AI$2,FALSE),0)</f>
        <v>25.02</v>
      </c>
      <c r="AJ50" s="94">
        <f t="shared" si="299"/>
        <v>0</v>
      </c>
      <c r="AK50" s="49">
        <f>IFERROR(VLOOKUP($B50-IF(CompareVer="LY",1,0) &amp; $C50 &amp;AK$4,tblForecast,AK$2,FALSE),0)</f>
        <v>22.009799999999998</v>
      </c>
      <c r="AL50" s="47">
        <f t="shared" si="264"/>
        <v>0.13676634953520717</v>
      </c>
      <c r="AM50" s="73">
        <f>IF(IFERROR(VLOOKUP($B50 &amp; $C50&amp;AM$4,tblForecast,AM$2,FALSE),0)=0,DA50,IFERROR(VLOOKUP($B50 &amp; $C50&amp;AM$4,tblForecast,AM$2,FALSE),0))</f>
        <v>6.26</v>
      </c>
      <c r="AN50" s="94">
        <f t="shared" ref="AN50:AO54" si="300">IFERROR(VLOOKUP($B50 &amp; $C50&amp;AN$4,tblForecast,AN$2,FALSE),0)</f>
        <v>6.26</v>
      </c>
      <c r="AO50" s="94">
        <f t="shared" si="300"/>
        <v>0</v>
      </c>
      <c r="AP50" s="49">
        <f>IFERROR(VLOOKUP($B50-IF(CompareVer="LY",1,0) &amp; $C50 &amp;AP$4,tblForecast,AP$2,FALSE),0)</f>
        <v>6.3688000000000002</v>
      </c>
      <c r="AQ50" s="47">
        <f t="shared" si="14"/>
        <v>-1.7083280994850014E-2</v>
      </c>
      <c r="AR50" s="73">
        <f>IF(IFERROR(VLOOKUP($B50 &amp; $C50&amp;AR$4,tblForecast,AR$2,FALSE),0)=0,DC50,IFERROR(VLOOKUP($B50 &amp; $C50&amp;AR$4,tblForecast,AR$2,FALSE),0))</f>
        <v>4.16</v>
      </c>
      <c r="AS50" s="94">
        <f t="shared" ref="AS50:AT54" si="301">IFERROR(VLOOKUP($B50 &amp; $C50&amp;AS$4,tblForecast,AS$2,FALSE),0)</f>
        <v>4.16</v>
      </c>
      <c r="AT50" s="94">
        <f t="shared" si="301"/>
        <v>0</v>
      </c>
      <c r="AU50" s="49">
        <f>IFERROR(VLOOKUP($B50-IF(CompareVer="LY",1,0) &amp; $C50 &amp;AU$4,tblForecast,AU$2,FALSE),0)</f>
        <v>3.5743999999999998</v>
      </c>
      <c r="AV50" s="47">
        <f t="shared" si="16"/>
        <v>0.16383169203222936</v>
      </c>
      <c r="AW50" s="191">
        <f t="shared" ref="AW50:AZ54" si="302">IFERROR((AM50/AH50-1)*-1,0)</f>
        <v>0.74980015987210225</v>
      </c>
      <c r="AX50" s="192">
        <f t="shared" si="302"/>
        <v>0.74980015987210225</v>
      </c>
      <c r="AY50" s="192">
        <f t="shared" si="302"/>
        <v>0</v>
      </c>
      <c r="AZ50" s="192">
        <f t="shared" si="302"/>
        <v>0.71063798853238103</v>
      </c>
      <c r="BA50" s="235">
        <f>IF(BA49+BV50+BL50+BR50-Q50&lt;0,0,BA49+BV50+BL50+BR50-Q50)</f>
        <v>217229</v>
      </c>
      <c r="BB50" s="231">
        <f>IF(IFERROR(VLOOKUP($B50 &amp; $C50&amp;BB$4,tblForecast,BB$2,FALSE),0)=0,BA50,IFERROR(VLOOKUP($B50 &amp; $C50&amp;BB$4,tblForecast,BB$2,FALSE),0))</f>
        <v>217229</v>
      </c>
      <c r="BC50" s="231">
        <f>IFERROR(VLOOKUP($B50-IF(CompareVer="LY",1,0) &amp; $C50 &amp;BC$4,tblForecast,BC$2,FALSE),0)</f>
        <v>0</v>
      </c>
      <c r="BD50" s="231">
        <f t="shared" ref="BD50:BD54" si="303">CX50+BG50</f>
        <v>226334</v>
      </c>
      <c r="BE50" s="194">
        <f t="shared" si="19"/>
        <v>-4.0228158385395063E-2</v>
      </c>
      <c r="BF50" s="231">
        <f>IFERROR(VLOOKUP($B50 &amp; $C50&amp;IF($A50="a",BG$4,BF$4),tblForecast,BF$2,FALSE),0)</f>
        <v>0</v>
      </c>
      <c r="BG50" s="228">
        <f>IFERROR(VLOOKUP($B50-IF(CompareVer="LY",1,0) &amp; $C50 &amp;BG$4,tblForecast,BG$2,FALSE),0)</f>
        <v>20356</v>
      </c>
      <c r="BH50" s="179">
        <f>IF(Q50&lt;&gt;0,BA50/Q50,0)</f>
        <v>13.295935855061819</v>
      </c>
      <c r="BI50" s="183">
        <f>IF(T50&lt;&gt;0,BD50/T50,0)</f>
        <v>21.372426817752597</v>
      </c>
      <c r="BJ50" s="195">
        <f t="shared" ref="BJ50:BJ54" si="304">IF(BA50&lt;&gt;0,Q50/BA50,0)</f>
        <v>7.5210952497134359E-2</v>
      </c>
      <c r="BK50" s="50">
        <f t="shared" ref="BK50:BK54" si="305">IF(BD50&lt;&gt;0,T50/BD50,0)</f>
        <v>4.6789258352699994E-2</v>
      </c>
      <c r="BL50" s="234">
        <f>IFERROR(VLOOKUP($B50 &amp; $C50&amp;IF($A50="a",BM$4,BL$4),tblForecast,BL$2,FALSE),0)</f>
        <v>0</v>
      </c>
      <c r="BM50" s="228">
        <f>IFERROR(VLOOKUP($B50-IF(CompareVer="LY",1,0) &amp; $C50 &amp;BM$4,tblForecast,BM$2,FALSE),0)</f>
        <v>-82</v>
      </c>
      <c r="BN50" s="234">
        <f>IFERROR(VLOOKUP($B50 &amp; $C50&amp;IF($A50="a",BO$4,BN$4),tblForecast,BN$2,FALSE),0)</f>
        <v>0</v>
      </c>
      <c r="BO50" s="228">
        <f>IFERROR(VLOOKUP($B50-IF(CompareVer="LY",1,0) &amp; $C50 &amp;BO$4,tblForecast,BO$2,FALSE),0)</f>
        <v>164</v>
      </c>
      <c r="BP50" s="234">
        <f>IFERROR(VLOOKUP($B50 &amp; $C50&amp;IF($A50="a",BQ$4,BP$4),tblForecast,BP$2,FALSE),0)</f>
        <v>0</v>
      </c>
      <c r="BQ50" s="228">
        <f>IFERROR(VLOOKUP($B50-IF(CompareVer="LY",1,0) &amp; $C50 &amp;BQ$4,tblForecast,BQ$2,FALSE),0)</f>
        <v>459</v>
      </c>
      <c r="BR50" s="227">
        <f t="shared" si="43"/>
        <v>0</v>
      </c>
      <c r="BS50" s="231">
        <f t="shared" si="22"/>
        <v>-295</v>
      </c>
      <c r="BT50" s="234">
        <f t="shared" ref="BT50:BU54" si="306">IFERROR(VLOOKUP($B50 &amp; $C50&amp;BT$4,tblForecast,BT$2,FALSE),0)</f>
        <v>0</v>
      </c>
      <c r="BU50" s="231">
        <f t="shared" si="306"/>
        <v>0</v>
      </c>
      <c r="BV50" s="231">
        <f>IF($A50="a",IFERROR(VLOOKUP($B50 &amp; $C50&amp;BV$4,tblForecast,BV$2,FALSE),0),BT50+BU50)</f>
        <v>0</v>
      </c>
      <c r="BW50" s="231">
        <f t="shared" ref="BW50:BX54" si="307">IFERROR(VLOOKUP($B50 &amp; $C50&amp;BW$4,tblForecast,BW$2,FALSE),0)</f>
        <v>0</v>
      </c>
      <c r="BX50" s="231">
        <f t="shared" si="307"/>
        <v>0</v>
      </c>
      <c r="BY50" s="193">
        <f>IFERROR(VLOOKUP($B50-IF(CompareVer="LY",1,0) &amp; $C50 &amp;BY$4,tblForecast,BY$2,FALSE),0)</f>
        <v>0</v>
      </c>
      <c r="BZ50" s="194">
        <f t="shared" si="25"/>
        <v>0</v>
      </c>
      <c r="CA50" s="337">
        <f t="shared" ref="CA50:CB54" si="308">IFERROR(VLOOKUP($B50 &amp; $C50&amp;CA$4,tblForecast,CA$2,FALSE),0)</f>
        <v>0</v>
      </c>
      <c r="CB50" s="46">
        <f t="shared" si="308"/>
        <v>0</v>
      </c>
      <c r="CC50" s="46">
        <f>IF($A50="a",IFERROR(VLOOKUP($B50 &amp; $C50&amp;CC$4,tblForecast,CC$2,FALSE),0),CA50+CB50)</f>
        <v>0</v>
      </c>
      <c r="CD50" s="46">
        <f t="shared" ref="CD50:CE54" si="309">IFERROR(VLOOKUP($B50 &amp; $C50&amp;CD$4,tblForecast,CD$2,FALSE),0)</f>
        <v>0</v>
      </c>
      <c r="CE50" s="46">
        <f t="shared" si="309"/>
        <v>0</v>
      </c>
      <c r="CF50" s="46">
        <f>IFERROR(VLOOKUP($B50-IF(CompareVer="LY",1,0) &amp; $C50 &amp;CF$4,tblForecast,CF$2,FALSE),0)</f>
        <v>0</v>
      </c>
      <c r="CG50" s="194">
        <f t="shared" si="28"/>
        <v>0</v>
      </c>
      <c r="CH50" s="337">
        <f t="shared" ref="CH50:CI54" si="310">IFERROR(VLOOKUP($B50 &amp; $C50&amp;CH$4,tblForecast,CH$2,FALSE),0)</f>
        <v>0</v>
      </c>
      <c r="CI50" s="46">
        <f t="shared" si="310"/>
        <v>0</v>
      </c>
      <c r="CJ50" s="46">
        <f>IF($A50="a",IFERROR(VLOOKUP($B50 &amp; $C50&amp;CJ$4,tblForecast,CJ$2,FALSE),0),CH50+CI50)</f>
        <v>0</v>
      </c>
      <c r="CK50" s="46">
        <f t="shared" ref="CK50:CL54" si="311">IFERROR(VLOOKUP($B50 &amp; $C50&amp;CK$4,tblForecast,CK$2,FALSE),0)</f>
        <v>0</v>
      </c>
      <c r="CL50" s="46">
        <f t="shared" si="311"/>
        <v>0</v>
      </c>
      <c r="CM50" s="46">
        <f>IFERROR(VLOOKUP($B50-IF(CompareVer="LY",1,0) &amp; $C50 &amp;CM$4,tblForecast,CM$2,FALSE),0)</f>
        <v>0</v>
      </c>
      <c r="CN50" s="194">
        <f t="shared" si="31"/>
        <v>0</v>
      </c>
      <c r="CO50" s="178">
        <f t="shared" si="46"/>
        <v>0</v>
      </c>
      <c r="CP50" s="223">
        <f t="shared" si="46"/>
        <v>0</v>
      </c>
      <c r="CQ50" s="194">
        <f t="shared" si="33"/>
        <v>0</v>
      </c>
      <c r="CR50" s="178">
        <f t="shared" si="44"/>
        <v>0</v>
      </c>
      <c r="CS50" s="223">
        <f t="shared" si="34"/>
        <v>0</v>
      </c>
      <c r="CT50" s="194">
        <f t="shared" si="47"/>
        <v>0</v>
      </c>
      <c r="CU50" s="44"/>
      <c r="CW50" s="102">
        <f>IFERROR(VLOOKUP($B50 &amp; $C50&amp;CompareVer,tblForecast,CW$2,FALSE),0)</f>
        <v>0</v>
      </c>
      <c r="CX50" s="48">
        <f>IFERROR(VLOOKUP($B50-IF(CompareVer="LY",1,0) &amp; $C50 &amp;CX$4,tblForecast,CX$2,FALSE),0)</f>
        <v>205978</v>
      </c>
      <c r="CY50" s="47">
        <f t="shared" si="36"/>
        <v>-1</v>
      </c>
      <c r="CZ50" s="278">
        <f>IFERROR(VLOOKUP(Brand&amp;Channel&amp;Country&amp;$C50,tblDiscount,6,FALSE),0)</f>
        <v>0.75</v>
      </c>
      <c r="DA50" s="279">
        <f>(1-CZ50)*DB50</f>
        <v>6.2549999999999999</v>
      </c>
      <c r="DB50" s="279">
        <f>IFERROR(VLOOKUP(Brand&amp;Country &amp; Channel &amp;FC,tblFCSettings,8,FALSE),0)</f>
        <v>25.02</v>
      </c>
      <c r="DC50" s="280">
        <f>IFERROR(VLOOKUP(Brand&amp;Country &amp; Channel &amp;FC,tblFCSettings,9,FALSE),0)</f>
        <v>4.16</v>
      </c>
    </row>
    <row r="51" spans="2:107" x14ac:dyDescent="0.25">
      <c r="B51" s="44">
        <v>2018</v>
      </c>
      <c r="C51" s="88">
        <v>32</v>
      </c>
      <c r="D51" s="51">
        <f t="shared" ref="D51:D54" si="312">G51*H51</f>
        <v>-6654420.0003920002</v>
      </c>
      <c r="E51" s="202">
        <f t="shared" ref="E51:E54" si="313">IFERROR(D51*F51,0)</f>
        <v>-6550877.4022239996</v>
      </c>
      <c r="F51" s="182">
        <f t="shared" si="45"/>
        <v>0.98444002660458751</v>
      </c>
      <c r="G51" s="176">
        <f t="shared" si="294"/>
        <v>-217342</v>
      </c>
      <c r="H51" s="203">
        <f t="shared" si="294"/>
        <v>30.617276</v>
      </c>
      <c r="I51" s="203">
        <f t="shared" si="294"/>
        <v>0.47640399999999999</v>
      </c>
      <c r="J51" s="176">
        <f>IFERROR(VLOOKUP($B51 &amp; $C51&amp;J$4&amp;$A51,tblForecast,J$2,FALSE),0)+IFERROR(VLOOKUP($B51 &amp; $C51 &amp; J$4 &amp; $A51,tblForecast,J$2+1,FALSE),0)</f>
        <v>1134502</v>
      </c>
      <c r="K51" s="300">
        <f>IFERROR(VLOOKUP($B51 &amp; $C51&amp;K$4&amp;$A51,tblForecast,K$2,FALSE),0)+IFERROR(VLOOKUP($B51 &amp; $C51&amp;K$4&amp;$A51,tblForecast,K$2+1,FALSE),0)</f>
        <v>0</v>
      </c>
      <c r="L51" s="90">
        <f t="shared" si="295"/>
        <v>86932.62</v>
      </c>
      <c r="M51" s="90">
        <f t="shared" si="295"/>
        <v>86932.62</v>
      </c>
      <c r="N51" s="46">
        <f t="shared" si="295"/>
        <v>0</v>
      </c>
      <c r="O51" s="46">
        <f t="shared" si="295"/>
        <v>61165.572199999995</v>
      </c>
      <c r="P51" s="47">
        <f t="shared" si="39"/>
        <v>0.42126717486998344</v>
      </c>
      <c r="Q51" s="242">
        <f t="shared" ref="Q51:Q54" si="314">ROUND(IF(BA50-(Q50*IF(W51=0,X51,W51))&lt;0,BA50,Q50*IF(W51=0,X51,W51)),0)</f>
        <v>13887</v>
      </c>
      <c r="R51" s="240">
        <f t="shared" si="296"/>
        <v>13887</v>
      </c>
      <c r="S51" s="240">
        <f t="shared" si="296"/>
        <v>0</v>
      </c>
      <c r="T51" s="240">
        <f>IFERROR(VLOOKUP($B51-IF(CompareVer="LY",1,0) &amp; $C51 &amp;T$4,tblForecast,T$2,FALSE),0)</f>
        <v>12517</v>
      </c>
      <c r="U51" s="91">
        <f t="shared" si="7"/>
        <v>0.10945114644084053</v>
      </c>
      <c r="V51" s="249">
        <f t="shared" ref="V51:W54" si="315">IFERROR(IF(Q50&lt;&gt;0,Q51/Q50,0),0)</f>
        <v>0.84998163789937564</v>
      </c>
      <c r="W51" s="334">
        <f t="shared" si="315"/>
        <v>0.84998163789937564</v>
      </c>
      <c r="X51" s="250">
        <f t="shared" ref="X51:X54" si="316">IFERROR(IF(T50&lt;&gt;0,T51/T50,0),0)</f>
        <v>1.1819641170915958</v>
      </c>
      <c r="Y51" s="51">
        <f t="shared" si="297"/>
        <v>29162.69999999999</v>
      </c>
      <c r="Z51" s="46">
        <f t="shared" si="297"/>
        <v>29162.69999999999</v>
      </c>
      <c r="AA51" s="46">
        <f t="shared" si="297"/>
        <v>0</v>
      </c>
      <c r="AB51" s="46">
        <f t="shared" si="297"/>
        <v>15601.188799999993</v>
      </c>
      <c r="AC51" s="91">
        <f t="shared" si="9"/>
        <v>0.86926139884929809</v>
      </c>
      <c r="AD51" s="75">
        <f>IF(AM51&lt;&gt;0,1-AR51/AM51,0)</f>
        <v>0.33546325878594241</v>
      </c>
      <c r="AE51" s="93">
        <f t="shared" si="298"/>
        <v>0.33546325878594241</v>
      </c>
      <c r="AF51" s="93">
        <f t="shared" si="298"/>
        <v>0</v>
      </c>
      <c r="AG51" s="76">
        <f t="shared" si="298"/>
        <v>0.25506487128064492</v>
      </c>
      <c r="AH51" s="73">
        <f>IF(IFERROR(VLOOKUP($B51 &amp; $C51&amp;AH$4,tblForecast,AH$2,FALSE),0)=0,DB51,IFERROR(VLOOKUP($B51 &amp; $C51&amp;AH$4,tblForecast,AH$2,FALSE),0))</f>
        <v>25.02</v>
      </c>
      <c r="AI51" s="94">
        <f t="shared" si="299"/>
        <v>25.02</v>
      </c>
      <c r="AJ51" s="94">
        <f t="shared" si="299"/>
        <v>0</v>
      </c>
      <c r="AK51" s="49">
        <f>IFERROR(VLOOKUP($B51-IF(CompareVer="LY",1,0) &amp; $C51 &amp;AK$4,tblForecast,AK$2,FALSE),0)</f>
        <v>22.372499999999999</v>
      </c>
      <c r="AL51" s="47">
        <f t="shared" si="264"/>
        <v>0.11833724438484761</v>
      </c>
      <c r="AM51" s="73">
        <f>IF(IFERROR(VLOOKUP($B51 &amp; $C51&amp;AM$4,tblForecast,AM$2,FALSE),0)=0,DA51,IFERROR(VLOOKUP($B51 &amp; $C51&amp;AM$4,tblForecast,AM$2,FALSE),0))</f>
        <v>6.26</v>
      </c>
      <c r="AN51" s="94">
        <f t="shared" si="300"/>
        <v>6.26</v>
      </c>
      <c r="AO51" s="94">
        <f t="shared" si="300"/>
        <v>0</v>
      </c>
      <c r="AP51" s="49">
        <f>IFERROR(VLOOKUP($B51-IF(CompareVer="LY",1,0) &amp; $C51 &amp;AP$4,tblForecast,AP$2,FALSE),0)</f>
        <v>4.8865999999999996</v>
      </c>
      <c r="AQ51" s="47">
        <f t="shared" si="14"/>
        <v>0.2810543117914297</v>
      </c>
      <c r="AR51" s="73">
        <f>IF(IFERROR(VLOOKUP($B51 &amp; $C51&amp;AR$4,tblForecast,AR$2,FALSE),0)=0,DC51,IFERROR(VLOOKUP($B51 &amp; $C51&amp;AR$4,tblForecast,AR$2,FALSE),0))</f>
        <v>4.16</v>
      </c>
      <c r="AS51" s="94">
        <f t="shared" si="301"/>
        <v>4.16</v>
      </c>
      <c r="AT51" s="94">
        <f t="shared" si="301"/>
        <v>0</v>
      </c>
      <c r="AU51" s="49">
        <f>IFERROR(VLOOKUP($B51-IF(CompareVer="LY",1,0) &amp; $C51 &amp;AU$4,tblForecast,AU$2,FALSE),0)</f>
        <v>3.6402000000000001</v>
      </c>
      <c r="AV51" s="47">
        <f t="shared" si="16"/>
        <v>0.14279435195868362</v>
      </c>
      <c r="AW51" s="191">
        <f t="shared" si="302"/>
        <v>0.74980015987210225</v>
      </c>
      <c r="AX51" s="192">
        <f t="shared" si="302"/>
        <v>0.74980015987210225</v>
      </c>
      <c r="AY51" s="192">
        <f t="shared" si="302"/>
        <v>0</v>
      </c>
      <c r="AZ51" s="192">
        <f t="shared" si="302"/>
        <v>0.78158006481171083</v>
      </c>
      <c r="BA51" s="235">
        <f>IF(BA50+BV51+BL51+BR51-Q51&lt;0,0,BA50+BV51+BL51+BR51-Q51)</f>
        <v>203342</v>
      </c>
      <c r="BB51" s="231">
        <f>IF(IFERROR(VLOOKUP($B51 &amp; $C51&amp;BB$4,tblForecast,BB$2,FALSE),0)=0,BA51,IFERROR(VLOOKUP($B51 &amp; $C51&amp;BB$4,tblForecast,BB$2,FALSE),0))</f>
        <v>203342</v>
      </c>
      <c r="BC51" s="231">
        <f>IFERROR(VLOOKUP($B51-IF(CompareVer="LY",1,0) &amp; $C51 &amp;BC$4,tblForecast,BC$2,FALSE),0)</f>
        <v>0</v>
      </c>
      <c r="BD51" s="231">
        <f t="shared" si="303"/>
        <v>212001</v>
      </c>
      <c r="BE51" s="194">
        <f t="shared" si="19"/>
        <v>-4.0844146961570904E-2</v>
      </c>
      <c r="BF51" s="231">
        <f>IFERROR(VLOOKUP($B51 &amp; $C51&amp;IF($A51="a",BG$4,BF$4),tblForecast,BF$2,FALSE),0)</f>
        <v>0</v>
      </c>
      <c r="BG51" s="228">
        <f>IFERROR(VLOOKUP($B51-IF(CompareVer="LY",1,0) &amp; $C51 &amp;BG$4,tblForecast,BG$2,FALSE),0)</f>
        <v>20360</v>
      </c>
      <c r="BH51" s="179">
        <f>IF(Q51&lt;&gt;0,BA51/Q51,0)</f>
        <v>14.642615395693815</v>
      </c>
      <c r="BI51" s="183">
        <f>IF(T51&lt;&gt;0,BD51/T51,0)</f>
        <v>16.937045617959576</v>
      </c>
      <c r="BJ51" s="195">
        <f t="shared" si="304"/>
        <v>6.8293810427752261E-2</v>
      </c>
      <c r="BK51" s="50">
        <f t="shared" si="305"/>
        <v>5.904217432936637E-2</v>
      </c>
      <c r="BL51" s="234">
        <f>IFERROR(VLOOKUP($B51 &amp; $C51&amp;IF($A51="a",BM$4,BL$4),tblForecast,BL$2,FALSE),0)</f>
        <v>0</v>
      </c>
      <c r="BM51" s="228">
        <f>IFERROR(VLOOKUP($B51-IF(CompareVer="LY",1,0) &amp; $C51 &amp;BM$4,tblForecast,BM$2,FALSE),0)</f>
        <v>-635</v>
      </c>
      <c r="BN51" s="234">
        <f>IFERROR(VLOOKUP($B51 &amp; $C51&amp;IF($A51="a",BO$4,BN$4),tblForecast,BN$2,FALSE),0)</f>
        <v>0</v>
      </c>
      <c r="BO51" s="228">
        <f>IFERROR(VLOOKUP($B51-IF(CompareVer="LY",1,0) &amp; $C51 &amp;BO$4,tblForecast,BO$2,FALSE),0)</f>
        <v>77</v>
      </c>
      <c r="BP51" s="234">
        <f>IFERROR(VLOOKUP($B51 &amp; $C51&amp;IF($A51="a",BQ$4,BP$4),tblForecast,BP$2,FALSE),0)</f>
        <v>0</v>
      </c>
      <c r="BQ51" s="228">
        <f>IFERROR(VLOOKUP($B51-IF(CompareVer="LY",1,0) &amp; $C51 &amp;BQ$4,tblForecast,BQ$2,FALSE),0)</f>
        <v>1262</v>
      </c>
      <c r="BR51" s="227">
        <f t="shared" si="43"/>
        <v>0</v>
      </c>
      <c r="BS51" s="231">
        <f t="shared" si="22"/>
        <v>-1185</v>
      </c>
      <c r="BT51" s="234">
        <f t="shared" si="306"/>
        <v>0</v>
      </c>
      <c r="BU51" s="231">
        <f t="shared" si="306"/>
        <v>0</v>
      </c>
      <c r="BV51" s="231">
        <f>IF($A51="a",IFERROR(VLOOKUP($B51 &amp; $C51&amp;BV$4,tblForecast,BV$2,FALSE),0),BT51+BU51)</f>
        <v>0</v>
      </c>
      <c r="BW51" s="231">
        <f t="shared" si="307"/>
        <v>0</v>
      </c>
      <c r="BX51" s="231">
        <f t="shared" si="307"/>
        <v>0</v>
      </c>
      <c r="BY51" s="193">
        <f>IFERROR(VLOOKUP($B51-IF(CompareVer="LY",1,0) &amp; $C51 &amp;BY$4,tblForecast,BY$2,FALSE),0)</f>
        <v>0</v>
      </c>
      <c r="BZ51" s="194">
        <f t="shared" si="25"/>
        <v>0</v>
      </c>
      <c r="CA51" s="337">
        <f t="shared" si="308"/>
        <v>0</v>
      </c>
      <c r="CB51" s="46">
        <f t="shared" si="308"/>
        <v>0</v>
      </c>
      <c r="CC51" s="46">
        <f>IF($A51="a",IFERROR(VLOOKUP($B51 &amp; $C51&amp;CC$4,tblForecast,CC$2,FALSE),0),CA51+CB51)</f>
        <v>0</v>
      </c>
      <c r="CD51" s="46">
        <f t="shared" si="309"/>
        <v>0</v>
      </c>
      <c r="CE51" s="46">
        <f t="shared" si="309"/>
        <v>0</v>
      </c>
      <c r="CF51" s="46">
        <f>IFERROR(VLOOKUP($B51-IF(CompareVer="LY",1,0) &amp; $C51 &amp;CF$4,tblForecast,CF$2,FALSE),0)</f>
        <v>0</v>
      </c>
      <c r="CG51" s="194">
        <f t="shared" si="28"/>
        <v>0</v>
      </c>
      <c r="CH51" s="337">
        <f t="shared" si="310"/>
        <v>0</v>
      </c>
      <c r="CI51" s="46">
        <f t="shared" si="310"/>
        <v>0</v>
      </c>
      <c r="CJ51" s="46">
        <f>IF($A51="a",IFERROR(VLOOKUP($B51 &amp; $C51&amp;CJ$4,tblForecast,CJ$2,FALSE),0),CH51+CI51)</f>
        <v>0</v>
      </c>
      <c r="CK51" s="46">
        <f t="shared" si="311"/>
        <v>0</v>
      </c>
      <c r="CL51" s="46">
        <f t="shared" si="311"/>
        <v>0</v>
      </c>
      <c r="CM51" s="46">
        <f>IFERROR(VLOOKUP($B51-IF(CompareVer="LY",1,0) &amp; $C51 &amp;CM$4,tblForecast,CM$2,FALSE),0)</f>
        <v>0</v>
      </c>
      <c r="CN51" s="194">
        <f t="shared" si="31"/>
        <v>0</v>
      </c>
      <c r="CO51" s="178">
        <f t="shared" si="46"/>
        <v>0</v>
      </c>
      <c r="CP51" s="223">
        <f t="shared" si="46"/>
        <v>0</v>
      </c>
      <c r="CQ51" s="194">
        <f t="shared" si="33"/>
        <v>0</v>
      </c>
      <c r="CR51" s="178">
        <f t="shared" si="44"/>
        <v>0</v>
      </c>
      <c r="CS51" s="223">
        <f t="shared" si="34"/>
        <v>0</v>
      </c>
      <c r="CT51" s="194">
        <f t="shared" si="47"/>
        <v>0</v>
      </c>
      <c r="CU51" s="44"/>
      <c r="CW51" s="102">
        <f>IFERROR(VLOOKUP($B51 &amp; $C51&amp;CompareVer,tblForecast,CW$2,FALSE),0)</f>
        <v>0</v>
      </c>
      <c r="CX51" s="48">
        <f>IFERROR(VLOOKUP($B51-IF(CompareVer="LY",1,0) &amp; $C51 &amp;CX$4,tblForecast,CX$2,FALSE),0)</f>
        <v>191641</v>
      </c>
      <c r="CY51" s="47">
        <f t="shared" si="36"/>
        <v>-1</v>
      </c>
      <c r="CZ51" s="278">
        <f>IFERROR(VLOOKUP(Brand&amp;Channel&amp;Country&amp;$C51,tblDiscount,6,FALSE),0)</f>
        <v>0.75</v>
      </c>
      <c r="DA51" s="279">
        <f>(1-CZ51)*DB51</f>
        <v>6.2549999999999999</v>
      </c>
      <c r="DB51" s="279">
        <f>IFERROR(VLOOKUP(Brand&amp;Country &amp; Channel &amp;FC,tblFCSettings,8,FALSE),0)</f>
        <v>25.02</v>
      </c>
      <c r="DC51" s="280">
        <f>IFERROR(VLOOKUP(Brand&amp;Country &amp; Channel &amp;FC,tblFCSettings,9,FALSE),0)</f>
        <v>4.16</v>
      </c>
    </row>
    <row r="52" spans="2:107" x14ac:dyDescent="0.25">
      <c r="B52" s="44">
        <v>2018</v>
      </c>
      <c r="C52" s="88">
        <v>33</v>
      </c>
      <c r="D52" s="51">
        <f t="shared" si="312"/>
        <v>-7176511.7280890001</v>
      </c>
      <c r="E52" s="202">
        <f t="shared" si="313"/>
        <v>-6811500.3026750004</v>
      </c>
      <c r="F52" s="182">
        <f t="shared" si="45"/>
        <v>0.94913804376779065</v>
      </c>
      <c r="G52" s="176">
        <f t="shared" si="294"/>
        <v>-238859</v>
      </c>
      <c r="H52" s="203">
        <f t="shared" si="294"/>
        <v>30.044971</v>
      </c>
      <c r="I52" s="203">
        <f t="shared" si="294"/>
        <v>1.528146</v>
      </c>
      <c r="J52" s="176">
        <f>IFERROR(VLOOKUP($B52 &amp; $C52&amp;J$4&amp;$A52,tblForecast,J$2,FALSE),0)+IFERROR(VLOOKUP($B52 &amp; $C52 &amp; J$4 &amp; $A52,tblForecast,J$2+1,FALSE),0)</f>
        <v>1161762</v>
      </c>
      <c r="K52" s="300">
        <f>IFERROR(VLOOKUP($B52 &amp; $C52&amp;K$4&amp;$A52,tblForecast,K$2,FALSE),0)+IFERROR(VLOOKUP($B52 &amp; $C52&amp;K$4&amp;$A52,tblForecast,K$2+1,FALSE),0)</f>
        <v>151790</v>
      </c>
      <c r="L52" s="90">
        <f t="shared" si="295"/>
        <v>59025</v>
      </c>
      <c r="M52" s="90">
        <f t="shared" si="295"/>
        <v>59025</v>
      </c>
      <c r="N52" s="46">
        <f t="shared" si="295"/>
        <v>0</v>
      </c>
      <c r="O52" s="46">
        <f t="shared" si="295"/>
        <v>38777.931799999998</v>
      </c>
      <c r="P52" s="47">
        <f t="shared" si="39"/>
        <v>0.52212862471432797</v>
      </c>
      <c r="Q52" s="242">
        <f t="shared" si="314"/>
        <v>11805</v>
      </c>
      <c r="R52" s="240">
        <f t="shared" si="296"/>
        <v>11805</v>
      </c>
      <c r="S52" s="240">
        <f t="shared" si="296"/>
        <v>0</v>
      </c>
      <c r="T52" s="240">
        <f>IFERROR(VLOOKUP($B52-IF(CompareVer="LY",1,0) &amp; $C52 &amp;T$4,tblForecast,T$2,FALSE),0)</f>
        <v>8171</v>
      </c>
      <c r="U52" s="91">
        <f t="shared" si="7"/>
        <v>0.44474360543385139</v>
      </c>
      <c r="V52" s="249">
        <f t="shared" si="315"/>
        <v>0.8500756102829985</v>
      </c>
      <c r="W52" s="334">
        <f t="shared" si="315"/>
        <v>0.8500756102829985</v>
      </c>
      <c r="X52" s="250">
        <f t="shared" si="316"/>
        <v>0.65279220260445792</v>
      </c>
      <c r="Y52" s="51">
        <f t="shared" si="297"/>
        <v>9916.1999999999953</v>
      </c>
      <c r="Z52" s="46">
        <f t="shared" si="297"/>
        <v>9916.1999999999953</v>
      </c>
      <c r="AA52" s="46">
        <f t="shared" si="297"/>
        <v>0</v>
      </c>
      <c r="AB52" s="46">
        <f t="shared" si="297"/>
        <v>9515.9465999999993</v>
      </c>
      <c r="AC52" s="91">
        <f t="shared" si="9"/>
        <v>4.2061333131061973E-2</v>
      </c>
      <c r="AD52" s="75">
        <f>IF(AM52&lt;&gt;0,1-AR52/AM52,0)</f>
        <v>0.16799999999999993</v>
      </c>
      <c r="AE52" s="93">
        <f t="shared" si="298"/>
        <v>0.16799999999999993</v>
      </c>
      <c r="AF52" s="93">
        <f t="shared" si="298"/>
        <v>0</v>
      </c>
      <c r="AG52" s="76">
        <f t="shared" si="298"/>
        <v>0.24539592903198615</v>
      </c>
      <c r="AH52" s="73">
        <f>IF(IFERROR(VLOOKUP($B52 &amp; $C52&amp;AH$4,tblForecast,AH$2,FALSE),0)=0,DB52,IFERROR(VLOOKUP($B52 &amp; $C52&amp;AH$4,tblForecast,AH$2,FALSE),0))</f>
        <v>25.02</v>
      </c>
      <c r="AI52" s="94">
        <f t="shared" si="299"/>
        <v>25.02</v>
      </c>
      <c r="AJ52" s="94">
        <f t="shared" si="299"/>
        <v>0</v>
      </c>
      <c r="AK52" s="49">
        <f>IFERROR(VLOOKUP($B52-IF(CompareVer="LY",1,0) &amp; $C52 &amp;AK$4,tblForecast,AK$2,FALSE),0)</f>
        <v>21.906500000000001</v>
      </c>
      <c r="AL52" s="47">
        <f t="shared" si="264"/>
        <v>0.14212676602834762</v>
      </c>
      <c r="AM52" s="73">
        <f>IF(IFERROR(VLOOKUP($B52 &amp; $C52&amp;AM$4,tblForecast,AM$2,FALSE),0)=0,DA52,IFERROR(VLOOKUP($B52 &amp; $C52&amp;AM$4,tblForecast,AM$2,FALSE),0))</f>
        <v>5</v>
      </c>
      <c r="AN52" s="94">
        <f t="shared" si="300"/>
        <v>5</v>
      </c>
      <c r="AO52" s="94">
        <f t="shared" si="300"/>
        <v>0</v>
      </c>
      <c r="AP52" s="49">
        <f>IFERROR(VLOOKUP($B52-IF(CompareVer="LY",1,0) &amp; $C52 &amp;AP$4,tblForecast,AP$2,FALSE),0)</f>
        <v>4.7458</v>
      </c>
      <c r="AQ52" s="47">
        <f t="shared" si="14"/>
        <v>5.3563150575245411E-2</v>
      </c>
      <c r="AR52" s="73">
        <f>IF(IFERROR(VLOOKUP($B52 &amp; $C52&amp;AR$4,tblForecast,AR$2,FALSE),0)=0,DC52,IFERROR(VLOOKUP($B52 &amp; $C52&amp;AR$4,tblForecast,AR$2,FALSE),0))</f>
        <v>4.16</v>
      </c>
      <c r="AS52" s="94">
        <f t="shared" si="301"/>
        <v>4.16</v>
      </c>
      <c r="AT52" s="94">
        <f t="shared" si="301"/>
        <v>0</v>
      </c>
      <c r="AU52" s="49">
        <f>IFERROR(VLOOKUP($B52-IF(CompareVer="LY",1,0) &amp; $C52 &amp;AU$4,tblForecast,AU$2,FALSE),0)</f>
        <v>3.5811999999999999</v>
      </c>
      <c r="AV52" s="47">
        <f t="shared" si="16"/>
        <v>0.16162180274768234</v>
      </c>
      <c r="AW52" s="191">
        <f t="shared" si="302"/>
        <v>0.8001598721023182</v>
      </c>
      <c r="AX52" s="192">
        <f t="shared" si="302"/>
        <v>0.8001598721023182</v>
      </c>
      <c r="AY52" s="192">
        <f t="shared" si="302"/>
        <v>0</v>
      </c>
      <c r="AZ52" s="192">
        <f t="shared" si="302"/>
        <v>0.78336110286901151</v>
      </c>
      <c r="BA52" s="235">
        <f>IF(BA51+BV52+BL52+BR52-Q52&lt;0,0,BA51+BV52+BL52+BR52-Q52)</f>
        <v>191537</v>
      </c>
      <c r="BB52" s="231">
        <f>IF(IFERROR(VLOOKUP($B52 &amp; $C52&amp;BB$4,tblForecast,BB$2,FALSE),0)=0,BA52,IFERROR(VLOOKUP($B52 &amp; $C52&amp;BB$4,tblForecast,BB$2,FALSE),0))</f>
        <v>191537</v>
      </c>
      <c r="BC52" s="231">
        <f>IFERROR(VLOOKUP($B52-IF(CompareVer="LY",1,0) &amp; $C52 &amp;BC$4,tblForecast,BC$2,FALSE),0)</f>
        <v>0</v>
      </c>
      <c r="BD52" s="231">
        <f t="shared" si="303"/>
        <v>194457</v>
      </c>
      <c r="BE52" s="194">
        <f t="shared" si="19"/>
        <v>-1.5016173241384934E-2</v>
      </c>
      <c r="BF52" s="231">
        <f>IFERROR(VLOOKUP($B52 &amp; $C52&amp;IF($A52="a",BG$4,BF$4),tblForecast,BF$2,FALSE),0)</f>
        <v>0</v>
      </c>
      <c r="BG52" s="228">
        <f>IFERROR(VLOOKUP($B52-IF(CompareVer="LY",1,0) &amp; $C52 &amp;BG$4,tblForecast,BG$2,FALSE),0)</f>
        <v>20366</v>
      </c>
      <c r="BH52" s="179">
        <f>IF(Q52&lt;&gt;0,BA52/Q52,0)</f>
        <v>16.225074121135112</v>
      </c>
      <c r="BI52" s="183">
        <f>IF(T52&lt;&gt;0,BD52/T52,0)</f>
        <v>23.798433484273652</v>
      </c>
      <c r="BJ52" s="195">
        <f t="shared" si="304"/>
        <v>6.1633000412452947E-2</v>
      </c>
      <c r="BK52" s="50">
        <f t="shared" si="305"/>
        <v>4.2019572450464629E-2</v>
      </c>
      <c r="BL52" s="234">
        <f>IFERROR(VLOOKUP($B52 &amp; $C52&amp;IF($A52="a",BM$4,BL$4),tblForecast,BL$2,FALSE),0)</f>
        <v>0</v>
      </c>
      <c r="BM52" s="228">
        <f>IFERROR(VLOOKUP($B52-IF(CompareVer="LY",1,0) &amp; $C52 &amp;BM$4,tblForecast,BM$2,FALSE),0)</f>
        <v>-63</v>
      </c>
      <c r="BN52" s="234">
        <f>IFERROR(VLOOKUP($B52 &amp; $C52&amp;IF($A52="a",BO$4,BN$4),tblForecast,BN$2,FALSE),0)</f>
        <v>0</v>
      </c>
      <c r="BO52" s="228">
        <f>IFERROR(VLOOKUP($B52-IF(CompareVer="LY",1,0) &amp; $C52 &amp;BO$4,tblForecast,BO$2,FALSE),0)</f>
        <v>18</v>
      </c>
      <c r="BP52" s="234">
        <f>IFERROR(VLOOKUP($B52 &amp; $C52&amp;IF($A52="a",BQ$4,BP$4),tblForecast,BP$2,FALSE),0)</f>
        <v>0</v>
      </c>
      <c r="BQ52" s="228">
        <f>IFERROR(VLOOKUP($B52-IF(CompareVer="LY",1,0) &amp; $C52 &amp;BQ$4,tblForecast,BQ$2,FALSE),0)</f>
        <v>9410</v>
      </c>
      <c r="BR52" s="227">
        <f t="shared" si="43"/>
        <v>0</v>
      </c>
      <c r="BS52" s="231">
        <f t="shared" si="22"/>
        <v>-9392</v>
      </c>
      <c r="BT52" s="234">
        <f t="shared" si="306"/>
        <v>0</v>
      </c>
      <c r="BU52" s="231">
        <f t="shared" si="306"/>
        <v>0</v>
      </c>
      <c r="BV52" s="231">
        <f>IF($A52="a",IFERROR(VLOOKUP($B52 &amp; $C52&amp;BV$4,tblForecast,BV$2,FALSE),0),BT52+BU52)</f>
        <v>0</v>
      </c>
      <c r="BW52" s="231">
        <f t="shared" si="307"/>
        <v>0</v>
      </c>
      <c r="BX52" s="231">
        <f t="shared" si="307"/>
        <v>0</v>
      </c>
      <c r="BY52" s="193">
        <f>IFERROR(VLOOKUP($B52-IF(CompareVer="LY",1,0) &amp; $C52 &amp;BY$4,tblForecast,BY$2,FALSE),0)</f>
        <v>0</v>
      </c>
      <c r="BZ52" s="194">
        <f t="shared" si="25"/>
        <v>0</v>
      </c>
      <c r="CA52" s="337">
        <f t="shared" si="308"/>
        <v>0</v>
      </c>
      <c r="CB52" s="46">
        <f t="shared" si="308"/>
        <v>0</v>
      </c>
      <c r="CC52" s="46">
        <f>IF($A52="a",IFERROR(VLOOKUP($B52 &amp; $C52&amp;CC$4,tblForecast,CC$2,FALSE),0),CA52+CB52)</f>
        <v>0</v>
      </c>
      <c r="CD52" s="46">
        <f t="shared" si="309"/>
        <v>0</v>
      </c>
      <c r="CE52" s="46">
        <f t="shared" si="309"/>
        <v>0</v>
      </c>
      <c r="CF52" s="46">
        <f>IFERROR(VLOOKUP($B52-IF(CompareVer="LY",1,0) &amp; $C52 &amp;CF$4,tblForecast,CF$2,FALSE),0)</f>
        <v>0</v>
      </c>
      <c r="CG52" s="194">
        <f t="shared" si="28"/>
        <v>0</v>
      </c>
      <c r="CH52" s="337">
        <f t="shared" si="310"/>
        <v>0</v>
      </c>
      <c r="CI52" s="46">
        <f t="shared" si="310"/>
        <v>0</v>
      </c>
      <c r="CJ52" s="46">
        <f>IF($A52="a",IFERROR(VLOOKUP($B52 &amp; $C52&amp;CJ$4,tblForecast,CJ$2,FALSE),0),CH52+CI52)</f>
        <v>0</v>
      </c>
      <c r="CK52" s="46">
        <f t="shared" si="311"/>
        <v>0</v>
      </c>
      <c r="CL52" s="46">
        <f t="shared" si="311"/>
        <v>0</v>
      </c>
      <c r="CM52" s="46">
        <f>IFERROR(VLOOKUP($B52-IF(CompareVer="LY",1,0) &amp; $C52 &amp;CM$4,tblForecast,CM$2,FALSE),0)</f>
        <v>0</v>
      </c>
      <c r="CN52" s="194">
        <f t="shared" si="31"/>
        <v>0</v>
      </c>
      <c r="CO52" s="178">
        <f t="shared" si="46"/>
        <v>0</v>
      </c>
      <c r="CP52" s="223">
        <f t="shared" si="46"/>
        <v>0</v>
      </c>
      <c r="CQ52" s="194">
        <f t="shared" si="33"/>
        <v>0</v>
      </c>
      <c r="CR52" s="178">
        <f t="shared" si="44"/>
        <v>0</v>
      </c>
      <c r="CS52" s="223">
        <f t="shared" si="34"/>
        <v>0</v>
      </c>
      <c r="CT52" s="194">
        <f t="shared" si="47"/>
        <v>0</v>
      </c>
      <c r="CU52" s="44"/>
      <c r="CW52" s="102">
        <f>IFERROR(VLOOKUP($B52 &amp; $C52&amp;27,tblForecast,CW$2,FALSE),0)</f>
        <v>0</v>
      </c>
      <c r="CX52" s="48">
        <f>IFERROR(VLOOKUP($B52-IF(CompareVer="LY",1,0) &amp; $C52 &amp;CX$4,tblForecast,CX$2,FALSE),0)</f>
        <v>174091</v>
      </c>
      <c r="CY52" s="47">
        <f t="shared" si="36"/>
        <v>-1</v>
      </c>
      <c r="CZ52" s="278">
        <f>IFERROR(VLOOKUP(Brand&amp;Channel&amp;Country&amp;$C52,tblDiscount,6,FALSE),0)</f>
        <v>0.8</v>
      </c>
      <c r="DA52" s="279">
        <f>(1-CZ52)*DB52</f>
        <v>5.0039999999999987</v>
      </c>
      <c r="DB52" s="279">
        <f>IFERROR(VLOOKUP(Brand&amp;Country &amp; Channel &amp;FC,tblFCSettings,8,FALSE),0)</f>
        <v>25.02</v>
      </c>
      <c r="DC52" s="280">
        <f>IFERROR(VLOOKUP(Brand&amp;Country &amp; Channel &amp;FC,tblFCSettings,9,FALSE),0)</f>
        <v>4.16</v>
      </c>
    </row>
    <row r="53" spans="2:107" x14ac:dyDescent="0.25">
      <c r="B53" s="44">
        <v>2018</v>
      </c>
      <c r="C53" s="88">
        <v>34</v>
      </c>
      <c r="D53" s="51">
        <f t="shared" si="312"/>
        <v>-7592615.2079699999</v>
      </c>
      <c r="E53" s="202">
        <f t="shared" si="313"/>
        <v>-7075939.7865199996</v>
      </c>
      <c r="F53" s="182">
        <f t="shared" si="45"/>
        <v>0.93195026913682599</v>
      </c>
      <c r="G53" s="176">
        <f t="shared" si="294"/>
        <v>-265010</v>
      </c>
      <c r="H53" s="203">
        <f t="shared" si="294"/>
        <v>28.650296999999998</v>
      </c>
      <c r="I53" s="203">
        <f t="shared" si="294"/>
        <v>1.9496450000000001</v>
      </c>
      <c r="J53" s="176">
        <f>IFERROR(VLOOKUP($B53 &amp; $C53&amp;J$4&amp;$A53,tblForecast,J$2,FALSE),0)+IFERROR(VLOOKUP($B53 &amp; $C53 &amp; J$4 &amp; $A53,tblForecast,J$2+1,FALSE),0)</f>
        <v>1119505</v>
      </c>
      <c r="K53" s="300">
        <f>IFERROR(VLOOKUP($B53 &amp; $C53&amp;K$4&amp;$A53,tblForecast,K$2,FALSE),0)+IFERROR(VLOOKUP($B53 &amp; $C53&amp;K$4&amp;$A53,tblForecast,K$2+1,FALSE),0)</f>
        <v>7200</v>
      </c>
      <c r="L53" s="90">
        <f t="shared" si="295"/>
        <v>50170</v>
      </c>
      <c r="M53" s="90">
        <f t="shared" si="295"/>
        <v>50170</v>
      </c>
      <c r="N53" s="46">
        <f t="shared" si="295"/>
        <v>0</v>
      </c>
      <c r="O53" s="46">
        <f t="shared" si="295"/>
        <v>12068.895</v>
      </c>
      <c r="P53" s="47">
        <f t="shared" si="39"/>
        <v>3.1569671457080366</v>
      </c>
      <c r="Q53" s="242">
        <f t="shared" si="314"/>
        <v>10034</v>
      </c>
      <c r="R53" s="240">
        <f t="shared" si="296"/>
        <v>10034</v>
      </c>
      <c r="S53" s="240">
        <f t="shared" si="296"/>
        <v>0</v>
      </c>
      <c r="T53" s="240">
        <f>IFERROR(VLOOKUP($B53-IF(CompareVer="LY",1,0) &amp; $C53 &amp;T$4,tblForecast,T$2,FALSE),0)</f>
        <v>2397</v>
      </c>
      <c r="U53" s="91">
        <f t="shared" si="7"/>
        <v>3.1860659157279931</v>
      </c>
      <c r="V53" s="249">
        <f t="shared" si="315"/>
        <v>0.84997882253282508</v>
      </c>
      <c r="W53" s="334">
        <f t="shared" si="315"/>
        <v>0.84997882253282508</v>
      </c>
      <c r="X53" s="250">
        <f t="shared" si="316"/>
        <v>0.29335454656712767</v>
      </c>
      <c r="Y53" s="51">
        <f t="shared" si="297"/>
        <v>8428.5599999999959</v>
      </c>
      <c r="Z53" s="46">
        <f t="shared" si="297"/>
        <v>8428.5599999999959</v>
      </c>
      <c r="AA53" s="46">
        <f t="shared" si="297"/>
        <v>0</v>
      </c>
      <c r="AB53" s="46">
        <f t="shared" si="297"/>
        <v>4234.7799000000005</v>
      </c>
      <c r="AC53" s="91">
        <f t="shared" si="9"/>
        <v>0.99031831618922972</v>
      </c>
      <c r="AD53" s="75">
        <f>IF(AM53&lt;&gt;0,1-AR53/AM53,0)</f>
        <v>0.16799999999999993</v>
      </c>
      <c r="AE53" s="93">
        <f t="shared" si="298"/>
        <v>0.16799999999999993</v>
      </c>
      <c r="AF53" s="93">
        <f t="shared" si="298"/>
        <v>0</v>
      </c>
      <c r="AG53" s="76">
        <f t="shared" si="298"/>
        <v>0.35088381330685203</v>
      </c>
      <c r="AH53" s="73">
        <f>IF(IFERROR(VLOOKUP($B53 &amp; $C53&amp;AH$4,tblForecast,AH$2,FALSE),0)=0,DB53,IFERROR(VLOOKUP($B53 &amp; $C53&amp;AH$4,tblForecast,AH$2,FALSE),0))</f>
        <v>25.02</v>
      </c>
      <c r="AI53" s="94">
        <f t="shared" si="299"/>
        <v>25.02</v>
      </c>
      <c r="AJ53" s="94">
        <f t="shared" si="299"/>
        <v>0</v>
      </c>
      <c r="AK53" s="49">
        <f>IFERROR(VLOOKUP($B53-IF(CompareVer="LY",1,0) &amp; $C53 &amp;AK$4,tblForecast,AK$2,FALSE),0)</f>
        <v>20.2684</v>
      </c>
      <c r="AL53" s="47">
        <f t="shared" si="264"/>
        <v>0.2344338971009059</v>
      </c>
      <c r="AM53" s="73">
        <f>IF(IFERROR(VLOOKUP($B53 &amp; $C53&amp;AM$4,tblForecast,AM$2,FALSE),0)=0,DA53,IFERROR(VLOOKUP($B53 &amp; $C53&amp;AM$4,tblForecast,AM$2,FALSE),0))</f>
        <v>5</v>
      </c>
      <c r="AN53" s="94">
        <f t="shared" si="300"/>
        <v>5</v>
      </c>
      <c r="AO53" s="94">
        <f t="shared" si="300"/>
        <v>0</v>
      </c>
      <c r="AP53" s="49">
        <f>IFERROR(VLOOKUP($B53-IF(CompareVer="LY",1,0) &amp; $C53 &amp;AP$4,tblForecast,AP$2,FALSE),0)</f>
        <v>5.0350000000000001</v>
      </c>
      <c r="AQ53" s="47">
        <f t="shared" si="14"/>
        <v>-6.9513406156902491E-3</v>
      </c>
      <c r="AR53" s="73">
        <f>IF(IFERROR(VLOOKUP($B53 &amp; $C53&amp;AR$4,tblForecast,AR$2,FALSE),0)=0,DC53,IFERROR(VLOOKUP($B53 &amp; $C53&amp;AR$4,tblForecast,AR$2,FALSE),0))</f>
        <v>4.16</v>
      </c>
      <c r="AS53" s="94">
        <f t="shared" si="301"/>
        <v>4.16</v>
      </c>
      <c r="AT53" s="94">
        <f t="shared" si="301"/>
        <v>0</v>
      </c>
      <c r="AU53" s="49">
        <f>IFERROR(VLOOKUP($B53-IF(CompareVer="LY",1,0) &amp; $C53 &amp;AU$4,tblForecast,AU$2,FALSE),0)</f>
        <v>3.2683</v>
      </c>
      <c r="AV53" s="47">
        <f t="shared" si="16"/>
        <v>0.27283297126946726</v>
      </c>
      <c r="AW53" s="191">
        <f t="shared" si="302"/>
        <v>0.8001598721023182</v>
      </c>
      <c r="AX53" s="192">
        <f t="shared" si="302"/>
        <v>0.8001598721023182</v>
      </c>
      <c r="AY53" s="192">
        <f t="shared" si="302"/>
        <v>0</v>
      </c>
      <c r="AZ53" s="192">
        <f t="shared" si="302"/>
        <v>0.75158374612697598</v>
      </c>
      <c r="BA53" s="235">
        <f>IF(BA52+BV53+BL53+BR53-Q53&lt;0,0,BA52+BV53+BL53+BR53-Q53)</f>
        <v>181503</v>
      </c>
      <c r="BB53" s="231">
        <f>IF(IFERROR(VLOOKUP($B53 &amp; $C53&amp;BB$4,tblForecast,BB$2,FALSE),0)=0,BA53,IFERROR(VLOOKUP($B53 &amp; $C53&amp;BB$4,tblForecast,BB$2,FALSE),0))</f>
        <v>181503</v>
      </c>
      <c r="BC53" s="231">
        <f>IFERROR(VLOOKUP($B53-IF(CompareVer="LY",1,0) &amp; $C53 &amp;BC$4,tblForecast,BC$2,FALSE),0)</f>
        <v>0</v>
      </c>
      <c r="BD53" s="231">
        <f t="shared" si="303"/>
        <v>100444</v>
      </c>
      <c r="BE53" s="194">
        <f t="shared" si="19"/>
        <v>0.80700688941101517</v>
      </c>
      <c r="BF53" s="231">
        <f>IFERROR(VLOOKUP($B53 &amp; $C53&amp;IF($A53="a",BG$4,BF$4),tblForecast,BF$2,FALSE),0)</f>
        <v>0</v>
      </c>
      <c r="BG53" s="228">
        <f>IFERROR(VLOOKUP($B53-IF(CompareVer="LY",1,0) &amp; $C53 &amp;BG$4,tblForecast,BG$2,FALSE),0)</f>
        <v>18508</v>
      </c>
      <c r="BH53" s="179">
        <f>IF(Q53&lt;&gt;0,BA53/Q53,0)</f>
        <v>18.088798086505879</v>
      </c>
      <c r="BI53" s="183">
        <f>IF(T53&lt;&gt;0,BD53/T53,0)</f>
        <v>41.904046725073009</v>
      </c>
      <c r="BJ53" s="195">
        <f t="shared" si="304"/>
        <v>5.5282832790642576E-2</v>
      </c>
      <c r="BK53" s="50">
        <f t="shared" si="305"/>
        <v>2.3864043646210822E-2</v>
      </c>
      <c r="BL53" s="234">
        <f>IFERROR(VLOOKUP($B53 &amp; $C53&amp;IF($A53="a",BM$4,BL$4),tblForecast,BL$2,FALSE),0)</f>
        <v>0</v>
      </c>
      <c r="BM53" s="228">
        <f>IFERROR(VLOOKUP($B53-IF(CompareVer="LY",1,0) &amp; $C53 &amp;BM$4,tblForecast,BM$2,FALSE),0)</f>
        <v>-216</v>
      </c>
      <c r="BN53" s="234">
        <f>IFERROR(VLOOKUP($B53 &amp; $C53&amp;IF($A53="a",BO$4,BN$4),tblForecast,BN$2,FALSE),0)</f>
        <v>0</v>
      </c>
      <c r="BO53" s="228">
        <f>IFERROR(VLOOKUP($B53-IF(CompareVer="LY",1,0) &amp; $C53 &amp;BO$4,tblForecast,BO$2,FALSE),0)</f>
        <v>2005</v>
      </c>
      <c r="BP53" s="234">
        <f>IFERROR(VLOOKUP($B53 &amp; $C53&amp;IF($A53="a",BQ$4,BP$4),tblForecast,BP$2,FALSE),0)</f>
        <v>0</v>
      </c>
      <c r="BQ53" s="228">
        <f>IFERROR(VLOOKUP($B53-IF(CompareVer="LY",1,0) &amp; $C53 &amp;BQ$4,tblForecast,BQ$2,FALSE),0)</f>
        <v>93314</v>
      </c>
      <c r="BR53" s="227">
        <f t="shared" si="43"/>
        <v>0</v>
      </c>
      <c r="BS53" s="231">
        <f t="shared" si="22"/>
        <v>-91309</v>
      </c>
      <c r="BT53" s="234">
        <f t="shared" si="306"/>
        <v>0</v>
      </c>
      <c r="BU53" s="231">
        <f t="shared" si="306"/>
        <v>0</v>
      </c>
      <c r="BV53" s="231">
        <f>IF($A53="a",IFERROR(VLOOKUP($B53 &amp; $C53&amp;BV$4,tblForecast,BV$2,FALSE),0),BT53+BU53)</f>
        <v>0</v>
      </c>
      <c r="BW53" s="231">
        <f t="shared" si="307"/>
        <v>0</v>
      </c>
      <c r="BX53" s="231">
        <f t="shared" si="307"/>
        <v>0</v>
      </c>
      <c r="BY53" s="193">
        <f>IFERROR(VLOOKUP($B53-IF(CompareVer="LY",1,0) &amp; $C53 &amp;BY$4,tblForecast,BY$2,FALSE),0)</f>
        <v>0</v>
      </c>
      <c r="BZ53" s="194">
        <f t="shared" si="25"/>
        <v>0</v>
      </c>
      <c r="CA53" s="337">
        <f t="shared" si="308"/>
        <v>0</v>
      </c>
      <c r="CB53" s="46">
        <f t="shared" si="308"/>
        <v>0</v>
      </c>
      <c r="CC53" s="46">
        <f>IF($A53="a",IFERROR(VLOOKUP($B53 &amp; $C53&amp;CC$4,tblForecast,CC$2,FALSE),0),CA53+CB53)</f>
        <v>0</v>
      </c>
      <c r="CD53" s="46">
        <f t="shared" si="309"/>
        <v>0</v>
      </c>
      <c r="CE53" s="46">
        <f t="shared" si="309"/>
        <v>0</v>
      </c>
      <c r="CF53" s="46">
        <f>IFERROR(VLOOKUP($B53-IF(CompareVer="LY",1,0) &amp; $C53 &amp;CF$4,tblForecast,CF$2,FALSE),0)</f>
        <v>0</v>
      </c>
      <c r="CG53" s="194">
        <f t="shared" si="28"/>
        <v>0</v>
      </c>
      <c r="CH53" s="337">
        <f t="shared" si="310"/>
        <v>0</v>
      </c>
      <c r="CI53" s="46">
        <f t="shared" si="310"/>
        <v>0</v>
      </c>
      <c r="CJ53" s="46">
        <f>IF($A53="a",IFERROR(VLOOKUP($B53 &amp; $C53&amp;CJ$4,tblForecast,CJ$2,FALSE),0),CH53+CI53)</f>
        <v>0</v>
      </c>
      <c r="CK53" s="46">
        <f t="shared" si="311"/>
        <v>0</v>
      </c>
      <c r="CL53" s="46">
        <f t="shared" si="311"/>
        <v>0</v>
      </c>
      <c r="CM53" s="46">
        <f>IFERROR(VLOOKUP($B53-IF(CompareVer="LY",1,0) &amp; $C53 &amp;CM$4,tblForecast,CM$2,FALSE),0)</f>
        <v>0</v>
      </c>
      <c r="CN53" s="194">
        <f t="shared" si="31"/>
        <v>0</v>
      </c>
      <c r="CO53" s="178">
        <f t="shared" si="46"/>
        <v>0</v>
      </c>
      <c r="CP53" s="223">
        <f t="shared" si="46"/>
        <v>0</v>
      </c>
      <c r="CQ53" s="194">
        <f t="shared" si="33"/>
        <v>0</v>
      </c>
      <c r="CR53" s="178">
        <f t="shared" si="44"/>
        <v>0</v>
      </c>
      <c r="CS53" s="223">
        <f t="shared" si="34"/>
        <v>0</v>
      </c>
      <c r="CT53" s="194">
        <f t="shared" si="47"/>
        <v>0</v>
      </c>
      <c r="CU53" s="44"/>
      <c r="CW53" s="102">
        <f>IFERROR(VLOOKUP($B53 &amp; $C53&amp;27,tblForecast,CW$2,FALSE),0)</f>
        <v>0</v>
      </c>
      <c r="CX53" s="48">
        <f>IFERROR(VLOOKUP($B53-IF(CompareVer="LY",1,0) &amp; $C53 &amp;CX$4,tblForecast,CX$2,FALSE),0)</f>
        <v>81936</v>
      </c>
      <c r="CY53" s="47">
        <f t="shared" si="36"/>
        <v>-1</v>
      </c>
      <c r="CZ53" s="278">
        <f>IFERROR(VLOOKUP(Brand&amp;Channel&amp;Country&amp;$C53,tblDiscount,6,FALSE),0)</f>
        <v>0.8</v>
      </c>
      <c r="DA53" s="279">
        <f>(1-CZ53)*DB53</f>
        <v>5.0039999999999987</v>
      </c>
      <c r="DB53" s="279">
        <f>IFERROR(VLOOKUP(Brand&amp;Country &amp; Channel &amp;FC,tblFCSettings,8,FALSE),0)</f>
        <v>25.02</v>
      </c>
      <c r="DC53" s="280">
        <f>IFERROR(VLOOKUP(Brand&amp;Country &amp; Channel &amp;FC,tblFCSettings,9,FALSE),0)</f>
        <v>4.16</v>
      </c>
    </row>
    <row r="54" spans="2:107" ht="16.5" thickBot="1" x14ac:dyDescent="0.3">
      <c r="B54" s="44">
        <v>2018</v>
      </c>
      <c r="C54" s="88">
        <v>35</v>
      </c>
      <c r="D54" s="51">
        <f t="shared" si="312"/>
        <v>-8405161.9540800005</v>
      </c>
      <c r="E54" s="202">
        <f t="shared" si="313"/>
        <v>-7511526.4606079999</v>
      </c>
      <c r="F54" s="182">
        <f t="shared" si="45"/>
        <v>0.89368015769901787</v>
      </c>
      <c r="G54" s="176">
        <f t="shared" si="294"/>
        <v>-309664</v>
      </c>
      <c r="H54" s="203">
        <f t="shared" si="294"/>
        <v>27.142845000000001</v>
      </c>
      <c r="I54" s="203">
        <f t="shared" si="294"/>
        <v>2.8858229999999998</v>
      </c>
      <c r="J54" s="176">
        <f>IFERROR(VLOOKUP($B54 &amp; $C54&amp;J$4&amp;$A54,tblForecast,J$2,FALSE),0)+IFERROR(VLOOKUP($B54 &amp; $C54 &amp; J$4 &amp; $A54,tblForecast,J$2+1,FALSE),0)</f>
        <v>1071071</v>
      </c>
      <c r="K54" s="300">
        <f>IFERROR(VLOOKUP($B54 &amp; $C54&amp;K$4&amp;$A54,tblForecast,K$2,FALSE),0)+IFERROR(VLOOKUP($B54 &amp; $C54&amp;K$4&amp;$A54,tblForecast,K$2+1,FALSE),0)</f>
        <v>7434</v>
      </c>
      <c r="L54" s="90">
        <f t="shared" si="295"/>
        <v>42645</v>
      </c>
      <c r="M54" s="90">
        <f t="shared" si="295"/>
        <v>42645</v>
      </c>
      <c r="N54" s="46">
        <f t="shared" si="295"/>
        <v>0</v>
      </c>
      <c r="O54" s="46">
        <f t="shared" si="295"/>
        <v>7255.9975000000004</v>
      </c>
      <c r="P54" s="47">
        <f t="shared" si="39"/>
        <v>4.877207096612147</v>
      </c>
      <c r="Q54" s="242">
        <f t="shared" si="314"/>
        <v>8529</v>
      </c>
      <c r="R54" s="240">
        <f t="shared" si="296"/>
        <v>8529</v>
      </c>
      <c r="S54" s="240">
        <f t="shared" si="296"/>
        <v>0</v>
      </c>
      <c r="T54" s="240">
        <f>IFERROR(VLOOKUP($B54-IF(CompareVer="LY",1,0) &amp; $C54 &amp;T$4,tblForecast,T$2,FALSE),0)</f>
        <v>2165</v>
      </c>
      <c r="U54" s="91">
        <f t="shared" si="7"/>
        <v>2.9394919168591223</v>
      </c>
      <c r="V54" s="249">
        <f t="shared" si="315"/>
        <v>0.85000996611520829</v>
      </c>
      <c r="W54" s="334">
        <f t="shared" si="315"/>
        <v>0.85000996611520829</v>
      </c>
      <c r="X54" s="250">
        <f t="shared" si="316"/>
        <v>0.9032123487692949</v>
      </c>
      <c r="Y54" s="51">
        <f t="shared" si="297"/>
        <v>7164.3599999999969</v>
      </c>
      <c r="Z54" s="46">
        <f t="shared" si="297"/>
        <v>7164.3599999999969</v>
      </c>
      <c r="AA54" s="46">
        <f t="shared" si="297"/>
        <v>0</v>
      </c>
      <c r="AB54" s="46">
        <f t="shared" si="297"/>
        <v>142.89000000000044</v>
      </c>
      <c r="AC54" s="91">
        <f t="shared" si="9"/>
        <v>49.138988032752287</v>
      </c>
      <c r="AD54" s="75">
        <f>IF(AM54&lt;&gt;0,1-AR54/AM54,0)</f>
        <v>0.16799999999999993</v>
      </c>
      <c r="AE54" s="93">
        <f t="shared" si="298"/>
        <v>0.16799999999999993</v>
      </c>
      <c r="AF54" s="93">
        <f t="shared" si="298"/>
        <v>0</v>
      </c>
      <c r="AG54" s="76">
        <f t="shared" si="298"/>
        <v>1.9692674921676923E-2</v>
      </c>
      <c r="AH54" s="73">
        <f>IF(IFERROR(VLOOKUP($B54 &amp; $C54&amp;AH$4,tblForecast,AH$2,FALSE),0)=0,DB54,IFERROR(VLOOKUP($B54 &amp; $C54&amp;AH$4,tblForecast,AH$2,FALSE),0))</f>
        <v>25.02</v>
      </c>
      <c r="AI54" s="94">
        <f t="shared" si="299"/>
        <v>25.02</v>
      </c>
      <c r="AJ54" s="94">
        <f t="shared" si="299"/>
        <v>0</v>
      </c>
      <c r="AK54" s="49">
        <f>IFERROR(VLOOKUP($B54-IF(CompareVer="LY",1,0) &amp; $C54 &amp;AK$4,tblForecast,AK$2,FALSE),0)</f>
        <v>20.108000000000001</v>
      </c>
      <c r="AL54" s="47">
        <f t="shared" si="264"/>
        <v>0.24428088323055497</v>
      </c>
      <c r="AM54" s="73">
        <f>IF(IFERROR(VLOOKUP($B54 &amp; $C54&amp;AM$4,tblForecast,AM$2,FALSE),0)=0,DA54,IFERROR(VLOOKUP($B54 &amp; $C54&amp;AM$4,tblForecast,AM$2,FALSE),0))</f>
        <v>5</v>
      </c>
      <c r="AN54" s="94">
        <f t="shared" si="300"/>
        <v>5</v>
      </c>
      <c r="AO54" s="94">
        <f t="shared" si="300"/>
        <v>0</v>
      </c>
      <c r="AP54" s="49">
        <f>IFERROR(VLOOKUP($B54-IF(CompareVer="LY",1,0) &amp; $C54 &amp;AP$4,tblForecast,AP$2,FALSE),0)</f>
        <v>3.3515000000000001</v>
      </c>
      <c r="AQ54" s="47">
        <f t="shared" si="14"/>
        <v>0.49186931224824693</v>
      </c>
      <c r="AR54" s="73">
        <f>IF(IFERROR(VLOOKUP($B54 &amp; $C54&amp;AR$4,tblForecast,AR$2,FALSE),0)=0,DC54,IFERROR(VLOOKUP($B54 &amp; $C54&amp;AR$4,tblForecast,AR$2,FALSE),0))</f>
        <v>4.16</v>
      </c>
      <c r="AS54" s="94">
        <f t="shared" si="301"/>
        <v>4.16</v>
      </c>
      <c r="AT54" s="94">
        <f t="shared" si="301"/>
        <v>0</v>
      </c>
      <c r="AU54" s="49">
        <f>IFERROR(VLOOKUP($B54-IF(CompareVer="LY",1,0) &amp; $C54 &amp;AU$4,tblForecast,AU$2,FALSE),0)</f>
        <v>3.2854999999999999</v>
      </c>
      <c r="AV54" s="47">
        <f t="shared" si="16"/>
        <v>0.26616953279561728</v>
      </c>
      <c r="AW54" s="191">
        <f t="shared" si="302"/>
        <v>0.8001598721023182</v>
      </c>
      <c r="AX54" s="192">
        <f t="shared" si="302"/>
        <v>0.8001598721023182</v>
      </c>
      <c r="AY54" s="192">
        <f t="shared" si="302"/>
        <v>0</v>
      </c>
      <c r="AZ54" s="192">
        <f t="shared" si="302"/>
        <v>0.83332504475830516</v>
      </c>
      <c r="BA54" s="235">
        <f>IF(BA53+BV54+BL54+BR54-Q54&lt;0,0,BA53+BV54+BL54+BR54-Q54)</f>
        <v>172974</v>
      </c>
      <c r="BB54" s="231">
        <f>IF(IFERROR(VLOOKUP($B54 &amp; $C54&amp;BB$4,tblForecast,BB$2,FALSE),0)=0,BA54,IFERROR(VLOOKUP($B54 &amp; $C54&amp;BB$4,tblForecast,BB$2,FALSE),0))</f>
        <v>172974</v>
      </c>
      <c r="BC54" s="231">
        <f>IFERROR(VLOOKUP($B54-IF(CompareVer="LY",1,0) &amp; $C54 &amp;BC$4,tblForecast,BC$2,FALSE),0)</f>
        <v>0</v>
      </c>
      <c r="BD54" s="231">
        <f t="shared" si="303"/>
        <v>79905</v>
      </c>
      <c r="BE54" s="194">
        <f t="shared" si="19"/>
        <v>1.1647456354420873</v>
      </c>
      <c r="BF54" s="231">
        <f>IFERROR(VLOOKUP($B54 &amp; $C54&amp;IF($A54="a",BG$4,BF$4),tblForecast,BF$2,FALSE),0)</f>
        <v>0</v>
      </c>
      <c r="BG54" s="228">
        <f>IFERROR(VLOOKUP($B54-IF(CompareVer="LY",1,0) &amp; $C54 &amp;BG$4,tblForecast,BG$2,FALSE),0)</f>
        <v>6091</v>
      </c>
      <c r="BH54" s="179">
        <f>IF(Q54&lt;&gt;0,BA54/Q54,0)</f>
        <v>20.280689412592331</v>
      </c>
      <c r="BI54" s="183">
        <f>IF(T54&lt;&gt;0,BD54/T54,0)</f>
        <v>36.907621247113163</v>
      </c>
      <c r="BJ54" s="195">
        <f t="shared" si="304"/>
        <v>4.9307988483818378E-2</v>
      </c>
      <c r="BK54" s="50">
        <f t="shared" si="305"/>
        <v>2.7094674926475191E-2</v>
      </c>
      <c r="BL54" s="234">
        <f>IFERROR(VLOOKUP($B54 &amp; $C54&amp;IF($A54="a",BM$4,BL$4),tblForecast,BL$2,FALSE),0)</f>
        <v>0</v>
      </c>
      <c r="BM54" s="228">
        <f>IFERROR(VLOOKUP($B54-IF(CompareVer="LY",1,0) &amp; $C54 &amp;BM$4,tblForecast,BM$2,FALSE),0)</f>
        <v>-212</v>
      </c>
      <c r="BN54" s="234">
        <f>IFERROR(VLOOKUP($B54 &amp; $C54&amp;IF($A54="a",BO$4,BN$4),tblForecast,BN$2,FALSE),0)</f>
        <v>0</v>
      </c>
      <c r="BO54" s="228">
        <f>IFERROR(VLOOKUP($B54-IF(CompareVer="LY",1,0) &amp; $C54 &amp;BO$4,tblForecast,BO$2,FALSE),0)</f>
        <v>3486</v>
      </c>
      <c r="BP54" s="234">
        <f>IFERROR(VLOOKUP($B54 &amp; $C54&amp;IF($A54="a",BQ$4,BP$4),tblForecast,BP$2,FALSE),0)</f>
        <v>0</v>
      </c>
      <c r="BQ54" s="228">
        <f>IFERROR(VLOOKUP($B54-IF(CompareVer="LY",1,0) &amp; $C54 &amp;BQ$4,tblForecast,BQ$2,FALSE),0)</f>
        <v>21637</v>
      </c>
      <c r="BR54" s="227">
        <f t="shared" si="43"/>
        <v>0</v>
      </c>
      <c r="BS54" s="231">
        <f t="shared" si="22"/>
        <v>-18151</v>
      </c>
      <c r="BT54" s="234">
        <f t="shared" si="306"/>
        <v>0</v>
      </c>
      <c r="BU54" s="231">
        <f t="shared" si="306"/>
        <v>0</v>
      </c>
      <c r="BV54" s="231">
        <f>IF($A54="a",IFERROR(VLOOKUP($B54 &amp; $C54&amp;BV$4,tblForecast,BV$2,FALSE),0),BT54+BU54)</f>
        <v>0</v>
      </c>
      <c r="BW54" s="231">
        <f t="shared" si="307"/>
        <v>0</v>
      </c>
      <c r="BX54" s="231">
        <f t="shared" si="307"/>
        <v>0</v>
      </c>
      <c r="BY54" s="193">
        <f>IFERROR(VLOOKUP($B54-IF(CompareVer="LY",1,0) &amp; $C54 &amp;BY$4,tblForecast,BY$2,FALSE),0)</f>
        <v>0</v>
      </c>
      <c r="BZ54" s="194">
        <f t="shared" si="25"/>
        <v>0</v>
      </c>
      <c r="CA54" s="337">
        <f t="shared" si="308"/>
        <v>0</v>
      </c>
      <c r="CB54" s="46">
        <f t="shared" si="308"/>
        <v>0</v>
      </c>
      <c r="CC54" s="46">
        <f>IF($A54="a",IFERROR(VLOOKUP($B54 &amp; $C54&amp;CC$4,tblForecast,CC$2,FALSE),0),CA54+CB54)</f>
        <v>0</v>
      </c>
      <c r="CD54" s="46">
        <f t="shared" si="309"/>
        <v>0</v>
      </c>
      <c r="CE54" s="46">
        <f t="shared" si="309"/>
        <v>0</v>
      </c>
      <c r="CF54" s="46">
        <f>IFERROR(VLOOKUP($B54-IF(CompareVer="LY",1,0) &amp; $C54 &amp;CF$4,tblForecast,CF$2,FALSE),0)</f>
        <v>0</v>
      </c>
      <c r="CG54" s="194">
        <f t="shared" si="28"/>
        <v>0</v>
      </c>
      <c r="CH54" s="337">
        <f t="shared" si="310"/>
        <v>0</v>
      </c>
      <c r="CI54" s="46">
        <f t="shared" si="310"/>
        <v>0</v>
      </c>
      <c r="CJ54" s="46">
        <f>IF($A54="a",IFERROR(VLOOKUP($B54 &amp; $C54&amp;CJ$4,tblForecast,CJ$2,FALSE),0),CH54+CI54)</f>
        <v>0</v>
      </c>
      <c r="CK54" s="46">
        <f t="shared" si="311"/>
        <v>0</v>
      </c>
      <c r="CL54" s="46">
        <f t="shared" si="311"/>
        <v>0</v>
      </c>
      <c r="CM54" s="46">
        <f>IFERROR(VLOOKUP($B54-IF(CompareVer="LY",1,0) &amp; $C54 &amp;CM$4,tblForecast,CM$2,FALSE),0)</f>
        <v>0</v>
      </c>
      <c r="CN54" s="194">
        <f t="shared" si="31"/>
        <v>0</v>
      </c>
      <c r="CO54" s="178">
        <f t="shared" si="46"/>
        <v>0</v>
      </c>
      <c r="CP54" s="223">
        <f t="shared" si="46"/>
        <v>0</v>
      </c>
      <c r="CQ54" s="194">
        <f t="shared" si="33"/>
        <v>0</v>
      </c>
      <c r="CR54" s="178">
        <f t="shared" si="44"/>
        <v>0</v>
      </c>
      <c r="CS54" s="223">
        <f t="shared" si="34"/>
        <v>0</v>
      </c>
      <c r="CT54" s="194">
        <f t="shared" si="47"/>
        <v>0</v>
      </c>
      <c r="CU54" s="44"/>
      <c r="CW54" s="102">
        <f>IFERROR(VLOOKUP($B54 &amp; $C54&amp;27,tblForecast,CW$2,FALSE),0)</f>
        <v>0</v>
      </c>
      <c r="CX54" s="48">
        <f>IFERROR(VLOOKUP($B54-IF(CompareVer="LY",1,0) &amp; $C54 &amp;CX$4,tblForecast,CX$2,FALSE),0)</f>
        <v>73814</v>
      </c>
      <c r="CY54" s="47">
        <f t="shared" si="36"/>
        <v>-1</v>
      </c>
      <c r="CZ54" s="278">
        <f>IFERROR(VLOOKUP(Brand&amp;Channel&amp;Country&amp;$C54,tblDiscount,6,FALSE),0)</f>
        <v>0.8</v>
      </c>
      <c r="DA54" s="279">
        <f>(1-CZ54)*DB54</f>
        <v>5.0039999999999987</v>
      </c>
      <c r="DB54" s="279">
        <f>IFERROR(VLOOKUP(Brand&amp;Country &amp; Channel &amp;FC,tblFCSettings,8,FALSE),0)</f>
        <v>25.02</v>
      </c>
      <c r="DC54" s="280">
        <f>IFERROR(VLOOKUP(Brand&amp;Country &amp; Channel &amp;FC,tblFCSettings,9,FALSE),0)</f>
        <v>4.16</v>
      </c>
    </row>
    <row r="55" spans="2:107" ht="16.5" thickBot="1" x14ac:dyDescent="0.3">
      <c r="C55" s="253" t="s">
        <v>313</v>
      </c>
      <c r="D55" s="254">
        <f>SUM(D50:D54)</f>
        <v>-36123661.156827003</v>
      </c>
      <c r="E55" s="255">
        <f>SUM(E50:E54)</f>
        <v>-34133426.415542997</v>
      </c>
      <c r="F55" s="256">
        <f t="shared" si="45"/>
        <v>0.94490495488141113</v>
      </c>
      <c r="G55" s="257">
        <f>SUM(G50:G54)</f>
        <v>-1224269</v>
      </c>
      <c r="H55" s="258">
        <f>IFERROR(D55/G55,0)</f>
        <v>29.506310424283392</v>
      </c>
      <c r="I55" s="258">
        <f>IFERROR(SUMPRODUCT(I50:I54,G50:G54)/G55,0)</f>
        <v>1.6256515041089825</v>
      </c>
      <c r="J55" s="257">
        <f>SUM(J50:J54)</f>
        <v>5663952</v>
      </c>
      <c r="K55" s="301">
        <f>SUM(K50:K54)</f>
        <v>166424</v>
      </c>
      <c r="L55" s="259">
        <f>SUM(L50:L54)</f>
        <v>341048.5</v>
      </c>
      <c r="M55" s="259">
        <f t="shared" ref="M55:O55" si="317">SUM(M50:M54)</f>
        <v>341048.5</v>
      </c>
      <c r="N55" s="259">
        <f t="shared" si="317"/>
        <v>0</v>
      </c>
      <c r="O55" s="259">
        <f t="shared" si="317"/>
        <v>186713.98849999998</v>
      </c>
      <c r="P55" s="260">
        <f t="shared" si="39"/>
        <v>0.82658247911618066</v>
      </c>
      <c r="Q55" s="261">
        <f>SUM(Q50:Q54)</f>
        <v>60593</v>
      </c>
      <c r="R55" s="262">
        <f t="shared" ref="R55:S55" si="318">SUM(R50:R54)</f>
        <v>60593</v>
      </c>
      <c r="S55" s="262">
        <f t="shared" si="318"/>
        <v>0</v>
      </c>
      <c r="T55" s="262">
        <f>SUM(T50:T54)</f>
        <v>35840</v>
      </c>
      <c r="U55" s="260">
        <f t="shared" si="7"/>
        <v>0.69065290178571437</v>
      </c>
      <c r="V55" s="263">
        <f>V54</f>
        <v>0.85000996611520829</v>
      </c>
      <c r="W55" s="332">
        <f>W54</f>
        <v>0.85000996611520829</v>
      </c>
      <c r="X55" s="264">
        <f>X54</f>
        <v>0.9032123487692949</v>
      </c>
      <c r="Y55" s="254">
        <f>SUM(Y50:Y54)</f>
        <v>88981.619999999966</v>
      </c>
      <c r="Z55" s="259">
        <f t="shared" ref="Z55:AB55" si="319">SUM(Z50:Z54)</f>
        <v>88981.619999999966</v>
      </c>
      <c r="AA55" s="259">
        <f t="shared" si="319"/>
        <v>0</v>
      </c>
      <c r="AB55" s="259">
        <f t="shared" si="319"/>
        <v>59087.501299999996</v>
      </c>
      <c r="AC55" s="260">
        <f t="shared" si="9"/>
        <v>0.50592964742612945</v>
      </c>
      <c r="AD55" s="265">
        <f>IFERROR(Y55/L55,0)</f>
        <v>0.26090605881568152</v>
      </c>
      <c r="AE55" s="266">
        <f>IFERROR(Z55/M55,0)</f>
        <v>0.26090605881568152</v>
      </c>
      <c r="AF55" s="266">
        <f>IFERROR(AA55/N55,0)</f>
        <v>0</v>
      </c>
      <c r="AG55" s="266">
        <f>IFERROR(AB55/O55,0)</f>
        <v>0.31645995982780906</v>
      </c>
      <c r="AH55" s="268">
        <f>IFERROR(SUMPRODUCT(AH50:AH54,Q50:Q54)/Q55,0)</f>
        <v>25.020000000000003</v>
      </c>
      <c r="AI55" s="268">
        <f>IFERROR(SUMPRODUCT(AI50:AI54,R50:R54)/R55,0)</f>
        <v>25.020000000000003</v>
      </c>
      <c r="AJ55" s="268">
        <f>IFERROR(SUMPRODUCT(AJ50:AJ54,S50:S54)/S55,0)</f>
        <v>0</v>
      </c>
      <c r="AK55" s="268">
        <f>IFERROR(SUMPRODUCT(AK50:AK54,T50:T54)/T55,0)</f>
        <v>21.881572287946426</v>
      </c>
      <c r="AL55" s="260">
        <f t="shared" si="264"/>
        <v>0.14342788857921307</v>
      </c>
      <c r="AM55" s="267">
        <f>IF(Q55&lt;&gt;0,L55/Q55,0)</f>
        <v>5.6285131945934346</v>
      </c>
      <c r="AN55" s="268">
        <f>IF(R55&lt;&gt;0,M55/R55,0)</f>
        <v>5.6285131945934346</v>
      </c>
      <c r="AO55" s="268">
        <f>IF(S55&lt;&gt;0,N55/S55,0)</f>
        <v>0</v>
      </c>
      <c r="AP55" s="268">
        <f>IF(T55&lt;&gt;0,O55/T55,0)</f>
        <v>5.2096536969866065</v>
      </c>
      <c r="AQ55" s="260">
        <f t="shared" si="14"/>
        <v>8.0400641188320687E-2</v>
      </c>
      <c r="AR55" s="267">
        <f>IFERROR((L55*(1-AD55))/Q55,0)</f>
        <v>4.16</v>
      </c>
      <c r="AS55" s="268">
        <f>IFERROR((M55*(1-AE55))/R55,0)</f>
        <v>4.16</v>
      </c>
      <c r="AT55" s="268">
        <f>IFERROR((N55*(1-AF55))/S55,0)</f>
        <v>0</v>
      </c>
      <c r="AU55" s="268">
        <f>IFERROR((O55*(1-AG55))/T55,0)</f>
        <v>3.5610068973214282</v>
      </c>
      <c r="AV55" s="260">
        <f t="shared" si="16"/>
        <v>0.16820891392519677</v>
      </c>
      <c r="AW55" s="269">
        <f>IFERROR(SUMPRODUCT(AW50:AW54,V50:V54)/V55,0)</f>
        <v>3.9441985860905033</v>
      </c>
      <c r="AX55" s="270">
        <f t="shared" ref="AX55:AZ55" si="320">IFERROR(SUMPRODUCT(AX50:AX54,X50:X54)/X55,0)</f>
        <v>3.3121141581377129</v>
      </c>
      <c r="AY55" s="270">
        <f t="shared" si="320"/>
        <v>0</v>
      </c>
      <c r="AZ55" s="270">
        <f t="shared" si="320"/>
        <v>0.75574941094827275</v>
      </c>
      <c r="BA55" s="261">
        <f>BA54</f>
        <v>172974</v>
      </c>
      <c r="BB55" s="262">
        <f t="shared" ref="BB55:BD55" si="321">BB54</f>
        <v>172974</v>
      </c>
      <c r="BC55" s="262">
        <f t="shared" si="321"/>
        <v>0</v>
      </c>
      <c r="BD55" s="262">
        <f t="shared" si="321"/>
        <v>79905</v>
      </c>
      <c r="BE55" s="260">
        <f t="shared" si="19"/>
        <v>1.1647456354420873</v>
      </c>
      <c r="BF55" s="262">
        <f>BF54</f>
        <v>0</v>
      </c>
      <c r="BG55" s="262">
        <f>BG54</f>
        <v>6091</v>
      </c>
      <c r="BH55" s="271">
        <f>IF(Q55&lt;&gt;0,(BA55*COUNTIF(BH50:BH54,"&lt;&gt;0")/Q55),0)</f>
        <v>14.273430924364201</v>
      </c>
      <c r="BI55" s="272">
        <f>IF(T55&lt;&gt;0,(BD55*COUNTIF(BI50:BI54,"&lt;&gt;0")/T55),0)</f>
        <v>11.1474609375</v>
      </c>
      <c r="BJ55" s="273">
        <f t="shared" ref="BJ55" si="322">IF(BA55&lt;&gt;0,(Q55/COUNTIF(BJ50:BJ54,"&lt;&gt;0"))/BA55,0)</f>
        <v>7.0060240267323409E-2</v>
      </c>
      <c r="BK55" s="274">
        <f t="shared" ref="BK55" si="323">IF(BD55&lt;&gt;0,(T55/COUNTIF(BK50:BK54,"&lt;&gt;0"))/BD55,0)</f>
        <v>8.9706526500219014E-2</v>
      </c>
      <c r="BL55" s="261">
        <f t="shared" ref="BL55" si="324">SUM(BL50:BL54)</f>
        <v>0</v>
      </c>
      <c r="BM55" s="262">
        <f>SUM(BM50:BM54)</f>
        <v>-1208</v>
      </c>
      <c r="BN55" s="261">
        <f t="shared" ref="BN55:BQ55" si="325">SUM(BN50:BN54)</f>
        <v>0</v>
      </c>
      <c r="BO55" s="262">
        <f t="shared" si="325"/>
        <v>5750</v>
      </c>
      <c r="BP55" s="261">
        <f t="shared" si="325"/>
        <v>0</v>
      </c>
      <c r="BQ55" s="262">
        <f t="shared" si="325"/>
        <v>126082</v>
      </c>
      <c r="BR55" s="261">
        <f t="shared" si="43"/>
        <v>0</v>
      </c>
      <c r="BS55" s="262">
        <f t="shared" si="22"/>
        <v>-120332</v>
      </c>
      <c r="BT55" s="261">
        <f t="shared" ref="BT55:BY55" si="326">SUM(BT50:BT54)</f>
        <v>0</v>
      </c>
      <c r="BU55" s="262">
        <f t="shared" si="326"/>
        <v>0</v>
      </c>
      <c r="BV55" s="262">
        <f t="shared" si="326"/>
        <v>0</v>
      </c>
      <c r="BW55" s="262">
        <f t="shared" si="326"/>
        <v>0</v>
      </c>
      <c r="BX55" s="262">
        <f t="shared" si="326"/>
        <v>0</v>
      </c>
      <c r="BY55" s="275">
        <f t="shared" si="326"/>
        <v>0</v>
      </c>
      <c r="BZ55" s="260">
        <f t="shared" si="25"/>
        <v>0</v>
      </c>
      <c r="CA55" s="338">
        <f t="shared" ref="CA55:CF55" si="327">SUM(CA50:CA54)</f>
        <v>0</v>
      </c>
      <c r="CB55" s="259">
        <f t="shared" si="327"/>
        <v>0</v>
      </c>
      <c r="CC55" s="259">
        <f t="shared" si="327"/>
        <v>0</v>
      </c>
      <c r="CD55" s="259">
        <f t="shared" si="327"/>
        <v>0</v>
      </c>
      <c r="CE55" s="259">
        <f t="shared" si="327"/>
        <v>0</v>
      </c>
      <c r="CF55" s="259">
        <f t="shared" si="327"/>
        <v>0</v>
      </c>
      <c r="CG55" s="260">
        <f t="shared" si="28"/>
        <v>0</v>
      </c>
      <c r="CH55" s="338">
        <f t="shared" ref="CH55:CM55" si="328">SUM(CH50:CH54)</f>
        <v>0</v>
      </c>
      <c r="CI55" s="259">
        <f t="shared" si="328"/>
        <v>0</v>
      </c>
      <c r="CJ55" s="259">
        <f t="shared" si="328"/>
        <v>0</v>
      </c>
      <c r="CK55" s="259">
        <f t="shared" si="328"/>
        <v>0</v>
      </c>
      <c r="CL55" s="259">
        <f t="shared" si="328"/>
        <v>0</v>
      </c>
      <c r="CM55" s="259">
        <f t="shared" si="328"/>
        <v>0</v>
      </c>
      <c r="CN55" s="260">
        <f t="shared" si="31"/>
        <v>0</v>
      </c>
      <c r="CO55" s="276">
        <f t="shared" si="46"/>
        <v>0</v>
      </c>
      <c r="CP55" s="277">
        <f t="shared" si="46"/>
        <v>0</v>
      </c>
      <c r="CQ55" s="260">
        <f t="shared" si="33"/>
        <v>0</v>
      </c>
      <c r="CR55" s="276">
        <f t="shared" si="44"/>
        <v>0</v>
      </c>
      <c r="CS55" s="277">
        <f t="shared" si="34"/>
        <v>0</v>
      </c>
      <c r="CT55" s="260">
        <f t="shared" si="47"/>
        <v>0</v>
      </c>
      <c r="CU55" s="44"/>
      <c r="CW55" s="100">
        <f>CW54</f>
        <v>0</v>
      </c>
      <c r="CX55" s="101">
        <f>CX54</f>
        <v>73814</v>
      </c>
      <c r="CY55" s="99">
        <f t="shared" si="36"/>
        <v>-1</v>
      </c>
      <c r="CZ55" s="278"/>
      <c r="DA55" s="279"/>
      <c r="DB55" s="279"/>
      <c r="DC55" s="280"/>
    </row>
    <row r="56" spans="2:107" x14ac:dyDescent="0.25">
      <c r="B56" s="44">
        <v>2018</v>
      </c>
      <c r="C56" s="88">
        <v>36</v>
      </c>
      <c r="D56" s="51">
        <f>G56*H56</f>
        <v>-8813910.7269200012</v>
      </c>
      <c r="E56" s="202">
        <f>IFERROR(D56*F56,0)</f>
        <v>-7485498.2349200007</v>
      </c>
      <c r="F56" s="182">
        <f t="shared" si="45"/>
        <v>0.84928228420300655</v>
      </c>
      <c r="G56" s="176">
        <f t="shared" ref="G56:I59" si="329">IFERROR(VLOOKUP($B56 &amp; $C56&amp;G$4&amp;$A56,tblForecast,G$2,FALSE),0)</f>
        <v>-339704</v>
      </c>
      <c r="H56" s="203">
        <f t="shared" si="329"/>
        <v>25.945855000000002</v>
      </c>
      <c r="I56" s="203">
        <f t="shared" si="329"/>
        <v>3.9104999999999999</v>
      </c>
      <c r="J56" s="176">
        <f>IFERROR(VLOOKUP($B56 &amp; $C56&amp;J$4&amp;$A56,tblForecast,J$2,FALSE),0)+IFERROR(VLOOKUP($B56 &amp; $C56 &amp; J$4 &amp; $A56,tblForecast,J$2+1,FALSE),0)</f>
        <v>1009682</v>
      </c>
      <c r="K56" s="300">
        <f>IFERROR(VLOOKUP($B56 &amp; $C56&amp;K$4&amp;$A56,tblForecast,K$2,FALSE),0)+IFERROR(VLOOKUP($B56 &amp; $C56&amp;K$4&amp;$A56,tblForecast,K$2+1,FALSE),0)</f>
        <v>129642</v>
      </c>
      <c r="L56" s="90">
        <f t="shared" ref="L56:O59" si="330">Q56*AM56</f>
        <v>38380</v>
      </c>
      <c r="M56" s="90">
        <f t="shared" si="330"/>
        <v>38380</v>
      </c>
      <c r="N56" s="46">
        <f t="shared" si="330"/>
        <v>0</v>
      </c>
      <c r="O56" s="46">
        <f t="shared" si="330"/>
        <v>8291.0895</v>
      </c>
      <c r="P56" s="47">
        <f t="shared" si="39"/>
        <v>3.6290659388009257</v>
      </c>
      <c r="Q56" s="242">
        <f>ROUND(IF(BA54-(Q54*IF(W56=0,X56,W56))&lt;0,BA54,Q54*IF(W56=0,X56,W56)),0)</f>
        <v>7676</v>
      </c>
      <c r="R56" s="240">
        <f t="shared" ref="R56:S59" si="331">IFERROR(VLOOKUP($B56 &amp; $C56&amp;R$4,tblForecast,R$2,FALSE),0)</f>
        <v>7676</v>
      </c>
      <c r="S56" s="240">
        <f t="shared" si="331"/>
        <v>0</v>
      </c>
      <c r="T56" s="240">
        <f>IFERROR(VLOOKUP($B56-IF(CompareVer="LY",1,0) &amp; $C56 &amp;T$4,tblForecast,T$2,FALSE),0)</f>
        <v>2449</v>
      </c>
      <c r="U56" s="91">
        <f t="shared" si="7"/>
        <v>2.1343405471621071</v>
      </c>
      <c r="V56" s="249">
        <f>IFERROR(IF(Q54&gt;0,Q56/Q54,0),0)</f>
        <v>0.89998827529604875</v>
      </c>
      <c r="W56" s="334">
        <f>IFERROR(IF(R54&gt;0,R56/R54,0),0)</f>
        <v>0.89998827529604875</v>
      </c>
      <c r="X56" s="250">
        <f>IFERROR(IF(T54&gt;0,T56/T54,0),0)</f>
        <v>1.1311778290993071</v>
      </c>
      <c r="Y56" s="51">
        <f t="shared" ref="Y56:AB59" si="332">IFERROR(L56*AD56,0)</f>
        <v>6447.8399999999974</v>
      </c>
      <c r="Z56" s="46">
        <f t="shared" si="332"/>
        <v>6447.8399999999974</v>
      </c>
      <c r="AA56" s="46">
        <f t="shared" si="332"/>
        <v>0</v>
      </c>
      <c r="AB56" s="46">
        <f t="shared" si="332"/>
        <v>140.08279999999988</v>
      </c>
      <c r="AC56" s="91">
        <f t="shared" si="9"/>
        <v>45.028777266016981</v>
      </c>
      <c r="AD56" s="75">
        <f>IF(AM56&lt;&gt;0,1-AR56/AM56,0)</f>
        <v>0.16799999999999993</v>
      </c>
      <c r="AE56" s="93">
        <f t="shared" ref="AE56:AG59" si="333">IF(AN56&lt;&gt;0,1-AS56/AN56,0)</f>
        <v>0.16799999999999993</v>
      </c>
      <c r="AF56" s="93">
        <f t="shared" si="333"/>
        <v>0</v>
      </c>
      <c r="AG56" s="76">
        <f t="shared" si="333"/>
        <v>1.6895584108698847E-2</v>
      </c>
      <c r="AH56" s="73">
        <f>IF(IFERROR(VLOOKUP($B56 &amp; $C56&amp;AH$4,tblForecast,AH$2,FALSE),0)=0,DB56,IFERROR(VLOOKUP($B56 &amp; $C56&amp;AH$4,tblForecast,AH$2,FALSE),0))</f>
        <v>25.02</v>
      </c>
      <c r="AI56" s="94">
        <f t="shared" ref="AI56:AJ59" si="334">IFERROR(VLOOKUP($B56 &amp; $C56&amp;AI$4,tblForecast,AI$2,FALSE),0)</f>
        <v>25.02</v>
      </c>
      <c r="AJ56" s="94">
        <f t="shared" si="334"/>
        <v>0</v>
      </c>
      <c r="AK56" s="49">
        <f>IFERROR(VLOOKUP($B56-IF(CompareVer="LY",1,0) &amp; $C56 &amp;AK$4,tblForecast,AK$2,FALSE),0)</f>
        <v>20.429400000000001</v>
      </c>
      <c r="AL56" s="47">
        <f t="shared" si="264"/>
        <v>0.22470557138241931</v>
      </c>
      <c r="AM56" s="73">
        <f>IF(IFERROR(VLOOKUP($B56 &amp; $C56&amp;AM$4,tblForecast,AM$2,FALSE),0)=0,DA56,IFERROR(VLOOKUP($B56 &amp; $C56&amp;AM$4,tblForecast,AM$2,FALSE),0))</f>
        <v>5</v>
      </c>
      <c r="AN56" s="94">
        <f t="shared" ref="AN56:AO59" si="335">IFERROR(VLOOKUP($B56 &amp; $C56&amp;AN$4,tblForecast,AN$2,FALSE),0)</f>
        <v>5</v>
      </c>
      <c r="AO56" s="94">
        <f t="shared" si="335"/>
        <v>0</v>
      </c>
      <c r="AP56" s="49">
        <f>IFERROR(VLOOKUP($B56-IF(CompareVer="LY",1,0) &amp; $C56 &amp;AP$4,tblForecast,AP$2,FALSE),0)</f>
        <v>3.3855</v>
      </c>
      <c r="AQ56" s="47">
        <f t="shared" si="14"/>
        <v>0.47688672278836219</v>
      </c>
      <c r="AR56" s="73">
        <f>IF(IFERROR(VLOOKUP($B56 &amp; $C56&amp;AR$4,tblForecast,AR$2,FALSE),0)=0,DC56,IFERROR(VLOOKUP($B56 &amp; $C56&amp;AR$4,tblForecast,AR$2,FALSE),0))</f>
        <v>4.16</v>
      </c>
      <c r="AS56" s="94">
        <f t="shared" ref="AS56:AT59" si="336">IFERROR(VLOOKUP($B56 &amp; $C56&amp;AS$4,tblForecast,AS$2,FALSE),0)</f>
        <v>4.16</v>
      </c>
      <c r="AT56" s="94">
        <f t="shared" si="336"/>
        <v>0</v>
      </c>
      <c r="AU56" s="49">
        <f>IFERROR(VLOOKUP($B56-IF(CompareVer="LY",1,0) &amp; $C56 &amp;AU$4,tblForecast,AU$2,FALSE),0)</f>
        <v>3.3283</v>
      </c>
      <c r="AV56" s="47">
        <f t="shared" si="16"/>
        <v>0.2498873298681008</v>
      </c>
      <c r="AW56" s="191">
        <f t="shared" ref="AW56:AZ59" si="337">IFERROR((AM56/AH56-1)*-1,0)</f>
        <v>0.8001598721023182</v>
      </c>
      <c r="AX56" s="192">
        <f t="shared" si="337"/>
        <v>0.8001598721023182</v>
      </c>
      <c r="AY56" s="192">
        <f t="shared" si="337"/>
        <v>0</v>
      </c>
      <c r="AZ56" s="192">
        <f t="shared" si="337"/>
        <v>0.83428294516725898</v>
      </c>
      <c r="BA56" s="235">
        <f>IF(BA55+BV56+BL56+BR56-Q56&lt;0,0,BA55+BV56+BL56+BR56-Q56)</f>
        <v>165298</v>
      </c>
      <c r="BB56" s="231">
        <f>IF(IFERROR(VLOOKUP($B56 &amp; $C56&amp;BB$4,tblForecast,BB$2,FALSE),0)=0,BA56,IFERROR(VLOOKUP($B56 &amp; $C56&amp;BB$4,tblForecast,BB$2,FALSE),0))</f>
        <v>165298</v>
      </c>
      <c r="BC56" s="231">
        <f>IFERROR(VLOOKUP($B56-IF(CompareVer="LY",1,0) &amp; $C56 &amp;BC$4,tblForecast,BC$2,FALSE),0)</f>
        <v>0</v>
      </c>
      <c r="BD56" s="231">
        <f t="shared" ref="BD56:BD59" si="338">CX56+BG56</f>
        <v>76019</v>
      </c>
      <c r="BE56" s="194">
        <f t="shared" si="19"/>
        <v>1.1744300766913534</v>
      </c>
      <c r="BF56" s="231">
        <f>IFERROR(VLOOKUP($B56 &amp; $C56&amp;IF($A56="a",BG$4,BF$4),tblForecast,BF$2,FALSE),0)</f>
        <v>0</v>
      </c>
      <c r="BG56" s="228">
        <f>IFERROR(VLOOKUP($B56-IF(CompareVer="LY",1,0) &amp; $C56 &amp;BG$4,tblForecast,BG$2,FALSE),0)</f>
        <v>6092</v>
      </c>
      <c r="BH56" s="179">
        <f>IF(Q56&lt;&gt;0,BA56/Q56,0)</f>
        <v>21.534392912975509</v>
      </c>
      <c r="BI56" s="183">
        <f>IF(T56&lt;&gt;0,BD56/T56,0)</f>
        <v>31.040832993058391</v>
      </c>
      <c r="BJ56" s="195">
        <f t="shared" ref="BJ56:BJ59" si="339">IF(BA56&lt;&gt;0,Q56/BA56,0)</f>
        <v>4.6437343464530725E-2</v>
      </c>
      <c r="BK56" s="50">
        <f t="shared" ref="BK56:BK59" si="340">IF(BD56&lt;&gt;0,T56/BD56,0)</f>
        <v>3.2215630302950576E-2</v>
      </c>
      <c r="BL56" s="234">
        <f>IFERROR(VLOOKUP($B56 &amp; $C56&amp;IF($A56="a",BM$4,BL$4),tblForecast,BL$2,FALSE),0)</f>
        <v>0</v>
      </c>
      <c r="BM56" s="228">
        <f>IFERROR(VLOOKUP($B56-IF(CompareVer="LY",1,0) &amp; $C56 &amp;BM$4,tblForecast,BM$2,FALSE),0)</f>
        <v>-108</v>
      </c>
      <c r="BN56" s="234">
        <f>IFERROR(VLOOKUP($B56 &amp; $C56&amp;IF($A56="a",BO$4,BN$4),tblForecast,BN$2,FALSE),0)</f>
        <v>0</v>
      </c>
      <c r="BO56" s="228">
        <f>IFERROR(VLOOKUP($B56-IF(CompareVer="LY",1,0) &amp; $C56 &amp;BO$4,tblForecast,BO$2,FALSE),0)</f>
        <v>48</v>
      </c>
      <c r="BP56" s="234">
        <f>IFERROR(VLOOKUP($B56 &amp; $C56&amp;IF($A56="a",BQ$4,BP$4),tblForecast,BP$2,FALSE),0)</f>
        <v>0</v>
      </c>
      <c r="BQ56" s="228">
        <f>IFERROR(VLOOKUP($B56-IF(CompareVer="LY",1,0) &amp; $C56 &amp;BQ$4,tblForecast,BQ$2,FALSE),0)</f>
        <v>1377</v>
      </c>
      <c r="BR56" s="227">
        <f t="shared" si="43"/>
        <v>0</v>
      </c>
      <c r="BS56" s="231">
        <f t="shared" si="22"/>
        <v>-1329</v>
      </c>
      <c r="BT56" s="234">
        <f t="shared" ref="BT56:BU59" si="341">IFERROR(VLOOKUP($B56 &amp; $C56&amp;BT$4,tblForecast,BT$2,FALSE),0)</f>
        <v>0</v>
      </c>
      <c r="BU56" s="231">
        <f t="shared" si="341"/>
        <v>0</v>
      </c>
      <c r="BV56" s="231">
        <f>IF($A56="a",IFERROR(VLOOKUP($B56 &amp; $C56&amp;BV$4,tblForecast,BV$2,FALSE),0),BT56+BU56)</f>
        <v>0</v>
      </c>
      <c r="BW56" s="231">
        <f t="shared" ref="BW56:BX59" si="342">IFERROR(VLOOKUP($B56 &amp; $C56&amp;BW$4,tblForecast,BW$2,FALSE),0)</f>
        <v>0</v>
      </c>
      <c r="BX56" s="231">
        <f t="shared" si="342"/>
        <v>0</v>
      </c>
      <c r="BY56" s="193">
        <f>IFERROR(VLOOKUP($B56-IF(CompareVer="LY",1,0) &amp; $C56 &amp;BY$4,tblForecast,BY$2,FALSE),0)</f>
        <v>0</v>
      </c>
      <c r="BZ56" s="194">
        <f t="shared" si="25"/>
        <v>0</v>
      </c>
      <c r="CA56" s="337">
        <f t="shared" ref="CA56:CB59" si="343">IFERROR(VLOOKUP($B56 &amp; $C56&amp;CA$4,tblForecast,CA$2,FALSE),0)</f>
        <v>0</v>
      </c>
      <c r="CB56" s="46">
        <f t="shared" si="343"/>
        <v>0</v>
      </c>
      <c r="CC56" s="46">
        <f>IF($A56="a",IFERROR(VLOOKUP($B56 &amp; $C56&amp;CC$4,tblForecast,CC$2,FALSE),0),CA56+CB56)</f>
        <v>0</v>
      </c>
      <c r="CD56" s="46">
        <f t="shared" ref="CD56:CE59" si="344">IFERROR(VLOOKUP($B56 &amp; $C56&amp;CD$4,tblForecast,CD$2,FALSE),0)</f>
        <v>0</v>
      </c>
      <c r="CE56" s="46">
        <f t="shared" si="344"/>
        <v>0</v>
      </c>
      <c r="CF56" s="46">
        <f>IFERROR(VLOOKUP($B56-IF(CompareVer="LY",1,0) &amp; $C56 &amp;CF$4,tblForecast,CF$2,FALSE),0)</f>
        <v>0</v>
      </c>
      <c r="CG56" s="194">
        <f t="shared" si="28"/>
        <v>0</v>
      </c>
      <c r="CH56" s="337">
        <f t="shared" ref="CH56:CI59" si="345">IFERROR(VLOOKUP($B56 &amp; $C56&amp;CH$4,tblForecast,CH$2,FALSE),0)</f>
        <v>0</v>
      </c>
      <c r="CI56" s="46">
        <f t="shared" si="345"/>
        <v>0</v>
      </c>
      <c r="CJ56" s="46">
        <f>IF($A56="a",IFERROR(VLOOKUP($B56 &amp; $C56&amp;CJ$4,tblForecast,CJ$2,FALSE),0),CH56+CI56)</f>
        <v>0</v>
      </c>
      <c r="CK56" s="46">
        <f t="shared" ref="CK56:CL59" si="346">IFERROR(VLOOKUP($B56 &amp; $C56&amp;CK$4,tblForecast,CK$2,FALSE),0)</f>
        <v>0</v>
      </c>
      <c r="CL56" s="46">
        <f t="shared" si="346"/>
        <v>0</v>
      </c>
      <c r="CM56" s="46">
        <f>IFERROR(VLOOKUP($B56-IF(CompareVer="LY",1,0) &amp; $C56 &amp;CM$4,tblForecast,CM$2,FALSE),0)</f>
        <v>0</v>
      </c>
      <c r="CN56" s="194">
        <f t="shared" si="31"/>
        <v>0</v>
      </c>
      <c r="CO56" s="178">
        <f t="shared" si="46"/>
        <v>0</v>
      </c>
      <c r="CP56" s="223">
        <f t="shared" si="46"/>
        <v>0</v>
      </c>
      <c r="CQ56" s="194">
        <f t="shared" si="33"/>
        <v>0</v>
      </c>
      <c r="CR56" s="178">
        <f t="shared" si="44"/>
        <v>0</v>
      </c>
      <c r="CS56" s="223">
        <f t="shared" si="34"/>
        <v>0</v>
      </c>
      <c r="CT56" s="194">
        <f t="shared" si="47"/>
        <v>0</v>
      </c>
      <c r="CU56" s="44"/>
      <c r="CW56" s="102">
        <f>IF(CW55+BV56+BL56-Q56&lt;0,0,CW55+BV56+BL56-Q56)</f>
        <v>0</v>
      </c>
      <c r="CX56" s="48">
        <f>IFERROR(VLOOKUP($B56-IF(CompareVer="LY",1,0) &amp; $C56 &amp;CX$4,tblForecast,CX$2,FALSE),0)</f>
        <v>69927</v>
      </c>
      <c r="CY56" s="47">
        <f t="shared" si="36"/>
        <v>-1</v>
      </c>
      <c r="CZ56" s="278">
        <f>IFERROR(VLOOKUP(Brand&amp;Channel&amp;Country&amp;$C56,tblDiscount,6,FALSE),0)</f>
        <v>0.8</v>
      </c>
      <c r="DA56" s="279">
        <f>(1-CZ56)*DB56</f>
        <v>5.0039999999999987</v>
      </c>
      <c r="DB56" s="279">
        <f>IFERROR(VLOOKUP(Brand&amp;Country &amp; Channel &amp;FC,tblFCSettings,8,FALSE),0)</f>
        <v>25.02</v>
      </c>
      <c r="DC56" s="280">
        <f>IFERROR(VLOOKUP(Brand&amp;Country &amp; Channel &amp;FC,tblFCSettings,9,FALSE),0)</f>
        <v>4.16</v>
      </c>
    </row>
    <row r="57" spans="2:107" x14ac:dyDescent="0.25">
      <c r="B57" s="44">
        <v>2018</v>
      </c>
      <c r="C57" s="88">
        <v>37</v>
      </c>
      <c r="D57" s="51">
        <f t="shared" ref="D57:D59" si="347">G57*H57</f>
        <v>-8606653.0239240006</v>
      </c>
      <c r="E57" s="202">
        <f t="shared" ref="E57:E59" si="348">IFERROR(D57*F57,0)</f>
        <v>-7040721.5748200007</v>
      </c>
      <c r="F57" s="182">
        <f t="shared" si="45"/>
        <v>0.81805570124052118</v>
      </c>
      <c r="G57" s="176">
        <f t="shared" si="329"/>
        <v>-349508</v>
      </c>
      <c r="H57" s="203">
        <f t="shared" si="329"/>
        <v>24.625053000000001</v>
      </c>
      <c r="I57" s="203">
        <f t="shared" si="329"/>
        <v>4.4803879999999996</v>
      </c>
      <c r="J57" s="176">
        <f>IFERROR(VLOOKUP($B57 &amp; $C57&amp;J$4&amp;$A57,tblForecast,J$2,FALSE),0)+IFERROR(VLOOKUP($B57 &amp; $C57 &amp; J$4 &amp; $A57,tblForecast,J$2+1,FALSE),0)</f>
        <v>924202</v>
      </c>
      <c r="K57" s="300">
        <f>IFERROR(VLOOKUP($B57 &amp; $C57&amp;K$4&amp;$A57,tblForecast,K$2,FALSE),0)+IFERROR(VLOOKUP($B57 &amp; $C57&amp;K$4&amp;$A57,tblForecast,K$2+1,FALSE),0)</f>
        <v>0</v>
      </c>
      <c r="L57" s="90">
        <f t="shared" si="330"/>
        <v>32625</v>
      </c>
      <c r="M57" s="90">
        <f t="shared" si="330"/>
        <v>32625</v>
      </c>
      <c r="N57" s="46">
        <f t="shared" si="330"/>
        <v>0</v>
      </c>
      <c r="O57" s="46">
        <f t="shared" si="330"/>
        <v>6315.96</v>
      </c>
      <c r="P57" s="47">
        <f t="shared" si="39"/>
        <v>4.1654855318906385</v>
      </c>
      <c r="Q57" s="342">
        <f t="shared" ref="Q57:Q59" si="349">ROUND(IF(BA56-(Q56*IF(W57=0,X57,W57))&lt;0,BA56,Q56*IF(W57=0,X57,W57)),0)</f>
        <v>6525</v>
      </c>
      <c r="R57" s="240">
        <f t="shared" si="331"/>
        <v>6525</v>
      </c>
      <c r="S57" s="240">
        <f t="shared" si="331"/>
        <v>0</v>
      </c>
      <c r="T57" s="240">
        <f>IFERROR(VLOOKUP($B57-IF(CompareVer="LY",1,0) &amp; $C57 &amp;T$4,tblForecast,T$2,FALSE),0)</f>
        <v>2100</v>
      </c>
      <c r="U57" s="91">
        <f t="shared" si="7"/>
        <v>2.1071428571428572</v>
      </c>
      <c r="V57" s="249">
        <f t="shared" ref="V57:W59" si="350">IFERROR(IF(Q56&lt;&gt;0,Q57/Q56,0),0)</f>
        <v>0.85005211047420537</v>
      </c>
      <c r="W57" s="334">
        <f t="shared" si="350"/>
        <v>0.85005211047420537</v>
      </c>
      <c r="X57" s="250">
        <f t="shared" ref="X57:X59" si="351">IFERROR(IF(T56&lt;&gt;0,T57/T56,0),0)</f>
        <v>0.8574928542262148</v>
      </c>
      <c r="Y57" s="51">
        <f t="shared" si="332"/>
        <v>5480.9999999999973</v>
      </c>
      <c r="Z57" s="46">
        <f t="shared" si="332"/>
        <v>5480.9999999999973</v>
      </c>
      <c r="AA57" s="46">
        <f t="shared" si="332"/>
        <v>0</v>
      </c>
      <c r="AB57" s="46">
        <f t="shared" si="332"/>
        <v>-586.94999999999982</v>
      </c>
      <c r="AC57" s="91">
        <f t="shared" si="9"/>
        <v>-10.338103756708406</v>
      </c>
      <c r="AD57" s="75">
        <f>IF(AM57&lt;&gt;0,1-AR57/AM57,0)</f>
        <v>0.16799999999999993</v>
      </c>
      <c r="AE57" s="93">
        <f t="shared" si="333"/>
        <v>0.16799999999999993</v>
      </c>
      <c r="AF57" s="93">
        <f t="shared" si="333"/>
        <v>0</v>
      </c>
      <c r="AG57" s="76">
        <f t="shared" si="333"/>
        <v>-9.2931240856496844E-2</v>
      </c>
      <c r="AH57" s="73">
        <f>IF(IFERROR(VLOOKUP($B57 &amp; $C57&amp;AH$4,tblForecast,AH$2,FALSE),0)=0,DB57,IFERROR(VLOOKUP($B57 &amp; $C57&amp;AH$4,tblForecast,AH$2,FALSE),0))</f>
        <v>25.02</v>
      </c>
      <c r="AI57" s="94">
        <f t="shared" si="334"/>
        <v>25.02</v>
      </c>
      <c r="AJ57" s="94">
        <f t="shared" si="334"/>
        <v>0</v>
      </c>
      <c r="AK57" s="49">
        <f>IFERROR(VLOOKUP($B57-IF(CompareVer="LY",1,0) &amp; $C57 &amp;AK$4,tblForecast,AK$2,FALSE),0)</f>
        <v>20.017099999999999</v>
      </c>
      <c r="AL57" s="47">
        <f t="shared" si="264"/>
        <v>0.24993130873103508</v>
      </c>
      <c r="AM57" s="73">
        <f>IF(IFERROR(VLOOKUP($B57 &amp; $C57&amp;AM$4,tblForecast,AM$2,FALSE),0)=0,DA57,IFERROR(VLOOKUP($B57 &amp; $C57&amp;AM$4,tblForecast,AM$2,FALSE),0))</f>
        <v>5</v>
      </c>
      <c r="AN57" s="94">
        <f t="shared" si="335"/>
        <v>5</v>
      </c>
      <c r="AO57" s="94">
        <f t="shared" si="335"/>
        <v>0</v>
      </c>
      <c r="AP57" s="49">
        <f>IFERROR(VLOOKUP($B57-IF(CompareVer="LY",1,0) &amp; $C57 &amp;AP$4,tblForecast,AP$2,FALSE),0)</f>
        <v>3.0076000000000001</v>
      </c>
      <c r="AQ57" s="47">
        <f t="shared" si="14"/>
        <v>0.66245511371192967</v>
      </c>
      <c r="AR57" s="73">
        <f>IF(IFERROR(VLOOKUP($B57 &amp; $C57&amp;AR$4,tblForecast,AR$2,FALSE),0)=0,DC57,IFERROR(VLOOKUP($B57 &amp; $C57&amp;AR$4,tblForecast,AR$2,FALSE),0))</f>
        <v>4.16</v>
      </c>
      <c r="AS57" s="94">
        <f t="shared" si="336"/>
        <v>4.16</v>
      </c>
      <c r="AT57" s="94">
        <f t="shared" si="336"/>
        <v>0</v>
      </c>
      <c r="AU57" s="49">
        <f>IFERROR(VLOOKUP($B57-IF(CompareVer="LY",1,0) &amp; $C57 &amp;AU$4,tblForecast,AU$2,FALSE),0)</f>
        <v>3.2871000000000001</v>
      </c>
      <c r="AV57" s="47">
        <f t="shared" si="16"/>
        <v>0.26555322320586527</v>
      </c>
      <c r="AW57" s="191">
        <f t="shared" si="337"/>
        <v>0.8001598721023182</v>
      </c>
      <c r="AX57" s="192">
        <f t="shared" si="337"/>
        <v>0.8001598721023182</v>
      </c>
      <c r="AY57" s="192">
        <f t="shared" si="337"/>
        <v>0</v>
      </c>
      <c r="AZ57" s="192">
        <f t="shared" si="337"/>
        <v>0.84974846506237167</v>
      </c>
      <c r="BA57" s="235">
        <f>IF(BA56+BV57+BL57+BR57-Q57&lt;0,0,BA56+BV57+BL57+BR57-Q57)</f>
        <v>158773</v>
      </c>
      <c r="BB57" s="231">
        <f>IF(IFERROR(VLOOKUP($B57 &amp; $C57&amp;BB$4,tblForecast,BB$2,FALSE),0)=0,BA57,IFERROR(VLOOKUP($B57 &amp; $C57&amp;BB$4,tblForecast,BB$2,FALSE),0))</f>
        <v>158773</v>
      </c>
      <c r="BC57" s="231">
        <f>IFERROR(VLOOKUP($B57-IF(CompareVer="LY",1,0) &amp; $C57 &amp;BC$4,tblForecast,BC$2,FALSE),0)</f>
        <v>0</v>
      </c>
      <c r="BD57" s="231">
        <f t="shared" si="338"/>
        <v>55503</v>
      </c>
      <c r="BE57" s="194">
        <f t="shared" si="19"/>
        <v>1.8606201466587393</v>
      </c>
      <c r="BF57" s="231">
        <f>IFERROR(VLOOKUP($B57 &amp; $C57&amp;IF($A57="a",BG$4,BF$4),tblForecast,BF$2,FALSE),0)</f>
        <v>0</v>
      </c>
      <c r="BG57" s="228">
        <f>IFERROR(VLOOKUP($B57-IF(CompareVer="LY",1,0) &amp; $C57 &amp;BG$4,tblForecast,BG$2,FALSE),0)</f>
        <v>6118</v>
      </c>
      <c r="BH57" s="179">
        <f>IF(Q57&lt;&gt;0,BA57/Q57,0)</f>
        <v>24.333026819923372</v>
      </c>
      <c r="BI57" s="183">
        <f>IF(T57&lt;&gt;0,BD57/T57,0)</f>
        <v>26.43</v>
      </c>
      <c r="BJ57" s="195">
        <f t="shared" si="339"/>
        <v>4.1096408079459357E-2</v>
      </c>
      <c r="BK57" s="50">
        <f t="shared" si="340"/>
        <v>3.7835792659856225E-2</v>
      </c>
      <c r="BL57" s="234">
        <f>IFERROR(VLOOKUP($B57 &amp; $C57&amp;IF($A57="a",BM$4,BL$4),tblForecast,BL$2,FALSE),0)</f>
        <v>0</v>
      </c>
      <c r="BM57" s="228">
        <f>IFERROR(VLOOKUP($B57-IF(CompareVer="LY",1,0) &amp; $C57 &amp;BM$4,tblForecast,BM$2,FALSE),0)</f>
        <v>-70</v>
      </c>
      <c r="BN57" s="234">
        <f>IFERROR(VLOOKUP($B57 &amp; $C57&amp;IF($A57="a",BO$4,BN$4),tblForecast,BN$2,FALSE),0)</f>
        <v>0</v>
      </c>
      <c r="BO57" s="228">
        <f>IFERROR(VLOOKUP($B57-IF(CompareVer="LY",1,0) &amp; $C57 &amp;BO$4,tblForecast,BO$2,FALSE),0)</f>
        <v>187</v>
      </c>
      <c r="BP57" s="234">
        <f>IFERROR(VLOOKUP($B57 &amp; $C57&amp;IF($A57="a",BQ$4,BP$4),tblForecast,BP$2,FALSE),0)</f>
        <v>0</v>
      </c>
      <c r="BQ57" s="228">
        <f>IFERROR(VLOOKUP($B57-IF(CompareVer="LY",1,0) &amp; $C57 &amp;BQ$4,tblForecast,BQ$2,FALSE),0)</f>
        <v>18534</v>
      </c>
      <c r="BR57" s="227">
        <f t="shared" si="43"/>
        <v>0</v>
      </c>
      <c r="BS57" s="231">
        <f t="shared" si="22"/>
        <v>-18347</v>
      </c>
      <c r="BT57" s="234">
        <f t="shared" si="341"/>
        <v>0</v>
      </c>
      <c r="BU57" s="231">
        <f t="shared" si="341"/>
        <v>0</v>
      </c>
      <c r="BV57" s="231">
        <f>IF($A57="a",IFERROR(VLOOKUP($B57 &amp; $C57&amp;BV$4,tblForecast,BV$2,FALSE),0),BT57+BU57)</f>
        <v>0</v>
      </c>
      <c r="BW57" s="231">
        <f t="shared" si="342"/>
        <v>0</v>
      </c>
      <c r="BX57" s="231">
        <f t="shared" si="342"/>
        <v>0</v>
      </c>
      <c r="BY57" s="193">
        <f>IFERROR(VLOOKUP($B57-IF(CompareVer="LY",1,0) &amp; $C57 &amp;BY$4,tblForecast,BY$2,FALSE),0)</f>
        <v>0</v>
      </c>
      <c r="BZ57" s="194">
        <f t="shared" si="25"/>
        <v>0</v>
      </c>
      <c r="CA57" s="337">
        <f t="shared" si="343"/>
        <v>0</v>
      </c>
      <c r="CB57" s="46">
        <f t="shared" si="343"/>
        <v>0</v>
      </c>
      <c r="CC57" s="46">
        <f>IF($A57="a",IFERROR(VLOOKUP($B57 &amp; $C57&amp;CC$4,tblForecast,CC$2,FALSE),0),CA57+CB57)</f>
        <v>0</v>
      </c>
      <c r="CD57" s="46">
        <f t="shared" si="344"/>
        <v>0</v>
      </c>
      <c r="CE57" s="46">
        <f t="shared" si="344"/>
        <v>0</v>
      </c>
      <c r="CF57" s="46">
        <f>IFERROR(VLOOKUP($B57-IF(CompareVer="LY",1,0) &amp; $C57 &amp;CF$4,tblForecast,CF$2,FALSE),0)</f>
        <v>0</v>
      </c>
      <c r="CG57" s="194">
        <f t="shared" si="28"/>
        <v>0</v>
      </c>
      <c r="CH57" s="337">
        <f t="shared" si="345"/>
        <v>0</v>
      </c>
      <c r="CI57" s="46">
        <f t="shared" si="345"/>
        <v>0</v>
      </c>
      <c r="CJ57" s="46">
        <f>IF($A57="a",IFERROR(VLOOKUP($B57 &amp; $C57&amp;CJ$4,tblForecast,CJ$2,FALSE),0),CH57+CI57)</f>
        <v>0</v>
      </c>
      <c r="CK57" s="46">
        <f t="shared" si="346"/>
        <v>0</v>
      </c>
      <c r="CL57" s="46">
        <f t="shared" si="346"/>
        <v>0</v>
      </c>
      <c r="CM57" s="46">
        <f>IFERROR(VLOOKUP($B57-IF(CompareVer="LY",1,0) &amp; $C57 &amp;CM$4,tblForecast,CM$2,FALSE),0)</f>
        <v>0</v>
      </c>
      <c r="CN57" s="194">
        <f t="shared" si="31"/>
        <v>0</v>
      </c>
      <c r="CO57" s="178">
        <f t="shared" si="46"/>
        <v>0</v>
      </c>
      <c r="CP57" s="223">
        <f t="shared" si="46"/>
        <v>0</v>
      </c>
      <c r="CQ57" s="194">
        <f t="shared" si="33"/>
        <v>0</v>
      </c>
      <c r="CR57" s="178">
        <f t="shared" si="44"/>
        <v>0</v>
      </c>
      <c r="CS57" s="223">
        <f t="shared" si="34"/>
        <v>0</v>
      </c>
      <c r="CT57" s="194">
        <f t="shared" si="47"/>
        <v>0</v>
      </c>
      <c r="CU57" s="44"/>
      <c r="CW57" s="102">
        <f>IF(CW56+BV57+BL57-Q57&lt;0,0,CW56+BV57+BL57-Q57)</f>
        <v>0</v>
      </c>
      <c r="CX57" s="48">
        <f>IFERROR(VLOOKUP($B57-IF(CompareVer="LY",1,0) &amp; $C57 &amp;CX$4,tblForecast,CX$2,FALSE),0)</f>
        <v>49385</v>
      </c>
      <c r="CY57" s="47">
        <f t="shared" si="36"/>
        <v>-1</v>
      </c>
      <c r="CZ57" s="278">
        <f>IFERROR(VLOOKUP(Brand&amp;Channel&amp;Country&amp;$C57,tblDiscount,6,FALSE),0)</f>
        <v>0.8</v>
      </c>
      <c r="DA57" s="279">
        <f>(1-CZ57)*DB57</f>
        <v>5.0039999999999987</v>
      </c>
      <c r="DB57" s="279">
        <f>IFERROR(VLOOKUP(Brand&amp;Country &amp; Channel &amp;FC,tblFCSettings,8,FALSE),0)</f>
        <v>25.02</v>
      </c>
      <c r="DC57" s="280">
        <f>IFERROR(VLOOKUP(Brand&amp;Country &amp; Channel &amp;FC,tblFCSettings,9,FALSE),0)</f>
        <v>4.16</v>
      </c>
    </row>
    <row r="58" spans="2:107" x14ac:dyDescent="0.25">
      <c r="B58" s="44">
        <v>2018</v>
      </c>
      <c r="C58" s="88">
        <v>38</v>
      </c>
      <c r="D58" s="51">
        <f t="shared" si="347"/>
        <v>-9807947.2698480003</v>
      </c>
      <c r="E58" s="202">
        <f t="shared" si="348"/>
        <v>-8007848.4093010006</v>
      </c>
      <c r="F58" s="182">
        <f t="shared" si="45"/>
        <v>0.81646527953092296</v>
      </c>
      <c r="G58" s="176">
        <f t="shared" si="329"/>
        <v>-386399</v>
      </c>
      <c r="H58" s="203">
        <f t="shared" si="329"/>
        <v>25.382952</v>
      </c>
      <c r="I58" s="203">
        <f t="shared" si="329"/>
        <v>4.6586530000000002</v>
      </c>
      <c r="J58" s="176">
        <f>IFERROR(VLOOKUP($B58 &amp; $C58&amp;J$4&amp;$A58,tblForecast,J$2,FALSE),0)+IFERROR(VLOOKUP($B58 &amp; $C58 &amp; J$4 &amp; $A58,tblForecast,J$2+1,FALSE),0)</f>
        <v>847509</v>
      </c>
      <c r="K58" s="300">
        <f>IFERROR(VLOOKUP($B58 &amp; $C58&amp;K$4&amp;$A58,tblForecast,K$2,FALSE),0)+IFERROR(VLOOKUP($B58 &amp; $C58&amp;K$4&amp;$A58,tblForecast,K$2+1,FALSE),0)</f>
        <v>0</v>
      </c>
      <c r="L58" s="90">
        <f t="shared" si="330"/>
        <v>27730</v>
      </c>
      <c r="M58" s="90">
        <f t="shared" si="330"/>
        <v>27730</v>
      </c>
      <c r="N58" s="46">
        <f t="shared" si="330"/>
        <v>0</v>
      </c>
      <c r="O58" s="46">
        <f t="shared" si="330"/>
        <v>3965</v>
      </c>
      <c r="P58" s="47">
        <f t="shared" si="39"/>
        <v>5.9936948297604031</v>
      </c>
      <c r="Q58" s="342">
        <f t="shared" si="349"/>
        <v>5546</v>
      </c>
      <c r="R58" s="240">
        <f t="shared" si="331"/>
        <v>5546</v>
      </c>
      <c r="S58" s="240">
        <f t="shared" si="331"/>
        <v>0</v>
      </c>
      <c r="T58" s="240">
        <f>IFERROR(VLOOKUP($B58-IF(CompareVer="LY",1,0) &amp; $C58 &amp;T$4,tblForecast,T$2,FALSE),0)</f>
        <v>1250</v>
      </c>
      <c r="U58" s="91">
        <f t="shared" si="7"/>
        <v>3.4367999999999999</v>
      </c>
      <c r="V58" s="249">
        <f t="shared" si="350"/>
        <v>0.84996168582375475</v>
      </c>
      <c r="W58" s="334">
        <f t="shared" si="350"/>
        <v>0.84996168582375475</v>
      </c>
      <c r="X58" s="250">
        <f t="shared" si="351"/>
        <v>0.59523809523809523</v>
      </c>
      <c r="Y58" s="51">
        <f t="shared" si="332"/>
        <v>4658.6399999999976</v>
      </c>
      <c r="Z58" s="46">
        <f t="shared" si="332"/>
        <v>4658.6399999999976</v>
      </c>
      <c r="AA58" s="46">
        <f t="shared" si="332"/>
        <v>0</v>
      </c>
      <c r="AB58" s="46">
        <f t="shared" si="332"/>
        <v>-217.99999999999946</v>
      </c>
      <c r="AC58" s="91">
        <f t="shared" si="9"/>
        <v>-22.369908256880777</v>
      </c>
      <c r="AD58" s="75">
        <f>IF(AM58&lt;&gt;0,1-AR58/AM58,0)</f>
        <v>0.16799999999999993</v>
      </c>
      <c r="AE58" s="93">
        <f t="shared" si="333"/>
        <v>0.16799999999999993</v>
      </c>
      <c r="AF58" s="93">
        <f t="shared" si="333"/>
        <v>0</v>
      </c>
      <c r="AG58" s="76">
        <f t="shared" si="333"/>
        <v>-5.4981084489281074E-2</v>
      </c>
      <c r="AH58" s="73">
        <f>IF(IFERROR(VLOOKUP($B58 &amp; $C58&amp;AH$4,tblForecast,AH$2,FALSE),0)=0,DB58,IFERROR(VLOOKUP($B58 &amp; $C58&amp;AH$4,tblForecast,AH$2,FALSE),0))</f>
        <v>25.02</v>
      </c>
      <c r="AI58" s="94">
        <f t="shared" si="334"/>
        <v>25.02</v>
      </c>
      <c r="AJ58" s="94">
        <f t="shared" si="334"/>
        <v>0</v>
      </c>
      <c r="AK58" s="49">
        <f>IFERROR(VLOOKUP($B58-IF(CompareVer="LY",1,0) &amp; $C58 &amp;AK$4,tblForecast,AK$2,FALSE),0)</f>
        <v>20.668199999999999</v>
      </c>
      <c r="AL58" s="47">
        <f t="shared" si="264"/>
        <v>0.21055534589369174</v>
      </c>
      <c r="AM58" s="73">
        <f>IF(IFERROR(VLOOKUP($B58 &amp; $C58&amp;AM$4,tblForecast,AM$2,FALSE),0)=0,DA58,IFERROR(VLOOKUP($B58 &amp; $C58&amp;AM$4,tblForecast,AM$2,FALSE),0))</f>
        <v>5</v>
      </c>
      <c r="AN58" s="94">
        <f t="shared" si="335"/>
        <v>5</v>
      </c>
      <c r="AO58" s="94">
        <f t="shared" si="335"/>
        <v>0</v>
      </c>
      <c r="AP58" s="49">
        <f>IFERROR(VLOOKUP($B58-IF(CompareVer="LY",1,0) &amp; $C58 &amp;AP$4,tblForecast,AP$2,FALSE),0)</f>
        <v>3.1720000000000002</v>
      </c>
      <c r="AQ58" s="47">
        <f t="shared" si="14"/>
        <v>0.5762925598991171</v>
      </c>
      <c r="AR58" s="73">
        <f>IF(IFERROR(VLOOKUP($B58 &amp; $C58&amp;AR$4,tblForecast,AR$2,FALSE),0)=0,DC58,IFERROR(VLOOKUP($B58 &amp; $C58&amp;AR$4,tblForecast,AR$2,FALSE),0))</f>
        <v>4.16</v>
      </c>
      <c r="AS58" s="94">
        <f t="shared" si="336"/>
        <v>4.16</v>
      </c>
      <c r="AT58" s="94">
        <f t="shared" si="336"/>
        <v>0</v>
      </c>
      <c r="AU58" s="49">
        <f>IFERROR(VLOOKUP($B58-IF(CompareVer="LY",1,0) &amp; $C58 &amp;AU$4,tblForecast,AU$2,FALSE),0)</f>
        <v>3.3464</v>
      </c>
      <c r="AV58" s="47">
        <f t="shared" si="16"/>
        <v>0.24312694238584753</v>
      </c>
      <c r="AW58" s="191">
        <f t="shared" si="337"/>
        <v>0.8001598721023182</v>
      </c>
      <c r="AX58" s="192">
        <f t="shared" si="337"/>
        <v>0.8001598721023182</v>
      </c>
      <c r="AY58" s="192">
        <f t="shared" si="337"/>
        <v>0</v>
      </c>
      <c r="AZ58" s="192">
        <f t="shared" si="337"/>
        <v>0.84652751570044804</v>
      </c>
      <c r="BA58" s="235">
        <f>IF(BA57+BV58+BL58+BR58-Q58&lt;0,0,BA57+BV58+BL58+BR58-Q58)</f>
        <v>153227</v>
      </c>
      <c r="BB58" s="231">
        <f>IF(IFERROR(VLOOKUP($B58 &amp; $C58&amp;BB$4,tblForecast,BB$2,FALSE),0)=0,BA58,IFERROR(VLOOKUP($B58 &amp; $C58&amp;BB$4,tblForecast,BB$2,FALSE),0))</f>
        <v>153227</v>
      </c>
      <c r="BC58" s="231">
        <f>IFERROR(VLOOKUP($B58-IF(CompareVer="LY",1,0) &amp; $C58 &amp;BC$4,tblForecast,BC$2,FALSE),0)</f>
        <v>0</v>
      </c>
      <c r="BD58" s="231">
        <f t="shared" si="338"/>
        <v>51339</v>
      </c>
      <c r="BE58" s="194">
        <f t="shared" si="19"/>
        <v>1.9846120882759695</v>
      </c>
      <c r="BF58" s="231">
        <f>IFERROR(VLOOKUP($B58 &amp; $C58&amp;IF($A58="a",BG$4,BF$4),tblForecast,BF$2,FALSE),0)</f>
        <v>0</v>
      </c>
      <c r="BG58" s="228">
        <f>IFERROR(VLOOKUP($B58-IF(CompareVer="LY",1,0) &amp; $C58 &amp;BG$4,tblForecast,BG$2,FALSE),0)</f>
        <v>5181</v>
      </c>
      <c r="BH58" s="179">
        <f>IF(Q58&lt;&gt;0,BA58/Q58,0)</f>
        <v>27.628380815001805</v>
      </c>
      <c r="BI58" s="183">
        <f>IF(T58&lt;&gt;0,BD58/T58,0)</f>
        <v>41.071199999999997</v>
      </c>
      <c r="BJ58" s="195">
        <f t="shared" si="339"/>
        <v>3.6194665431027166E-2</v>
      </c>
      <c r="BK58" s="50">
        <f t="shared" si="340"/>
        <v>2.4347961588655799E-2</v>
      </c>
      <c r="BL58" s="234">
        <f>IFERROR(VLOOKUP($B58 &amp; $C58&amp;IF($A58="a",BM$4,BL$4),tblForecast,BL$2,FALSE),0)</f>
        <v>0</v>
      </c>
      <c r="BM58" s="228">
        <f>IFERROR(VLOOKUP($B58-IF(CompareVer="LY",1,0) &amp; $C58 &amp;BM$4,tblForecast,BM$2,FALSE),0)</f>
        <v>-55</v>
      </c>
      <c r="BN58" s="234">
        <f>IFERROR(VLOOKUP($B58 &amp; $C58&amp;IF($A58="a",BO$4,BN$4),tblForecast,BN$2,FALSE),0)</f>
        <v>0</v>
      </c>
      <c r="BO58" s="228">
        <f>IFERROR(VLOOKUP($B58-IF(CompareVer="LY",1,0) &amp; $C58 &amp;BO$4,tblForecast,BO$2,FALSE),0)</f>
        <v>1758</v>
      </c>
      <c r="BP58" s="234">
        <f>IFERROR(VLOOKUP($B58 &amp; $C58&amp;IF($A58="a",BQ$4,BP$4),tblForecast,BP$2,FALSE),0)</f>
        <v>0</v>
      </c>
      <c r="BQ58" s="228">
        <f>IFERROR(VLOOKUP($B58-IF(CompareVer="LY",1,0) &amp; $C58 &amp;BQ$4,tblForecast,BQ$2,FALSE),0)</f>
        <v>4626</v>
      </c>
      <c r="BR58" s="227">
        <f t="shared" si="43"/>
        <v>0</v>
      </c>
      <c r="BS58" s="231">
        <f t="shared" si="22"/>
        <v>-2868</v>
      </c>
      <c r="BT58" s="234">
        <f t="shared" si="341"/>
        <v>0</v>
      </c>
      <c r="BU58" s="231">
        <f t="shared" si="341"/>
        <v>0</v>
      </c>
      <c r="BV58" s="231">
        <f>IF($A58="a",IFERROR(VLOOKUP($B58 &amp; $C58&amp;BV$4,tblForecast,BV$2,FALSE),0),BT58+BU58)</f>
        <v>0</v>
      </c>
      <c r="BW58" s="231">
        <f t="shared" si="342"/>
        <v>0</v>
      </c>
      <c r="BX58" s="231">
        <f t="shared" si="342"/>
        <v>0</v>
      </c>
      <c r="BY58" s="193">
        <f>IFERROR(VLOOKUP($B58-IF(CompareVer="LY",1,0) &amp; $C58 &amp;BY$4,tblForecast,BY$2,FALSE),0)</f>
        <v>0</v>
      </c>
      <c r="BZ58" s="194">
        <f t="shared" si="25"/>
        <v>0</v>
      </c>
      <c r="CA58" s="337">
        <f t="shared" si="343"/>
        <v>0</v>
      </c>
      <c r="CB58" s="46">
        <f t="shared" si="343"/>
        <v>0</v>
      </c>
      <c r="CC58" s="46">
        <f>IF($A58="a",IFERROR(VLOOKUP($B58 &amp; $C58&amp;CC$4,tblForecast,CC$2,FALSE),0),CA58+CB58)</f>
        <v>0</v>
      </c>
      <c r="CD58" s="46">
        <f t="shared" si="344"/>
        <v>0</v>
      </c>
      <c r="CE58" s="46">
        <f t="shared" si="344"/>
        <v>0</v>
      </c>
      <c r="CF58" s="46">
        <f>IFERROR(VLOOKUP($B58-IF(CompareVer="LY",1,0) &amp; $C58 &amp;CF$4,tblForecast,CF$2,FALSE),0)</f>
        <v>0</v>
      </c>
      <c r="CG58" s="194">
        <f t="shared" si="28"/>
        <v>0</v>
      </c>
      <c r="CH58" s="337">
        <f t="shared" si="345"/>
        <v>0</v>
      </c>
      <c r="CI58" s="46">
        <f t="shared" si="345"/>
        <v>0</v>
      </c>
      <c r="CJ58" s="46">
        <f>IF($A58="a",IFERROR(VLOOKUP($B58 &amp; $C58&amp;CJ$4,tblForecast,CJ$2,FALSE),0),CH58+CI58)</f>
        <v>0</v>
      </c>
      <c r="CK58" s="46">
        <f t="shared" si="346"/>
        <v>0</v>
      </c>
      <c r="CL58" s="46">
        <f t="shared" si="346"/>
        <v>0</v>
      </c>
      <c r="CM58" s="46">
        <f>IFERROR(VLOOKUP($B58-IF(CompareVer="LY",1,0) &amp; $C58 &amp;CM$4,tblForecast,CM$2,FALSE),0)</f>
        <v>0</v>
      </c>
      <c r="CN58" s="194">
        <f t="shared" si="31"/>
        <v>0</v>
      </c>
      <c r="CO58" s="178">
        <f t="shared" si="46"/>
        <v>0</v>
      </c>
      <c r="CP58" s="223">
        <f t="shared" si="46"/>
        <v>0</v>
      </c>
      <c r="CQ58" s="194">
        <f t="shared" si="33"/>
        <v>0</v>
      </c>
      <c r="CR58" s="178">
        <f t="shared" si="44"/>
        <v>0</v>
      </c>
      <c r="CS58" s="223">
        <f t="shared" si="34"/>
        <v>0</v>
      </c>
      <c r="CT58" s="194">
        <f t="shared" si="47"/>
        <v>0</v>
      </c>
      <c r="CU58" s="44"/>
      <c r="CW58" s="102">
        <f>IF(CW57+BV58+BL58-Q58&lt;0,0,CW57+BV58+BL58-Q58)</f>
        <v>0</v>
      </c>
      <c r="CX58" s="48">
        <f>IFERROR(VLOOKUP($B58-IF(CompareVer="LY",1,0) &amp; $C58 &amp;CX$4,tblForecast,CX$2,FALSE),0)</f>
        <v>46158</v>
      </c>
      <c r="CY58" s="47">
        <f t="shared" si="36"/>
        <v>-1</v>
      </c>
      <c r="CZ58" s="278">
        <f>IFERROR(VLOOKUP(Brand&amp;Channel&amp;Country&amp;$C58,tblDiscount,6,FALSE),0)</f>
        <v>0.8</v>
      </c>
      <c r="DA58" s="279">
        <f>(1-CZ58)*DB58</f>
        <v>5.0039999999999987</v>
      </c>
      <c r="DB58" s="279">
        <f>IFERROR(VLOOKUP(Brand&amp;Country &amp; Channel &amp;FC,tblFCSettings,8,FALSE),0)</f>
        <v>25.02</v>
      </c>
      <c r="DC58" s="280">
        <f>IFERROR(VLOOKUP(Brand&amp;Country &amp; Channel &amp;FC,tblFCSettings,9,FALSE),0)</f>
        <v>4.16</v>
      </c>
    </row>
    <row r="59" spans="2:107" ht="16.5" thickBot="1" x14ac:dyDescent="0.3">
      <c r="B59" s="44">
        <v>2018</v>
      </c>
      <c r="C59" s="88">
        <v>39</v>
      </c>
      <c r="D59" s="51">
        <f t="shared" si="347"/>
        <v>-10683685.580904</v>
      </c>
      <c r="E59" s="202">
        <f t="shared" si="348"/>
        <v>-8512204.7268720008</v>
      </c>
      <c r="F59" s="182">
        <f t="shared" si="45"/>
        <v>0.79674796327652131</v>
      </c>
      <c r="G59" s="176">
        <f t="shared" si="329"/>
        <v>-424872</v>
      </c>
      <c r="H59" s="203">
        <f t="shared" si="329"/>
        <v>25.145657</v>
      </c>
      <c r="I59" s="203">
        <f t="shared" si="329"/>
        <v>5.1109059999999999</v>
      </c>
      <c r="J59" s="176">
        <f>IFERROR(VLOOKUP($B59 &amp; $C59&amp;J$4&amp;$A59,tblForecast,J$2,FALSE),0)+IFERROR(VLOOKUP($B59 &amp; $C59 &amp; J$4 &amp; $A59,tblForecast,J$2+1,FALSE),0)</f>
        <v>744390</v>
      </c>
      <c r="K59" s="300">
        <f>IFERROR(VLOOKUP($B59 &amp; $C59&amp;K$4&amp;$A59,tblForecast,K$2,FALSE),0)+IFERROR(VLOOKUP($B59 &amp; $C59&amp;K$4&amp;$A59,tblForecast,K$2+1,FALSE),0)</f>
        <v>0</v>
      </c>
      <c r="L59" s="90">
        <f t="shared" si="330"/>
        <v>23570</v>
      </c>
      <c r="M59" s="90">
        <f t="shared" si="330"/>
        <v>23570</v>
      </c>
      <c r="N59" s="46">
        <f t="shared" si="330"/>
        <v>0</v>
      </c>
      <c r="O59" s="46">
        <f t="shared" si="330"/>
        <v>2924.9748</v>
      </c>
      <c r="P59" s="47">
        <f t="shared" si="39"/>
        <v>7.0581890825179077</v>
      </c>
      <c r="Q59" s="342">
        <f t="shared" si="349"/>
        <v>4714</v>
      </c>
      <c r="R59" s="240">
        <f t="shared" si="331"/>
        <v>4714</v>
      </c>
      <c r="S59" s="240">
        <f t="shared" si="331"/>
        <v>0</v>
      </c>
      <c r="T59" s="240">
        <f>IFERROR(VLOOKUP($B59-IF(CompareVer="LY",1,0) &amp; $C59 &amp;T$4,tblForecast,T$2,FALSE),0)</f>
        <v>957</v>
      </c>
      <c r="U59" s="91">
        <f t="shared" si="7"/>
        <v>3.9258098223615461</v>
      </c>
      <c r="V59" s="249">
        <f t="shared" si="350"/>
        <v>0.84998196898665701</v>
      </c>
      <c r="W59" s="334">
        <f t="shared" si="350"/>
        <v>0.84998196898665701</v>
      </c>
      <c r="X59" s="250">
        <f t="shared" si="351"/>
        <v>0.76559999999999995</v>
      </c>
      <c r="Y59" s="51">
        <f t="shared" si="332"/>
        <v>3959.7599999999984</v>
      </c>
      <c r="Z59" s="46">
        <f t="shared" si="332"/>
        <v>3959.7599999999984</v>
      </c>
      <c r="AA59" s="46">
        <f t="shared" si="332"/>
        <v>0</v>
      </c>
      <c r="AB59" s="46">
        <f t="shared" si="332"/>
        <v>-286.04730000000023</v>
      </c>
      <c r="AC59" s="91">
        <f t="shared" si="9"/>
        <v>-14.843025261905968</v>
      </c>
      <c r="AD59" s="75">
        <f>IF(AM59&lt;&gt;0,1-AR59/AM59,0)</f>
        <v>0.16799999999999993</v>
      </c>
      <c r="AE59" s="93">
        <f t="shared" si="333"/>
        <v>0.16799999999999993</v>
      </c>
      <c r="AF59" s="93">
        <f t="shared" si="333"/>
        <v>0</v>
      </c>
      <c r="AG59" s="76">
        <f t="shared" si="333"/>
        <v>-9.7794791257688862E-2</v>
      </c>
      <c r="AH59" s="73">
        <f>IF(IFERROR(VLOOKUP($B59 &amp; $C59&amp;AH$4,tblForecast,AH$2,FALSE),0)=0,DB59,IFERROR(VLOOKUP($B59 &amp; $C59&amp;AH$4,tblForecast,AH$2,FALSE),0))</f>
        <v>25.02</v>
      </c>
      <c r="AI59" s="94">
        <f t="shared" si="334"/>
        <v>25.02</v>
      </c>
      <c r="AJ59" s="94">
        <f t="shared" si="334"/>
        <v>0</v>
      </c>
      <c r="AK59" s="49">
        <f>IFERROR(VLOOKUP($B59-IF(CompareVer="LY",1,0) &amp; $C59 &amp;AK$4,tblForecast,AK$2,FALSE),0)</f>
        <v>20.4587</v>
      </c>
      <c r="AL59" s="47">
        <f t="shared" si="264"/>
        <v>0.22295160494068544</v>
      </c>
      <c r="AM59" s="73">
        <f>IF(IFERROR(VLOOKUP($B59 &amp; $C59&amp;AM$4,tblForecast,AM$2,FALSE),0)=0,DA59,IFERROR(VLOOKUP($B59 &amp; $C59&amp;AM$4,tblForecast,AM$2,FALSE),0))</f>
        <v>5</v>
      </c>
      <c r="AN59" s="94">
        <f t="shared" si="335"/>
        <v>5</v>
      </c>
      <c r="AO59" s="94">
        <f t="shared" si="335"/>
        <v>0</v>
      </c>
      <c r="AP59" s="49">
        <f>IFERROR(VLOOKUP($B59-IF(CompareVer="LY",1,0) &amp; $C59 &amp;AP$4,tblForecast,AP$2,FALSE),0)</f>
        <v>3.0564</v>
      </c>
      <c r="AQ59" s="47">
        <f t="shared" si="14"/>
        <v>0.63591152990446287</v>
      </c>
      <c r="AR59" s="73">
        <f>IF(IFERROR(VLOOKUP($B59 &amp; $C59&amp;AR$4,tblForecast,AR$2,FALSE),0)=0,DC59,IFERROR(VLOOKUP($B59 &amp; $C59&amp;AR$4,tblForecast,AR$2,FALSE),0))</f>
        <v>4.16</v>
      </c>
      <c r="AS59" s="94">
        <f t="shared" si="336"/>
        <v>4.16</v>
      </c>
      <c r="AT59" s="94">
        <f t="shared" si="336"/>
        <v>0</v>
      </c>
      <c r="AU59" s="49">
        <f>IFERROR(VLOOKUP($B59-IF(CompareVer="LY",1,0) &amp; $C59 &amp;AU$4,tblForecast,AU$2,FALSE),0)</f>
        <v>3.3553000000000002</v>
      </c>
      <c r="AV59" s="47">
        <f t="shared" si="16"/>
        <v>0.23982952344052699</v>
      </c>
      <c r="AW59" s="191">
        <f t="shared" si="337"/>
        <v>0.8001598721023182</v>
      </c>
      <c r="AX59" s="192">
        <f t="shared" si="337"/>
        <v>0.8001598721023182</v>
      </c>
      <c r="AY59" s="192">
        <f t="shared" si="337"/>
        <v>0</v>
      </c>
      <c r="AZ59" s="192">
        <f t="shared" si="337"/>
        <v>0.85060634351156228</v>
      </c>
      <c r="BA59" s="235">
        <f>IF(BA58+BV59+BL59+BR59-Q59&lt;0,0,BA58+BV59+BL59+BR59-Q59)</f>
        <v>148513</v>
      </c>
      <c r="BB59" s="231">
        <f>IF(IFERROR(VLOOKUP($B59 &amp; $C59&amp;BB$4,tblForecast,BB$2,FALSE),0)=0,BA59,IFERROR(VLOOKUP($B59 &amp; $C59&amp;BB$4,tblForecast,BB$2,FALSE),0))</f>
        <v>148513</v>
      </c>
      <c r="BC59" s="231">
        <f>IFERROR(VLOOKUP($B59-IF(CompareVer="LY",1,0) &amp; $C59 &amp;BC$4,tblForecast,BC$2,FALSE),0)</f>
        <v>0</v>
      </c>
      <c r="BD59" s="231">
        <f t="shared" si="338"/>
        <v>33014</v>
      </c>
      <c r="BE59" s="194">
        <f t="shared" si="19"/>
        <v>3.4984854910038168</v>
      </c>
      <c r="BF59" s="231">
        <f>IFERROR(VLOOKUP($B59 &amp; $C59&amp;IF($A59="a",BG$4,BF$4),tblForecast,BF$2,FALSE),0)</f>
        <v>0</v>
      </c>
      <c r="BG59" s="228">
        <f>IFERROR(VLOOKUP($B59-IF(CompareVer="LY",1,0) &amp; $C59 &amp;BG$4,tblForecast,BG$2,FALSE),0)</f>
        <v>1142</v>
      </c>
      <c r="BH59" s="179">
        <f>IF(Q59&lt;&gt;0,BA59/Q59,0)</f>
        <v>31.504666949512092</v>
      </c>
      <c r="BI59" s="183">
        <f>IF(T59&lt;&gt;0,BD59/T59,0)</f>
        <v>34.497387669801462</v>
      </c>
      <c r="BJ59" s="195">
        <f t="shared" si="339"/>
        <v>3.1741329041902057E-2</v>
      </c>
      <c r="BK59" s="50">
        <f t="shared" si="340"/>
        <v>2.898770218695099E-2</v>
      </c>
      <c r="BL59" s="234">
        <f>IFERROR(VLOOKUP($B59 &amp; $C59&amp;IF($A59="a",BM$4,BL$4),tblForecast,BL$2,FALSE),0)</f>
        <v>0</v>
      </c>
      <c r="BM59" s="228">
        <f>IFERROR(VLOOKUP($B59-IF(CompareVer="LY",1,0) &amp; $C59 &amp;BM$4,tblForecast,BM$2,FALSE),0)</f>
        <v>16</v>
      </c>
      <c r="BN59" s="234">
        <f>IFERROR(VLOOKUP($B59 &amp; $C59&amp;IF($A59="a",BO$4,BN$4),tblForecast,BN$2,FALSE),0)</f>
        <v>0</v>
      </c>
      <c r="BO59" s="228">
        <f>IFERROR(VLOOKUP($B59-IF(CompareVer="LY",1,0) &amp; $C59 &amp;BO$4,tblForecast,BO$2,FALSE),0)</f>
        <v>555</v>
      </c>
      <c r="BP59" s="234">
        <f>IFERROR(VLOOKUP($B59 &amp; $C59&amp;IF($A59="a",BQ$4,BP$4),tblForecast,BP$2,FALSE),0)</f>
        <v>0</v>
      </c>
      <c r="BQ59" s="228">
        <f>IFERROR(VLOOKUP($B59-IF(CompareVer="LY",1,0) &amp; $C59 &amp;BQ$4,tblForecast,BQ$2,FALSE),0)</f>
        <v>17903</v>
      </c>
      <c r="BR59" s="227">
        <f t="shared" si="43"/>
        <v>0</v>
      </c>
      <c r="BS59" s="231">
        <f t="shared" si="22"/>
        <v>-17348</v>
      </c>
      <c r="BT59" s="234">
        <f t="shared" si="341"/>
        <v>0</v>
      </c>
      <c r="BU59" s="231">
        <f t="shared" si="341"/>
        <v>0</v>
      </c>
      <c r="BV59" s="231">
        <f>IF($A59="a",IFERROR(VLOOKUP($B59 &amp; $C59&amp;BV$4,tblForecast,BV$2,FALSE),0),BT59+BU59)</f>
        <v>0</v>
      </c>
      <c r="BW59" s="231">
        <f t="shared" si="342"/>
        <v>0</v>
      </c>
      <c r="BX59" s="231">
        <f t="shared" si="342"/>
        <v>0</v>
      </c>
      <c r="BY59" s="193">
        <f>IFERROR(VLOOKUP($B59-IF(CompareVer="LY",1,0) &amp; $C59 &amp;BY$4,tblForecast,BY$2,FALSE),0)</f>
        <v>0</v>
      </c>
      <c r="BZ59" s="194">
        <f t="shared" si="25"/>
        <v>0</v>
      </c>
      <c r="CA59" s="337">
        <f t="shared" si="343"/>
        <v>0</v>
      </c>
      <c r="CB59" s="46">
        <f t="shared" si="343"/>
        <v>0</v>
      </c>
      <c r="CC59" s="46">
        <f>IF($A59="a",IFERROR(VLOOKUP($B59 &amp; $C59&amp;CC$4,tblForecast,CC$2,FALSE),0),CA59+CB59)</f>
        <v>0</v>
      </c>
      <c r="CD59" s="46">
        <f t="shared" si="344"/>
        <v>0</v>
      </c>
      <c r="CE59" s="46">
        <f t="shared" si="344"/>
        <v>0</v>
      </c>
      <c r="CF59" s="46">
        <f>IFERROR(VLOOKUP($B59-IF(CompareVer="LY",1,0) &amp; $C59 &amp;CF$4,tblForecast,CF$2,FALSE),0)</f>
        <v>0</v>
      </c>
      <c r="CG59" s="194">
        <f t="shared" si="28"/>
        <v>0</v>
      </c>
      <c r="CH59" s="337">
        <f t="shared" si="345"/>
        <v>0</v>
      </c>
      <c r="CI59" s="46">
        <f t="shared" si="345"/>
        <v>0</v>
      </c>
      <c r="CJ59" s="46">
        <f>IF($A59="a",IFERROR(VLOOKUP($B59 &amp; $C59&amp;CJ$4,tblForecast,CJ$2,FALSE),0),CH59+CI59)</f>
        <v>0</v>
      </c>
      <c r="CK59" s="46">
        <f t="shared" si="346"/>
        <v>0</v>
      </c>
      <c r="CL59" s="46">
        <f t="shared" si="346"/>
        <v>0</v>
      </c>
      <c r="CM59" s="46">
        <f>IFERROR(VLOOKUP($B59-IF(CompareVer="LY",1,0) &amp; $C59 &amp;CM$4,tblForecast,CM$2,FALSE),0)</f>
        <v>0</v>
      </c>
      <c r="CN59" s="194">
        <f t="shared" si="31"/>
        <v>0</v>
      </c>
      <c r="CO59" s="178">
        <f t="shared" si="46"/>
        <v>0</v>
      </c>
      <c r="CP59" s="223">
        <f t="shared" si="46"/>
        <v>0</v>
      </c>
      <c r="CQ59" s="194">
        <f t="shared" si="33"/>
        <v>0</v>
      </c>
      <c r="CR59" s="178">
        <f t="shared" si="44"/>
        <v>0</v>
      </c>
      <c r="CS59" s="223">
        <f t="shared" si="34"/>
        <v>0</v>
      </c>
      <c r="CT59" s="194">
        <f t="shared" si="47"/>
        <v>0</v>
      </c>
      <c r="CU59" s="44"/>
      <c r="CW59" s="102">
        <f>IF(CW58+BV59+BL59-Q59&lt;0,0,CW58+BV59+BL59-Q59)</f>
        <v>0</v>
      </c>
      <c r="CX59" s="48">
        <f>IFERROR(VLOOKUP($B59-IF(CompareVer="LY",1,0) &amp; $C59 &amp;CX$4,tblForecast,CX$2,FALSE),0)</f>
        <v>31872</v>
      </c>
      <c r="CY59" s="47">
        <f t="shared" si="36"/>
        <v>-1</v>
      </c>
      <c r="CZ59" s="278">
        <f>IFERROR(VLOOKUP(Brand&amp;Channel&amp;Country&amp;$C59,tblDiscount,6,FALSE),0)</f>
        <v>0.8</v>
      </c>
      <c r="DA59" s="279">
        <f>(1-CZ59)*DB59</f>
        <v>5.0039999999999987</v>
      </c>
      <c r="DB59" s="279">
        <f>IFERROR(VLOOKUP(Brand&amp;Country &amp; Channel &amp;FC,tblFCSettings,8,FALSE),0)</f>
        <v>25.02</v>
      </c>
      <c r="DC59" s="280">
        <f>IFERROR(VLOOKUP(Brand&amp;Country &amp; Channel &amp;FC,tblFCSettings,9,FALSE),0)</f>
        <v>4.16</v>
      </c>
    </row>
    <row r="60" spans="2:107" ht="16.5" thickBot="1" x14ac:dyDescent="0.3">
      <c r="C60" s="253" t="s">
        <v>314</v>
      </c>
      <c r="D60" s="254">
        <f t="shared" ref="D60" si="352">SUM(D56:D59)</f>
        <v>-37912196.601595998</v>
      </c>
      <c r="E60" s="255">
        <f t="shared" ref="E60" si="353">SUM(E56:E59)</f>
        <v>-31046272.945913002</v>
      </c>
      <c r="F60" s="256">
        <f t="shared" si="45"/>
        <v>0.81889934450820068</v>
      </c>
      <c r="G60" s="257">
        <f>SUM(G56:G59)</f>
        <v>-1500483</v>
      </c>
      <c r="H60" s="258">
        <f>IFERROR(D60/G60,0)</f>
        <v>25.266661869275424</v>
      </c>
      <c r="I60" s="258">
        <f>IFERROR(SUMPRODUCT(I56:I59,G56:G59)/G60,0)</f>
        <v>4.5758090266154294</v>
      </c>
      <c r="J60" s="257">
        <f>SUM(J56:J59)</f>
        <v>3525783</v>
      </c>
      <c r="K60" s="301">
        <f>SUM(K56:K59)</f>
        <v>129642</v>
      </c>
      <c r="L60" s="259">
        <f>SUM(L56:L59)</f>
        <v>122305</v>
      </c>
      <c r="M60" s="259">
        <f t="shared" ref="M60:O60" si="354">SUM(M56:M59)</f>
        <v>122305</v>
      </c>
      <c r="N60" s="259">
        <f t="shared" si="354"/>
        <v>0</v>
      </c>
      <c r="O60" s="259">
        <f t="shared" si="354"/>
        <v>21497.024300000001</v>
      </c>
      <c r="P60" s="260">
        <f t="shared" si="39"/>
        <v>4.6893920894902648</v>
      </c>
      <c r="Q60" s="261">
        <f>SUM(Q56:Q59)</f>
        <v>24461</v>
      </c>
      <c r="R60" s="262">
        <f t="shared" ref="R60:S60" si="355">SUM(R56:R59)</f>
        <v>24461</v>
      </c>
      <c r="S60" s="262">
        <f t="shared" si="355"/>
        <v>0</v>
      </c>
      <c r="T60" s="262">
        <f>SUM(T56:T59)</f>
        <v>6756</v>
      </c>
      <c r="U60" s="260">
        <f t="shared" si="7"/>
        <v>2.6206335109532266</v>
      </c>
      <c r="V60" s="263">
        <f t="shared" ref="V60:X61" si="356">V59</f>
        <v>0.84998196898665701</v>
      </c>
      <c r="W60" s="332">
        <f t="shared" si="356"/>
        <v>0.84998196898665701</v>
      </c>
      <c r="X60" s="264">
        <f t="shared" si="356"/>
        <v>0.76559999999999995</v>
      </c>
      <c r="Y60" s="254">
        <f>SUM(Y56:Y59)</f>
        <v>20547.239999999991</v>
      </c>
      <c r="Z60" s="259">
        <f t="shared" ref="Z60:AB60" si="357">SUM(Z56:Z59)</f>
        <v>20547.239999999991</v>
      </c>
      <c r="AA60" s="259">
        <f t="shared" si="357"/>
        <v>0</v>
      </c>
      <c r="AB60" s="259">
        <f t="shared" si="357"/>
        <v>-950.91449999999963</v>
      </c>
      <c r="AC60" s="260">
        <f t="shared" si="9"/>
        <v>-22.607873263053616</v>
      </c>
      <c r="AD60" s="265">
        <f t="shared" ref="AD60:AG61" si="358">IFERROR(Y60/L60,0)</f>
        <v>0.16799999999999993</v>
      </c>
      <c r="AE60" s="266">
        <f t="shared" si="358"/>
        <v>0.16799999999999993</v>
      </c>
      <c r="AF60" s="266">
        <f t="shared" si="358"/>
        <v>0</v>
      </c>
      <c r="AG60" s="266">
        <f t="shared" si="358"/>
        <v>-4.42347036840815E-2</v>
      </c>
      <c r="AH60" s="267">
        <f>IFERROR(SUMPRODUCT(AH56:AH59,Q56:Q59)/Q60,0)</f>
        <v>25.02</v>
      </c>
      <c r="AI60" s="268">
        <f>IFERROR(SUMPRODUCT(AI56:AI59,R56:R59)/R60,0)</f>
        <v>25.02</v>
      </c>
      <c r="AJ60" s="268">
        <f t="shared" ref="AJ60:AK60" si="359">IFERROR(SUMPRODUCT(AJ56:AJ59,S56:S59)/S60,0)</f>
        <v>0</v>
      </c>
      <c r="AK60" s="268">
        <f t="shared" si="359"/>
        <v>20.349576154529306</v>
      </c>
      <c r="AL60" s="260">
        <f t="shared" si="264"/>
        <v>0.22950963744918962</v>
      </c>
      <c r="AM60" s="267">
        <f t="shared" ref="AM60:AP61" si="360">IF(Q60&lt;&gt;0,L60/Q60,0)</f>
        <v>5</v>
      </c>
      <c r="AN60" s="268">
        <f t="shared" si="360"/>
        <v>5</v>
      </c>
      <c r="AO60" s="268">
        <f t="shared" si="360"/>
        <v>0</v>
      </c>
      <c r="AP60" s="268">
        <f t="shared" si="360"/>
        <v>3.1819159709887508</v>
      </c>
      <c r="AQ60" s="260">
        <f t="shared" si="14"/>
        <v>0.57138027703676175</v>
      </c>
      <c r="AR60" s="267">
        <f t="shared" ref="AR60:AU61" si="361">IFERROR((L60*(1-AD60))/Q60,0)</f>
        <v>4.16</v>
      </c>
      <c r="AS60" s="268">
        <f t="shared" si="361"/>
        <v>4.16</v>
      </c>
      <c r="AT60" s="268">
        <f t="shared" si="361"/>
        <v>0</v>
      </c>
      <c r="AU60" s="268">
        <f t="shared" si="361"/>
        <v>3.3226670811130847</v>
      </c>
      <c r="AV60" s="260">
        <f t="shared" si="16"/>
        <v>0.25200626437915985</v>
      </c>
      <c r="AW60" s="269">
        <f>IFERROR(SUMPRODUCT(AW56:AW59,Q56:Q59)/Q60,0)</f>
        <v>0.80015987210231809</v>
      </c>
      <c r="AX60" s="270">
        <f t="shared" ref="AX60:AZ60" si="362">IFERROR(SUMPRODUCT(AX56:AX59,X56:X59)/X60,0)</f>
        <v>3.5007086152835112</v>
      </c>
      <c r="AY60" s="270">
        <f t="shared" si="362"/>
        <v>0</v>
      </c>
      <c r="AZ60" s="270">
        <f t="shared" si="362"/>
        <v>0.84433034328212442</v>
      </c>
      <c r="BA60" s="261">
        <f>BA59</f>
        <v>148513</v>
      </c>
      <c r="BB60" s="262">
        <f t="shared" ref="BB60:BD61" si="363">BB59</f>
        <v>148513</v>
      </c>
      <c r="BC60" s="262">
        <f t="shared" si="363"/>
        <v>0</v>
      </c>
      <c r="BD60" s="262">
        <f t="shared" si="363"/>
        <v>33014</v>
      </c>
      <c r="BE60" s="260">
        <f t="shared" si="19"/>
        <v>3.4984854910038168</v>
      </c>
      <c r="BF60" s="262">
        <f>BF59</f>
        <v>0</v>
      </c>
      <c r="BG60" s="262">
        <f>BG59</f>
        <v>1142</v>
      </c>
      <c r="BH60" s="271">
        <f>IF(Q60&lt;&gt;0,(BA60*COUNTIF(BH56:BH59,"&lt;&gt;0")/Q60),0)</f>
        <v>24.285679244511673</v>
      </c>
      <c r="BI60" s="272">
        <f>IF(T60&lt;&gt;0,(BD60*COUNTIF(BI56:BI59,"&lt;&gt;0")/T60),0)</f>
        <v>19.546477205447012</v>
      </c>
      <c r="BJ60" s="273">
        <f t="shared" ref="BJ60" si="364">IF(BA60&lt;&gt;0,(Q60/COUNTIF(BJ56:BJ59,"&lt;&gt;0"))/BA60,0)</f>
        <v>4.1176530000740674E-2</v>
      </c>
      <c r="BK60" s="274">
        <f t="shared" ref="BK60" si="365">IF(BD60&lt;&gt;0,(T60/COUNTIF(BK56:BK59,"&lt;&gt;0"))/BD60,0)</f>
        <v>5.1160113891076511E-2</v>
      </c>
      <c r="BL60" s="261">
        <f>SUM(BL56:BL59)</f>
        <v>0</v>
      </c>
      <c r="BM60" s="262">
        <f>SUM(BM56:BM59)</f>
        <v>-217</v>
      </c>
      <c r="BN60" s="261">
        <f>SUM(BN56:BN59)</f>
        <v>0</v>
      </c>
      <c r="BO60" s="262">
        <f t="shared" ref="BO60:BQ60" si="366">SUM(BO56:BO59)</f>
        <v>2548</v>
      </c>
      <c r="BP60" s="261">
        <f>SUM(BP56:BP59)</f>
        <v>0</v>
      </c>
      <c r="BQ60" s="262">
        <f t="shared" si="366"/>
        <v>42440</v>
      </c>
      <c r="BR60" s="261">
        <f t="shared" si="43"/>
        <v>0</v>
      </c>
      <c r="BS60" s="262">
        <f t="shared" si="22"/>
        <v>-39892</v>
      </c>
      <c r="BT60" s="261">
        <f t="shared" ref="BT60:BY60" si="367">SUM(BT56:BT59)</f>
        <v>0</v>
      </c>
      <c r="BU60" s="262">
        <f t="shared" si="367"/>
        <v>0</v>
      </c>
      <c r="BV60" s="262">
        <f t="shared" si="367"/>
        <v>0</v>
      </c>
      <c r="BW60" s="262">
        <f t="shared" si="367"/>
        <v>0</v>
      </c>
      <c r="BX60" s="262">
        <f t="shared" si="367"/>
        <v>0</v>
      </c>
      <c r="BY60" s="275">
        <f t="shared" si="367"/>
        <v>0</v>
      </c>
      <c r="BZ60" s="260">
        <f t="shared" si="25"/>
        <v>0</v>
      </c>
      <c r="CA60" s="338">
        <f t="shared" ref="CA60:CF60" si="368">SUM(CA56:CA59)</f>
        <v>0</v>
      </c>
      <c r="CB60" s="259">
        <f t="shared" si="368"/>
        <v>0</v>
      </c>
      <c r="CC60" s="259">
        <f t="shared" si="368"/>
        <v>0</v>
      </c>
      <c r="CD60" s="259">
        <f t="shared" si="368"/>
        <v>0</v>
      </c>
      <c r="CE60" s="259">
        <f t="shared" si="368"/>
        <v>0</v>
      </c>
      <c r="CF60" s="259">
        <f t="shared" si="368"/>
        <v>0</v>
      </c>
      <c r="CG60" s="260">
        <f t="shared" si="28"/>
        <v>0</v>
      </c>
      <c r="CH60" s="338">
        <f t="shared" ref="CH60:CM60" si="369">SUM(CH56:CH59)</f>
        <v>0</v>
      </c>
      <c r="CI60" s="259">
        <f t="shared" si="369"/>
        <v>0</v>
      </c>
      <c r="CJ60" s="259">
        <f t="shared" si="369"/>
        <v>0</v>
      </c>
      <c r="CK60" s="259">
        <f t="shared" si="369"/>
        <v>0</v>
      </c>
      <c r="CL60" s="259">
        <f t="shared" si="369"/>
        <v>0</v>
      </c>
      <c r="CM60" s="259">
        <f t="shared" si="369"/>
        <v>0</v>
      </c>
      <c r="CN60" s="260">
        <f t="shared" si="31"/>
        <v>0</v>
      </c>
      <c r="CO60" s="276">
        <f t="shared" si="46"/>
        <v>0</v>
      </c>
      <c r="CP60" s="277">
        <f t="shared" si="46"/>
        <v>0</v>
      </c>
      <c r="CQ60" s="260">
        <f t="shared" si="33"/>
        <v>0</v>
      </c>
      <c r="CR60" s="276">
        <f t="shared" si="44"/>
        <v>0</v>
      </c>
      <c r="CS60" s="277">
        <f t="shared" si="34"/>
        <v>0</v>
      </c>
      <c r="CT60" s="260">
        <f t="shared" si="47"/>
        <v>0</v>
      </c>
      <c r="CU60" s="44"/>
      <c r="CW60" s="100">
        <f>CW59</f>
        <v>0</v>
      </c>
      <c r="CX60" s="101">
        <f>CX59</f>
        <v>31872</v>
      </c>
      <c r="CY60" s="99">
        <f t="shared" si="36"/>
        <v>-1</v>
      </c>
      <c r="CZ60" s="278"/>
      <c r="DA60" s="279"/>
      <c r="DB60" s="279"/>
      <c r="DC60" s="280"/>
    </row>
    <row r="61" spans="2:107" ht="16.5" thickBot="1" x14ac:dyDescent="0.3">
      <c r="C61" s="105" t="s">
        <v>42</v>
      </c>
      <c r="D61" s="52">
        <f t="shared" ref="D61:E61" si="370">D49+D55+D60</f>
        <v>-80875446.109416008</v>
      </c>
      <c r="E61" s="205">
        <f t="shared" si="370"/>
        <v>-80167435.684395999</v>
      </c>
      <c r="F61" s="206">
        <f t="shared" si="45"/>
        <v>0.99124566899993183</v>
      </c>
      <c r="G61" s="204">
        <f>G49+G55+G60</f>
        <v>-2726065</v>
      </c>
      <c r="H61" s="207">
        <f>IFERROR(D61/G61,0)</f>
        <v>29.667467983858053</v>
      </c>
      <c r="I61" s="58">
        <f>IFERROR((I49*G49+I55*G55+I60*G60)/G61,0)</f>
        <v>0.25971883466461698</v>
      </c>
      <c r="J61" s="204">
        <f t="shared" ref="J61:K61" si="371">J49+J55+J60</f>
        <v>14327521</v>
      </c>
      <c r="K61" s="302">
        <f t="shared" si="371"/>
        <v>1699760</v>
      </c>
      <c r="L61" s="53">
        <f>L49+L55+L60</f>
        <v>1064064.1499999999</v>
      </c>
      <c r="M61" s="53">
        <f t="shared" ref="M61:O61" si="372">M49+M55+M60</f>
        <v>1064064.1499999999</v>
      </c>
      <c r="N61" s="53">
        <f t="shared" si="372"/>
        <v>0</v>
      </c>
      <c r="O61" s="53">
        <f t="shared" si="372"/>
        <v>705133.23460000008</v>
      </c>
      <c r="P61" s="54">
        <f t="shared" si="39"/>
        <v>0.50902566747348121</v>
      </c>
      <c r="Q61" s="229">
        <f>Q49+Q55+Q60</f>
        <v>171244</v>
      </c>
      <c r="R61" s="230">
        <f>R49+R55+R60</f>
        <v>171244</v>
      </c>
      <c r="S61" s="230">
        <f>S49+S55+S60</f>
        <v>0</v>
      </c>
      <c r="T61" s="230">
        <f>T49+T55+T60</f>
        <v>118472</v>
      </c>
      <c r="U61" s="54">
        <f t="shared" si="7"/>
        <v>0.44543858464447306</v>
      </c>
      <c r="V61" s="247">
        <f t="shared" si="356"/>
        <v>0.84998196898665701</v>
      </c>
      <c r="W61" s="333">
        <f t="shared" si="356"/>
        <v>0.84998196898665701</v>
      </c>
      <c r="X61" s="248">
        <f t="shared" si="356"/>
        <v>0.76559999999999995</v>
      </c>
      <c r="Y61" s="52">
        <f>Y49+Y55+Y60</f>
        <v>351689.10999999987</v>
      </c>
      <c r="Z61" s="53">
        <f t="shared" ref="Z61:AB61" si="373">Z49+Z55+Z60</f>
        <v>351689.10999999987</v>
      </c>
      <c r="AA61" s="53">
        <f t="shared" si="373"/>
        <v>0</v>
      </c>
      <c r="AB61" s="53">
        <f t="shared" si="373"/>
        <v>273507.16279999999</v>
      </c>
      <c r="AC61" s="54">
        <f t="shared" si="9"/>
        <v>0.28584972473708059</v>
      </c>
      <c r="AD61" s="77">
        <f t="shared" si="358"/>
        <v>0.33051495062586206</v>
      </c>
      <c r="AE61" s="78">
        <f t="shared" si="358"/>
        <v>0.33051495062586206</v>
      </c>
      <c r="AF61" s="78">
        <f t="shared" si="358"/>
        <v>0</v>
      </c>
      <c r="AG61" s="78">
        <f t="shared" si="358"/>
        <v>0.38788011879081546</v>
      </c>
      <c r="AH61" s="58">
        <f>IFERROR((AH49*Q49+AH55*Q55+AH60*Q60)/Q61,0)</f>
        <v>25.02</v>
      </c>
      <c r="AI61" s="58">
        <f t="shared" ref="AI61:AL61" si="374">IFERROR((AI49*R49+AI55*R55+AI60*R60)/R61,0)</f>
        <v>25.02</v>
      </c>
      <c r="AJ61" s="58">
        <f t="shared" si="374"/>
        <v>0</v>
      </c>
      <c r="AK61" s="58">
        <f t="shared" si="374"/>
        <v>22.454320609933145</v>
      </c>
      <c r="AL61" s="54">
        <f t="shared" si="374"/>
        <v>1.6007238423328076</v>
      </c>
      <c r="AM61" s="57">
        <f t="shared" si="360"/>
        <v>6.2137309920347565</v>
      </c>
      <c r="AN61" s="58">
        <f t="shared" si="360"/>
        <v>6.2137309920347565</v>
      </c>
      <c r="AO61" s="58">
        <f t="shared" si="360"/>
        <v>0</v>
      </c>
      <c r="AP61" s="58">
        <f t="shared" si="360"/>
        <v>5.9518977868188268</v>
      </c>
      <c r="AQ61" s="54">
        <f t="shared" si="14"/>
        <v>4.3991549350156811E-2</v>
      </c>
      <c r="AR61" s="57">
        <f t="shared" si="361"/>
        <v>4.160000000000001</v>
      </c>
      <c r="AS61" s="58">
        <f t="shared" si="361"/>
        <v>4.160000000000001</v>
      </c>
      <c r="AT61" s="58">
        <f t="shared" si="361"/>
        <v>0</v>
      </c>
      <c r="AU61" s="58">
        <f t="shared" si="361"/>
        <v>3.6432749662367492</v>
      </c>
      <c r="AV61" s="54">
        <f t="shared" si="16"/>
        <v>0.14182982029956226</v>
      </c>
      <c r="AW61" s="59">
        <f>IFERROR((AW49*V49+AW55*V55+AW60*V60)/V61,0)</f>
        <v>7.8555392662849197</v>
      </c>
      <c r="AX61" s="60">
        <f t="shared" ref="AX61:AZ61" si="375">IFERROR((AX49*X49+AX55*X55+AX60*X60)/X61,0)</f>
        <v>10.802985808478507</v>
      </c>
      <c r="AY61" s="60">
        <f t="shared" si="375"/>
        <v>0</v>
      </c>
      <c r="AZ61" s="60">
        <f t="shared" si="375"/>
        <v>0.73174314775503402</v>
      </c>
      <c r="BA61" s="236">
        <f>BA60</f>
        <v>148513</v>
      </c>
      <c r="BB61" s="230">
        <f t="shared" si="363"/>
        <v>148513</v>
      </c>
      <c r="BC61" s="230">
        <f t="shared" si="363"/>
        <v>0</v>
      </c>
      <c r="BD61" s="230">
        <f t="shared" si="363"/>
        <v>33014</v>
      </c>
      <c r="BE61" s="54">
        <f t="shared" si="19"/>
        <v>3.4984854910038168</v>
      </c>
      <c r="BF61" s="230">
        <f>BF60</f>
        <v>0</v>
      </c>
      <c r="BG61" s="230">
        <f>BG60</f>
        <v>1142</v>
      </c>
      <c r="BH61" s="62">
        <f>IF(Q59&lt;&gt;0,(BA61/(Q61/13)),0)</f>
        <v>11.274374576627503</v>
      </c>
      <c r="BI61" s="133">
        <f>IF(T59&lt;&gt;0,(BD61/(T61/13)),0)</f>
        <v>3.6226450131676682</v>
      </c>
      <c r="BJ61" s="190">
        <f t="shared" ref="BJ61" si="376">IF(BA61&lt;&gt;0,(Q61/13)/BA61,0)</f>
        <v>8.8696716008803161E-2</v>
      </c>
      <c r="BK61" s="61">
        <f t="shared" ref="BK61" si="377">IF(BD61&lt;&gt;0,(T61/13)/BD61,0)</f>
        <v>0.27604139968591412</v>
      </c>
      <c r="BL61" s="229">
        <f t="shared" ref="BL61:BY61" si="378">BL49+BL55+BL60</f>
        <v>0</v>
      </c>
      <c r="BM61" s="230">
        <f t="shared" si="378"/>
        <v>-1759</v>
      </c>
      <c r="BN61" s="229">
        <f t="shared" si="378"/>
        <v>0</v>
      </c>
      <c r="BO61" s="230">
        <f t="shared" si="378"/>
        <v>8780</v>
      </c>
      <c r="BP61" s="229">
        <f t="shared" si="378"/>
        <v>0</v>
      </c>
      <c r="BQ61" s="230">
        <f t="shared" si="378"/>
        <v>173921</v>
      </c>
      <c r="BR61" s="229">
        <f t="shared" si="43"/>
        <v>0</v>
      </c>
      <c r="BS61" s="230">
        <f t="shared" si="22"/>
        <v>-165141</v>
      </c>
      <c r="BT61" s="229">
        <f t="shared" si="378"/>
        <v>0</v>
      </c>
      <c r="BU61" s="230">
        <f t="shared" si="378"/>
        <v>0</v>
      </c>
      <c r="BV61" s="230">
        <f t="shared" si="378"/>
        <v>0</v>
      </c>
      <c r="BW61" s="230">
        <f t="shared" si="378"/>
        <v>0</v>
      </c>
      <c r="BX61" s="230">
        <f t="shared" si="378"/>
        <v>0</v>
      </c>
      <c r="BY61" s="56">
        <f t="shared" si="378"/>
        <v>0</v>
      </c>
      <c r="BZ61" s="54">
        <f t="shared" si="25"/>
        <v>0</v>
      </c>
      <c r="CA61" s="339">
        <f t="shared" ref="CA61:CF61" si="379">CA49+CA55+CA60</f>
        <v>0</v>
      </c>
      <c r="CB61" s="53">
        <f t="shared" si="379"/>
        <v>0</v>
      </c>
      <c r="CC61" s="53">
        <f t="shared" si="379"/>
        <v>0</v>
      </c>
      <c r="CD61" s="53">
        <f t="shared" si="379"/>
        <v>0</v>
      </c>
      <c r="CE61" s="53">
        <f t="shared" si="379"/>
        <v>0</v>
      </c>
      <c r="CF61" s="53">
        <f t="shared" si="379"/>
        <v>0</v>
      </c>
      <c r="CG61" s="54">
        <f t="shared" si="28"/>
        <v>0</v>
      </c>
      <c r="CH61" s="339">
        <f t="shared" ref="CH61:CM61" si="380">CH49+CH55+CH60</f>
        <v>0</v>
      </c>
      <c r="CI61" s="53">
        <f t="shared" si="380"/>
        <v>0</v>
      </c>
      <c r="CJ61" s="53">
        <f t="shared" si="380"/>
        <v>0</v>
      </c>
      <c r="CK61" s="53">
        <f t="shared" si="380"/>
        <v>0</v>
      </c>
      <c r="CL61" s="53">
        <f t="shared" si="380"/>
        <v>0</v>
      </c>
      <c r="CM61" s="53">
        <f t="shared" si="380"/>
        <v>0</v>
      </c>
      <c r="CN61" s="54">
        <f t="shared" si="31"/>
        <v>0</v>
      </c>
      <c r="CO61" s="55">
        <f t="shared" si="46"/>
        <v>0</v>
      </c>
      <c r="CP61" s="224">
        <f t="shared" si="46"/>
        <v>0</v>
      </c>
      <c r="CQ61" s="54">
        <f t="shared" si="33"/>
        <v>0</v>
      </c>
      <c r="CR61" s="55">
        <f t="shared" si="44"/>
        <v>0</v>
      </c>
      <c r="CS61" s="224">
        <f t="shared" si="34"/>
        <v>0</v>
      </c>
      <c r="CT61" s="54">
        <f t="shared" si="47"/>
        <v>0</v>
      </c>
      <c r="CU61" s="44"/>
      <c r="CW61" s="55">
        <f>CW60</f>
        <v>0</v>
      </c>
      <c r="CX61" s="56">
        <f>CX60</f>
        <v>31872</v>
      </c>
      <c r="CY61" s="54">
        <f t="shared" si="36"/>
        <v>-1</v>
      </c>
      <c r="CZ61" s="278"/>
      <c r="DA61" s="279"/>
      <c r="DB61" s="279"/>
      <c r="DC61" s="280"/>
    </row>
    <row r="62" spans="2:107" x14ac:dyDescent="0.25">
      <c r="B62" s="44">
        <v>2018</v>
      </c>
      <c r="C62" s="88">
        <v>40</v>
      </c>
      <c r="D62" s="51">
        <f>G62*H62</f>
        <v>-5811970.2820420004</v>
      </c>
      <c r="E62" s="202">
        <f>IFERROR(D62*F62,0)</f>
        <v>-3773707.9075640007</v>
      </c>
      <c r="F62" s="182">
        <f t="shared" si="45"/>
        <v>0.64929924353263058</v>
      </c>
      <c r="G62" s="176">
        <f t="shared" ref="G62:I65" si="381">IFERROR(VLOOKUP($B62 &amp; $C62&amp;G$4&amp;$A62,tblForecast,G$2,FALSE),0)</f>
        <v>-221153</v>
      </c>
      <c r="H62" s="203">
        <f t="shared" si="381"/>
        <v>26.280314000000001</v>
      </c>
      <c r="I62" s="203">
        <f t="shared" si="381"/>
        <v>9.216526</v>
      </c>
      <c r="J62" s="176">
        <f>IFERROR(VLOOKUP($B62 &amp; $C62&amp;J$4&amp;$A62,tblForecast,J$2,FALSE),0)+IFERROR(VLOOKUP($B62 &amp; $C62 &amp; J$4 &amp; $A62,tblForecast,J$2+1,FALSE),0)</f>
        <v>627912</v>
      </c>
      <c r="K62" s="300">
        <f>IFERROR(VLOOKUP($B62 &amp; $C62&amp;K$4&amp;$A62,tblForecast,K$2,FALSE),0)+IFERROR(VLOOKUP($B62 &amp; $C62&amp;K$4&amp;$A62,tblForecast,K$2+1,FALSE),0)</f>
        <v>0</v>
      </c>
      <c r="L62" s="90">
        <f t="shared" ref="L62:O65" si="382">Q62*AM62</f>
        <v>14375</v>
      </c>
      <c r="M62" s="90">
        <f t="shared" si="382"/>
        <v>14375</v>
      </c>
      <c r="N62" s="46">
        <f t="shared" si="382"/>
        <v>0</v>
      </c>
      <c r="O62" s="46">
        <f t="shared" si="382"/>
        <v>3923.9886000000001</v>
      </c>
      <c r="P62" s="47">
        <f t="shared" si="39"/>
        <v>2.6633643634948378</v>
      </c>
      <c r="Q62" s="242">
        <f>ROUND(IF(BA59-(Q59*IF(W62=0,X62,W62))&lt;0,BA59,Q59*IF(W62=0,X62,W62)),0)</f>
        <v>2875</v>
      </c>
      <c r="R62" s="240">
        <f t="shared" ref="R62:S65" si="383">IFERROR(VLOOKUP($B62 &amp; $C62&amp;R$4,tblForecast,R$2,FALSE),0)</f>
        <v>2875</v>
      </c>
      <c r="S62" s="240">
        <f t="shared" si="383"/>
        <v>0</v>
      </c>
      <c r="T62" s="240">
        <f>IFERROR(VLOOKUP($B62-IF(CompareVer="LY",1,0) &amp; $C62 &amp;T$4,tblForecast,T$2,FALSE),0)</f>
        <v>1029</v>
      </c>
      <c r="U62" s="91">
        <f t="shared" si="7"/>
        <v>1.7939747327502431</v>
      </c>
      <c r="V62" s="249">
        <f>IFERROR(IF(Q59&lt;&gt;0,Q62/Q59,0),0)</f>
        <v>0.60988544760288499</v>
      </c>
      <c r="W62" s="334">
        <f>IFERROR(IF(R59&lt;&gt;0,R62/R59,0),0)</f>
        <v>0.60988544760288499</v>
      </c>
      <c r="X62" s="250">
        <f>IFERROR(IF(T59&lt;&gt;0,T62/T59,0),0)</f>
        <v>1.0752351097178683</v>
      </c>
      <c r="Y62" s="51">
        <f t="shared" ref="Y62:AB65" si="384">IFERROR(L62*AD62,0)</f>
        <v>2414.9999999999991</v>
      </c>
      <c r="Z62" s="46">
        <f t="shared" si="384"/>
        <v>2414.9999999999991</v>
      </c>
      <c r="AA62" s="46">
        <f t="shared" si="384"/>
        <v>0</v>
      </c>
      <c r="AB62" s="46">
        <f t="shared" si="384"/>
        <v>252.00210000000033</v>
      </c>
      <c r="AC62" s="91">
        <f t="shared" si="9"/>
        <v>8.5832534728877103</v>
      </c>
      <c r="AD62" s="75">
        <f>IF(AM62&lt;&gt;0,1-AR62/AM62,0)</f>
        <v>0.16799999999999993</v>
      </c>
      <c r="AE62" s="93">
        <f t="shared" ref="AE62:AG65" si="385">IF(AN62&lt;&gt;0,1-AS62/AN62,0)</f>
        <v>0.16799999999999993</v>
      </c>
      <c r="AF62" s="93">
        <f t="shared" si="385"/>
        <v>0</v>
      </c>
      <c r="AG62" s="76">
        <f t="shared" si="385"/>
        <v>6.4220905228929648E-2</v>
      </c>
      <c r="AH62" s="73">
        <f>IF(IFERROR(VLOOKUP($B62 &amp; $C62&amp;AH$4,tblForecast,AH$2,FALSE),0)=0,DB62,IFERROR(VLOOKUP($B62 &amp; $C62&amp;AH$4,tblForecast,AH$2,FALSE),0))</f>
        <v>25.02</v>
      </c>
      <c r="AI62" s="94">
        <f t="shared" ref="AI62:AJ65" si="386">IFERROR(VLOOKUP($B62 &amp; $C62&amp;AI$4,tblForecast,AI$2,FALSE),0)</f>
        <v>25.02</v>
      </c>
      <c r="AJ62" s="94">
        <f t="shared" si="386"/>
        <v>0</v>
      </c>
      <c r="AK62" s="49">
        <f>IFERROR(VLOOKUP($B62-IF(CompareVer="LY",1,0) &amp; $C62 &amp;AK$4,tblForecast,AK$2,FALSE),0)</f>
        <v>21.565999999999999</v>
      </c>
      <c r="AL62" s="47">
        <f t="shared" ref="AL62:AL94" si="387">IFERROR(AH62/AK62-1,)</f>
        <v>0.16015951034035059</v>
      </c>
      <c r="AM62" s="73">
        <f>IF(IFERROR(VLOOKUP($B62 &amp; $C62&amp;AM$4,tblForecast,AM$2,FALSE),0)=0,DA62,IFERROR(VLOOKUP($B62 &amp; $C62&amp;AM$4,tblForecast,AM$2,FALSE),0))</f>
        <v>5</v>
      </c>
      <c r="AN62" s="94">
        <f t="shared" ref="AN62:AO65" si="388">IFERROR(VLOOKUP($B62 &amp; $C62&amp;AN$4,tblForecast,AN$2,FALSE),0)</f>
        <v>5</v>
      </c>
      <c r="AO62" s="94">
        <f t="shared" si="388"/>
        <v>0</v>
      </c>
      <c r="AP62" s="49">
        <f>IFERROR(VLOOKUP($B62-IF(CompareVer="LY",1,0) &amp; $C62 &amp;AP$4,tblForecast,AP$2,FALSE),0)</f>
        <v>3.8134000000000001</v>
      </c>
      <c r="AQ62" s="47">
        <f t="shared" si="14"/>
        <v>0.31116588870823936</v>
      </c>
      <c r="AR62" s="73">
        <f>IF(IFERROR(VLOOKUP($B62 &amp; $C62&amp;AR$4,tblForecast,AR$2,FALSE),0)=0,DC62,IFERROR(VLOOKUP($B62 &amp; $C62&amp;AR$4,tblForecast,AR$2,FALSE),0))</f>
        <v>4.16</v>
      </c>
      <c r="AS62" s="94">
        <f t="shared" ref="AS62:AT65" si="389">IFERROR(VLOOKUP($B62 &amp; $C62&amp;AS$4,tblForecast,AS$2,FALSE),0)</f>
        <v>4.16</v>
      </c>
      <c r="AT62" s="94">
        <f t="shared" si="389"/>
        <v>0</v>
      </c>
      <c r="AU62" s="49">
        <f>IFERROR(VLOOKUP($B62-IF(CompareVer="LY",1,0) &amp; $C62 &amp;AU$4,tblForecast,AU$2,FALSE),0)</f>
        <v>3.5684999999999998</v>
      </c>
      <c r="AV62" s="47">
        <f t="shared" si="16"/>
        <v>0.16575591985428062</v>
      </c>
      <c r="AW62" s="191">
        <f t="shared" ref="AW62:AZ65" si="390">IFERROR((AM62/AH62-1)*-1,0)</f>
        <v>0.8001598721023182</v>
      </c>
      <c r="AX62" s="192">
        <f t="shared" si="390"/>
        <v>0.8001598721023182</v>
      </c>
      <c r="AY62" s="192">
        <f t="shared" si="390"/>
        <v>0</v>
      </c>
      <c r="AZ62" s="192">
        <f t="shared" si="390"/>
        <v>0.82317536863581564</v>
      </c>
      <c r="BA62" s="235">
        <f>IF(BA61+BV62+BL62+BR62-Q62&lt;0,0,BA61+BV62+BL62+BR62-Q62)</f>
        <v>145638</v>
      </c>
      <c r="BB62" s="231">
        <f>IF(IFERROR(VLOOKUP($B62 &amp; $C62&amp;BB$4,tblForecast,BB$2,FALSE),0)=0,BA62,IFERROR(VLOOKUP($B62 &amp; $C62&amp;BB$4,tblForecast,BB$2,FALSE),0))</f>
        <v>145638</v>
      </c>
      <c r="BC62" s="231">
        <f>IFERROR(VLOOKUP($B62-IF(CompareVer="LY",1,0) &amp; $C62 &amp;BC$4,tblForecast,BC$2,FALSE),0)</f>
        <v>0</v>
      </c>
      <c r="BD62" s="231">
        <f t="shared" ref="BD62:BD65" si="391">CX62+BG62</f>
        <v>29071</v>
      </c>
      <c r="BE62" s="194">
        <f t="shared" si="19"/>
        <v>4.0097347872450211</v>
      </c>
      <c r="BF62" s="231">
        <f>IFERROR(VLOOKUP($B62 &amp; $C62&amp;IF($A62="a",BG$4,BF$4),tblForecast,BF$2,FALSE),0)</f>
        <v>0</v>
      </c>
      <c r="BG62" s="228">
        <f>IFERROR(VLOOKUP($B62-IF(CompareVer="LY",1,0) &amp; $C62 &amp;BG$4,tblForecast,BG$2,FALSE),0)</f>
        <v>1142</v>
      </c>
      <c r="BH62" s="179">
        <f>IF(Q62&lt;&gt;0,BA62/Q62,0)</f>
        <v>50.656695652173916</v>
      </c>
      <c r="BI62" s="183">
        <f>IF(T62&lt;&gt;0,BD62/T62,0)</f>
        <v>28.251700680272108</v>
      </c>
      <c r="BJ62" s="195">
        <f t="shared" ref="BJ62:BJ65" si="392">IF(BA62&lt;&gt;0,Q62/BA62,0)</f>
        <v>1.9740727008061083E-2</v>
      </c>
      <c r="BK62" s="50">
        <f t="shared" ref="BK62:BK65" si="393">IF(BD62&lt;&gt;0,T62/BD62,0)</f>
        <v>3.5396099205393688E-2</v>
      </c>
      <c r="BL62" s="234">
        <f>IFERROR(VLOOKUP($B62 &amp; $C62&amp;IF($A62="a",BM$4,BL$4),tblForecast,BL$2,FALSE),0)</f>
        <v>0</v>
      </c>
      <c r="BM62" s="228">
        <f>IFERROR(VLOOKUP($B62-IF(CompareVer="LY",1,0) &amp; $C62 &amp;BM$4,tblForecast,BM$2,FALSE),0)</f>
        <v>-36</v>
      </c>
      <c r="BN62" s="234">
        <f>IFERROR(VLOOKUP($B62 &amp; $C62&amp;IF($A62="a",BO$4,BN$4),tblForecast,BN$2,FALSE),0)</f>
        <v>0</v>
      </c>
      <c r="BO62" s="228">
        <f>IFERROR(VLOOKUP($B62-IF(CompareVer="LY",1,0) &amp; $C62 &amp;BO$4,tblForecast,BO$2,FALSE),0)</f>
        <v>387</v>
      </c>
      <c r="BP62" s="234">
        <f>IFERROR(VLOOKUP($B62 &amp; $C62&amp;IF($A62="a",BQ$4,BP$4),tblForecast,BP$2,FALSE),0)</f>
        <v>0</v>
      </c>
      <c r="BQ62" s="228">
        <f>IFERROR(VLOOKUP($B62-IF(CompareVer="LY",1,0) &amp; $C62 &amp;BQ$4,tblForecast,BQ$2,FALSE),0)</f>
        <v>3267</v>
      </c>
      <c r="BR62" s="227">
        <f t="shared" si="43"/>
        <v>0</v>
      </c>
      <c r="BS62" s="231">
        <f t="shared" si="22"/>
        <v>-2880</v>
      </c>
      <c r="BT62" s="234">
        <f t="shared" ref="BT62:BU65" si="394">IFERROR(VLOOKUP($B62 &amp; $C62&amp;BT$4,tblForecast,BT$2,FALSE),0)</f>
        <v>0</v>
      </c>
      <c r="BU62" s="231">
        <f t="shared" si="394"/>
        <v>0</v>
      </c>
      <c r="BV62" s="231">
        <f>IF($A62="a",IFERROR(VLOOKUP($B62 &amp; $C62&amp;BV$4,tblForecast,BV$2,FALSE),0),BT62+BU62)</f>
        <v>0</v>
      </c>
      <c r="BW62" s="231">
        <f t="shared" ref="BW62:BX65" si="395">IFERROR(VLOOKUP($B62 &amp; $C62&amp;BW$4,tblForecast,BW$2,FALSE),0)</f>
        <v>0</v>
      </c>
      <c r="BX62" s="231">
        <f t="shared" si="395"/>
        <v>0</v>
      </c>
      <c r="BY62" s="193">
        <f>IFERROR(VLOOKUP($B62-IF(CompareVer="LY",1,0) &amp; $C62 &amp;BY$4,tblForecast,BY$2,FALSE),0)</f>
        <v>0</v>
      </c>
      <c r="BZ62" s="194">
        <f t="shared" si="25"/>
        <v>0</v>
      </c>
      <c r="CA62" s="337">
        <f t="shared" ref="CA62:CB65" si="396">IFERROR(VLOOKUP($B62 &amp; $C62&amp;CA$4,tblForecast,CA$2,FALSE),0)</f>
        <v>0</v>
      </c>
      <c r="CB62" s="46">
        <f t="shared" si="396"/>
        <v>0</v>
      </c>
      <c r="CC62" s="46">
        <f>IF($A62="a",IFERROR(VLOOKUP($B62 &amp; $C62&amp;CC$4,tblForecast,CC$2,FALSE),0),CA62+CB62)</f>
        <v>0</v>
      </c>
      <c r="CD62" s="46">
        <f t="shared" ref="CD62:CE65" si="397">IFERROR(VLOOKUP($B62 &amp; $C62&amp;CD$4,tblForecast,CD$2,FALSE),0)</f>
        <v>0</v>
      </c>
      <c r="CE62" s="46">
        <f t="shared" si="397"/>
        <v>0</v>
      </c>
      <c r="CF62" s="46">
        <f>IFERROR(VLOOKUP($B62-IF(CompareVer="LY",1,0) &amp; $C62 &amp;CF$4,tblForecast,CF$2,FALSE),0)</f>
        <v>0</v>
      </c>
      <c r="CG62" s="194">
        <f t="shared" si="28"/>
        <v>0</v>
      </c>
      <c r="CH62" s="337">
        <f t="shared" ref="CH62:CI65" si="398">IFERROR(VLOOKUP($B62 &amp; $C62&amp;CH$4,tblForecast,CH$2,FALSE),0)</f>
        <v>0</v>
      </c>
      <c r="CI62" s="46">
        <f t="shared" si="398"/>
        <v>0</v>
      </c>
      <c r="CJ62" s="46">
        <f>IF($A62="a",IFERROR(VLOOKUP($B62 &amp; $C62&amp;CJ$4,tblForecast,CJ$2,FALSE),0),CH62+CI62)</f>
        <v>0</v>
      </c>
      <c r="CK62" s="46">
        <f t="shared" ref="CK62:CL65" si="399">IFERROR(VLOOKUP($B62 &amp; $C62&amp;CK$4,tblForecast,CK$2,FALSE),0)</f>
        <v>0</v>
      </c>
      <c r="CL62" s="46">
        <f t="shared" si="399"/>
        <v>0</v>
      </c>
      <c r="CM62" s="46">
        <f>IFERROR(VLOOKUP($B62-IF(CompareVer="LY",1,0) &amp; $C62 &amp;CM$4,tblForecast,CM$2,FALSE),0)</f>
        <v>0</v>
      </c>
      <c r="CN62" s="194">
        <f t="shared" si="31"/>
        <v>0</v>
      </c>
      <c r="CO62" s="178">
        <f t="shared" si="46"/>
        <v>0</v>
      </c>
      <c r="CP62" s="223">
        <f t="shared" si="46"/>
        <v>0</v>
      </c>
      <c r="CQ62" s="194">
        <f t="shared" si="33"/>
        <v>0</v>
      </c>
      <c r="CR62" s="178">
        <f t="shared" si="44"/>
        <v>0</v>
      </c>
      <c r="CS62" s="223">
        <f t="shared" si="34"/>
        <v>0</v>
      </c>
      <c r="CT62" s="194">
        <f t="shared" si="47"/>
        <v>0</v>
      </c>
      <c r="CU62" s="44"/>
      <c r="CW62" s="102">
        <f>IFERROR(VLOOKUP($B62 &amp; $C62&amp;CompareVer,tblForecast,CW$2,FALSE),0)</f>
        <v>0</v>
      </c>
      <c r="CX62" s="48">
        <f>IFERROR(VLOOKUP($B62-IF(CompareVer="LY",1,0) &amp; $C62 &amp;CX$4,tblForecast,CX$2,FALSE),0)</f>
        <v>27929</v>
      </c>
      <c r="CY62" s="47">
        <f t="shared" si="36"/>
        <v>-1</v>
      </c>
      <c r="CZ62" s="278">
        <f>IFERROR(VLOOKUP(Brand&amp;Channel&amp;Country&amp;$C62,tblDiscount,6,FALSE),0)</f>
        <v>0.8</v>
      </c>
      <c r="DA62" s="279">
        <f>(1-CZ62)*DB62</f>
        <v>5.0039999999999987</v>
      </c>
      <c r="DB62" s="279">
        <f>IFERROR(VLOOKUP(Brand&amp;Country &amp; Channel &amp;FC,tblFCSettings,8,FALSE),0)</f>
        <v>25.02</v>
      </c>
      <c r="DC62" s="280">
        <f>IFERROR(VLOOKUP(Brand&amp;Country &amp; Channel &amp;FC,tblFCSettings,9,FALSE),0)</f>
        <v>4.16</v>
      </c>
    </row>
    <row r="63" spans="2:107" x14ac:dyDescent="0.25">
      <c r="B63" s="44">
        <v>2018</v>
      </c>
      <c r="C63" s="88">
        <v>41</v>
      </c>
      <c r="D63" s="51">
        <f t="shared" ref="D63:D65" si="400">G63*H63</f>
        <v>-5788263.1837130003</v>
      </c>
      <c r="E63" s="202">
        <f t="shared" ref="E63:E65" si="401">IFERROR(D63*F63,0)</f>
        <v>-4185100.4536220008</v>
      </c>
      <c r="F63" s="182">
        <f t="shared" si="45"/>
        <v>0.7230321636718291</v>
      </c>
      <c r="G63" s="176">
        <f t="shared" si="381"/>
        <v>-214817</v>
      </c>
      <c r="H63" s="203">
        <f t="shared" si="381"/>
        <v>26.945088999999999</v>
      </c>
      <c r="I63" s="203">
        <f t="shared" si="381"/>
        <v>7.462923</v>
      </c>
      <c r="J63" s="176">
        <f>IFERROR(VLOOKUP($B63 &amp; $C63&amp;J$4&amp;$A63,tblForecast,J$2,FALSE),0)+IFERROR(VLOOKUP($B63 &amp; $C63 &amp; J$4 &amp; $A63,tblForecast,J$2+1,FALSE),0)</f>
        <v>554781</v>
      </c>
      <c r="K63" s="300">
        <f>IFERROR(VLOOKUP($B63 &amp; $C63&amp;K$4&amp;$A63,tblForecast,K$2,FALSE),0)+IFERROR(VLOOKUP($B63 &amp; $C63&amp;K$4&amp;$A63,tblForecast,K$2+1,FALSE),0)</f>
        <v>0</v>
      </c>
      <c r="L63" s="90">
        <f t="shared" si="382"/>
        <v>8625</v>
      </c>
      <c r="M63" s="90">
        <f t="shared" si="382"/>
        <v>8625</v>
      </c>
      <c r="N63" s="46">
        <f t="shared" si="382"/>
        <v>0</v>
      </c>
      <c r="O63" s="46">
        <f t="shared" si="382"/>
        <v>3942.9563999999996</v>
      </c>
      <c r="P63" s="47">
        <f t="shared" si="39"/>
        <v>1.1874449334514581</v>
      </c>
      <c r="Q63" s="242">
        <f t="shared" ref="Q63:Q65" si="402">ROUND(IF(BA62-(Q62*IF(W63=0,X63,W63))&lt;0,BA62,Q62*IF(W63=0,X63,W63)),0)</f>
        <v>1725</v>
      </c>
      <c r="R63" s="240">
        <f t="shared" si="383"/>
        <v>1725</v>
      </c>
      <c r="S63" s="240">
        <f t="shared" si="383"/>
        <v>0</v>
      </c>
      <c r="T63" s="240">
        <f>IFERROR(VLOOKUP($B63-IF(CompareVer="LY",1,0) &amp; $C63 &amp;T$4,tblForecast,T$2,FALSE),0)</f>
        <v>1031</v>
      </c>
      <c r="U63" s="91">
        <f t="shared" si="7"/>
        <v>0.6731328806983512</v>
      </c>
      <c r="V63" s="249">
        <f t="shared" ref="V63:W65" si="403">IFERROR(IF(Q62&lt;&gt;0,Q63/Q62,0),0)</f>
        <v>0.6</v>
      </c>
      <c r="W63" s="334">
        <f t="shared" si="403"/>
        <v>0.6</v>
      </c>
      <c r="X63" s="250">
        <f>IFERROR(IF(T62&lt;&gt;0,T63/T62,0),0)</f>
        <v>1.0019436345966959</v>
      </c>
      <c r="Y63" s="51">
        <f t="shared" si="384"/>
        <v>1448.9999999999993</v>
      </c>
      <c r="Z63" s="46">
        <f t="shared" si="384"/>
        <v>1448.9999999999993</v>
      </c>
      <c r="AA63" s="46">
        <f t="shared" si="384"/>
        <v>0</v>
      </c>
      <c r="AB63" s="46">
        <f t="shared" si="384"/>
        <v>-8.0417999999998138</v>
      </c>
      <c r="AC63" s="91">
        <f t="shared" si="9"/>
        <v>-181.18354099828807</v>
      </c>
      <c r="AD63" s="75">
        <f>IF(AM63&lt;&gt;0,1-AR63/AM63,0)</f>
        <v>0.16799999999999993</v>
      </c>
      <c r="AE63" s="93">
        <f t="shared" si="385"/>
        <v>0.16799999999999993</v>
      </c>
      <c r="AF63" s="93">
        <f t="shared" si="385"/>
        <v>0</v>
      </c>
      <c r="AG63" s="76">
        <f t="shared" si="385"/>
        <v>-2.0395356134295106E-3</v>
      </c>
      <c r="AH63" s="73">
        <f>IF(IFERROR(VLOOKUP($B63 &amp; $C63&amp;AH$4,tblForecast,AH$2,FALSE),0)=0,DB63,IFERROR(VLOOKUP($B63 &amp; $C63&amp;AH$4,tblForecast,AH$2,FALSE),0))</f>
        <v>25.02</v>
      </c>
      <c r="AI63" s="94">
        <f t="shared" si="386"/>
        <v>25.02</v>
      </c>
      <c r="AJ63" s="94">
        <f t="shared" si="386"/>
        <v>0</v>
      </c>
      <c r="AK63" s="49">
        <f>IFERROR(VLOOKUP($B63-IF(CompareVer="LY",1,0) &amp; $C63 &amp;AK$4,tblForecast,AK$2,FALSE),0)</f>
        <v>23.5763</v>
      </c>
      <c r="AL63" s="47">
        <f t="shared" si="387"/>
        <v>6.1235223508353753E-2</v>
      </c>
      <c r="AM63" s="73">
        <f>IF(IFERROR(VLOOKUP($B63 &amp; $C63&amp;AM$4,tblForecast,AM$2,FALSE),0)=0,DA63,IFERROR(VLOOKUP($B63 &amp; $C63&amp;AM$4,tblForecast,AM$2,FALSE),0))</f>
        <v>5</v>
      </c>
      <c r="AN63" s="94">
        <f t="shared" si="388"/>
        <v>5</v>
      </c>
      <c r="AO63" s="94">
        <f t="shared" si="388"/>
        <v>0</v>
      </c>
      <c r="AP63" s="49">
        <f>IFERROR(VLOOKUP($B63-IF(CompareVer="LY",1,0) &amp; $C63 &amp;AP$4,tblForecast,AP$2,FALSE),0)</f>
        <v>3.8243999999999998</v>
      </c>
      <c r="AQ63" s="47">
        <f t="shared" si="14"/>
        <v>0.3073946239933063</v>
      </c>
      <c r="AR63" s="73">
        <f>IF(IFERROR(VLOOKUP($B63 &amp; $C63&amp;AR$4,tblForecast,AR$2,FALSE),0)=0,DC63,IFERROR(VLOOKUP($B63 &amp; $C63&amp;AR$4,tblForecast,AR$2,FALSE),0))</f>
        <v>4.16</v>
      </c>
      <c r="AS63" s="94">
        <f t="shared" si="389"/>
        <v>4.16</v>
      </c>
      <c r="AT63" s="94">
        <f t="shared" si="389"/>
        <v>0</v>
      </c>
      <c r="AU63" s="49">
        <f>IFERROR(VLOOKUP($B63-IF(CompareVer="LY",1,0) &amp; $C63 &amp;AU$4,tblForecast,AU$2,FALSE),0)</f>
        <v>3.8321999999999998</v>
      </c>
      <c r="AV63" s="47">
        <f t="shared" si="16"/>
        <v>8.5538333072386674E-2</v>
      </c>
      <c r="AW63" s="191">
        <f t="shared" si="390"/>
        <v>0.8001598721023182</v>
      </c>
      <c r="AX63" s="192">
        <f t="shared" si="390"/>
        <v>0.8001598721023182</v>
      </c>
      <c r="AY63" s="192">
        <f t="shared" si="390"/>
        <v>0</v>
      </c>
      <c r="AZ63" s="192">
        <f t="shared" si="390"/>
        <v>0.83778625144742813</v>
      </c>
      <c r="BA63" s="235">
        <f>IF(BA62+BV63+BL63+BR63-Q63&lt;0,0,BA62+BV63+BL63+BR63-Q63)</f>
        <v>143913</v>
      </c>
      <c r="BB63" s="231">
        <f>IF(IFERROR(VLOOKUP($B63 &amp; $C63&amp;BB$4,tblForecast,BB$2,FALSE),0)=0,BA63,IFERROR(VLOOKUP($B63 &amp; $C63&amp;BB$4,tblForecast,BB$2,FALSE),0))</f>
        <v>143913</v>
      </c>
      <c r="BC63" s="231">
        <f>IFERROR(VLOOKUP($B63-IF(CompareVer="LY",1,0) &amp; $C63 &amp;BC$4,tblForecast,BC$2,FALSE),0)</f>
        <v>0</v>
      </c>
      <c r="BD63" s="231">
        <f t="shared" si="391"/>
        <v>29030</v>
      </c>
      <c r="BE63" s="194">
        <f t="shared" si="19"/>
        <v>3.9573889080261795</v>
      </c>
      <c r="BF63" s="231">
        <f>IFERROR(VLOOKUP($B63 &amp; $C63&amp;IF($A63="a",BG$4,BF$4),tblForecast,BF$2,FALSE),0)</f>
        <v>0</v>
      </c>
      <c r="BG63" s="228">
        <f>IFERROR(VLOOKUP($B63-IF(CompareVer="LY",1,0) &amp; $C63 &amp;BG$4,tblForecast,BG$2,FALSE),0)</f>
        <v>1142</v>
      </c>
      <c r="BH63" s="179">
        <f>IF(Q63&lt;&gt;0,BA63/Q63,0)</f>
        <v>83.427826086956529</v>
      </c>
      <c r="BI63" s="183">
        <f>IF(T63&lt;&gt;0,BD63/T63,0)</f>
        <v>28.157129000969931</v>
      </c>
      <c r="BJ63" s="195">
        <f t="shared" si="392"/>
        <v>1.1986408455108295E-2</v>
      </c>
      <c r="BK63" s="50">
        <f t="shared" si="393"/>
        <v>3.5514984498794352E-2</v>
      </c>
      <c r="BL63" s="234">
        <f>IFERROR(VLOOKUP($B63 &amp; $C63&amp;IF($A63="a",BM$4,BL$4),tblForecast,BL$2,FALSE),0)</f>
        <v>0</v>
      </c>
      <c r="BM63" s="228">
        <f>IFERROR(VLOOKUP($B63-IF(CompareVer="LY",1,0) &amp; $C63 &amp;BM$4,tblForecast,BM$2,FALSE),0)</f>
        <v>-42</v>
      </c>
      <c r="BN63" s="234">
        <f>IFERROR(VLOOKUP($B63 &amp; $C63&amp;IF($A63="a",BO$4,BN$4),tblForecast,BN$2,FALSE),0)</f>
        <v>0</v>
      </c>
      <c r="BO63" s="228">
        <f>IFERROR(VLOOKUP($B63-IF(CompareVer="LY",1,0) &amp; $C63 &amp;BO$4,tblForecast,BO$2,FALSE),0)</f>
        <v>1236</v>
      </c>
      <c r="BP63" s="234">
        <f>IFERROR(VLOOKUP($B63 &amp; $C63&amp;IF($A63="a",BQ$4,BP$4),tblForecast,BP$2,FALSE),0)</f>
        <v>0</v>
      </c>
      <c r="BQ63" s="228">
        <f>IFERROR(VLOOKUP($B63-IF(CompareVer="LY",1,0) &amp; $C63 &amp;BQ$4,tblForecast,BQ$2,FALSE),0)</f>
        <v>239</v>
      </c>
      <c r="BR63" s="227">
        <f t="shared" si="43"/>
        <v>0</v>
      </c>
      <c r="BS63" s="231">
        <f t="shared" si="22"/>
        <v>997</v>
      </c>
      <c r="BT63" s="234">
        <f t="shared" si="394"/>
        <v>0</v>
      </c>
      <c r="BU63" s="231">
        <f t="shared" si="394"/>
        <v>0</v>
      </c>
      <c r="BV63" s="231">
        <f>IF($A63="a",IFERROR(VLOOKUP($B63 &amp; $C63&amp;BV$4,tblForecast,BV$2,FALSE),0),BT63+BU63)</f>
        <v>0</v>
      </c>
      <c r="BW63" s="231">
        <f t="shared" si="395"/>
        <v>0</v>
      </c>
      <c r="BX63" s="231">
        <f t="shared" si="395"/>
        <v>0</v>
      </c>
      <c r="BY63" s="193">
        <f>IFERROR(VLOOKUP($B63-IF(CompareVer="LY",1,0) &amp; $C63 &amp;BY$4,tblForecast,BY$2,FALSE),0)</f>
        <v>0</v>
      </c>
      <c r="BZ63" s="194">
        <f t="shared" si="25"/>
        <v>0</v>
      </c>
      <c r="CA63" s="337">
        <f t="shared" si="396"/>
        <v>0</v>
      </c>
      <c r="CB63" s="46">
        <f t="shared" si="396"/>
        <v>0</v>
      </c>
      <c r="CC63" s="46">
        <f>IF($A63="a",IFERROR(VLOOKUP($B63 &amp; $C63&amp;CC$4,tblForecast,CC$2,FALSE),0),CA63+CB63)</f>
        <v>0</v>
      </c>
      <c r="CD63" s="46">
        <f t="shared" si="397"/>
        <v>0</v>
      </c>
      <c r="CE63" s="46">
        <f t="shared" si="397"/>
        <v>0</v>
      </c>
      <c r="CF63" s="46">
        <f>IFERROR(VLOOKUP($B63-IF(CompareVer="LY",1,0) &amp; $C63 &amp;CF$4,tblForecast,CF$2,FALSE),0)</f>
        <v>0</v>
      </c>
      <c r="CG63" s="194">
        <f t="shared" si="28"/>
        <v>0</v>
      </c>
      <c r="CH63" s="337">
        <f t="shared" si="398"/>
        <v>0</v>
      </c>
      <c r="CI63" s="46">
        <f t="shared" si="398"/>
        <v>0</v>
      </c>
      <c r="CJ63" s="46">
        <f>IF($A63="a",IFERROR(VLOOKUP($B63 &amp; $C63&amp;CJ$4,tblForecast,CJ$2,FALSE),0),CH63+CI63)</f>
        <v>0</v>
      </c>
      <c r="CK63" s="46">
        <f t="shared" si="399"/>
        <v>0</v>
      </c>
      <c r="CL63" s="46">
        <f t="shared" si="399"/>
        <v>0</v>
      </c>
      <c r="CM63" s="46">
        <f>IFERROR(VLOOKUP($B63-IF(CompareVer="LY",1,0) &amp; $C63 &amp;CM$4,tblForecast,CM$2,FALSE),0)</f>
        <v>0</v>
      </c>
      <c r="CN63" s="194">
        <f t="shared" si="31"/>
        <v>0</v>
      </c>
      <c r="CO63" s="178">
        <f t="shared" si="46"/>
        <v>0</v>
      </c>
      <c r="CP63" s="223">
        <f t="shared" si="46"/>
        <v>0</v>
      </c>
      <c r="CQ63" s="194">
        <f t="shared" si="33"/>
        <v>0</v>
      </c>
      <c r="CR63" s="178">
        <f t="shared" si="44"/>
        <v>0</v>
      </c>
      <c r="CS63" s="223">
        <f t="shared" si="34"/>
        <v>0</v>
      </c>
      <c r="CT63" s="194">
        <f t="shared" si="47"/>
        <v>0</v>
      </c>
      <c r="CU63" s="44"/>
      <c r="CW63" s="102">
        <f>IFERROR(VLOOKUP($B63 &amp; $C63&amp;CompareVer,tblForecast,CW$2,FALSE),0)</f>
        <v>0</v>
      </c>
      <c r="CX63" s="48">
        <f>IFERROR(VLOOKUP($B63-IF(CompareVer="LY",1,0) &amp; $C63 &amp;CX$4,tblForecast,CX$2,FALSE),0)</f>
        <v>27888</v>
      </c>
      <c r="CY63" s="47">
        <f t="shared" si="36"/>
        <v>-1</v>
      </c>
      <c r="CZ63" s="278">
        <f>IFERROR(VLOOKUP(Brand&amp;Channel&amp;Country&amp;$C63,tblDiscount,6,FALSE),0)</f>
        <v>0.8</v>
      </c>
      <c r="DA63" s="279">
        <f>(1-CZ63)*DB63</f>
        <v>5.0039999999999987</v>
      </c>
      <c r="DB63" s="279">
        <f>IFERROR(VLOOKUP(Brand&amp;Country &amp; Channel &amp;FC,tblFCSettings,8,FALSE),0)</f>
        <v>25.02</v>
      </c>
      <c r="DC63" s="280">
        <f>IFERROR(VLOOKUP(Brand&amp;Country &amp; Channel &amp;FC,tblFCSettings,9,FALSE),0)</f>
        <v>4.16</v>
      </c>
    </row>
    <row r="64" spans="2:107" x14ac:dyDescent="0.25">
      <c r="B64" s="44">
        <v>2018</v>
      </c>
      <c r="C64" s="88">
        <v>42</v>
      </c>
      <c r="D64" s="51">
        <f t="shared" si="400"/>
        <v>-5130189.6285639992</v>
      </c>
      <c r="E64" s="202">
        <f t="shared" si="401"/>
        <v>-3507936.4535599994</v>
      </c>
      <c r="F64" s="182">
        <f t="shared" si="45"/>
        <v>0.68378299976055901</v>
      </c>
      <c r="G64" s="176">
        <f t="shared" si="381"/>
        <v>-127996</v>
      </c>
      <c r="H64" s="203">
        <f t="shared" si="381"/>
        <v>40.080858999999997</v>
      </c>
      <c r="I64" s="203">
        <f t="shared" si="381"/>
        <v>12.674249</v>
      </c>
      <c r="J64" s="176">
        <f>IFERROR(VLOOKUP($B64 &amp; $C64&amp;J$4&amp;$A64,tblForecast,J$2,FALSE),0)+IFERROR(VLOOKUP($B64 &amp; $C64 &amp; J$4 &amp; $A64,tblForecast,J$2+1,FALSE),0)</f>
        <v>466479</v>
      </c>
      <c r="K64" s="300">
        <f>IFERROR(VLOOKUP($B64 &amp; $C64&amp;K$4&amp;$A64,tblForecast,K$2,FALSE),0)+IFERROR(VLOOKUP($B64 &amp; $C64&amp;K$4&amp;$A64,tblForecast,K$2+1,FALSE),0)</f>
        <v>0</v>
      </c>
      <c r="L64" s="90">
        <f t="shared" si="382"/>
        <v>44110</v>
      </c>
      <c r="M64" s="90">
        <f t="shared" si="382"/>
        <v>44110</v>
      </c>
      <c r="N64" s="46">
        <f t="shared" si="382"/>
        <v>0</v>
      </c>
      <c r="O64" s="46">
        <f t="shared" si="382"/>
        <v>7189.9455000000007</v>
      </c>
      <c r="P64" s="47">
        <f t="shared" si="39"/>
        <v>5.134956099458611</v>
      </c>
      <c r="Q64" s="242">
        <f t="shared" si="402"/>
        <v>8822</v>
      </c>
      <c r="R64" s="240">
        <f t="shared" si="383"/>
        <v>8822</v>
      </c>
      <c r="S64" s="240">
        <f t="shared" si="383"/>
        <v>0</v>
      </c>
      <c r="T64" s="240">
        <f>IFERROR(VLOOKUP($B64-IF(CompareVer="LY",1,0) &amp; $C64 &amp;T$4,tblForecast,T$2,FALSE),0)</f>
        <v>1621</v>
      </c>
      <c r="U64" s="91">
        <f t="shared" si="7"/>
        <v>4.4423195558297346</v>
      </c>
      <c r="V64" s="249">
        <f t="shared" si="403"/>
        <v>5.1142028985507251</v>
      </c>
      <c r="W64" s="334">
        <f t="shared" si="403"/>
        <v>5.1142028985507251</v>
      </c>
      <c r="X64" s="250">
        <f>IFERROR(IF(T63&lt;&gt;0,T64/T63,0),0)</f>
        <v>1.5722599418040737</v>
      </c>
      <c r="Y64" s="51">
        <f t="shared" si="384"/>
        <v>7410.4799999999968</v>
      </c>
      <c r="Z64" s="46">
        <f t="shared" si="384"/>
        <v>7410.4799999999968</v>
      </c>
      <c r="AA64" s="46">
        <f t="shared" si="384"/>
        <v>0</v>
      </c>
      <c r="AB64" s="46">
        <f t="shared" si="384"/>
        <v>1038.8989000000006</v>
      </c>
      <c r="AC64" s="91">
        <f t="shared" si="9"/>
        <v>6.1330136166281362</v>
      </c>
      <c r="AD64" s="75">
        <f>IF(AM64&lt;&gt;0,1-AR64/AM64,0)</f>
        <v>0.16799999999999993</v>
      </c>
      <c r="AE64" s="93">
        <f t="shared" si="385"/>
        <v>0.16799999999999993</v>
      </c>
      <c r="AF64" s="93">
        <f t="shared" si="385"/>
        <v>0</v>
      </c>
      <c r="AG64" s="76">
        <f t="shared" si="385"/>
        <v>0.14449329275166278</v>
      </c>
      <c r="AH64" s="73">
        <f>IF(IFERROR(VLOOKUP($B64 &amp; $C64&amp;AH$4,tblForecast,AH$2,FALSE),0)=0,DB64,IFERROR(VLOOKUP($B64 &amp; $C64&amp;AH$4,tblForecast,AH$2,FALSE),0))</f>
        <v>25.02</v>
      </c>
      <c r="AI64" s="94">
        <f t="shared" si="386"/>
        <v>25.02</v>
      </c>
      <c r="AJ64" s="94">
        <f t="shared" si="386"/>
        <v>0</v>
      </c>
      <c r="AK64" s="49">
        <f>IFERROR(VLOOKUP($B64-IF(CompareVer="LY",1,0) &amp; $C64 &amp;AK$4,tblForecast,AK$2,FALSE),0)</f>
        <v>23.2319</v>
      </c>
      <c r="AL64" s="47">
        <f t="shared" si="387"/>
        <v>7.696744562433544E-2</v>
      </c>
      <c r="AM64" s="73">
        <f>IF(IFERROR(VLOOKUP($B64 &amp; $C64&amp;AM$4,tblForecast,AM$2,FALSE),0)=0,DA64,IFERROR(VLOOKUP($B64 &amp; $C64&amp;AM$4,tblForecast,AM$2,FALSE),0))</f>
        <v>5</v>
      </c>
      <c r="AN64" s="94">
        <f t="shared" si="388"/>
        <v>5</v>
      </c>
      <c r="AO64" s="94">
        <f t="shared" si="388"/>
        <v>0</v>
      </c>
      <c r="AP64" s="49">
        <f>IFERROR(VLOOKUP($B64-IF(CompareVer="LY",1,0) &amp; $C64 &amp;AP$4,tblForecast,AP$2,FALSE),0)</f>
        <v>4.4355000000000002</v>
      </c>
      <c r="AQ64" s="47">
        <f t="shared" si="14"/>
        <v>0.12726862811407957</v>
      </c>
      <c r="AR64" s="73">
        <f>IF(IFERROR(VLOOKUP($B64 &amp; $C64&amp;AR$4,tblForecast,AR$2,FALSE),0)=0,DC64,IFERROR(VLOOKUP($B64 &amp; $C64&amp;AR$4,tblForecast,AR$2,FALSE),0))</f>
        <v>4.16</v>
      </c>
      <c r="AS64" s="94">
        <f t="shared" si="389"/>
        <v>4.16</v>
      </c>
      <c r="AT64" s="94">
        <f t="shared" si="389"/>
        <v>0</v>
      </c>
      <c r="AU64" s="49">
        <f>IFERROR(VLOOKUP($B64-IF(CompareVer="LY",1,0) &amp; $C64 &amp;AU$4,tblForecast,AU$2,FALSE),0)</f>
        <v>3.7946</v>
      </c>
      <c r="AV64" s="47">
        <f t="shared" si="16"/>
        <v>9.6294734622885292E-2</v>
      </c>
      <c r="AW64" s="191">
        <f t="shared" si="390"/>
        <v>0.8001598721023182</v>
      </c>
      <c r="AX64" s="192">
        <f t="shared" si="390"/>
        <v>0.8001598721023182</v>
      </c>
      <c r="AY64" s="192">
        <f t="shared" si="390"/>
        <v>0</v>
      </c>
      <c r="AZ64" s="192">
        <f t="shared" si="390"/>
        <v>0.80907717405808388</v>
      </c>
      <c r="BA64" s="235">
        <f>IF(BA63+BV64+BL64+BR64-Q64&lt;0,0,BA63+BV64+BL64+BR64-Q64)</f>
        <v>135091</v>
      </c>
      <c r="BB64" s="231">
        <f>IF(IFERROR(VLOOKUP($B64 &amp; $C64&amp;BB$4,tblForecast,BB$2,FALSE),0)=0,BA64,IFERROR(VLOOKUP($B64 &amp; $C64&amp;BB$4,tblForecast,BB$2,FALSE),0))</f>
        <v>135091</v>
      </c>
      <c r="BC64" s="231">
        <f>IFERROR(VLOOKUP($B64-IF(CompareVer="LY",1,0) &amp; $C64 &amp;BC$4,tblForecast,BC$2,FALSE),0)</f>
        <v>0</v>
      </c>
      <c r="BD64" s="231">
        <f t="shared" si="391"/>
        <v>27369</v>
      </c>
      <c r="BE64" s="194">
        <f t="shared" si="19"/>
        <v>3.9359128941503156</v>
      </c>
      <c r="BF64" s="231">
        <f>IFERROR(VLOOKUP($B64 &amp; $C64&amp;IF($A64="a",BG$4,BF$4),tblForecast,BF$2,FALSE),0)</f>
        <v>0</v>
      </c>
      <c r="BG64" s="228">
        <f>IFERROR(VLOOKUP($B64-IF(CompareVer="LY",1,0) &amp; $C64 &amp;BG$4,tblForecast,BG$2,FALSE),0)</f>
        <v>1142</v>
      </c>
      <c r="BH64" s="179">
        <f>IF(Q64&lt;&gt;0,BA64/Q64,0)</f>
        <v>15.312967581047381</v>
      </c>
      <c r="BI64" s="183">
        <f>IF(T64&lt;&gt;0,BD64/T64,0)</f>
        <v>16.884022208513265</v>
      </c>
      <c r="BJ64" s="195">
        <f t="shared" si="392"/>
        <v>6.5304128328312033E-2</v>
      </c>
      <c r="BK64" s="50">
        <f t="shared" si="393"/>
        <v>5.9227593262450216E-2</v>
      </c>
      <c r="BL64" s="234">
        <f>IFERROR(VLOOKUP($B64 &amp; $C64&amp;IF($A64="a",BM$4,BL$4),tblForecast,BL$2,FALSE),0)</f>
        <v>0</v>
      </c>
      <c r="BM64" s="228">
        <f>IFERROR(VLOOKUP($B64-IF(CompareVer="LY",1,0) &amp; $C64 &amp;BM$4,tblForecast,BM$2,FALSE),0)</f>
        <v>-39</v>
      </c>
      <c r="BN64" s="234">
        <f>IFERROR(VLOOKUP($B64 &amp; $C64&amp;IF($A64="a",BO$4,BN$4),tblForecast,BN$2,FALSE),0)</f>
        <v>0</v>
      </c>
      <c r="BO64" s="228">
        <f>IFERROR(VLOOKUP($B64-IF(CompareVer="LY",1,0) &amp; $C64 &amp;BO$4,tblForecast,BO$2,FALSE),0)</f>
        <v>0</v>
      </c>
      <c r="BP64" s="234">
        <f>IFERROR(VLOOKUP($B64 &amp; $C64&amp;IF($A64="a",BQ$4,BP$4),tblForecast,BP$2,FALSE),0)</f>
        <v>0</v>
      </c>
      <c r="BQ64" s="228">
        <f>IFERROR(VLOOKUP($B64-IF(CompareVer="LY",1,0) &amp; $C64 &amp;BQ$4,tblForecast,BQ$2,FALSE),0)</f>
        <v>1</v>
      </c>
      <c r="BR64" s="227">
        <f t="shared" si="43"/>
        <v>0</v>
      </c>
      <c r="BS64" s="231">
        <f t="shared" si="22"/>
        <v>-1</v>
      </c>
      <c r="BT64" s="234">
        <f t="shared" si="394"/>
        <v>0</v>
      </c>
      <c r="BU64" s="231">
        <f t="shared" si="394"/>
        <v>0</v>
      </c>
      <c r="BV64" s="231">
        <f>IF($A64="a",IFERROR(VLOOKUP($B64 &amp; $C64&amp;BV$4,tblForecast,BV$2,FALSE),0),BT64+BU64)</f>
        <v>0</v>
      </c>
      <c r="BW64" s="231">
        <f t="shared" si="395"/>
        <v>0</v>
      </c>
      <c r="BX64" s="231">
        <f t="shared" si="395"/>
        <v>0</v>
      </c>
      <c r="BY64" s="193">
        <f>IFERROR(VLOOKUP($B64-IF(CompareVer="LY",1,0) &amp; $C64 &amp;BY$4,tblForecast,BY$2,FALSE),0)</f>
        <v>0</v>
      </c>
      <c r="BZ64" s="194">
        <f t="shared" si="25"/>
        <v>0</v>
      </c>
      <c r="CA64" s="337">
        <f t="shared" si="396"/>
        <v>0</v>
      </c>
      <c r="CB64" s="46">
        <f t="shared" si="396"/>
        <v>0</v>
      </c>
      <c r="CC64" s="46">
        <f>IF($A64="a",IFERROR(VLOOKUP($B64 &amp; $C64&amp;CC$4,tblForecast,CC$2,FALSE),0),CA64+CB64)</f>
        <v>0</v>
      </c>
      <c r="CD64" s="46">
        <f t="shared" si="397"/>
        <v>0</v>
      </c>
      <c r="CE64" s="46">
        <f t="shared" si="397"/>
        <v>0</v>
      </c>
      <c r="CF64" s="46">
        <f>IFERROR(VLOOKUP($B64-IF(CompareVer="LY",1,0) &amp; $C64 &amp;CF$4,tblForecast,CF$2,FALSE),0)</f>
        <v>0</v>
      </c>
      <c r="CG64" s="194">
        <f t="shared" si="28"/>
        <v>0</v>
      </c>
      <c r="CH64" s="337">
        <f t="shared" si="398"/>
        <v>0</v>
      </c>
      <c r="CI64" s="46">
        <f t="shared" si="398"/>
        <v>0</v>
      </c>
      <c r="CJ64" s="46">
        <f>IF($A64="a",IFERROR(VLOOKUP($B64 &amp; $C64&amp;CJ$4,tblForecast,CJ$2,FALSE),0),CH64+CI64)</f>
        <v>0</v>
      </c>
      <c r="CK64" s="46">
        <f t="shared" si="399"/>
        <v>0</v>
      </c>
      <c r="CL64" s="46">
        <f t="shared" si="399"/>
        <v>0</v>
      </c>
      <c r="CM64" s="46">
        <f>IFERROR(VLOOKUP($B64-IF(CompareVer="LY",1,0) &amp; $C64 &amp;CM$4,tblForecast,CM$2,FALSE),0)</f>
        <v>0</v>
      </c>
      <c r="CN64" s="194">
        <f t="shared" si="31"/>
        <v>0</v>
      </c>
      <c r="CO64" s="178">
        <f t="shared" si="46"/>
        <v>0</v>
      </c>
      <c r="CP64" s="223">
        <f t="shared" si="46"/>
        <v>0</v>
      </c>
      <c r="CQ64" s="194">
        <f t="shared" si="33"/>
        <v>0</v>
      </c>
      <c r="CR64" s="178">
        <f t="shared" si="44"/>
        <v>0</v>
      </c>
      <c r="CS64" s="223">
        <f t="shared" si="34"/>
        <v>0</v>
      </c>
      <c r="CT64" s="194">
        <f t="shared" si="47"/>
        <v>0</v>
      </c>
      <c r="CU64" s="44"/>
      <c r="CW64" s="102">
        <f>IFERROR(VLOOKUP($B64 &amp; $C64&amp;CompareVer,tblForecast,CW$2,FALSE),0)</f>
        <v>0</v>
      </c>
      <c r="CX64" s="48">
        <f>IFERROR(VLOOKUP($B64-IF(CompareVer="LY",1,0) &amp; $C64 &amp;CX$4,tblForecast,CX$2,FALSE),0)</f>
        <v>26227</v>
      </c>
      <c r="CY64" s="47">
        <f t="shared" si="36"/>
        <v>-1</v>
      </c>
      <c r="CZ64" s="278">
        <f>IFERROR(VLOOKUP(Brand&amp;Channel&amp;Country&amp;$C64,tblDiscount,6,FALSE),0)</f>
        <v>0.8</v>
      </c>
      <c r="DA64" s="279">
        <f>(1-CZ64)*DB64</f>
        <v>5.0039999999999987</v>
      </c>
      <c r="DB64" s="279">
        <f>IFERROR(VLOOKUP(Brand&amp;Country &amp; Channel &amp;FC,tblFCSettings,8,FALSE),0)</f>
        <v>25.02</v>
      </c>
      <c r="DC64" s="280">
        <f>IFERROR(VLOOKUP(Brand&amp;Country &amp; Channel &amp;FC,tblFCSettings,9,FALSE),0)</f>
        <v>4.16</v>
      </c>
    </row>
    <row r="65" spans="2:107" ht="16.5" thickBot="1" x14ac:dyDescent="0.3">
      <c r="B65" s="44">
        <v>2018</v>
      </c>
      <c r="C65" s="88">
        <v>43</v>
      </c>
      <c r="D65" s="51">
        <f t="shared" si="400"/>
        <v>-5304760.7046720004</v>
      </c>
      <c r="E65" s="202">
        <f t="shared" si="401"/>
        <v>-4298190.2845440004</v>
      </c>
      <c r="F65" s="182">
        <f t="shared" si="45"/>
        <v>0.81025149367407001</v>
      </c>
      <c r="G65" s="176">
        <f t="shared" si="381"/>
        <v>-170976</v>
      </c>
      <c r="H65" s="203">
        <f t="shared" si="381"/>
        <v>31.026347000000001</v>
      </c>
      <c r="I65" s="203">
        <f t="shared" si="381"/>
        <v>5.8872030000000004</v>
      </c>
      <c r="J65" s="176">
        <f>IFERROR(VLOOKUP($B65 &amp; $C65&amp;J$4&amp;$A65,tblForecast,J$2,FALSE),0)+IFERROR(VLOOKUP($B65 &amp; $C65 &amp; J$4 &amp; $A65,tblForecast,J$2+1,FALSE),0)</f>
        <v>418926</v>
      </c>
      <c r="K65" s="300">
        <f>IFERROR(VLOOKUP($B65 &amp; $C65&amp;K$4&amp;$A65,tblForecast,K$2,FALSE),0)+IFERROR(VLOOKUP($B65 &amp; $C65&amp;K$4&amp;$A65,tblForecast,K$2+1,FALSE),0)</f>
        <v>0</v>
      </c>
      <c r="L65" s="90">
        <f t="shared" si="382"/>
        <v>1805</v>
      </c>
      <c r="M65" s="90">
        <f t="shared" si="382"/>
        <v>1805</v>
      </c>
      <c r="N65" s="46">
        <f t="shared" si="382"/>
        <v>0</v>
      </c>
      <c r="O65" s="46">
        <f t="shared" si="382"/>
        <v>4630.9488000000001</v>
      </c>
      <c r="P65" s="47">
        <f t="shared" si="39"/>
        <v>-0.61023106107327296</v>
      </c>
      <c r="Q65" s="242">
        <f t="shared" si="402"/>
        <v>361</v>
      </c>
      <c r="R65" s="240">
        <f t="shared" si="383"/>
        <v>361</v>
      </c>
      <c r="S65" s="240">
        <f t="shared" si="383"/>
        <v>0</v>
      </c>
      <c r="T65" s="240">
        <f>IFERROR(VLOOKUP($B65-IF(CompareVer="LY",1,0) &amp; $C65 &amp;T$4,tblForecast,T$2,FALSE),0)</f>
        <v>1104</v>
      </c>
      <c r="U65" s="91">
        <f t="shared" si="7"/>
        <v>-0.67300724637681153</v>
      </c>
      <c r="V65" s="249">
        <f t="shared" si="403"/>
        <v>4.0920426207209253E-2</v>
      </c>
      <c r="W65" s="334">
        <f t="shared" si="403"/>
        <v>4.0920426207209253E-2</v>
      </c>
      <c r="X65" s="250">
        <f>IFERROR(IF(T64&lt;&gt;0,T65/T64,0),0)</f>
        <v>0.68106107341147437</v>
      </c>
      <c r="Y65" s="51">
        <f t="shared" si="384"/>
        <v>303.2399999999999</v>
      </c>
      <c r="Z65" s="46">
        <f t="shared" si="384"/>
        <v>303.2399999999999</v>
      </c>
      <c r="AA65" s="46">
        <f t="shared" si="384"/>
        <v>0</v>
      </c>
      <c r="AB65" s="46">
        <f t="shared" si="384"/>
        <v>630.93599999999969</v>
      </c>
      <c r="AC65" s="91">
        <f t="shared" si="9"/>
        <v>-0.51938072958271508</v>
      </c>
      <c r="AD65" s="75">
        <f>IF(AM65&lt;&gt;0,1-AR65/AM65,0)</f>
        <v>0.16799999999999993</v>
      </c>
      <c r="AE65" s="93">
        <f t="shared" si="385"/>
        <v>0.16799999999999993</v>
      </c>
      <c r="AF65" s="93">
        <f t="shared" si="385"/>
        <v>0</v>
      </c>
      <c r="AG65" s="76">
        <f t="shared" si="385"/>
        <v>0.13624335470951432</v>
      </c>
      <c r="AH65" s="73">
        <f>IF(IFERROR(VLOOKUP($B65 &amp; $C65&amp;AH$4,tblForecast,AH$2,FALSE),0)=0,DB65,IFERROR(VLOOKUP($B65 &amp; $C65&amp;AH$4,tblForecast,AH$2,FALSE),0))</f>
        <v>25.02</v>
      </c>
      <c r="AI65" s="94">
        <f t="shared" si="386"/>
        <v>25.02</v>
      </c>
      <c r="AJ65" s="94">
        <f t="shared" si="386"/>
        <v>0</v>
      </c>
      <c r="AK65" s="49">
        <f>IFERROR(VLOOKUP($B65-IF(CompareVer="LY",1,0) &amp; $C65 &amp;AK$4,tblForecast,AK$2,FALSE),0)</f>
        <v>22.080100000000002</v>
      </c>
      <c r="AL65" s="47">
        <f t="shared" si="387"/>
        <v>0.13314704190651305</v>
      </c>
      <c r="AM65" s="73">
        <f>IF(IFERROR(VLOOKUP($B65 &amp; $C65&amp;AM$4,tblForecast,AM$2,FALSE),0)=0,DA65,IFERROR(VLOOKUP($B65 &amp; $C65&amp;AM$4,tblForecast,AM$2,FALSE),0))</f>
        <v>5</v>
      </c>
      <c r="AN65" s="94">
        <f t="shared" si="388"/>
        <v>5</v>
      </c>
      <c r="AO65" s="94">
        <f t="shared" si="388"/>
        <v>0</v>
      </c>
      <c r="AP65" s="49">
        <f>IFERROR(VLOOKUP($B65-IF(CompareVer="LY",1,0) &amp; $C65 &amp;AP$4,tblForecast,AP$2,FALSE),0)</f>
        <v>4.1947000000000001</v>
      </c>
      <c r="AQ65" s="47">
        <f t="shared" si="14"/>
        <v>0.19198035616373033</v>
      </c>
      <c r="AR65" s="73">
        <f>IF(IFERROR(VLOOKUP($B65 &amp; $C65&amp;AR$4,tblForecast,AR$2,FALSE),0)=0,DC65,IFERROR(VLOOKUP($B65 &amp; $C65&amp;AR$4,tblForecast,AR$2,FALSE),0))</f>
        <v>4.16</v>
      </c>
      <c r="AS65" s="94">
        <f t="shared" si="389"/>
        <v>4.16</v>
      </c>
      <c r="AT65" s="94">
        <f t="shared" si="389"/>
        <v>0</v>
      </c>
      <c r="AU65" s="49">
        <f>IFERROR(VLOOKUP($B65-IF(CompareVer="LY",1,0) &amp; $C65 &amp;AU$4,tblForecast,AU$2,FALSE),0)</f>
        <v>3.6232000000000002</v>
      </c>
      <c r="AV65" s="47">
        <f t="shared" si="16"/>
        <v>0.14815632589975714</v>
      </c>
      <c r="AW65" s="191">
        <f t="shared" si="390"/>
        <v>0.8001598721023182</v>
      </c>
      <c r="AX65" s="192">
        <f t="shared" si="390"/>
        <v>0.8001598721023182</v>
      </c>
      <c r="AY65" s="192">
        <f t="shared" si="390"/>
        <v>0</v>
      </c>
      <c r="AZ65" s="192">
        <f t="shared" si="390"/>
        <v>0.81002350532832734</v>
      </c>
      <c r="BA65" s="235">
        <f>IF(BA64+BV65+BL65+BR65-Q65&lt;0,0,BA64+BV65+BL65+BR65-Q65)</f>
        <v>134730</v>
      </c>
      <c r="BB65" s="231">
        <f>IF(IFERROR(VLOOKUP($B65 &amp; $C65&amp;BB$4,tblForecast,BB$2,FALSE),0)=0,BA65,IFERROR(VLOOKUP($B65 &amp; $C65&amp;BB$4,tblForecast,BB$2,FALSE),0))</f>
        <v>134730</v>
      </c>
      <c r="BC65" s="231">
        <f>IFERROR(VLOOKUP($B65-IF(CompareVer="LY",1,0) &amp; $C65 &amp;BC$4,tblForecast,BC$2,FALSE),0)</f>
        <v>0</v>
      </c>
      <c r="BD65" s="231">
        <f t="shared" si="391"/>
        <v>26533</v>
      </c>
      <c r="BE65" s="194">
        <f t="shared" si="19"/>
        <v>4.0778276108996341</v>
      </c>
      <c r="BF65" s="231">
        <f>IFERROR(VLOOKUP($B65 &amp; $C65&amp;IF($A65="a",BG$4,BF$4),tblForecast,BF$2,FALSE),0)</f>
        <v>0</v>
      </c>
      <c r="BG65" s="228">
        <f>IFERROR(VLOOKUP($B65-IF(CompareVer="LY",1,0) &amp; $C65 &amp;BG$4,tblForecast,BG$2,FALSE),0)</f>
        <v>1142</v>
      </c>
      <c r="BH65" s="179">
        <f>IF(Q65&lt;&gt;0,BA65/Q65,0)</f>
        <v>373.21329639889194</v>
      </c>
      <c r="BI65" s="183">
        <f>IF(T65&lt;&gt;0,BD65/T65,0)</f>
        <v>24.033514492753625</v>
      </c>
      <c r="BJ65" s="195">
        <f t="shared" si="392"/>
        <v>2.6794329399539821E-3</v>
      </c>
      <c r="BK65" s="50">
        <f t="shared" si="393"/>
        <v>4.1608562921644741E-2</v>
      </c>
      <c r="BL65" s="234">
        <f>IFERROR(VLOOKUP($B65 &amp; $C65&amp;IF($A65="a",BM$4,BL$4),tblForecast,BL$2,FALSE),0)</f>
        <v>0</v>
      </c>
      <c r="BM65" s="228">
        <f>IFERROR(VLOOKUP($B65-IF(CompareVer="LY",1,0) &amp; $C65 &amp;BM$4,tblForecast,BM$2,FALSE),0)</f>
        <v>-95</v>
      </c>
      <c r="BN65" s="234">
        <f>IFERROR(VLOOKUP($B65 &amp; $C65&amp;IF($A65="a",BO$4,BN$4),tblForecast,BN$2,FALSE),0)</f>
        <v>0</v>
      </c>
      <c r="BO65" s="228">
        <f>IFERROR(VLOOKUP($B65-IF(CompareVer="LY",1,0) &amp; $C65 &amp;BO$4,tblForecast,BO$2,FALSE),0)</f>
        <v>632</v>
      </c>
      <c r="BP65" s="234">
        <f>IFERROR(VLOOKUP($B65 &amp; $C65&amp;IF($A65="a",BQ$4,BP$4),tblForecast,BP$2,FALSE),0)</f>
        <v>0</v>
      </c>
      <c r="BQ65" s="228">
        <f>IFERROR(VLOOKUP($B65-IF(CompareVer="LY",1,0) &amp; $C65 &amp;BQ$4,tblForecast,BQ$2,FALSE),0)</f>
        <v>282</v>
      </c>
      <c r="BR65" s="227">
        <f t="shared" si="43"/>
        <v>0</v>
      </c>
      <c r="BS65" s="231">
        <f t="shared" si="22"/>
        <v>350</v>
      </c>
      <c r="BT65" s="234">
        <f t="shared" si="394"/>
        <v>0</v>
      </c>
      <c r="BU65" s="231">
        <f t="shared" si="394"/>
        <v>0</v>
      </c>
      <c r="BV65" s="231">
        <f>IF($A65="a",IFERROR(VLOOKUP($B65 &amp; $C65&amp;BV$4,tblForecast,BV$2,FALSE),0),BT65+BU65)</f>
        <v>0</v>
      </c>
      <c r="BW65" s="231">
        <f t="shared" si="395"/>
        <v>0</v>
      </c>
      <c r="BX65" s="231">
        <f t="shared" si="395"/>
        <v>0</v>
      </c>
      <c r="BY65" s="193">
        <f>IFERROR(VLOOKUP($B65-IF(CompareVer="LY",1,0) &amp; $C65 &amp;BY$4,tblForecast,BY$2,FALSE),0)</f>
        <v>0</v>
      </c>
      <c r="BZ65" s="194">
        <f t="shared" si="25"/>
        <v>0</v>
      </c>
      <c r="CA65" s="337">
        <f t="shared" si="396"/>
        <v>0</v>
      </c>
      <c r="CB65" s="46">
        <f t="shared" si="396"/>
        <v>0</v>
      </c>
      <c r="CC65" s="46">
        <f>IF($A65="a",IFERROR(VLOOKUP($B65 &amp; $C65&amp;CC$4,tblForecast,CC$2,FALSE),0),CA65+CB65)</f>
        <v>0</v>
      </c>
      <c r="CD65" s="46">
        <f t="shared" si="397"/>
        <v>0</v>
      </c>
      <c r="CE65" s="46">
        <f t="shared" si="397"/>
        <v>0</v>
      </c>
      <c r="CF65" s="46">
        <f>IFERROR(VLOOKUP($B65-IF(CompareVer="LY",1,0) &amp; $C65 &amp;CF$4,tblForecast,CF$2,FALSE),0)</f>
        <v>0</v>
      </c>
      <c r="CG65" s="194">
        <f t="shared" si="28"/>
        <v>0</v>
      </c>
      <c r="CH65" s="337">
        <f t="shared" si="398"/>
        <v>0</v>
      </c>
      <c r="CI65" s="46">
        <f t="shared" si="398"/>
        <v>0</v>
      </c>
      <c r="CJ65" s="46">
        <f>IF($A65="a",IFERROR(VLOOKUP($B65 &amp; $C65&amp;CJ$4,tblForecast,CJ$2,FALSE),0),CH65+CI65)</f>
        <v>0</v>
      </c>
      <c r="CK65" s="46">
        <f t="shared" si="399"/>
        <v>0</v>
      </c>
      <c r="CL65" s="46">
        <f t="shared" si="399"/>
        <v>0</v>
      </c>
      <c r="CM65" s="46">
        <f>IFERROR(VLOOKUP($B65-IF(CompareVer="LY",1,0) &amp; $C65 &amp;CM$4,tblForecast,CM$2,FALSE),0)</f>
        <v>0</v>
      </c>
      <c r="CN65" s="194">
        <f t="shared" si="31"/>
        <v>0</v>
      </c>
      <c r="CO65" s="178">
        <f t="shared" si="46"/>
        <v>0</v>
      </c>
      <c r="CP65" s="223">
        <f t="shared" si="46"/>
        <v>0</v>
      </c>
      <c r="CQ65" s="194">
        <f t="shared" si="33"/>
        <v>0</v>
      </c>
      <c r="CR65" s="178">
        <f t="shared" si="44"/>
        <v>0</v>
      </c>
      <c r="CS65" s="223">
        <f t="shared" si="34"/>
        <v>0</v>
      </c>
      <c r="CT65" s="194">
        <f t="shared" si="47"/>
        <v>0</v>
      </c>
      <c r="CU65" s="44"/>
      <c r="CW65" s="102">
        <f>IFERROR(VLOOKUP($B65 &amp; $C65&amp;CompareVer,tblForecast,CW$2,FALSE),0)</f>
        <v>0</v>
      </c>
      <c r="CX65" s="48">
        <f>IFERROR(VLOOKUP($B65-IF(CompareVer="LY",1,0) &amp; $C65 &amp;CX$4,tblForecast,CX$2,FALSE),0)</f>
        <v>25391</v>
      </c>
      <c r="CY65" s="47">
        <f t="shared" si="36"/>
        <v>-1</v>
      </c>
      <c r="CZ65" s="278">
        <f>IFERROR(VLOOKUP(Brand&amp;Channel&amp;Country&amp;$C65,tblDiscount,6,FALSE),0)</f>
        <v>0.8</v>
      </c>
      <c r="DA65" s="279">
        <f>(1-CZ65)*DB65</f>
        <v>5.0039999999999987</v>
      </c>
      <c r="DB65" s="279">
        <f>IFERROR(VLOOKUP(Brand&amp;Country &amp; Channel &amp;FC,tblFCSettings,8,FALSE),0)</f>
        <v>25.02</v>
      </c>
      <c r="DC65" s="280">
        <f>IFERROR(VLOOKUP(Brand&amp;Country &amp; Channel &amp;FC,tblFCSettings,9,FALSE),0)</f>
        <v>4.16</v>
      </c>
    </row>
    <row r="66" spans="2:107" ht="16.5" thickBot="1" x14ac:dyDescent="0.3">
      <c r="C66" s="253" t="s">
        <v>315</v>
      </c>
      <c r="D66" s="254">
        <f t="shared" ref="D66" si="404">SUM(D62:D65)</f>
        <v>-22035183.798991002</v>
      </c>
      <c r="E66" s="255">
        <f t="shared" ref="E66" si="405">SUM(E62:E65)</f>
        <v>-15764935.09929</v>
      </c>
      <c r="F66" s="256">
        <f t="shared" si="45"/>
        <v>0.71544377587682673</v>
      </c>
      <c r="G66" s="257">
        <f>SUM(G62:G65)</f>
        <v>-734942</v>
      </c>
      <c r="H66" s="258">
        <f>IFERROR(D66/G66,0)</f>
        <v>29.982207846321209</v>
      </c>
      <c r="I66" s="258">
        <f>IFERROR(SUMPRODUCT(I62:I65,G62:G65)/G66,0)</f>
        <v>8.5316238556253428</v>
      </c>
      <c r="J66" s="257">
        <f>SUM(J62:J65)</f>
        <v>2068098</v>
      </c>
      <c r="K66" s="301">
        <f>SUM(K62:K65)</f>
        <v>0</v>
      </c>
      <c r="L66" s="259">
        <f>SUM(L62:L65)</f>
        <v>68915</v>
      </c>
      <c r="M66" s="259">
        <f t="shared" ref="M66:O66" si="406">SUM(M62:M65)</f>
        <v>68915</v>
      </c>
      <c r="N66" s="259">
        <f t="shared" si="406"/>
        <v>0</v>
      </c>
      <c r="O66" s="259">
        <f t="shared" si="406"/>
        <v>19687.8393</v>
      </c>
      <c r="P66" s="260">
        <f t="shared" si="39"/>
        <v>2.5003841178244484</v>
      </c>
      <c r="Q66" s="262">
        <f t="shared" ref="Q66:S66" si="407">SUM(Q62:Q65)</f>
        <v>13783</v>
      </c>
      <c r="R66" s="262">
        <f t="shared" si="407"/>
        <v>13783</v>
      </c>
      <c r="S66" s="262">
        <f t="shared" si="407"/>
        <v>0</v>
      </c>
      <c r="T66" s="262">
        <f>SUM(T62:T65)</f>
        <v>4785</v>
      </c>
      <c r="U66" s="260">
        <f t="shared" si="7"/>
        <v>1.8804597701149426</v>
      </c>
      <c r="V66" s="263">
        <f>V65</f>
        <v>4.0920426207209253E-2</v>
      </c>
      <c r="W66" s="332">
        <f>W65</f>
        <v>4.0920426207209253E-2</v>
      </c>
      <c r="X66" s="264">
        <f>X65</f>
        <v>0.68106107341147437</v>
      </c>
      <c r="Y66" s="254">
        <f>SUM(Y62:Y65)</f>
        <v>11577.719999999996</v>
      </c>
      <c r="Z66" s="259">
        <f t="shared" ref="Z66:AB66" si="408">SUM(Z62:Z65)</f>
        <v>11577.719999999996</v>
      </c>
      <c r="AA66" s="259">
        <f t="shared" si="408"/>
        <v>0</v>
      </c>
      <c r="AB66" s="259">
        <f t="shared" si="408"/>
        <v>1913.7952000000007</v>
      </c>
      <c r="AC66" s="260">
        <f t="shared" si="9"/>
        <v>5.049612832135848</v>
      </c>
      <c r="AD66" s="265">
        <f>IFERROR(Y66/L66,0)</f>
        <v>0.16799999999999993</v>
      </c>
      <c r="AE66" s="266">
        <f>IFERROR(Z66/M66,0)</f>
        <v>0.16799999999999993</v>
      </c>
      <c r="AF66" s="266">
        <f>IFERROR(AA66/N66,0)</f>
        <v>0</v>
      </c>
      <c r="AG66" s="266">
        <f>IFERROR(AB66/O66,0)</f>
        <v>9.7206969786674396E-2</v>
      </c>
      <c r="AH66" s="267">
        <f>IFERROR(SUMPRODUCT(AH62:AH65,Q62:Q65)/Q66,0)</f>
        <v>25.02</v>
      </c>
      <c r="AI66" s="268">
        <f>IFERROR(SUMPRODUCT(AI62:AI65,R62:R65)/R66,0)</f>
        <v>25.02</v>
      </c>
      <c r="AJ66" s="268">
        <f t="shared" ref="AJ66:AK66" si="409">IFERROR(SUMPRODUCT(AJ62:AJ65,S62:S65)/S66,0)</f>
        <v>0</v>
      </c>
      <c r="AK66" s="268">
        <f t="shared" si="409"/>
        <v>22.682114858934167</v>
      </c>
      <c r="AL66" s="260">
        <f t="shared" si="387"/>
        <v>0.10307174421810905</v>
      </c>
      <c r="AM66" s="267">
        <f>IF(Q66&lt;&gt;0,L66/Q66,0)</f>
        <v>5</v>
      </c>
      <c r="AN66" s="268">
        <f>IF(R66&lt;&gt;0,M66/R66,0)</f>
        <v>5</v>
      </c>
      <c r="AO66" s="268">
        <f>IF(S66&lt;&gt;0,N66/S66,0)</f>
        <v>0</v>
      </c>
      <c r="AP66" s="268">
        <f>IF(T66&lt;&gt;0,O66/T66,0)</f>
        <v>4.1144909717868341</v>
      </c>
      <c r="AQ66" s="260">
        <f t="shared" si="14"/>
        <v>0.21521715183849555</v>
      </c>
      <c r="AR66" s="267">
        <f>IFERROR((L66*(1-AD66))/Q66,0)</f>
        <v>4.16</v>
      </c>
      <c r="AS66" s="268">
        <f>IFERROR((M66*(1-AE66))/R66,0)</f>
        <v>4.16</v>
      </c>
      <c r="AT66" s="268">
        <f>IFERROR((N66*(1-AF66))/S66,0)</f>
        <v>0</v>
      </c>
      <c r="AU66" s="268">
        <f>IFERROR((O66*(1-AG66))/T66,0)</f>
        <v>3.7145337722048066</v>
      </c>
      <c r="AV66" s="260">
        <f t="shared" si="16"/>
        <v>0.11992520599180923</v>
      </c>
      <c r="AW66" s="269">
        <f>IFERROR(SUMPRODUCT(AW62:AW65,V62:V65)/V66,0)</f>
        <v>124.46167054645903</v>
      </c>
      <c r="AX66" s="270">
        <f t="shared" ref="AX66:AZ66" si="410">IFERROR(SUMPRODUCT(AX62:AX65,X62:X65)/X66,0)</f>
        <v>5.0877847362027122</v>
      </c>
      <c r="AY66" s="270">
        <f t="shared" si="410"/>
        <v>0</v>
      </c>
      <c r="AZ66" s="270">
        <f t="shared" si="410"/>
        <v>0.81563576750625588</v>
      </c>
      <c r="BA66" s="261">
        <f>BA65</f>
        <v>134730</v>
      </c>
      <c r="BB66" s="262">
        <f t="shared" ref="BB66:BD66" si="411">BB65</f>
        <v>134730</v>
      </c>
      <c r="BC66" s="262">
        <f t="shared" si="411"/>
        <v>0</v>
      </c>
      <c r="BD66" s="262">
        <f t="shared" si="411"/>
        <v>26533</v>
      </c>
      <c r="BE66" s="260">
        <f t="shared" si="19"/>
        <v>4.0778276108996341</v>
      </c>
      <c r="BF66" s="262">
        <f>BF65</f>
        <v>0</v>
      </c>
      <c r="BG66" s="262">
        <f>BG65</f>
        <v>1142</v>
      </c>
      <c r="BH66" s="271">
        <f>IF(Q66&lt;&gt;0,(BA66*COUNTIF(BH62:BH65,"&lt;&gt;0")/Q66),0)</f>
        <v>39.10034099978234</v>
      </c>
      <c r="BI66" s="272">
        <f>IF(T66&lt;&gt;0,(BD66*COUNTIF(BI62:BI65,"&lt;&gt;0")/T66),0)</f>
        <v>22.18014629049112</v>
      </c>
      <c r="BJ66" s="273">
        <f t="shared" ref="BJ66" si="412">IF(BA66&lt;&gt;0,(Q66/COUNTIF(BJ62:BJ65,"&lt;&gt;0"))/BA66,0)</f>
        <v>2.5575224523120315E-2</v>
      </c>
      <c r="BK66" s="274">
        <f t="shared" ref="BK66" si="413">IF(BD66&lt;&gt;0,(T66/COUNTIF(BK62:BK65,"&lt;&gt;0"))/BD66,0)</f>
        <v>4.508536539403761E-2</v>
      </c>
      <c r="BL66" s="261">
        <f>SUM(BL62:BL65)</f>
        <v>0</v>
      </c>
      <c r="BM66" s="262">
        <f>SUM(BM62:BM65)</f>
        <v>-212</v>
      </c>
      <c r="BN66" s="261">
        <f>SUM(BN62:BN65)</f>
        <v>0</v>
      </c>
      <c r="BO66" s="262">
        <f t="shared" ref="BO66:BQ66" si="414">SUM(BO62:BO65)</f>
        <v>2255</v>
      </c>
      <c r="BP66" s="261">
        <f>SUM(BP62:BP65)</f>
        <v>0</v>
      </c>
      <c r="BQ66" s="262">
        <f t="shared" si="414"/>
        <v>3789</v>
      </c>
      <c r="BR66" s="261">
        <f t="shared" si="43"/>
        <v>0</v>
      </c>
      <c r="BS66" s="262">
        <f t="shared" si="22"/>
        <v>-1534</v>
      </c>
      <c r="BT66" s="261">
        <f>SUM(BT62:BT65)</f>
        <v>0</v>
      </c>
      <c r="BU66" s="262">
        <f>SUM(BU62:BU65)</f>
        <v>0</v>
      </c>
      <c r="BV66" s="262">
        <f>SUM(BV62:BV65)</f>
        <v>0</v>
      </c>
      <c r="BW66" s="262">
        <f t="shared" ref="BW66:BX66" si="415">SUM(BW62:BW65)</f>
        <v>0</v>
      </c>
      <c r="BX66" s="262">
        <f t="shared" si="415"/>
        <v>0</v>
      </c>
      <c r="BY66" s="275">
        <f>SUM(BY62:BY65)</f>
        <v>0</v>
      </c>
      <c r="BZ66" s="260">
        <f t="shared" si="25"/>
        <v>0</v>
      </c>
      <c r="CA66" s="338">
        <f>SUM(CA62:CA65)</f>
        <v>0</v>
      </c>
      <c r="CB66" s="259">
        <f t="shared" ref="CB66:CF66" si="416">SUM(CB62:CB65)</f>
        <v>0</v>
      </c>
      <c r="CC66" s="259">
        <f t="shared" si="416"/>
        <v>0</v>
      </c>
      <c r="CD66" s="259">
        <f t="shared" si="416"/>
        <v>0</v>
      </c>
      <c r="CE66" s="259">
        <f t="shared" si="416"/>
        <v>0</v>
      </c>
      <c r="CF66" s="259">
        <f t="shared" si="416"/>
        <v>0</v>
      </c>
      <c r="CG66" s="260">
        <f t="shared" si="28"/>
        <v>0</v>
      </c>
      <c r="CH66" s="338">
        <f>SUM(CH62:CH65)</f>
        <v>0</v>
      </c>
      <c r="CI66" s="259">
        <f t="shared" ref="CI66:CM66" si="417">SUM(CI62:CI65)</f>
        <v>0</v>
      </c>
      <c r="CJ66" s="259">
        <f t="shared" si="417"/>
        <v>0</v>
      </c>
      <c r="CK66" s="259">
        <f t="shared" si="417"/>
        <v>0</v>
      </c>
      <c r="CL66" s="259">
        <f t="shared" si="417"/>
        <v>0</v>
      </c>
      <c r="CM66" s="259">
        <f t="shared" si="417"/>
        <v>0</v>
      </c>
      <c r="CN66" s="260">
        <f t="shared" si="31"/>
        <v>0</v>
      </c>
      <c r="CO66" s="276">
        <f t="shared" si="46"/>
        <v>0</v>
      </c>
      <c r="CP66" s="277">
        <f t="shared" si="46"/>
        <v>0</v>
      </c>
      <c r="CQ66" s="260">
        <f t="shared" si="33"/>
        <v>0</v>
      </c>
      <c r="CR66" s="276">
        <f t="shared" si="44"/>
        <v>0</v>
      </c>
      <c r="CS66" s="277">
        <f t="shared" si="34"/>
        <v>0</v>
      </c>
      <c r="CT66" s="260">
        <f t="shared" si="47"/>
        <v>0</v>
      </c>
      <c r="CU66" s="44"/>
      <c r="CW66" s="100">
        <f>CW65</f>
        <v>0</v>
      </c>
      <c r="CX66" s="101">
        <f>CX65</f>
        <v>25391</v>
      </c>
      <c r="CY66" s="99">
        <f t="shared" si="36"/>
        <v>-1</v>
      </c>
      <c r="CZ66" s="278"/>
      <c r="DA66" s="279"/>
      <c r="DB66" s="279"/>
      <c r="DC66" s="280"/>
    </row>
    <row r="67" spans="2:107" x14ac:dyDescent="0.25">
      <c r="B67" s="44">
        <v>2018</v>
      </c>
      <c r="C67" s="88">
        <v>44</v>
      </c>
      <c r="D67" s="51">
        <f>G67*H67</f>
        <v>-5117273.3668320002</v>
      </c>
      <c r="E67" s="202">
        <f>IFERROR(D67*F67,0)</f>
        <v>-4155631.2601919998</v>
      </c>
      <c r="F67" s="182">
        <f t="shared" si="45"/>
        <v>0.81207919966266462</v>
      </c>
      <c r="G67" s="176">
        <f t="shared" ref="G67:I71" si="418">IFERROR(VLOOKUP($B67 &amp; $C67&amp;G$4&amp;$A67,tblForecast,G$2,FALSE),0)</f>
        <v>-164667</v>
      </c>
      <c r="H67" s="203">
        <f t="shared" si="418"/>
        <v>31.076495999999999</v>
      </c>
      <c r="I67" s="203">
        <f t="shared" si="418"/>
        <v>5.8399200000000002</v>
      </c>
      <c r="J67" s="176">
        <f>IFERROR(VLOOKUP($B67 &amp; $C67&amp;J$4&amp;$A67,tblForecast,J$2,FALSE),0)+IFERROR(VLOOKUP($B67 &amp; $C67 &amp; J$4 &amp; $A67,tblForecast,J$2+1,FALSE),0)</f>
        <v>373702</v>
      </c>
      <c r="K67" s="300">
        <f>IFERROR(VLOOKUP($B67 &amp; $C67&amp;K$4&amp;$A67,tblForecast,K$2,FALSE),0)+IFERROR(VLOOKUP($B67 &amp; $C67&amp;K$4&amp;$A67,tblForecast,K$2+1,FALSE),0)</f>
        <v>0</v>
      </c>
      <c r="L67" s="90">
        <f t="shared" ref="L67:O71" si="419">Q67*AM67</f>
        <v>2955</v>
      </c>
      <c r="M67" s="90">
        <f t="shared" si="419"/>
        <v>2955</v>
      </c>
      <c r="N67" s="46">
        <f t="shared" si="419"/>
        <v>0</v>
      </c>
      <c r="O67" s="46">
        <f t="shared" si="419"/>
        <v>3846.0054999999998</v>
      </c>
      <c r="P67" s="47">
        <f t="shared" si="39"/>
        <v>-0.23167036552599829</v>
      </c>
      <c r="Q67" s="242">
        <f>ROUND(IF(BA65-(Q65*IF(W67=0,X67,W67))&lt;0,BA65,Q65*IF(W67=0,X67,W67)),0)</f>
        <v>591</v>
      </c>
      <c r="R67" s="240">
        <f t="shared" ref="R67:S71" si="420">IFERROR(VLOOKUP($B67 &amp; $C67&amp;R$4,tblForecast,R$2,FALSE),0)</f>
        <v>591</v>
      </c>
      <c r="S67" s="240">
        <f t="shared" si="420"/>
        <v>0</v>
      </c>
      <c r="T67" s="240">
        <f>IFERROR(VLOOKUP($B67-IF(CompareVer="LY",1,0) &amp; $C67 &amp;T$4,tblForecast,T$2,FALSE),0)</f>
        <v>881</v>
      </c>
      <c r="U67" s="91">
        <f t="shared" si="7"/>
        <v>-0.3291713961407492</v>
      </c>
      <c r="V67" s="249">
        <f>IFERROR(IF(Q65&gt;0,Q67/Q65,0),0)</f>
        <v>1.6371191135734071</v>
      </c>
      <c r="W67" s="334">
        <f>IFERROR(IF(R65&gt;0,R67/R65,0),0)</f>
        <v>1.6371191135734071</v>
      </c>
      <c r="X67" s="250">
        <f>IFERROR(IF(T65&gt;0,T67/T65,0),0)</f>
        <v>0.79800724637681164</v>
      </c>
      <c r="Y67" s="51">
        <f t="shared" ref="Y67:AB71" si="421">IFERROR(L67*AD67,0)</f>
        <v>496.43999999999977</v>
      </c>
      <c r="Z67" s="46">
        <f t="shared" si="421"/>
        <v>496.43999999999977</v>
      </c>
      <c r="AA67" s="46">
        <f t="shared" si="421"/>
        <v>0</v>
      </c>
      <c r="AB67" s="46">
        <f t="shared" si="421"/>
        <v>482.96420000000006</v>
      </c>
      <c r="AC67" s="91">
        <f t="shared" si="9"/>
        <v>2.7902275158282253E-2</v>
      </c>
      <c r="AD67" s="75">
        <f>IF(AM67&lt;&gt;0,1-AR67/AM67,0)</f>
        <v>0.16799999999999993</v>
      </c>
      <c r="AE67" s="93">
        <f t="shared" ref="AE67:AG71" si="422">IF(AN67&lt;&gt;0,1-AS67/AN67,0)</f>
        <v>0.16799999999999993</v>
      </c>
      <c r="AF67" s="93">
        <f t="shared" si="422"/>
        <v>0</v>
      </c>
      <c r="AG67" s="76">
        <f t="shared" si="422"/>
        <v>0.12557553544840228</v>
      </c>
      <c r="AH67" s="73">
        <f>IF(IFERROR(VLOOKUP($B67 &amp; $C67&amp;AH$4,tblForecast,AH$2,FALSE),0)=0,DB67,IFERROR(VLOOKUP($B67 &amp; $C67&amp;AH$4,tblForecast,AH$2,FALSE),0))</f>
        <v>25.02</v>
      </c>
      <c r="AI67" s="94">
        <f t="shared" ref="AI67:AJ71" si="423">IFERROR(VLOOKUP($B67 &amp; $C67&amp;AI$4,tblForecast,AI$2,FALSE),0)</f>
        <v>25.02</v>
      </c>
      <c r="AJ67" s="94">
        <f t="shared" si="423"/>
        <v>0</v>
      </c>
      <c r="AK67" s="49">
        <f>IFERROR(VLOOKUP($B67-IF(CompareVer="LY",1,0) &amp; $C67 &amp;AK$4,tblForecast,AK$2,FALSE),0)</f>
        <v>23.376899999999999</v>
      </c>
      <c r="AL67" s="47">
        <f t="shared" si="387"/>
        <v>7.0287334933203383E-2</v>
      </c>
      <c r="AM67" s="73">
        <f>IF(IFERROR(VLOOKUP($B67 &amp; $C67&amp;AM$4,tblForecast,AM$2,FALSE),0)=0,DA67,IFERROR(VLOOKUP($B67 &amp; $C67&amp;AM$4,tblForecast,AM$2,FALSE),0))</f>
        <v>5</v>
      </c>
      <c r="AN67" s="94">
        <f t="shared" ref="AN67:AO71" si="424">IFERROR(VLOOKUP($B67 &amp; $C67&amp;AN$4,tblForecast,AN$2,FALSE),0)</f>
        <v>5</v>
      </c>
      <c r="AO67" s="94">
        <f t="shared" si="424"/>
        <v>0</v>
      </c>
      <c r="AP67" s="49">
        <f>IFERROR(VLOOKUP($B67-IF(CompareVer="LY",1,0) &amp; $C67 &amp;AP$4,tblForecast,AP$2,FALSE),0)</f>
        <v>4.3654999999999999</v>
      </c>
      <c r="AQ67" s="47">
        <f t="shared" si="14"/>
        <v>0.14534417592486548</v>
      </c>
      <c r="AR67" s="73">
        <f>IF(IFERROR(VLOOKUP($B67 &amp; $C67&amp;AR$4,tblForecast,AR$2,FALSE),0)=0,DC67,IFERROR(VLOOKUP($B67 &amp; $C67&amp;AR$4,tblForecast,AR$2,FALSE),0))</f>
        <v>4.16</v>
      </c>
      <c r="AS67" s="94">
        <f t="shared" ref="AS67:AT71" si="425">IFERROR(VLOOKUP($B67 &amp; $C67&amp;AS$4,tblForecast,AS$2,FALSE),0)</f>
        <v>4.16</v>
      </c>
      <c r="AT67" s="94">
        <f t="shared" si="425"/>
        <v>0</v>
      </c>
      <c r="AU67" s="49">
        <f>IFERROR(VLOOKUP($B67-IF(CompareVer="LY",1,0) &amp; $C67 &amp;AU$4,tblForecast,AU$2,FALSE),0)</f>
        <v>3.8172999999999999</v>
      </c>
      <c r="AV67" s="47">
        <f t="shared" si="16"/>
        <v>8.9775495769261138E-2</v>
      </c>
      <c r="AW67" s="191">
        <f t="shared" ref="AW67:AZ71" si="426">IFERROR((AM67/AH67-1)*-1,0)</f>
        <v>0.8001598721023182</v>
      </c>
      <c r="AX67" s="192">
        <f t="shared" si="426"/>
        <v>0.8001598721023182</v>
      </c>
      <c r="AY67" s="192">
        <f t="shared" si="426"/>
        <v>0</v>
      </c>
      <c r="AZ67" s="192">
        <f t="shared" si="426"/>
        <v>0.81325582091723025</v>
      </c>
      <c r="BA67" s="235">
        <f>IF(BA66+BV67+BL67+BR67-Q67&lt;0,0,BA66+BV67+BL67+BR67-Q67)</f>
        <v>134139</v>
      </c>
      <c r="BB67" s="231">
        <f>IF(IFERROR(VLOOKUP($B67 &amp; $C67&amp;BB$4,tblForecast,BB$2,FALSE),0)=0,BA67,IFERROR(VLOOKUP($B67 &amp; $C67&amp;BB$4,tblForecast,BB$2,FALSE),0))</f>
        <v>134139</v>
      </c>
      <c r="BC67" s="231">
        <f>IFERROR(VLOOKUP($B67-IF(CompareVer="LY",1,0) &amp; $C67 &amp;BC$4,tblForecast,BC$2,FALSE),0)</f>
        <v>0</v>
      </c>
      <c r="BD67" s="231">
        <f t="shared" ref="BD67:BD71" si="427">CX67+BG67</f>
        <v>26715</v>
      </c>
      <c r="BE67" s="194">
        <f t="shared" si="19"/>
        <v>4.021111734980348</v>
      </c>
      <c r="BF67" s="231">
        <f>IFERROR(VLOOKUP($B67 &amp; $C67&amp;IF($A67="a",BG$4,BF$4),tblForecast,BF$2,FALSE),0)</f>
        <v>0</v>
      </c>
      <c r="BG67" s="228">
        <f>IFERROR(VLOOKUP($B67-IF(CompareVer="LY",1,0) &amp; $C67 &amp;BG$4,tblForecast,BG$2,FALSE),0)</f>
        <v>1085</v>
      </c>
      <c r="BH67" s="179">
        <f>IF(Q67&lt;&gt;0,BA67/Q67,0)</f>
        <v>226.96954314720813</v>
      </c>
      <c r="BI67" s="183">
        <f>IF(T67&lt;&gt;0,BD67/T67,0)</f>
        <v>30.32349602724177</v>
      </c>
      <c r="BJ67" s="195">
        <f t="shared" ref="BJ67:BJ71" si="428">IF(BA67&lt;&gt;0,Q67/BA67,0)</f>
        <v>4.4058774852951043E-3</v>
      </c>
      <c r="BK67" s="50">
        <f t="shared" ref="BK67:BK71" si="429">IF(BD67&lt;&gt;0,T67/BD67,0)</f>
        <v>3.2977727868238819E-2</v>
      </c>
      <c r="BL67" s="234">
        <f>IFERROR(VLOOKUP($B67 &amp; $C67&amp;IF($A67="a",BM$4,BL$4),tblForecast,BL$2,FALSE),0)</f>
        <v>0</v>
      </c>
      <c r="BM67" s="228">
        <f>IFERROR(VLOOKUP($B67-IF(CompareVer="LY",1,0) &amp; $C67 &amp;BM$4,tblForecast,BM$2,FALSE),0)</f>
        <v>-17</v>
      </c>
      <c r="BN67" s="234">
        <f>IFERROR(VLOOKUP($B67 &amp; $C67&amp;IF($A67="a",BO$4,BN$4),tblForecast,BN$2,FALSE),0)</f>
        <v>0</v>
      </c>
      <c r="BO67" s="228">
        <f>IFERROR(VLOOKUP($B67-IF(CompareVer="LY",1,0) &amp; $C67 &amp;BO$4,tblForecast,BO$2,FALSE),0)</f>
        <v>1100</v>
      </c>
      <c r="BP67" s="234">
        <f>IFERROR(VLOOKUP($B67 &amp; $C67&amp;IF($A67="a",BQ$4,BP$4),tblForecast,BP$2,FALSE),0)</f>
        <v>0</v>
      </c>
      <c r="BQ67" s="228">
        <f>IFERROR(VLOOKUP($B67-IF(CompareVer="LY",1,0) &amp; $C67 &amp;BQ$4,tblForecast,BQ$2,FALSE),0)</f>
        <v>21</v>
      </c>
      <c r="BR67" s="227">
        <f t="shared" si="43"/>
        <v>0</v>
      </c>
      <c r="BS67" s="231">
        <f t="shared" si="22"/>
        <v>1079</v>
      </c>
      <c r="BT67" s="234">
        <f t="shared" ref="BT67:BU71" si="430">IFERROR(VLOOKUP($B67 &amp; $C67&amp;BT$4,tblForecast,BT$2,FALSE),0)</f>
        <v>0</v>
      </c>
      <c r="BU67" s="231">
        <f t="shared" si="430"/>
        <v>0</v>
      </c>
      <c r="BV67" s="231">
        <f>IF($A67="a",IFERROR(VLOOKUP($B67 &amp; $C67&amp;BV$4,tblForecast,BV$2,FALSE),0),BT67+BU67)</f>
        <v>0</v>
      </c>
      <c r="BW67" s="231">
        <f t="shared" ref="BW67:BX71" si="431">IFERROR(VLOOKUP($B67 &amp; $C67&amp;BW$4,tblForecast,BW$2,FALSE),0)</f>
        <v>0</v>
      </c>
      <c r="BX67" s="231">
        <f t="shared" si="431"/>
        <v>0</v>
      </c>
      <c r="BY67" s="193">
        <f>IFERROR(VLOOKUP($B67-IF(CompareVer="LY",1,0) &amp; $C67 &amp;BY$4,tblForecast,BY$2,FALSE),0)</f>
        <v>0</v>
      </c>
      <c r="BZ67" s="194">
        <f t="shared" si="25"/>
        <v>0</v>
      </c>
      <c r="CA67" s="337">
        <f t="shared" ref="CA67:CB71" si="432">IFERROR(VLOOKUP($B67 &amp; $C67&amp;CA$4,tblForecast,CA$2,FALSE),0)</f>
        <v>0</v>
      </c>
      <c r="CB67" s="46">
        <f t="shared" si="432"/>
        <v>0</v>
      </c>
      <c r="CC67" s="46">
        <f>IF($A67="a",IFERROR(VLOOKUP($B67 &amp; $C67&amp;CC$4,tblForecast,CC$2,FALSE),0),CA67+CB67)</f>
        <v>0</v>
      </c>
      <c r="CD67" s="46">
        <f t="shared" ref="CD67:CE71" si="433">IFERROR(VLOOKUP($B67 &amp; $C67&amp;CD$4,tblForecast,CD$2,FALSE),0)</f>
        <v>0</v>
      </c>
      <c r="CE67" s="46">
        <f t="shared" si="433"/>
        <v>0</v>
      </c>
      <c r="CF67" s="46">
        <f>IFERROR(VLOOKUP($B67-IF(CompareVer="LY",1,0) &amp; $C67 &amp;CF$4,tblForecast,CF$2,FALSE),0)</f>
        <v>0</v>
      </c>
      <c r="CG67" s="194">
        <f t="shared" si="28"/>
        <v>0</v>
      </c>
      <c r="CH67" s="337">
        <f t="shared" ref="CH67:CI71" si="434">IFERROR(VLOOKUP($B67 &amp; $C67&amp;CH$4,tblForecast,CH$2,FALSE),0)</f>
        <v>0</v>
      </c>
      <c r="CI67" s="46">
        <f t="shared" si="434"/>
        <v>0</v>
      </c>
      <c r="CJ67" s="46">
        <f>IF($A67="a",IFERROR(VLOOKUP($B67 &amp; $C67&amp;CJ$4,tblForecast,CJ$2,FALSE),0),CH67+CI67)</f>
        <v>0</v>
      </c>
      <c r="CK67" s="46">
        <f t="shared" ref="CK67:CL71" si="435">IFERROR(VLOOKUP($B67 &amp; $C67&amp;CK$4,tblForecast,CK$2,FALSE),0)</f>
        <v>0</v>
      </c>
      <c r="CL67" s="46">
        <f t="shared" si="435"/>
        <v>0</v>
      </c>
      <c r="CM67" s="46">
        <f>IFERROR(VLOOKUP($B67-IF(CompareVer="LY",1,0) &amp; $C67 &amp;CM$4,tblForecast,CM$2,FALSE),0)</f>
        <v>0</v>
      </c>
      <c r="CN67" s="194">
        <f t="shared" si="31"/>
        <v>0</v>
      </c>
      <c r="CO67" s="178">
        <f t="shared" si="46"/>
        <v>0</v>
      </c>
      <c r="CP67" s="223">
        <f t="shared" si="46"/>
        <v>0</v>
      </c>
      <c r="CQ67" s="194">
        <f t="shared" si="33"/>
        <v>0</v>
      </c>
      <c r="CR67" s="178">
        <f t="shared" si="44"/>
        <v>0</v>
      </c>
      <c r="CS67" s="223">
        <f t="shared" si="34"/>
        <v>0</v>
      </c>
      <c r="CT67" s="194">
        <f t="shared" si="47"/>
        <v>0</v>
      </c>
      <c r="CU67" s="44"/>
      <c r="CW67" s="102">
        <f>IFERROR(VLOOKUP($B67 &amp; $C67&amp;CompareVer,tblForecast,CW$2,FALSE),0)</f>
        <v>0</v>
      </c>
      <c r="CX67" s="48">
        <f>IFERROR(VLOOKUP($B67-IF(CompareVer="LY",1,0) &amp; $C67 &amp;CX$4,tblForecast,CX$2,FALSE),0)</f>
        <v>25630</v>
      </c>
      <c r="CY67" s="47">
        <f t="shared" si="36"/>
        <v>-1</v>
      </c>
      <c r="CZ67" s="278">
        <f>IFERROR(VLOOKUP(Brand&amp;Channel&amp;Country&amp;$C67,tblDiscount,6,FALSE),0)</f>
        <v>0.8</v>
      </c>
      <c r="DA67" s="279">
        <f>(1-CZ67)*DB67</f>
        <v>5.0039999999999987</v>
      </c>
      <c r="DB67" s="279">
        <f>IFERROR(VLOOKUP(Brand&amp;Country &amp; Channel &amp;FC,tblFCSettings,8,FALSE),0)</f>
        <v>25.02</v>
      </c>
      <c r="DC67" s="280">
        <f>IFERROR(VLOOKUP(Brand&amp;Country &amp; Channel &amp;FC,tblFCSettings,9,FALSE),0)</f>
        <v>4.16</v>
      </c>
    </row>
    <row r="68" spans="2:107" x14ac:dyDescent="0.25">
      <c r="B68" s="44">
        <v>2018</v>
      </c>
      <c r="C68" s="88">
        <v>45</v>
      </c>
      <c r="D68" s="51">
        <f t="shared" ref="D68:D71" si="436">G68*H68</f>
        <v>-5025049.9021549998</v>
      </c>
      <c r="E68" s="202">
        <f t="shared" ref="E68:E71" si="437">IFERROR(D68*F68,0)</f>
        <v>-3964069.2443049997</v>
      </c>
      <c r="F68" s="182">
        <f t="shared" si="45"/>
        <v>0.78886166734483631</v>
      </c>
      <c r="G68" s="176">
        <f t="shared" si="418"/>
        <v>-148285</v>
      </c>
      <c r="H68" s="203">
        <f t="shared" si="418"/>
        <v>33.887782999999999</v>
      </c>
      <c r="I68" s="203">
        <f t="shared" si="418"/>
        <v>7.1550099999999999</v>
      </c>
      <c r="J68" s="176">
        <f>IFERROR(VLOOKUP($B68 &amp; $C68&amp;J$4&amp;$A68,tblForecast,J$2,FALSE),0)+IFERROR(VLOOKUP($B68 &amp; $C68 &amp; J$4 &amp; $A68,tblForecast,J$2+1,FALSE),0)</f>
        <v>327046</v>
      </c>
      <c r="K68" s="300">
        <f>IFERROR(VLOOKUP($B68 &amp; $C68&amp;K$4&amp;$A68,tblForecast,K$2,FALSE),0)+IFERROR(VLOOKUP($B68 &amp; $C68&amp;K$4&amp;$A68,tblForecast,K$2+1,FALSE),0)</f>
        <v>0</v>
      </c>
      <c r="L68" s="90">
        <f t="shared" si="419"/>
        <v>5500</v>
      </c>
      <c r="M68" s="90">
        <f t="shared" si="419"/>
        <v>5500</v>
      </c>
      <c r="N68" s="46">
        <f t="shared" si="419"/>
        <v>0</v>
      </c>
      <c r="O68" s="46">
        <f t="shared" si="419"/>
        <v>4956.9710000000005</v>
      </c>
      <c r="P68" s="47">
        <f t="shared" si="39"/>
        <v>0.10954855293686405</v>
      </c>
      <c r="Q68" s="242">
        <f t="shared" ref="Q68:Q71" si="438">ROUND(IF(BA67-(Q67*IF(W68=0,X68,W68))&lt;0,BA67,Q67*IF(W68=0,X68,W68)),0)</f>
        <v>1100</v>
      </c>
      <c r="R68" s="240">
        <f t="shared" si="420"/>
        <v>1100</v>
      </c>
      <c r="S68" s="240">
        <f t="shared" si="420"/>
        <v>0</v>
      </c>
      <c r="T68" s="240">
        <f>IFERROR(VLOOKUP($B68-IF(CompareVer="LY",1,0) &amp; $C68 &amp;T$4,tblForecast,T$2,FALSE),0)</f>
        <v>1130</v>
      </c>
      <c r="U68" s="91">
        <f t="shared" si="7"/>
        <v>-2.6548672566371723E-2</v>
      </c>
      <c r="V68" s="249">
        <f t="shared" ref="V68:W71" si="439">IFERROR(IF(Q67&lt;&gt;0,Q68/Q67,0),0)</f>
        <v>1.8612521150592216</v>
      </c>
      <c r="W68" s="334">
        <f t="shared" si="439"/>
        <v>1.8612521150592216</v>
      </c>
      <c r="X68" s="250">
        <f t="shared" ref="X68:X71" si="440">IFERROR(IF(T67&lt;&gt;0,T68/T67,0),0)</f>
        <v>1.282633371169126</v>
      </c>
      <c r="Y68" s="51">
        <f t="shared" si="421"/>
        <v>923.99999999999955</v>
      </c>
      <c r="Z68" s="46">
        <f t="shared" si="421"/>
        <v>923.99999999999955</v>
      </c>
      <c r="AA68" s="46">
        <f t="shared" si="421"/>
        <v>0</v>
      </c>
      <c r="AB68" s="46">
        <f t="shared" si="421"/>
        <v>683.98900000000037</v>
      </c>
      <c r="AC68" s="91">
        <f t="shared" si="9"/>
        <v>0.35089891796505368</v>
      </c>
      <c r="AD68" s="75">
        <f>IF(AM68&lt;&gt;0,1-AR68/AM68,0)</f>
        <v>0.16799999999999993</v>
      </c>
      <c r="AE68" s="93">
        <f t="shared" si="422"/>
        <v>0.16799999999999993</v>
      </c>
      <c r="AF68" s="93">
        <f t="shared" si="422"/>
        <v>0</v>
      </c>
      <c r="AG68" s="76">
        <f t="shared" si="422"/>
        <v>0.13798527366813329</v>
      </c>
      <c r="AH68" s="73">
        <f>IF(IFERROR(VLOOKUP($B68 &amp; $C68&amp;AH$4,tblForecast,AH$2,FALSE),0)=0,DB68,IFERROR(VLOOKUP($B68 &amp; $C68&amp;AH$4,tblForecast,AH$2,FALSE),0))</f>
        <v>25.02</v>
      </c>
      <c r="AI68" s="94">
        <f t="shared" si="423"/>
        <v>25.02</v>
      </c>
      <c r="AJ68" s="94">
        <f t="shared" si="423"/>
        <v>0</v>
      </c>
      <c r="AK68" s="49">
        <f>IFERROR(VLOOKUP($B68-IF(CompareVer="LY",1,0) &amp; $C68 &amp;AK$4,tblForecast,AK$2,FALSE),0)</f>
        <v>23.428000000000001</v>
      </c>
      <c r="AL68" s="47">
        <f t="shared" si="387"/>
        <v>6.795287689943641E-2</v>
      </c>
      <c r="AM68" s="73">
        <f>IF(IFERROR(VLOOKUP($B68 &amp; $C68&amp;AM$4,tblForecast,AM$2,FALSE),0)=0,DA68,IFERROR(VLOOKUP($B68 &amp; $C68&amp;AM$4,tblForecast,AM$2,FALSE),0))</f>
        <v>5</v>
      </c>
      <c r="AN68" s="94">
        <f t="shared" si="424"/>
        <v>5</v>
      </c>
      <c r="AO68" s="94">
        <f t="shared" si="424"/>
        <v>0</v>
      </c>
      <c r="AP68" s="49">
        <f>IFERROR(VLOOKUP($B68-IF(CompareVer="LY",1,0) &amp; $C68 &amp;AP$4,tblForecast,AP$2,FALSE),0)</f>
        <v>4.3867000000000003</v>
      </c>
      <c r="AQ68" s="47">
        <f t="shared" si="14"/>
        <v>0.1398089680169603</v>
      </c>
      <c r="AR68" s="73">
        <f>IF(IFERROR(VLOOKUP($B68 &amp; $C68&amp;AR$4,tblForecast,AR$2,FALSE),0)=0,DC68,IFERROR(VLOOKUP($B68 &amp; $C68&amp;AR$4,tblForecast,AR$2,FALSE),0))</f>
        <v>4.16</v>
      </c>
      <c r="AS68" s="94">
        <f t="shared" si="425"/>
        <v>4.16</v>
      </c>
      <c r="AT68" s="94">
        <f t="shared" si="425"/>
        <v>0</v>
      </c>
      <c r="AU68" s="49">
        <f>IFERROR(VLOOKUP($B68-IF(CompareVer="LY",1,0) &amp; $C68 &amp;AU$4,tblForecast,AU$2,FALSE),0)</f>
        <v>3.7814000000000001</v>
      </c>
      <c r="AV68" s="47">
        <f t="shared" si="16"/>
        <v>0.10012164806685364</v>
      </c>
      <c r="AW68" s="191">
        <f t="shared" si="426"/>
        <v>0.8001598721023182</v>
      </c>
      <c r="AX68" s="192">
        <f t="shared" si="426"/>
        <v>0.8001598721023182</v>
      </c>
      <c r="AY68" s="192">
        <f t="shared" si="426"/>
        <v>0</v>
      </c>
      <c r="AZ68" s="192">
        <f t="shared" si="426"/>
        <v>0.81275823800580504</v>
      </c>
      <c r="BA68" s="235">
        <f>IF(BA67+BV68+BL68+BR68-Q68&lt;0,0,BA67+BV68+BL68+BR68-Q68)</f>
        <v>133039</v>
      </c>
      <c r="BB68" s="231">
        <f>IF(IFERROR(VLOOKUP($B68 &amp; $C68&amp;BB$4,tblForecast,BB$2,FALSE),0)=0,BA68,IFERROR(VLOOKUP($B68 &amp; $C68&amp;BB$4,tblForecast,BB$2,FALSE),0))</f>
        <v>133039</v>
      </c>
      <c r="BC68" s="231">
        <f>IFERROR(VLOOKUP($B68-IF(CompareVer="LY",1,0) &amp; $C68 &amp;BC$4,tblForecast,BC$2,FALSE),0)</f>
        <v>0</v>
      </c>
      <c r="BD68" s="231">
        <f t="shared" si="427"/>
        <v>25445</v>
      </c>
      <c r="BE68" s="194">
        <f t="shared" si="19"/>
        <v>4.2284928276675178</v>
      </c>
      <c r="BF68" s="231">
        <f>IFERROR(VLOOKUP($B68 &amp; $C68&amp;IF($A68="a",BG$4,BF$4),tblForecast,BF$2,FALSE),0)</f>
        <v>0</v>
      </c>
      <c r="BG68" s="228">
        <f>IFERROR(VLOOKUP($B68-IF(CompareVer="LY",1,0) &amp; $C68 &amp;BG$4,tblForecast,BG$2,FALSE),0)</f>
        <v>1007</v>
      </c>
      <c r="BH68" s="179">
        <f>IF(Q68&lt;&gt;0,BA68/Q68,0)</f>
        <v>120.94454545454545</v>
      </c>
      <c r="BI68" s="183">
        <f>IF(T68&lt;&gt;0,BD68/T68,0)</f>
        <v>22.517699115044248</v>
      </c>
      <c r="BJ68" s="195">
        <f t="shared" si="428"/>
        <v>8.2682521666578978E-3</v>
      </c>
      <c r="BK68" s="50">
        <f t="shared" si="429"/>
        <v>4.4409510709373157E-2</v>
      </c>
      <c r="BL68" s="234">
        <f>IFERROR(VLOOKUP($B68 &amp; $C68&amp;IF($A68="a",BM$4,BL$4),tblForecast,BL$2,FALSE),0)</f>
        <v>0</v>
      </c>
      <c r="BM68" s="228">
        <f>IFERROR(VLOOKUP($B68-IF(CompareVer="LY",1,0) &amp; $C68 &amp;BM$4,tblForecast,BM$2,FALSE),0)</f>
        <v>-92</v>
      </c>
      <c r="BN68" s="234">
        <f>IFERROR(VLOOKUP($B68 &amp; $C68&amp;IF($A68="a",BO$4,BN$4),tblForecast,BN$2,FALSE),0)</f>
        <v>0</v>
      </c>
      <c r="BO68" s="228">
        <f>IFERROR(VLOOKUP($B68-IF(CompareVer="LY",1,0) &amp; $C68 &amp;BO$4,tblForecast,BO$2,FALSE),0)</f>
        <v>31</v>
      </c>
      <c r="BP68" s="234">
        <f>IFERROR(VLOOKUP($B68 &amp; $C68&amp;IF($A68="a",BQ$4,BP$4),tblForecast,BP$2,FALSE),0)</f>
        <v>0</v>
      </c>
      <c r="BQ68" s="228">
        <f>IFERROR(VLOOKUP($B68-IF(CompareVer="LY",1,0) &amp; $C68 &amp;BQ$4,tblForecast,BQ$2,FALSE),0)</f>
        <v>79</v>
      </c>
      <c r="BR68" s="227">
        <f t="shared" si="43"/>
        <v>0</v>
      </c>
      <c r="BS68" s="231">
        <f t="shared" si="22"/>
        <v>-48</v>
      </c>
      <c r="BT68" s="234">
        <f t="shared" si="430"/>
        <v>0</v>
      </c>
      <c r="BU68" s="231">
        <f t="shared" si="430"/>
        <v>0</v>
      </c>
      <c r="BV68" s="231">
        <f>IF($A68="a",IFERROR(VLOOKUP($B68 &amp; $C68&amp;BV$4,tblForecast,BV$2,FALSE),0),BT68+BU68)</f>
        <v>0</v>
      </c>
      <c r="BW68" s="231">
        <f t="shared" si="431"/>
        <v>0</v>
      </c>
      <c r="BX68" s="231">
        <f t="shared" si="431"/>
        <v>0</v>
      </c>
      <c r="BY68" s="193">
        <f>IFERROR(VLOOKUP($B68-IF(CompareVer="LY",1,0) &amp; $C68 &amp;BY$4,tblForecast,BY$2,FALSE),0)</f>
        <v>0</v>
      </c>
      <c r="BZ68" s="194">
        <f t="shared" si="25"/>
        <v>0</v>
      </c>
      <c r="CA68" s="337">
        <f t="shared" si="432"/>
        <v>0</v>
      </c>
      <c r="CB68" s="46">
        <f t="shared" si="432"/>
        <v>0</v>
      </c>
      <c r="CC68" s="46">
        <f>IF($A68="a",IFERROR(VLOOKUP($B68 &amp; $C68&amp;CC$4,tblForecast,CC$2,FALSE),0),CA68+CB68)</f>
        <v>0</v>
      </c>
      <c r="CD68" s="46">
        <f t="shared" si="433"/>
        <v>0</v>
      </c>
      <c r="CE68" s="46">
        <f t="shared" si="433"/>
        <v>0</v>
      </c>
      <c r="CF68" s="46">
        <f>IFERROR(VLOOKUP($B68-IF(CompareVer="LY",1,0) &amp; $C68 &amp;CF$4,tblForecast,CF$2,FALSE),0)</f>
        <v>0</v>
      </c>
      <c r="CG68" s="194">
        <f t="shared" si="28"/>
        <v>0</v>
      </c>
      <c r="CH68" s="337">
        <f t="shared" si="434"/>
        <v>0</v>
      </c>
      <c r="CI68" s="46">
        <f t="shared" si="434"/>
        <v>0</v>
      </c>
      <c r="CJ68" s="46">
        <f>IF($A68="a",IFERROR(VLOOKUP($B68 &amp; $C68&amp;CJ$4,tblForecast,CJ$2,FALSE),0),CH68+CI68)</f>
        <v>0</v>
      </c>
      <c r="CK68" s="46">
        <f t="shared" si="435"/>
        <v>0</v>
      </c>
      <c r="CL68" s="46">
        <f t="shared" si="435"/>
        <v>0</v>
      </c>
      <c r="CM68" s="46">
        <f>IFERROR(VLOOKUP($B68-IF(CompareVer="LY",1,0) &amp; $C68 &amp;CM$4,tblForecast,CM$2,FALSE),0)</f>
        <v>0</v>
      </c>
      <c r="CN68" s="194">
        <f t="shared" si="31"/>
        <v>0</v>
      </c>
      <c r="CO68" s="178">
        <f t="shared" si="46"/>
        <v>0</v>
      </c>
      <c r="CP68" s="223">
        <f t="shared" si="46"/>
        <v>0</v>
      </c>
      <c r="CQ68" s="194">
        <f t="shared" si="33"/>
        <v>0</v>
      </c>
      <c r="CR68" s="178">
        <f t="shared" si="44"/>
        <v>0</v>
      </c>
      <c r="CS68" s="223">
        <f t="shared" si="34"/>
        <v>0</v>
      </c>
      <c r="CT68" s="194">
        <f t="shared" si="47"/>
        <v>0</v>
      </c>
      <c r="CU68" s="44"/>
      <c r="CW68" s="102">
        <f>IFERROR(VLOOKUP($B68 &amp; $C68&amp;CompareVer,tblForecast,CW$2,FALSE),0)</f>
        <v>0</v>
      </c>
      <c r="CX68" s="48">
        <f>IFERROR(VLOOKUP($B68-IF(CompareVer="LY",1,0) &amp; $C68 &amp;CX$4,tblForecast,CX$2,FALSE),0)</f>
        <v>24438</v>
      </c>
      <c r="CY68" s="47">
        <f t="shared" si="36"/>
        <v>-1</v>
      </c>
      <c r="CZ68" s="278">
        <f>IFERROR(VLOOKUP(Brand&amp;Channel&amp;Country&amp;$C68,tblDiscount,6,FALSE),0)</f>
        <v>0.8</v>
      </c>
      <c r="DA68" s="279">
        <f>(1-CZ68)*DB68</f>
        <v>5.0039999999999987</v>
      </c>
      <c r="DB68" s="279">
        <f>IFERROR(VLOOKUP(Brand&amp;Country &amp; Channel &amp;FC,tblFCSettings,8,FALSE),0)</f>
        <v>25.02</v>
      </c>
      <c r="DC68" s="280">
        <f>IFERROR(VLOOKUP(Brand&amp;Country &amp; Channel &amp;FC,tblFCSettings,9,FALSE),0)</f>
        <v>4.16</v>
      </c>
    </row>
    <row r="69" spans="2:107" x14ac:dyDescent="0.25">
      <c r="B69" s="44">
        <v>2018</v>
      </c>
      <c r="C69" s="88">
        <v>46</v>
      </c>
      <c r="D69" s="51">
        <f t="shared" si="436"/>
        <v>-3835783.53106</v>
      </c>
      <c r="E69" s="202">
        <f t="shared" si="437"/>
        <v>-2910450.6388489995</v>
      </c>
      <c r="F69" s="182">
        <f t="shared" si="45"/>
        <v>0.7587630050762304</v>
      </c>
      <c r="G69" s="176">
        <f t="shared" si="418"/>
        <v>-139061</v>
      </c>
      <c r="H69" s="203">
        <f t="shared" si="418"/>
        <v>27.583459999999999</v>
      </c>
      <c r="I69" s="203">
        <f t="shared" si="418"/>
        <v>6.6541509999999997</v>
      </c>
      <c r="J69" s="176">
        <f>IFERROR(VLOOKUP($B69 &amp; $C69&amp;J$4&amp;$A69,tblForecast,J$2,FALSE),0)+IFERROR(VLOOKUP($B69 &amp; $C69 &amp; J$4 &amp; $A69,tblForecast,J$2+1,FALSE),0)</f>
        <v>270079</v>
      </c>
      <c r="K69" s="300">
        <f>IFERROR(VLOOKUP($B69 &amp; $C69&amp;K$4&amp;$A69,tblForecast,K$2,FALSE),0)+IFERROR(VLOOKUP($B69 &amp; $C69&amp;K$4&amp;$A69,tblForecast,K$2+1,FALSE),0)</f>
        <v>0</v>
      </c>
      <c r="L69" s="90">
        <f t="shared" si="419"/>
        <v>173320</v>
      </c>
      <c r="M69" s="90">
        <f t="shared" si="419"/>
        <v>173320</v>
      </c>
      <c r="N69" s="46">
        <f t="shared" si="419"/>
        <v>0</v>
      </c>
      <c r="O69" s="46">
        <f t="shared" si="419"/>
        <v>6384.9708000000001</v>
      </c>
      <c r="P69" s="47">
        <f t="shared" si="39"/>
        <v>26.144994930908688</v>
      </c>
      <c r="Q69" s="242">
        <f t="shared" si="438"/>
        <v>34664</v>
      </c>
      <c r="R69" s="240">
        <f t="shared" si="420"/>
        <v>34664</v>
      </c>
      <c r="S69" s="240">
        <f t="shared" si="420"/>
        <v>0</v>
      </c>
      <c r="T69" s="240">
        <f>IFERROR(VLOOKUP($B69-IF(CompareVer="LY",1,0) &amp; $C69 &amp;T$4,tblForecast,T$2,FALSE),0)</f>
        <v>1674</v>
      </c>
      <c r="U69" s="91">
        <f t="shared" si="7"/>
        <v>19.707287933094385</v>
      </c>
      <c r="V69" s="249">
        <f t="shared" si="439"/>
        <v>31.512727272727272</v>
      </c>
      <c r="W69" s="334">
        <f t="shared" si="439"/>
        <v>31.512727272727272</v>
      </c>
      <c r="X69" s="250">
        <f t="shared" si="440"/>
        <v>1.4814159292035398</v>
      </c>
      <c r="Y69" s="51">
        <f t="shared" si="421"/>
        <v>29117.759999999987</v>
      </c>
      <c r="Z69" s="46">
        <f t="shared" si="421"/>
        <v>29117.759999999987</v>
      </c>
      <c r="AA69" s="46">
        <f t="shared" si="421"/>
        <v>0</v>
      </c>
      <c r="AB69" s="46">
        <f t="shared" si="421"/>
        <v>65.95560000000026</v>
      </c>
      <c r="AC69" s="91">
        <f t="shared" si="9"/>
        <v>440.47517420810169</v>
      </c>
      <c r="AD69" s="75">
        <f>IF(AM69&lt;&gt;0,1-AR69/AM69,0)</f>
        <v>0.16799999999999993</v>
      </c>
      <c r="AE69" s="93">
        <f t="shared" si="422"/>
        <v>0.16799999999999993</v>
      </c>
      <c r="AF69" s="93">
        <f t="shared" si="422"/>
        <v>0</v>
      </c>
      <c r="AG69" s="76">
        <f t="shared" si="422"/>
        <v>1.0329820145771107E-2</v>
      </c>
      <c r="AH69" s="73">
        <f>IF(IFERROR(VLOOKUP($B69 &amp; $C69&amp;AH$4,tblForecast,AH$2,FALSE),0)=0,DB69,IFERROR(VLOOKUP($B69 &amp; $C69&amp;AH$4,tblForecast,AH$2,FALSE),0))</f>
        <v>25.02</v>
      </c>
      <c r="AI69" s="94">
        <f t="shared" si="423"/>
        <v>25.02</v>
      </c>
      <c r="AJ69" s="94">
        <f t="shared" si="423"/>
        <v>0</v>
      </c>
      <c r="AK69" s="49">
        <f>IFERROR(VLOOKUP($B69-IF(CompareVer="LY",1,0) &amp; $C69 &amp;AK$4,tblForecast,AK$2,FALSE),0)</f>
        <v>23.0823</v>
      </c>
      <c r="AL69" s="47">
        <f t="shared" si="387"/>
        <v>8.3947440246422644E-2</v>
      </c>
      <c r="AM69" s="73">
        <f>IF(IFERROR(VLOOKUP($B69 &amp; $C69&amp;AM$4,tblForecast,AM$2,FALSE),0)=0,DA69,IFERROR(VLOOKUP($B69 &amp; $C69&amp;AM$4,tblForecast,AM$2,FALSE),0))</f>
        <v>5</v>
      </c>
      <c r="AN69" s="94">
        <f t="shared" si="424"/>
        <v>5</v>
      </c>
      <c r="AO69" s="94">
        <f t="shared" si="424"/>
        <v>0</v>
      </c>
      <c r="AP69" s="49">
        <f>IFERROR(VLOOKUP($B69-IF(CompareVer="LY",1,0) &amp; $C69 &amp;AP$4,tblForecast,AP$2,FALSE),0)</f>
        <v>3.8142</v>
      </c>
      <c r="AQ69" s="47">
        <f t="shared" si="14"/>
        <v>0.31089088144302868</v>
      </c>
      <c r="AR69" s="73">
        <f>IF(IFERROR(VLOOKUP($B69 &amp; $C69&amp;AR$4,tblForecast,AR$2,FALSE),0)=0,DC69,IFERROR(VLOOKUP($B69 &amp; $C69&amp;AR$4,tblForecast,AR$2,FALSE),0))</f>
        <v>4.16</v>
      </c>
      <c r="AS69" s="94">
        <f t="shared" si="425"/>
        <v>4.16</v>
      </c>
      <c r="AT69" s="94">
        <f t="shared" si="425"/>
        <v>0</v>
      </c>
      <c r="AU69" s="49">
        <f>IFERROR(VLOOKUP($B69-IF(CompareVer="LY",1,0) &amp; $C69 &amp;AU$4,tblForecast,AU$2,FALSE),0)</f>
        <v>3.7747999999999999</v>
      </c>
      <c r="AV69" s="47">
        <f t="shared" si="16"/>
        <v>0.10204514146444854</v>
      </c>
      <c r="AW69" s="191">
        <f t="shared" si="426"/>
        <v>0.8001598721023182</v>
      </c>
      <c r="AX69" s="192">
        <f t="shared" si="426"/>
        <v>0.8001598721023182</v>
      </c>
      <c r="AY69" s="192">
        <f t="shared" si="426"/>
        <v>0</v>
      </c>
      <c r="AZ69" s="192">
        <f t="shared" si="426"/>
        <v>0.83475650173509575</v>
      </c>
      <c r="BA69" s="235">
        <f>IF(BA68+BV69+BL69+BR69-Q69&lt;0,0,BA68+BV69+BL69+BR69-Q69)</f>
        <v>98375</v>
      </c>
      <c r="BB69" s="231">
        <f>IF(IFERROR(VLOOKUP($B69 &amp; $C69&amp;BB$4,tblForecast,BB$2,FALSE),0)=0,BA69,IFERROR(VLOOKUP($B69 &amp; $C69&amp;BB$4,tblForecast,BB$2,FALSE),0))</f>
        <v>98375</v>
      </c>
      <c r="BC69" s="231">
        <f>IFERROR(VLOOKUP($B69-IF(CompareVer="LY",1,0) &amp; $C69 &amp;BC$4,tblForecast,BC$2,FALSE),0)</f>
        <v>0</v>
      </c>
      <c r="BD69" s="231">
        <f t="shared" si="427"/>
        <v>23446</v>
      </c>
      <c r="BE69" s="194">
        <f t="shared" si="19"/>
        <v>3.1958116523074303</v>
      </c>
      <c r="BF69" s="231">
        <f>IFERROR(VLOOKUP($B69 &amp; $C69&amp;IF($A69="a",BG$4,BF$4),tblForecast,BF$2,FALSE),0)</f>
        <v>0</v>
      </c>
      <c r="BG69" s="228">
        <f>IFERROR(VLOOKUP($B69-IF(CompareVer="LY",1,0) &amp; $C69 &amp;BG$4,tblForecast,BG$2,FALSE),0)</f>
        <v>1007</v>
      </c>
      <c r="BH69" s="179">
        <f>IF(Q69&lt;&gt;0,BA69/Q69,0)</f>
        <v>2.8379586891299331</v>
      </c>
      <c r="BI69" s="183">
        <f>IF(T69&lt;&gt;0,BD69/T69,0)</f>
        <v>14.005973715651136</v>
      </c>
      <c r="BJ69" s="195">
        <f t="shared" si="428"/>
        <v>0.3523659466327827</v>
      </c>
      <c r="BK69" s="50">
        <f t="shared" si="429"/>
        <v>7.1398106286786653E-2</v>
      </c>
      <c r="BL69" s="234">
        <f>IFERROR(VLOOKUP($B69 &amp; $C69&amp;IF($A69="a",BM$4,BL$4),tblForecast,BL$2,FALSE),0)</f>
        <v>0</v>
      </c>
      <c r="BM69" s="228">
        <f>IFERROR(VLOOKUP($B69-IF(CompareVer="LY",1,0) &amp; $C69 &amp;BM$4,tblForecast,BM$2,FALSE),0)</f>
        <v>-298</v>
      </c>
      <c r="BN69" s="234">
        <f>IFERROR(VLOOKUP($B69 &amp; $C69&amp;IF($A69="a",BO$4,BN$4),tblForecast,BN$2,FALSE),0)</f>
        <v>0</v>
      </c>
      <c r="BO69" s="228">
        <f>IFERROR(VLOOKUP($B69-IF(CompareVer="LY",1,0) &amp; $C69 &amp;BO$4,tblForecast,BO$2,FALSE),0)</f>
        <v>6</v>
      </c>
      <c r="BP69" s="234">
        <f>IFERROR(VLOOKUP($B69 &amp; $C69&amp;IF($A69="a",BQ$4,BP$4),tblForecast,BP$2,FALSE),0)</f>
        <v>0</v>
      </c>
      <c r="BQ69" s="228">
        <f>IFERROR(VLOOKUP($B69-IF(CompareVer="LY",1,0) &amp; $C69 &amp;BQ$4,tblForecast,BQ$2,FALSE),0)</f>
        <v>20</v>
      </c>
      <c r="BR69" s="227">
        <f t="shared" si="43"/>
        <v>0</v>
      </c>
      <c r="BS69" s="231">
        <f t="shared" si="22"/>
        <v>-14</v>
      </c>
      <c r="BT69" s="234">
        <f t="shared" si="430"/>
        <v>0</v>
      </c>
      <c r="BU69" s="231">
        <f t="shared" si="430"/>
        <v>0</v>
      </c>
      <c r="BV69" s="231">
        <f>IF($A69="a",IFERROR(VLOOKUP($B69 &amp; $C69&amp;BV$4,tblForecast,BV$2,FALSE),0),BT69+BU69)</f>
        <v>0</v>
      </c>
      <c r="BW69" s="231">
        <f t="shared" si="431"/>
        <v>0</v>
      </c>
      <c r="BX69" s="231">
        <f t="shared" si="431"/>
        <v>0</v>
      </c>
      <c r="BY69" s="193">
        <f>IFERROR(VLOOKUP($B69-IF(CompareVer="LY",1,0) &amp; $C69 &amp;BY$4,tblForecast,BY$2,FALSE),0)</f>
        <v>0</v>
      </c>
      <c r="BZ69" s="194">
        <f t="shared" si="25"/>
        <v>0</v>
      </c>
      <c r="CA69" s="337">
        <f t="shared" si="432"/>
        <v>0</v>
      </c>
      <c r="CB69" s="46">
        <f t="shared" si="432"/>
        <v>0</v>
      </c>
      <c r="CC69" s="46">
        <f>IF($A69="a",IFERROR(VLOOKUP($B69 &amp; $C69&amp;CC$4,tblForecast,CC$2,FALSE),0),CA69+CB69)</f>
        <v>0</v>
      </c>
      <c r="CD69" s="46">
        <f t="shared" si="433"/>
        <v>0</v>
      </c>
      <c r="CE69" s="46">
        <f t="shared" si="433"/>
        <v>0</v>
      </c>
      <c r="CF69" s="46">
        <f>IFERROR(VLOOKUP($B69-IF(CompareVer="LY",1,0) &amp; $C69 &amp;CF$4,tblForecast,CF$2,FALSE),0)</f>
        <v>0</v>
      </c>
      <c r="CG69" s="194">
        <f t="shared" si="28"/>
        <v>0</v>
      </c>
      <c r="CH69" s="337">
        <f t="shared" si="434"/>
        <v>0</v>
      </c>
      <c r="CI69" s="46">
        <f t="shared" si="434"/>
        <v>0</v>
      </c>
      <c r="CJ69" s="46">
        <f>IF($A69="a",IFERROR(VLOOKUP($B69 &amp; $C69&amp;CJ$4,tblForecast,CJ$2,FALSE),0),CH69+CI69)</f>
        <v>0</v>
      </c>
      <c r="CK69" s="46">
        <f t="shared" si="435"/>
        <v>0</v>
      </c>
      <c r="CL69" s="46">
        <f t="shared" si="435"/>
        <v>0</v>
      </c>
      <c r="CM69" s="46">
        <f>IFERROR(VLOOKUP($B69-IF(CompareVer="LY",1,0) &amp; $C69 &amp;CM$4,tblForecast,CM$2,FALSE),0)</f>
        <v>0</v>
      </c>
      <c r="CN69" s="194">
        <f t="shared" si="31"/>
        <v>0</v>
      </c>
      <c r="CO69" s="178">
        <f t="shared" si="46"/>
        <v>0</v>
      </c>
      <c r="CP69" s="223">
        <f t="shared" si="46"/>
        <v>0</v>
      </c>
      <c r="CQ69" s="194">
        <f t="shared" si="33"/>
        <v>0</v>
      </c>
      <c r="CR69" s="178">
        <f t="shared" si="44"/>
        <v>0</v>
      </c>
      <c r="CS69" s="223">
        <f t="shared" si="34"/>
        <v>0</v>
      </c>
      <c r="CT69" s="194">
        <f t="shared" si="47"/>
        <v>0</v>
      </c>
      <c r="CU69" s="44"/>
      <c r="CW69" s="102">
        <f>IFERROR(VLOOKUP($B69 &amp; $C69&amp;27,tblForecast,CW$2,FALSE),0)</f>
        <v>0</v>
      </c>
      <c r="CX69" s="48">
        <f>IFERROR(VLOOKUP($B69-IF(CompareVer="LY",1,0) &amp; $C69 &amp;CX$4,tblForecast,CX$2,FALSE),0)</f>
        <v>22439</v>
      </c>
      <c r="CY69" s="47">
        <f t="shared" si="36"/>
        <v>-1</v>
      </c>
      <c r="CZ69" s="278">
        <f>IFERROR(VLOOKUP(Brand&amp;Channel&amp;Country&amp;$C69,tblDiscount,6,FALSE),0)</f>
        <v>0.8</v>
      </c>
      <c r="DA69" s="279">
        <f>(1-CZ69)*DB69</f>
        <v>5.0039999999999987</v>
      </c>
      <c r="DB69" s="279">
        <f>IFERROR(VLOOKUP(Brand&amp;Country &amp; Channel &amp;FC,tblFCSettings,8,FALSE),0)</f>
        <v>25.02</v>
      </c>
      <c r="DC69" s="280">
        <f>IFERROR(VLOOKUP(Brand&amp;Country &amp; Channel &amp;FC,tblFCSettings,9,FALSE),0)</f>
        <v>4.16</v>
      </c>
    </row>
    <row r="70" spans="2:107" x14ac:dyDescent="0.25">
      <c r="B70" s="44">
        <v>2018</v>
      </c>
      <c r="C70" s="88">
        <v>47</v>
      </c>
      <c r="D70" s="51">
        <f t="shared" si="436"/>
        <v>-4125068.8963519996</v>
      </c>
      <c r="E70" s="202">
        <f t="shared" si="437"/>
        <v>-3321206.0638799998</v>
      </c>
      <c r="F70" s="182">
        <f t="shared" si="45"/>
        <v>0.80512741661529696</v>
      </c>
      <c r="G70" s="176">
        <f t="shared" si="418"/>
        <v>-179986</v>
      </c>
      <c r="H70" s="203">
        <f t="shared" si="418"/>
        <v>22.918831999999998</v>
      </c>
      <c r="I70" s="203">
        <f t="shared" si="418"/>
        <v>4.4662519999999999</v>
      </c>
      <c r="J70" s="176">
        <f>IFERROR(VLOOKUP($B70 &amp; $C70&amp;J$4&amp;$A70,tblForecast,J$2,FALSE),0)+IFERROR(VLOOKUP($B70 &amp; $C70 &amp; J$4 &amp; $A70,tblForecast,J$2+1,FALSE),0)</f>
        <v>245286</v>
      </c>
      <c r="K70" s="300">
        <f>IFERROR(VLOOKUP($B70 &amp; $C70&amp;K$4&amp;$A70,tblForecast,K$2,FALSE),0)+IFERROR(VLOOKUP($B70 &amp; $C70&amp;K$4&amp;$A70,tblForecast,K$2+1,FALSE),0)</f>
        <v>0</v>
      </c>
      <c r="L70" s="90">
        <f t="shared" si="419"/>
        <v>19365</v>
      </c>
      <c r="M70" s="90">
        <f t="shared" si="419"/>
        <v>19365</v>
      </c>
      <c r="N70" s="46">
        <f t="shared" si="419"/>
        <v>0</v>
      </c>
      <c r="O70" s="46">
        <f t="shared" si="419"/>
        <v>5660.0375000000004</v>
      </c>
      <c r="P70" s="47">
        <f t="shared" si="39"/>
        <v>2.4213554238819088</v>
      </c>
      <c r="Q70" s="242">
        <f t="shared" si="438"/>
        <v>3873</v>
      </c>
      <c r="R70" s="240">
        <f t="shared" si="420"/>
        <v>3873</v>
      </c>
      <c r="S70" s="240">
        <f t="shared" si="420"/>
        <v>0</v>
      </c>
      <c r="T70" s="240">
        <f>IFERROR(VLOOKUP($B70-IF(CompareVer="LY",1,0) &amp; $C70 &amp;T$4,tblForecast,T$2,FALSE),0)</f>
        <v>1525</v>
      </c>
      <c r="U70" s="91">
        <f t="shared" si="7"/>
        <v>1.5396721311475412</v>
      </c>
      <c r="V70" s="249">
        <f t="shared" si="439"/>
        <v>0.11172974844218786</v>
      </c>
      <c r="W70" s="334">
        <f t="shared" si="439"/>
        <v>0.11172974844218786</v>
      </c>
      <c r="X70" s="250">
        <f t="shared" si="440"/>
        <v>0.91099163679808837</v>
      </c>
      <c r="Y70" s="51">
        <f t="shared" si="421"/>
        <v>3253.3199999999988</v>
      </c>
      <c r="Z70" s="46">
        <f t="shared" si="421"/>
        <v>3253.3199999999988</v>
      </c>
      <c r="AA70" s="46">
        <f t="shared" si="421"/>
        <v>0</v>
      </c>
      <c r="AB70" s="46">
        <f t="shared" si="421"/>
        <v>-131.91249999999965</v>
      </c>
      <c r="AC70" s="91">
        <f t="shared" si="9"/>
        <v>-25.662712025016639</v>
      </c>
      <c r="AD70" s="75">
        <f>IF(AM70&lt;&gt;0,1-AR70/AM70,0)</f>
        <v>0.16799999999999993</v>
      </c>
      <c r="AE70" s="93">
        <f t="shared" si="422"/>
        <v>0.16799999999999993</v>
      </c>
      <c r="AF70" s="93">
        <f t="shared" si="422"/>
        <v>0</v>
      </c>
      <c r="AG70" s="76">
        <f t="shared" si="422"/>
        <v>-2.3305940994207131E-2</v>
      </c>
      <c r="AH70" s="73">
        <f>IF(IFERROR(VLOOKUP($B70 &amp; $C70&amp;AH$4,tblForecast,AH$2,FALSE),0)=0,DB70,IFERROR(VLOOKUP($B70 &amp; $C70&amp;AH$4,tblForecast,AH$2,FALSE),0))</f>
        <v>25.02</v>
      </c>
      <c r="AI70" s="94">
        <f t="shared" si="423"/>
        <v>25.02</v>
      </c>
      <c r="AJ70" s="94">
        <f t="shared" si="423"/>
        <v>0</v>
      </c>
      <c r="AK70" s="49">
        <f>IFERROR(VLOOKUP($B70-IF(CompareVer="LY",1,0) &amp; $C70 &amp;AK$4,tblForecast,AK$2,FALSE),0)</f>
        <v>23.2257</v>
      </c>
      <c r="AL70" s="47">
        <f t="shared" si="387"/>
        <v>7.7254937418463232E-2</v>
      </c>
      <c r="AM70" s="73">
        <f>IF(IFERROR(VLOOKUP($B70 &amp; $C70&amp;AM$4,tblForecast,AM$2,FALSE),0)=0,DA70,IFERROR(VLOOKUP($B70 &amp; $C70&amp;AM$4,tblForecast,AM$2,FALSE),0))</f>
        <v>5</v>
      </c>
      <c r="AN70" s="94">
        <f t="shared" si="424"/>
        <v>5</v>
      </c>
      <c r="AO70" s="94">
        <f t="shared" si="424"/>
        <v>0</v>
      </c>
      <c r="AP70" s="49">
        <f>IFERROR(VLOOKUP($B70-IF(CompareVer="LY",1,0) &amp; $C70 &amp;AP$4,tblForecast,AP$2,FALSE),0)</f>
        <v>3.7115</v>
      </c>
      <c r="AQ70" s="47">
        <f t="shared" si="14"/>
        <v>0.34716421931833485</v>
      </c>
      <c r="AR70" s="73">
        <f>IF(IFERROR(VLOOKUP($B70 &amp; $C70&amp;AR$4,tblForecast,AR$2,FALSE),0)=0,DC70,IFERROR(VLOOKUP($B70 &amp; $C70&amp;AR$4,tblForecast,AR$2,FALSE),0))</f>
        <v>4.16</v>
      </c>
      <c r="AS70" s="94">
        <f t="shared" si="425"/>
        <v>4.16</v>
      </c>
      <c r="AT70" s="94">
        <f t="shared" si="425"/>
        <v>0</v>
      </c>
      <c r="AU70" s="49">
        <f>IFERROR(VLOOKUP($B70-IF(CompareVer="LY",1,0) &amp; $C70 &amp;AU$4,tblForecast,AU$2,FALSE),0)</f>
        <v>3.798</v>
      </c>
      <c r="AV70" s="47">
        <f t="shared" si="16"/>
        <v>9.531332280147442E-2</v>
      </c>
      <c r="AW70" s="191">
        <f t="shared" si="426"/>
        <v>0.8001598721023182</v>
      </c>
      <c r="AX70" s="192">
        <f t="shared" si="426"/>
        <v>0.8001598721023182</v>
      </c>
      <c r="AY70" s="192">
        <f t="shared" si="426"/>
        <v>0</v>
      </c>
      <c r="AZ70" s="192">
        <f t="shared" si="426"/>
        <v>0.84019857313234914</v>
      </c>
      <c r="BA70" s="235">
        <f>IF(BA69+BV70+BL70+BR70-Q70&lt;0,0,BA69+BV70+BL70+BR70-Q70)</f>
        <v>94502</v>
      </c>
      <c r="BB70" s="231">
        <f>IF(IFERROR(VLOOKUP($B70 &amp; $C70&amp;BB$4,tblForecast,BB$2,FALSE),0)=0,BA70,IFERROR(VLOOKUP($B70 &amp; $C70&amp;BB$4,tblForecast,BB$2,FALSE),0))</f>
        <v>94502</v>
      </c>
      <c r="BC70" s="231">
        <f>IFERROR(VLOOKUP($B70-IF(CompareVer="LY",1,0) &amp; $C70 &amp;BC$4,tblForecast,BC$2,FALSE),0)</f>
        <v>0</v>
      </c>
      <c r="BD70" s="231">
        <f t="shared" si="427"/>
        <v>21312</v>
      </c>
      <c r="BE70" s="194">
        <f t="shared" si="19"/>
        <v>3.4342154654654653</v>
      </c>
      <c r="BF70" s="231">
        <f>IFERROR(VLOOKUP($B70 &amp; $C70&amp;IF($A70="a",BG$4,BF$4),tblForecast,BF$2,FALSE),0)</f>
        <v>0</v>
      </c>
      <c r="BG70" s="228">
        <f>IFERROR(VLOOKUP($B70-IF(CompareVer="LY",1,0) &amp; $C70 &amp;BG$4,tblForecast,BG$2,FALSE),0)</f>
        <v>1007</v>
      </c>
      <c r="BH70" s="179">
        <f>IF(Q70&lt;&gt;0,BA70/Q70,0)</f>
        <v>24.400206558223598</v>
      </c>
      <c r="BI70" s="183">
        <f>IF(T70&lt;&gt;0,BD70/T70,0)</f>
        <v>13.975081967213114</v>
      </c>
      <c r="BJ70" s="195">
        <f t="shared" si="428"/>
        <v>4.0983259613553154E-2</v>
      </c>
      <c r="BK70" s="50">
        <f t="shared" si="429"/>
        <v>7.1555930930930933E-2</v>
      </c>
      <c r="BL70" s="234">
        <f>IFERROR(VLOOKUP($B70 &amp; $C70&amp;IF($A70="a",BM$4,BL$4),tblForecast,BL$2,FALSE),0)</f>
        <v>0</v>
      </c>
      <c r="BM70" s="228">
        <f>IFERROR(VLOOKUP($B70-IF(CompareVer="LY",1,0) &amp; $C70 &amp;BM$4,tblForecast,BM$2,FALSE),0)</f>
        <v>-579</v>
      </c>
      <c r="BN70" s="234">
        <f>IFERROR(VLOOKUP($B70 &amp; $C70&amp;IF($A70="a",BO$4,BN$4),tblForecast,BN$2,FALSE),0)</f>
        <v>0</v>
      </c>
      <c r="BO70" s="228">
        <f>IFERROR(VLOOKUP($B70-IF(CompareVer="LY",1,0) &amp; $C70 &amp;BO$4,tblForecast,BO$2,FALSE),0)</f>
        <v>19</v>
      </c>
      <c r="BP70" s="234">
        <f>IFERROR(VLOOKUP($B70 &amp; $C70&amp;IF($A70="a",BQ$4,BP$4),tblForecast,BP$2,FALSE),0)</f>
        <v>0</v>
      </c>
      <c r="BQ70" s="228">
        <f>IFERROR(VLOOKUP($B70-IF(CompareVer="LY",1,0) &amp; $C70 &amp;BQ$4,tblForecast,BQ$2,FALSE),0)</f>
        <v>49</v>
      </c>
      <c r="BR70" s="227">
        <f t="shared" si="43"/>
        <v>0</v>
      </c>
      <c r="BS70" s="231">
        <f t="shared" si="22"/>
        <v>-30</v>
      </c>
      <c r="BT70" s="234">
        <f t="shared" si="430"/>
        <v>0</v>
      </c>
      <c r="BU70" s="231">
        <f t="shared" si="430"/>
        <v>0</v>
      </c>
      <c r="BV70" s="231">
        <f>IF($A70="a",IFERROR(VLOOKUP($B70 &amp; $C70&amp;BV$4,tblForecast,BV$2,FALSE),0),BT70+BU70)</f>
        <v>0</v>
      </c>
      <c r="BW70" s="231">
        <f t="shared" si="431"/>
        <v>0</v>
      </c>
      <c r="BX70" s="231">
        <f t="shared" si="431"/>
        <v>0</v>
      </c>
      <c r="BY70" s="193">
        <f>IFERROR(VLOOKUP($B70-IF(CompareVer="LY",1,0) &amp; $C70 &amp;BY$4,tblForecast,BY$2,FALSE),0)</f>
        <v>0</v>
      </c>
      <c r="BZ70" s="194">
        <f t="shared" si="25"/>
        <v>0</v>
      </c>
      <c r="CA70" s="337">
        <f t="shared" si="432"/>
        <v>0</v>
      </c>
      <c r="CB70" s="46">
        <f t="shared" si="432"/>
        <v>0</v>
      </c>
      <c r="CC70" s="46">
        <f>IF($A70="a",IFERROR(VLOOKUP($B70 &amp; $C70&amp;CC$4,tblForecast,CC$2,FALSE),0),CA70+CB70)</f>
        <v>0</v>
      </c>
      <c r="CD70" s="46">
        <f t="shared" si="433"/>
        <v>0</v>
      </c>
      <c r="CE70" s="46">
        <f t="shared" si="433"/>
        <v>0</v>
      </c>
      <c r="CF70" s="46">
        <f>IFERROR(VLOOKUP($B70-IF(CompareVer="LY",1,0) &amp; $C70 &amp;CF$4,tblForecast,CF$2,FALSE),0)</f>
        <v>0</v>
      </c>
      <c r="CG70" s="194">
        <f t="shared" si="28"/>
        <v>0</v>
      </c>
      <c r="CH70" s="337">
        <f t="shared" si="434"/>
        <v>0</v>
      </c>
      <c r="CI70" s="46">
        <f t="shared" si="434"/>
        <v>0</v>
      </c>
      <c r="CJ70" s="46">
        <f>IF($A70="a",IFERROR(VLOOKUP($B70 &amp; $C70&amp;CJ$4,tblForecast,CJ$2,FALSE),0),CH70+CI70)</f>
        <v>0</v>
      </c>
      <c r="CK70" s="46">
        <f t="shared" si="435"/>
        <v>0</v>
      </c>
      <c r="CL70" s="46">
        <f t="shared" si="435"/>
        <v>0</v>
      </c>
      <c r="CM70" s="46">
        <f>IFERROR(VLOOKUP($B70-IF(CompareVer="LY",1,0) &amp; $C70 &amp;CM$4,tblForecast,CM$2,FALSE),0)</f>
        <v>0</v>
      </c>
      <c r="CN70" s="194">
        <f t="shared" si="31"/>
        <v>0</v>
      </c>
      <c r="CO70" s="178">
        <f t="shared" si="46"/>
        <v>0</v>
      </c>
      <c r="CP70" s="223">
        <f t="shared" si="46"/>
        <v>0</v>
      </c>
      <c r="CQ70" s="194">
        <f t="shared" si="33"/>
        <v>0</v>
      </c>
      <c r="CR70" s="178">
        <f t="shared" si="44"/>
        <v>0</v>
      </c>
      <c r="CS70" s="223">
        <f t="shared" si="34"/>
        <v>0</v>
      </c>
      <c r="CT70" s="194">
        <f t="shared" si="47"/>
        <v>0</v>
      </c>
      <c r="CU70" s="44"/>
      <c r="CW70" s="102">
        <f>IFERROR(VLOOKUP($B70 &amp; $C70&amp;27,tblForecast,CW$2,FALSE),0)</f>
        <v>0</v>
      </c>
      <c r="CX70" s="48">
        <f>IFERROR(VLOOKUP($B70-IF(CompareVer="LY",1,0) &amp; $C70 &amp;CX$4,tblForecast,CX$2,FALSE),0)</f>
        <v>20305</v>
      </c>
      <c r="CY70" s="47">
        <f t="shared" si="36"/>
        <v>-1</v>
      </c>
      <c r="CZ70" s="278">
        <f>IFERROR(VLOOKUP(Brand&amp;Channel&amp;Country&amp;$C70,tblDiscount,6,FALSE),0)</f>
        <v>0.8</v>
      </c>
      <c r="DA70" s="279">
        <f>(1-CZ70)*DB70</f>
        <v>5.0039999999999987</v>
      </c>
      <c r="DB70" s="279">
        <f>IFERROR(VLOOKUP(Brand&amp;Country &amp; Channel &amp;FC,tblFCSettings,8,FALSE),0)</f>
        <v>25.02</v>
      </c>
      <c r="DC70" s="280">
        <f>IFERROR(VLOOKUP(Brand&amp;Country &amp; Channel &amp;FC,tblFCSettings,9,FALSE),0)</f>
        <v>4.16</v>
      </c>
    </row>
    <row r="71" spans="2:107" ht="16.5" thickBot="1" x14ac:dyDescent="0.3">
      <c r="B71" s="44">
        <v>2018</v>
      </c>
      <c r="C71" s="88">
        <v>48</v>
      </c>
      <c r="D71" s="51">
        <f t="shared" si="436"/>
        <v>-3783450.0115920003</v>
      </c>
      <c r="E71" s="202">
        <f t="shared" si="437"/>
        <v>-3218637.028684</v>
      </c>
      <c r="F71" s="182">
        <f t="shared" si="45"/>
        <v>0.85071482874691451</v>
      </c>
      <c r="G71" s="176">
        <f t="shared" si="418"/>
        <v>-165574</v>
      </c>
      <c r="H71" s="203">
        <f t="shared" si="418"/>
        <v>22.850508000000001</v>
      </c>
      <c r="I71" s="203">
        <f t="shared" si="418"/>
        <v>3.4112420000000001</v>
      </c>
      <c r="J71" s="176">
        <f>IFERROR(VLOOKUP($B71 &amp; $C71&amp;J$4&amp;$A71,tblForecast,J$2,FALSE),0)+IFERROR(VLOOKUP($B71 &amp; $C71 &amp; J$4 &amp; $A71,tblForecast,J$2+1,FALSE),0)</f>
        <v>228899</v>
      </c>
      <c r="K71" s="300">
        <f>IFERROR(VLOOKUP($B71 &amp; $C71&amp;K$4&amp;$A71,tblForecast,K$2,FALSE),0)+IFERROR(VLOOKUP($B71 &amp; $C71&amp;K$4&amp;$A71,tblForecast,K$2+1,FALSE),0)</f>
        <v>0</v>
      </c>
      <c r="L71" s="90">
        <f t="shared" si="419"/>
        <v>28225</v>
      </c>
      <c r="M71" s="90">
        <f t="shared" si="419"/>
        <v>28225</v>
      </c>
      <c r="N71" s="46">
        <f t="shared" si="419"/>
        <v>0</v>
      </c>
      <c r="O71" s="46">
        <f t="shared" si="419"/>
        <v>7933.8719999999994</v>
      </c>
      <c r="P71" s="47">
        <f t="shared" si="39"/>
        <v>2.5575315558405785</v>
      </c>
      <c r="Q71" s="242">
        <f t="shared" si="438"/>
        <v>5645</v>
      </c>
      <c r="R71" s="240">
        <f t="shared" si="420"/>
        <v>5645</v>
      </c>
      <c r="S71" s="240">
        <f t="shared" si="420"/>
        <v>0</v>
      </c>
      <c r="T71" s="240">
        <f>IFERROR(VLOOKUP($B71-IF(CompareVer="LY",1,0) &amp; $C71 &amp;T$4,tblForecast,T$2,FALSE),0)</f>
        <v>2680</v>
      </c>
      <c r="U71" s="91">
        <f t="shared" si="7"/>
        <v>1.1063432835820897</v>
      </c>
      <c r="V71" s="249">
        <f t="shared" si="439"/>
        <v>1.4575264652723987</v>
      </c>
      <c r="W71" s="334">
        <f t="shared" si="439"/>
        <v>1.4575264652723987</v>
      </c>
      <c r="X71" s="250">
        <f t="shared" si="440"/>
        <v>1.7573770491803278</v>
      </c>
      <c r="Y71" s="51">
        <f t="shared" si="421"/>
        <v>4741.7999999999984</v>
      </c>
      <c r="Z71" s="46">
        <f t="shared" si="421"/>
        <v>4741.7999999999984</v>
      </c>
      <c r="AA71" s="46">
        <f t="shared" si="421"/>
        <v>0</v>
      </c>
      <c r="AB71" s="46">
        <f t="shared" si="421"/>
        <v>-3236.1000000000017</v>
      </c>
      <c r="AC71" s="91">
        <f t="shared" si="9"/>
        <v>-2.4652822842310176</v>
      </c>
      <c r="AD71" s="75">
        <f>IF(AM71&lt;&gt;0,1-AR71/AM71,0)</f>
        <v>0.16799999999999993</v>
      </c>
      <c r="AE71" s="93">
        <f t="shared" si="422"/>
        <v>0.16799999999999993</v>
      </c>
      <c r="AF71" s="93">
        <f t="shared" si="422"/>
        <v>0</v>
      </c>
      <c r="AG71" s="76">
        <f t="shared" si="422"/>
        <v>-0.40788406972030833</v>
      </c>
      <c r="AH71" s="73">
        <f>IF(IFERROR(VLOOKUP($B71 &amp; $C71&amp;AH$4,tblForecast,AH$2,FALSE),0)=0,DB71,IFERROR(VLOOKUP($B71 &amp; $C71&amp;AH$4,tblForecast,AH$2,FALSE),0))</f>
        <v>25.02</v>
      </c>
      <c r="AI71" s="94">
        <f t="shared" si="423"/>
        <v>25.02</v>
      </c>
      <c r="AJ71" s="94">
        <f t="shared" si="423"/>
        <v>0</v>
      </c>
      <c r="AK71" s="49">
        <f>IFERROR(VLOOKUP($B71-IF(CompareVer="LY",1,0) &amp; $C71 &amp;AK$4,tblForecast,AK$2,FALSE),0)</f>
        <v>25.662500000000001</v>
      </c>
      <c r="AL71" s="47">
        <f t="shared" si="387"/>
        <v>-2.5036531904530035E-2</v>
      </c>
      <c r="AM71" s="73">
        <f>IF(IFERROR(VLOOKUP($B71 &amp; $C71&amp;AM$4,tblForecast,AM$2,FALSE),0)=0,DA71,IFERROR(VLOOKUP($B71 &amp; $C71&amp;AM$4,tblForecast,AM$2,FALSE),0))</f>
        <v>5</v>
      </c>
      <c r="AN71" s="94">
        <f t="shared" si="424"/>
        <v>5</v>
      </c>
      <c r="AO71" s="94">
        <f t="shared" si="424"/>
        <v>0</v>
      </c>
      <c r="AP71" s="49">
        <f>IFERROR(VLOOKUP($B71-IF(CompareVer="LY",1,0) &amp; $C71 &amp;AP$4,tblForecast,AP$2,FALSE),0)</f>
        <v>2.9603999999999999</v>
      </c>
      <c r="AQ71" s="47">
        <f t="shared" si="14"/>
        <v>0.68896095122280787</v>
      </c>
      <c r="AR71" s="73">
        <f>IF(IFERROR(VLOOKUP($B71 &amp; $C71&amp;AR$4,tblForecast,AR$2,FALSE),0)=0,DC71,IFERROR(VLOOKUP($B71 &amp; $C71&amp;AR$4,tblForecast,AR$2,FALSE),0))</f>
        <v>4.16</v>
      </c>
      <c r="AS71" s="94">
        <f t="shared" si="425"/>
        <v>4.16</v>
      </c>
      <c r="AT71" s="94">
        <f t="shared" si="425"/>
        <v>0</v>
      </c>
      <c r="AU71" s="49">
        <f>IFERROR(VLOOKUP($B71-IF(CompareVer="LY",1,0) &amp; $C71 &amp;AU$4,tblForecast,AU$2,FALSE),0)</f>
        <v>4.1679000000000004</v>
      </c>
      <c r="AV71" s="47">
        <f t="shared" si="16"/>
        <v>-1.8954389500708269E-3</v>
      </c>
      <c r="AW71" s="191">
        <f t="shared" si="426"/>
        <v>0.8001598721023182</v>
      </c>
      <c r="AX71" s="192">
        <f t="shared" si="426"/>
        <v>0.8001598721023182</v>
      </c>
      <c r="AY71" s="192">
        <f t="shared" si="426"/>
        <v>0</v>
      </c>
      <c r="AZ71" s="192">
        <f t="shared" si="426"/>
        <v>0.88464101315148569</v>
      </c>
      <c r="BA71" s="235">
        <f>IF(BA70+BV71+BL71+BR71-Q71&lt;0,0,BA70+BV71+BL71+BR71-Q71)</f>
        <v>88857</v>
      </c>
      <c r="BB71" s="231">
        <f>IF(IFERROR(VLOOKUP($B71 &amp; $C71&amp;BB$4,tblForecast,BB$2,FALSE),0)=0,BA71,IFERROR(VLOOKUP($B71 &amp; $C71&amp;BB$4,tblForecast,BB$2,FALSE),0))</f>
        <v>88857</v>
      </c>
      <c r="BC71" s="231">
        <f>IFERROR(VLOOKUP($B71-IF(CompareVer="LY",1,0) &amp; $C71 &amp;BC$4,tblForecast,BC$2,FALSE),0)</f>
        <v>0</v>
      </c>
      <c r="BD71" s="231">
        <f t="shared" si="427"/>
        <v>18473</v>
      </c>
      <c r="BE71" s="194">
        <f t="shared" si="19"/>
        <v>3.8101012288204403</v>
      </c>
      <c r="BF71" s="231">
        <f>IFERROR(VLOOKUP($B71 &amp; $C71&amp;IF($A71="a",BG$4,BF$4),tblForecast,BF$2,FALSE),0)</f>
        <v>0</v>
      </c>
      <c r="BG71" s="228">
        <f>IFERROR(VLOOKUP($B71-IF(CompareVer="LY",1,0) &amp; $C71 &amp;BG$4,tblForecast,BG$2,FALSE),0)</f>
        <v>1007</v>
      </c>
      <c r="BH71" s="179">
        <f>IF(Q71&lt;&gt;0,BA71/Q71,0)</f>
        <v>15.740832595217006</v>
      </c>
      <c r="BI71" s="183">
        <f>IF(T71&lt;&gt;0,BD71/T71,0)</f>
        <v>6.892910447761194</v>
      </c>
      <c r="BJ71" s="195">
        <f t="shared" si="428"/>
        <v>6.3529041043474344E-2</v>
      </c>
      <c r="BK71" s="50">
        <f t="shared" si="429"/>
        <v>0.14507659827856872</v>
      </c>
      <c r="BL71" s="234">
        <f>IFERROR(VLOOKUP($B71 &amp; $C71&amp;IF($A71="a",BM$4,BL$4),tblForecast,BL$2,FALSE),0)</f>
        <v>0</v>
      </c>
      <c r="BM71" s="228">
        <f>IFERROR(VLOOKUP($B71-IF(CompareVer="LY",1,0) &amp; $C71 &amp;BM$4,tblForecast,BM$2,FALSE),0)</f>
        <v>-196</v>
      </c>
      <c r="BN71" s="234">
        <f>IFERROR(VLOOKUP($B71 &amp; $C71&amp;IF($A71="a",BO$4,BN$4),tblForecast,BN$2,FALSE),0)</f>
        <v>0</v>
      </c>
      <c r="BO71" s="228">
        <f>IFERROR(VLOOKUP($B71-IF(CompareVer="LY",1,0) &amp; $C71 &amp;BO$4,tblForecast,BO$2,FALSE),0)</f>
        <v>37</v>
      </c>
      <c r="BP71" s="234">
        <f>IFERROR(VLOOKUP($B71 &amp; $C71&amp;IF($A71="a",BQ$4,BP$4),tblForecast,BP$2,FALSE),0)</f>
        <v>0</v>
      </c>
      <c r="BQ71" s="228">
        <f>IFERROR(VLOOKUP($B71-IF(CompareVer="LY",1,0) &amp; $C71 &amp;BQ$4,tblForecast,BQ$2,FALSE),0)</f>
        <v>0</v>
      </c>
      <c r="BR71" s="227">
        <f t="shared" si="43"/>
        <v>0</v>
      </c>
      <c r="BS71" s="231">
        <f t="shared" si="22"/>
        <v>37</v>
      </c>
      <c r="BT71" s="234">
        <f t="shared" si="430"/>
        <v>0</v>
      </c>
      <c r="BU71" s="231">
        <f t="shared" si="430"/>
        <v>0</v>
      </c>
      <c r="BV71" s="231">
        <f>IF($A71="a",IFERROR(VLOOKUP($B71 &amp; $C71&amp;BV$4,tblForecast,BV$2,FALSE),0),BT71+BU71)</f>
        <v>0</v>
      </c>
      <c r="BW71" s="231">
        <f t="shared" si="431"/>
        <v>0</v>
      </c>
      <c r="BX71" s="231">
        <f t="shared" si="431"/>
        <v>0</v>
      </c>
      <c r="BY71" s="193">
        <f>IFERROR(VLOOKUP($B71-IF(CompareVer="LY",1,0) &amp; $C71 &amp;BY$4,tblForecast,BY$2,FALSE),0)</f>
        <v>0</v>
      </c>
      <c r="BZ71" s="194">
        <f t="shared" si="25"/>
        <v>0</v>
      </c>
      <c r="CA71" s="337">
        <f t="shared" si="432"/>
        <v>0</v>
      </c>
      <c r="CB71" s="46">
        <f t="shared" si="432"/>
        <v>0</v>
      </c>
      <c r="CC71" s="46">
        <f>IF($A71="a",IFERROR(VLOOKUP($B71 &amp; $C71&amp;CC$4,tblForecast,CC$2,FALSE),0),CA71+CB71)</f>
        <v>0</v>
      </c>
      <c r="CD71" s="46">
        <f t="shared" si="433"/>
        <v>0</v>
      </c>
      <c r="CE71" s="46">
        <f t="shared" si="433"/>
        <v>0</v>
      </c>
      <c r="CF71" s="46">
        <f>IFERROR(VLOOKUP($B71-IF(CompareVer="LY",1,0) &amp; $C71 &amp;CF$4,tblForecast,CF$2,FALSE),0)</f>
        <v>0</v>
      </c>
      <c r="CG71" s="194">
        <f t="shared" si="28"/>
        <v>0</v>
      </c>
      <c r="CH71" s="337">
        <f t="shared" si="434"/>
        <v>0</v>
      </c>
      <c r="CI71" s="46">
        <f t="shared" si="434"/>
        <v>0</v>
      </c>
      <c r="CJ71" s="46">
        <f>IF($A71="a",IFERROR(VLOOKUP($B71 &amp; $C71&amp;CJ$4,tblForecast,CJ$2,FALSE),0),CH71+CI71)</f>
        <v>0</v>
      </c>
      <c r="CK71" s="46">
        <f t="shared" si="435"/>
        <v>0</v>
      </c>
      <c r="CL71" s="46">
        <f t="shared" si="435"/>
        <v>0</v>
      </c>
      <c r="CM71" s="46">
        <f>IFERROR(VLOOKUP($B71-IF(CompareVer="LY",1,0) &amp; $C71 &amp;CM$4,tblForecast,CM$2,FALSE),0)</f>
        <v>0</v>
      </c>
      <c r="CN71" s="194">
        <f t="shared" si="31"/>
        <v>0</v>
      </c>
      <c r="CO71" s="178">
        <f t="shared" si="46"/>
        <v>0</v>
      </c>
      <c r="CP71" s="223">
        <f t="shared" si="46"/>
        <v>0</v>
      </c>
      <c r="CQ71" s="194">
        <f t="shared" si="33"/>
        <v>0</v>
      </c>
      <c r="CR71" s="178">
        <f t="shared" si="44"/>
        <v>0</v>
      </c>
      <c r="CS71" s="223">
        <f t="shared" si="34"/>
        <v>0</v>
      </c>
      <c r="CT71" s="194">
        <f t="shared" si="47"/>
        <v>0</v>
      </c>
      <c r="CU71" s="44"/>
      <c r="CW71" s="102">
        <f>IFERROR(VLOOKUP($B71 &amp; $C71&amp;27,tblForecast,CW$2,FALSE),0)</f>
        <v>0</v>
      </c>
      <c r="CX71" s="48">
        <f>IFERROR(VLOOKUP($B71-IF(CompareVer="LY",1,0) &amp; $C71 &amp;CX$4,tblForecast,CX$2,FALSE),0)</f>
        <v>17466</v>
      </c>
      <c r="CY71" s="47">
        <f t="shared" si="36"/>
        <v>-1</v>
      </c>
      <c r="CZ71" s="278">
        <f>IFERROR(VLOOKUP(Brand&amp;Channel&amp;Country&amp;$C71,tblDiscount,6,FALSE),0)</f>
        <v>0.8</v>
      </c>
      <c r="DA71" s="279">
        <f>(1-CZ71)*DB71</f>
        <v>5.0039999999999987</v>
      </c>
      <c r="DB71" s="279">
        <f>IFERROR(VLOOKUP(Brand&amp;Country &amp; Channel &amp;FC,tblFCSettings,8,FALSE),0)</f>
        <v>25.02</v>
      </c>
      <c r="DC71" s="280">
        <f>IFERROR(VLOOKUP(Brand&amp;Country &amp; Channel &amp;FC,tblFCSettings,9,FALSE),0)</f>
        <v>4.16</v>
      </c>
    </row>
    <row r="72" spans="2:107" ht="16.5" thickBot="1" x14ac:dyDescent="0.3">
      <c r="C72" s="253" t="s">
        <v>316</v>
      </c>
      <c r="D72" s="254">
        <f>SUM(D67:D71)</f>
        <v>-21886625.707991</v>
      </c>
      <c r="E72" s="255">
        <f>SUM(E67:E71)</f>
        <v>-17569994.235909998</v>
      </c>
      <c r="F72" s="256">
        <f t="shared" si="45"/>
        <v>0.80277309395824503</v>
      </c>
      <c r="G72" s="257">
        <f>SUM(G67:G71)</f>
        <v>-797573</v>
      </c>
      <c r="H72" s="258">
        <f>IFERROR(D72/G72,0)</f>
        <v>27.441532885379772</v>
      </c>
      <c r="I72" s="258">
        <f>IFERROR(SUMPRODUCT(I67:I71,G67:G71)/G72,0)</f>
        <v>5.4122086280265256</v>
      </c>
      <c r="J72" s="257">
        <f>SUM(J67:J71)</f>
        <v>1445012</v>
      </c>
      <c r="K72" s="301">
        <f>SUM(K67:K71)</f>
        <v>0</v>
      </c>
      <c r="L72" s="259">
        <f>SUM(L67:L71)</f>
        <v>229365</v>
      </c>
      <c r="M72" s="259">
        <f t="shared" ref="M72:O72" si="441">SUM(M67:M71)</f>
        <v>229365</v>
      </c>
      <c r="N72" s="259">
        <f t="shared" si="441"/>
        <v>0</v>
      </c>
      <c r="O72" s="259">
        <f t="shared" si="441"/>
        <v>28781.856799999998</v>
      </c>
      <c r="P72" s="260">
        <f t="shared" si="39"/>
        <v>6.9690828008010941</v>
      </c>
      <c r="Q72" s="261">
        <f>SUM(Q67:Q71)</f>
        <v>45873</v>
      </c>
      <c r="R72" s="262">
        <f t="shared" ref="R72:S72" si="442">SUM(R67:R71)</f>
        <v>45873</v>
      </c>
      <c r="S72" s="262">
        <f t="shared" si="442"/>
        <v>0</v>
      </c>
      <c r="T72" s="262">
        <f>SUM(T67:T71)</f>
        <v>7890</v>
      </c>
      <c r="U72" s="260">
        <f t="shared" si="7"/>
        <v>4.8140684410646388</v>
      </c>
      <c r="V72" s="263">
        <f>V71</f>
        <v>1.4575264652723987</v>
      </c>
      <c r="W72" s="332">
        <f>W71</f>
        <v>1.4575264652723987</v>
      </c>
      <c r="X72" s="264">
        <f>X71</f>
        <v>1.7573770491803278</v>
      </c>
      <c r="Y72" s="254">
        <f>SUM(Y67:Y71)</f>
        <v>38533.319999999978</v>
      </c>
      <c r="Z72" s="259">
        <f t="shared" ref="Z72:AB72" si="443">SUM(Z67:Z71)</f>
        <v>38533.319999999978</v>
      </c>
      <c r="AA72" s="259">
        <f t="shared" si="443"/>
        <v>0</v>
      </c>
      <c r="AB72" s="259">
        <f t="shared" si="443"/>
        <v>-2135.1037000000006</v>
      </c>
      <c r="AC72" s="260">
        <f t="shared" si="9"/>
        <v>-19.047516848947414</v>
      </c>
      <c r="AD72" s="265">
        <f>IFERROR(Y72/L72,0)</f>
        <v>0.1679999999999999</v>
      </c>
      <c r="AE72" s="266">
        <f>IFERROR(Z72/M72,0)</f>
        <v>0.1679999999999999</v>
      </c>
      <c r="AF72" s="266">
        <f>IFERROR(AA72/N72,0)</f>
        <v>0</v>
      </c>
      <c r="AG72" s="266">
        <f>IFERROR(AB72/O72,0)</f>
        <v>-7.4182277913355493E-2</v>
      </c>
      <c r="AH72" s="267">
        <f>IFERROR(SUMPRODUCT(AH67:AH71,Q67:Q71)/Q72,0)</f>
        <v>25.02</v>
      </c>
      <c r="AI72" s="268">
        <f>IFERROR(SUMPRODUCT(AI67:AI71,R67:R71)/R72,0)</f>
        <v>25.02</v>
      </c>
      <c r="AJ72" s="268">
        <f>IFERROR(SUMPRODUCT(AJ67:AJ71,S67:S71)/S72,0)</f>
        <v>0</v>
      </c>
      <c r="AK72" s="268">
        <f>IFERROR(SUMPRODUCT(AK67:AK71,T67:T71)/T72,0)</f>
        <v>24.068840506970847</v>
      </c>
      <c r="AL72" s="260">
        <f t="shared" si="387"/>
        <v>3.9518293070814003E-2</v>
      </c>
      <c r="AM72" s="267">
        <f>IF(Q72&lt;&gt;0,L72/Q72,0)</f>
        <v>5</v>
      </c>
      <c r="AN72" s="268">
        <f>IF(R72&lt;&gt;0,M72/R72,0)</f>
        <v>5</v>
      </c>
      <c r="AO72" s="268">
        <f>IF(S72&lt;&gt;0,N72/S72,0)</f>
        <v>0</v>
      </c>
      <c r="AP72" s="268">
        <f>IF(T72&lt;&gt;0,O72/T72,0)</f>
        <v>3.6478905956907477</v>
      </c>
      <c r="AQ72" s="260">
        <f t="shared" si="14"/>
        <v>0.37065514133195188</v>
      </c>
      <c r="AR72" s="267">
        <f>IFERROR((L72*(1-AD72))/Q72,0)</f>
        <v>4.16</v>
      </c>
      <c r="AS72" s="268">
        <f>IFERROR((M72*(1-AE72))/R72,0)</f>
        <v>4.16</v>
      </c>
      <c r="AT72" s="268">
        <f>IFERROR((N72*(1-AF72))/S72,0)</f>
        <v>0</v>
      </c>
      <c r="AU72" s="268">
        <f>IFERROR((O72*(1-AG72))/T72,0)</f>
        <v>3.9184994296577944</v>
      </c>
      <c r="AV72" s="260">
        <f t="shared" si="16"/>
        <v>6.1630880564730983E-2</v>
      </c>
      <c r="AW72" s="269">
        <f>IFERROR(SUMPRODUCT(AW67:AW71,V67:V71)/V72,0)</f>
        <v>20.082058643649471</v>
      </c>
      <c r="AX72" s="270">
        <f t="shared" ref="AX72:AZ72" si="444">IFERROR(SUMPRODUCT(AX67:AX71,X67:X71)/X72,0)</f>
        <v>2.8368051464470065</v>
      </c>
      <c r="AY72" s="270">
        <f t="shared" si="444"/>
        <v>0</v>
      </c>
      <c r="AZ72" s="270">
        <f t="shared" si="444"/>
        <v>0.84055011054641204</v>
      </c>
      <c r="BA72" s="261">
        <f>BA71</f>
        <v>88857</v>
      </c>
      <c r="BB72" s="262">
        <f t="shared" ref="BB72:BD72" si="445">BB71</f>
        <v>88857</v>
      </c>
      <c r="BC72" s="262">
        <f t="shared" si="445"/>
        <v>0</v>
      </c>
      <c r="BD72" s="262">
        <f t="shared" si="445"/>
        <v>18473</v>
      </c>
      <c r="BE72" s="260">
        <f t="shared" si="19"/>
        <v>3.8101012288204403</v>
      </c>
      <c r="BF72" s="262">
        <f>BF71</f>
        <v>0</v>
      </c>
      <c r="BG72" s="262">
        <f>BG71</f>
        <v>1007</v>
      </c>
      <c r="BH72" s="271">
        <f>IF(Q72&lt;&gt;0,(BA72*COUNTIF(BH67:BH71,"&lt;&gt;0")/Q72),0)</f>
        <v>9.6851088875809292</v>
      </c>
      <c r="BI72" s="272">
        <f>IF(T72&lt;&gt;0,(BD72*COUNTIF(BI67:BI71,"&lt;&gt;0")/T72),0)</f>
        <v>11.70659062103929</v>
      </c>
      <c r="BJ72" s="273">
        <f t="shared" ref="BJ72" si="446">IF(BA72&lt;&gt;0,(Q72/COUNTIF(BJ67:BJ71,"&lt;&gt;0"))/BA72,0)</f>
        <v>0.10325129140079004</v>
      </c>
      <c r="BK72" s="274">
        <f t="shared" ref="BK72" si="447">IF(BD72&lt;&gt;0,(T72/COUNTIF(BK67:BK71,"&lt;&gt;0"))/BD72,0)</f>
        <v>8.5421967195366211E-2</v>
      </c>
      <c r="BL72" s="261">
        <f t="shared" ref="BL72" si="448">SUM(BL67:BL71)</f>
        <v>0</v>
      </c>
      <c r="BM72" s="262">
        <f>SUM(BM67:BM71)</f>
        <v>-1182</v>
      </c>
      <c r="BN72" s="261">
        <f t="shared" ref="BN72:BQ72" si="449">SUM(BN67:BN71)</f>
        <v>0</v>
      </c>
      <c r="BO72" s="262">
        <f t="shared" si="449"/>
        <v>1193</v>
      </c>
      <c r="BP72" s="261">
        <f t="shared" si="449"/>
        <v>0</v>
      </c>
      <c r="BQ72" s="262">
        <f t="shared" si="449"/>
        <v>169</v>
      </c>
      <c r="BR72" s="261">
        <f t="shared" si="43"/>
        <v>0</v>
      </c>
      <c r="BS72" s="262">
        <f t="shared" si="22"/>
        <v>1024</v>
      </c>
      <c r="BT72" s="261">
        <f t="shared" ref="BT72:BY72" si="450">SUM(BT67:BT71)</f>
        <v>0</v>
      </c>
      <c r="BU72" s="262">
        <f t="shared" si="450"/>
        <v>0</v>
      </c>
      <c r="BV72" s="262">
        <f t="shared" si="450"/>
        <v>0</v>
      </c>
      <c r="BW72" s="262">
        <f t="shared" si="450"/>
        <v>0</v>
      </c>
      <c r="BX72" s="262">
        <f t="shared" si="450"/>
        <v>0</v>
      </c>
      <c r="BY72" s="275">
        <f t="shared" si="450"/>
        <v>0</v>
      </c>
      <c r="BZ72" s="260">
        <f t="shared" si="25"/>
        <v>0</v>
      </c>
      <c r="CA72" s="338">
        <f t="shared" ref="CA72:CF72" si="451">SUM(CA67:CA71)</f>
        <v>0</v>
      </c>
      <c r="CB72" s="259">
        <f t="shared" si="451"/>
        <v>0</v>
      </c>
      <c r="CC72" s="259">
        <f t="shared" si="451"/>
        <v>0</v>
      </c>
      <c r="CD72" s="259">
        <f t="shared" si="451"/>
        <v>0</v>
      </c>
      <c r="CE72" s="259">
        <f t="shared" si="451"/>
        <v>0</v>
      </c>
      <c r="CF72" s="259">
        <f t="shared" si="451"/>
        <v>0</v>
      </c>
      <c r="CG72" s="260">
        <f t="shared" si="28"/>
        <v>0</v>
      </c>
      <c r="CH72" s="338">
        <f t="shared" ref="CH72:CM72" si="452">SUM(CH67:CH71)</f>
        <v>0</v>
      </c>
      <c r="CI72" s="259">
        <f t="shared" si="452"/>
        <v>0</v>
      </c>
      <c r="CJ72" s="259">
        <f t="shared" si="452"/>
        <v>0</v>
      </c>
      <c r="CK72" s="259">
        <f t="shared" si="452"/>
        <v>0</v>
      </c>
      <c r="CL72" s="259">
        <f t="shared" si="452"/>
        <v>0</v>
      </c>
      <c r="CM72" s="259">
        <f t="shared" si="452"/>
        <v>0</v>
      </c>
      <c r="CN72" s="260">
        <f t="shared" si="31"/>
        <v>0</v>
      </c>
      <c r="CO72" s="276">
        <f t="shared" si="46"/>
        <v>0</v>
      </c>
      <c r="CP72" s="277">
        <f t="shared" si="46"/>
        <v>0</v>
      </c>
      <c r="CQ72" s="260">
        <f t="shared" si="33"/>
        <v>0</v>
      </c>
      <c r="CR72" s="276">
        <f t="shared" si="44"/>
        <v>0</v>
      </c>
      <c r="CS72" s="277">
        <f t="shared" si="34"/>
        <v>0</v>
      </c>
      <c r="CT72" s="260">
        <f t="shared" si="47"/>
        <v>0</v>
      </c>
      <c r="CU72" s="44"/>
      <c r="CW72" s="100">
        <f>CW71</f>
        <v>0</v>
      </c>
      <c r="CX72" s="101">
        <f>CX71</f>
        <v>17466</v>
      </c>
      <c r="CY72" s="99">
        <f t="shared" si="36"/>
        <v>-1</v>
      </c>
      <c r="CZ72" s="278"/>
      <c r="DA72" s="279"/>
      <c r="DB72" s="279"/>
      <c r="DC72" s="280"/>
    </row>
    <row r="73" spans="2:107" x14ac:dyDescent="0.25">
      <c r="B73" s="44">
        <v>2018</v>
      </c>
      <c r="C73" s="88">
        <v>49</v>
      </c>
      <c r="D73" s="51">
        <f>G73*H73</f>
        <v>-3323722.998505</v>
      </c>
      <c r="E73" s="202">
        <f>IFERROR(D73*F73,0)</f>
        <v>-2908434.2291549998</v>
      </c>
      <c r="F73" s="182">
        <f t="shared" si="45"/>
        <v>0.87505313483199543</v>
      </c>
      <c r="G73" s="176">
        <f t="shared" ref="G73:I76" si="453">IFERROR(VLOOKUP($B73 &amp; $C73&amp;G$4&amp;$A73,tblForecast,G$2,FALSE),0)</f>
        <v>-155857</v>
      </c>
      <c r="H73" s="203">
        <f t="shared" si="453"/>
        <v>21.325465000000001</v>
      </c>
      <c r="I73" s="203">
        <f t="shared" si="453"/>
        <v>2.6645500000000002</v>
      </c>
      <c r="J73" s="176">
        <f>IFERROR(VLOOKUP($B73 &amp; $C73&amp;J$4&amp;$A73,tblForecast,J$2,FALSE),0)+IFERROR(VLOOKUP($B73 &amp; $C73 &amp; J$4 &amp; $A73,tblForecast,J$2+1,FALSE),0)</f>
        <v>219968</v>
      </c>
      <c r="K73" s="300">
        <f>IFERROR(VLOOKUP($B73 &amp; $C73&amp;K$4&amp;$A73,tblForecast,K$2,FALSE),0)+IFERROR(VLOOKUP($B73 &amp; $C73&amp;K$4&amp;$A73,tblForecast,K$2+1,FALSE),0)</f>
        <v>0</v>
      </c>
      <c r="L73" s="90">
        <f t="shared" ref="L73:O76" si="454">Q73*AM73</f>
        <v>60065</v>
      </c>
      <c r="M73" s="90">
        <f t="shared" si="454"/>
        <v>60065</v>
      </c>
      <c r="N73" s="46">
        <f t="shared" si="454"/>
        <v>0</v>
      </c>
      <c r="O73" s="46">
        <f t="shared" si="454"/>
        <v>5200.8975</v>
      </c>
      <c r="P73" s="47">
        <f t="shared" si="39"/>
        <v>10.548968230963983</v>
      </c>
      <c r="Q73" s="242">
        <f>ROUND(IF(BA71-(Q71*IF(W73=0,X73,W73))&lt;0,BA71,Q71*IF(W73=0,X73,W73)),0)</f>
        <v>12013</v>
      </c>
      <c r="R73" s="240">
        <f t="shared" ref="R73:S76" si="455">IFERROR(VLOOKUP($B73 &amp; $C73&amp;R$4,tblForecast,R$2,FALSE),0)</f>
        <v>12013</v>
      </c>
      <c r="S73" s="240">
        <f t="shared" si="455"/>
        <v>0</v>
      </c>
      <c r="T73" s="240">
        <f>IFERROR(VLOOKUP($B73-IF(CompareVer="LY",1,0) &amp; $C73 &amp;T$4,tblForecast,T$2,FALSE),0)</f>
        <v>2425</v>
      </c>
      <c r="U73" s="91">
        <f t="shared" si="7"/>
        <v>3.9538144329896907</v>
      </c>
      <c r="V73" s="249">
        <f>IFERROR(IF(Q71&gt;0,Q73/Q71,0),0)</f>
        <v>2.1280779450841454</v>
      </c>
      <c r="W73" s="334">
        <f>IFERROR(IF(R71&gt;0,R73/R71,0),0)</f>
        <v>2.1280779450841454</v>
      </c>
      <c r="X73" s="250">
        <f>IFERROR(IF(T71&gt;0,T73/T71,0),0)</f>
        <v>0.90485074626865669</v>
      </c>
      <c r="Y73" s="51">
        <f t="shared" ref="Y73:AB76" si="456">IFERROR(L73*AD73,0)</f>
        <v>10090.919999999996</v>
      </c>
      <c r="Z73" s="46">
        <f t="shared" si="456"/>
        <v>10090.919999999996</v>
      </c>
      <c r="AA73" s="46">
        <f t="shared" si="456"/>
        <v>0</v>
      </c>
      <c r="AB73" s="46">
        <f t="shared" si="456"/>
        <v>-4081.0324999999998</v>
      </c>
      <c r="AC73" s="91">
        <f t="shared" si="9"/>
        <v>-3.4726389706526466</v>
      </c>
      <c r="AD73" s="75">
        <f>IF(AM73&lt;&gt;0,1-AR73/AM73,0)</f>
        <v>0.16799999999999993</v>
      </c>
      <c r="AE73" s="93">
        <f t="shared" ref="AE73:AG76" si="457">IF(AN73&lt;&gt;0,1-AS73/AN73,0)</f>
        <v>0.16799999999999993</v>
      </c>
      <c r="AF73" s="93">
        <f t="shared" si="457"/>
        <v>0</v>
      </c>
      <c r="AG73" s="76">
        <f t="shared" si="457"/>
        <v>-0.78467850981489251</v>
      </c>
      <c r="AH73" s="73">
        <f>IF(IFERROR(VLOOKUP($B73 &amp; $C73&amp;AH$4,tblForecast,AH$2,FALSE),0)=0,DB73,IFERROR(VLOOKUP($B73 &amp; $C73&amp;AH$4,tblForecast,AH$2,FALSE),0))</f>
        <v>25.02</v>
      </c>
      <c r="AI73" s="94">
        <f t="shared" ref="AI73:AJ76" si="458">IFERROR(VLOOKUP($B73 &amp; $C73&amp;AI$4,tblForecast,AI$2,FALSE),0)</f>
        <v>25.02</v>
      </c>
      <c r="AJ73" s="94">
        <f t="shared" si="458"/>
        <v>0</v>
      </c>
      <c r="AK73" s="49">
        <f>IFERROR(VLOOKUP($B73-IF(CompareVer="LY",1,0) &amp; $C73 &amp;AK$4,tblForecast,AK$2,FALSE),0)</f>
        <v>22.100999999999999</v>
      </c>
      <c r="AL73" s="47">
        <f t="shared" si="387"/>
        <v>0.13207547169811318</v>
      </c>
      <c r="AM73" s="73">
        <f>IF(IFERROR(VLOOKUP($B73 &amp; $C73&amp;AM$4,tblForecast,AM$2,FALSE),0)=0,DA73,IFERROR(VLOOKUP($B73 &amp; $C73&amp;AM$4,tblForecast,AM$2,FALSE),0))</f>
        <v>5</v>
      </c>
      <c r="AN73" s="94">
        <f t="shared" ref="AN73:AO76" si="459">IFERROR(VLOOKUP($B73 &amp; $C73&amp;AN$4,tblForecast,AN$2,FALSE),0)</f>
        <v>5</v>
      </c>
      <c r="AO73" s="94">
        <f t="shared" si="459"/>
        <v>0</v>
      </c>
      <c r="AP73" s="49">
        <f>IFERROR(VLOOKUP($B73-IF(CompareVer="LY",1,0) &amp; $C73 &amp;AP$4,tblForecast,AP$2,FALSE),0)</f>
        <v>2.1446999999999998</v>
      </c>
      <c r="AQ73" s="47">
        <f t="shared" si="14"/>
        <v>1.3313283909171449</v>
      </c>
      <c r="AR73" s="73">
        <f>IF(IFERROR(VLOOKUP($B73 &amp; $C73&amp;AR$4,tblForecast,AR$2,FALSE),0)=0,DC73,IFERROR(VLOOKUP($B73 &amp; $C73&amp;AR$4,tblForecast,AR$2,FALSE),0))</f>
        <v>4.16</v>
      </c>
      <c r="AS73" s="94">
        <f t="shared" ref="AS73:AT76" si="460">IFERROR(VLOOKUP($B73 &amp; $C73&amp;AS$4,tblForecast,AS$2,FALSE),0)</f>
        <v>4.16</v>
      </c>
      <c r="AT73" s="94">
        <f t="shared" si="460"/>
        <v>0</v>
      </c>
      <c r="AU73" s="49">
        <f>IFERROR(VLOOKUP($B73-IF(CompareVer="LY",1,0) &amp; $C73 &amp;AU$4,tblForecast,AU$2,FALSE),0)</f>
        <v>3.8275999999999999</v>
      </c>
      <c r="AV73" s="47">
        <f t="shared" si="16"/>
        <v>8.6842930295746745E-2</v>
      </c>
      <c r="AW73" s="191">
        <f t="shared" ref="AW73:AZ76" si="461">IFERROR((AM73/AH73-1)*-1,0)</f>
        <v>0.8001598721023182</v>
      </c>
      <c r="AX73" s="192">
        <f t="shared" si="461"/>
        <v>0.8001598721023182</v>
      </c>
      <c r="AY73" s="192">
        <f t="shared" si="461"/>
        <v>0</v>
      </c>
      <c r="AZ73" s="192">
        <f t="shared" si="461"/>
        <v>0.90295914212026607</v>
      </c>
      <c r="BA73" s="235">
        <f>IF(BA72+BV73+BL73+BR73-Q73&lt;0,0,BA72+BV73+BL73+BR73-Q73)</f>
        <v>76844</v>
      </c>
      <c r="BB73" s="231">
        <f>IF(IFERROR(VLOOKUP($B73 &amp; $C73&amp;BB$4,tblForecast,BB$2,FALSE),0)=0,BA73,IFERROR(VLOOKUP($B73 &amp; $C73&amp;BB$4,tblForecast,BB$2,FALSE),0))</f>
        <v>76844</v>
      </c>
      <c r="BC73" s="231">
        <f>IFERROR(VLOOKUP($B73-IF(CompareVer="LY",1,0) &amp; $C73 &amp;BC$4,tblForecast,BC$2,FALSE),0)</f>
        <v>0</v>
      </c>
      <c r="BD73" s="231">
        <f t="shared" ref="BD73:BD76" si="462">CX73+BG73</f>
        <v>15946</v>
      </c>
      <c r="BE73" s="194">
        <f t="shared" si="19"/>
        <v>3.8190141728333122</v>
      </c>
      <c r="BF73" s="231">
        <f>IFERROR(VLOOKUP($B73 &amp; $C73&amp;IF($A73="a",BG$4,BF$4),tblForecast,BF$2,FALSE),0)</f>
        <v>0</v>
      </c>
      <c r="BG73" s="228">
        <f>IFERROR(VLOOKUP($B73-IF(CompareVer="LY",1,0) &amp; $C73 &amp;BG$4,tblForecast,BG$2,FALSE),0)</f>
        <v>898</v>
      </c>
      <c r="BH73" s="179">
        <f>IF(Q73&lt;&gt;0,BA73/Q73,0)</f>
        <v>6.3967368683925745</v>
      </c>
      <c r="BI73" s="183">
        <f>IF(T73&lt;&gt;0,BD73/T73,0)</f>
        <v>6.5756701030927838</v>
      </c>
      <c r="BJ73" s="195">
        <f t="shared" ref="BJ73:BJ76" si="463">IF(BA73&lt;&gt;0,Q73/BA73,0)</f>
        <v>0.15632970693873302</v>
      </c>
      <c r="BK73" s="50">
        <f t="shared" ref="BK73:BK76" si="464">IF(BD73&lt;&gt;0,T73/BD73,0)</f>
        <v>0.15207575567540449</v>
      </c>
      <c r="BL73" s="234">
        <f>IFERROR(VLOOKUP($B73 &amp; $C73&amp;IF($A73="a",BM$4,BL$4),tblForecast,BL$2,FALSE),0)</f>
        <v>0</v>
      </c>
      <c r="BM73" s="228">
        <f>IFERROR(VLOOKUP($B73-IF(CompareVer="LY",1,0) &amp; $C73 &amp;BM$4,tblForecast,BM$2,FALSE),0)</f>
        <v>-62</v>
      </c>
      <c r="BN73" s="234">
        <f>IFERROR(VLOOKUP($B73 &amp; $C73&amp;IF($A73="a",BO$4,BN$4),tblForecast,BN$2,FALSE),0)</f>
        <v>0</v>
      </c>
      <c r="BO73" s="228">
        <f>IFERROR(VLOOKUP($B73-IF(CompareVer="LY",1,0) &amp; $C73 &amp;BO$4,tblForecast,BO$2,FALSE),0)</f>
        <v>65</v>
      </c>
      <c r="BP73" s="234">
        <f>IFERROR(VLOOKUP($B73 &amp; $C73&amp;IF($A73="a",BQ$4,BP$4),tblForecast,BP$2,FALSE),0)</f>
        <v>0</v>
      </c>
      <c r="BQ73" s="228">
        <f>IFERROR(VLOOKUP($B73-IF(CompareVer="LY",1,0) &amp; $C73 &amp;BQ$4,tblForecast,BQ$2,FALSE),0)</f>
        <v>105</v>
      </c>
      <c r="BR73" s="227">
        <f t="shared" si="43"/>
        <v>0</v>
      </c>
      <c r="BS73" s="231">
        <f t="shared" si="22"/>
        <v>-40</v>
      </c>
      <c r="BT73" s="234">
        <f t="shared" ref="BT73:BU76" si="465">IFERROR(VLOOKUP($B73 &amp; $C73&amp;BT$4,tblForecast,BT$2,FALSE),0)</f>
        <v>0</v>
      </c>
      <c r="BU73" s="231">
        <f t="shared" si="465"/>
        <v>0</v>
      </c>
      <c r="BV73" s="231">
        <f>IF($A73="a",IFERROR(VLOOKUP($B73 &amp; $C73&amp;BV$4,tblForecast,BV$2,FALSE),0),BT73+BU73)</f>
        <v>0</v>
      </c>
      <c r="BW73" s="231">
        <f t="shared" ref="BW73:BX76" si="466">IFERROR(VLOOKUP($B73 &amp; $C73&amp;BW$4,tblForecast,BW$2,FALSE),0)</f>
        <v>0</v>
      </c>
      <c r="BX73" s="231">
        <f t="shared" si="466"/>
        <v>0</v>
      </c>
      <c r="BY73" s="193">
        <f>IFERROR(VLOOKUP($B73-IF(CompareVer="LY",1,0) &amp; $C73 &amp;BY$4,tblForecast,BY$2,FALSE),0)</f>
        <v>0</v>
      </c>
      <c r="BZ73" s="194">
        <f t="shared" si="25"/>
        <v>0</v>
      </c>
      <c r="CA73" s="337">
        <f t="shared" ref="CA73:CB76" si="467">IFERROR(VLOOKUP($B73 &amp; $C73&amp;CA$4,tblForecast,CA$2,FALSE),0)</f>
        <v>0</v>
      </c>
      <c r="CB73" s="46">
        <f t="shared" si="467"/>
        <v>0</v>
      </c>
      <c r="CC73" s="46">
        <f>IF($A73="a",IFERROR(VLOOKUP($B73 &amp; $C73&amp;CC$4,tblForecast,CC$2,FALSE),0),CA73+CB73)</f>
        <v>0</v>
      </c>
      <c r="CD73" s="46">
        <f t="shared" ref="CD73:CE76" si="468">IFERROR(VLOOKUP($B73 &amp; $C73&amp;CD$4,tblForecast,CD$2,FALSE),0)</f>
        <v>0</v>
      </c>
      <c r="CE73" s="46">
        <f t="shared" si="468"/>
        <v>0</v>
      </c>
      <c r="CF73" s="46">
        <f>IFERROR(VLOOKUP($B73-IF(CompareVer="LY",1,0) &amp; $C73 &amp;CF$4,tblForecast,CF$2,FALSE),0)</f>
        <v>0</v>
      </c>
      <c r="CG73" s="194">
        <f t="shared" si="28"/>
        <v>0</v>
      </c>
      <c r="CH73" s="337">
        <f t="shared" ref="CH73:CI76" si="469">IFERROR(VLOOKUP($B73 &amp; $C73&amp;CH$4,tblForecast,CH$2,FALSE),0)</f>
        <v>0</v>
      </c>
      <c r="CI73" s="46">
        <f t="shared" si="469"/>
        <v>0</v>
      </c>
      <c r="CJ73" s="46">
        <f>IF($A73="a",IFERROR(VLOOKUP($B73 &amp; $C73&amp;CJ$4,tblForecast,CJ$2,FALSE),0),CH73+CI73)</f>
        <v>0</v>
      </c>
      <c r="CK73" s="46">
        <f t="shared" ref="CK73:CL76" si="470">IFERROR(VLOOKUP($B73 &amp; $C73&amp;CK$4,tblForecast,CK$2,FALSE),0)</f>
        <v>0</v>
      </c>
      <c r="CL73" s="46">
        <f t="shared" si="470"/>
        <v>0</v>
      </c>
      <c r="CM73" s="46">
        <f>IFERROR(VLOOKUP($B73-IF(CompareVer="LY",1,0) &amp; $C73 &amp;CM$4,tblForecast,CM$2,FALSE),0)</f>
        <v>0</v>
      </c>
      <c r="CN73" s="194">
        <f t="shared" si="31"/>
        <v>0</v>
      </c>
      <c r="CO73" s="178">
        <f t="shared" si="46"/>
        <v>0</v>
      </c>
      <c r="CP73" s="223">
        <f t="shared" si="46"/>
        <v>0</v>
      </c>
      <c r="CQ73" s="194">
        <f t="shared" si="33"/>
        <v>0</v>
      </c>
      <c r="CR73" s="178">
        <f t="shared" si="44"/>
        <v>0</v>
      </c>
      <c r="CS73" s="223">
        <f t="shared" si="34"/>
        <v>0</v>
      </c>
      <c r="CT73" s="194">
        <f t="shared" si="47"/>
        <v>0</v>
      </c>
      <c r="CU73" s="44"/>
      <c r="CW73" s="102">
        <f>IF(CW72+BV73+BL73-Q73&lt;0,0,CW72+BV73+BL73-Q73)</f>
        <v>0</v>
      </c>
      <c r="CX73" s="48">
        <f>IFERROR(VLOOKUP($B73-IF(CompareVer="LY",1,0) &amp; $C73 &amp;CX$4,tblForecast,CX$2,FALSE),0)</f>
        <v>15048</v>
      </c>
      <c r="CY73" s="47">
        <f t="shared" si="36"/>
        <v>-1</v>
      </c>
      <c r="CZ73" s="278">
        <f>IFERROR(VLOOKUP(Brand&amp;Channel&amp;Country&amp;$C73,tblDiscount,6,FALSE),0)</f>
        <v>0.8</v>
      </c>
      <c r="DA73" s="279">
        <f>(1-CZ73)*DB73</f>
        <v>5.0039999999999987</v>
      </c>
      <c r="DB73" s="279">
        <f>IFERROR(VLOOKUP(Brand&amp;Country &amp; Channel &amp;FC,tblFCSettings,8,FALSE),0)</f>
        <v>25.02</v>
      </c>
      <c r="DC73" s="280">
        <f>IFERROR(VLOOKUP(Brand&amp;Country &amp; Channel &amp;FC,tblFCSettings,9,FALSE),0)</f>
        <v>4.16</v>
      </c>
    </row>
    <row r="74" spans="2:107" x14ac:dyDescent="0.25">
      <c r="B74" s="44">
        <v>2018</v>
      </c>
      <c r="C74" s="88">
        <v>50</v>
      </c>
      <c r="D74" s="51">
        <f t="shared" ref="D74:D76" si="471">G74*H74</f>
        <v>-3542836.3592179995</v>
      </c>
      <c r="E74" s="202">
        <f t="shared" ref="E74:E76" si="472">IFERROR(D74*F74,0)</f>
        <v>-3075141.5149379997</v>
      </c>
      <c r="F74" s="182">
        <f t="shared" si="45"/>
        <v>0.86798858404421675</v>
      </c>
      <c r="G74" s="176">
        <f t="shared" si="453"/>
        <v>-156071</v>
      </c>
      <c r="H74" s="203">
        <f t="shared" si="453"/>
        <v>22.700157999999998</v>
      </c>
      <c r="I74" s="203">
        <f t="shared" si="453"/>
        <v>2.99668</v>
      </c>
      <c r="J74" s="176">
        <f>IFERROR(VLOOKUP($B74 &amp; $C74&amp;J$4&amp;$A74,tblForecast,J$2,FALSE),0)+IFERROR(VLOOKUP($B74 &amp; $C74 &amp; J$4 &amp; $A74,tblForecast,J$2+1,FALSE),0)</f>
        <v>205931</v>
      </c>
      <c r="K74" s="300">
        <f>IFERROR(VLOOKUP($B74 &amp; $C74&amp;K$4&amp;$A74,tblForecast,K$2,FALSE),0)+IFERROR(VLOOKUP($B74 &amp; $C74&amp;K$4&amp;$A74,tblForecast,K$2+1,FALSE),0)</f>
        <v>0</v>
      </c>
      <c r="L74" s="90">
        <f t="shared" si="454"/>
        <v>15835</v>
      </c>
      <c r="M74" s="90">
        <f t="shared" si="454"/>
        <v>15835</v>
      </c>
      <c r="N74" s="46">
        <f t="shared" si="454"/>
        <v>0</v>
      </c>
      <c r="O74" s="46">
        <f t="shared" si="454"/>
        <v>800.0150000000001</v>
      </c>
      <c r="P74" s="47">
        <f t="shared" si="39"/>
        <v>18.793378874146107</v>
      </c>
      <c r="Q74" s="342">
        <f t="shared" ref="Q74:Q76" si="473">ROUND(IF(BA73-(Q73*IF(W74=0,X74,W74))&lt;0,BA73,Q73*IF(W74=0,X74,W74)),0)</f>
        <v>3167</v>
      </c>
      <c r="R74" s="240">
        <f t="shared" si="455"/>
        <v>3167</v>
      </c>
      <c r="S74" s="240">
        <f t="shared" si="455"/>
        <v>0</v>
      </c>
      <c r="T74" s="240">
        <f>IFERROR(VLOOKUP($B74-IF(CompareVer="LY",1,0) &amp; $C74 &amp;T$4,tblForecast,T$2,FALSE),0)</f>
        <v>305</v>
      </c>
      <c r="U74" s="91">
        <f t="shared" si="7"/>
        <v>9.3836065573770497</v>
      </c>
      <c r="V74" s="249">
        <f t="shared" ref="V74:W76" si="474">IFERROR(IF(Q73&lt;&gt;0,Q74/Q73,0),0)</f>
        <v>0.26363106634479316</v>
      </c>
      <c r="W74" s="334">
        <f t="shared" si="474"/>
        <v>0.26363106634479316</v>
      </c>
      <c r="X74" s="250">
        <f t="shared" ref="X74:X76" si="475">IFERROR(IF(T73&lt;&gt;0,T74/T73,0),0)</f>
        <v>0.12577319587628866</v>
      </c>
      <c r="Y74" s="51">
        <f t="shared" si="456"/>
        <v>2660.2799999999988</v>
      </c>
      <c r="Z74" s="46">
        <f t="shared" si="456"/>
        <v>2660.2799999999988</v>
      </c>
      <c r="AA74" s="46">
        <f t="shared" si="456"/>
        <v>0</v>
      </c>
      <c r="AB74" s="46">
        <f t="shared" si="456"/>
        <v>-338.97699999999986</v>
      </c>
      <c r="AC74" s="91">
        <f t="shared" si="9"/>
        <v>-8.8479660861946385</v>
      </c>
      <c r="AD74" s="75">
        <f>IF(AM74&lt;&gt;0,1-AR74/AM74,0)</f>
        <v>0.16799999999999993</v>
      </c>
      <c r="AE74" s="93">
        <f t="shared" si="457"/>
        <v>0.16799999999999993</v>
      </c>
      <c r="AF74" s="93">
        <f t="shared" si="457"/>
        <v>0</v>
      </c>
      <c r="AG74" s="76">
        <f t="shared" si="457"/>
        <v>-0.42371330537552399</v>
      </c>
      <c r="AH74" s="73">
        <f>IF(IFERROR(VLOOKUP($B74 &amp; $C74&amp;AH$4,tblForecast,AH$2,FALSE),0)=0,DB74,IFERROR(VLOOKUP($B74 &amp; $C74&amp;AH$4,tblForecast,AH$2,FALSE),0))</f>
        <v>25.02</v>
      </c>
      <c r="AI74" s="94">
        <f t="shared" si="458"/>
        <v>25.02</v>
      </c>
      <c r="AJ74" s="94">
        <f t="shared" si="458"/>
        <v>0</v>
      </c>
      <c r="AK74" s="49">
        <f>IFERROR(VLOOKUP($B74-IF(CompareVer="LY",1,0) &amp; $C74 &amp;AK$4,tblForecast,AK$2,FALSE),0)</f>
        <v>21.7668</v>
      </c>
      <c r="AL74" s="47">
        <f t="shared" si="387"/>
        <v>0.14945697116709855</v>
      </c>
      <c r="AM74" s="73">
        <f>IF(IFERROR(VLOOKUP($B74 &amp; $C74&amp;AM$4,tblForecast,AM$2,FALSE),0)=0,DA74,IFERROR(VLOOKUP($B74 &amp; $C74&amp;AM$4,tblForecast,AM$2,FALSE),0))</f>
        <v>5</v>
      </c>
      <c r="AN74" s="94">
        <f t="shared" si="459"/>
        <v>5</v>
      </c>
      <c r="AO74" s="94">
        <f t="shared" si="459"/>
        <v>0</v>
      </c>
      <c r="AP74" s="49">
        <f>IFERROR(VLOOKUP($B74-IF(CompareVer="LY",1,0) &amp; $C74 &amp;AP$4,tblForecast,AP$2,FALSE),0)</f>
        <v>2.6230000000000002</v>
      </c>
      <c r="AQ74" s="47">
        <f t="shared" si="14"/>
        <v>0.90621425848265336</v>
      </c>
      <c r="AR74" s="73">
        <f>IF(IFERROR(VLOOKUP($B74 &amp; $C74&amp;AR$4,tblForecast,AR$2,FALSE),0)=0,DC74,IFERROR(VLOOKUP($B74 &amp; $C74&amp;AR$4,tblForecast,AR$2,FALSE),0))</f>
        <v>4.16</v>
      </c>
      <c r="AS74" s="94">
        <f t="shared" si="460"/>
        <v>4.16</v>
      </c>
      <c r="AT74" s="94">
        <f t="shared" si="460"/>
        <v>0</v>
      </c>
      <c r="AU74" s="49">
        <f>IFERROR(VLOOKUP($B74-IF(CompareVer="LY",1,0) &amp; $C74 &amp;AU$4,tblForecast,AU$2,FALSE),0)</f>
        <v>3.7343999999999999</v>
      </c>
      <c r="AV74" s="47">
        <f t="shared" si="16"/>
        <v>0.11396743787489294</v>
      </c>
      <c r="AW74" s="191">
        <f t="shared" si="461"/>
        <v>0.8001598721023182</v>
      </c>
      <c r="AX74" s="192">
        <f t="shared" si="461"/>
        <v>0.8001598721023182</v>
      </c>
      <c r="AY74" s="192">
        <f t="shared" si="461"/>
        <v>0</v>
      </c>
      <c r="AZ74" s="192">
        <f t="shared" si="461"/>
        <v>0.879495378282522</v>
      </c>
      <c r="BA74" s="235">
        <f>IF(BA73+BV74+BL74+BR74-Q74&lt;0,0,BA73+BV74+BL74+BR74-Q74)</f>
        <v>63177</v>
      </c>
      <c r="BB74" s="231">
        <f>IF(IFERROR(VLOOKUP($B74 &amp; $C74&amp;BB$4,tblForecast,BB$2,FALSE),0)=0,BA74,IFERROR(VLOOKUP($B74 &amp; $C74&amp;BB$4,tblForecast,BB$2,FALSE),0))</f>
        <v>63177</v>
      </c>
      <c r="BC74" s="231">
        <f>IFERROR(VLOOKUP($B74-IF(CompareVer="LY",1,0) &amp; $C74 &amp;BC$4,tblForecast,BC$2,FALSE),0)</f>
        <v>0</v>
      </c>
      <c r="BD74" s="231">
        <f t="shared" si="462"/>
        <v>15410</v>
      </c>
      <c r="BE74" s="194">
        <f t="shared" si="19"/>
        <v>3.0997404282933161</v>
      </c>
      <c r="BF74" s="231">
        <f>IFERROR(VLOOKUP($B74 &amp; $C74&amp;IF($A74="a",BG$4,BF$4),tblForecast,BF$2,FALSE),0)</f>
        <v>0</v>
      </c>
      <c r="BG74" s="228">
        <f>IFERROR(VLOOKUP($B74-IF(CompareVer="LY",1,0) &amp; $C74 &amp;BG$4,tblForecast,BG$2,FALSE),0)</f>
        <v>716</v>
      </c>
      <c r="BH74" s="179">
        <f>IF(Q74&lt;&gt;0,BA74/Q74,0)</f>
        <v>19.948531733501735</v>
      </c>
      <c r="BI74" s="183">
        <f>IF(T74&lt;&gt;0,BD74/T74,0)</f>
        <v>50.524590163934427</v>
      </c>
      <c r="BJ74" s="195">
        <f t="shared" si="463"/>
        <v>5.0129002643367046E-2</v>
      </c>
      <c r="BK74" s="50">
        <f t="shared" si="464"/>
        <v>1.9792342634652824E-2</v>
      </c>
      <c r="BL74" s="234">
        <f>IFERROR(VLOOKUP($B74 &amp; $C74&amp;IF($A74="a",BM$4,BL$4),tblForecast,BL$2,FALSE),0)</f>
        <v>-10500</v>
      </c>
      <c r="BM74" s="228">
        <f>IFERROR(VLOOKUP($B74-IF(CompareVer="LY",1,0) &amp; $C74 &amp;BM$4,tblForecast,BM$2,FALSE),0)</f>
        <v>-233</v>
      </c>
      <c r="BN74" s="234">
        <f>IFERROR(VLOOKUP($B74 &amp; $C74&amp;IF($A74="a",BO$4,BN$4),tblForecast,BN$2,FALSE),0)</f>
        <v>0</v>
      </c>
      <c r="BO74" s="228">
        <f>IFERROR(VLOOKUP($B74-IF(CompareVer="LY",1,0) &amp; $C74 &amp;BO$4,tblForecast,BO$2,FALSE),0)</f>
        <v>0</v>
      </c>
      <c r="BP74" s="234">
        <f>IFERROR(VLOOKUP($B74 &amp; $C74&amp;IF($A74="a",BQ$4,BP$4),tblForecast,BP$2,FALSE),0)</f>
        <v>0</v>
      </c>
      <c r="BQ74" s="228">
        <f>IFERROR(VLOOKUP($B74-IF(CompareVer="LY",1,0) &amp; $C74 &amp;BQ$4,tblForecast,BQ$2,FALSE),0)</f>
        <v>-2</v>
      </c>
      <c r="BR74" s="227">
        <f t="shared" si="43"/>
        <v>0</v>
      </c>
      <c r="BS74" s="231">
        <f t="shared" si="22"/>
        <v>2</v>
      </c>
      <c r="BT74" s="234">
        <f t="shared" si="465"/>
        <v>0</v>
      </c>
      <c r="BU74" s="231">
        <f t="shared" si="465"/>
        <v>0</v>
      </c>
      <c r="BV74" s="231">
        <f>IF($A74="a",IFERROR(VLOOKUP($B74 &amp; $C74&amp;BV$4,tblForecast,BV$2,FALSE),0),BT74+BU74)</f>
        <v>0</v>
      </c>
      <c r="BW74" s="231">
        <f t="shared" si="466"/>
        <v>0</v>
      </c>
      <c r="BX74" s="231">
        <f t="shared" si="466"/>
        <v>0</v>
      </c>
      <c r="BY74" s="193">
        <f>IFERROR(VLOOKUP($B74-IF(CompareVer="LY",1,0) &amp; $C74 &amp;BY$4,tblForecast,BY$2,FALSE),0)</f>
        <v>0</v>
      </c>
      <c r="BZ74" s="194">
        <f t="shared" si="25"/>
        <v>0</v>
      </c>
      <c r="CA74" s="337">
        <f t="shared" si="467"/>
        <v>0</v>
      </c>
      <c r="CB74" s="46">
        <f t="shared" si="467"/>
        <v>0</v>
      </c>
      <c r="CC74" s="46">
        <f>IF($A74="a",IFERROR(VLOOKUP($B74 &amp; $C74&amp;CC$4,tblForecast,CC$2,FALSE),0),CA74+CB74)</f>
        <v>0</v>
      </c>
      <c r="CD74" s="46">
        <f t="shared" si="468"/>
        <v>0</v>
      </c>
      <c r="CE74" s="46">
        <f t="shared" si="468"/>
        <v>0</v>
      </c>
      <c r="CF74" s="46">
        <f>IFERROR(VLOOKUP($B74-IF(CompareVer="LY",1,0) &amp; $C74 &amp;CF$4,tblForecast,CF$2,FALSE),0)</f>
        <v>0</v>
      </c>
      <c r="CG74" s="194">
        <f t="shared" si="28"/>
        <v>0</v>
      </c>
      <c r="CH74" s="337">
        <f t="shared" si="469"/>
        <v>0</v>
      </c>
      <c r="CI74" s="46">
        <f t="shared" si="469"/>
        <v>0</v>
      </c>
      <c r="CJ74" s="46">
        <f>IF($A74="a",IFERROR(VLOOKUP($B74 &amp; $C74&amp;CJ$4,tblForecast,CJ$2,FALSE),0),CH74+CI74)</f>
        <v>0</v>
      </c>
      <c r="CK74" s="46">
        <f t="shared" si="470"/>
        <v>0</v>
      </c>
      <c r="CL74" s="46">
        <f t="shared" si="470"/>
        <v>0</v>
      </c>
      <c r="CM74" s="46">
        <f>IFERROR(VLOOKUP($B74-IF(CompareVer="LY",1,0) &amp; $C74 &amp;CM$4,tblForecast,CM$2,FALSE),0)</f>
        <v>0</v>
      </c>
      <c r="CN74" s="194">
        <f t="shared" si="31"/>
        <v>0</v>
      </c>
      <c r="CO74" s="178">
        <f t="shared" si="46"/>
        <v>0</v>
      </c>
      <c r="CP74" s="223">
        <f t="shared" si="46"/>
        <v>0</v>
      </c>
      <c r="CQ74" s="194">
        <f t="shared" si="33"/>
        <v>0</v>
      </c>
      <c r="CR74" s="178">
        <f t="shared" si="44"/>
        <v>0</v>
      </c>
      <c r="CS74" s="223">
        <f t="shared" si="34"/>
        <v>0</v>
      </c>
      <c r="CT74" s="194">
        <f t="shared" si="47"/>
        <v>0</v>
      </c>
      <c r="CU74" s="44"/>
      <c r="CW74" s="102">
        <f>IF(CW73+BV74+BL74-Q74&lt;0,0,CW73+BV74+BL74-Q74)</f>
        <v>0</v>
      </c>
      <c r="CX74" s="48">
        <f>IFERROR(VLOOKUP($B74-IF(CompareVer="LY",1,0) &amp; $C74 &amp;CX$4,tblForecast,CX$2,FALSE),0)</f>
        <v>14694</v>
      </c>
      <c r="CY74" s="47">
        <f t="shared" si="36"/>
        <v>-1</v>
      </c>
      <c r="CZ74" s="278">
        <f>IFERROR(VLOOKUP(Brand&amp;Channel&amp;Country&amp;$C74,tblDiscount,6,FALSE),0)</f>
        <v>0.8</v>
      </c>
      <c r="DA74" s="279">
        <f>(1-CZ74)*DB74</f>
        <v>5.0039999999999987</v>
      </c>
      <c r="DB74" s="279">
        <f>IFERROR(VLOOKUP(Brand&amp;Country &amp; Channel &amp;FC,tblFCSettings,8,FALSE),0)</f>
        <v>25.02</v>
      </c>
      <c r="DC74" s="280">
        <f>IFERROR(VLOOKUP(Brand&amp;Country &amp; Channel &amp;FC,tblFCSettings,9,FALSE),0)</f>
        <v>4.16</v>
      </c>
    </row>
    <row r="75" spans="2:107" x14ac:dyDescent="0.25">
      <c r="B75" s="44">
        <v>2018</v>
      </c>
      <c r="C75" s="88">
        <v>51</v>
      </c>
      <c r="D75" s="51">
        <f t="shared" si="471"/>
        <v>-6431161.4561999999</v>
      </c>
      <c r="E75" s="202">
        <f t="shared" si="472"/>
        <v>-5471913.9932999993</v>
      </c>
      <c r="F75" s="182">
        <f t="shared" si="45"/>
        <v>0.85084382200119824</v>
      </c>
      <c r="G75" s="176">
        <f t="shared" si="453"/>
        <v>-279420</v>
      </c>
      <c r="H75" s="203">
        <f t="shared" si="453"/>
        <v>23.016110000000001</v>
      </c>
      <c r="I75" s="203">
        <f t="shared" si="453"/>
        <v>3.432995</v>
      </c>
      <c r="J75" s="176">
        <f>IFERROR(VLOOKUP($B75 &amp; $C75&amp;J$4&amp;$A75,tblForecast,J$2,FALSE),0)+IFERROR(VLOOKUP($B75 &amp; $C75 &amp; J$4 &amp; $A75,tblForecast,J$2+1,FALSE),0)</f>
        <v>195240</v>
      </c>
      <c r="K75" s="300">
        <f>IFERROR(VLOOKUP($B75 &amp; $C75&amp;K$4&amp;$A75,tblForecast,K$2,FALSE),0)+IFERROR(VLOOKUP($B75 &amp; $C75&amp;K$4&amp;$A75,tblForecast,K$2+1,FALSE),0)</f>
        <v>0</v>
      </c>
      <c r="L75" s="90">
        <f t="shared" si="454"/>
        <v>25515</v>
      </c>
      <c r="M75" s="90">
        <f t="shared" si="454"/>
        <v>25515</v>
      </c>
      <c r="N75" s="46">
        <f t="shared" si="454"/>
        <v>0</v>
      </c>
      <c r="O75" s="46">
        <f t="shared" si="454"/>
        <v>1021.994</v>
      </c>
      <c r="P75" s="47">
        <f t="shared" si="39"/>
        <v>23.965899995498994</v>
      </c>
      <c r="Q75" s="342">
        <f t="shared" si="473"/>
        <v>5103</v>
      </c>
      <c r="R75" s="240">
        <f t="shared" si="455"/>
        <v>5103</v>
      </c>
      <c r="S75" s="240">
        <f t="shared" si="455"/>
        <v>0</v>
      </c>
      <c r="T75" s="240">
        <f>IFERROR(VLOOKUP($B75-IF(CompareVer="LY",1,0) &amp; $C75 &amp;T$4,tblForecast,T$2,FALSE),0)</f>
        <v>305</v>
      </c>
      <c r="U75" s="91">
        <f t="shared" ref="U75:U96" si="476">IFERROR(Q75/T75-1,)</f>
        <v>15.731147540983606</v>
      </c>
      <c r="V75" s="249">
        <f t="shared" si="474"/>
        <v>1.6113040732554469</v>
      </c>
      <c r="W75" s="334">
        <f t="shared" si="474"/>
        <v>1.6113040732554469</v>
      </c>
      <c r="X75" s="250">
        <f t="shared" si="475"/>
        <v>1</v>
      </c>
      <c r="Y75" s="51">
        <f t="shared" si="456"/>
        <v>4286.5199999999977</v>
      </c>
      <c r="Z75" s="46">
        <f t="shared" si="456"/>
        <v>4286.5199999999977</v>
      </c>
      <c r="AA75" s="46">
        <f t="shared" si="456"/>
        <v>0</v>
      </c>
      <c r="AB75" s="46">
        <f t="shared" si="456"/>
        <v>-90.005499999999927</v>
      </c>
      <c r="AC75" s="91">
        <f t="shared" ref="AC75:AC96" si="477">IFERROR(Y75/AB75-1,)</f>
        <v>-48.625089577859143</v>
      </c>
      <c r="AD75" s="75">
        <f>IF(AM75&lt;&gt;0,1-AR75/AM75,0)</f>
        <v>0.16799999999999993</v>
      </c>
      <c r="AE75" s="93">
        <f t="shared" si="457"/>
        <v>0.16799999999999993</v>
      </c>
      <c r="AF75" s="93">
        <f t="shared" si="457"/>
        <v>0</v>
      </c>
      <c r="AG75" s="76">
        <f t="shared" si="457"/>
        <v>-8.8068520950220774E-2</v>
      </c>
      <c r="AH75" s="73">
        <f>IF(IFERROR(VLOOKUP($B75 &amp; $C75&amp;AH$4,tblForecast,AH$2,FALSE),0)=0,DB75,IFERROR(VLOOKUP($B75 &amp; $C75&amp;AH$4,tblForecast,AH$2,FALSE),0))</f>
        <v>25.02</v>
      </c>
      <c r="AI75" s="94">
        <f t="shared" si="458"/>
        <v>25.02</v>
      </c>
      <c r="AJ75" s="94">
        <f t="shared" si="458"/>
        <v>0</v>
      </c>
      <c r="AK75" s="49">
        <f>IFERROR(VLOOKUP($B75-IF(CompareVer="LY",1,0) &amp; $C75 &amp;AK$4,tblForecast,AK$2,FALSE),0)</f>
        <v>22.520399999999999</v>
      </c>
      <c r="AL75" s="47">
        <f t="shared" si="387"/>
        <v>0.11099269995204364</v>
      </c>
      <c r="AM75" s="73">
        <f>IF(IFERROR(VLOOKUP($B75 &amp; $C75&amp;AM$4,tblForecast,AM$2,FALSE),0)=0,DA75,IFERROR(VLOOKUP($B75 &amp; $C75&amp;AM$4,tblForecast,AM$2,FALSE),0))</f>
        <v>5</v>
      </c>
      <c r="AN75" s="94">
        <f t="shared" si="459"/>
        <v>5</v>
      </c>
      <c r="AO75" s="94">
        <f t="shared" si="459"/>
        <v>0</v>
      </c>
      <c r="AP75" s="49">
        <f>IFERROR(VLOOKUP($B75-IF(CompareVer="LY",1,0) &amp; $C75 &amp;AP$4,tblForecast,AP$2,FALSE),0)</f>
        <v>3.3508</v>
      </c>
      <c r="AQ75" s="47">
        <f t="shared" ref="AQ75:AQ96" si="478">IFERROR(AM75/AP75-1,)</f>
        <v>0.49218097170824882</v>
      </c>
      <c r="AR75" s="73">
        <f>IF(IFERROR(VLOOKUP($B75 &amp; $C75&amp;AR$4,tblForecast,AR$2,FALSE),0)=0,DC75,IFERROR(VLOOKUP($B75 &amp; $C75&amp;AR$4,tblForecast,AR$2,FALSE),0))</f>
        <v>4.16</v>
      </c>
      <c r="AS75" s="94">
        <f t="shared" si="460"/>
        <v>4.16</v>
      </c>
      <c r="AT75" s="94">
        <f t="shared" si="460"/>
        <v>0</v>
      </c>
      <c r="AU75" s="49">
        <f>IFERROR(VLOOKUP($B75-IF(CompareVer="LY",1,0) &amp; $C75 &amp;AU$4,tblForecast,AU$2,FALSE),0)</f>
        <v>3.6459000000000001</v>
      </c>
      <c r="AV75" s="47">
        <f t="shared" ref="AV75:AV96" si="479">IFERROR(AR75/AU75-1,)</f>
        <v>0.14100770728763812</v>
      </c>
      <c r="AW75" s="191">
        <f t="shared" si="461"/>
        <v>0.8001598721023182</v>
      </c>
      <c r="AX75" s="192">
        <f t="shared" si="461"/>
        <v>0.8001598721023182</v>
      </c>
      <c r="AY75" s="192">
        <f t="shared" si="461"/>
        <v>0</v>
      </c>
      <c r="AZ75" s="192">
        <f t="shared" si="461"/>
        <v>0.85121045807356888</v>
      </c>
      <c r="BA75" s="235">
        <f>IF(BA74+BV75+BL75+BR75-Q75&lt;0,0,BA74+BV75+BL75+BR75-Q75)</f>
        <v>58074</v>
      </c>
      <c r="BB75" s="231">
        <f>IF(IFERROR(VLOOKUP($B75 &amp; $C75&amp;BB$4,tblForecast,BB$2,FALSE),0)=0,BA75,IFERROR(VLOOKUP($B75 &amp; $C75&amp;BB$4,tblForecast,BB$2,FALSE),0))</f>
        <v>58074</v>
      </c>
      <c r="BC75" s="231">
        <f>IFERROR(VLOOKUP($B75-IF(CompareVer="LY",1,0) &amp; $C75 &amp;BC$4,tblForecast,BC$2,FALSE),0)</f>
        <v>0</v>
      </c>
      <c r="BD75" s="231">
        <f t="shared" si="462"/>
        <v>6774</v>
      </c>
      <c r="BE75" s="194">
        <f t="shared" ref="BE75:BE96" si="480">IFERROR(BA75/BD75-1,)</f>
        <v>7.5730735163861826</v>
      </c>
      <c r="BF75" s="231">
        <f>IFERROR(VLOOKUP($B75 &amp; $C75&amp;IF($A75="a",BG$4,BF$4),tblForecast,BF$2,FALSE),0)</f>
        <v>0</v>
      </c>
      <c r="BG75" s="228">
        <f>IFERROR(VLOOKUP($B75-IF(CompareVer="LY",1,0) &amp; $C75 &amp;BG$4,tblForecast,BG$2,FALSE),0)</f>
        <v>716</v>
      </c>
      <c r="BH75" s="179">
        <f>IF(Q75&lt;&gt;0,BA75/Q75,0)</f>
        <v>11.380364491475603</v>
      </c>
      <c r="BI75" s="183">
        <f>IF(T75&lt;&gt;0,BD75/T75,0)</f>
        <v>22.209836065573771</v>
      </c>
      <c r="BJ75" s="195">
        <f t="shared" si="463"/>
        <v>8.787064779419361E-2</v>
      </c>
      <c r="BK75" s="50">
        <f t="shared" si="464"/>
        <v>4.5025095955122531E-2</v>
      </c>
      <c r="BL75" s="234">
        <f>IFERROR(VLOOKUP($B75 &amp; $C75&amp;IF($A75="a",BM$4,BL$4),tblForecast,BL$2,FALSE),0)</f>
        <v>0</v>
      </c>
      <c r="BM75" s="228">
        <f>IFERROR(VLOOKUP($B75-IF(CompareVer="LY",1,0) &amp; $C75 &amp;BM$4,tblForecast,BM$2,FALSE),0)</f>
        <v>-8327</v>
      </c>
      <c r="BN75" s="234">
        <f>IFERROR(VLOOKUP($B75 &amp; $C75&amp;IF($A75="a",BO$4,BN$4),tblForecast,BN$2,FALSE),0)</f>
        <v>0</v>
      </c>
      <c r="BO75" s="228">
        <f>IFERROR(VLOOKUP($B75-IF(CompareVer="LY",1,0) &amp; $C75 &amp;BO$4,tblForecast,BO$2,FALSE),0)</f>
        <v>0</v>
      </c>
      <c r="BP75" s="234">
        <f>IFERROR(VLOOKUP($B75 &amp; $C75&amp;IF($A75="a",BQ$4,BP$4),tblForecast,BP$2,FALSE),0)</f>
        <v>0</v>
      </c>
      <c r="BQ75" s="228">
        <f>IFERROR(VLOOKUP($B75-IF(CompareVer="LY",1,0) &amp; $C75 &amp;BQ$4,tblForecast,BQ$2,FALSE),0)</f>
        <v>3</v>
      </c>
      <c r="BR75" s="227">
        <f t="shared" si="43"/>
        <v>0</v>
      </c>
      <c r="BS75" s="231">
        <f t="shared" si="43"/>
        <v>-3</v>
      </c>
      <c r="BT75" s="234">
        <f t="shared" si="465"/>
        <v>0</v>
      </c>
      <c r="BU75" s="231">
        <f t="shared" si="465"/>
        <v>0</v>
      </c>
      <c r="BV75" s="231">
        <f>IF($A75="a",IFERROR(VLOOKUP($B75 &amp; $C75&amp;BV$4,tblForecast,BV$2,FALSE),0),BT75+BU75)</f>
        <v>0</v>
      </c>
      <c r="BW75" s="231">
        <f t="shared" si="466"/>
        <v>0</v>
      </c>
      <c r="BX75" s="231">
        <f t="shared" si="466"/>
        <v>0</v>
      </c>
      <c r="BY75" s="193">
        <f>IFERROR(VLOOKUP($B75-IF(CompareVer="LY",1,0) &amp; $C75 &amp;BY$4,tblForecast,BY$2,FALSE),0)</f>
        <v>0</v>
      </c>
      <c r="BZ75" s="194">
        <f t="shared" ref="BZ75:BZ96" si="481">IFERROR(BV75/BY75-1,)</f>
        <v>0</v>
      </c>
      <c r="CA75" s="337">
        <f t="shared" si="467"/>
        <v>0</v>
      </c>
      <c r="CB75" s="46">
        <f t="shared" si="467"/>
        <v>0</v>
      </c>
      <c r="CC75" s="46">
        <f>IF($A75="a",IFERROR(VLOOKUP($B75 &amp; $C75&amp;CC$4,tblForecast,CC$2,FALSE),0),CA75+CB75)</f>
        <v>0</v>
      </c>
      <c r="CD75" s="46">
        <f t="shared" si="468"/>
        <v>0</v>
      </c>
      <c r="CE75" s="46">
        <f t="shared" si="468"/>
        <v>0</v>
      </c>
      <c r="CF75" s="46">
        <f>IFERROR(VLOOKUP($B75-IF(CompareVer="LY",1,0) &amp; $C75 &amp;CF$4,tblForecast,CF$2,FALSE),0)</f>
        <v>0</v>
      </c>
      <c r="CG75" s="194">
        <f t="shared" ref="CG75:CG96" si="482">IFERROR(CC75/CF75-1,)</f>
        <v>0</v>
      </c>
      <c r="CH75" s="337">
        <f t="shared" si="469"/>
        <v>0</v>
      </c>
      <c r="CI75" s="46">
        <f t="shared" si="469"/>
        <v>0</v>
      </c>
      <c r="CJ75" s="46">
        <f>IF($A75="a",IFERROR(VLOOKUP($B75 &amp; $C75&amp;CJ$4,tblForecast,CJ$2,FALSE),0),CH75+CI75)</f>
        <v>0</v>
      </c>
      <c r="CK75" s="46">
        <f t="shared" si="470"/>
        <v>0</v>
      </c>
      <c r="CL75" s="46">
        <f t="shared" si="470"/>
        <v>0</v>
      </c>
      <c r="CM75" s="46">
        <f>IFERROR(VLOOKUP($B75-IF(CompareVer="LY",1,0) &amp; $C75 &amp;CM$4,tblForecast,CM$2,FALSE),0)</f>
        <v>0</v>
      </c>
      <c r="CN75" s="194">
        <f t="shared" ref="CN75:CN96" si="483">IFERROR(CJ75/CM75-1,)</f>
        <v>0</v>
      </c>
      <c r="CO75" s="178">
        <f t="shared" si="46"/>
        <v>0</v>
      </c>
      <c r="CP75" s="223">
        <f t="shared" si="46"/>
        <v>0</v>
      </c>
      <c r="CQ75" s="194">
        <f t="shared" ref="CQ75:CQ96" si="484">IFERROR(CL75/CP75-1,)</f>
        <v>0</v>
      </c>
      <c r="CR75" s="178">
        <f t="shared" si="44"/>
        <v>0</v>
      </c>
      <c r="CS75" s="223">
        <f t="shared" si="44"/>
        <v>0</v>
      </c>
      <c r="CT75" s="194">
        <f t="shared" si="47"/>
        <v>0</v>
      </c>
      <c r="CU75" s="44"/>
      <c r="CW75" s="102">
        <f>IF(CW74+BV75+BL75-Q75&lt;0,0,CW74+BV75+BL75-Q75)</f>
        <v>0</v>
      </c>
      <c r="CX75" s="48">
        <f>IFERROR(VLOOKUP($B75-IF(CompareVer="LY",1,0) &amp; $C75 &amp;CX$4,tblForecast,CX$2,FALSE),0)</f>
        <v>6058</v>
      </c>
      <c r="CY75" s="47">
        <f>IFERROR(CW75/CX75-1,)</f>
        <v>-1</v>
      </c>
      <c r="CZ75" s="278">
        <f>IFERROR(VLOOKUP(Brand&amp;Channel&amp;Country&amp;$C75,tblDiscount,6,FALSE),0)</f>
        <v>0.8</v>
      </c>
      <c r="DA75" s="279">
        <f>(1-CZ75)*DB75</f>
        <v>5.0039999999999987</v>
      </c>
      <c r="DB75" s="279">
        <f>IFERROR(VLOOKUP(Brand&amp;Country &amp; Channel &amp;FC,tblFCSettings,8,FALSE),0)</f>
        <v>25.02</v>
      </c>
      <c r="DC75" s="280">
        <f>IFERROR(VLOOKUP(Brand&amp;Country &amp; Channel &amp;FC,tblFCSettings,9,FALSE),0)</f>
        <v>4.16</v>
      </c>
    </row>
    <row r="76" spans="2:107" ht="16.5" thickBot="1" x14ac:dyDescent="0.3">
      <c r="B76" s="44">
        <v>2018</v>
      </c>
      <c r="C76" s="88">
        <v>52</v>
      </c>
      <c r="D76" s="51">
        <f t="shared" si="471"/>
        <v>-4736840.738957</v>
      </c>
      <c r="E76" s="202">
        <f t="shared" si="472"/>
        <v>-4143096.3847849998</v>
      </c>
      <c r="F76" s="182">
        <f t="shared" si="45"/>
        <v>0.87465393351967835</v>
      </c>
      <c r="G76" s="176">
        <f t="shared" si="453"/>
        <v>-231997</v>
      </c>
      <c r="H76" s="203">
        <f t="shared" si="453"/>
        <v>20.417681000000002</v>
      </c>
      <c r="I76" s="203">
        <f t="shared" si="453"/>
        <v>2.5592760000000001</v>
      </c>
      <c r="J76" s="176">
        <f>IFERROR(VLOOKUP($B76 &amp; $C76&amp;J$4&amp;$A76,tblForecast,J$2,FALSE),0)+IFERROR(VLOOKUP($B76 &amp; $C76 &amp; J$4 &amp; $A76,tblForecast,J$2+1,FALSE),0)</f>
        <v>189867</v>
      </c>
      <c r="K76" s="300">
        <f>IFERROR(VLOOKUP($B76 &amp; $C76&amp;K$4&amp;$A76,tblForecast,K$2,FALSE),0)+IFERROR(VLOOKUP($B76 &amp; $C76&amp;K$4&amp;$A76,tblForecast,K$2+1,FALSE),0)</f>
        <v>0</v>
      </c>
      <c r="L76" s="90">
        <f t="shared" si="454"/>
        <v>6810</v>
      </c>
      <c r="M76" s="90">
        <f t="shared" si="454"/>
        <v>6810</v>
      </c>
      <c r="N76" s="46">
        <f t="shared" si="454"/>
        <v>0</v>
      </c>
      <c r="O76" s="46">
        <f t="shared" si="454"/>
        <v>740.00430000000006</v>
      </c>
      <c r="P76" s="47">
        <f t="shared" ref="P76:P96" si="485">IFERROR(L76/O76-1,)</f>
        <v>8.202649227849081</v>
      </c>
      <c r="Q76" s="342">
        <f t="shared" si="473"/>
        <v>1362</v>
      </c>
      <c r="R76" s="240">
        <f t="shared" si="455"/>
        <v>1362</v>
      </c>
      <c r="S76" s="240">
        <f t="shared" si="455"/>
        <v>0</v>
      </c>
      <c r="T76" s="240">
        <f>IFERROR(VLOOKUP($B76-IF(CompareVer="LY",1,0) &amp; $C76 &amp;T$4,tblForecast,T$2,FALSE),0)</f>
        <v>161</v>
      </c>
      <c r="U76" s="91">
        <f t="shared" si="476"/>
        <v>7.4596273291925463</v>
      </c>
      <c r="V76" s="249">
        <f t="shared" si="474"/>
        <v>0.26690182245737804</v>
      </c>
      <c r="W76" s="334">
        <f t="shared" si="474"/>
        <v>0.26690182245737804</v>
      </c>
      <c r="X76" s="250">
        <f t="shared" si="475"/>
        <v>0.52786885245901638</v>
      </c>
      <c r="Y76" s="51">
        <f t="shared" si="456"/>
        <v>1144.0799999999995</v>
      </c>
      <c r="Z76" s="46">
        <f t="shared" si="456"/>
        <v>1144.0799999999995</v>
      </c>
      <c r="AA76" s="46">
        <f t="shared" si="456"/>
        <v>0</v>
      </c>
      <c r="AB76" s="46">
        <f t="shared" si="456"/>
        <v>105.00420000000003</v>
      </c>
      <c r="AC76" s="91">
        <f t="shared" si="477"/>
        <v>9.8955641774328953</v>
      </c>
      <c r="AD76" s="75">
        <f>IF(AM76&lt;&gt;0,1-AR76/AM76,0)</f>
        <v>0.16799999999999993</v>
      </c>
      <c r="AE76" s="93">
        <f t="shared" si="457"/>
        <v>0.16799999999999993</v>
      </c>
      <c r="AF76" s="93">
        <f t="shared" si="457"/>
        <v>0</v>
      </c>
      <c r="AG76" s="76">
        <f t="shared" si="457"/>
        <v>0.14189674303243915</v>
      </c>
      <c r="AH76" s="73">
        <f>IF(IFERROR(VLOOKUP($B76 &amp; $C76&amp;AH$4,tblForecast,AH$2,FALSE),0)=0,DB76,IFERROR(VLOOKUP($B76 &amp; $C76&amp;AH$4,tblForecast,AH$2,FALSE),0))</f>
        <v>25.02</v>
      </c>
      <c r="AI76" s="94">
        <f t="shared" si="458"/>
        <v>25.02</v>
      </c>
      <c r="AJ76" s="94">
        <f t="shared" si="458"/>
        <v>0</v>
      </c>
      <c r="AK76" s="49">
        <f>IFERROR(VLOOKUP($B76-IF(CompareVer="LY",1,0) &amp; $C76 &amp;AK$4,tblForecast,AK$2,FALSE),0)</f>
        <v>24.236000000000001</v>
      </c>
      <c r="AL76" s="47">
        <f t="shared" si="387"/>
        <v>3.2348572371678541E-2</v>
      </c>
      <c r="AM76" s="73">
        <f>IF(IFERROR(VLOOKUP($B76 &amp; $C76&amp;AM$4,tblForecast,AM$2,FALSE),0)=0,DA76,IFERROR(VLOOKUP($B76 &amp; $C76&amp;AM$4,tblForecast,AM$2,FALSE),0))</f>
        <v>5</v>
      </c>
      <c r="AN76" s="94">
        <f t="shared" si="459"/>
        <v>5</v>
      </c>
      <c r="AO76" s="94">
        <f t="shared" si="459"/>
        <v>0</v>
      </c>
      <c r="AP76" s="49">
        <f>IFERROR(VLOOKUP($B76-IF(CompareVer="LY",1,0) &amp; $C76 &amp;AP$4,tblForecast,AP$2,FALSE),0)</f>
        <v>4.5963000000000003</v>
      </c>
      <c r="AQ76" s="47">
        <f t="shared" si="478"/>
        <v>8.7831516654700348E-2</v>
      </c>
      <c r="AR76" s="73">
        <f>IF(IFERROR(VLOOKUP($B76 &amp; $C76&amp;AR$4,tblForecast,AR$2,FALSE),0)=0,DC76,IFERROR(VLOOKUP($B76 &amp; $C76&amp;AR$4,tblForecast,AR$2,FALSE),0))</f>
        <v>4.16</v>
      </c>
      <c r="AS76" s="94">
        <f t="shared" si="460"/>
        <v>4.16</v>
      </c>
      <c r="AT76" s="94">
        <f t="shared" si="460"/>
        <v>0</v>
      </c>
      <c r="AU76" s="49">
        <f>IFERROR(VLOOKUP($B76-IF(CompareVer="LY",1,0) &amp; $C76 &amp;AU$4,tblForecast,AU$2,FALSE),0)</f>
        <v>3.9441000000000002</v>
      </c>
      <c r="AV76" s="47">
        <f t="shared" si="479"/>
        <v>5.4739991379529007E-2</v>
      </c>
      <c r="AW76" s="191">
        <f t="shared" si="461"/>
        <v>0.8001598721023182</v>
      </c>
      <c r="AX76" s="192">
        <f t="shared" si="461"/>
        <v>0.8001598721023182</v>
      </c>
      <c r="AY76" s="192">
        <f t="shared" si="461"/>
        <v>0</v>
      </c>
      <c r="AZ76" s="192">
        <f t="shared" si="461"/>
        <v>0.81035236837762004</v>
      </c>
      <c r="BA76" s="235">
        <f>IF(BA75+BV76+BL76+BR76-Q76&lt;0,0,BA75+BV76+BL76+BR76-Q76)</f>
        <v>56712</v>
      </c>
      <c r="BB76" s="231">
        <f>IF(IFERROR(VLOOKUP($B76 &amp; $C76&amp;BB$4,tblForecast,BB$2,FALSE),0)=0,BA76,IFERROR(VLOOKUP($B76 &amp; $C76&amp;BB$4,tblForecast,BB$2,FALSE),0))</f>
        <v>56712</v>
      </c>
      <c r="BC76" s="231">
        <f>IFERROR(VLOOKUP($B76-IF(CompareVer="LY",1,0) &amp; $C76 &amp;BC$4,tblForecast,BC$2,FALSE),0)</f>
        <v>0</v>
      </c>
      <c r="BD76" s="231">
        <f t="shared" si="462"/>
        <v>6455</v>
      </c>
      <c r="BE76" s="194">
        <f t="shared" si="480"/>
        <v>7.7857474825716491</v>
      </c>
      <c r="BF76" s="231">
        <f>IFERROR(VLOOKUP($B76 &amp; $C76&amp;IF($A76="a",BG$4,BF$4),tblForecast,BF$2,FALSE),0)</f>
        <v>0</v>
      </c>
      <c r="BG76" s="228">
        <f>IFERROR(VLOOKUP($B76-IF(CompareVer="LY",1,0) &amp; $C76 &amp;BG$4,tblForecast,BG$2,FALSE),0)</f>
        <v>716</v>
      </c>
      <c r="BH76" s="179">
        <f>IF(Q76&lt;&gt;0,BA76/Q76,0)</f>
        <v>41.63876651982379</v>
      </c>
      <c r="BI76" s="183">
        <f>IF(T76&lt;&gt;0,BD76/T76,0)</f>
        <v>40.093167701863351</v>
      </c>
      <c r="BJ76" s="195">
        <f t="shared" si="463"/>
        <v>2.4016081252644941E-2</v>
      </c>
      <c r="BK76" s="50">
        <f t="shared" si="464"/>
        <v>2.4941905499612702E-2</v>
      </c>
      <c r="BL76" s="234">
        <f>IFERROR(VLOOKUP($B76 &amp; $C76&amp;IF($A76="a",BM$4,BL$4),tblForecast,BL$2,FALSE),0)</f>
        <v>0</v>
      </c>
      <c r="BM76" s="228">
        <f>IFERROR(VLOOKUP($B76-IF(CompareVer="LY",1,0) &amp; $C76 &amp;BM$4,tblForecast,BM$2,FALSE),0)</f>
        <v>-159</v>
      </c>
      <c r="BN76" s="234">
        <f>IFERROR(VLOOKUP($B76 &amp; $C76&amp;IF($A76="a",BO$4,BN$4),tblForecast,BN$2,FALSE),0)</f>
        <v>0</v>
      </c>
      <c r="BO76" s="228">
        <f>IFERROR(VLOOKUP($B76-IF(CompareVer="LY",1,0) &amp; $C76 &amp;BO$4,tblForecast,BO$2,FALSE),0)</f>
        <v>0</v>
      </c>
      <c r="BP76" s="234">
        <f>IFERROR(VLOOKUP($B76 &amp; $C76&amp;IF($A76="a",BQ$4,BP$4),tblForecast,BP$2,FALSE),0)</f>
        <v>0</v>
      </c>
      <c r="BQ76" s="228">
        <f>IFERROR(VLOOKUP($B76-IF(CompareVer="LY",1,0) &amp; $C76 &amp;BQ$4,tblForecast,BQ$2,FALSE),0)</f>
        <v>0</v>
      </c>
      <c r="BR76" s="227">
        <f t="shared" ref="BR76:BS91" si="486">BN76-BP76</f>
        <v>0</v>
      </c>
      <c r="BS76" s="231">
        <f t="shared" si="486"/>
        <v>0</v>
      </c>
      <c r="BT76" s="234">
        <f t="shared" si="465"/>
        <v>0</v>
      </c>
      <c r="BU76" s="231">
        <f t="shared" si="465"/>
        <v>0</v>
      </c>
      <c r="BV76" s="231">
        <f>IF($A76="a",IFERROR(VLOOKUP($B76 &amp; $C76&amp;BV$4,tblForecast,BV$2,FALSE),0),BT76+BU76)</f>
        <v>0</v>
      </c>
      <c r="BW76" s="231">
        <f t="shared" si="466"/>
        <v>0</v>
      </c>
      <c r="BX76" s="231">
        <f t="shared" si="466"/>
        <v>0</v>
      </c>
      <c r="BY76" s="193">
        <f>IFERROR(VLOOKUP($B76-IF(CompareVer="LY",1,0) &amp; $C76 &amp;BY$4,tblForecast,BY$2,FALSE),0)</f>
        <v>0</v>
      </c>
      <c r="BZ76" s="194">
        <f t="shared" si="481"/>
        <v>0</v>
      </c>
      <c r="CA76" s="337">
        <f t="shared" si="467"/>
        <v>0</v>
      </c>
      <c r="CB76" s="46">
        <f t="shared" si="467"/>
        <v>0</v>
      </c>
      <c r="CC76" s="46">
        <f>IF($A76="a",IFERROR(VLOOKUP($B76 &amp; $C76&amp;CC$4,tblForecast,CC$2,FALSE),0),CA76+CB76)</f>
        <v>0</v>
      </c>
      <c r="CD76" s="46">
        <f t="shared" si="468"/>
        <v>0</v>
      </c>
      <c r="CE76" s="46">
        <f t="shared" si="468"/>
        <v>0</v>
      </c>
      <c r="CF76" s="46">
        <f>IFERROR(VLOOKUP($B76-IF(CompareVer="LY",1,0) &amp; $C76 &amp;CF$4,tblForecast,CF$2,FALSE),0)</f>
        <v>0</v>
      </c>
      <c r="CG76" s="194">
        <f t="shared" si="482"/>
        <v>0</v>
      </c>
      <c r="CH76" s="337">
        <f t="shared" si="469"/>
        <v>0</v>
      </c>
      <c r="CI76" s="46">
        <f t="shared" si="469"/>
        <v>0</v>
      </c>
      <c r="CJ76" s="46">
        <f>IF($A76="a",IFERROR(VLOOKUP($B76 &amp; $C76&amp;CJ$4,tblForecast,CJ$2,FALSE),0),CH76+CI76)</f>
        <v>0</v>
      </c>
      <c r="CK76" s="46">
        <f t="shared" si="470"/>
        <v>0</v>
      </c>
      <c r="CL76" s="46">
        <f t="shared" si="470"/>
        <v>0</v>
      </c>
      <c r="CM76" s="46">
        <f>IFERROR(VLOOKUP($B76-IF(CompareVer="LY",1,0) &amp; $C76 &amp;CM$4,tblForecast,CM$2,FALSE),0)</f>
        <v>0</v>
      </c>
      <c r="CN76" s="194">
        <f t="shared" si="483"/>
        <v>0</v>
      </c>
      <c r="CO76" s="178">
        <f t="shared" si="46"/>
        <v>0</v>
      </c>
      <c r="CP76" s="223">
        <f t="shared" si="46"/>
        <v>0</v>
      </c>
      <c r="CQ76" s="194">
        <f t="shared" si="484"/>
        <v>0</v>
      </c>
      <c r="CR76" s="178">
        <f t="shared" ref="CR76:CS96" si="487">IFERROR(CL76/BX76,0)</f>
        <v>0</v>
      </c>
      <c r="CS76" s="223">
        <f t="shared" si="487"/>
        <v>0</v>
      </c>
      <c r="CT76" s="194">
        <f t="shared" si="47"/>
        <v>0</v>
      </c>
      <c r="CU76" s="44"/>
      <c r="CW76" s="102">
        <f>IF(CW75+BV76+BL76-Q76&lt;0,0,CW75+BV76+BL76-Q76)</f>
        <v>0</v>
      </c>
      <c r="CX76" s="48">
        <f>IFERROR(VLOOKUP($B76-IF(CompareVer="LY",1,0) &amp; $C76 &amp;CX$4,tblForecast,CX$2,FALSE),0)</f>
        <v>5739</v>
      </c>
      <c r="CY76" s="47">
        <f>IFERROR(CW76/CX76-1,)</f>
        <v>-1</v>
      </c>
      <c r="CZ76" s="278">
        <f>IFERROR(VLOOKUP(Brand&amp;Channel&amp;Country&amp;$C76,tblDiscount,6,FALSE),0)</f>
        <v>0.8</v>
      </c>
      <c r="DA76" s="279">
        <f>(1-CZ76)*DB76</f>
        <v>5.0039999999999987</v>
      </c>
      <c r="DB76" s="279">
        <f>IFERROR(VLOOKUP(Brand&amp;Country &amp; Channel &amp;FC,tblFCSettings,8,FALSE),0)</f>
        <v>25.02</v>
      </c>
      <c r="DC76" s="280">
        <f>IFERROR(VLOOKUP(Brand&amp;Country &amp; Channel &amp;FC,tblFCSettings,9,FALSE),0)</f>
        <v>4.16</v>
      </c>
    </row>
    <row r="77" spans="2:107" ht="16.5" thickBot="1" x14ac:dyDescent="0.3">
      <c r="C77" s="253" t="s">
        <v>317</v>
      </c>
      <c r="D77" s="254">
        <f t="shared" ref="D77" si="488">SUM(D73:D76)</f>
        <v>-18034561.55288</v>
      </c>
      <c r="E77" s="255">
        <f t="shared" ref="E77" si="489">SUM(E73:E76)</f>
        <v>-15598586.122177999</v>
      </c>
      <c r="F77" s="256">
        <f t="shared" ref="F77:F96" si="490">IF(H77&lt;&gt;0,1-I77/H77,0)</f>
        <v>0.86492738270573644</v>
      </c>
      <c r="G77" s="257">
        <f>SUM(G73:G76)</f>
        <v>-823345</v>
      </c>
      <c r="H77" s="258">
        <f>IFERROR(D77/G77,0)</f>
        <v>21.90401539194384</v>
      </c>
      <c r="I77" s="258">
        <f>IFERROR(SUMPRODUCT(I73:I76,G73:G76)/G77,0)</f>
        <v>2.9586326882436893</v>
      </c>
      <c r="J77" s="257">
        <f>SUM(J73:J76)</f>
        <v>811006</v>
      </c>
      <c r="K77" s="301">
        <f>SUM(K73:K76)</f>
        <v>0</v>
      </c>
      <c r="L77" s="259">
        <f>SUM(L73:L76)</f>
        <v>108225</v>
      </c>
      <c r="M77" s="259">
        <f t="shared" ref="M77:O77" si="491">SUM(M73:M76)</f>
        <v>108225</v>
      </c>
      <c r="N77" s="259">
        <f t="shared" si="491"/>
        <v>0</v>
      </c>
      <c r="O77" s="259">
        <f t="shared" si="491"/>
        <v>7762.9107999999997</v>
      </c>
      <c r="P77" s="260">
        <f t="shared" si="485"/>
        <v>12.941291197111269</v>
      </c>
      <c r="Q77" s="261">
        <f>SUM(Q73:Q76)</f>
        <v>21645</v>
      </c>
      <c r="R77" s="262">
        <f t="shared" ref="R77:S77" si="492">SUM(R73:R76)</f>
        <v>21645</v>
      </c>
      <c r="S77" s="262">
        <f t="shared" si="492"/>
        <v>0</v>
      </c>
      <c r="T77" s="262">
        <f>SUM(T73:T76)</f>
        <v>3196</v>
      </c>
      <c r="U77" s="260">
        <f t="shared" si="476"/>
        <v>5.7725281602002507</v>
      </c>
      <c r="V77" s="263">
        <f t="shared" ref="V77:X79" si="493">V76</f>
        <v>0.26690182245737804</v>
      </c>
      <c r="W77" s="332">
        <f t="shared" si="493"/>
        <v>0.26690182245737804</v>
      </c>
      <c r="X77" s="264">
        <f t="shared" si="493"/>
        <v>0.52786885245901638</v>
      </c>
      <c r="Y77" s="254">
        <f>SUM(Y73:Y76)</f>
        <v>18181.799999999992</v>
      </c>
      <c r="Z77" s="259">
        <f t="shared" ref="Z77:AB77" si="494">SUM(Z73:Z76)</f>
        <v>18181.799999999992</v>
      </c>
      <c r="AA77" s="259">
        <f t="shared" si="494"/>
        <v>0</v>
      </c>
      <c r="AB77" s="259">
        <f t="shared" si="494"/>
        <v>-4405.0108</v>
      </c>
      <c r="AC77" s="260">
        <f t="shared" si="477"/>
        <v>-5.1275267701954315</v>
      </c>
      <c r="AD77" s="265">
        <f t="shared" ref="AD77:AG79" si="495">IFERROR(Y77/L77,0)</f>
        <v>0.16799999999999993</v>
      </c>
      <c r="AE77" s="266">
        <f t="shared" si="495"/>
        <v>0.16799999999999993</v>
      </c>
      <c r="AF77" s="266">
        <f t="shared" si="495"/>
        <v>0</v>
      </c>
      <c r="AG77" s="266">
        <f t="shared" si="495"/>
        <v>-0.56744318123557469</v>
      </c>
      <c r="AH77" s="267">
        <f>IFERROR(SUMPRODUCT(AH73:AH76,Q73:Q76)/Q77,0)</f>
        <v>25.02</v>
      </c>
      <c r="AI77" s="268">
        <f>IFERROR(SUMPRODUCT(AI73:AI76,R73:R76)/R77,0)</f>
        <v>25.02</v>
      </c>
      <c r="AJ77" s="268">
        <f t="shared" ref="AJ77:AK77" si="496">IFERROR(SUMPRODUCT(AJ73:AJ76,S73:S76)/S77,0)</f>
        <v>0</v>
      </c>
      <c r="AK77" s="268">
        <f t="shared" si="496"/>
        <v>22.216682415519397</v>
      </c>
      <c r="AL77" s="260">
        <f t="shared" si="387"/>
        <v>0.12618074706430304</v>
      </c>
      <c r="AM77" s="267">
        <f t="shared" ref="AM77:AP79" si="497">IF(Q77&lt;&gt;0,L77/Q77,0)</f>
        <v>5</v>
      </c>
      <c r="AN77" s="268">
        <f t="shared" si="497"/>
        <v>5</v>
      </c>
      <c r="AO77" s="268">
        <f t="shared" si="497"/>
        <v>0</v>
      </c>
      <c r="AP77" s="268">
        <f t="shared" si="497"/>
        <v>2.4289458072590739</v>
      </c>
      <c r="AQ77" s="260">
        <f t="shared" si="478"/>
        <v>1.0585061984739021</v>
      </c>
      <c r="AR77" s="267">
        <f t="shared" ref="AR77:AU79" si="498">IFERROR((L77*(1-AD77))/Q77,0)</f>
        <v>4.16</v>
      </c>
      <c r="AS77" s="268">
        <f t="shared" si="498"/>
        <v>4.16</v>
      </c>
      <c r="AT77" s="268">
        <f t="shared" si="498"/>
        <v>0</v>
      </c>
      <c r="AU77" s="268">
        <f t="shared" si="498"/>
        <v>3.8072345431789736</v>
      </c>
      <c r="AV77" s="260">
        <f t="shared" si="479"/>
        <v>9.2656612777649805E-2</v>
      </c>
      <c r="AW77" s="269">
        <f>IFERROR(SUMPRODUCT(AW73:AW76,V73:V76)/V77,0)</f>
        <v>12.801016248332061</v>
      </c>
      <c r="AX77" s="270">
        <f t="shared" ref="AX77:AZ77" si="499">IFERROR(SUMPRODUCT(AX73:AX76,X73:X76)/X77,0)</f>
        <v>3.8782422144597986</v>
      </c>
      <c r="AY77" s="270">
        <f t="shared" si="499"/>
        <v>0</v>
      </c>
      <c r="AZ77" s="270">
        <f t="shared" si="499"/>
        <v>0.88149858769190315</v>
      </c>
      <c r="BA77" s="261">
        <f>BA76</f>
        <v>56712</v>
      </c>
      <c r="BB77" s="262">
        <f t="shared" ref="BB77:BD79" si="500">BB76</f>
        <v>56712</v>
      </c>
      <c r="BC77" s="262">
        <f t="shared" si="500"/>
        <v>0</v>
      </c>
      <c r="BD77" s="262">
        <f t="shared" si="500"/>
        <v>6455</v>
      </c>
      <c r="BE77" s="260">
        <f t="shared" si="480"/>
        <v>7.7857474825716491</v>
      </c>
      <c r="BF77" s="262">
        <f t="shared" ref="BF77:BG79" si="501">BF76</f>
        <v>0</v>
      </c>
      <c r="BG77" s="262">
        <f t="shared" si="501"/>
        <v>716</v>
      </c>
      <c r="BH77" s="271">
        <f>IF(Q77&lt;&gt;0,(BA77*COUNTIF(BH73:BH76,"&lt;&gt;0")/Q77),0)</f>
        <v>10.48038808038808</v>
      </c>
      <c r="BI77" s="272">
        <f>IF(T77&lt;&gt;0,(BD77*COUNTIF(BI73:BI76,"&lt;&gt;0")/T77),0)</f>
        <v>8.0788485607008766</v>
      </c>
      <c r="BJ77" s="273">
        <f t="shared" ref="BJ77" si="502">IF(BA77&lt;&gt;0,(Q77/COUNTIF(BJ73:BJ76,"&lt;&gt;0"))/BA77,0)</f>
        <v>9.5416314007617437E-2</v>
      </c>
      <c r="BK77" s="274">
        <f t="shared" ref="BK77" si="503">IF(BD77&lt;&gt;0,(T77/COUNTIF(BK73:BK76,"&lt;&gt;0"))/BD77,0)</f>
        <v>0.12378001549186678</v>
      </c>
      <c r="BL77" s="261">
        <f>SUM(BL73:BL76)</f>
        <v>-10500</v>
      </c>
      <c r="BM77" s="262">
        <f>SUM(BM73:BM76)</f>
        <v>-8781</v>
      </c>
      <c r="BN77" s="261">
        <f>SUM(BN73:BN76)</f>
        <v>0</v>
      </c>
      <c r="BO77" s="262">
        <f t="shared" ref="BO77:BQ77" si="504">SUM(BO73:BO76)</f>
        <v>65</v>
      </c>
      <c r="BP77" s="261">
        <f>SUM(BP73:BP76)</f>
        <v>0</v>
      </c>
      <c r="BQ77" s="262">
        <f t="shared" si="504"/>
        <v>106</v>
      </c>
      <c r="BR77" s="261">
        <f t="shared" si="486"/>
        <v>0</v>
      </c>
      <c r="BS77" s="262">
        <f t="shared" si="486"/>
        <v>-41</v>
      </c>
      <c r="BT77" s="261">
        <f>SUM(BT74:BT76)</f>
        <v>0</v>
      </c>
      <c r="BU77" s="262">
        <f>SUM(BU74:BU76)</f>
        <v>0</v>
      </c>
      <c r="BV77" s="262">
        <f>SUM(BV73:BV76)</f>
        <v>0</v>
      </c>
      <c r="BW77" s="262">
        <f t="shared" ref="BW77:BX77" si="505">SUM(BW73:BW76)</f>
        <v>0</v>
      </c>
      <c r="BX77" s="262">
        <f t="shared" si="505"/>
        <v>0</v>
      </c>
      <c r="BY77" s="275">
        <f>SUM(BY73:BY76)</f>
        <v>0</v>
      </c>
      <c r="BZ77" s="260">
        <f t="shared" si="481"/>
        <v>0</v>
      </c>
      <c r="CA77" s="338">
        <f>SUM(CA74:CA76)</f>
        <v>0</v>
      </c>
      <c r="CB77" s="259">
        <f t="shared" ref="CB77" si="506">SUM(CB74:CB76)</f>
        <v>0</v>
      </c>
      <c r="CC77" s="259">
        <f t="shared" ref="CC77:CF77" si="507">SUM(CC73:CC76)</f>
        <v>0</v>
      </c>
      <c r="CD77" s="259">
        <f t="shared" si="507"/>
        <v>0</v>
      </c>
      <c r="CE77" s="259">
        <f t="shared" si="507"/>
        <v>0</v>
      </c>
      <c r="CF77" s="259">
        <f t="shared" si="507"/>
        <v>0</v>
      </c>
      <c r="CG77" s="260">
        <f t="shared" si="482"/>
        <v>0</v>
      </c>
      <c r="CH77" s="338">
        <f>SUM(CH74:CH76)</f>
        <v>0</v>
      </c>
      <c r="CI77" s="259">
        <f t="shared" ref="CI77" si="508">SUM(CI74:CI76)</f>
        <v>0</v>
      </c>
      <c r="CJ77" s="259">
        <f t="shared" ref="CJ77:CM77" si="509">SUM(CJ73:CJ76)</f>
        <v>0</v>
      </c>
      <c r="CK77" s="259">
        <f t="shared" si="509"/>
        <v>0</v>
      </c>
      <c r="CL77" s="259">
        <f t="shared" si="509"/>
        <v>0</v>
      </c>
      <c r="CM77" s="259">
        <f t="shared" si="509"/>
        <v>0</v>
      </c>
      <c r="CN77" s="260">
        <f t="shared" si="483"/>
        <v>0</v>
      </c>
      <c r="CO77" s="276">
        <f t="shared" si="46"/>
        <v>0</v>
      </c>
      <c r="CP77" s="277">
        <f t="shared" si="46"/>
        <v>0</v>
      </c>
      <c r="CQ77" s="260">
        <f t="shared" si="484"/>
        <v>0</v>
      </c>
      <c r="CR77" s="276">
        <f t="shared" si="487"/>
        <v>0</v>
      </c>
      <c r="CS77" s="277">
        <f t="shared" si="487"/>
        <v>0</v>
      </c>
      <c r="CT77" s="260">
        <f t="shared" si="47"/>
        <v>0</v>
      </c>
      <c r="CU77" s="44"/>
      <c r="CW77" s="100">
        <f t="shared" ref="CW77:CX79" si="510">CW76</f>
        <v>0</v>
      </c>
      <c r="CX77" s="101">
        <f t="shared" si="510"/>
        <v>5739</v>
      </c>
      <c r="CY77" s="99">
        <f>IFERROR(CW77/CX77-1,)</f>
        <v>-1</v>
      </c>
      <c r="CZ77" s="278"/>
      <c r="DA77" s="279"/>
      <c r="DB77" s="279"/>
      <c r="DC77" s="280"/>
    </row>
    <row r="78" spans="2:107" ht="16.5" thickBot="1" x14ac:dyDescent="0.3">
      <c r="C78" s="105" t="s">
        <v>43</v>
      </c>
      <c r="D78" s="52">
        <f t="shared" ref="D78:E78" si="511">D66+D72+D77</f>
        <v>-61956371.059862003</v>
      </c>
      <c r="E78" s="205">
        <f t="shared" si="511"/>
        <v>-48933515.457378</v>
      </c>
      <c r="F78" s="206">
        <f t="shared" si="490"/>
        <v>0.78980602995773641</v>
      </c>
      <c r="G78" s="204">
        <f>G66+G72+G77</f>
        <v>-2355860</v>
      </c>
      <c r="H78" s="207">
        <f>IFERROR(D78/G78,0)</f>
        <v>26.298833996868236</v>
      </c>
      <c r="I78" s="58">
        <f>IFERROR((I66*G66+I72*G72+I77*G77)/G78,0)</f>
        <v>5.5278563252841861</v>
      </c>
      <c r="J78" s="204">
        <f t="shared" ref="J78:K78" si="512">J66+J72+J77</f>
        <v>4324116</v>
      </c>
      <c r="K78" s="302">
        <f t="shared" si="512"/>
        <v>0</v>
      </c>
      <c r="L78" s="53">
        <f>L66+L72+L77</f>
        <v>406505</v>
      </c>
      <c r="M78" s="53">
        <f t="shared" ref="M78:O78" si="513">M66+M72+M77</f>
        <v>406505</v>
      </c>
      <c r="N78" s="53">
        <f t="shared" si="513"/>
        <v>0</v>
      </c>
      <c r="O78" s="53">
        <f t="shared" si="513"/>
        <v>56232.606899999999</v>
      </c>
      <c r="P78" s="54">
        <f t="shared" si="485"/>
        <v>6.2289908366314775</v>
      </c>
      <c r="Q78" s="229">
        <f>Q66+Q72+Q77</f>
        <v>81301</v>
      </c>
      <c r="R78" s="230">
        <f t="shared" ref="R78:S78" si="514">R66+R72+R77</f>
        <v>81301</v>
      </c>
      <c r="S78" s="230">
        <f t="shared" si="514"/>
        <v>0</v>
      </c>
      <c r="T78" s="230">
        <f>T66+T72+T77</f>
        <v>15871</v>
      </c>
      <c r="U78" s="54">
        <f t="shared" si="476"/>
        <v>4.1226135719236341</v>
      </c>
      <c r="V78" s="247">
        <f t="shared" si="493"/>
        <v>0.26690182245737804</v>
      </c>
      <c r="W78" s="333">
        <f t="shared" si="493"/>
        <v>0.26690182245737804</v>
      </c>
      <c r="X78" s="248">
        <f t="shared" si="493"/>
        <v>0.52786885245901638</v>
      </c>
      <c r="Y78" s="52">
        <f>Y66+Y72+Y77</f>
        <v>68292.839999999967</v>
      </c>
      <c r="Z78" s="53">
        <f t="shared" ref="Z78:AB78" si="515">Z66+Z72+Z77</f>
        <v>68292.839999999967</v>
      </c>
      <c r="AA78" s="53">
        <f t="shared" si="515"/>
        <v>0</v>
      </c>
      <c r="AB78" s="53">
        <f t="shared" si="515"/>
        <v>-4626.3193000000001</v>
      </c>
      <c r="AC78" s="54">
        <f t="shared" si="477"/>
        <v>-15.761808593712926</v>
      </c>
      <c r="AD78" s="77">
        <f t="shared" si="495"/>
        <v>0.16799999999999993</v>
      </c>
      <c r="AE78" s="78">
        <f t="shared" si="495"/>
        <v>0.16799999999999993</v>
      </c>
      <c r="AF78" s="78">
        <f t="shared" si="495"/>
        <v>0</v>
      </c>
      <c r="AG78" s="78">
        <f t="shared" si="495"/>
        <v>-8.2271115550931362E-2</v>
      </c>
      <c r="AH78" s="58">
        <f>IFERROR((AH66*Q66+AH72*Q72+AH77*Q77)/Q78,0)</f>
        <v>25.02</v>
      </c>
      <c r="AI78" s="58">
        <f t="shared" ref="AI78:AL78" si="516">IFERROR((AI66*R66+AI72*R72+AI77*R77)/R78,0)</f>
        <v>25.02</v>
      </c>
      <c r="AJ78" s="58">
        <f t="shared" si="516"/>
        <v>0</v>
      </c>
      <c r="AK78" s="58">
        <f t="shared" si="516"/>
        <v>23.277776334194442</v>
      </c>
      <c r="AL78" s="54">
        <f t="shared" si="516"/>
        <v>0.26984046218510865</v>
      </c>
      <c r="AM78" s="57">
        <f t="shared" si="497"/>
        <v>5</v>
      </c>
      <c r="AN78" s="58">
        <f t="shared" si="497"/>
        <v>5</v>
      </c>
      <c r="AO78" s="58">
        <f t="shared" si="497"/>
        <v>0</v>
      </c>
      <c r="AP78" s="58">
        <f t="shared" si="497"/>
        <v>3.5431042089345346</v>
      </c>
      <c r="AQ78" s="54">
        <f t="shared" si="478"/>
        <v>0.411191911147196</v>
      </c>
      <c r="AR78" s="57">
        <f t="shared" si="498"/>
        <v>4.16</v>
      </c>
      <c r="AS78" s="58">
        <f t="shared" si="498"/>
        <v>4.16</v>
      </c>
      <c r="AT78" s="58">
        <f t="shared" si="498"/>
        <v>0</v>
      </c>
      <c r="AU78" s="58">
        <f t="shared" si="498"/>
        <v>3.834599344716779</v>
      </c>
      <c r="AV78" s="54">
        <f t="shared" si="479"/>
        <v>8.4859101572515083E-2</v>
      </c>
      <c r="AW78" s="59">
        <f>IFERROR((AW66*V66+AW72*V72+AW77*V77)/V78,0)</f>
        <v>141.54931867321082</v>
      </c>
      <c r="AX78" s="60">
        <f t="shared" ref="AX78:AZ78" si="517">IFERROR((AX66*X66+AX72*X72+AX77*X77)/X78,0)</f>
        <v>19.886817737948242</v>
      </c>
      <c r="AY78" s="60">
        <f t="shared" si="517"/>
        <v>0</v>
      </c>
      <c r="AZ78" s="60">
        <f t="shared" si="517"/>
        <v>0.84722820057841264</v>
      </c>
      <c r="BA78" s="236">
        <f>BA77</f>
        <v>56712</v>
      </c>
      <c r="BB78" s="230">
        <f t="shared" si="500"/>
        <v>56712</v>
      </c>
      <c r="BC78" s="230">
        <f t="shared" si="500"/>
        <v>0</v>
      </c>
      <c r="BD78" s="230">
        <f t="shared" si="500"/>
        <v>6455</v>
      </c>
      <c r="BE78" s="54">
        <f t="shared" si="480"/>
        <v>7.7857474825716491</v>
      </c>
      <c r="BF78" s="230">
        <f t="shared" si="501"/>
        <v>0</v>
      </c>
      <c r="BG78" s="230">
        <f t="shared" si="501"/>
        <v>716</v>
      </c>
      <c r="BH78" s="62">
        <f>IF(Q76&lt;&gt;0,(BA78/(Q78/13)),0)</f>
        <v>9.0682279430757298</v>
      </c>
      <c r="BI78" s="133">
        <f>IF(T76&lt;&gt;0,(BD78/(T78/13)),0)</f>
        <v>5.2873164891941276</v>
      </c>
      <c r="BJ78" s="190">
        <f t="shared" ref="BJ78" si="518">IF(BA78&lt;&gt;0,(Q78/13)/BA78,0)</f>
        <v>0.11027512831363868</v>
      </c>
      <c r="BK78" s="61">
        <f t="shared" ref="BK78" si="519">IF(BD78&lt;&gt;0,(T78/13)/BD78,0)</f>
        <v>0.1891318596198534</v>
      </c>
      <c r="BL78" s="229">
        <f>BL66+BL72+BL77</f>
        <v>-10500</v>
      </c>
      <c r="BM78" s="230">
        <f t="shared" ref="BM78" si="520">BM66+BM72+BM77</f>
        <v>-10175</v>
      </c>
      <c r="BN78" s="229">
        <f>BN66+BN72+BN77</f>
        <v>0</v>
      </c>
      <c r="BO78" s="230">
        <f t="shared" ref="BO78:BQ78" si="521">BO66+BO72+BO77</f>
        <v>3513</v>
      </c>
      <c r="BP78" s="229">
        <f>BP66+BP72+BP77</f>
        <v>0</v>
      </c>
      <c r="BQ78" s="230">
        <f t="shared" si="521"/>
        <v>4064</v>
      </c>
      <c r="BR78" s="229">
        <f t="shared" si="486"/>
        <v>0</v>
      </c>
      <c r="BS78" s="230">
        <f t="shared" si="486"/>
        <v>-551</v>
      </c>
      <c r="BT78" s="229">
        <f t="shared" ref="BT78:BY78" si="522">BT66+BT72+BT77</f>
        <v>0</v>
      </c>
      <c r="BU78" s="230">
        <f t="shared" si="522"/>
        <v>0</v>
      </c>
      <c r="BV78" s="230">
        <f t="shared" si="522"/>
        <v>0</v>
      </c>
      <c r="BW78" s="230">
        <f t="shared" si="522"/>
        <v>0</v>
      </c>
      <c r="BX78" s="230">
        <f t="shared" si="522"/>
        <v>0</v>
      </c>
      <c r="BY78" s="56">
        <f t="shared" si="522"/>
        <v>0</v>
      </c>
      <c r="BZ78" s="54">
        <f t="shared" si="481"/>
        <v>0</v>
      </c>
      <c r="CA78" s="339">
        <f t="shared" ref="CA78:CF78" si="523">CA66+CA72+CA77</f>
        <v>0</v>
      </c>
      <c r="CB78" s="53">
        <f t="shared" si="523"/>
        <v>0</v>
      </c>
      <c r="CC78" s="53">
        <f t="shared" si="523"/>
        <v>0</v>
      </c>
      <c r="CD78" s="53">
        <f t="shared" si="523"/>
        <v>0</v>
      </c>
      <c r="CE78" s="53">
        <f t="shared" si="523"/>
        <v>0</v>
      </c>
      <c r="CF78" s="53">
        <f t="shared" si="523"/>
        <v>0</v>
      </c>
      <c r="CG78" s="54">
        <f t="shared" si="482"/>
        <v>0</v>
      </c>
      <c r="CH78" s="339">
        <f t="shared" ref="CH78:CM78" si="524">CH66+CH72+CH77</f>
        <v>0</v>
      </c>
      <c r="CI78" s="53">
        <f t="shared" si="524"/>
        <v>0</v>
      </c>
      <c r="CJ78" s="53">
        <f t="shared" si="524"/>
        <v>0</v>
      </c>
      <c r="CK78" s="53">
        <f t="shared" si="524"/>
        <v>0</v>
      </c>
      <c r="CL78" s="53">
        <f t="shared" si="524"/>
        <v>0</v>
      </c>
      <c r="CM78" s="53">
        <f t="shared" si="524"/>
        <v>0</v>
      </c>
      <c r="CN78" s="54">
        <f t="shared" si="483"/>
        <v>0</v>
      </c>
      <c r="CO78" s="55">
        <f t="shared" ref="CO78:CP96" si="525">IFERROR(CE78/BX78,0)</f>
        <v>0</v>
      </c>
      <c r="CP78" s="224">
        <f t="shared" si="525"/>
        <v>0</v>
      </c>
      <c r="CQ78" s="54">
        <f t="shared" si="484"/>
        <v>0</v>
      </c>
      <c r="CR78" s="55">
        <f t="shared" si="487"/>
        <v>0</v>
      </c>
      <c r="CS78" s="224">
        <f t="shared" si="487"/>
        <v>0</v>
      </c>
      <c r="CT78" s="54">
        <f t="shared" ref="CT78:CT96" si="526">IFERROR(CO78/CS78-1,)</f>
        <v>0</v>
      </c>
      <c r="CU78" s="44"/>
      <c r="CW78" s="55">
        <f t="shared" si="510"/>
        <v>0</v>
      </c>
      <c r="CX78" s="56">
        <f t="shared" si="510"/>
        <v>5739</v>
      </c>
      <c r="CY78" s="54">
        <f>IFERROR(CW78/CX78-1,)</f>
        <v>-1</v>
      </c>
      <c r="CZ78" s="281"/>
      <c r="DA78" s="282"/>
      <c r="DB78" s="282"/>
      <c r="DC78" s="283"/>
    </row>
    <row r="79" spans="2:107" ht="16.5" thickBot="1" x14ac:dyDescent="0.3">
      <c r="C79" s="284" t="s">
        <v>435</v>
      </c>
      <c r="D79" s="63">
        <f t="shared" ref="D79:K79" si="527">D27+D44+D61+D78</f>
        <v>228516289.60312158</v>
      </c>
      <c r="E79" s="209">
        <f t="shared" si="527"/>
        <v>154710199.88281673</v>
      </c>
      <c r="F79" s="210">
        <f t="shared" si="490"/>
        <v>1.0630142669631255</v>
      </c>
      <c r="G79" s="208">
        <f t="shared" si="527"/>
        <v>4768559</v>
      </c>
      <c r="H79" s="211">
        <f>IFERROR(D79/G79,0)</f>
        <v>47.921455853460465</v>
      </c>
      <c r="I79" s="69">
        <f>IFERROR((I67*G67+I73*G73+I78*G78)/G79,0)</f>
        <v>-3.0197354124115905</v>
      </c>
      <c r="J79" s="208">
        <f t="shared" si="527"/>
        <v>209396652</v>
      </c>
      <c r="K79" s="303">
        <f t="shared" si="527"/>
        <v>15141926</v>
      </c>
      <c r="L79" s="64">
        <f>L27+L44+L61+L78</f>
        <v>5475905.0540999938</v>
      </c>
      <c r="M79" s="64">
        <f t="shared" ref="M79:O79" si="528">M27+M44+M61+M78</f>
        <v>5028646.2799999993</v>
      </c>
      <c r="N79" s="64">
        <f t="shared" si="528"/>
        <v>0</v>
      </c>
      <c r="O79" s="64">
        <f t="shared" si="528"/>
        <v>4549087.3163000001</v>
      </c>
      <c r="P79" s="65">
        <f t="shared" si="485"/>
        <v>0.20373707369367899</v>
      </c>
      <c r="Q79" s="243">
        <f>Q27+Q44+Q61+Q78</f>
        <v>590088</v>
      </c>
      <c r="R79" s="244">
        <f t="shared" ref="R79:S79" si="529">R27+R44+R61+R78</f>
        <v>565859</v>
      </c>
      <c r="S79" s="244">
        <f t="shared" si="529"/>
        <v>0</v>
      </c>
      <c r="T79" s="244">
        <f>T27+T44+T61+T78</f>
        <v>510708</v>
      </c>
      <c r="U79" s="65">
        <f t="shared" si="476"/>
        <v>0.15543128362978464</v>
      </c>
      <c r="V79" s="251">
        <f t="shared" si="493"/>
        <v>0.26690182245737804</v>
      </c>
      <c r="W79" s="335">
        <f t="shared" si="493"/>
        <v>0.26690182245737804</v>
      </c>
      <c r="X79" s="252">
        <f t="shared" si="493"/>
        <v>0.52786885245901638</v>
      </c>
      <c r="Y79" s="63">
        <f>Y27+Y44+Y61+Y78</f>
        <v>3039207.7048999933</v>
      </c>
      <c r="Z79" s="64">
        <f t="shared" ref="Z79:AB79" si="530">Z27+Z44+Z61+Z78</f>
        <v>2674262.1899999995</v>
      </c>
      <c r="AA79" s="64">
        <f t="shared" si="530"/>
        <v>0</v>
      </c>
      <c r="AB79" s="64">
        <f t="shared" si="530"/>
        <v>2610788.0382999997</v>
      </c>
      <c r="AC79" s="65">
        <f t="shared" si="477"/>
        <v>0.16409592058609124</v>
      </c>
      <c r="AD79" s="79">
        <f t="shared" si="495"/>
        <v>0.55501468248147157</v>
      </c>
      <c r="AE79" s="80">
        <f t="shared" si="495"/>
        <v>0.53180558764614472</v>
      </c>
      <c r="AF79" s="80">
        <f t="shared" si="495"/>
        <v>0</v>
      </c>
      <c r="AG79" s="80">
        <f t="shared" si="495"/>
        <v>0.5739146903039628</v>
      </c>
      <c r="AH79" s="69">
        <f>IFERROR((AH27*Q27+AH44*Q44+AH61*Q61+AH78*Q78)/Q79,0)</f>
        <v>24.790775437222912</v>
      </c>
      <c r="AI79" s="69">
        <f t="shared" ref="AI79:AK79" si="531">IFERROR((AI27*R27+AI44*R44+AI61*R61+AI78*R78)/R79,0)</f>
        <v>24.985627567998389</v>
      </c>
      <c r="AJ79" s="69">
        <f t="shared" si="531"/>
        <v>0</v>
      </c>
      <c r="AK79" s="69">
        <f t="shared" si="531"/>
        <v>23.150656316916905</v>
      </c>
      <c r="AL79" s="65">
        <f t="shared" si="387"/>
        <v>7.0845469685778317E-2</v>
      </c>
      <c r="AM79" s="68">
        <f t="shared" si="497"/>
        <v>9.2798108995607329</v>
      </c>
      <c r="AN79" s="69">
        <f t="shared" si="497"/>
        <v>8.8867479000952514</v>
      </c>
      <c r="AO79" s="69">
        <f t="shared" si="497"/>
        <v>0</v>
      </c>
      <c r="AP79" s="69">
        <f t="shared" si="497"/>
        <v>8.9074134658160826</v>
      </c>
      <c r="AQ79" s="65">
        <f t="shared" si="478"/>
        <v>4.1807583668794335E-2</v>
      </c>
      <c r="AR79" s="68">
        <f t="shared" si="498"/>
        <v>4.1293795996529337</v>
      </c>
      <c r="AS79" s="69">
        <f t="shared" si="498"/>
        <v>4.1607257108219544</v>
      </c>
      <c r="AT79" s="69">
        <f t="shared" si="498"/>
        <v>0</v>
      </c>
      <c r="AU79" s="69">
        <f t="shared" si="498"/>
        <v>3.7953180251728975</v>
      </c>
      <c r="AV79" s="65">
        <f t="shared" si="479"/>
        <v>8.801938922228203E-2</v>
      </c>
      <c r="AW79" s="70">
        <f>IFERROR((AW27*V27+AW44*V44+AW61*V61+AW78*V78)/V79,0)</f>
        <v>168.60410734851271</v>
      </c>
      <c r="AX79" s="71">
        <f t="shared" ref="AX79:AZ79" si="532">IFERROR((AX27*X27+AX44*X44+AX61*X61+AX78*X78)/X79,0)</f>
        <v>36.630282091001284</v>
      </c>
      <c r="AY79" s="71">
        <f t="shared" si="532"/>
        <v>0</v>
      </c>
      <c r="AZ79" s="71">
        <f t="shared" si="532"/>
        <v>0.5977284469345292</v>
      </c>
      <c r="BA79" s="237">
        <f>BA78</f>
        <v>56712</v>
      </c>
      <c r="BB79" s="233">
        <f t="shared" si="500"/>
        <v>56712</v>
      </c>
      <c r="BC79" s="233">
        <f t="shared" si="500"/>
        <v>0</v>
      </c>
      <c r="BD79" s="233">
        <f t="shared" si="500"/>
        <v>6455</v>
      </c>
      <c r="BE79" s="135">
        <f t="shared" si="480"/>
        <v>7.7857474825716491</v>
      </c>
      <c r="BF79" s="233">
        <f t="shared" si="501"/>
        <v>0</v>
      </c>
      <c r="BG79" s="233">
        <f t="shared" si="501"/>
        <v>716</v>
      </c>
      <c r="BH79" s="137">
        <f>IF(Q77&lt;&gt;0,(BA79/(Q79/52)),0)</f>
        <v>4.9976003579127175</v>
      </c>
      <c r="BI79" s="138">
        <f>IF(T77&lt;&gt;0,(BD79/(T79/52)),0)</f>
        <v>0.65724445279885968</v>
      </c>
      <c r="BJ79" s="196">
        <f>IF(BA79&lt;&gt;0,(Q79/52)/BA79,0)</f>
        <v>0.20009603177186758</v>
      </c>
      <c r="BK79" s="72">
        <f>IF(BD79&lt;&gt;0,(T79/52)/BD79,0)</f>
        <v>1.5215039027587438</v>
      </c>
      <c r="BL79" s="232">
        <f>BL27+BL44+BL61+BL78</f>
        <v>-5568</v>
      </c>
      <c r="BM79" s="233">
        <f>BM27+BM44+BM61+BM78</f>
        <v>-17273</v>
      </c>
      <c r="BN79" s="232">
        <f>BN27+BN44+BN61+BN78</f>
        <v>526980</v>
      </c>
      <c r="BO79" s="233">
        <f t="shared" ref="BO79:BQ79" si="533">BO27+BO44+BO61+BO78</f>
        <v>689601</v>
      </c>
      <c r="BP79" s="232">
        <f>BP27+BP44+BP61+BP78</f>
        <v>769965</v>
      </c>
      <c r="BQ79" s="233">
        <f t="shared" si="533"/>
        <v>1267473</v>
      </c>
      <c r="BR79" s="232">
        <f t="shared" si="486"/>
        <v>-242985</v>
      </c>
      <c r="BS79" s="233">
        <f t="shared" si="486"/>
        <v>-577872</v>
      </c>
      <c r="BT79" s="232">
        <f t="shared" ref="BT79:BY79" si="534">BT27+BT44+BT61+BT78</f>
        <v>262311</v>
      </c>
      <c r="BU79" s="233">
        <f t="shared" si="534"/>
        <v>16165</v>
      </c>
      <c r="BV79" s="233">
        <f t="shared" si="534"/>
        <v>925313</v>
      </c>
      <c r="BW79" s="233">
        <f t="shared" si="534"/>
        <v>0</v>
      </c>
      <c r="BX79" s="233">
        <f t="shared" si="534"/>
        <v>0</v>
      </c>
      <c r="BY79" s="134">
        <f t="shared" si="534"/>
        <v>1112376</v>
      </c>
      <c r="BZ79" s="135">
        <f t="shared" si="481"/>
        <v>-0.16816526066725634</v>
      </c>
      <c r="CA79" s="340">
        <f t="shared" ref="CA79:CF79" si="535">CA27+CA44+CA61+CA78</f>
        <v>0</v>
      </c>
      <c r="CB79" s="64">
        <f t="shared" si="535"/>
        <v>0</v>
      </c>
      <c r="CC79" s="64">
        <f t="shared" si="535"/>
        <v>22534179.75</v>
      </c>
      <c r="CD79" s="64">
        <f t="shared" si="535"/>
        <v>0</v>
      </c>
      <c r="CE79" s="64">
        <f t="shared" si="535"/>
        <v>0</v>
      </c>
      <c r="CF79" s="64">
        <f t="shared" si="535"/>
        <v>25935422.200000003</v>
      </c>
      <c r="CG79" s="135">
        <f t="shared" si="482"/>
        <v>-0.13114274461280995</v>
      </c>
      <c r="CH79" s="340">
        <f t="shared" ref="CH79:CM79" si="536">CH27+CH44+CH61+CH78</f>
        <v>0</v>
      </c>
      <c r="CI79" s="64">
        <f t="shared" si="536"/>
        <v>27657.420000000107</v>
      </c>
      <c r="CJ79" s="64">
        <f t="shared" si="536"/>
        <v>3846851.7760999999</v>
      </c>
      <c r="CK79" s="64">
        <f t="shared" si="536"/>
        <v>0</v>
      </c>
      <c r="CL79" s="64">
        <f t="shared" si="536"/>
        <v>0</v>
      </c>
      <c r="CM79" s="64">
        <f t="shared" si="536"/>
        <v>4257218.6583000002</v>
      </c>
      <c r="CN79" s="135">
        <f t="shared" si="483"/>
        <v>-9.639318887225512E-2</v>
      </c>
      <c r="CO79" s="136">
        <f t="shared" si="525"/>
        <v>0</v>
      </c>
      <c r="CP79" s="225">
        <f t="shared" si="525"/>
        <v>23.315337799449111</v>
      </c>
      <c r="CQ79" s="135">
        <f t="shared" si="484"/>
        <v>-1</v>
      </c>
      <c r="CR79" s="136">
        <f t="shared" si="487"/>
        <v>0</v>
      </c>
      <c r="CS79" s="225">
        <f t="shared" si="487"/>
        <v>3.8271399763209564</v>
      </c>
      <c r="CT79" s="135">
        <f t="shared" si="526"/>
        <v>-1</v>
      </c>
      <c r="CU79" s="44"/>
      <c r="CW79" s="66">
        <f t="shared" si="510"/>
        <v>0</v>
      </c>
      <c r="CX79" s="67">
        <f t="shared" si="510"/>
        <v>5739</v>
      </c>
      <c r="CY79" s="65">
        <f>IFERROR(CW79/CX79-1,)</f>
        <v>-1</v>
      </c>
      <c r="CZ79" s="285"/>
      <c r="DA79" s="286"/>
      <c r="DB79" s="286"/>
      <c r="DC79" s="287"/>
    </row>
    <row r="80" spans="2:107" x14ac:dyDescent="0.25">
      <c r="B80" s="44">
        <v>2019</v>
      </c>
      <c r="C80" s="88">
        <v>1</v>
      </c>
      <c r="D80" s="51">
        <f>G80*H80</f>
        <v>-2457559442.1146522</v>
      </c>
      <c r="E80" s="202">
        <f>IFERROR(D80*F80,0)</f>
        <v>-1259387082.0373402</v>
      </c>
      <c r="F80" s="182">
        <f t="shared" si="490"/>
        <v>0.51245437260051685</v>
      </c>
      <c r="G80" s="176">
        <f t="shared" ref="G80:I83" si="537">IFERROR(VLOOKUP($B80 &amp; $C80&amp;G$4&amp;$A80,tblForecast,G$2,FALSE),0)</f>
        <v>-95838332</v>
      </c>
      <c r="H80" s="203">
        <f t="shared" si="537"/>
        <v>25.642761</v>
      </c>
      <c r="I80" s="203">
        <f t="shared" si="537"/>
        <v>12.502015999999999</v>
      </c>
      <c r="J80" s="176">
        <f>IFERROR(VLOOKUP($B80 &amp; $C80&amp;J$4&amp;$A80,tblForecast,J$2,FALSE),0)+IFERROR(VLOOKUP($B80 &amp; $C80 &amp; J$4 &amp; $A80,tblForecast,J$2+1,FALSE),0)</f>
        <v>188321</v>
      </c>
      <c r="K80" s="300">
        <f>IFERROR(VLOOKUP($B80 &amp; $C80&amp;K$4&amp;$A80,tblForecast,K$2,FALSE),0)+IFERROR(VLOOKUP($B80 &amp; $C80&amp;K$4&amp;$A80,tblForecast,K$2+1,FALSE),0)</f>
        <v>0</v>
      </c>
      <c r="L80" s="90">
        <f>Q80*AM80</f>
        <v>0</v>
      </c>
      <c r="M80" s="90">
        <f t="shared" ref="M80:O83" si="538">R80*AN80</f>
        <v>0</v>
      </c>
      <c r="N80" s="46">
        <f t="shared" si="538"/>
        <v>0</v>
      </c>
      <c r="O80" s="46">
        <f t="shared" si="538"/>
        <v>0</v>
      </c>
      <c r="P80" s="47">
        <f t="shared" si="485"/>
        <v>0</v>
      </c>
      <c r="Q80" s="242">
        <f>ROUND(IF(BA76-(Q76*IF(W80=0,X80,W80))&lt;0,BA76,Q76*IF(W80=0,X80,W80)),0)</f>
        <v>0</v>
      </c>
      <c r="R80" s="240">
        <f t="shared" ref="R80:S83" si="539">IFERROR(VLOOKUP($B80 &amp; $C80&amp;R$4,tblForecast,R$2,FALSE),0)</f>
        <v>0</v>
      </c>
      <c r="S80" s="240">
        <f t="shared" si="539"/>
        <v>0</v>
      </c>
      <c r="T80" s="240">
        <f>IFERROR(VLOOKUP($B80-IF(CompareVer="LY",1,0) &amp; $C80 &amp;T$4,tblForecast,T$2,FALSE),0)</f>
        <v>0</v>
      </c>
      <c r="U80" s="91">
        <f t="shared" si="476"/>
        <v>0</v>
      </c>
      <c r="V80" s="249">
        <f>IFERROR(IF(Q76&lt;&gt;0,Q80/Q76,0),0)</f>
        <v>0</v>
      </c>
      <c r="W80" s="334">
        <f>IFERROR(IF(R76&lt;&gt;0,R80/R76,0),0)</f>
        <v>0</v>
      </c>
      <c r="X80" s="250">
        <f>IFERROR(IF(T76&lt;&gt;0,T80/T76,0),0)</f>
        <v>0</v>
      </c>
      <c r="Y80" s="51">
        <f t="shared" ref="Y80:AB83" si="540">IFERROR(L80*AD80,0)</f>
        <v>0</v>
      </c>
      <c r="Z80" s="46">
        <f t="shared" si="540"/>
        <v>0</v>
      </c>
      <c r="AA80" s="46">
        <f t="shared" si="540"/>
        <v>0</v>
      </c>
      <c r="AB80" s="46">
        <f t="shared" si="540"/>
        <v>0</v>
      </c>
      <c r="AC80" s="91">
        <f t="shared" si="477"/>
        <v>0</v>
      </c>
      <c r="AD80" s="75">
        <f>IF(AM80&lt;&gt;0,1-AR80/AM80,0)</f>
        <v>0.76242147344374644</v>
      </c>
      <c r="AE80" s="93">
        <f t="shared" ref="AE80:AG83" si="541">IF(AN80&lt;&gt;0,1-AS80/AN80,0)</f>
        <v>0.76242147344374644</v>
      </c>
      <c r="AF80" s="93">
        <f t="shared" si="541"/>
        <v>0</v>
      </c>
      <c r="AG80" s="76">
        <f t="shared" si="541"/>
        <v>0</v>
      </c>
      <c r="AH80" s="73">
        <f>IF(IFERROR(VLOOKUP($B80 &amp; $C80&amp;AH$4,tblForecast,AH$2,FALSE),0)=0,DB80,IFERROR(VLOOKUP($B80 &amp; $C80&amp;AH$4,tblForecast,AH$2,FALSE),0))</f>
        <v>25.02</v>
      </c>
      <c r="AI80" s="94">
        <f t="shared" ref="AI80:AJ83" si="542">IFERROR(VLOOKUP($B80 &amp; $C80&amp;AI$4,tblForecast,AI$2,FALSE),0)</f>
        <v>25.02</v>
      </c>
      <c r="AJ80" s="94">
        <f t="shared" si="542"/>
        <v>0</v>
      </c>
      <c r="AK80" s="49">
        <f>IFERROR(VLOOKUP($B80-IF(CompareVer="LY",1,0) &amp; $C80 &amp;AK$4,tblForecast,AK$2,FALSE),0)</f>
        <v>0</v>
      </c>
      <c r="AL80" s="47">
        <f t="shared" si="387"/>
        <v>0</v>
      </c>
      <c r="AM80" s="73">
        <f>IF(IFERROR(VLOOKUP($B80 &amp; $C80&amp;AM$4,tblForecast,AM$2,FALSE),0)=0,DA80,IFERROR(VLOOKUP($B80 &amp; $C80&amp;AM$4,tblForecast,AM$2,FALSE),0))</f>
        <v>17.510000000000002</v>
      </c>
      <c r="AN80" s="94">
        <f t="shared" ref="AN80:AO83" si="543">IFERROR(VLOOKUP($B80 &amp; $C80&amp;AN$4,tblForecast,AN$2,FALSE),0)</f>
        <v>17.510000000000002</v>
      </c>
      <c r="AO80" s="94">
        <f t="shared" si="543"/>
        <v>0</v>
      </c>
      <c r="AP80" s="49">
        <f>IFERROR(VLOOKUP($B80-IF(CompareVer="LY",1,0) &amp; $C80 &amp;AP$4,tblForecast,AP$2,FALSE),0)</f>
        <v>0</v>
      </c>
      <c r="AQ80" s="47">
        <f t="shared" si="478"/>
        <v>0</v>
      </c>
      <c r="AR80" s="73">
        <f>IF(IFERROR(VLOOKUP($B80 &amp; $C80&amp;AR$4,tblForecast,AR$2,FALSE),0)=0,DC80,IFERROR(VLOOKUP($B80 &amp; $C80&amp;AR$4,tblForecast,AR$2,FALSE),0))</f>
        <v>4.16</v>
      </c>
      <c r="AS80" s="94">
        <f t="shared" ref="AS80:AT83" si="544">IFERROR(VLOOKUP($B80 &amp; $C80&amp;AS$4,tblForecast,AS$2,FALSE),0)</f>
        <v>4.16</v>
      </c>
      <c r="AT80" s="94">
        <f t="shared" si="544"/>
        <v>0</v>
      </c>
      <c r="AU80" s="49">
        <f>IFERROR(VLOOKUP($B80-IF(CompareVer="LY",1,0) &amp; $C80 &amp;AU$4,tblForecast,AU$2,FALSE),0)</f>
        <v>0</v>
      </c>
      <c r="AV80" s="47">
        <f t="shared" si="479"/>
        <v>0</v>
      </c>
      <c r="AW80" s="191">
        <f t="shared" ref="AW80:AZ83" si="545">IFERROR((AM80/AH80-1)*-1,0)</f>
        <v>0.30015987210231809</v>
      </c>
      <c r="AX80" s="192">
        <f t="shared" si="545"/>
        <v>0.30015987210231809</v>
      </c>
      <c r="AY80" s="192">
        <f t="shared" si="545"/>
        <v>0</v>
      </c>
      <c r="AZ80" s="192">
        <f t="shared" si="545"/>
        <v>0</v>
      </c>
      <c r="BA80" s="235">
        <f>IF(BA79+BV80+BL80+BR80-Q80&lt;0,0,BA79+BV80+BL80+BR80-Q80)</f>
        <v>56712</v>
      </c>
      <c r="BB80" s="231">
        <f>IF(IFERROR(VLOOKUP($B80 &amp; $C80&amp;BB$4,tblForecast,BB$2,FALSE),0)=0,BA80,IFERROR(VLOOKUP($B80 &amp; $C80&amp;BB$4,tblForecast,BB$2,FALSE),0))</f>
        <v>56712</v>
      </c>
      <c r="BC80" s="231">
        <f>IFERROR(VLOOKUP($B80-IF(CompareVer="LY",1,0) &amp; $C80 &amp;BC$4,tblForecast,BC$2,FALSE),0)</f>
        <v>0</v>
      </c>
      <c r="BD80" s="231">
        <f t="shared" ref="BD80:BD83" si="546">CX80+BG80</f>
        <v>0</v>
      </c>
      <c r="BE80" s="194">
        <f t="shared" si="480"/>
        <v>0</v>
      </c>
      <c r="BF80" s="231">
        <f>IFERROR(VLOOKUP($B80 &amp; $C80&amp;IF($A80="a",BG$4,BF$4),tblForecast,BF$2,FALSE),0)</f>
        <v>0</v>
      </c>
      <c r="BG80" s="228">
        <f>IFERROR(VLOOKUP($B80-IF(CompareVer="LY",1,0) &amp; $C80 &amp;BG$4,tblForecast,BG$2,FALSE),0)</f>
        <v>0</v>
      </c>
      <c r="BH80" s="179">
        <f>IF(Q80&lt;&gt;0,BA80/Q80,0)</f>
        <v>0</v>
      </c>
      <c r="BI80" s="183">
        <f>IF(T80&lt;&gt;0,BD80/T80,0)</f>
        <v>0</v>
      </c>
      <c r="BJ80" s="195">
        <f t="shared" ref="BJ80:BJ83" si="547">IF(BA80&lt;&gt;0,Q80/BA80,0)</f>
        <v>0</v>
      </c>
      <c r="BK80" s="50">
        <f t="shared" ref="BK80:BK83" si="548">IF(BD80&lt;&gt;0,T80/BD80,0)</f>
        <v>0</v>
      </c>
      <c r="BL80" s="234">
        <f>IFERROR(VLOOKUP($B80 &amp; $C80&amp;IF($A80="a",BM$4,BL$4),tblForecast,BL$2,FALSE),0)</f>
        <v>0</v>
      </c>
      <c r="BM80" s="228">
        <f>IFERROR(VLOOKUP($B80-IF(CompareVer="LY",1,0) &amp; $C80 &amp;BM$4,tblForecast,BM$2,FALSE),0)</f>
        <v>0</v>
      </c>
      <c r="BN80" s="234">
        <f>IFERROR(VLOOKUP($B80 &amp; $C80&amp;IF($A80="a",BO$4,BN$4),tblForecast,BN$2,FALSE),0)</f>
        <v>0</v>
      </c>
      <c r="BO80" s="228">
        <f>IFERROR(VLOOKUP($B80-IF(CompareVer="LY",1,0) &amp; $C80 &amp;BO$4,tblForecast,BO$2,FALSE),0)</f>
        <v>0</v>
      </c>
      <c r="BP80" s="234">
        <f>IFERROR(VLOOKUP($B80 &amp; $C80&amp;IF($A80="a",BQ$4,BP$4),tblForecast,BP$2,FALSE),0)</f>
        <v>0</v>
      </c>
      <c r="BQ80" s="228">
        <f>IFERROR(VLOOKUP($B80-IF(CompareVer="LY",1,0) &amp; $C80 &amp;BQ$4,tblForecast,BQ$2,FALSE),0)</f>
        <v>0</v>
      </c>
      <c r="BR80" s="227">
        <f t="shared" si="486"/>
        <v>0</v>
      </c>
      <c r="BS80" s="231">
        <f t="shared" si="486"/>
        <v>0</v>
      </c>
      <c r="BT80" s="234">
        <f t="shared" ref="BT80:BU83" si="549">IFERROR(VLOOKUP($B80 &amp; $C80&amp;BT$4,tblForecast,BT$2,FALSE),0)</f>
        <v>0</v>
      </c>
      <c r="BU80" s="231">
        <f t="shared" si="549"/>
        <v>0</v>
      </c>
      <c r="BV80" s="231">
        <f>IF($A80="a",IFERROR(VLOOKUP($B80 &amp; $C80&amp;BV$4,tblForecast,BV$2,FALSE),0),BT80+BU80)</f>
        <v>0</v>
      </c>
      <c r="BW80" s="231">
        <f t="shared" ref="BW80:BX83" si="550">IFERROR(VLOOKUP($B80 &amp; $C80&amp;BW$4,tblForecast,BW$2,FALSE),0)</f>
        <v>0</v>
      </c>
      <c r="BX80" s="231">
        <f t="shared" si="550"/>
        <v>0</v>
      </c>
      <c r="BY80" s="193">
        <f>IFERROR(VLOOKUP($B80-IF(CompareVer="LY",1,0) &amp; $C80 &amp;BY$4,tblForecast,BY$2,FALSE),0)</f>
        <v>0</v>
      </c>
      <c r="BZ80" s="194">
        <f t="shared" si="481"/>
        <v>0</v>
      </c>
      <c r="CA80" s="337">
        <f t="shared" ref="CA80:CB83" si="551">IFERROR(VLOOKUP($B80 &amp; $C80&amp;CA$4,tblForecast,CA$2,FALSE),0)</f>
        <v>0</v>
      </c>
      <c r="CB80" s="46">
        <f t="shared" si="551"/>
        <v>0</v>
      </c>
      <c r="CC80" s="46">
        <f>IF($A80="a",IFERROR(VLOOKUP($B80 &amp; $C80&amp;CC$4,tblForecast,CC$2,FALSE),0),CA80+CB80)</f>
        <v>0</v>
      </c>
      <c r="CD80" s="46">
        <f t="shared" ref="CD80:CE83" si="552">IFERROR(VLOOKUP($B80 &amp; $C80&amp;CD$4,tblForecast,CD$2,FALSE),0)</f>
        <v>0</v>
      </c>
      <c r="CE80" s="46">
        <f t="shared" si="552"/>
        <v>0</v>
      </c>
      <c r="CF80" s="46">
        <f>IFERROR(VLOOKUP($B80-IF(CompareVer="LY",1,0) &amp; $C80 &amp;CF$4,tblForecast,CF$2,FALSE),0)</f>
        <v>0</v>
      </c>
      <c r="CG80" s="194">
        <f t="shared" si="482"/>
        <v>0</v>
      </c>
      <c r="CH80" s="337">
        <f t="shared" ref="CH80:CI83" si="553">IFERROR(VLOOKUP($B80 &amp; $C80&amp;CH$4,tblForecast,CH$2,FALSE),0)</f>
        <v>0</v>
      </c>
      <c r="CI80" s="46">
        <f t="shared" si="553"/>
        <v>0</v>
      </c>
      <c r="CJ80" s="46">
        <f>IF($A80="a",IFERROR(VLOOKUP($B80 &amp; $C80&amp;CJ$4,tblForecast,CJ$2,FALSE),0),CH80+CI80)</f>
        <v>0</v>
      </c>
      <c r="CK80" s="46">
        <f t="shared" ref="CK80:CL83" si="554">IFERROR(VLOOKUP($B80 &amp; $C80&amp;CK$4,tblForecast,CK$2,FALSE),0)</f>
        <v>0</v>
      </c>
      <c r="CL80" s="46">
        <f t="shared" si="554"/>
        <v>0</v>
      </c>
      <c r="CM80" s="46">
        <f>IFERROR(VLOOKUP($B80-IF(CompareVer="LY",1,0) &amp; $C80 &amp;CM$4,tblForecast,CM$2,FALSE),0)</f>
        <v>0</v>
      </c>
      <c r="CN80" s="194">
        <f t="shared" si="483"/>
        <v>0</v>
      </c>
      <c r="CO80" s="178">
        <f t="shared" si="525"/>
        <v>0</v>
      </c>
      <c r="CP80" s="223">
        <f t="shared" si="525"/>
        <v>0</v>
      </c>
      <c r="CQ80" s="194">
        <f t="shared" si="484"/>
        <v>0</v>
      </c>
      <c r="CR80" s="178">
        <f t="shared" si="487"/>
        <v>0</v>
      </c>
      <c r="CS80" s="223">
        <f t="shared" si="487"/>
        <v>0</v>
      </c>
      <c r="CT80" s="194">
        <f t="shared" si="526"/>
        <v>0</v>
      </c>
      <c r="CU80" s="44"/>
      <c r="CW80" s="102">
        <f>IFERROR(VLOOKUP($B80 &amp; $C80&amp;CompareVer,tblForecast,CW$2,FALSE),0)</f>
        <v>0</v>
      </c>
      <c r="CX80" s="48">
        <f>IFERROR(VLOOKUP($B80-IF(CompareVer="LY",1,0) &amp; $C80 &amp;CX$4,tblForecast,CX$2,FALSE),0)</f>
        <v>0</v>
      </c>
      <c r="CY80" s="47">
        <f t="shared" ref="CY80:CY92" si="555">IFERROR(CW80/CX80-1,)</f>
        <v>0</v>
      </c>
      <c r="CZ80" s="278">
        <f>IFERROR(VLOOKUP(Brand&amp;Channel&amp;Country&amp;$C80,tblDiscount,6,FALSE),0)</f>
        <v>0.3</v>
      </c>
      <c r="DA80" s="279">
        <f>(1-CZ80)*DB80</f>
        <v>17.513999999999999</v>
      </c>
      <c r="DB80" s="279">
        <f>IFERROR(VLOOKUP(Brand&amp;Country &amp; Channel &amp;FC,tblFCSettings,8,FALSE),0)</f>
        <v>25.02</v>
      </c>
      <c r="DC80" s="280">
        <f>IFERROR(VLOOKUP(Brand&amp;Country &amp; Channel &amp;FC,tblFCSettings,9,FALSE),0)</f>
        <v>4.16</v>
      </c>
    </row>
    <row r="81" spans="2:107" x14ac:dyDescent="0.25">
      <c r="B81" s="44">
        <v>2019</v>
      </c>
      <c r="C81" s="88">
        <v>2</v>
      </c>
      <c r="D81" s="51">
        <f t="shared" ref="D81:D83" si="556">G81*H81</f>
        <v>-854671564.12482893</v>
      </c>
      <c r="E81" s="202">
        <f t="shared" ref="E81:E83" si="557">IFERROR(D81*F81,0)</f>
        <v>-467423262.33163798</v>
      </c>
      <c r="F81" s="182">
        <f t="shared" si="490"/>
        <v>0.54690395931245528</v>
      </c>
      <c r="G81" s="176">
        <f t="shared" si="537"/>
        <v>-32761367</v>
      </c>
      <c r="H81" s="203">
        <f t="shared" si="537"/>
        <v>26.087786999999999</v>
      </c>
      <c r="I81" s="203">
        <f t="shared" si="537"/>
        <v>11.820273</v>
      </c>
      <c r="J81" s="176">
        <f>IFERROR(VLOOKUP($B81 &amp; $C81&amp;J$4&amp;$A81,tblForecast,J$2,FALSE),0)+IFERROR(VLOOKUP($B81 &amp; $C81 &amp; J$4 &amp; $A81,tblForecast,J$2+1,FALSE),0)</f>
        <v>223728</v>
      </c>
      <c r="K81" s="300">
        <f>IFERROR(VLOOKUP($B81 &amp; $C81&amp;K$4&amp;$A81,tblForecast,K$2,FALSE),0)+IFERROR(VLOOKUP($B81 &amp; $C81&amp;K$4&amp;$A81,tblForecast,K$2+1,FALSE),0)</f>
        <v>0</v>
      </c>
      <c r="L81" s="90">
        <f>Q81*AM81</f>
        <v>0</v>
      </c>
      <c r="M81" s="90">
        <f t="shared" si="538"/>
        <v>0</v>
      </c>
      <c r="N81" s="46">
        <f t="shared" si="538"/>
        <v>0</v>
      </c>
      <c r="O81" s="46">
        <f t="shared" si="538"/>
        <v>0</v>
      </c>
      <c r="P81" s="47">
        <f t="shared" si="485"/>
        <v>0</v>
      </c>
      <c r="Q81" s="242">
        <f t="shared" ref="Q81:Q83" si="558">ROUND(IF(BA80-(Q80*IF(W81=0,X81,W81))&lt;0,BA80,Q80*IF(W81=0,X81,W81)),0)</f>
        <v>0</v>
      </c>
      <c r="R81" s="240">
        <f t="shared" si="539"/>
        <v>0</v>
      </c>
      <c r="S81" s="240">
        <f t="shared" si="539"/>
        <v>0</v>
      </c>
      <c r="T81" s="240">
        <f>IFERROR(VLOOKUP($B81-IF(CompareVer="LY",1,0) &amp; $C81 &amp;T$4,tblForecast,T$2,FALSE),0)</f>
        <v>0</v>
      </c>
      <c r="U81" s="91">
        <f t="shared" si="476"/>
        <v>0</v>
      </c>
      <c r="V81" s="249">
        <f t="shared" ref="V81:W83" si="559">IFERROR(IF(Q80&lt;&gt;0,Q81/Q80,0),0)</f>
        <v>0</v>
      </c>
      <c r="W81" s="334">
        <f t="shared" si="559"/>
        <v>0</v>
      </c>
      <c r="X81" s="250">
        <f>IFERROR(IF(T80&lt;&gt;0,T81/T80,0),0)</f>
        <v>0</v>
      </c>
      <c r="Y81" s="51">
        <f t="shared" si="540"/>
        <v>0</v>
      </c>
      <c r="Z81" s="46">
        <f t="shared" si="540"/>
        <v>0</v>
      </c>
      <c r="AA81" s="46">
        <f t="shared" si="540"/>
        <v>0</v>
      </c>
      <c r="AB81" s="46">
        <f t="shared" si="540"/>
        <v>0</v>
      </c>
      <c r="AC81" s="91">
        <f t="shared" si="477"/>
        <v>0</v>
      </c>
      <c r="AD81" s="75">
        <f>IF(AM81&lt;&gt;0,1-AR81/AM81,0)</f>
        <v>0.76242147344374644</v>
      </c>
      <c r="AE81" s="93">
        <f t="shared" si="541"/>
        <v>0.76242147344374644</v>
      </c>
      <c r="AF81" s="93">
        <f t="shared" si="541"/>
        <v>0</v>
      </c>
      <c r="AG81" s="76">
        <f t="shared" si="541"/>
        <v>0</v>
      </c>
      <c r="AH81" s="73">
        <f>IF(IFERROR(VLOOKUP($B81 &amp; $C81&amp;AH$4,tblForecast,AH$2,FALSE),0)=0,DB81,IFERROR(VLOOKUP($B81 &amp; $C81&amp;AH$4,tblForecast,AH$2,FALSE),0))</f>
        <v>25.02</v>
      </c>
      <c r="AI81" s="94">
        <f t="shared" si="542"/>
        <v>25.02</v>
      </c>
      <c r="AJ81" s="94">
        <f t="shared" si="542"/>
        <v>0</v>
      </c>
      <c r="AK81" s="49">
        <f>IFERROR(VLOOKUP($B81-IF(CompareVer="LY",1,0) &amp; $C81 &amp;AK$4,tblForecast,AK$2,FALSE),0)</f>
        <v>0</v>
      </c>
      <c r="AL81" s="47">
        <f t="shared" si="387"/>
        <v>0</v>
      </c>
      <c r="AM81" s="73">
        <f>IF(IFERROR(VLOOKUP($B81 &amp; $C81&amp;AM$4,tblForecast,AM$2,FALSE),0)=0,DA81,IFERROR(VLOOKUP($B81 &amp; $C81&amp;AM$4,tblForecast,AM$2,FALSE),0))</f>
        <v>17.510000000000002</v>
      </c>
      <c r="AN81" s="94">
        <f t="shared" si="543"/>
        <v>17.510000000000002</v>
      </c>
      <c r="AO81" s="94">
        <f t="shared" si="543"/>
        <v>0</v>
      </c>
      <c r="AP81" s="49">
        <f>IFERROR(VLOOKUP($B81-IF(CompareVer="LY",1,0) &amp; $C81 &amp;AP$4,tblForecast,AP$2,FALSE),0)</f>
        <v>0</v>
      </c>
      <c r="AQ81" s="47">
        <f t="shared" si="478"/>
        <v>0</v>
      </c>
      <c r="AR81" s="73">
        <f>IF(IFERROR(VLOOKUP($B81 &amp; $C81&amp;AR$4,tblForecast,AR$2,FALSE),0)=0,DC81,IFERROR(VLOOKUP($B81 &amp; $C81&amp;AR$4,tblForecast,AR$2,FALSE),0))</f>
        <v>4.16</v>
      </c>
      <c r="AS81" s="94">
        <f t="shared" si="544"/>
        <v>4.16</v>
      </c>
      <c r="AT81" s="94">
        <f t="shared" si="544"/>
        <v>0</v>
      </c>
      <c r="AU81" s="49">
        <f>IFERROR(VLOOKUP($B81-IF(CompareVer="LY",1,0) &amp; $C81 &amp;AU$4,tblForecast,AU$2,FALSE),0)</f>
        <v>0</v>
      </c>
      <c r="AV81" s="47">
        <f t="shared" si="479"/>
        <v>0</v>
      </c>
      <c r="AW81" s="191">
        <f t="shared" si="545"/>
        <v>0.30015987210231809</v>
      </c>
      <c r="AX81" s="192">
        <f t="shared" si="545"/>
        <v>0.30015987210231809</v>
      </c>
      <c r="AY81" s="192">
        <f t="shared" si="545"/>
        <v>0</v>
      </c>
      <c r="AZ81" s="192">
        <f t="shared" si="545"/>
        <v>0</v>
      </c>
      <c r="BA81" s="235">
        <f>IF(BA80+BV81+BL81+BR81-Q81&lt;0,0,BA80+BV81+BL81+BR81-Q81)</f>
        <v>56712</v>
      </c>
      <c r="BB81" s="231">
        <f>IF(IFERROR(VLOOKUP($B81 &amp; $C81&amp;BB$4,tblForecast,BB$2,FALSE),0)=0,BA81,IFERROR(VLOOKUP($B81 &amp; $C81&amp;BB$4,tblForecast,BB$2,FALSE),0))</f>
        <v>56712</v>
      </c>
      <c r="BC81" s="231">
        <f>IFERROR(VLOOKUP($B81-IF(CompareVer="LY",1,0) &amp; $C81 &amp;BC$4,tblForecast,BC$2,FALSE),0)</f>
        <v>0</v>
      </c>
      <c r="BD81" s="231">
        <f t="shared" si="546"/>
        <v>0</v>
      </c>
      <c r="BE81" s="194">
        <f t="shared" si="480"/>
        <v>0</v>
      </c>
      <c r="BF81" s="231">
        <f>IFERROR(VLOOKUP($B81 &amp; $C81&amp;IF($A81="a",BG$4,BF$4),tblForecast,BF$2,FALSE),0)</f>
        <v>0</v>
      </c>
      <c r="BG81" s="228">
        <f>IFERROR(VLOOKUP($B81-IF(CompareVer="LY",1,0) &amp; $C81 &amp;BG$4,tblForecast,BG$2,FALSE),0)</f>
        <v>0</v>
      </c>
      <c r="BH81" s="179">
        <f>IF(Q81&lt;&gt;0,BA81/Q81,0)</f>
        <v>0</v>
      </c>
      <c r="BI81" s="183">
        <f>IF(T81&lt;&gt;0,BD81/T81,0)</f>
        <v>0</v>
      </c>
      <c r="BJ81" s="195">
        <f t="shared" si="547"/>
        <v>0</v>
      </c>
      <c r="BK81" s="50">
        <f t="shared" si="548"/>
        <v>0</v>
      </c>
      <c r="BL81" s="234">
        <f>IFERROR(VLOOKUP($B81 &amp; $C81&amp;IF($A81="a",BM$4,BL$4),tblForecast,BL$2,FALSE),0)</f>
        <v>0</v>
      </c>
      <c r="BM81" s="228">
        <f>IFERROR(VLOOKUP($B81-IF(CompareVer="LY",1,0) &amp; $C81 &amp;BM$4,tblForecast,BM$2,FALSE),0)</f>
        <v>0</v>
      </c>
      <c r="BN81" s="234">
        <f>IFERROR(VLOOKUP($B81 &amp; $C81&amp;IF($A81="a",BO$4,BN$4),tblForecast,BN$2,FALSE),0)</f>
        <v>0</v>
      </c>
      <c r="BO81" s="228">
        <f>IFERROR(VLOOKUP($B81-IF(CompareVer="LY",1,0) &amp; $C81 &amp;BO$4,tblForecast,BO$2,FALSE),0)</f>
        <v>0</v>
      </c>
      <c r="BP81" s="234">
        <f>IFERROR(VLOOKUP($B81 &amp; $C81&amp;IF($A81="a",BQ$4,BP$4),tblForecast,BP$2,FALSE),0)</f>
        <v>0</v>
      </c>
      <c r="BQ81" s="228">
        <f>IFERROR(VLOOKUP($B81-IF(CompareVer="LY",1,0) &amp; $C81 &amp;BQ$4,tblForecast,BQ$2,FALSE),0)</f>
        <v>0</v>
      </c>
      <c r="BR81" s="227">
        <f t="shared" si="486"/>
        <v>0</v>
      </c>
      <c r="BS81" s="231">
        <f t="shared" si="486"/>
        <v>0</v>
      </c>
      <c r="BT81" s="234">
        <f t="shared" si="549"/>
        <v>0</v>
      </c>
      <c r="BU81" s="231">
        <f t="shared" si="549"/>
        <v>0</v>
      </c>
      <c r="BV81" s="231">
        <f>IF($A81="a",IFERROR(VLOOKUP($B81 &amp; $C81&amp;BV$4,tblForecast,BV$2,FALSE),0),BT81+BU81)</f>
        <v>0</v>
      </c>
      <c r="BW81" s="231">
        <f t="shared" si="550"/>
        <v>0</v>
      </c>
      <c r="BX81" s="231">
        <f t="shared" si="550"/>
        <v>0</v>
      </c>
      <c r="BY81" s="193">
        <f>IFERROR(VLOOKUP($B81-IF(CompareVer="LY",1,0) &amp; $C81 &amp;BY$4,tblForecast,BY$2,FALSE),0)</f>
        <v>0</v>
      </c>
      <c r="BZ81" s="194">
        <f t="shared" si="481"/>
        <v>0</v>
      </c>
      <c r="CA81" s="337">
        <f t="shared" si="551"/>
        <v>0</v>
      </c>
      <c r="CB81" s="46">
        <f t="shared" si="551"/>
        <v>0</v>
      </c>
      <c r="CC81" s="46">
        <f>IF($A81="a",IFERROR(VLOOKUP($B81 &amp; $C81&amp;CC$4,tblForecast,CC$2,FALSE),0),CA81+CB81)</f>
        <v>0</v>
      </c>
      <c r="CD81" s="46">
        <f t="shared" si="552"/>
        <v>0</v>
      </c>
      <c r="CE81" s="46">
        <f t="shared" si="552"/>
        <v>0</v>
      </c>
      <c r="CF81" s="46">
        <f>IFERROR(VLOOKUP($B81-IF(CompareVer="LY",1,0) &amp; $C81 &amp;CF$4,tblForecast,CF$2,FALSE),0)</f>
        <v>0</v>
      </c>
      <c r="CG81" s="194">
        <f t="shared" si="482"/>
        <v>0</v>
      </c>
      <c r="CH81" s="337">
        <f t="shared" si="553"/>
        <v>0</v>
      </c>
      <c r="CI81" s="46">
        <f t="shared" si="553"/>
        <v>0</v>
      </c>
      <c r="CJ81" s="46">
        <f>IF($A81="a",IFERROR(VLOOKUP($B81 &amp; $C81&amp;CJ$4,tblForecast,CJ$2,FALSE),0),CH81+CI81)</f>
        <v>0</v>
      </c>
      <c r="CK81" s="46">
        <f t="shared" si="554"/>
        <v>0</v>
      </c>
      <c r="CL81" s="46">
        <f t="shared" si="554"/>
        <v>0</v>
      </c>
      <c r="CM81" s="46">
        <f>IFERROR(VLOOKUP($B81-IF(CompareVer="LY",1,0) &amp; $C81 &amp;CM$4,tblForecast,CM$2,FALSE),0)</f>
        <v>0</v>
      </c>
      <c r="CN81" s="194">
        <f t="shared" si="483"/>
        <v>0</v>
      </c>
      <c r="CO81" s="178">
        <f t="shared" si="525"/>
        <v>0</v>
      </c>
      <c r="CP81" s="223">
        <f t="shared" si="525"/>
        <v>0</v>
      </c>
      <c r="CQ81" s="194">
        <f t="shared" si="484"/>
        <v>0</v>
      </c>
      <c r="CR81" s="178">
        <f t="shared" si="487"/>
        <v>0</v>
      </c>
      <c r="CS81" s="223">
        <f t="shared" si="487"/>
        <v>0</v>
      </c>
      <c r="CT81" s="194">
        <f t="shared" si="526"/>
        <v>0</v>
      </c>
      <c r="CU81" s="44"/>
      <c r="CW81" s="102">
        <f>IFERROR(VLOOKUP($B81 &amp; $C81&amp;CompareVer,tblForecast,CW$2,FALSE),0)</f>
        <v>0</v>
      </c>
      <c r="CX81" s="48">
        <f>IFERROR(VLOOKUP($B81-IF(CompareVer="LY",1,0) &amp; $C81 &amp;CX$4,tblForecast,CX$2,FALSE),0)</f>
        <v>0</v>
      </c>
      <c r="CY81" s="47">
        <f t="shared" si="555"/>
        <v>0</v>
      </c>
      <c r="CZ81" s="278">
        <f>IFERROR(VLOOKUP(Brand&amp;Channel&amp;Country&amp;$C81,tblDiscount,6,FALSE),0)</f>
        <v>0.3</v>
      </c>
      <c r="DA81" s="279">
        <f>(1-CZ81)*DB81</f>
        <v>17.513999999999999</v>
      </c>
      <c r="DB81" s="279">
        <f>IFERROR(VLOOKUP(Brand&amp;Country &amp; Channel &amp;FC,tblFCSettings,8,FALSE),0)</f>
        <v>25.02</v>
      </c>
      <c r="DC81" s="280">
        <f>IFERROR(VLOOKUP(Brand&amp;Country &amp; Channel &amp;FC,tblFCSettings,9,FALSE),0)</f>
        <v>4.16</v>
      </c>
    </row>
    <row r="82" spans="2:107" x14ac:dyDescent="0.25">
      <c r="B82" s="44">
        <v>2019</v>
      </c>
      <c r="C82" s="88">
        <v>3</v>
      </c>
      <c r="D82" s="51">
        <f t="shared" si="556"/>
        <v>-201076826.68572798</v>
      </c>
      <c r="E82" s="202">
        <f t="shared" si="557"/>
        <v>-122473335.41206399</v>
      </c>
      <c r="F82" s="182">
        <f t="shared" si="490"/>
        <v>0.60908726992933437</v>
      </c>
      <c r="G82" s="176">
        <f t="shared" si="537"/>
        <v>-7600096</v>
      </c>
      <c r="H82" s="203">
        <f t="shared" si="537"/>
        <v>26.457142999999999</v>
      </c>
      <c r="I82" s="203">
        <f t="shared" si="537"/>
        <v>10.342434000000001</v>
      </c>
      <c r="J82" s="176">
        <f>IFERROR(VLOOKUP($B82 &amp; $C82&amp;J$4&amp;$A82,tblForecast,J$2,FALSE),0)+IFERROR(VLOOKUP($B82 &amp; $C82 &amp; J$4 &amp; $A82,tblForecast,J$2+1,FALSE),0)</f>
        <v>218652</v>
      </c>
      <c r="K82" s="300">
        <f>IFERROR(VLOOKUP($B82 &amp; $C82&amp;K$4&amp;$A82,tblForecast,K$2,FALSE),0)+IFERROR(VLOOKUP($B82 &amp; $C82&amp;K$4&amp;$A82,tblForecast,K$2+1,FALSE),0)</f>
        <v>0</v>
      </c>
      <c r="L82" s="90">
        <f>Q82*AM82</f>
        <v>0</v>
      </c>
      <c r="M82" s="90">
        <f t="shared" si="538"/>
        <v>0</v>
      </c>
      <c r="N82" s="46">
        <f t="shared" si="538"/>
        <v>0</v>
      </c>
      <c r="O82" s="46">
        <f t="shared" si="538"/>
        <v>0</v>
      </c>
      <c r="P82" s="47">
        <f t="shared" si="485"/>
        <v>0</v>
      </c>
      <c r="Q82" s="242">
        <f t="shared" si="558"/>
        <v>0</v>
      </c>
      <c r="R82" s="240">
        <f t="shared" si="539"/>
        <v>0</v>
      </c>
      <c r="S82" s="240">
        <f t="shared" si="539"/>
        <v>0</v>
      </c>
      <c r="T82" s="240">
        <f>IFERROR(VLOOKUP($B82-IF(CompareVer="LY",1,0) &amp; $C82 &amp;T$4,tblForecast,T$2,FALSE),0)</f>
        <v>0</v>
      </c>
      <c r="U82" s="91">
        <f t="shared" si="476"/>
        <v>0</v>
      </c>
      <c r="V82" s="249">
        <f t="shared" si="559"/>
        <v>0</v>
      </c>
      <c r="W82" s="334">
        <f t="shared" si="559"/>
        <v>0</v>
      </c>
      <c r="X82" s="250">
        <f>IFERROR(IF(T81&lt;&gt;0,T82/T81,0),0)</f>
        <v>0</v>
      </c>
      <c r="Y82" s="51">
        <f t="shared" si="540"/>
        <v>0</v>
      </c>
      <c r="Z82" s="46">
        <f t="shared" si="540"/>
        <v>0</v>
      </c>
      <c r="AA82" s="46">
        <f t="shared" si="540"/>
        <v>0</v>
      </c>
      <c r="AB82" s="46">
        <f t="shared" si="540"/>
        <v>0</v>
      </c>
      <c r="AC82" s="91">
        <f t="shared" si="477"/>
        <v>0</v>
      </c>
      <c r="AD82" s="75">
        <f>IF(AM82&lt;&gt;0,1-AR82/AM82,0)</f>
        <v>0.76242147344374644</v>
      </c>
      <c r="AE82" s="93">
        <f t="shared" si="541"/>
        <v>0.76242147344374644</v>
      </c>
      <c r="AF82" s="93">
        <f t="shared" si="541"/>
        <v>0</v>
      </c>
      <c r="AG82" s="76">
        <f t="shared" si="541"/>
        <v>0</v>
      </c>
      <c r="AH82" s="73">
        <f>IF(IFERROR(VLOOKUP($B82 &amp; $C82&amp;AH$4,tblForecast,AH$2,FALSE),0)=0,DB82,IFERROR(VLOOKUP($B82 &amp; $C82&amp;AH$4,tblForecast,AH$2,FALSE),0))</f>
        <v>25.02</v>
      </c>
      <c r="AI82" s="94">
        <f t="shared" si="542"/>
        <v>25.02</v>
      </c>
      <c r="AJ82" s="94">
        <f t="shared" si="542"/>
        <v>0</v>
      </c>
      <c r="AK82" s="49">
        <f>IFERROR(VLOOKUP($B82-IF(CompareVer="LY",1,0) &amp; $C82 &amp;AK$4,tblForecast,AK$2,FALSE),0)</f>
        <v>0</v>
      </c>
      <c r="AL82" s="47">
        <f t="shared" si="387"/>
        <v>0</v>
      </c>
      <c r="AM82" s="73">
        <f>IF(IFERROR(VLOOKUP($B82 &amp; $C82&amp;AM$4,tblForecast,AM$2,FALSE),0)=0,DA82,IFERROR(VLOOKUP($B82 &amp; $C82&amp;AM$4,tblForecast,AM$2,FALSE),0))</f>
        <v>17.510000000000002</v>
      </c>
      <c r="AN82" s="94">
        <f t="shared" si="543"/>
        <v>17.510000000000002</v>
      </c>
      <c r="AO82" s="94">
        <f t="shared" si="543"/>
        <v>0</v>
      </c>
      <c r="AP82" s="49">
        <f>IFERROR(VLOOKUP($B82-IF(CompareVer="LY",1,0) &amp; $C82 &amp;AP$4,tblForecast,AP$2,FALSE),0)</f>
        <v>0</v>
      </c>
      <c r="AQ82" s="47">
        <f t="shared" si="478"/>
        <v>0</v>
      </c>
      <c r="AR82" s="73">
        <f>IF(IFERROR(VLOOKUP($B82 &amp; $C82&amp;AR$4,tblForecast,AR$2,FALSE),0)=0,DC82,IFERROR(VLOOKUP($B82 &amp; $C82&amp;AR$4,tblForecast,AR$2,FALSE),0))</f>
        <v>4.16</v>
      </c>
      <c r="AS82" s="94">
        <f t="shared" si="544"/>
        <v>4.16</v>
      </c>
      <c r="AT82" s="94">
        <f t="shared" si="544"/>
        <v>0</v>
      </c>
      <c r="AU82" s="49">
        <f>IFERROR(VLOOKUP($B82-IF(CompareVer="LY",1,0) &amp; $C82 &amp;AU$4,tblForecast,AU$2,FALSE),0)</f>
        <v>0</v>
      </c>
      <c r="AV82" s="47">
        <f t="shared" si="479"/>
        <v>0</v>
      </c>
      <c r="AW82" s="191">
        <f t="shared" si="545"/>
        <v>0.30015987210231809</v>
      </c>
      <c r="AX82" s="192">
        <f t="shared" si="545"/>
        <v>0.30015987210231809</v>
      </c>
      <c r="AY82" s="192">
        <f t="shared" si="545"/>
        <v>0</v>
      </c>
      <c r="AZ82" s="192">
        <f t="shared" si="545"/>
        <v>0</v>
      </c>
      <c r="BA82" s="235">
        <f>IF(BA81+BV82+BL82+BR82-Q82&lt;0,0,BA81+BV82+BL82+BR82-Q82)</f>
        <v>56712</v>
      </c>
      <c r="BB82" s="231">
        <f>IF(IFERROR(VLOOKUP($B82 &amp; $C82&amp;BB$4,tblForecast,BB$2,FALSE),0)=0,BA82,IFERROR(VLOOKUP($B82 &amp; $C82&amp;BB$4,tblForecast,BB$2,FALSE),0))</f>
        <v>56712</v>
      </c>
      <c r="BC82" s="231">
        <f>IFERROR(VLOOKUP($B82-IF(CompareVer="LY",1,0) &amp; $C82 &amp;BC$4,tblForecast,BC$2,FALSE),0)</f>
        <v>0</v>
      </c>
      <c r="BD82" s="231">
        <f t="shared" si="546"/>
        <v>0</v>
      </c>
      <c r="BE82" s="194">
        <f t="shared" si="480"/>
        <v>0</v>
      </c>
      <c r="BF82" s="231">
        <f>IFERROR(VLOOKUP($B82 &amp; $C82&amp;IF($A82="a",BG$4,BF$4),tblForecast,BF$2,FALSE),0)</f>
        <v>0</v>
      </c>
      <c r="BG82" s="228">
        <f>IFERROR(VLOOKUP($B82-IF(CompareVer="LY",1,0) &amp; $C82 &amp;BG$4,tblForecast,BG$2,FALSE),0)</f>
        <v>0</v>
      </c>
      <c r="BH82" s="179">
        <f>IF(Q82&lt;&gt;0,BA82/Q82,0)</f>
        <v>0</v>
      </c>
      <c r="BI82" s="183">
        <f>IF(T82&lt;&gt;0,BD82/T82,0)</f>
        <v>0</v>
      </c>
      <c r="BJ82" s="195">
        <f t="shared" si="547"/>
        <v>0</v>
      </c>
      <c r="BK82" s="50">
        <f t="shared" si="548"/>
        <v>0</v>
      </c>
      <c r="BL82" s="234">
        <f>IFERROR(VLOOKUP($B82 &amp; $C82&amp;IF($A82="a",BM$4,BL$4),tblForecast,BL$2,FALSE),0)</f>
        <v>0</v>
      </c>
      <c r="BM82" s="228">
        <f>IFERROR(VLOOKUP($B82-IF(CompareVer="LY",1,0) &amp; $C82 &amp;BM$4,tblForecast,BM$2,FALSE),0)</f>
        <v>0</v>
      </c>
      <c r="BN82" s="234">
        <f>IFERROR(VLOOKUP($B82 &amp; $C82&amp;IF($A82="a",BO$4,BN$4),tblForecast,BN$2,FALSE),0)</f>
        <v>0</v>
      </c>
      <c r="BO82" s="228">
        <f>IFERROR(VLOOKUP($B82-IF(CompareVer="LY",1,0) &amp; $C82 &amp;BO$4,tblForecast,BO$2,FALSE),0)</f>
        <v>0</v>
      </c>
      <c r="BP82" s="234">
        <f>IFERROR(VLOOKUP($B82 &amp; $C82&amp;IF($A82="a",BQ$4,BP$4),tblForecast,BP$2,FALSE),0)</f>
        <v>0</v>
      </c>
      <c r="BQ82" s="228">
        <f>IFERROR(VLOOKUP($B82-IF(CompareVer="LY",1,0) &amp; $C82 &amp;BQ$4,tblForecast,BQ$2,FALSE),0)</f>
        <v>0</v>
      </c>
      <c r="BR82" s="227">
        <f t="shared" si="486"/>
        <v>0</v>
      </c>
      <c r="BS82" s="231">
        <f t="shared" si="486"/>
        <v>0</v>
      </c>
      <c r="BT82" s="234">
        <f t="shared" si="549"/>
        <v>0</v>
      </c>
      <c r="BU82" s="231">
        <f t="shared" si="549"/>
        <v>0</v>
      </c>
      <c r="BV82" s="231">
        <f>IF($A82="a",IFERROR(VLOOKUP($B82 &amp; $C82&amp;BV$4,tblForecast,BV$2,FALSE),0),BT82+BU82)</f>
        <v>0</v>
      </c>
      <c r="BW82" s="231">
        <f t="shared" si="550"/>
        <v>0</v>
      </c>
      <c r="BX82" s="231">
        <f t="shared" si="550"/>
        <v>0</v>
      </c>
      <c r="BY82" s="193">
        <f>IFERROR(VLOOKUP($B82-IF(CompareVer="LY",1,0) &amp; $C82 &amp;BY$4,tblForecast,BY$2,FALSE),0)</f>
        <v>0</v>
      </c>
      <c r="BZ82" s="194">
        <f t="shared" si="481"/>
        <v>0</v>
      </c>
      <c r="CA82" s="337">
        <f t="shared" si="551"/>
        <v>0</v>
      </c>
      <c r="CB82" s="46">
        <f t="shared" si="551"/>
        <v>0</v>
      </c>
      <c r="CC82" s="46">
        <f>IF($A82="a",IFERROR(VLOOKUP($B82 &amp; $C82&amp;CC$4,tblForecast,CC$2,FALSE),0),CA82+CB82)</f>
        <v>0</v>
      </c>
      <c r="CD82" s="46">
        <f t="shared" si="552"/>
        <v>0</v>
      </c>
      <c r="CE82" s="46">
        <f t="shared" si="552"/>
        <v>0</v>
      </c>
      <c r="CF82" s="46">
        <f>IFERROR(VLOOKUP($B82-IF(CompareVer="LY",1,0) &amp; $C82 &amp;CF$4,tblForecast,CF$2,FALSE),0)</f>
        <v>0</v>
      </c>
      <c r="CG82" s="194">
        <f t="shared" si="482"/>
        <v>0</v>
      </c>
      <c r="CH82" s="337">
        <f t="shared" si="553"/>
        <v>0</v>
      </c>
      <c r="CI82" s="46">
        <f t="shared" si="553"/>
        <v>0</v>
      </c>
      <c r="CJ82" s="46">
        <f>IF($A82="a",IFERROR(VLOOKUP($B82 &amp; $C82&amp;CJ$4,tblForecast,CJ$2,FALSE),0),CH82+CI82)</f>
        <v>0</v>
      </c>
      <c r="CK82" s="46">
        <f t="shared" si="554"/>
        <v>0</v>
      </c>
      <c r="CL82" s="46">
        <f t="shared" si="554"/>
        <v>0</v>
      </c>
      <c r="CM82" s="46">
        <f>IFERROR(VLOOKUP($B82-IF(CompareVer="LY",1,0) &amp; $C82 &amp;CM$4,tblForecast,CM$2,FALSE),0)</f>
        <v>0</v>
      </c>
      <c r="CN82" s="194">
        <f t="shared" si="483"/>
        <v>0</v>
      </c>
      <c r="CO82" s="178">
        <f t="shared" si="525"/>
        <v>0</v>
      </c>
      <c r="CP82" s="223">
        <f t="shared" si="525"/>
        <v>0</v>
      </c>
      <c r="CQ82" s="194">
        <f t="shared" si="484"/>
        <v>0</v>
      </c>
      <c r="CR82" s="178">
        <f t="shared" si="487"/>
        <v>0</v>
      </c>
      <c r="CS82" s="223">
        <f t="shared" si="487"/>
        <v>0</v>
      </c>
      <c r="CT82" s="194">
        <f t="shared" si="526"/>
        <v>0</v>
      </c>
      <c r="CU82" s="44"/>
      <c r="CW82" s="102">
        <f>IFERROR(VLOOKUP($B82 &amp; $C82&amp;CompareVer,tblForecast,CW$2,FALSE),0)</f>
        <v>0</v>
      </c>
      <c r="CX82" s="48">
        <f>IFERROR(VLOOKUP($B82-IF(CompareVer="LY",1,0) &amp; $C82 &amp;CX$4,tblForecast,CX$2,FALSE),0)</f>
        <v>0</v>
      </c>
      <c r="CY82" s="47">
        <f t="shared" si="555"/>
        <v>0</v>
      </c>
      <c r="CZ82" s="278">
        <f>IFERROR(VLOOKUP(Brand&amp;Channel&amp;Country&amp;$C82,tblDiscount,6,FALSE),0)</f>
        <v>0.3</v>
      </c>
      <c r="DA82" s="279">
        <f>(1-CZ82)*DB82</f>
        <v>17.513999999999999</v>
      </c>
      <c r="DB82" s="279">
        <f>IFERROR(VLOOKUP(Brand&amp;Country &amp; Channel &amp;FC,tblFCSettings,8,FALSE),0)</f>
        <v>25.02</v>
      </c>
      <c r="DC82" s="280">
        <f>IFERROR(VLOOKUP(Brand&amp;Country &amp; Channel &amp;FC,tblFCSettings,9,FALSE),0)</f>
        <v>4.16</v>
      </c>
    </row>
    <row r="83" spans="2:107" ht="16.5" thickBot="1" x14ac:dyDescent="0.3">
      <c r="B83" s="44">
        <v>2019</v>
      </c>
      <c r="C83" s="88">
        <v>4</v>
      </c>
      <c r="D83" s="51">
        <f t="shared" si="556"/>
        <v>-533587.49034499994</v>
      </c>
      <c r="E83" s="202">
        <f t="shared" si="557"/>
        <v>-318431.24194699991</v>
      </c>
      <c r="F83" s="182">
        <f t="shared" si="490"/>
        <v>0.59677418925453607</v>
      </c>
      <c r="G83" s="176">
        <f t="shared" si="537"/>
        <v>-20293</v>
      </c>
      <c r="H83" s="203">
        <f t="shared" si="537"/>
        <v>26.294165</v>
      </c>
      <c r="I83" s="203">
        <f t="shared" si="537"/>
        <v>10.602486000000001</v>
      </c>
      <c r="J83" s="176">
        <f>IFERROR(VLOOKUP($B83 &amp; $C83&amp;J$4&amp;$A83,tblForecast,J$2,FALSE),0)+IFERROR(VLOOKUP($B83 &amp; $C83 &amp; J$4 &amp; $A83,tblForecast,J$2+1,FALSE),0)</f>
        <v>67438</v>
      </c>
      <c r="K83" s="300">
        <f>IFERROR(VLOOKUP($B83 &amp; $C83&amp;K$4&amp;$A83,tblForecast,K$2,FALSE),0)+IFERROR(VLOOKUP($B83 &amp; $C83&amp;K$4&amp;$A83,tblForecast,K$2+1,FALSE),0)</f>
        <v>0</v>
      </c>
      <c r="L83" s="90">
        <f>Q83*AM83</f>
        <v>0</v>
      </c>
      <c r="M83" s="90">
        <f t="shared" si="538"/>
        <v>0</v>
      </c>
      <c r="N83" s="46">
        <f t="shared" si="538"/>
        <v>0</v>
      </c>
      <c r="O83" s="46">
        <f t="shared" si="538"/>
        <v>0</v>
      </c>
      <c r="P83" s="47">
        <f t="shared" si="485"/>
        <v>0</v>
      </c>
      <c r="Q83" s="242">
        <f t="shared" si="558"/>
        <v>0</v>
      </c>
      <c r="R83" s="240">
        <f t="shared" si="539"/>
        <v>0</v>
      </c>
      <c r="S83" s="240">
        <f t="shared" si="539"/>
        <v>0</v>
      </c>
      <c r="T83" s="240">
        <f>IFERROR(VLOOKUP($B83-IF(CompareVer="LY",1,0) &amp; $C83 &amp;T$4,tblForecast,T$2,FALSE),0)</f>
        <v>0</v>
      </c>
      <c r="U83" s="91">
        <f t="shared" si="476"/>
        <v>0</v>
      </c>
      <c r="V83" s="249">
        <f t="shared" si="559"/>
        <v>0</v>
      </c>
      <c r="W83" s="334">
        <f t="shared" si="559"/>
        <v>0</v>
      </c>
      <c r="X83" s="250">
        <f>IFERROR(IF(T82&lt;&gt;0,T83/T82,0),0)</f>
        <v>0</v>
      </c>
      <c r="Y83" s="51">
        <f t="shared" si="540"/>
        <v>0</v>
      </c>
      <c r="Z83" s="46">
        <f t="shared" si="540"/>
        <v>0</v>
      </c>
      <c r="AA83" s="46">
        <f t="shared" si="540"/>
        <v>0</v>
      </c>
      <c r="AB83" s="46">
        <f t="shared" si="540"/>
        <v>0</v>
      </c>
      <c r="AC83" s="91">
        <f t="shared" si="477"/>
        <v>0</v>
      </c>
      <c r="AD83" s="75">
        <f>IF(AM83&lt;&gt;0,1-AR83/AM83,0)</f>
        <v>0.76242147344374644</v>
      </c>
      <c r="AE83" s="93">
        <f t="shared" si="541"/>
        <v>0.76242147344374644</v>
      </c>
      <c r="AF83" s="93">
        <f t="shared" si="541"/>
        <v>0</v>
      </c>
      <c r="AG83" s="76">
        <f t="shared" si="541"/>
        <v>0</v>
      </c>
      <c r="AH83" s="73">
        <f>IF(IFERROR(VLOOKUP($B83 &amp; $C83&amp;AH$4,tblForecast,AH$2,FALSE),0)=0,DB83,IFERROR(VLOOKUP($B83 &amp; $C83&amp;AH$4,tblForecast,AH$2,FALSE),0))</f>
        <v>25.02</v>
      </c>
      <c r="AI83" s="94">
        <f t="shared" si="542"/>
        <v>25.02</v>
      </c>
      <c r="AJ83" s="94">
        <f t="shared" si="542"/>
        <v>0</v>
      </c>
      <c r="AK83" s="49">
        <f>IFERROR(VLOOKUP($B83-IF(CompareVer="LY",1,0) &amp; $C83 &amp;AK$4,tblForecast,AK$2,FALSE),0)</f>
        <v>0</v>
      </c>
      <c r="AL83" s="47">
        <f t="shared" si="387"/>
        <v>0</v>
      </c>
      <c r="AM83" s="73">
        <f>IF(IFERROR(VLOOKUP($B83 &amp; $C83&amp;AM$4,tblForecast,AM$2,FALSE),0)=0,DA83,IFERROR(VLOOKUP($B83 &amp; $C83&amp;AM$4,tblForecast,AM$2,FALSE),0))</f>
        <v>17.510000000000002</v>
      </c>
      <c r="AN83" s="94">
        <f t="shared" si="543"/>
        <v>17.510000000000002</v>
      </c>
      <c r="AO83" s="94">
        <f t="shared" si="543"/>
        <v>0</v>
      </c>
      <c r="AP83" s="49">
        <f>IFERROR(VLOOKUP($B83-IF(CompareVer="LY",1,0) &amp; $C83 &amp;AP$4,tblForecast,AP$2,FALSE),0)</f>
        <v>0</v>
      </c>
      <c r="AQ83" s="47">
        <f t="shared" si="478"/>
        <v>0</v>
      </c>
      <c r="AR83" s="73">
        <f>IF(IFERROR(VLOOKUP($B83 &amp; $C83&amp;AR$4,tblForecast,AR$2,FALSE),0)=0,DC83,IFERROR(VLOOKUP($B83 &amp; $C83&amp;AR$4,tblForecast,AR$2,FALSE),0))</f>
        <v>4.16</v>
      </c>
      <c r="AS83" s="94">
        <f t="shared" si="544"/>
        <v>4.16</v>
      </c>
      <c r="AT83" s="94">
        <f t="shared" si="544"/>
        <v>0</v>
      </c>
      <c r="AU83" s="49">
        <f>IFERROR(VLOOKUP($B83-IF(CompareVer="LY",1,0) &amp; $C83 &amp;AU$4,tblForecast,AU$2,FALSE),0)</f>
        <v>0</v>
      </c>
      <c r="AV83" s="47">
        <f t="shared" si="479"/>
        <v>0</v>
      </c>
      <c r="AW83" s="191">
        <f t="shared" si="545"/>
        <v>0.30015987210231809</v>
      </c>
      <c r="AX83" s="192">
        <f t="shared" si="545"/>
        <v>0.30015987210231809</v>
      </c>
      <c r="AY83" s="192">
        <f t="shared" si="545"/>
        <v>0</v>
      </c>
      <c r="AZ83" s="192">
        <f t="shared" si="545"/>
        <v>0</v>
      </c>
      <c r="BA83" s="235">
        <f>IF(BA82+BV83+BL83+BR83-Q83&lt;0,0,BA82+BV83+BL83+BR83-Q83)</f>
        <v>56712</v>
      </c>
      <c r="BB83" s="231">
        <f>IF(IFERROR(VLOOKUP($B83 &amp; $C83&amp;BB$4,tblForecast,BB$2,FALSE),0)=0,BA83,IFERROR(VLOOKUP($B83 &amp; $C83&amp;BB$4,tblForecast,BB$2,FALSE),0))</f>
        <v>56712</v>
      </c>
      <c r="BC83" s="231">
        <f>IFERROR(VLOOKUP($B83-IF(CompareVer="LY",1,0) &amp; $C83 &amp;BC$4,tblForecast,BC$2,FALSE),0)</f>
        <v>0</v>
      </c>
      <c r="BD83" s="231">
        <f t="shared" si="546"/>
        <v>0</v>
      </c>
      <c r="BE83" s="194">
        <f t="shared" si="480"/>
        <v>0</v>
      </c>
      <c r="BF83" s="231">
        <f>IFERROR(VLOOKUP($B83 &amp; $C83&amp;IF($A83="a",BG$4,BF$4),tblForecast,BF$2,FALSE),0)</f>
        <v>0</v>
      </c>
      <c r="BG83" s="228">
        <f>IFERROR(VLOOKUP($B83-IF(CompareVer="LY",1,0) &amp; $C83 &amp;BG$4,tblForecast,BG$2,FALSE),0)</f>
        <v>0</v>
      </c>
      <c r="BH83" s="179">
        <f>IF(Q83&lt;&gt;0,BA83/Q83,0)</f>
        <v>0</v>
      </c>
      <c r="BI83" s="183">
        <f>IF(T83&lt;&gt;0,BD83/T83,0)</f>
        <v>0</v>
      </c>
      <c r="BJ83" s="195">
        <f t="shared" si="547"/>
        <v>0</v>
      </c>
      <c r="BK83" s="50">
        <f t="shared" si="548"/>
        <v>0</v>
      </c>
      <c r="BL83" s="234">
        <f>IFERROR(VLOOKUP($B83 &amp; $C83&amp;IF($A83="a",BM$4,BL$4),tblForecast,BL$2,FALSE),0)</f>
        <v>0</v>
      </c>
      <c r="BM83" s="228">
        <f>IFERROR(VLOOKUP($B83-IF(CompareVer="LY",1,0) &amp; $C83 &amp;BM$4,tblForecast,BM$2,FALSE),0)</f>
        <v>0</v>
      </c>
      <c r="BN83" s="234">
        <f>IFERROR(VLOOKUP($B83 &amp; $C83&amp;IF($A83="a",BO$4,BN$4),tblForecast,BN$2,FALSE),0)</f>
        <v>0</v>
      </c>
      <c r="BO83" s="228">
        <f>IFERROR(VLOOKUP($B83-IF(CompareVer="LY",1,0) &amp; $C83 &amp;BO$4,tblForecast,BO$2,FALSE),0)</f>
        <v>0</v>
      </c>
      <c r="BP83" s="234">
        <f>IFERROR(VLOOKUP($B83 &amp; $C83&amp;IF($A83="a",BQ$4,BP$4),tblForecast,BP$2,FALSE),0)</f>
        <v>0</v>
      </c>
      <c r="BQ83" s="228">
        <f>IFERROR(VLOOKUP($B83-IF(CompareVer="LY",1,0) &amp; $C83 &amp;BQ$4,tblForecast,BQ$2,FALSE),0)</f>
        <v>0</v>
      </c>
      <c r="BR83" s="227">
        <f t="shared" si="486"/>
        <v>0</v>
      </c>
      <c r="BS83" s="231">
        <f t="shared" si="486"/>
        <v>0</v>
      </c>
      <c r="BT83" s="234">
        <f t="shared" si="549"/>
        <v>0</v>
      </c>
      <c r="BU83" s="231">
        <f t="shared" si="549"/>
        <v>0</v>
      </c>
      <c r="BV83" s="231">
        <f>IF($A83="a",IFERROR(VLOOKUP($B83 &amp; $C83&amp;BV$4,tblForecast,BV$2,FALSE),0),BT83+BU83)</f>
        <v>0</v>
      </c>
      <c r="BW83" s="231">
        <f t="shared" si="550"/>
        <v>0</v>
      </c>
      <c r="BX83" s="231">
        <f t="shared" si="550"/>
        <v>0</v>
      </c>
      <c r="BY83" s="193">
        <f>IFERROR(VLOOKUP($B83-IF(CompareVer="LY",1,0) &amp; $C83 &amp;BY$4,tblForecast,BY$2,FALSE),0)</f>
        <v>0</v>
      </c>
      <c r="BZ83" s="194">
        <f t="shared" si="481"/>
        <v>0</v>
      </c>
      <c r="CA83" s="337">
        <f t="shared" si="551"/>
        <v>0</v>
      </c>
      <c r="CB83" s="46">
        <f t="shared" si="551"/>
        <v>0</v>
      </c>
      <c r="CC83" s="46">
        <f>IF($A83="a",IFERROR(VLOOKUP($B83 &amp; $C83&amp;CC$4,tblForecast,CC$2,FALSE),0),CA83+CB83)</f>
        <v>0</v>
      </c>
      <c r="CD83" s="46">
        <f t="shared" si="552"/>
        <v>0</v>
      </c>
      <c r="CE83" s="46">
        <f t="shared" si="552"/>
        <v>0</v>
      </c>
      <c r="CF83" s="46">
        <f>IFERROR(VLOOKUP($B83-IF(CompareVer="LY",1,0) &amp; $C83 &amp;CF$4,tblForecast,CF$2,FALSE),0)</f>
        <v>0</v>
      </c>
      <c r="CG83" s="194">
        <f t="shared" si="482"/>
        <v>0</v>
      </c>
      <c r="CH83" s="337">
        <f t="shared" si="553"/>
        <v>0</v>
      </c>
      <c r="CI83" s="46">
        <f t="shared" si="553"/>
        <v>0</v>
      </c>
      <c r="CJ83" s="46">
        <f>IF($A83="a",IFERROR(VLOOKUP($B83 &amp; $C83&amp;CJ$4,tblForecast,CJ$2,FALSE),0),CH83+CI83)</f>
        <v>0</v>
      </c>
      <c r="CK83" s="46">
        <f t="shared" si="554"/>
        <v>0</v>
      </c>
      <c r="CL83" s="46">
        <f t="shared" si="554"/>
        <v>0</v>
      </c>
      <c r="CM83" s="46">
        <f>IFERROR(VLOOKUP($B83-IF(CompareVer="LY",1,0) &amp; $C83 &amp;CM$4,tblForecast,CM$2,FALSE),0)</f>
        <v>0</v>
      </c>
      <c r="CN83" s="194">
        <f t="shared" si="483"/>
        <v>0</v>
      </c>
      <c r="CO83" s="178">
        <f t="shared" si="525"/>
        <v>0</v>
      </c>
      <c r="CP83" s="223">
        <f t="shared" si="525"/>
        <v>0</v>
      </c>
      <c r="CQ83" s="194">
        <f t="shared" si="484"/>
        <v>0</v>
      </c>
      <c r="CR83" s="178">
        <f t="shared" si="487"/>
        <v>0</v>
      </c>
      <c r="CS83" s="223">
        <f t="shared" si="487"/>
        <v>0</v>
      </c>
      <c r="CT83" s="194">
        <f t="shared" si="526"/>
        <v>0</v>
      </c>
      <c r="CU83" s="44"/>
      <c r="CW83" s="102">
        <f>IFERROR(VLOOKUP($B83 &amp; $C83&amp;CompareVer,tblForecast,CW$2,FALSE),0)</f>
        <v>0</v>
      </c>
      <c r="CX83" s="48">
        <f>IFERROR(VLOOKUP($B83-IF(CompareVer="LY",1,0) &amp; $C83 &amp;CX$4,tblForecast,CX$2,FALSE),0)</f>
        <v>0</v>
      </c>
      <c r="CY83" s="47">
        <f t="shared" si="555"/>
        <v>0</v>
      </c>
      <c r="CZ83" s="278">
        <f>IFERROR(VLOOKUP(Brand&amp;Channel&amp;Country&amp;$C83,tblDiscount,6,FALSE),0)</f>
        <v>0.3</v>
      </c>
      <c r="DA83" s="279">
        <f>(1-CZ83)*DB83</f>
        <v>17.513999999999999</v>
      </c>
      <c r="DB83" s="279">
        <f>IFERROR(VLOOKUP(Brand&amp;Country &amp; Channel &amp;FC,tblFCSettings,8,FALSE),0)</f>
        <v>25.02</v>
      </c>
      <c r="DC83" s="280">
        <f>IFERROR(VLOOKUP(Brand&amp;Country &amp; Channel &amp;FC,tblFCSettings,9,FALSE),0)</f>
        <v>4.16</v>
      </c>
    </row>
    <row r="84" spans="2:107" ht="16.5" thickBot="1" x14ac:dyDescent="0.3">
      <c r="C84" s="253" t="s">
        <v>21</v>
      </c>
      <c r="D84" s="254">
        <f t="shared" ref="D84" si="560">SUM(D80:D83)</f>
        <v>-3513841420.415554</v>
      </c>
      <c r="E84" s="255">
        <f t="shared" ref="E84" si="561">SUM(E80:E83)</f>
        <v>-1849602111.022989</v>
      </c>
      <c r="F84" s="256">
        <f t="shared" si="490"/>
        <v>0.52637609092906967</v>
      </c>
      <c r="G84" s="257">
        <f>SUM(G80:G83)</f>
        <v>-136220088</v>
      </c>
      <c r="H84" s="258">
        <f>IFERROR(D84/G84,0)</f>
        <v>25.795324845301479</v>
      </c>
      <c r="I84" s="258">
        <f>IFERROR(SUMPRODUCT(I80:I83,G80:G83)/G84,0)</f>
        <v>12.217282588986178</v>
      </c>
      <c r="J84" s="257">
        <f>SUM(J80:J83)</f>
        <v>698139</v>
      </c>
      <c r="K84" s="301">
        <f>SUM(K80:K83)</f>
        <v>0</v>
      </c>
      <c r="L84" s="259">
        <f>SUM(L80:L83)</f>
        <v>0</v>
      </c>
      <c r="M84" s="259">
        <f t="shared" ref="M84:O84" si="562">SUM(M80:M83)</f>
        <v>0</v>
      </c>
      <c r="N84" s="259">
        <f t="shared" si="562"/>
        <v>0</v>
      </c>
      <c r="O84" s="259">
        <f t="shared" si="562"/>
        <v>0</v>
      </c>
      <c r="P84" s="260">
        <f t="shared" si="485"/>
        <v>0</v>
      </c>
      <c r="Q84" s="262">
        <f t="shared" ref="Q84:S84" si="563">SUM(Q80:Q83)</f>
        <v>0</v>
      </c>
      <c r="R84" s="262">
        <f t="shared" si="563"/>
        <v>0</v>
      </c>
      <c r="S84" s="262">
        <f t="shared" si="563"/>
        <v>0</v>
      </c>
      <c r="T84" s="262">
        <f>SUM(T80:T83)</f>
        <v>0</v>
      </c>
      <c r="U84" s="260">
        <f t="shared" si="476"/>
        <v>0</v>
      </c>
      <c r="V84" s="263">
        <f>V83</f>
        <v>0</v>
      </c>
      <c r="W84" s="332">
        <f>W83</f>
        <v>0</v>
      </c>
      <c r="X84" s="264">
        <f>X83</f>
        <v>0</v>
      </c>
      <c r="Y84" s="254">
        <f>SUM(Y80:Y83)</f>
        <v>0</v>
      </c>
      <c r="Z84" s="259">
        <f t="shared" ref="Z84:AB84" si="564">SUM(Z80:Z83)</f>
        <v>0</v>
      </c>
      <c r="AA84" s="259">
        <f t="shared" si="564"/>
        <v>0</v>
      </c>
      <c r="AB84" s="259">
        <f t="shared" si="564"/>
        <v>0</v>
      </c>
      <c r="AC84" s="260">
        <f t="shared" si="477"/>
        <v>0</v>
      </c>
      <c r="AD84" s="265">
        <f>IFERROR(Y84/L84,0)</f>
        <v>0</v>
      </c>
      <c r="AE84" s="266">
        <f>IFERROR(Z84/M84,0)</f>
        <v>0</v>
      </c>
      <c r="AF84" s="266">
        <f>IFERROR(AA84/N84,0)</f>
        <v>0</v>
      </c>
      <c r="AG84" s="266">
        <f>IFERROR(AB84/O84,0)</f>
        <v>0</v>
      </c>
      <c r="AH84" s="267">
        <f>IFERROR(SUMPRODUCT(AH80:AH83,Q80:Q83)/Q84,0)</f>
        <v>0</v>
      </c>
      <c r="AI84" s="268">
        <f>IFERROR(SUMPRODUCT(AI80:AI83,R80:R83)/R84,0)</f>
        <v>0</v>
      </c>
      <c r="AJ84" s="268">
        <f t="shared" ref="AJ84:AK84" si="565">IFERROR(SUMPRODUCT(AJ80:AJ83,S80:S83)/S84,0)</f>
        <v>0</v>
      </c>
      <c r="AK84" s="268">
        <f t="shared" si="565"/>
        <v>0</v>
      </c>
      <c r="AL84" s="260">
        <f t="shared" si="387"/>
        <v>0</v>
      </c>
      <c r="AM84" s="267">
        <f>IF(Q84&lt;&gt;0,L84/Q84,0)</f>
        <v>0</v>
      </c>
      <c r="AN84" s="268">
        <f>IF(R84&lt;&gt;0,M84/R84,0)</f>
        <v>0</v>
      </c>
      <c r="AO84" s="268">
        <f>IF(S84&lt;&gt;0,N84/S84,0)</f>
        <v>0</v>
      </c>
      <c r="AP84" s="268">
        <f>IF(T84&lt;&gt;0,O84/T84,0)</f>
        <v>0</v>
      </c>
      <c r="AQ84" s="260">
        <f t="shared" si="478"/>
        <v>0</v>
      </c>
      <c r="AR84" s="267">
        <f>IFERROR((L84*(1-AD84))/Q84,0)</f>
        <v>0</v>
      </c>
      <c r="AS84" s="268">
        <f>IFERROR((M84*(1-AE84))/R84,0)</f>
        <v>0</v>
      </c>
      <c r="AT84" s="268">
        <f>IFERROR((N84*(1-AF84))/S84,0)</f>
        <v>0</v>
      </c>
      <c r="AU84" s="268">
        <f>IFERROR((O84*(1-AG84))/T84,0)</f>
        <v>0</v>
      </c>
      <c r="AV84" s="260">
        <f t="shared" si="479"/>
        <v>0</v>
      </c>
      <c r="AW84" s="269">
        <f>IFERROR(SUMPRODUCT(AW80:AW83,V80:V83)/V84,0)</f>
        <v>0</v>
      </c>
      <c r="AX84" s="270">
        <f t="shared" ref="AX84:AZ84" si="566">IFERROR(SUMPRODUCT(AX80:AX83,X80:X83)/X84,0)</f>
        <v>0</v>
      </c>
      <c r="AY84" s="270">
        <f t="shared" si="566"/>
        <v>0</v>
      </c>
      <c r="AZ84" s="270">
        <f t="shared" si="566"/>
        <v>0</v>
      </c>
      <c r="BA84" s="261">
        <f>BA83</f>
        <v>56712</v>
      </c>
      <c r="BB84" s="262">
        <f t="shared" ref="BB84:BD84" si="567">BB83</f>
        <v>56712</v>
      </c>
      <c r="BC84" s="262">
        <f t="shared" si="567"/>
        <v>0</v>
      </c>
      <c r="BD84" s="262">
        <f t="shared" si="567"/>
        <v>0</v>
      </c>
      <c r="BE84" s="260">
        <f t="shared" si="480"/>
        <v>0</v>
      </c>
      <c r="BF84" s="262">
        <f>BF83</f>
        <v>0</v>
      </c>
      <c r="BG84" s="262">
        <f>BG83</f>
        <v>0</v>
      </c>
      <c r="BH84" s="271">
        <f>IF(Q82&lt;&gt;0,(BA84/Q84),0)</f>
        <v>0</v>
      </c>
      <c r="BI84" s="272">
        <f>IF(T82&lt;&gt;0,(BD84/T82),0)</f>
        <v>0</v>
      </c>
      <c r="BJ84" s="273" t="e">
        <f>IF(BA84&lt;&gt;0,(Q84/COUNTIF(BJ80:BJ83,"&lt;&gt;0"))/BA84,0)</f>
        <v>#DIV/0!</v>
      </c>
      <c r="BK84" s="274">
        <f>IF(BD84&lt;&gt;0,(T84/COUNTIF(BK80:BK83,"&lt;&gt;0"))/BD84,0)</f>
        <v>0</v>
      </c>
      <c r="BL84" s="261">
        <f>SUM(BL80:BL83)</f>
        <v>0</v>
      </c>
      <c r="BM84" s="262">
        <f>SUM(BM80:BM83)</f>
        <v>0</v>
      </c>
      <c r="BN84" s="261">
        <f>SUM(BN80:BN83)</f>
        <v>0</v>
      </c>
      <c r="BO84" s="262">
        <f t="shared" ref="BO84" si="568">SUM(BO80:BO83)</f>
        <v>0</v>
      </c>
      <c r="BP84" s="261">
        <f>SUM(BP80:BP83)</f>
        <v>0</v>
      </c>
      <c r="BQ84" s="262">
        <f t="shared" ref="BQ84" si="569">SUM(BQ80:BQ83)</f>
        <v>0</v>
      </c>
      <c r="BR84" s="261">
        <f t="shared" si="486"/>
        <v>0</v>
      </c>
      <c r="BS84" s="262">
        <f t="shared" si="486"/>
        <v>0</v>
      </c>
      <c r="BT84" s="261">
        <f>SUM(BT80:BT83)</f>
        <v>0</v>
      </c>
      <c r="BU84" s="262">
        <f>SUM(BU80:BU83)</f>
        <v>0</v>
      </c>
      <c r="BV84" s="262">
        <f>SUM(BV80:BV83)</f>
        <v>0</v>
      </c>
      <c r="BW84" s="262">
        <f t="shared" ref="BW84:BX84" si="570">SUM(BW80:BW83)</f>
        <v>0</v>
      </c>
      <c r="BX84" s="262">
        <f t="shared" si="570"/>
        <v>0</v>
      </c>
      <c r="BY84" s="275">
        <f>SUM(BY80:BY83)</f>
        <v>0</v>
      </c>
      <c r="BZ84" s="260">
        <f t="shared" si="481"/>
        <v>0</v>
      </c>
      <c r="CA84" s="338">
        <f>SUM(CA80:CA83)</f>
        <v>0</v>
      </c>
      <c r="CB84" s="259">
        <f t="shared" ref="CB84:CF84" si="571">SUM(CB80:CB83)</f>
        <v>0</v>
      </c>
      <c r="CC84" s="259">
        <f t="shared" si="571"/>
        <v>0</v>
      </c>
      <c r="CD84" s="259">
        <f t="shared" si="571"/>
        <v>0</v>
      </c>
      <c r="CE84" s="259">
        <f t="shared" si="571"/>
        <v>0</v>
      </c>
      <c r="CF84" s="259">
        <f t="shared" si="571"/>
        <v>0</v>
      </c>
      <c r="CG84" s="260">
        <f t="shared" si="482"/>
        <v>0</v>
      </c>
      <c r="CH84" s="338">
        <f>SUM(CH80:CH83)</f>
        <v>0</v>
      </c>
      <c r="CI84" s="259">
        <f t="shared" ref="CI84:CM84" si="572">SUM(CI80:CI83)</f>
        <v>0</v>
      </c>
      <c r="CJ84" s="259">
        <f t="shared" si="572"/>
        <v>0</v>
      </c>
      <c r="CK84" s="259">
        <f t="shared" si="572"/>
        <v>0</v>
      </c>
      <c r="CL84" s="259">
        <f t="shared" si="572"/>
        <v>0</v>
      </c>
      <c r="CM84" s="259">
        <f t="shared" si="572"/>
        <v>0</v>
      </c>
      <c r="CN84" s="260">
        <f t="shared" si="483"/>
        <v>0</v>
      </c>
      <c r="CO84" s="276">
        <f t="shared" si="525"/>
        <v>0</v>
      </c>
      <c r="CP84" s="277">
        <f t="shared" si="525"/>
        <v>0</v>
      </c>
      <c r="CQ84" s="260">
        <f t="shared" si="484"/>
        <v>0</v>
      </c>
      <c r="CR84" s="276">
        <f t="shared" si="487"/>
        <v>0</v>
      </c>
      <c r="CS84" s="277">
        <f t="shared" si="487"/>
        <v>0</v>
      </c>
      <c r="CT84" s="260">
        <f t="shared" si="526"/>
        <v>0</v>
      </c>
      <c r="CU84" s="44"/>
      <c r="CW84" s="100">
        <f>CW83</f>
        <v>0</v>
      </c>
      <c r="CX84" s="101">
        <f>CX83</f>
        <v>0</v>
      </c>
      <c r="CY84" s="99">
        <f t="shared" si="555"/>
        <v>0</v>
      </c>
      <c r="CZ84" s="278"/>
      <c r="DA84" s="279"/>
      <c r="DB84" s="279"/>
      <c r="DC84" s="280"/>
    </row>
    <row r="85" spans="2:107" x14ac:dyDescent="0.25">
      <c r="B85" s="44">
        <v>2019</v>
      </c>
      <c r="C85" s="88">
        <v>5</v>
      </c>
      <c r="D85" s="51">
        <f>G85*H85</f>
        <v>0</v>
      </c>
      <c r="E85" s="202">
        <f>IFERROR(D85*F85,0)</f>
        <v>0</v>
      </c>
      <c r="F85" s="182">
        <f t="shared" si="490"/>
        <v>0</v>
      </c>
      <c r="G85" s="176">
        <f t="shared" ref="G85:I89" si="573">IFERROR(VLOOKUP($B85 &amp; $C85&amp;G$4&amp;$A85,tblForecast,G$2,FALSE),0)</f>
        <v>9920</v>
      </c>
      <c r="H85" s="203">
        <f t="shared" si="573"/>
        <v>0</v>
      </c>
      <c r="I85" s="203">
        <f t="shared" si="573"/>
        <v>0</v>
      </c>
      <c r="J85" s="176">
        <f>IFERROR(VLOOKUP($B85 &amp; $C85&amp;J$4&amp;$A85,tblForecast,J$2,FALSE),0)+IFERROR(VLOOKUP($B85 &amp; $C85 &amp; J$4 &amp; $A85,tblForecast,J$2+1,FALSE),0)</f>
        <v>53068</v>
      </c>
      <c r="K85" s="300">
        <f>IFERROR(VLOOKUP($B85 &amp; $C85&amp;K$4&amp;$A85,tblForecast,K$2,FALSE),0)+IFERROR(VLOOKUP($B85 &amp; $C85&amp;K$4&amp;$A85,tblForecast,K$2+1,FALSE),0)</f>
        <v>0</v>
      </c>
      <c r="L85" s="90">
        <f>Q85*AM85</f>
        <v>0</v>
      </c>
      <c r="M85" s="90">
        <f t="shared" ref="M85:O89" si="574">R85*AN85</f>
        <v>0</v>
      </c>
      <c r="N85" s="46">
        <f t="shared" si="574"/>
        <v>0</v>
      </c>
      <c r="O85" s="46">
        <f t="shared" si="574"/>
        <v>0</v>
      </c>
      <c r="P85" s="47">
        <f t="shared" si="485"/>
        <v>0</v>
      </c>
      <c r="Q85" s="242">
        <f>ROUND(IF(BA83-(Q83*IF(W85=0,X85,W85))&lt;0,BA83,Q83*IF(W85=0,X85,W85)),0)</f>
        <v>0</v>
      </c>
      <c r="R85" s="240">
        <f t="shared" ref="R85:S89" si="575">IFERROR(VLOOKUP($B85 &amp; $C85&amp;R$4,tblForecast,R$2,FALSE),0)</f>
        <v>0</v>
      </c>
      <c r="S85" s="240">
        <f t="shared" si="575"/>
        <v>0</v>
      </c>
      <c r="T85" s="240">
        <f>IFERROR(VLOOKUP($B85-IF(CompareVer="LY",1,0) &amp; $C85 &amp;T$4,tblForecast,T$2,FALSE),0)</f>
        <v>0</v>
      </c>
      <c r="U85" s="91">
        <f t="shared" si="476"/>
        <v>0</v>
      </c>
      <c r="V85" s="249">
        <f>IFERROR(IF(Q83&gt;0,Q85/Q83,0),0)</f>
        <v>0</v>
      </c>
      <c r="W85" s="334">
        <f>IFERROR(IF(R83&gt;0,R85/R83,0),0)</f>
        <v>0</v>
      </c>
      <c r="X85" s="250">
        <f>IFERROR(IF(T83&gt;0,T85/T83,0),0)</f>
        <v>0</v>
      </c>
      <c r="Y85" s="51">
        <f t="shared" ref="Y85:AB89" si="576">IFERROR(L85*AD85,0)</f>
        <v>0</v>
      </c>
      <c r="Z85" s="46">
        <f t="shared" si="576"/>
        <v>0</v>
      </c>
      <c r="AA85" s="46">
        <f t="shared" si="576"/>
        <v>0</v>
      </c>
      <c r="AB85" s="46">
        <f t="shared" si="576"/>
        <v>0</v>
      </c>
      <c r="AC85" s="91">
        <f t="shared" si="477"/>
        <v>0</v>
      </c>
      <c r="AD85" s="75">
        <f>IF(AM85&lt;&gt;0,1-AR85/AM85,0)</f>
        <v>0.74415744157441577</v>
      </c>
      <c r="AE85" s="93">
        <f t="shared" ref="AE85:AG89" si="577">IF(AN85&lt;&gt;0,1-AS85/AN85,0)</f>
        <v>0.74415744157441577</v>
      </c>
      <c r="AF85" s="93">
        <f t="shared" si="577"/>
        <v>0</v>
      </c>
      <c r="AG85" s="76">
        <f t="shared" si="577"/>
        <v>0</v>
      </c>
      <c r="AH85" s="73">
        <f>IF(IFERROR(VLOOKUP($B85 &amp; $C85&amp;AH$4,tblForecast,AH$2,FALSE),0)=0,DB85,IFERROR(VLOOKUP($B85 &amp; $C85&amp;AH$4,tblForecast,AH$2,FALSE),0))</f>
        <v>25.02</v>
      </c>
      <c r="AI85" s="94">
        <f t="shared" ref="AI85:AJ89" si="578">IFERROR(VLOOKUP($B85 &amp; $C85&amp;AI$4,tblForecast,AI$2,FALSE),0)</f>
        <v>25.02</v>
      </c>
      <c r="AJ85" s="94">
        <f t="shared" si="578"/>
        <v>0</v>
      </c>
      <c r="AK85" s="49">
        <f>IFERROR(VLOOKUP($B85-IF(CompareVer="LY",1,0) &amp; $C85 &amp;AK$4,tblForecast,AK$2,FALSE),0)</f>
        <v>0</v>
      </c>
      <c r="AL85" s="47">
        <f t="shared" si="387"/>
        <v>0</v>
      </c>
      <c r="AM85" s="73">
        <f>IF(IFERROR(VLOOKUP($B85 &amp; $C85&amp;AM$4,tblForecast,AM$2,FALSE),0)=0,DA85,IFERROR(VLOOKUP($B85 &amp; $C85&amp;AM$4,tblForecast,AM$2,FALSE),0))</f>
        <v>16.260000000000002</v>
      </c>
      <c r="AN85" s="94">
        <f t="shared" ref="AN85:AO89" si="579">IFERROR(VLOOKUP($B85 &amp; $C85&amp;AN$4,tblForecast,AN$2,FALSE),0)</f>
        <v>16.260000000000002</v>
      </c>
      <c r="AO85" s="94">
        <f t="shared" si="579"/>
        <v>0</v>
      </c>
      <c r="AP85" s="49">
        <f>IFERROR(VLOOKUP($B85-IF(CompareVer="LY",1,0) &amp; $C85 &amp;AP$4,tblForecast,AP$2,FALSE),0)</f>
        <v>0</v>
      </c>
      <c r="AQ85" s="47">
        <f t="shared" si="478"/>
        <v>0</v>
      </c>
      <c r="AR85" s="73">
        <f>IF(IFERROR(VLOOKUP($B85 &amp; $C85&amp;AR$4,tblForecast,AR$2,FALSE),0)=0,DC85,IFERROR(VLOOKUP($B85 &amp; $C85&amp;AR$4,tblForecast,AR$2,FALSE),0))</f>
        <v>4.16</v>
      </c>
      <c r="AS85" s="94">
        <f t="shared" ref="AS85:AT89" si="580">IFERROR(VLOOKUP($B85 &amp; $C85&amp;AS$4,tblForecast,AS$2,FALSE),0)</f>
        <v>4.16</v>
      </c>
      <c r="AT85" s="94">
        <f t="shared" si="580"/>
        <v>0</v>
      </c>
      <c r="AU85" s="49">
        <f>IFERROR(VLOOKUP($B85-IF(CompareVer="LY",1,0) &amp; $C85 &amp;AU$4,tblForecast,AU$2,FALSE),0)</f>
        <v>0</v>
      </c>
      <c r="AV85" s="47">
        <f t="shared" si="479"/>
        <v>0</v>
      </c>
      <c r="AW85" s="191">
        <f t="shared" ref="AW85:AZ89" si="581">IFERROR((AM85/AH85-1)*-1,0)</f>
        <v>0.35011990407673854</v>
      </c>
      <c r="AX85" s="192">
        <f t="shared" si="581"/>
        <v>0.35011990407673854</v>
      </c>
      <c r="AY85" s="192">
        <f t="shared" si="581"/>
        <v>0</v>
      </c>
      <c r="AZ85" s="192">
        <f t="shared" si="581"/>
        <v>0</v>
      </c>
      <c r="BA85" s="235">
        <f>IF(BA84+BV85+BL85+BR85-Q85&lt;0,0,BA84+BV85+BL85+BR85-Q85)</f>
        <v>56712</v>
      </c>
      <c r="BB85" s="231">
        <f>IF(IFERROR(VLOOKUP($B85 &amp; $C85&amp;BB$4,tblForecast,BB$2,FALSE),0)=0,BA85,IFERROR(VLOOKUP($B85 &amp; $C85&amp;BB$4,tblForecast,BB$2,FALSE),0))</f>
        <v>56712</v>
      </c>
      <c r="BC85" s="231">
        <f>IFERROR(VLOOKUP($B85-IF(CompareVer="LY",1,0) &amp; $C85 &amp;BC$4,tblForecast,BC$2,FALSE),0)</f>
        <v>0</v>
      </c>
      <c r="BD85" s="231">
        <f t="shared" ref="BD85:BD89" si="582">CX85+BG85</f>
        <v>0</v>
      </c>
      <c r="BE85" s="194">
        <f t="shared" si="480"/>
        <v>0</v>
      </c>
      <c r="BF85" s="231">
        <f>IFERROR(VLOOKUP($B85 &amp; $C85&amp;IF($A85="a",BG$4,BF$4),tblForecast,BF$2,FALSE),0)</f>
        <v>0</v>
      </c>
      <c r="BG85" s="228">
        <f>IFERROR(VLOOKUP($B85-IF(CompareVer="LY",1,0) &amp; $C85 &amp;BG$4,tblForecast,BG$2,FALSE),0)</f>
        <v>0</v>
      </c>
      <c r="BH85" s="179">
        <f>IF(Q85&lt;&gt;0,BA85/Q85,0)</f>
        <v>0</v>
      </c>
      <c r="BI85" s="183">
        <f>IF(T85&lt;&gt;0,BD85/T85,0)</f>
        <v>0</v>
      </c>
      <c r="BJ85" s="195">
        <f t="shared" ref="BJ85:BJ89" si="583">IF(BA85&lt;&gt;0,Q85/BA85,0)</f>
        <v>0</v>
      </c>
      <c r="BK85" s="50">
        <f t="shared" ref="BK85:BK89" si="584">IF(BD85&lt;&gt;0,T85/BD85,0)</f>
        <v>0</v>
      </c>
      <c r="BL85" s="234">
        <f>IFERROR(VLOOKUP($B85 &amp; $C85&amp;IF($A85="a",BM$4,BL$4),tblForecast,BL$2,FALSE),0)</f>
        <v>0</v>
      </c>
      <c r="BM85" s="228">
        <f>IFERROR(VLOOKUP($B85-IF(CompareVer="LY",1,0) &amp; $C85 &amp;BM$4,tblForecast,BM$2,FALSE),0)</f>
        <v>0</v>
      </c>
      <c r="BN85" s="234">
        <f>IFERROR(VLOOKUP($B85 &amp; $C85&amp;IF($A85="a",BO$4,BN$4),tblForecast,BN$2,FALSE),0)</f>
        <v>0</v>
      </c>
      <c r="BO85" s="228">
        <f>IFERROR(VLOOKUP($B85-IF(CompareVer="LY",1,0) &amp; $C85 &amp;BO$4,tblForecast,BO$2,FALSE),0)</f>
        <v>0</v>
      </c>
      <c r="BP85" s="234">
        <f>IFERROR(VLOOKUP($B85 &amp; $C85&amp;IF($A85="a",BQ$4,BP$4),tblForecast,BP$2,FALSE),0)</f>
        <v>0</v>
      </c>
      <c r="BQ85" s="228">
        <f>IFERROR(VLOOKUP($B85-IF(CompareVer="LY",1,0) &amp; $C85 &amp;BQ$4,tblForecast,BQ$2,FALSE),0)</f>
        <v>0</v>
      </c>
      <c r="BR85" s="227">
        <f t="shared" si="486"/>
        <v>0</v>
      </c>
      <c r="BS85" s="231">
        <f t="shared" si="486"/>
        <v>0</v>
      </c>
      <c r="BT85" s="234">
        <f t="shared" ref="BT85:BU89" si="585">IFERROR(VLOOKUP($B85 &amp; $C85&amp;BT$4,tblForecast,BT$2,FALSE),0)</f>
        <v>0</v>
      </c>
      <c r="BU85" s="231">
        <f t="shared" si="585"/>
        <v>0</v>
      </c>
      <c r="BV85" s="231">
        <f>IF($A85="a",IFERROR(VLOOKUP($B85 &amp; $C85&amp;BV$4,tblForecast,BV$2,FALSE),0),BT85+BU85)</f>
        <v>0</v>
      </c>
      <c r="BW85" s="231">
        <f t="shared" ref="BW85:BX89" si="586">IFERROR(VLOOKUP($B85 &amp; $C85&amp;BW$4,tblForecast,BW$2,FALSE),0)</f>
        <v>0</v>
      </c>
      <c r="BX85" s="231">
        <f t="shared" si="586"/>
        <v>0</v>
      </c>
      <c r="BY85" s="193">
        <f>IFERROR(VLOOKUP($B85-IF(CompareVer="LY",1,0) &amp; $C85 &amp;BY$4,tblForecast,BY$2,FALSE),0)</f>
        <v>0</v>
      </c>
      <c r="BZ85" s="194">
        <f t="shared" si="481"/>
        <v>0</v>
      </c>
      <c r="CA85" s="337">
        <f t="shared" ref="CA85:CB89" si="587">IFERROR(VLOOKUP($B85 &amp; $C85&amp;CA$4,tblForecast,CA$2,FALSE),0)</f>
        <v>0</v>
      </c>
      <c r="CB85" s="46">
        <f t="shared" si="587"/>
        <v>0</v>
      </c>
      <c r="CC85" s="46">
        <f>IF($A85="a",IFERROR(VLOOKUP($B85 &amp; $C85&amp;CC$4,tblForecast,CC$2,FALSE),0),CA85+CB85)</f>
        <v>0</v>
      </c>
      <c r="CD85" s="46">
        <f t="shared" ref="CD85:CE89" si="588">IFERROR(VLOOKUP($B85 &amp; $C85&amp;CD$4,tblForecast,CD$2,FALSE),0)</f>
        <v>0</v>
      </c>
      <c r="CE85" s="46">
        <f t="shared" si="588"/>
        <v>0</v>
      </c>
      <c r="CF85" s="46">
        <f>IFERROR(VLOOKUP($B85-IF(CompareVer="LY",1,0) &amp; $C85 &amp;CF$4,tblForecast,CF$2,FALSE),0)</f>
        <v>0</v>
      </c>
      <c r="CG85" s="194">
        <f t="shared" si="482"/>
        <v>0</v>
      </c>
      <c r="CH85" s="337">
        <f t="shared" ref="CH85:CI89" si="589">IFERROR(VLOOKUP($B85 &amp; $C85&amp;CH$4,tblForecast,CH$2,FALSE),0)</f>
        <v>0</v>
      </c>
      <c r="CI85" s="46">
        <f t="shared" si="589"/>
        <v>0</v>
      </c>
      <c r="CJ85" s="46">
        <f>IF($A85="a",IFERROR(VLOOKUP($B85 &amp; $C85&amp;CJ$4,tblForecast,CJ$2,FALSE),0),CH85+CI85)</f>
        <v>0</v>
      </c>
      <c r="CK85" s="46">
        <f t="shared" ref="CK85:CL89" si="590">IFERROR(VLOOKUP($B85 &amp; $C85&amp;CK$4,tblForecast,CK$2,FALSE),0)</f>
        <v>0</v>
      </c>
      <c r="CL85" s="46">
        <f t="shared" si="590"/>
        <v>0</v>
      </c>
      <c r="CM85" s="46">
        <f>IFERROR(VLOOKUP($B85-IF(CompareVer="LY",1,0) &amp; $C85 &amp;CM$4,tblForecast,CM$2,FALSE),0)</f>
        <v>0</v>
      </c>
      <c r="CN85" s="194">
        <f t="shared" si="483"/>
        <v>0</v>
      </c>
      <c r="CO85" s="178">
        <f t="shared" si="525"/>
        <v>0</v>
      </c>
      <c r="CP85" s="223">
        <f t="shared" si="525"/>
        <v>0</v>
      </c>
      <c r="CQ85" s="194">
        <f t="shared" si="484"/>
        <v>0</v>
      </c>
      <c r="CR85" s="178">
        <f t="shared" si="487"/>
        <v>0</v>
      </c>
      <c r="CS85" s="223">
        <f t="shared" si="487"/>
        <v>0</v>
      </c>
      <c r="CT85" s="194">
        <f t="shared" si="526"/>
        <v>0</v>
      </c>
      <c r="CU85" s="44"/>
      <c r="CW85" s="102">
        <f>IFERROR(VLOOKUP($B85 &amp; $C85&amp;CompareVer,tblForecast,CW$2,FALSE),0)</f>
        <v>0</v>
      </c>
      <c r="CX85" s="48">
        <f>IFERROR(VLOOKUP($B85-IF(CompareVer="LY",1,0) &amp; $C85 &amp;CX$4,tblForecast,CX$2,FALSE),0)</f>
        <v>0</v>
      </c>
      <c r="CY85" s="47">
        <f t="shared" si="555"/>
        <v>0</v>
      </c>
      <c r="CZ85" s="278">
        <f>IFERROR(VLOOKUP(Brand&amp;Channel&amp;Country&amp;$C85,tblDiscount,6,FALSE),0)</f>
        <v>0.35</v>
      </c>
      <c r="DA85" s="279">
        <f>(1-CZ85)*DB85</f>
        <v>16.263000000000002</v>
      </c>
      <c r="DB85" s="279">
        <f>IFERROR(VLOOKUP(Brand&amp;Country &amp; Channel &amp;FC,tblFCSettings,8,FALSE),0)</f>
        <v>25.02</v>
      </c>
      <c r="DC85" s="280">
        <f>IFERROR(VLOOKUP(Brand&amp;Country &amp; Channel &amp;FC,tblFCSettings,9,FALSE),0)</f>
        <v>4.16</v>
      </c>
    </row>
    <row r="86" spans="2:107" x14ac:dyDescent="0.25">
      <c r="B86" s="44">
        <v>2019</v>
      </c>
      <c r="C86" s="88">
        <v>6</v>
      </c>
      <c r="D86" s="51">
        <f t="shared" ref="D86:D89" si="591">G86*H86</f>
        <v>0</v>
      </c>
      <c r="E86" s="202">
        <f t="shared" ref="E86:E89" si="592">IFERROR(D86*F86,0)</f>
        <v>0</v>
      </c>
      <c r="F86" s="182">
        <f t="shared" si="490"/>
        <v>0</v>
      </c>
      <c r="G86" s="176">
        <f t="shared" si="573"/>
        <v>13687</v>
      </c>
      <c r="H86" s="203">
        <f t="shared" si="573"/>
        <v>0</v>
      </c>
      <c r="I86" s="203">
        <f t="shared" si="573"/>
        <v>0</v>
      </c>
      <c r="J86" s="176">
        <f>IFERROR(VLOOKUP($B86 &amp; $C86&amp;J$4&amp;$A86,tblForecast,J$2,FALSE),0)+IFERROR(VLOOKUP($B86 &amp; $C86 &amp; J$4 &amp; $A86,tblForecast,J$2+1,FALSE),0)</f>
        <v>44131</v>
      </c>
      <c r="K86" s="300">
        <f>IFERROR(VLOOKUP($B86 &amp; $C86&amp;K$4&amp;$A86,tblForecast,K$2,FALSE),0)+IFERROR(VLOOKUP($B86 &amp; $C86&amp;K$4&amp;$A86,tblForecast,K$2+1,FALSE),0)</f>
        <v>0</v>
      </c>
      <c r="L86" s="90">
        <f>Q86*AM86</f>
        <v>0</v>
      </c>
      <c r="M86" s="90">
        <f t="shared" si="574"/>
        <v>0</v>
      </c>
      <c r="N86" s="46">
        <f t="shared" si="574"/>
        <v>0</v>
      </c>
      <c r="O86" s="46">
        <f t="shared" si="574"/>
        <v>0</v>
      </c>
      <c r="P86" s="47">
        <f t="shared" si="485"/>
        <v>0</v>
      </c>
      <c r="Q86" s="242">
        <f t="shared" ref="Q86:Q89" si="593">ROUND(IF(BA85-(Q85*IF(W86=0,X86,W86))&lt;0,BA85,Q85*IF(W86=0,X86,W86)),0)</f>
        <v>0</v>
      </c>
      <c r="R86" s="240">
        <f t="shared" si="575"/>
        <v>0</v>
      </c>
      <c r="S86" s="240">
        <f t="shared" si="575"/>
        <v>0</v>
      </c>
      <c r="T86" s="240">
        <f>IFERROR(VLOOKUP($B86-IF(CompareVer="LY",1,0) &amp; $C86 &amp;T$4,tblForecast,T$2,FALSE),0)</f>
        <v>0</v>
      </c>
      <c r="U86" s="91">
        <f t="shared" si="476"/>
        <v>0</v>
      </c>
      <c r="V86" s="249">
        <f t="shared" ref="V86:W89" si="594">IFERROR(IF(Q85&lt;&gt;0,Q86/Q85,0),0)</f>
        <v>0</v>
      </c>
      <c r="W86" s="334">
        <f t="shared" si="594"/>
        <v>0</v>
      </c>
      <c r="X86" s="250">
        <f t="shared" ref="X86:X89" si="595">IFERROR(IF(T85&lt;&gt;0,T86/T85,0),0)</f>
        <v>0</v>
      </c>
      <c r="Y86" s="51">
        <f t="shared" si="576"/>
        <v>0</v>
      </c>
      <c r="Z86" s="46">
        <f t="shared" si="576"/>
        <v>0</v>
      </c>
      <c r="AA86" s="46">
        <f t="shared" si="576"/>
        <v>0</v>
      </c>
      <c r="AB86" s="46">
        <f t="shared" si="576"/>
        <v>0</v>
      </c>
      <c r="AC86" s="91">
        <f t="shared" si="477"/>
        <v>0</v>
      </c>
      <c r="AD86" s="75">
        <f>IF(AM86&lt;&gt;0,1-AR86/AM86,0)</f>
        <v>0.74415744157441577</v>
      </c>
      <c r="AE86" s="93">
        <f t="shared" si="577"/>
        <v>0.74415744157441577</v>
      </c>
      <c r="AF86" s="93">
        <f t="shared" si="577"/>
        <v>0</v>
      </c>
      <c r="AG86" s="76">
        <f t="shared" si="577"/>
        <v>0</v>
      </c>
      <c r="AH86" s="73">
        <f>IF(IFERROR(VLOOKUP($B86 &amp; $C86&amp;AH$4,tblForecast,AH$2,FALSE),0)=0,DB86,IFERROR(VLOOKUP($B86 &amp; $C86&amp;AH$4,tblForecast,AH$2,FALSE),0))</f>
        <v>25.02</v>
      </c>
      <c r="AI86" s="94">
        <f t="shared" si="578"/>
        <v>25.02</v>
      </c>
      <c r="AJ86" s="94">
        <f t="shared" si="578"/>
        <v>0</v>
      </c>
      <c r="AK86" s="49">
        <f>IFERROR(VLOOKUP($B86-IF(CompareVer="LY",1,0) &amp; $C86 &amp;AK$4,tblForecast,AK$2,FALSE),0)</f>
        <v>0</v>
      </c>
      <c r="AL86" s="47">
        <f t="shared" si="387"/>
        <v>0</v>
      </c>
      <c r="AM86" s="73">
        <f>IF(IFERROR(VLOOKUP($B86 &amp; $C86&amp;AM$4,tblForecast,AM$2,FALSE),0)=0,DA86,IFERROR(VLOOKUP($B86 &amp; $C86&amp;AM$4,tblForecast,AM$2,FALSE),0))</f>
        <v>16.260000000000002</v>
      </c>
      <c r="AN86" s="94">
        <f t="shared" si="579"/>
        <v>16.260000000000002</v>
      </c>
      <c r="AO86" s="94">
        <f t="shared" si="579"/>
        <v>0</v>
      </c>
      <c r="AP86" s="49">
        <f>IFERROR(VLOOKUP($B86-IF(CompareVer="LY",1,0) &amp; $C86 &amp;AP$4,tblForecast,AP$2,FALSE),0)</f>
        <v>0</v>
      </c>
      <c r="AQ86" s="47">
        <f t="shared" si="478"/>
        <v>0</v>
      </c>
      <c r="AR86" s="73">
        <f>IF(IFERROR(VLOOKUP($B86 &amp; $C86&amp;AR$4,tblForecast,AR$2,FALSE),0)=0,DC86,IFERROR(VLOOKUP($B86 &amp; $C86&amp;AR$4,tblForecast,AR$2,FALSE),0))</f>
        <v>4.16</v>
      </c>
      <c r="AS86" s="94">
        <f t="shared" si="580"/>
        <v>4.16</v>
      </c>
      <c r="AT86" s="94">
        <f t="shared" si="580"/>
        <v>0</v>
      </c>
      <c r="AU86" s="49">
        <f>IFERROR(VLOOKUP($B86-IF(CompareVer="LY",1,0) &amp; $C86 &amp;AU$4,tblForecast,AU$2,FALSE),0)</f>
        <v>0</v>
      </c>
      <c r="AV86" s="47">
        <f t="shared" si="479"/>
        <v>0</v>
      </c>
      <c r="AW86" s="191">
        <f t="shared" si="581"/>
        <v>0.35011990407673854</v>
      </c>
      <c r="AX86" s="192">
        <f t="shared" si="581"/>
        <v>0.35011990407673854</v>
      </c>
      <c r="AY86" s="192">
        <f t="shared" si="581"/>
        <v>0</v>
      </c>
      <c r="AZ86" s="192">
        <f t="shared" si="581"/>
        <v>0</v>
      </c>
      <c r="BA86" s="235">
        <f>IF(BA85+BV86+BL86+BR86-Q86&lt;0,0,BA85+BV86+BL86+BR86-Q86)</f>
        <v>56712</v>
      </c>
      <c r="BB86" s="231">
        <f>IF(IFERROR(VLOOKUP($B86 &amp; $C86&amp;BB$4,tblForecast,BB$2,FALSE),0)=0,BA86,IFERROR(VLOOKUP($B86 &amp; $C86&amp;BB$4,tblForecast,BB$2,FALSE),0))</f>
        <v>56712</v>
      </c>
      <c r="BC86" s="231">
        <f>IFERROR(VLOOKUP($B86-IF(CompareVer="LY",1,0) &amp; $C86 &amp;BC$4,tblForecast,BC$2,FALSE),0)</f>
        <v>0</v>
      </c>
      <c r="BD86" s="231">
        <f t="shared" si="582"/>
        <v>0</v>
      </c>
      <c r="BE86" s="194">
        <f t="shared" si="480"/>
        <v>0</v>
      </c>
      <c r="BF86" s="231">
        <f>IFERROR(VLOOKUP($B86 &amp; $C86&amp;IF($A86="a",BG$4,BF$4),tblForecast,BF$2,FALSE),0)</f>
        <v>0</v>
      </c>
      <c r="BG86" s="228">
        <f>IFERROR(VLOOKUP($B86-IF(CompareVer="LY",1,0) &amp; $C86 &amp;BG$4,tblForecast,BG$2,FALSE),0)</f>
        <v>0</v>
      </c>
      <c r="BH86" s="179">
        <f>IF(Q86&lt;&gt;0,BA86/Q86,0)</f>
        <v>0</v>
      </c>
      <c r="BI86" s="183">
        <f>IF(T86&lt;&gt;0,BD86/T86,0)</f>
        <v>0</v>
      </c>
      <c r="BJ86" s="195">
        <f t="shared" si="583"/>
        <v>0</v>
      </c>
      <c r="BK86" s="50">
        <f t="shared" si="584"/>
        <v>0</v>
      </c>
      <c r="BL86" s="234">
        <f>IFERROR(VLOOKUP($B86 &amp; $C86&amp;IF($A86="a",BM$4,BL$4),tblForecast,BL$2,FALSE),0)</f>
        <v>0</v>
      </c>
      <c r="BM86" s="228">
        <f>IFERROR(VLOOKUP($B86-IF(CompareVer="LY",1,0) &amp; $C86 &amp;BM$4,tblForecast,BM$2,FALSE),0)</f>
        <v>0</v>
      </c>
      <c r="BN86" s="234">
        <f>IFERROR(VLOOKUP($B86 &amp; $C86&amp;IF($A86="a",BO$4,BN$4),tblForecast,BN$2,FALSE),0)</f>
        <v>0</v>
      </c>
      <c r="BO86" s="228">
        <f>IFERROR(VLOOKUP($B86-IF(CompareVer="LY",1,0) &amp; $C86 &amp;BO$4,tblForecast,BO$2,FALSE),0)</f>
        <v>0</v>
      </c>
      <c r="BP86" s="234">
        <f>IFERROR(VLOOKUP($B86 &amp; $C86&amp;IF($A86="a",BQ$4,BP$4),tblForecast,BP$2,FALSE),0)</f>
        <v>0</v>
      </c>
      <c r="BQ86" s="228">
        <f>IFERROR(VLOOKUP($B86-IF(CompareVer="LY",1,0) &amp; $C86 &amp;BQ$4,tblForecast,BQ$2,FALSE),0)</f>
        <v>0</v>
      </c>
      <c r="BR86" s="227">
        <f t="shared" si="486"/>
        <v>0</v>
      </c>
      <c r="BS86" s="231">
        <f t="shared" si="486"/>
        <v>0</v>
      </c>
      <c r="BT86" s="234">
        <f t="shared" si="585"/>
        <v>0</v>
      </c>
      <c r="BU86" s="231">
        <f t="shared" si="585"/>
        <v>0</v>
      </c>
      <c r="BV86" s="231">
        <f>IF($A86="a",IFERROR(VLOOKUP($B86 &amp; $C86&amp;BV$4,tblForecast,BV$2,FALSE),0),BT86+BU86)</f>
        <v>0</v>
      </c>
      <c r="BW86" s="231">
        <f t="shared" si="586"/>
        <v>0</v>
      </c>
      <c r="BX86" s="231">
        <f t="shared" si="586"/>
        <v>0</v>
      </c>
      <c r="BY86" s="193">
        <f>IFERROR(VLOOKUP($B86-IF(CompareVer="LY",1,0) &amp; $C86 &amp;BY$4,tblForecast,BY$2,FALSE),0)</f>
        <v>0</v>
      </c>
      <c r="BZ86" s="194">
        <f t="shared" si="481"/>
        <v>0</v>
      </c>
      <c r="CA86" s="337">
        <f t="shared" si="587"/>
        <v>0</v>
      </c>
      <c r="CB86" s="46">
        <f t="shared" si="587"/>
        <v>0</v>
      </c>
      <c r="CC86" s="46">
        <f>IF($A86="a",IFERROR(VLOOKUP($B86 &amp; $C86&amp;CC$4,tblForecast,CC$2,FALSE),0),CA86+CB86)</f>
        <v>0</v>
      </c>
      <c r="CD86" s="46">
        <f t="shared" si="588"/>
        <v>0</v>
      </c>
      <c r="CE86" s="46">
        <f t="shared" si="588"/>
        <v>0</v>
      </c>
      <c r="CF86" s="46">
        <f>IFERROR(VLOOKUP($B86-IF(CompareVer="LY",1,0) &amp; $C86 &amp;CF$4,tblForecast,CF$2,FALSE),0)</f>
        <v>0</v>
      </c>
      <c r="CG86" s="194">
        <f t="shared" si="482"/>
        <v>0</v>
      </c>
      <c r="CH86" s="337">
        <f t="shared" si="589"/>
        <v>0</v>
      </c>
      <c r="CI86" s="46">
        <f t="shared" si="589"/>
        <v>0</v>
      </c>
      <c r="CJ86" s="46">
        <f>IF($A86="a",IFERROR(VLOOKUP($B86 &amp; $C86&amp;CJ$4,tblForecast,CJ$2,FALSE),0),CH86+CI86)</f>
        <v>0</v>
      </c>
      <c r="CK86" s="46">
        <f t="shared" si="590"/>
        <v>0</v>
      </c>
      <c r="CL86" s="46">
        <f t="shared" si="590"/>
        <v>0</v>
      </c>
      <c r="CM86" s="46">
        <f>IFERROR(VLOOKUP($B86-IF(CompareVer="LY",1,0) &amp; $C86 &amp;CM$4,tblForecast,CM$2,FALSE),0)</f>
        <v>0</v>
      </c>
      <c r="CN86" s="194">
        <f t="shared" si="483"/>
        <v>0</v>
      </c>
      <c r="CO86" s="178">
        <f t="shared" si="525"/>
        <v>0</v>
      </c>
      <c r="CP86" s="223">
        <f t="shared" si="525"/>
        <v>0</v>
      </c>
      <c r="CQ86" s="194">
        <f t="shared" si="484"/>
        <v>0</v>
      </c>
      <c r="CR86" s="178">
        <f t="shared" si="487"/>
        <v>0</v>
      </c>
      <c r="CS86" s="223">
        <f t="shared" si="487"/>
        <v>0</v>
      </c>
      <c r="CT86" s="194">
        <f t="shared" si="526"/>
        <v>0</v>
      </c>
      <c r="CU86" s="44"/>
      <c r="CW86" s="102">
        <f>IFERROR(VLOOKUP($B86 &amp; $C86&amp;CompareVer,tblForecast,CW$2,FALSE),0)</f>
        <v>0</v>
      </c>
      <c r="CX86" s="48">
        <f>IFERROR(VLOOKUP($B86-IF(CompareVer="LY",1,0) &amp; $C86 &amp;CX$4,tblForecast,CX$2,FALSE),0)</f>
        <v>0</v>
      </c>
      <c r="CY86" s="47">
        <f t="shared" si="555"/>
        <v>0</v>
      </c>
      <c r="CZ86" s="278">
        <f>IFERROR(VLOOKUP(Brand&amp;Channel&amp;Country&amp;$C86,tblDiscount,6,FALSE),0)</f>
        <v>0.35</v>
      </c>
      <c r="DA86" s="279">
        <f>(1-CZ86)*DB86</f>
        <v>16.263000000000002</v>
      </c>
      <c r="DB86" s="279">
        <f>IFERROR(VLOOKUP(Brand&amp;Country &amp; Channel &amp;FC,tblFCSettings,8,FALSE),0)</f>
        <v>25.02</v>
      </c>
      <c r="DC86" s="280">
        <f>IFERROR(VLOOKUP(Brand&amp;Country &amp; Channel &amp;FC,tblFCSettings,9,FALSE),0)</f>
        <v>4.16</v>
      </c>
    </row>
    <row r="87" spans="2:107" x14ac:dyDescent="0.25">
      <c r="B87" s="44">
        <v>2019</v>
      </c>
      <c r="C87" s="88">
        <v>7</v>
      </c>
      <c r="D87" s="51">
        <f t="shared" si="591"/>
        <v>-9395780.4207930006</v>
      </c>
      <c r="E87" s="202">
        <f t="shared" si="592"/>
        <v>-3290205.7006680002</v>
      </c>
      <c r="F87" s="182">
        <f t="shared" si="490"/>
        <v>0.35017907542695725</v>
      </c>
      <c r="G87" s="176">
        <f t="shared" si="573"/>
        <v>-363273</v>
      </c>
      <c r="H87" s="203">
        <f t="shared" si="573"/>
        <v>25.864241</v>
      </c>
      <c r="I87" s="203">
        <f t="shared" si="573"/>
        <v>16.807124999999999</v>
      </c>
      <c r="J87" s="176">
        <f>IFERROR(VLOOKUP($B87 &amp; $C87&amp;J$4&amp;$A87,tblForecast,J$2,FALSE),0)+IFERROR(VLOOKUP($B87 &amp; $C87 &amp; J$4 &amp; $A87,tblForecast,J$2+1,FALSE),0)</f>
        <v>29687</v>
      </c>
      <c r="K87" s="300">
        <f>IFERROR(VLOOKUP($B87 &amp; $C87&amp;K$4&amp;$A87,tblForecast,K$2,FALSE),0)+IFERROR(VLOOKUP($B87 &amp; $C87&amp;K$4&amp;$A87,tblForecast,K$2+1,FALSE),0)</f>
        <v>0</v>
      </c>
      <c r="L87" s="90">
        <f>Q87*AM87</f>
        <v>0</v>
      </c>
      <c r="M87" s="90">
        <f t="shared" si="574"/>
        <v>0</v>
      </c>
      <c r="N87" s="46">
        <f t="shared" si="574"/>
        <v>0</v>
      </c>
      <c r="O87" s="46">
        <f t="shared" si="574"/>
        <v>0</v>
      </c>
      <c r="P87" s="47">
        <f t="shared" si="485"/>
        <v>0</v>
      </c>
      <c r="Q87" s="242">
        <f t="shared" si="593"/>
        <v>0</v>
      </c>
      <c r="R87" s="240">
        <f t="shared" si="575"/>
        <v>0</v>
      </c>
      <c r="S87" s="240">
        <f t="shared" si="575"/>
        <v>0</v>
      </c>
      <c r="T87" s="240">
        <f>IFERROR(VLOOKUP($B87-IF(CompareVer="LY",1,0) &amp; $C87 &amp;T$4,tblForecast,T$2,FALSE),0)</f>
        <v>0</v>
      </c>
      <c r="U87" s="91">
        <f t="shared" si="476"/>
        <v>0</v>
      </c>
      <c r="V87" s="249">
        <f t="shared" si="594"/>
        <v>0</v>
      </c>
      <c r="W87" s="334">
        <f t="shared" si="594"/>
        <v>0</v>
      </c>
      <c r="X87" s="250">
        <f t="shared" si="595"/>
        <v>0</v>
      </c>
      <c r="Y87" s="51">
        <f t="shared" si="576"/>
        <v>0</v>
      </c>
      <c r="Z87" s="46">
        <f t="shared" si="576"/>
        <v>0</v>
      </c>
      <c r="AA87" s="46">
        <f t="shared" si="576"/>
        <v>0</v>
      </c>
      <c r="AB87" s="46">
        <f t="shared" si="576"/>
        <v>0</v>
      </c>
      <c r="AC87" s="91">
        <f t="shared" si="477"/>
        <v>0</v>
      </c>
      <c r="AD87" s="75">
        <f>IF(AM87&lt;&gt;0,1-AR87/AM87,0)</f>
        <v>0.74415744157441577</v>
      </c>
      <c r="AE87" s="93">
        <f t="shared" si="577"/>
        <v>0.74415744157441577</v>
      </c>
      <c r="AF87" s="93">
        <f t="shared" si="577"/>
        <v>0</v>
      </c>
      <c r="AG87" s="76">
        <f t="shared" si="577"/>
        <v>0</v>
      </c>
      <c r="AH87" s="73">
        <f>IF(IFERROR(VLOOKUP($B87 &amp; $C87&amp;AH$4,tblForecast,AH$2,FALSE),0)=0,DB87,IFERROR(VLOOKUP($B87 &amp; $C87&amp;AH$4,tblForecast,AH$2,FALSE),0))</f>
        <v>25.02</v>
      </c>
      <c r="AI87" s="94">
        <f t="shared" si="578"/>
        <v>25.02</v>
      </c>
      <c r="AJ87" s="94">
        <f t="shared" si="578"/>
        <v>0</v>
      </c>
      <c r="AK87" s="49">
        <f>IFERROR(VLOOKUP($B87-IF(CompareVer="LY",1,0) &amp; $C87 &amp;AK$4,tblForecast,AK$2,FALSE),0)</f>
        <v>0</v>
      </c>
      <c r="AL87" s="47">
        <f t="shared" si="387"/>
        <v>0</v>
      </c>
      <c r="AM87" s="73">
        <f>IF(IFERROR(VLOOKUP($B87 &amp; $C87&amp;AM$4,tblForecast,AM$2,FALSE),0)=0,DA87,IFERROR(VLOOKUP($B87 &amp; $C87&amp;AM$4,tblForecast,AM$2,FALSE),0))</f>
        <v>16.260000000000002</v>
      </c>
      <c r="AN87" s="94">
        <f t="shared" si="579"/>
        <v>16.260000000000002</v>
      </c>
      <c r="AO87" s="94">
        <f t="shared" si="579"/>
        <v>0</v>
      </c>
      <c r="AP87" s="49">
        <f>IFERROR(VLOOKUP($B87-IF(CompareVer="LY",1,0) &amp; $C87 &amp;AP$4,tblForecast,AP$2,FALSE),0)</f>
        <v>0</v>
      </c>
      <c r="AQ87" s="47">
        <f t="shared" si="478"/>
        <v>0</v>
      </c>
      <c r="AR87" s="73">
        <f>IF(IFERROR(VLOOKUP($B87 &amp; $C87&amp;AR$4,tblForecast,AR$2,FALSE),0)=0,DC87,IFERROR(VLOOKUP($B87 &amp; $C87&amp;AR$4,tblForecast,AR$2,FALSE),0))</f>
        <v>4.16</v>
      </c>
      <c r="AS87" s="94">
        <f t="shared" si="580"/>
        <v>4.16</v>
      </c>
      <c r="AT87" s="94">
        <f t="shared" si="580"/>
        <v>0</v>
      </c>
      <c r="AU87" s="49">
        <f>IFERROR(VLOOKUP($B87-IF(CompareVer="LY",1,0) &amp; $C87 &amp;AU$4,tblForecast,AU$2,FALSE),0)</f>
        <v>0</v>
      </c>
      <c r="AV87" s="47">
        <f t="shared" si="479"/>
        <v>0</v>
      </c>
      <c r="AW87" s="191">
        <f t="shared" si="581"/>
        <v>0.35011990407673854</v>
      </c>
      <c r="AX87" s="192">
        <f t="shared" si="581"/>
        <v>0.35011990407673854</v>
      </c>
      <c r="AY87" s="192">
        <f t="shared" si="581"/>
        <v>0</v>
      </c>
      <c r="AZ87" s="192">
        <f t="shared" si="581"/>
        <v>0</v>
      </c>
      <c r="BA87" s="235">
        <f>IF(BA86+BV87+BL87+BR87-Q87&lt;0,0,BA86+BV87+BL87+BR87-Q87)</f>
        <v>56712</v>
      </c>
      <c r="BB87" s="231">
        <f>IF(IFERROR(VLOOKUP($B87 &amp; $C87&amp;BB$4,tblForecast,BB$2,FALSE),0)=0,BA87,IFERROR(VLOOKUP($B87 &amp; $C87&amp;BB$4,tblForecast,BB$2,FALSE),0))</f>
        <v>56712</v>
      </c>
      <c r="BC87" s="231">
        <f>IFERROR(VLOOKUP($B87-IF(CompareVer="LY",1,0) &amp; $C87 &amp;BC$4,tblForecast,BC$2,FALSE),0)</f>
        <v>0</v>
      </c>
      <c r="BD87" s="231">
        <f t="shared" si="582"/>
        <v>-1</v>
      </c>
      <c r="BE87" s="194">
        <f t="shared" si="480"/>
        <v>-56713</v>
      </c>
      <c r="BF87" s="231">
        <f>IFERROR(VLOOKUP($B87 &amp; $C87&amp;IF($A87="a",BG$4,BF$4),tblForecast,BF$2,FALSE),0)</f>
        <v>0</v>
      </c>
      <c r="BG87" s="228">
        <f>IFERROR(VLOOKUP($B87-IF(CompareVer="LY",1,0) &amp; $C87 &amp;BG$4,tblForecast,BG$2,FALSE),0)</f>
        <v>0</v>
      </c>
      <c r="BH87" s="179">
        <f>IF(Q87&lt;&gt;0,BA87/Q87,0)</f>
        <v>0</v>
      </c>
      <c r="BI87" s="183">
        <f>IF(T87&lt;&gt;0,BD87/T87,0)</f>
        <v>0</v>
      </c>
      <c r="BJ87" s="195">
        <f t="shared" si="583"/>
        <v>0</v>
      </c>
      <c r="BK87" s="50">
        <f t="shared" si="584"/>
        <v>0</v>
      </c>
      <c r="BL87" s="234">
        <f>IFERROR(VLOOKUP($B87 &amp; $C87&amp;IF($A87="a",BM$4,BL$4),tblForecast,BL$2,FALSE),0)</f>
        <v>0</v>
      </c>
      <c r="BM87" s="228">
        <f>IFERROR(VLOOKUP($B87-IF(CompareVer="LY",1,0) &amp; $C87 &amp;BM$4,tblForecast,BM$2,FALSE),0)</f>
        <v>-1</v>
      </c>
      <c r="BN87" s="234">
        <f>IFERROR(VLOOKUP($B87 &amp; $C87&amp;IF($A87="a",BO$4,BN$4),tblForecast,BN$2,FALSE),0)</f>
        <v>0</v>
      </c>
      <c r="BO87" s="228">
        <f>IFERROR(VLOOKUP($B87-IF(CompareVer="LY",1,0) &amp; $C87 &amp;BO$4,tblForecast,BO$2,FALSE),0)</f>
        <v>0</v>
      </c>
      <c r="BP87" s="234">
        <f>IFERROR(VLOOKUP($B87 &amp; $C87&amp;IF($A87="a",BQ$4,BP$4),tblForecast,BP$2,FALSE),0)</f>
        <v>0</v>
      </c>
      <c r="BQ87" s="228">
        <f>IFERROR(VLOOKUP($B87-IF(CompareVer="LY",1,0) &amp; $C87 &amp;BQ$4,tblForecast,BQ$2,FALSE),0)</f>
        <v>0</v>
      </c>
      <c r="BR87" s="227">
        <f t="shared" si="486"/>
        <v>0</v>
      </c>
      <c r="BS87" s="231">
        <f t="shared" si="486"/>
        <v>0</v>
      </c>
      <c r="BT87" s="234">
        <f t="shared" si="585"/>
        <v>0</v>
      </c>
      <c r="BU87" s="231">
        <f t="shared" si="585"/>
        <v>0</v>
      </c>
      <c r="BV87" s="231">
        <f>IF($A87="a",IFERROR(VLOOKUP($B87 &amp; $C87&amp;BV$4,tblForecast,BV$2,FALSE),0),BT87+BU87)</f>
        <v>0</v>
      </c>
      <c r="BW87" s="231">
        <f t="shared" si="586"/>
        <v>0</v>
      </c>
      <c r="BX87" s="231">
        <f t="shared" si="586"/>
        <v>0</v>
      </c>
      <c r="BY87" s="193">
        <f>IFERROR(VLOOKUP($B87-IF(CompareVer="LY",1,0) &amp; $C87 &amp;BY$4,tblForecast,BY$2,FALSE),0)</f>
        <v>0</v>
      </c>
      <c r="BZ87" s="194">
        <f t="shared" si="481"/>
        <v>0</v>
      </c>
      <c r="CA87" s="337">
        <f t="shared" si="587"/>
        <v>0</v>
      </c>
      <c r="CB87" s="46">
        <f t="shared" si="587"/>
        <v>0</v>
      </c>
      <c r="CC87" s="46">
        <f>IF($A87="a",IFERROR(VLOOKUP($B87 &amp; $C87&amp;CC$4,tblForecast,CC$2,FALSE),0),CA87+CB87)</f>
        <v>0</v>
      </c>
      <c r="CD87" s="46">
        <f t="shared" si="588"/>
        <v>0</v>
      </c>
      <c r="CE87" s="46">
        <f t="shared" si="588"/>
        <v>0</v>
      </c>
      <c r="CF87" s="46">
        <f>IFERROR(VLOOKUP($B87-IF(CompareVer="LY",1,0) &amp; $C87 &amp;CF$4,tblForecast,CF$2,FALSE),0)</f>
        <v>0</v>
      </c>
      <c r="CG87" s="194">
        <f t="shared" si="482"/>
        <v>0</v>
      </c>
      <c r="CH87" s="337">
        <f t="shared" si="589"/>
        <v>0</v>
      </c>
      <c r="CI87" s="46">
        <f t="shared" si="589"/>
        <v>0</v>
      </c>
      <c r="CJ87" s="46">
        <f>IF($A87="a",IFERROR(VLOOKUP($B87 &amp; $C87&amp;CJ$4,tblForecast,CJ$2,FALSE),0),CH87+CI87)</f>
        <v>0</v>
      </c>
      <c r="CK87" s="46">
        <f t="shared" si="590"/>
        <v>0</v>
      </c>
      <c r="CL87" s="46">
        <f t="shared" si="590"/>
        <v>0</v>
      </c>
      <c r="CM87" s="46">
        <f>IFERROR(VLOOKUP($B87-IF(CompareVer="LY",1,0) &amp; $C87 &amp;CM$4,tblForecast,CM$2,FALSE),0)</f>
        <v>0</v>
      </c>
      <c r="CN87" s="194">
        <f t="shared" si="483"/>
        <v>0</v>
      </c>
      <c r="CO87" s="178">
        <f t="shared" si="525"/>
        <v>0</v>
      </c>
      <c r="CP87" s="223">
        <f t="shared" si="525"/>
        <v>0</v>
      </c>
      <c r="CQ87" s="194">
        <f t="shared" si="484"/>
        <v>0</v>
      </c>
      <c r="CR87" s="178">
        <f t="shared" si="487"/>
        <v>0</v>
      </c>
      <c r="CS87" s="223">
        <f t="shared" si="487"/>
        <v>0</v>
      </c>
      <c r="CT87" s="194">
        <f t="shared" si="526"/>
        <v>0</v>
      </c>
      <c r="CU87" s="44"/>
      <c r="CW87" s="102">
        <f>IFERROR(VLOOKUP($B87 &amp; $C87&amp;27,tblForecast,CW$2,FALSE),0)</f>
        <v>0</v>
      </c>
      <c r="CX87" s="48">
        <f>IFERROR(VLOOKUP($B87-IF(CompareVer="LY",1,0) &amp; $C87 &amp;CX$4,tblForecast,CX$2,FALSE),0)</f>
        <v>-1</v>
      </c>
      <c r="CY87" s="47">
        <f t="shared" si="555"/>
        <v>-1</v>
      </c>
      <c r="CZ87" s="278">
        <f>IFERROR(VLOOKUP(Brand&amp;Channel&amp;Country&amp;$C87,tblDiscount,6,FALSE),0)</f>
        <v>0.35</v>
      </c>
      <c r="DA87" s="279">
        <f>(1-CZ87)*DB87</f>
        <v>16.263000000000002</v>
      </c>
      <c r="DB87" s="279">
        <f>IFERROR(VLOOKUP(Brand&amp;Country &amp; Channel &amp;FC,tblFCSettings,8,FALSE),0)</f>
        <v>25.02</v>
      </c>
      <c r="DC87" s="280">
        <f>IFERROR(VLOOKUP(Brand&amp;Country &amp; Channel &amp;FC,tblFCSettings,9,FALSE),0)</f>
        <v>4.16</v>
      </c>
    </row>
    <row r="88" spans="2:107" x14ac:dyDescent="0.25">
      <c r="B88" s="44">
        <v>2019</v>
      </c>
      <c r="C88" s="88">
        <v>8</v>
      </c>
      <c r="D88" s="51">
        <f t="shared" si="591"/>
        <v>-510490.82165999996</v>
      </c>
      <c r="E88" s="202">
        <f t="shared" si="592"/>
        <v>-204155.70315599997</v>
      </c>
      <c r="F88" s="182">
        <f t="shared" si="490"/>
        <v>0.39992041872982576</v>
      </c>
      <c r="G88" s="176">
        <f t="shared" si="573"/>
        <v>-3426</v>
      </c>
      <c r="H88" s="203">
        <f t="shared" si="573"/>
        <v>149.00491</v>
      </c>
      <c r="I88" s="203">
        <f t="shared" si="573"/>
        <v>89.414804000000004</v>
      </c>
      <c r="J88" s="176">
        <f>IFERROR(VLOOKUP($B88 &amp; $C88&amp;J$4&amp;$A88,tblForecast,J$2,FALSE),0)+IFERROR(VLOOKUP($B88 &amp; $C88 &amp; J$4 &amp; $A88,tblForecast,J$2+1,FALSE),0)</f>
        <v>28113</v>
      </c>
      <c r="K88" s="300">
        <f>IFERROR(VLOOKUP($B88 &amp; $C88&amp;K$4&amp;$A88,tblForecast,K$2,FALSE),0)+IFERROR(VLOOKUP($B88 &amp; $C88&amp;K$4&amp;$A88,tblForecast,K$2+1,FALSE),0)</f>
        <v>0</v>
      </c>
      <c r="L88" s="90">
        <f>Q88*AM88</f>
        <v>0</v>
      </c>
      <c r="M88" s="90">
        <f t="shared" si="574"/>
        <v>0</v>
      </c>
      <c r="N88" s="46">
        <f t="shared" si="574"/>
        <v>0</v>
      </c>
      <c r="O88" s="46">
        <f t="shared" si="574"/>
        <v>0</v>
      </c>
      <c r="P88" s="47">
        <f t="shared" si="485"/>
        <v>0</v>
      </c>
      <c r="Q88" s="242">
        <f t="shared" si="593"/>
        <v>0</v>
      </c>
      <c r="R88" s="240">
        <f t="shared" si="575"/>
        <v>0</v>
      </c>
      <c r="S88" s="240">
        <f t="shared" si="575"/>
        <v>0</v>
      </c>
      <c r="T88" s="240">
        <f>IFERROR(VLOOKUP($B88-IF(CompareVer="LY",1,0) &amp; $C88 &amp;T$4,tblForecast,T$2,FALSE),0)</f>
        <v>0</v>
      </c>
      <c r="U88" s="91">
        <f t="shared" si="476"/>
        <v>0</v>
      </c>
      <c r="V88" s="249">
        <f t="shared" si="594"/>
        <v>0</v>
      </c>
      <c r="W88" s="334">
        <f t="shared" si="594"/>
        <v>0</v>
      </c>
      <c r="X88" s="250">
        <f t="shared" si="595"/>
        <v>0</v>
      </c>
      <c r="Y88" s="51">
        <f t="shared" si="576"/>
        <v>0</v>
      </c>
      <c r="Z88" s="46">
        <f t="shared" si="576"/>
        <v>0</v>
      </c>
      <c r="AA88" s="46">
        <f t="shared" si="576"/>
        <v>0</v>
      </c>
      <c r="AB88" s="46">
        <f t="shared" si="576"/>
        <v>0</v>
      </c>
      <c r="AC88" s="91">
        <f t="shared" si="477"/>
        <v>0</v>
      </c>
      <c r="AD88" s="75">
        <f>IF(AM88&lt;&gt;0,1-AR88/AM88,0)</f>
        <v>0.72285143237841432</v>
      </c>
      <c r="AE88" s="93">
        <f t="shared" si="577"/>
        <v>0.72285143237841432</v>
      </c>
      <c r="AF88" s="93">
        <f t="shared" si="577"/>
        <v>0</v>
      </c>
      <c r="AG88" s="76">
        <f t="shared" si="577"/>
        <v>0</v>
      </c>
      <c r="AH88" s="73">
        <f>IF(IFERROR(VLOOKUP($B88 &amp; $C88&amp;AH$4,tblForecast,AH$2,FALSE),0)=0,DB88,IFERROR(VLOOKUP($B88 &amp; $C88&amp;AH$4,tblForecast,AH$2,FALSE),0))</f>
        <v>25.02</v>
      </c>
      <c r="AI88" s="94">
        <f t="shared" si="578"/>
        <v>25.02</v>
      </c>
      <c r="AJ88" s="94">
        <f t="shared" si="578"/>
        <v>0</v>
      </c>
      <c r="AK88" s="49">
        <f>IFERROR(VLOOKUP($B88-IF(CompareVer="LY",1,0) &amp; $C88 &amp;AK$4,tblForecast,AK$2,FALSE),0)</f>
        <v>0</v>
      </c>
      <c r="AL88" s="47">
        <f t="shared" si="387"/>
        <v>0</v>
      </c>
      <c r="AM88" s="73">
        <f>IF(IFERROR(VLOOKUP($B88 &amp; $C88&amp;AM$4,tblForecast,AM$2,FALSE),0)=0,DA88,IFERROR(VLOOKUP($B88 &amp; $C88&amp;AM$4,tblForecast,AM$2,FALSE),0))</f>
        <v>15.01</v>
      </c>
      <c r="AN88" s="94">
        <f t="shared" si="579"/>
        <v>15.01</v>
      </c>
      <c r="AO88" s="94">
        <f t="shared" si="579"/>
        <v>0</v>
      </c>
      <c r="AP88" s="49">
        <f>IFERROR(VLOOKUP($B88-IF(CompareVer="LY",1,0) &amp; $C88 &amp;AP$4,tblForecast,AP$2,FALSE),0)</f>
        <v>0</v>
      </c>
      <c r="AQ88" s="47">
        <f t="shared" si="478"/>
        <v>0</v>
      </c>
      <c r="AR88" s="73">
        <f>IF(IFERROR(VLOOKUP($B88 &amp; $C88&amp;AR$4,tblForecast,AR$2,FALSE),0)=0,DC88,IFERROR(VLOOKUP($B88 &amp; $C88&amp;AR$4,tblForecast,AR$2,FALSE),0))</f>
        <v>4.16</v>
      </c>
      <c r="AS88" s="94">
        <f t="shared" si="580"/>
        <v>4.16</v>
      </c>
      <c r="AT88" s="94">
        <f t="shared" si="580"/>
        <v>0</v>
      </c>
      <c r="AU88" s="49">
        <f>IFERROR(VLOOKUP($B88-IF(CompareVer="LY",1,0) &amp; $C88 &amp;AU$4,tblForecast,AU$2,FALSE),0)</f>
        <v>0</v>
      </c>
      <c r="AV88" s="47">
        <f t="shared" si="479"/>
        <v>0</v>
      </c>
      <c r="AW88" s="191">
        <f t="shared" si="581"/>
        <v>0.4000799360511591</v>
      </c>
      <c r="AX88" s="192">
        <f t="shared" si="581"/>
        <v>0.4000799360511591</v>
      </c>
      <c r="AY88" s="192">
        <f t="shared" si="581"/>
        <v>0</v>
      </c>
      <c r="AZ88" s="192">
        <f t="shared" si="581"/>
        <v>0</v>
      </c>
      <c r="BA88" s="235">
        <f>IF(BA87+BV88+BL88+BR88-Q88&lt;0,0,BA87+BV88+BL88+BR88-Q88)</f>
        <v>56712</v>
      </c>
      <c r="BB88" s="231">
        <f>IF(IFERROR(VLOOKUP($B88 &amp; $C88&amp;BB$4,tblForecast,BB$2,FALSE),0)=0,BA88,IFERROR(VLOOKUP($B88 &amp; $C88&amp;BB$4,tblForecast,BB$2,FALSE),0))</f>
        <v>56712</v>
      </c>
      <c r="BC88" s="231">
        <f>IFERROR(VLOOKUP($B88-IF(CompareVer="LY",1,0) &amp; $C88 &amp;BC$4,tblForecast,BC$2,FALSE),0)</f>
        <v>0</v>
      </c>
      <c r="BD88" s="231">
        <f t="shared" si="582"/>
        <v>-1</v>
      </c>
      <c r="BE88" s="194">
        <f t="shared" si="480"/>
        <v>-56713</v>
      </c>
      <c r="BF88" s="231">
        <f>IFERROR(VLOOKUP($B88 &amp; $C88&amp;IF($A88="a",BG$4,BF$4),tblForecast,BF$2,FALSE),0)</f>
        <v>0</v>
      </c>
      <c r="BG88" s="228">
        <f>IFERROR(VLOOKUP($B88-IF(CompareVer="LY",1,0) &amp; $C88 &amp;BG$4,tblForecast,BG$2,FALSE),0)</f>
        <v>0</v>
      </c>
      <c r="BH88" s="179">
        <f>IF(Q88&lt;&gt;0,BA88/Q88,0)</f>
        <v>0</v>
      </c>
      <c r="BI88" s="183">
        <f>IF(T88&lt;&gt;0,BD88/T88,0)</f>
        <v>0</v>
      </c>
      <c r="BJ88" s="195">
        <f t="shared" si="583"/>
        <v>0</v>
      </c>
      <c r="BK88" s="50">
        <f t="shared" si="584"/>
        <v>0</v>
      </c>
      <c r="BL88" s="234">
        <f>IFERROR(VLOOKUP($B88 &amp; $C88&amp;IF($A88="a",BM$4,BL$4),tblForecast,BL$2,FALSE),0)</f>
        <v>0</v>
      </c>
      <c r="BM88" s="228">
        <f>IFERROR(VLOOKUP($B88-IF(CompareVer="LY",1,0) &amp; $C88 &amp;BM$4,tblForecast,BM$2,FALSE),0)</f>
        <v>0</v>
      </c>
      <c r="BN88" s="234">
        <f>IFERROR(VLOOKUP($B88 &amp; $C88&amp;IF($A88="a",BO$4,BN$4),tblForecast,BN$2,FALSE),0)</f>
        <v>0</v>
      </c>
      <c r="BO88" s="228">
        <f>IFERROR(VLOOKUP($B88-IF(CompareVer="LY",1,0) &amp; $C88 &amp;BO$4,tblForecast,BO$2,FALSE),0)</f>
        <v>0</v>
      </c>
      <c r="BP88" s="234">
        <f>IFERROR(VLOOKUP($B88 &amp; $C88&amp;IF($A88="a",BQ$4,BP$4),tblForecast,BP$2,FALSE),0)</f>
        <v>0</v>
      </c>
      <c r="BQ88" s="228">
        <f>IFERROR(VLOOKUP($B88-IF(CompareVer="LY",1,0) &amp; $C88 &amp;BQ$4,tblForecast,BQ$2,FALSE),0)</f>
        <v>0</v>
      </c>
      <c r="BR88" s="227">
        <f t="shared" si="486"/>
        <v>0</v>
      </c>
      <c r="BS88" s="231">
        <f t="shared" si="486"/>
        <v>0</v>
      </c>
      <c r="BT88" s="234">
        <f t="shared" si="585"/>
        <v>0</v>
      </c>
      <c r="BU88" s="231">
        <f t="shared" si="585"/>
        <v>0</v>
      </c>
      <c r="BV88" s="231">
        <f>IF($A88="a",IFERROR(VLOOKUP($B88 &amp; $C88&amp;BV$4,tblForecast,BV$2,FALSE),0),BT88+BU88)</f>
        <v>0</v>
      </c>
      <c r="BW88" s="231">
        <f t="shared" si="586"/>
        <v>0</v>
      </c>
      <c r="BX88" s="231">
        <f t="shared" si="586"/>
        <v>0</v>
      </c>
      <c r="BY88" s="193">
        <f>IFERROR(VLOOKUP($B88-IF(CompareVer="LY",1,0) &amp; $C88 &amp;BY$4,tblForecast,BY$2,FALSE),0)</f>
        <v>0</v>
      </c>
      <c r="BZ88" s="194">
        <f t="shared" si="481"/>
        <v>0</v>
      </c>
      <c r="CA88" s="337">
        <f t="shared" si="587"/>
        <v>0</v>
      </c>
      <c r="CB88" s="46">
        <f t="shared" si="587"/>
        <v>0</v>
      </c>
      <c r="CC88" s="46">
        <f>IF($A88="a",IFERROR(VLOOKUP($B88 &amp; $C88&amp;CC$4,tblForecast,CC$2,FALSE),0),CA88+CB88)</f>
        <v>0</v>
      </c>
      <c r="CD88" s="46">
        <f t="shared" si="588"/>
        <v>0</v>
      </c>
      <c r="CE88" s="46">
        <f t="shared" si="588"/>
        <v>0</v>
      </c>
      <c r="CF88" s="46">
        <f>IFERROR(VLOOKUP($B88-IF(CompareVer="LY",1,0) &amp; $C88 &amp;CF$4,tblForecast,CF$2,FALSE),0)</f>
        <v>0</v>
      </c>
      <c r="CG88" s="194">
        <f t="shared" si="482"/>
        <v>0</v>
      </c>
      <c r="CH88" s="337">
        <f t="shared" si="589"/>
        <v>0</v>
      </c>
      <c r="CI88" s="46">
        <f t="shared" si="589"/>
        <v>0</v>
      </c>
      <c r="CJ88" s="46">
        <f>IF($A88="a",IFERROR(VLOOKUP($B88 &amp; $C88&amp;CJ$4,tblForecast,CJ$2,FALSE),0),CH88+CI88)</f>
        <v>0</v>
      </c>
      <c r="CK88" s="46">
        <f t="shared" si="590"/>
        <v>0</v>
      </c>
      <c r="CL88" s="46">
        <f t="shared" si="590"/>
        <v>0</v>
      </c>
      <c r="CM88" s="46">
        <f>IFERROR(VLOOKUP($B88-IF(CompareVer="LY",1,0) &amp; $C88 &amp;CM$4,tblForecast,CM$2,FALSE),0)</f>
        <v>0</v>
      </c>
      <c r="CN88" s="194">
        <f t="shared" si="483"/>
        <v>0</v>
      </c>
      <c r="CO88" s="178">
        <f t="shared" si="525"/>
        <v>0</v>
      </c>
      <c r="CP88" s="223">
        <f t="shared" si="525"/>
        <v>0</v>
      </c>
      <c r="CQ88" s="194">
        <f t="shared" si="484"/>
        <v>0</v>
      </c>
      <c r="CR88" s="178">
        <f t="shared" si="487"/>
        <v>0</v>
      </c>
      <c r="CS88" s="223">
        <f t="shared" si="487"/>
        <v>0</v>
      </c>
      <c r="CT88" s="194">
        <f t="shared" si="526"/>
        <v>0</v>
      </c>
      <c r="CU88" s="44"/>
      <c r="CW88" s="102">
        <f>IFERROR(VLOOKUP($B88 &amp; $C88&amp;27,tblForecast,CW$2,FALSE),0)</f>
        <v>0</v>
      </c>
      <c r="CX88" s="48">
        <f>IFERROR(VLOOKUP($B88-IF(CompareVer="LY",1,0) &amp; $C88 &amp;CX$4,tblForecast,CX$2,FALSE),0)</f>
        <v>-1</v>
      </c>
      <c r="CY88" s="47">
        <f t="shared" si="555"/>
        <v>-1</v>
      </c>
      <c r="CZ88" s="278">
        <f>IFERROR(VLOOKUP(Brand&amp;Channel&amp;Country&amp;$C88,tblDiscount,6,FALSE),0)</f>
        <v>0.4</v>
      </c>
      <c r="DA88" s="279">
        <f>(1-CZ88)*DB88</f>
        <v>15.011999999999999</v>
      </c>
      <c r="DB88" s="279">
        <f>IFERROR(VLOOKUP(Brand&amp;Country &amp; Channel &amp;FC,tblFCSettings,8,FALSE),0)</f>
        <v>25.02</v>
      </c>
      <c r="DC88" s="280">
        <f>IFERROR(VLOOKUP(Brand&amp;Country &amp; Channel &amp;FC,tblFCSettings,9,FALSE),0)</f>
        <v>4.16</v>
      </c>
    </row>
    <row r="89" spans="2:107" ht="16.5" thickBot="1" x14ac:dyDescent="0.3">
      <c r="B89" s="44">
        <v>2019</v>
      </c>
      <c r="C89" s="88">
        <v>9</v>
      </c>
      <c r="D89" s="51">
        <f t="shared" si="591"/>
        <v>-447615.55963999999</v>
      </c>
      <c r="E89" s="202">
        <f t="shared" si="592"/>
        <v>-179010.60172000001</v>
      </c>
      <c r="F89" s="182">
        <f t="shared" si="490"/>
        <v>0.39992041801221423</v>
      </c>
      <c r="G89" s="176">
        <f t="shared" si="573"/>
        <v>-5630</v>
      </c>
      <c r="H89" s="203">
        <f t="shared" si="573"/>
        <v>79.505427999999995</v>
      </c>
      <c r="I89" s="203">
        <f t="shared" si="573"/>
        <v>47.709584</v>
      </c>
      <c r="J89" s="176">
        <f>IFERROR(VLOOKUP($B89 &amp; $C89&amp;J$4&amp;$A89,tblForecast,J$2,FALSE),0)+IFERROR(VLOOKUP($B89 &amp; $C89 &amp; J$4 &amp; $A89,tblForecast,J$2+1,FALSE),0)</f>
        <v>26562</v>
      </c>
      <c r="K89" s="300">
        <f>IFERROR(VLOOKUP($B89 &amp; $C89&amp;K$4&amp;$A89,tblForecast,K$2,FALSE),0)+IFERROR(VLOOKUP($B89 &amp; $C89&amp;K$4&amp;$A89,tblForecast,K$2+1,FALSE),0)</f>
        <v>0</v>
      </c>
      <c r="L89" s="90">
        <f>Q89*AM89</f>
        <v>0</v>
      </c>
      <c r="M89" s="90">
        <f t="shared" si="574"/>
        <v>0</v>
      </c>
      <c r="N89" s="46">
        <f t="shared" si="574"/>
        <v>0</v>
      </c>
      <c r="O89" s="46">
        <f t="shared" si="574"/>
        <v>0</v>
      </c>
      <c r="P89" s="47">
        <f t="shared" si="485"/>
        <v>0</v>
      </c>
      <c r="Q89" s="242">
        <f t="shared" si="593"/>
        <v>0</v>
      </c>
      <c r="R89" s="240">
        <f t="shared" si="575"/>
        <v>0</v>
      </c>
      <c r="S89" s="240">
        <f t="shared" si="575"/>
        <v>0</v>
      </c>
      <c r="T89" s="240">
        <f>IFERROR(VLOOKUP($B89-IF(CompareVer="LY",1,0) &amp; $C89 &amp;T$4,tblForecast,T$2,FALSE),0)</f>
        <v>0</v>
      </c>
      <c r="U89" s="91">
        <f t="shared" si="476"/>
        <v>0</v>
      </c>
      <c r="V89" s="249">
        <f t="shared" si="594"/>
        <v>0</v>
      </c>
      <c r="W89" s="334">
        <f t="shared" si="594"/>
        <v>0</v>
      </c>
      <c r="X89" s="250">
        <f t="shared" si="595"/>
        <v>0</v>
      </c>
      <c r="Y89" s="51">
        <f t="shared" si="576"/>
        <v>0</v>
      </c>
      <c r="Z89" s="46">
        <f t="shared" si="576"/>
        <v>0</v>
      </c>
      <c r="AA89" s="46">
        <f t="shared" si="576"/>
        <v>0</v>
      </c>
      <c r="AB89" s="46">
        <f t="shared" si="576"/>
        <v>0</v>
      </c>
      <c r="AC89" s="91">
        <f t="shared" si="477"/>
        <v>0</v>
      </c>
      <c r="AD89" s="75">
        <f>IF(AM89&lt;&gt;0,1-AR89/AM89,0)</f>
        <v>0.72285143237841432</v>
      </c>
      <c r="AE89" s="93">
        <f t="shared" si="577"/>
        <v>0.72285143237841432</v>
      </c>
      <c r="AF89" s="93">
        <f t="shared" si="577"/>
        <v>0</v>
      </c>
      <c r="AG89" s="76">
        <f t="shared" si="577"/>
        <v>0</v>
      </c>
      <c r="AH89" s="73">
        <f>IF(IFERROR(VLOOKUP($B89 &amp; $C89&amp;AH$4,tblForecast,AH$2,FALSE),0)=0,DB89,IFERROR(VLOOKUP($B89 &amp; $C89&amp;AH$4,tblForecast,AH$2,FALSE),0))</f>
        <v>25.02</v>
      </c>
      <c r="AI89" s="94">
        <f t="shared" si="578"/>
        <v>25.02</v>
      </c>
      <c r="AJ89" s="94">
        <f t="shared" si="578"/>
        <v>0</v>
      </c>
      <c r="AK89" s="49">
        <f>IFERROR(VLOOKUP($B89-IF(CompareVer="LY",1,0) &amp; $C89 &amp;AK$4,tblForecast,AK$2,FALSE),0)</f>
        <v>0</v>
      </c>
      <c r="AL89" s="47">
        <f t="shared" si="387"/>
        <v>0</v>
      </c>
      <c r="AM89" s="73">
        <f>IF(IFERROR(VLOOKUP($B89 &amp; $C89&amp;AM$4,tblForecast,AM$2,FALSE),0)=0,DA89,IFERROR(VLOOKUP($B89 &amp; $C89&amp;AM$4,tblForecast,AM$2,FALSE),0))</f>
        <v>15.01</v>
      </c>
      <c r="AN89" s="94">
        <f t="shared" si="579"/>
        <v>15.01</v>
      </c>
      <c r="AO89" s="94">
        <f t="shared" si="579"/>
        <v>0</v>
      </c>
      <c r="AP89" s="49">
        <f>IFERROR(VLOOKUP($B89-IF(CompareVer="LY",1,0) &amp; $C89 &amp;AP$4,tblForecast,AP$2,FALSE),0)</f>
        <v>0</v>
      </c>
      <c r="AQ89" s="47">
        <f t="shared" si="478"/>
        <v>0</v>
      </c>
      <c r="AR89" s="73">
        <f>IF(IFERROR(VLOOKUP($B89 &amp; $C89&amp;AR$4,tblForecast,AR$2,FALSE),0)=0,DC89,IFERROR(VLOOKUP($B89 &amp; $C89&amp;AR$4,tblForecast,AR$2,FALSE),0))</f>
        <v>4.16</v>
      </c>
      <c r="AS89" s="94">
        <f t="shared" si="580"/>
        <v>4.16</v>
      </c>
      <c r="AT89" s="94">
        <f t="shared" si="580"/>
        <v>0</v>
      </c>
      <c r="AU89" s="49">
        <f>IFERROR(VLOOKUP($B89-IF(CompareVer="LY",1,0) &amp; $C89 &amp;AU$4,tblForecast,AU$2,FALSE),0)</f>
        <v>0</v>
      </c>
      <c r="AV89" s="47">
        <f t="shared" si="479"/>
        <v>0</v>
      </c>
      <c r="AW89" s="191">
        <f t="shared" si="581"/>
        <v>0.4000799360511591</v>
      </c>
      <c r="AX89" s="192">
        <f t="shared" si="581"/>
        <v>0.4000799360511591</v>
      </c>
      <c r="AY89" s="192">
        <f t="shared" si="581"/>
        <v>0</v>
      </c>
      <c r="AZ89" s="192">
        <f t="shared" si="581"/>
        <v>0</v>
      </c>
      <c r="BA89" s="235">
        <f>IF(BA88+BV89+BL89+BR89-Q89&lt;0,0,BA88+BV89+BL89+BR89-Q89)</f>
        <v>56712</v>
      </c>
      <c r="BB89" s="231">
        <f>IF(IFERROR(VLOOKUP($B89 &amp; $C89&amp;BB$4,tblForecast,BB$2,FALSE),0)=0,BA89,IFERROR(VLOOKUP($B89 &amp; $C89&amp;BB$4,tblForecast,BB$2,FALSE),0))</f>
        <v>56712</v>
      </c>
      <c r="BC89" s="231">
        <f>IFERROR(VLOOKUP($B89-IF(CompareVer="LY",1,0) &amp; $C89 &amp;BC$4,tblForecast,BC$2,FALSE),0)</f>
        <v>0</v>
      </c>
      <c r="BD89" s="231">
        <f t="shared" si="582"/>
        <v>-1</v>
      </c>
      <c r="BE89" s="194">
        <f t="shared" si="480"/>
        <v>-56713</v>
      </c>
      <c r="BF89" s="231">
        <f>IFERROR(VLOOKUP($B89 &amp; $C89&amp;IF($A89="a",BG$4,BF$4),tblForecast,BF$2,FALSE),0)</f>
        <v>0</v>
      </c>
      <c r="BG89" s="228">
        <f>IFERROR(VLOOKUP($B89-IF(CompareVer="LY",1,0) &amp; $C89 &amp;BG$4,tblForecast,BG$2,FALSE),0)</f>
        <v>0</v>
      </c>
      <c r="BH89" s="179">
        <f>IF(Q89&lt;&gt;0,BA89/Q89,0)</f>
        <v>0</v>
      </c>
      <c r="BI89" s="183">
        <f>IF(T89&lt;&gt;0,BD89/T89,0)</f>
        <v>0</v>
      </c>
      <c r="BJ89" s="195">
        <f t="shared" si="583"/>
        <v>0</v>
      </c>
      <c r="BK89" s="50">
        <f t="shared" si="584"/>
        <v>0</v>
      </c>
      <c r="BL89" s="234">
        <f>IFERROR(VLOOKUP($B89 &amp; $C89&amp;IF($A89="a",BM$4,BL$4),tblForecast,BL$2,FALSE),0)</f>
        <v>0</v>
      </c>
      <c r="BM89" s="228">
        <f>IFERROR(VLOOKUP($B89-IF(CompareVer="LY",1,0) &amp; $C89 &amp;BM$4,tblForecast,BM$2,FALSE),0)</f>
        <v>0</v>
      </c>
      <c r="BN89" s="234">
        <f>IFERROR(VLOOKUP($B89 &amp; $C89&amp;IF($A89="a",BO$4,BN$4),tblForecast,BN$2,FALSE),0)</f>
        <v>0</v>
      </c>
      <c r="BO89" s="228">
        <f>IFERROR(VLOOKUP($B89-IF(CompareVer="LY",1,0) &amp; $C89 &amp;BO$4,tblForecast,BO$2,FALSE),0)</f>
        <v>0</v>
      </c>
      <c r="BP89" s="234">
        <f>IFERROR(VLOOKUP($B89 &amp; $C89&amp;IF($A89="a",BQ$4,BP$4),tblForecast,BP$2,FALSE),0)</f>
        <v>0</v>
      </c>
      <c r="BQ89" s="228">
        <f>IFERROR(VLOOKUP($B89-IF(CompareVer="LY",1,0) &amp; $C89 &amp;BQ$4,tblForecast,BQ$2,FALSE),0)</f>
        <v>0</v>
      </c>
      <c r="BR89" s="227">
        <f t="shared" si="486"/>
        <v>0</v>
      </c>
      <c r="BS89" s="231">
        <f t="shared" si="486"/>
        <v>0</v>
      </c>
      <c r="BT89" s="234">
        <f t="shared" si="585"/>
        <v>0</v>
      </c>
      <c r="BU89" s="231">
        <f t="shared" si="585"/>
        <v>0</v>
      </c>
      <c r="BV89" s="231">
        <f>IF($A89="a",IFERROR(VLOOKUP($B89 &amp; $C89&amp;BV$4,tblForecast,BV$2,FALSE),0),BT89+BU89)</f>
        <v>0</v>
      </c>
      <c r="BW89" s="231">
        <f t="shared" si="586"/>
        <v>0</v>
      </c>
      <c r="BX89" s="231">
        <f t="shared" si="586"/>
        <v>0</v>
      </c>
      <c r="BY89" s="193">
        <f>IFERROR(VLOOKUP($B89-IF(CompareVer="LY",1,0) &amp; $C89 &amp;BY$4,tblForecast,BY$2,FALSE),0)</f>
        <v>0</v>
      </c>
      <c r="BZ89" s="194">
        <f t="shared" si="481"/>
        <v>0</v>
      </c>
      <c r="CA89" s="337">
        <f t="shared" si="587"/>
        <v>0</v>
      </c>
      <c r="CB89" s="46">
        <f t="shared" si="587"/>
        <v>0</v>
      </c>
      <c r="CC89" s="46">
        <f>IF($A89="a",IFERROR(VLOOKUP($B89 &amp; $C89&amp;CC$4,tblForecast,CC$2,FALSE),0),CA89+CB89)</f>
        <v>0</v>
      </c>
      <c r="CD89" s="46">
        <f t="shared" si="588"/>
        <v>0</v>
      </c>
      <c r="CE89" s="46">
        <f t="shared" si="588"/>
        <v>0</v>
      </c>
      <c r="CF89" s="46">
        <f>IFERROR(VLOOKUP($B89-IF(CompareVer="LY",1,0) &amp; $C89 &amp;CF$4,tblForecast,CF$2,FALSE),0)</f>
        <v>0</v>
      </c>
      <c r="CG89" s="194">
        <f t="shared" si="482"/>
        <v>0</v>
      </c>
      <c r="CH89" s="337">
        <f t="shared" si="589"/>
        <v>0</v>
      </c>
      <c r="CI89" s="46">
        <f t="shared" si="589"/>
        <v>0</v>
      </c>
      <c r="CJ89" s="46">
        <f>IF($A89="a",IFERROR(VLOOKUP($B89 &amp; $C89&amp;CJ$4,tblForecast,CJ$2,FALSE),0),CH89+CI89)</f>
        <v>0</v>
      </c>
      <c r="CK89" s="46">
        <f t="shared" si="590"/>
        <v>0</v>
      </c>
      <c r="CL89" s="46">
        <f t="shared" si="590"/>
        <v>0</v>
      </c>
      <c r="CM89" s="46">
        <f>IFERROR(VLOOKUP($B89-IF(CompareVer="LY",1,0) &amp; $C89 &amp;CM$4,tblForecast,CM$2,FALSE),0)</f>
        <v>0</v>
      </c>
      <c r="CN89" s="194">
        <f t="shared" si="483"/>
        <v>0</v>
      </c>
      <c r="CO89" s="178">
        <f t="shared" si="525"/>
        <v>0</v>
      </c>
      <c r="CP89" s="223">
        <f t="shared" si="525"/>
        <v>0</v>
      </c>
      <c r="CQ89" s="194">
        <f t="shared" si="484"/>
        <v>0</v>
      </c>
      <c r="CR89" s="178">
        <f t="shared" si="487"/>
        <v>0</v>
      </c>
      <c r="CS89" s="223">
        <f t="shared" si="487"/>
        <v>0</v>
      </c>
      <c r="CT89" s="194">
        <f t="shared" si="526"/>
        <v>0</v>
      </c>
      <c r="CU89" s="44"/>
      <c r="CW89" s="102">
        <f>IFERROR(VLOOKUP($B89 &amp; $C89&amp;27,tblForecast,CW$2,FALSE),0)</f>
        <v>0</v>
      </c>
      <c r="CX89" s="48">
        <f>IFERROR(VLOOKUP($B89-IF(CompareVer="LY",1,0) &amp; $C89 &amp;CX$4,tblForecast,CX$2,FALSE),0)</f>
        <v>-1</v>
      </c>
      <c r="CY89" s="47">
        <f t="shared" si="555"/>
        <v>-1</v>
      </c>
      <c r="CZ89" s="278">
        <f>IFERROR(VLOOKUP(Brand&amp;Channel&amp;Country&amp;$C89,tblDiscount,6,FALSE),0)</f>
        <v>0.4</v>
      </c>
      <c r="DA89" s="279">
        <f>(1-CZ89)*DB89</f>
        <v>15.011999999999999</v>
      </c>
      <c r="DB89" s="279">
        <f>IFERROR(VLOOKUP(Brand&amp;Country &amp; Channel &amp;FC,tblFCSettings,8,FALSE),0)</f>
        <v>25.02</v>
      </c>
      <c r="DC89" s="280">
        <f>IFERROR(VLOOKUP(Brand&amp;Country &amp; Channel &amp;FC,tblFCSettings,9,FALSE),0)</f>
        <v>4.16</v>
      </c>
    </row>
    <row r="90" spans="2:107" ht="16.5" thickBot="1" x14ac:dyDescent="0.3">
      <c r="C90" s="253" t="s">
        <v>22</v>
      </c>
      <c r="D90" s="254">
        <f>SUM(D85:D89)</f>
        <v>-10353886.802093001</v>
      </c>
      <c r="E90" s="255">
        <f>SUM(E85:E89)</f>
        <v>-3673372.0055440003</v>
      </c>
      <c r="F90" s="256">
        <f t="shared" si="490"/>
        <v>0.35478193607461916</v>
      </c>
      <c r="G90" s="257">
        <f>SUM(G85:G89)</f>
        <v>-348722</v>
      </c>
      <c r="H90" s="258">
        <f>IFERROR(D90/G90,0)</f>
        <v>29.690948096457927</v>
      </c>
      <c r="I90" s="258">
        <f>IFERROR(SUMPRODUCT(I85:I89,G85:G89)/G90,0)</f>
        <v>19.157136046905556</v>
      </c>
      <c r="J90" s="257">
        <f>SUM(J85:J89)</f>
        <v>181561</v>
      </c>
      <c r="K90" s="301">
        <f>SUM(K85:K89)</f>
        <v>0</v>
      </c>
      <c r="L90" s="259">
        <f>SUM(L85:L89)</f>
        <v>0</v>
      </c>
      <c r="M90" s="259">
        <f t="shared" ref="M90:O90" si="596">SUM(M85:M89)</f>
        <v>0</v>
      </c>
      <c r="N90" s="259">
        <f t="shared" si="596"/>
        <v>0</v>
      </c>
      <c r="O90" s="259">
        <f t="shared" si="596"/>
        <v>0</v>
      </c>
      <c r="P90" s="260">
        <f t="shared" si="485"/>
        <v>0</v>
      </c>
      <c r="Q90" s="261">
        <f>SUM(Q85:Q89)</f>
        <v>0</v>
      </c>
      <c r="R90" s="262">
        <f t="shared" ref="R90:S90" si="597">SUM(R85:R89)</f>
        <v>0</v>
      </c>
      <c r="S90" s="262">
        <f t="shared" si="597"/>
        <v>0</v>
      </c>
      <c r="T90" s="262">
        <f>SUM(T85:T89)</f>
        <v>0</v>
      </c>
      <c r="U90" s="260">
        <f t="shared" si="476"/>
        <v>0</v>
      </c>
      <c r="V90" s="263">
        <f>V89</f>
        <v>0</v>
      </c>
      <c r="W90" s="332">
        <f>W89</f>
        <v>0</v>
      </c>
      <c r="X90" s="264">
        <f>X89</f>
        <v>0</v>
      </c>
      <c r="Y90" s="254">
        <f>SUM(Y85:Y89)</f>
        <v>0</v>
      </c>
      <c r="Z90" s="259">
        <f t="shared" ref="Z90:AB90" si="598">SUM(Z85:Z89)</f>
        <v>0</v>
      </c>
      <c r="AA90" s="259">
        <f t="shared" si="598"/>
        <v>0</v>
      </c>
      <c r="AB90" s="259">
        <f t="shared" si="598"/>
        <v>0</v>
      </c>
      <c r="AC90" s="260">
        <f t="shared" si="477"/>
        <v>0</v>
      </c>
      <c r="AD90" s="265">
        <f>IFERROR(Y90/L90,0)</f>
        <v>0</v>
      </c>
      <c r="AE90" s="266">
        <f>IFERROR(Z90/M90,0)</f>
        <v>0</v>
      </c>
      <c r="AF90" s="266">
        <f>IFERROR(AA90/N90,0)</f>
        <v>0</v>
      </c>
      <c r="AG90" s="266">
        <f>IFERROR(AB90/O90,0)</f>
        <v>0</v>
      </c>
      <c r="AH90" s="267">
        <f>IFERROR(SUMPRODUCT(AH85:AH89,Q85:Q89)/Q90,0)</f>
        <v>0</v>
      </c>
      <c r="AI90" s="268">
        <f>IFERROR(SUMPRODUCT(AI85:AI89,R85:R89)/R90,0)</f>
        <v>0</v>
      </c>
      <c r="AJ90" s="268">
        <f>IFERROR(SUMPRODUCT(AJ85:AJ89,S85:S89)/S90,0)</f>
        <v>0</v>
      </c>
      <c r="AK90" s="268">
        <f>IFERROR(SUMPRODUCT(AK85:AK89,T85:T89)/T90,0)</f>
        <v>0</v>
      </c>
      <c r="AL90" s="260">
        <f t="shared" si="387"/>
        <v>0</v>
      </c>
      <c r="AM90" s="267">
        <f>IF(Q90&lt;&gt;0,L90/Q90,0)</f>
        <v>0</v>
      </c>
      <c r="AN90" s="268">
        <f>IF(R90&lt;&gt;0,M90/R90,0)</f>
        <v>0</v>
      </c>
      <c r="AO90" s="268">
        <f>IF(S90&lt;&gt;0,N90/S90,0)</f>
        <v>0</v>
      </c>
      <c r="AP90" s="268">
        <f>IF(T90&lt;&gt;0,O90/T90,0)</f>
        <v>0</v>
      </c>
      <c r="AQ90" s="260">
        <f t="shared" si="478"/>
        <v>0</v>
      </c>
      <c r="AR90" s="267">
        <f>IFERROR((L90*(1-AD90))/Q90,0)</f>
        <v>0</v>
      </c>
      <c r="AS90" s="268">
        <f>IFERROR((M90*(1-AE90))/R90,0)</f>
        <v>0</v>
      </c>
      <c r="AT90" s="268">
        <f>IFERROR((N90*(1-AF90))/S90,0)</f>
        <v>0</v>
      </c>
      <c r="AU90" s="268">
        <f>IFERROR((O90*(1-AG90))/T90,0)</f>
        <v>0</v>
      </c>
      <c r="AV90" s="260">
        <f t="shared" si="479"/>
        <v>0</v>
      </c>
      <c r="AW90" s="269">
        <f>IFERROR(SUMPRODUCT(AW85:AW89,V85:V89)/V90,0)</f>
        <v>0</v>
      </c>
      <c r="AX90" s="270">
        <f t="shared" ref="AX90:AZ90" si="599">IFERROR(SUMPRODUCT(AX85:AX89,X85:X89)/X90,0)</f>
        <v>0</v>
      </c>
      <c r="AY90" s="270">
        <f t="shared" si="599"/>
        <v>0</v>
      </c>
      <c r="AZ90" s="270">
        <f t="shared" si="599"/>
        <v>0</v>
      </c>
      <c r="BA90" s="261">
        <f>BA89</f>
        <v>56712</v>
      </c>
      <c r="BB90" s="262">
        <f t="shared" ref="BB90:BD90" si="600">BB89</f>
        <v>56712</v>
      </c>
      <c r="BC90" s="262">
        <f t="shared" si="600"/>
        <v>0</v>
      </c>
      <c r="BD90" s="262">
        <f t="shared" si="600"/>
        <v>-1</v>
      </c>
      <c r="BE90" s="260">
        <f t="shared" si="480"/>
        <v>-56713</v>
      </c>
      <c r="BF90" s="262">
        <f>BF89</f>
        <v>0</v>
      </c>
      <c r="BG90" s="262">
        <f>BG89</f>
        <v>0</v>
      </c>
      <c r="BH90" s="271">
        <f>IF(Q88&lt;&gt;0,(BA90/Q90),0)</f>
        <v>0</v>
      </c>
      <c r="BI90" s="272">
        <f>IF(T88&lt;&gt;0,(BD90/T88),0)</f>
        <v>0</v>
      </c>
      <c r="BJ90" s="273" t="e">
        <f>IF(BA90&lt;&gt;0,(Q90/COUNTIF(BJ85:BJ89,"&lt;&gt;0"))/BA90,0)</f>
        <v>#DIV/0!</v>
      </c>
      <c r="BK90" s="274" t="e">
        <f>IF(BD90&lt;&gt;0,(T90/COUNTIF(BK85:BK89,"&lt;&gt;0"))/BD90,0)</f>
        <v>#DIV/0!</v>
      </c>
      <c r="BL90" s="261">
        <f t="shared" ref="BL90" si="601">SUM(BL85:BL89)</f>
        <v>0</v>
      </c>
      <c r="BM90" s="262">
        <f>SUM(BM85:BM89)</f>
        <v>-1</v>
      </c>
      <c r="BN90" s="261">
        <f t="shared" ref="BN90:BQ90" si="602">SUM(BN85:BN89)</f>
        <v>0</v>
      </c>
      <c r="BO90" s="262">
        <f t="shared" si="602"/>
        <v>0</v>
      </c>
      <c r="BP90" s="261">
        <f t="shared" si="602"/>
        <v>0</v>
      </c>
      <c r="BQ90" s="262">
        <f t="shared" si="602"/>
        <v>0</v>
      </c>
      <c r="BR90" s="261">
        <f t="shared" si="486"/>
        <v>0</v>
      </c>
      <c r="BS90" s="262">
        <f t="shared" si="486"/>
        <v>0</v>
      </c>
      <c r="BT90" s="261">
        <f t="shared" ref="BT90:BY90" si="603">SUM(BT85:BT89)</f>
        <v>0</v>
      </c>
      <c r="BU90" s="262">
        <f t="shared" si="603"/>
        <v>0</v>
      </c>
      <c r="BV90" s="262">
        <f t="shared" si="603"/>
        <v>0</v>
      </c>
      <c r="BW90" s="262">
        <f t="shared" si="603"/>
        <v>0</v>
      </c>
      <c r="BX90" s="262">
        <f t="shared" si="603"/>
        <v>0</v>
      </c>
      <c r="BY90" s="275">
        <f t="shared" si="603"/>
        <v>0</v>
      </c>
      <c r="BZ90" s="260">
        <f t="shared" si="481"/>
        <v>0</v>
      </c>
      <c r="CA90" s="338">
        <f t="shared" ref="CA90:CF90" si="604">SUM(CA85:CA89)</f>
        <v>0</v>
      </c>
      <c r="CB90" s="259">
        <f t="shared" si="604"/>
        <v>0</v>
      </c>
      <c r="CC90" s="259">
        <f t="shared" si="604"/>
        <v>0</v>
      </c>
      <c r="CD90" s="259">
        <f t="shared" si="604"/>
        <v>0</v>
      </c>
      <c r="CE90" s="259">
        <f t="shared" si="604"/>
        <v>0</v>
      </c>
      <c r="CF90" s="259">
        <f t="shared" si="604"/>
        <v>0</v>
      </c>
      <c r="CG90" s="260">
        <f t="shared" si="482"/>
        <v>0</v>
      </c>
      <c r="CH90" s="338">
        <f t="shared" ref="CH90:CM90" si="605">SUM(CH85:CH89)</f>
        <v>0</v>
      </c>
      <c r="CI90" s="259">
        <f t="shared" si="605"/>
        <v>0</v>
      </c>
      <c r="CJ90" s="259">
        <f t="shared" si="605"/>
        <v>0</v>
      </c>
      <c r="CK90" s="259">
        <f t="shared" si="605"/>
        <v>0</v>
      </c>
      <c r="CL90" s="259">
        <f t="shared" si="605"/>
        <v>0</v>
      </c>
      <c r="CM90" s="259">
        <f t="shared" si="605"/>
        <v>0</v>
      </c>
      <c r="CN90" s="260">
        <f t="shared" si="483"/>
        <v>0</v>
      </c>
      <c r="CO90" s="276">
        <f t="shared" si="525"/>
        <v>0</v>
      </c>
      <c r="CP90" s="277">
        <f t="shared" si="525"/>
        <v>0</v>
      </c>
      <c r="CQ90" s="260">
        <f t="shared" si="484"/>
        <v>0</v>
      </c>
      <c r="CR90" s="276">
        <f t="shared" si="487"/>
        <v>0</v>
      </c>
      <c r="CS90" s="277">
        <f t="shared" si="487"/>
        <v>0</v>
      </c>
      <c r="CT90" s="260">
        <f t="shared" si="526"/>
        <v>0</v>
      </c>
      <c r="CU90" s="44"/>
      <c r="CW90" s="100">
        <f>CW89</f>
        <v>0</v>
      </c>
      <c r="CX90" s="101">
        <f>CX89</f>
        <v>-1</v>
      </c>
      <c r="CY90" s="99">
        <f t="shared" si="555"/>
        <v>-1</v>
      </c>
      <c r="CZ90" s="278"/>
      <c r="DA90" s="279"/>
      <c r="DB90" s="279"/>
      <c r="DC90" s="280"/>
    </row>
    <row r="91" spans="2:107" x14ac:dyDescent="0.25">
      <c r="B91" s="44">
        <v>2019</v>
      </c>
      <c r="C91" s="88">
        <v>10</v>
      </c>
      <c r="D91" s="51">
        <f>G91*H91</f>
        <v>-760132.23734700005</v>
      </c>
      <c r="E91" s="202">
        <f>IFERROR(D91*F91,0)</f>
        <v>-303992.39952899999</v>
      </c>
      <c r="F91" s="182">
        <f t="shared" si="490"/>
        <v>0.39992041462415651</v>
      </c>
      <c r="G91" s="176">
        <f t="shared" ref="G91:I94" si="606">IFERROR(VLOOKUP($B91 &amp; $C91&amp;G$4&amp;$A91,tblForecast,G$2,FALSE),0)</f>
        <v>-18081</v>
      </c>
      <c r="H91" s="203">
        <f t="shared" si="606"/>
        <v>42.040387000000003</v>
      </c>
      <c r="I91" s="203">
        <f t="shared" si="606"/>
        <v>25.227578000000001</v>
      </c>
      <c r="J91" s="176">
        <f>IFERROR(VLOOKUP($B91 &amp; $C91&amp;J$4&amp;$A91,tblForecast,J$2,FALSE),0)+IFERROR(VLOOKUP($B91 &amp; $C91 &amp; J$4 &amp; $A91,tblForecast,J$2+1,FALSE),0)</f>
        <v>24029</v>
      </c>
      <c r="K91" s="300">
        <f>IFERROR(VLOOKUP($B91 &amp; $C91&amp;K$4&amp;$A91,tblForecast,K$2,FALSE),0)+IFERROR(VLOOKUP($B91 &amp; $C91&amp;K$4&amp;$A91,tblForecast,K$2+1,FALSE),0)</f>
        <v>0</v>
      </c>
      <c r="L91" s="90">
        <f>Q91*AM91</f>
        <v>0</v>
      </c>
      <c r="M91" s="90">
        <f t="shared" ref="M91:O94" si="607">R91*AN91</f>
        <v>0</v>
      </c>
      <c r="N91" s="46">
        <f t="shared" si="607"/>
        <v>0</v>
      </c>
      <c r="O91" s="46">
        <f t="shared" si="607"/>
        <v>0</v>
      </c>
      <c r="P91" s="47">
        <f t="shared" si="485"/>
        <v>0</v>
      </c>
      <c r="Q91" s="242">
        <f>ROUND(IF(BA89-(Q89*IF(W91=0,X91,W91))&lt;0,BA89,Q89*IF(W91=0,X91,W91)),0)</f>
        <v>0</v>
      </c>
      <c r="R91" s="240">
        <f t="shared" ref="R91:S94" si="608">IFERROR(VLOOKUP($B91 &amp; $C91&amp;R$4,tblForecast,R$2,FALSE),0)</f>
        <v>0</v>
      </c>
      <c r="S91" s="240">
        <f t="shared" si="608"/>
        <v>0</v>
      </c>
      <c r="T91" s="240">
        <f>IFERROR(VLOOKUP($B91-IF(CompareVer="LY",1,0) &amp; $C91 &amp;T$4,tblForecast,T$2,FALSE),0)</f>
        <v>0</v>
      </c>
      <c r="U91" s="91">
        <f t="shared" si="476"/>
        <v>0</v>
      </c>
      <c r="V91" s="249">
        <f>IFERROR(IF(Q89&gt;0,Q91/Q89,0),0)</f>
        <v>0</v>
      </c>
      <c r="W91" s="334">
        <f>IFERROR(IF(R89&gt;0,R91/R89,0),0)</f>
        <v>0</v>
      </c>
      <c r="X91" s="250">
        <f>IFERROR(IF(T89&gt;0,T91/T89,0),0)</f>
        <v>0</v>
      </c>
      <c r="Y91" s="51">
        <f t="shared" ref="Y91:AB94" si="609">IFERROR(L91*AD91,0)</f>
        <v>0</v>
      </c>
      <c r="Z91" s="46">
        <f t="shared" si="609"/>
        <v>0</v>
      </c>
      <c r="AA91" s="46">
        <f t="shared" si="609"/>
        <v>0</v>
      </c>
      <c r="AB91" s="46">
        <f t="shared" si="609"/>
        <v>0</v>
      </c>
      <c r="AC91" s="91">
        <f t="shared" si="477"/>
        <v>0</v>
      </c>
      <c r="AD91" s="75">
        <f>IF(AM91&lt;&gt;0,1-AR91/AM91,0)</f>
        <v>0.72285143237841432</v>
      </c>
      <c r="AE91" s="93">
        <f t="shared" ref="AE91:AG94" si="610">IF(AN91&lt;&gt;0,1-AS91/AN91,0)</f>
        <v>0.72285143237841432</v>
      </c>
      <c r="AF91" s="93">
        <f t="shared" si="610"/>
        <v>0</v>
      </c>
      <c r="AG91" s="76">
        <f t="shared" si="610"/>
        <v>0</v>
      </c>
      <c r="AH91" s="73">
        <f>IF(IFERROR(VLOOKUP($B91 &amp; $C91&amp;AH$4,tblForecast,AH$2,FALSE),0)=0,DB91,IFERROR(VLOOKUP($B91 &amp; $C91&amp;AH$4,tblForecast,AH$2,FALSE),0))</f>
        <v>25.02</v>
      </c>
      <c r="AI91" s="94">
        <f t="shared" ref="AI91:AJ94" si="611">IFERROR(VLOOKUP($B91 &amp; $C91&amp;AI$4,tblForecast,AI$2,FALSE),0)</f>
        <v>25.02</v>
      </c>
      <c r="AJ91" s="94">
        <f t="shared" si="611"/>
        <v>0</v>
      </c>
      <c r="AK91" s="49">
        <f>IFERROR(VLOOKUP($B91-IF(CompareVer="LY",1,0) &amp; $C91 &amp;AK$4,tblForecast,AK$2,FALSE),0)</f>
        <v>0</v>
      </c>
      <c r="AL91" s="47">
        <f t="shared" si="387"/>
        <v>0</v>
      </c>
      <c r="AM91" s="73">
        <f>IF(IFERROR(VLOOKUP($B91 &amp; $C91&amp;AM$4,tblForecast,AM$2,FALSE),0)=0,DA91,IFERROR(VLOOKUP($B91 &amp; $C91&amp;AM$4,tblForecast,AM$2,FALSE),0))</f>
        <v>15.01</v>
      </c>
      <c r="AN91" s="94">
        <f t="shared" ref="AN91:AO94" si="612">IFERROR(VLOOKUP($B91 &amp; $C91&amp;AN$4,tblForecast,AN$2,FALSE),0)</f>
        <v>15.01</v>
      </c>
      <c r="AO91" s="94">
        <f t="shared" si="612"/>
        <v>0</v>
      </c>
      <c r="AP91" s="49">
        <f>IFERROR(VLOOKUP($B91-IF(CompareVer="LY",1,0) &amp; $C91 &amp;AP$4,tblForecast,AP$2,FALSE),0)</f>
        <v>0</v>
      </c>
      <c r="AQ91" s="47">
        <f t="shared" si="478"/>
        <v>0</v>
      </c>
      <c r="AR91" s="73">
        <f>IF(IFERROR(VLOOKUP($B91 &amp; $C91&amp;AR$4,tblForecast,AR$2,FALSE),0)=0,DC91,IFERROR(VLOOKUP($B91 &amp; $C91&amp;AR$4,tblForecast,AR$2,FALSE),0))</f>
        <v>4.16</v>
      </c>
      <c r="AS91" s="94">
        <f t="shared" ref="AS91:AT94" si="613">IFERROR(VLOOKUP($B91 &amp; $C91&amp;AS$4,tblForecast,AS$2,FALSE),0)</f>
        <v>4.16</v>
      </c>
      <c r="AT91" s="94">
        <f t="shared" si="613"/>
        <v>0</v>
      </c>
      <c r="AU91" s="49">
        <f>IFERROR(VLOOKUP($B91-IF(CompareVer="LY",1,0) &amp; $C91 &amp;AU$4,tblForecast,AU$2,FALSE),0)</f>
        <v>0</v>
      </c>
      <c r="AV91" s="47">
        <f t="shared" si="479"/>
        <v>0</v>
      </c>
      <c r="AW91" s="191">
        <f t="shared" ref="AW91:AZ94" si="614">IFERROR((AM91/AH91-1)*-1,0)</f>
        <v>0.4000799360511591</v>
      </c>
      <c r="AX91" s="192">
        <f t="shared" si="614"/>
        <v>0.4000799360511591</v>
      </c>
      <c r="AY91" s="192">
        <f t="shared" si="614"/>
        <v>0</v>
      </c>
      <c r="AZ91" s="192">
        <f t="shared" si="614"/>
        <v>0</v>
      </c>
      <c r="BA91" s="235">
        <f>IF(BA90+BV91+BL91+BR91-Q91&lt;0,0,BA90+BV91+BL91+BR91-Q91)</f>
        <v>56712</v>
      </c>
      <c r="BB91" s="231">
        <f>IF(IFERROR(VLOOKUP($B91 &amp; $C91&amp;BB$4,tblForecast,BB$2,FALSE),0)=0,BA91,IFERROR(VLOOKUP($B91 &amp; $C91&amp;BB$4,tblForecast,BB$2,FALSE),0))</f>
        <v>56712</v>
      </c>
      <c r="BC91" s="231">
        <f>IFERROR(VLOOKUP($B91-IF(CompareVer="LY",1,0) &amp; $C91 &amp;BC$4,tblForecast,BC$2,FALSE),0)</f>
        <v>0</v>
      </c>
      <c r="BD91" s="231">
        <f t="shared" ref="BD91:BD94" si="615">CX91+BG91</f>
        <v>-1</v>
      </c>
      <c r="BE91" s="194">
        <f t="shared" si="480"/>
        <v>-56713</v>
      </c>
      <c r="BF91" s="231">
        <f>IFERROR(VLOOKUP($B91 &amp; $C91&amp;IF($A91="a",BG$4,BF$4),tblForecast,BF$2,FALSE),0)</f>
        <v>0</v>
      </c>
      <c r="BG91" s="228">
        <f>IFERROR(VLOOKUP($B91-IF(CompareVer="LY",1,0) &amp; $C91 &amp;BG$4,tblForecast,BG$2,FALSE),0)</f>
        <v>0</v>
      </c>
      <c r="BH91" s="179">
        <f>IF(Q91&lt;&gt;0,BA91/Q91,0)</f>
        <v>0</v>
      </c>
      <c r="BI91" s="183">
        <f>IF(T91&lt;&gt;0,BD91/T91,0)</f>
        <v>0</v>
      </c>
      <c r="BJ91" s="195">
        <f t="shared" ref="BJ91:BJ94" si="616">IF(BA91&lt;&gt;0,Q91/BA91,0)</f>
        <v>0</v>
      </c>
      <c r="BK91" s="50">
        <f t="shared" ref="BK91:BK94" si="617">IF(BD91&lt;&gt;0,T91/BD91,0)</f>
        <v>0</v>
      </c>
      <c r="BL91" s="234">
        <f>IFERROR(VLOOKUP($B91 &amp; $C91&amp;IF($A91="a",BM$4,BL$4),tblForecast,BL$2,FALSE),0)</f>
        <v>0</v>
      </c>
      <c r="BM91" s="228">
        <f>IFERROR(VLOOKUP($B91-IF(CompareVer="LY",1,0) &amp; $C91 &amp;BM$4,tblForecast,BM$2,FALSE),0)</f>
        <v>0</v>
      </c>
      <c r="BN91" s="234">
        <f>IFERROR(VLOOKUP($B91 &amp; $C91&amp;IF($A91="a",BO$4,BN$4),tblForecast,BN$2,FALSE),0)</f>
        <v>0</v>
      </c>
      <c r="BO91" s="228">
        <f>IFERROR(VLOOKUP($B91-IF(CompareVer="LY",1,0) &amp; $C91 &amp;BO$4,tblForecast,BO$2,FALSE),0)</f>
        <v>0</v>
      </c>
      <c r="BP91" s="234">
        <f>IFERROR(VLOOKUP($B91 &amp; $C91&amp;IF($A91="a",BQ$4,BP$4),tblForecast,BP$2,FALSE),0)</f>
        <v>0</v>
      </c>
      <c r="BQ91" s="228">
        <f>IFERROR(VLOOKUP($B91-IF(CompareVer="LY",1,0) &amp; $C91 &amp;BQ$4,tblForecast,BQ$2,FALSE),0)</f>
        <v>0</v>
      </c>
      <c r="BR91" s="227">
        <f t="shared" si="486"/>
        <v>0</v>
      </c>
      <c r="BS91" s="231">
        <f t="shared" si="486"/>
        <v>0</v>
      </c>
      <c r="BT91" s="234">
        <f t="shared" ref="BT91:BU94" si="618">IFERROR(VLOOKUP($B91 &amp; $C91&amp;BT$4,tblForecast,BT$2,FALSE),0)</f>
        <v>0</v>
      </c>
      <c r="BU91" s="231">
        <f t="shared" si="618"/>
        <v>0</v>
      </c>
      <c r="BV91" s="231">
        <f>IF($A91="a",IFERROR(VLOOKUP($B91 &amp; $C91&amp;BV$4,tblForecast,BV$2,FALSE),0),BT91+BU91)</f>
        <v>0</v>
      </c>
      <c r="BW91" s="231">
        <f t="shared" ref="BW91:BX94" si="619">IFERROR(VLOOKUP($B91 &amp; $C91&amp;BW$4,tblForecast,BW$2,FALSE),0)</f>
        <v>0</v>
      </c>
      <c r="BX91" s="231">
        <f t="shared" si="619"/>
        <v>0</v>
      </c>
      <c r="BY91" s="193">
        <f>IFERROR(VLOOKUP($B91-IF(CompareVer="LY",1,0) &amp; $C91 &amp;BY$4,tblForecast,BY$2,FALSE),0)</f>
        <v>0</v>
      </c>
      <c r="BZ91" s="194">
        <f t="shared" si="481"/>
        <v>0</v>
      </c>
      <c r="CA91" s="337">
        <f t="shared" ref="CA91:CB94" si="620">IFERROR(VLOOKUP($B91 &amp; $C91&amp;CA$4,tblForecast,CA$2,FALSE),0)</f>
        <v>0</v>
      </c>
      <c r="CB91" s="46">
        <f t="shared" si="620"/>
        <v>0</v>
      </c>
      <c r="CC91" s="46">
        <f>IF($A91="a",IFERROR(VLOOKUP($B91 &amp; $C91&amp;CC$4,tblForecast,CC$2,FALSE),0),CA91+CB91)</f>
        <v>0</v>
      </c>
      <c r="CD91" s="46">
        <f t="shared" ref="CD91:CE94" si="621">IFERROR(VLOOKUP($B91 &amp; $C91&amp;CD$4,tblForecast,CD$2,FALSE),0)</f>
        <v>0</v>
      </c>
      <c r="CE91" s="46">
        <f t="shared" si="621"/>
        <v>0</v>
      </c>
      <c r="CF91" s="46">
        <f>IFERROR(VLOOKUP($B91-IF(CompareVer="LY",1,0) &amp; $C91 &amp;CF$4,tblForecast,CF$2,FALSE),0)</f>
        <v>0</v>
      </c>
      <c r="CG91" s="194">
        <f t="shared" si="482"/>
        <v>0</v>
      </c>
      <c r="CH91" s="337">
        <f t="shared" ref="CH91:CI94" si="622">IFERROR(VLOOKUP($B91 &amp; $C91&amp;CH$4,tblForecast,CH$2,FALSE),0)</f>
        <v>0</v>
      </c>
      <c r="CI91" s="46">
        <f t="shared" si="622"/>
        <v>0</v>
      </c>
      <c r="CJ91" s="46">
        <f>IF($A91="a",IFERROR(VLOOKUP($B91 &amp; $C91&amp;CJ$4,tblForecast,CJ$2,FALSE),0),CH91+CI91)</f>
        <v>0</v>
      </c>
      <c r="CK91" s="46">
        <f t="shared" ref="CK91:CL94" si="623">IFERROR(VLOOKUP($B91 &amp; $C91&amp;CK$4,tblForecast,CK$2,FALSE),0)</f>
        <v>0</v>
      </c>
      <c r="CL91" s="46">
        <f t="shared" si="623"/>
        <v>0</v>
      </c>
      <c r="CM91" s="46">
        <f>IFERROR(VLOOKUP($B91-IF(CompareVer="LY",1,0) &amp; $C91 &amp;CM$4,tblForecast,CM$2,FALSE),0)</f>
        <v>0</v>
      </c>
      <c r="CN91" s="194">
        <f t="shared" si="483"/>
        <v>0</v>
      </c>
      <c r="CO91" s="178">
        <f t="shared" si="525"/>
        <v>0</v>
      </c>
      <c r="CP91" s="223">
        <f t="shared" si="525"/>
        <v>0</v>
      </c>
      <c r="CQ91" s="194">
        <f t="shared" si="484"/>
        <v>0</v>
      </c>
      <c r="CR91" s="178">
        <f t="shared" si="487"/>
        <v>0</v>
      </c>
      <c r="CS91" s="223">
        <f t="shared" si="487"/>
        <v>0</v>
      </c>
      <c r="CT91" s="194">
        <f t="shared" si="526"/>
        <v>0</v>
      </c>
      <c r="CU91" s="44"/>
      <c r="CW91" s="102">
        <f>IF(CW90+BV91+BL91-Q91&lt;0,0,CW90+BV91+BL91-Q91)</f>
        <v>0</v>
      </c>
      <c r="CX91" s="48">
        <f>IFERROR(VLOOKUP($B91-IF(CompareVer="LY",1,0) &amp; $C91 &amp;CX$4,tblForecast,CX$2,FALSE),0)</f>
        <v>-1</v>
      </c>
      <c r="CY91" s="47">
        <f t="shared" si="555"/>
        <v>-1</v>
      </c>
      <c r="CZ91" s="278">
        <f>IFERROR(VLOOKUP(Brand&amp;Channel&amp;Country&amp;$C91,tblDiscount,6,FALSE),0)</f>
        <v>0.4</v>
      </c>
      <c r="DA91" s="279">
        <f>(1-CZ91)*DB91</f>
        <v>15.011999999999999</v>
      </c>
      <c r="DB91" s="279">
        <f>IFERROR(VLOOKUP(Brand&amp;Country &amp; Channel &amp;FC,tblFCSettings,8,FALSE),0)</f>
        <v>25.02</v>
      </c>
      <c r="DC91" s="280">
        <f>IFERROR(VLOOKUP(Brand&amp;Country &amp; Channel &amp;FC,tblFCSettings,9,FALSE),0)</f>
        <v>4.16</v>
      </c>
    </row>
    <row r="92" spans="2:107" x14ac:dyDescent="0.25">
      <c r="B92" s="44">
        <v>2019</v>
      </c>
      <c r="C92" s="88">
        <v>11</v>
      </c>
      <c r="D92" s="51">
        <f t="shared" ref="D92:D94" si="624">G92*H92</f>
        <v>-428516.76</v>
      </c>
      <c r="E92" s="202">
        <f t="shared" ref="E92:E94" si="625">IFERROR(D92*F92,0)</f>
        <v>-192858.12000000002</v>
      </c>
      <c r="F92" s="182">
        <f t="shared" si="490"/>
        <v>0.45005968961400722</v>
      </c>
      <c r="G92" s="176">
        <f t="shared" si="606"/>
        <v>-420</v>
      </c>
      <c r="H92" s="203">
        <f t="shared" si="606"/>
        <v>1020.278</v>
      </c>
      <c r="I92" s="203">
        <f t="shared" si="606"/>
        <v>561.09199999999998</v>
      </c>
      <c r="J92" s="176">
        <f>IFERROR(VLOOKUP($B92 &amp; $C92&amp;J$4&amp;$A92,tblForecast,J$2,FALSE),0)+IFERROR(VLOOKUP($B92 &amp; $C92 &amp; J$4 &amp; $A92,tblForecast,J$2+1,FALSE),0)</f>
        <v>24029</v>
      </c>
      <c r="K92" s="300">
        <f>IFERROR(VLOOKUP($B92 &amp; $C92&amp;K$4&amp;$A92,tblForecast,K$2,FALSE),0)+IFERROR(VLOOKUP($B92 &amp; $C92&amp;K$4&amp;$A92,tblForecast,K$2+1,FALSE),0)</f>
        <v>0</v>
      </c>
      <c r="L92" s="90">
        <f>Q92*AM92</f>
        <v>0</v>
      </c>
      <c r="M92" s="90">
        <f t="shared" si="607"/>
        <v>0</v>
      </c>
      <c r="N92" s="46">
        <f t="shared" si="607"/>
        <v>0</v>
      </c>
      <c r="O92" s="46">
        <f t="shared" si="607"/>
        <v>0</v>
      </c>
      <c r="P92" s="47">
        <f t="shared" si="485"/>
        <v>0</v>
      </c>
      <c r="Q92" s="342">
        <f t="shared" ref="Q92:Q94" si="626">ROUND(IF(BA91-(Q91*IF(W92=0,X92,W92))&lt;0,BA91,Q91*IF(W92=0,X92,W92)),0)</f>
        <v>0</v>
      </c>
      <c r="R92" s="240">
        <f t="shared" si="608"/>
        <v>0</v>
      </c>
      <c r="S92" s="240">
        <f t="shared" si="608"/>
        <v>0</v>
      </c>
      <c r="T92" s="240">
        <f>IFERROR(VLOOKUP($B92-IF(CompareVer="LY",1,0) &amp; $C92 &amp;T$4,tblForecast,T$2,FALSE),0)</f>
        <v>0</v>
      </c>
      <c r="U92" s="91">
        <f t="shared" si="476"/>
        <v>0</v>
      </c>
      <c r="V92" s="249">
        <f t="shared" ref="V92:W94" si="627">IFERROR(IF(Q91&lt;&gt;0,Q92/Q91,0),0)</f>
        <v>0</v>
      </c>
      <c r="W92" s="334">
        <f t="shared" si="627"/>
        <v>0</v>
      </c>
      <c r="X92" s="250">
        <f t="shared" ref="X92:X94" si="628">IFERROR(IF(T91&lt;&gt;0,T92/T91,0),0)</f>
        <v>0</v>
      </c>
      <c r="Y92" s="51">
        <f t="shared" si="609"/>
        <v>0</v>
      </c>
      <c r="Z92" s="46">
        <f t="shared" si="609"/>
        <v>0</v>
      </c>
      <c r="AA92" s="46">
        <f t="shared" si="609"/>
        <v>0</v>
      </c>
      <c r="AB92" s="46">
        <f t="shared" si="609"/>
        <v>0</v>
      </c>
      <c r="AC92" s="91">
        <f t="shared" si="477"/>
        <v>0</v>
      </c>
      <c r="AD92" s="75">
        <f>IF(AM92&lt;&gt;0,1-AR92/AM92,0)</f>
        <v>0.69767441860465107</v>
      </c>
      <c r="AE92" s="93">
        <f t="shared" si="610"/>
        <v>0.69767441860465107</v>
      </c>
      <c r="AF92" s="93">
        <f t="shared" si="610"/>
        <v>0</v>
      </c>
      <c r="AG92" s="76">
        <f t="shared" si="610"/>
        <v>0</v>
      </c>
      <c r="AH92" s="73">
        <f>IF(IFERROR(VLOOKUP($B92 &amp; $C92&amp;AH$4,tblForecast,AH$2,FALSE),0)=0,DB92,IFERROR(VLOOKUP($B92 &amp; $C92&amp;AH$4,tblForecast,AH$2,FALSE),0))</f>
        <v>25.02</v>
      </c>
      <c r="AI92" s="94">
        <f t="shared" si="611"/>
        <v>25.02</v>
      </c>
      <c r="AJ92" s="94">
        <f t="shared" si="611"/>
        <v>0</v>
      </c>
      <c r="AK92" s="49">
        <f>IFERROR(VLOOKUP($B92-IF(CompareVer="LY",1,0) &amp; $C92 &amp;AK$4,tblForecast,AK$2,FALSE),0)</f>
        <v>0</v>
      </c>
      <c r="AL92" s="47">
        <f t="shared" si="387"/>
        <v>0</v>
      </c>
      <c r="AM92" s="73">
        <f>IF(IFERROR(VLOOKUP($B92 &amp; $C92&amp;AM$4,tblForecast,AM$2,FALSE),0)=0,DA92,IFERROR(VLOOKUP($B92 &amp; $C92&amp;AM$4,tblForecast,AM$2,FALSE),0))</f>
        <v>13.76</v>
      </c>
      <c r="AN92" s="94">
        <f t="shared" si="612"/>
        <v>13.76</v>
      </c>
      <c r="AO92" s="94">
        <f t="shared" si="612"/>
        <v>0</v>
      </c>
      <c r="AP92" s="49">
        <f>IFERROR(VLOOKUP($B92-IF(CompareVer="LY",1,0) &amp; $C92 &amp;AP$4,tblForecast,AP$2,FALSE),0)</f>
        <v>0</v>
      </c>
      <c r="AQ92" s="47">
        <f t="shared" si="478"/>
        <v>0</v>
      </c>
      <c r="AR92" s="73">
        <f>IF(IFERROR(VLOOKUP($B92 &amp; $C92&amp;AR$4,tblForecast,AR$2,FALSE),0)=0,DC92,IFERROR(VLOOKUP($B92 &amp; $C92&amp;AR$4,tblForecast,AR$2,FALSE),0))</f>
        <v>4.16</v>
      </c>
      <c r="AS92" s="94">
        <f t="shared" si="613"/>
        <v>4.16</v>
      </c>
      <c r="AT92" s="94">
        <f t="shared" si="613"/>
        <v>0</v>
      </c>
      <c r="AU92" s="49">
        <f>IFERROR(VLOOKUP($B92-IF(CompareVer="LY",1,0) &amp; $C92 &amp;AU$4,tblForecast,AU$2,FALSE),0)</f>
        <v>0</v>
      </c>
      <c r="AV92" s="47">
        <f t="shared" si="479"/>
        <v>0</v>
      </c>
      <c r="AW92" s="191">
        <f t="shared" si="614"/>
        <v>0.45003996802557955</v>
      </c>
      <c r="AX92" s="192">
        <f t="shared" si="614"/>
        <v>0.45003996802557955</v>
      </c>
      <c r="AY92" s="192">
        <f t="shared" si="614"/>
        <v>0</v>
      </c>
      <c r="AZ92" s="192">
        <f t="shared" si="614"/>
        <v>0</v>
      </c>
      <c r="BA92" s="235">
        <f>IF(BA91+BV92+BL92+BR92-Q92&lt;0,0,BA91+BV92+BL92+BR92-Q92)</f>
        <v>56712</v>
      </c>
      <c r="BB92" s="231">
        <f>IF(IFERROR(VLOOKUP($B92 &amp; $C92&amp;BB$4,tblForecast,BB$2,FALSE),0)=0,BA92,IFERROR(VLOOKUP($B92 &amp; $C92&amp;BB$4,tblForecast,BB$2,FALSE),0))</f>
        <v>56712</v>
      </c>
      <c r="BC92" s="231">
        <f>IFERROR(VLOOKUP($B92-IF(CompareVer="LY",1,0) &amp; $C92 &amp;BC$4,tblForecast,BC$2,FALSE),0)</f>
        <v>0</v>
      </c>
      <c r="BD92" s="231">
        <f t="shared" si="615"/>
        <v>2619</v>
      </c>
      <c r="BE92" s="194">
        <f t="shared" si="480"/>
        <v>20.654066437571593</v>
      </c>
      <c r="BF92" s="231">
        <f>IFERROR(VLOOKUP($B92 &amp; $C92&amp;IF($A92="a",BG$4,BF$4),tblForecast,BF$2,FALSE),0)</f>
        <v>0</v>
      </c>
      <c r="BG92" s="228">
        <f>IFERROR(VLOOKUP($B92-IF(CompareVer="LY",1,0) &amp; $C92 &amp;BG$4,tblForecast,BG$2,FALSE),0)</f>
        <v>2620</v>
      </c>
      <c r="BH92" s="179">
        <f>IF(Q92&lt;&gt;0,BA92/Q92,0)</f>
        <v>0</v>
      </c>
      <c r="BI92" s="183">
        <f>IF(T92&lt;&gt;0,BD92/T92,0)</f>
        <v>0</v>
      </c>
      <c r="BJ92" s="195">
        <f t="shared" si="616"/>
        <v>0</v>
      </c>
      <c r="BK92" s="50">
        <f t="shared" si="617"/>
        <v>0</v>
      </c>
      <c r="BL92" s="234">
        <f>IFERROR(VLOOKUP($B92 &amp; $C92&amp;IF($A92="a",BM$4,BL$4),tblForecast,BL$2,FALSE),0)</f>
        <v>0</v>
      </c>
      <c r="BM92" s="228">
        <f>IFERROR(VLOOKUP($B92-IF(CompareVer="LY",1,0) &amp; $C92 &amp;BM$4,tblForecast,BM$2,FALSE),0)</f>
        <v>0</v>
      </c>
      <c r="BN92" s="234">
        <f>IFERROR(VLOOKUP($B92 &amp; $C92&amp;IF($A92="a",BO$4,BN$4),tblForecast,BN$2,FALSE),0)</f>
        <v>0</v>
      </c>
      <c r="BO92" s="228">
        <f>IFERROR(VLOOKUP($B92-IF(CompareVer="LY",1,0) &amp; $C92 &amp;BO$4,tblForecast,BO$2,FALSE),0)</f>
        <v>0</v>
      </c>
      <c r="BP92" s="234">
        <f>IFERROR(VLOOKUP($B92 &amp; $C92&amp;IF($A92="a",BQ$4,BP$4),tblForecast,BP$2,FALSE),0)</f>
        <v>0</v>
      </c>
      <c r="BQ92" s="228">
        <f>IFERROR(VLOOKUP($B92-IF(CompareVer="LY",1,0) &amp; $C92 &amp;BQ$4,tblForecast,BQ$2,FALSE),0)</f>
        <v>0</v>
      </c>
      <c r="BR92" s="227">
        <f t="shared" ref="BR92:BS96" si="629">BN92-BP92</f>
        <v>0</v>
      </c>
      <c r="BS92" s="231">
        <f t="shared" si="629"/>
        <v>0</v>
      </c>
      <c r="BT92" s="234">
        <f t="shared" si="618"/>
        <v>0</v>
      </c>
      <c r="BU92" s="231">
        <f t="shared" si="618"/>
        <v>0</v>
      </c>
      <c r="BV92" s="231">
        <f>IF($A92="a",IFERROR(VLOOKUP($B92 &amp; $C92&amp;BV$4,tblForecast,BV$2,FALSE),0),BT92+BU92)</f>
        <v>0</v>
      </c>
      <c r="BW92" s="231">
        <f t="shared" si="619"/>
        <v>0</v>
      </c>
      <c r="BX92" s="231">
        <f t="shared" si="619"/>
        <v>0</v>
      </c>
      <c r="BY92" s="193">
        <f>IFERROR(VLOOKUP($B92-IF(CompareVer="LY",1,0) &amp; $C92 &amp;BY$4,tblForecast,BY$2,FALSE),0)</f>
        <v>2620</v>
      </c>
      <c r="BZ92" s="194">
        <f t="shared" si="481"/>
        <v>-1</v>
      </c>
      <c r="CA92" s="337">
        <f t="shared" si="620"/>
        <v>0</v>
      </c>
      <c r="CB92" s="46">
        <f t="shared" si="620"/>
        <v>0</v>
      </c>
      <c r="CC92" s="46">
        <f>IF($A92="a",IFERROR(VLOOKUP($B92 &amp; $C92&amp;CC$4,tblForecast,CC$2,FALSE),0),CA92+CB92)</f>
        <v>0</v>
      </c>
      <c r="CD92" s="46">
        <f t="shared" si="621"/>
        <v>0</v>
      </c>
      <c r="CE92" s="46">
        <f t="shared" si="621"/>
        <v>0</v>
      </c>
      <c r="CF92" s="46">
        <f>IFERROR(VLOOKUP($B92-IF(CompareVer="LY",1,0) &amp; $C92 &amp;CF$4,tblForecast,CF$2,FALSE),0)</f>
        <v>33929</v>
      </c>
      <c r="CG92" s="194">
        <f t="shared" si="482"/>
        <v>-1</v>
      </c>
      <c r="CH92" s="337">
        <f t="shared" si="622"/>
        <v>0</v>
      </c>
      <c r="CI92" s="46">
        <f t="shared" si="622"/>
        <v>0</v>
      </c>
      <c r="CJ92" s="46">
        <f>IF($A92="a",IFERROR(VLOOKUP($B92 &amp; $C92&amp;CJ$4,tblForecast,CJ$2,FALSE),0),CH92+CI92)</f>
        <v>0</v>
      </c>
      <c r="CK92" s="46">
        <f t="shared" si="623"/>
        <v>0</v>
      </c>
      <c r="CL92" s="46">
        <f t="shared" si="623"/>
        <v>0</v>
      </c>
      <c r="CM92" s="46">
        <f>IFERROR(VLOOKUP($B92-IF(CompareVer="LY",1,0) &amp; $C92 &amp;CM$4,tblForecast,CM$2,FALSE),0)</f>
        <v>9088.7800000000007</v>
      </c>
      <c r="CN92" s="194">
        <f t="shared" si="483"/>
        <v>-1</v>
      </c>
      <c r="CO92" s="178">
        <f t="shared" si="525"/>
        <v>0</v>
      </c>
      <c r="CP92" s="223">
        <f t="shared" si="525"/>
        <v>12.95</v>
      </c>
      <c r="CQ92" s="194">
        <f t="shared" si="484"/>
        <v>-1</v>
      </c>
      <c r="CR92" s="178">
        <f t="shared" si="487"/>
        <v>0</v>
      </c>
      <c r="CS92" s="223">
        <f t="shared" si="487"/>
        <v>3.4690000000000003</v>
      </c>
      <c r="CT92" s="194">
        <f t="shared" si="526"/>
        <v>-1</v>
      </c>
      <c r="CU92" s="44"/>
      <c r="CW92" s="102">
        <f>IF(CW91+BV92+BL92-Q92&lt;0,0,CW91+BV92+BL92-Q92)</f>
        <v>0</v>
      </c>
      <c r="CX92" s="48">
        <f>IFERROR(VLOOKUP($B92-IF(CompareVer="LY",1,0) &amp; $C92 &amp;CX$4,tblForecast,CX$2,FALSE),0)</f>
        <v>-1</v>
      </c>
      <c r="CY92" s="47">
        <f t="shared" si="555"/>
        <v>-1</v>
      </c>
      <c r="CZ92" s="278">
        <f>IFERROR(VLOOKUP(Brand&amp;Channel&amp;Country&amp;$C92,tblDiscount,6,FALSE),0)</f>
        <v>0.45</v>
      </c>
      <c r="DA92" s="279">
        <f>(1-CZ92)*DB92</f>
        <v>13.761000000000001</v>
      </c>
      <c r="DB92" s="279">
        <f>IFERROR(VLOOKUP(Brand&amp;Country &amp; Channel &amp;FC,tblFCSettings,8,FALSE),0)</f>
        <v>25.02</v>
      </c>
      <c r="DC92" s="280">
        <f>IFERROR(VLOOKUP(Brand&amp;Country &amp; Channel &amp;FC,tblFCSettings,9,FALSE),0)</f>
        <v>4.16</v>
      </c>
    </row>
    <row r="93" spans="2:107" x14ac:dyDescent="0.25">
      <c r="B93" s="44">
        <v>2019</v>
      </c>
      <c r="C93" s="88">
        <v>12</v>
      </c>
      <c r="D93" s="51">
        <f t="shared" si="624"/>
        <v>-2261.6924680000002</v>
      </c>
      <c r="E93" s="202">
        <f t="shared" si="625"/>
        <v>-1017.886244</v>
      </c>
      <c r="F93" s="182">
        <f t="shared" si="490"/>
        <v>0.45005510625417178</v>
      </c>
      <c r="G93" s="176">
        <f t="shared" si="606"/>
        <v>17554</v>
      </c>
      <c r="H93" s="203">
        <f t="shared" si="606"/>
        <v>-0.12884200000000001</v>
      </c>
      <c r="I93" s="203">
        <f t="shared" si="606"/>
        <v>-7.0856000000000002E-2</v>
      </c>
      <c r="J93" s="176">
        <f>IFERROR(VLOOKUP($B93 &amp; $C93&amp;J$4&amp;$A93,tblForecast,J$2,FALSE),0)+IFERROR(VLOOKUP($B93 &amp; $C93 &amp; J$4 &amp; $A93,tblForecast,J$2+1,FALSE),0)</f>
        <v>23460</v>
      </c>
      <c r="K93" s="300">
        <f>IFERROR(VLOOKUP($B93 &amp; $C93&amp;K$4&amp;$A93,tblForecast,K$2,FALSE),0)+IFERROR(VLOOKUP($B93 &amp; $C93&amp;K$4&amp;$A93,tblForecast,K$2+1,FALSE),0)</f>
        <v>0</v>
      </c>
      <c r="L93" s="90">
        <f>Q93*AM93</f>
        <v>0</v>
      </c>
      <c r="M93" s="90">
        <f t="shared" si="607"/>
        <v>0</v>
      </c>
      <c r="N93" s="46">
        <f t="shared" si="607"/>
        <v>0</v>
      </c>
      <c r="O93" s="46">
        <f t="shared" si="607"/>
        <v>0</v>
      </c>
      <c r="P93" s="47">
        <f t="shared" si="485"/>
        <v>0</v>
      </c>
      <c r="Q93" s="342">
        <f t="shared" si="626"/>
        <v>0</v>
      </c>
      <c r="R93" s="240">
        <f t="shared" si="608"/>
        <v>0</v>
      </c>
      <c r="S93" s="240">
        <f t="shared" si="608"/>
        <v>0</v>
      </c>
      <c r="T93" s="240">
        <f>IFERROR(VLOOKUP($B93-IF(CompareVer="LY",1,0) &amp; $C93 &amp;T$4,tblForecast,T$2,FALSE),0)</f>
        <v>0</v>
      </c>
      <c r="U93" s="91">
        <f t="shared" si="476"/>
        <v>0</v>
      </c>
      <c r="V93" s="249">
        <f t="shared" si="627"/>
        <v>0</v>
      </c>
      <c r="W93" s="334">
        <f t="shared" si="627"/>
        <v>0</v>
      </c>
      <c r="X93" s="250">
        <f t="shared" si="628"/>
        <v>0</v>
      </c>
      <c r="Y93" s="51">
        <f t="shared" si="609"/>
        <v>0</v>
      </c>
      <c r="Z93" s="46">
        <f t="shared" si="609"/>
        <v>0</v>
      </c>
      <c r="AA93" s="46">
        <f t="shared" si="609"/>
        <v>0</v>
      </c>
      <c r="AB93" s="46">
        <f t="shared" si="609"/>
        <v>0</v>
      </c>
      <c r="AC93" s="91">
        <f t="shared" si="477"/>
        <v>0</v>
      </c>
      <c r="AD93" s="75">
        <f>IF(AM93&lt;&gt;0,1-AR93/AM93,0)</f>
        <v>0.69767441860465107</v>
      </c>
      <c r="AE93" s="93">
        <f t="shared" si="610"/>
        <v>0.69767441860465107</v>
      </c>
      <c r="AF93" s="93">
        <f t="shared" si="610"/>
        <v>0</v>
      </c>
      <c r="AG93" s="76">
        <f t="shared" si="610"/>
        <v>0</v>
      </c>
      <c r="AH93" s="73">
        <f>IF(IFERROR(VLOOKUP($B93 &amp; $C93&amp;AH$4,tblForecast,AH$2,FALSE),0)=0,DB93,IFERROR(VLOOKUP($B93 &amp; $C93&amp;AH$4,tblForecast,AH$2,FALSE),0))</f>
        <v>25.02</v>
      </c>
      <c r="AI93" s="94">
        <f t="shared" si="611"/>
        <v>25.02</v>
      </c>
      <c r="AJ93" s="94">
        <f t="shared" si="611"/>
        <v>0</v>
      </c>
      <c r="AK93" s="49">
        <f>IFERROR(VLOOKUP($B93-IF(CompareVer="LY",1,0) &amp; $C93 &amp;AK$4,tblForecast,AK$2,FALSE),0)</f>
        <v>0</v>
      </c>
      <c r="AL93" s="47">
        <f t="shared" si="387"/>
        <v>0</v>
      </c>
      <c r="AM93" s="73">
        <f>IF(IFERROR(VLOOKUP($B93 &amp; $C93&amp;AM$4,tblForecast,AM$2,FALSE),0)=0,DA93,IFERROR(VLOOKUP($B93 &amp; $C93&amp;AM$4,tblForecast,AM$2,FALSE),0))</f>
        <v>13.76</v>
      </c>
      <c r="AN93" s="94">
        <f t="shared" si="612"/>
        <v>13.76</v>
      </c>
      <c r="AO93" s="94">
        <f t="shared" si="612"/>
        <v>0</v>
      </c>
      <c r="AP93" s="49">
        <f>IFERROR(VLOOKUP($B93-IF(CompareVer="LY",1,0) &amp; $C93 &amp;AP$4,tblForecast,AP$2,FALSE),0)</f>
        <v>0</v>
      </c>
      <c r="AQ93" s="47">
        <f t="shared" si="478"/>
        <v>0</v>
      </c>
      <c r="AR93" s="73">
        <f>IF(IFERROR(VLOOKUP($B93 &amp; $C93&amp;AR$4,tblForecast,AR$2,FALSE),0)=0,DC93,IFERROR(VLOOKUP($B93 &amp; $C93&amp;AR$4,tblForecast,AR$2,FALSE),0))</f>
        <v>4.16</v>
      </c>
      <c r="AS93" s="94">
        <f t="shared" si="613"/>
        <v>4.16</v>
      </c>
      <c r="AT93" s="94">
        <f t="shared" si="613"/>
        <v>0</v>
      </c>
      <c r="AU93" s="49">
        <f>IFERROR(VLOOKUP($B93-IF(CompareVer="LY",1,0) &amp; $C93 &amp;AU$4,tblForecast,AU$2,FALSE),0)</f>
        <v>0</v>
      </c>
      <c r="AV93" s="47">
        <f t="shared" si="479"/>
        <v>0</v>
      </c>
      <c r="AW93" s="191">
        <f t="shared" si="614"/>
        <v>0.45003996802557955</v>
      </c>
      <c r="AX93" s="192">
        <f t="shared" si="614"/>
        <v>0.45003996802557955</v>
      </c>
      <c r="AY93" s="192">
        <f t="shared" si="614"/>
        <v>0</v>
      </c>
      <c r="AZ93" s="192">
        <f t="shared" si="614"/>
        <v>0</v>
      </c>
      <c r="BA93" s="235">
        <f>IF(BA92+BV93+BL93+BR93-Q93&lt;0,0,BA92+BV93+BL93+BR93-Q93)</f>
        <v>56712</v>
      </c>
      <c r="BB93" s="231">
        <f>IF(IFERROR(VLOOKUP($B93 &amp; $C93&amp;BB$4,tblForecast,BB$2,FALSE),0)=0,BA93,IFERROR(VLOOKUP($B93 &amp; $C93&amp;BB$4,tblForecast,BB$2,FALSE),0))</f>
        <v>56712</v>
      </c>
      <c r="BC93" s="231">
        <f>IFERROR(VLOOKUP($B93-IF(CompareVer="LY",1,0) &amp; $C93 &amp;BC$4,tblForecast,BC$2,FALSE),0)</f>
        <v>0</v>
      </c>
      <c r="BD93" s="231">
        <f t="shared" si="615"/>
        <v>48093</v>
      </c>
      <c r="BE93" s="194">
        <f t="shared" si="480"/>
        <v>0.17921527041357366</v>
      </c>
      <c r="BF93" s="231">
        <f>IFERROR(VLOOKUP($B93 &amp; $C93&amp;IF($A93="a",BG$4,BF$4),tblForecast,BF$2,FALSE),0)</f>
        <v>0</v>
      </c>
      <c r="BG93" s="228">
        <f>IFERROR(VLOOKUP($B93-IF(CompareVer="LY",1,0) &amp; $C93 &amp;BG$4,tblForecast,BG$2,FALSE),0)</f>
        <v>48094</v>
      </c>
      <c r="BH93" s="179">
        <f>IF(Q93&lt;&gt;0,BA93/Q93,0)</f>
        <v>0</v>
      </c>
      <c r="BI93" s="183">
        <f>IF(T93&lt;&gt;0,BD93/T93,0)</f>
        <v>0</v>
      </c>
      <c r="BJ93" s="195">
        <f t="shared" si="616"/>
        <v>0</v>
      </c>
      <c r="BK93" s="50">
        <f t="shared" si="617"/>
        <v>0</v>
      </c>
      <c r="BL93" s="234">
        <f>IFERROR(VLOOKUP($B93 &amp; $C93&amp;IF($A93="a",BM$4,BL$4),tblForecast,BL$2,FALSE),0)</f>
        <v>0</v>
      </c>
      <c r="BM93" s="228">
        <f>IFERROR(VLOOKUP($B93-IF(CompareVer="LY",1,0) &amp; $C93 &amp;BM$4,tblForecast,BM$2,FALSE),0)</f>
        <v>0</v>
      </c>
      <c r="BN93" s="234">
        <f>IFERROR(VLOOKUP($B93 &amp; $C93&amp;IF($A93="a",BO$4,BN$4),tblForecast,BN$2,FALSE),0)</f>
        <v>0</v>
      </c>
      <c r="BO93" s="228">
        <f>IFERROR(VLOOKUP($B93-IF(CompareVer="LY",1,0) &amp; $C93 &amp;BO$4,tblForecast,BO$2,FALSE),0)</f>
        <v>0</v>
      </c>
      <c r="BP93" s="234">
        <f>IFERROR(VLOOKUP($B93 &amp; $C93&amp;IF($A93="a",BQ$4,BP$4),tblForecast,BP$2,FALSE),0)</f>
        <v>0</v>
      </c>
      <c r="BQ93" s="228">
        <f>IFERROR(VLOOKUP($B93-IF(CompareVer="LY",1,0) &amp; $C93 &amp;BQ$4,tblForecast,BQ$2,FALSE),0)</f>
        <v>0</v>
      </c>
      <c r="BR93" s="227">
        <f t="shared" si="629"/>
        <v>0</v>
      </c>
      <c r="BS93" s="231">
        <f t="shared" si="629"/>
        <v>0</v>
      </c>
      <c r="BT93" s="234">
        <f t="shared" si="618"/>
        <v>0</v>
      </c>
      <c r="BU93" s="231">
        <f t="shared" si="618"/>
        <v>0</v>
      </c>
      <c r="BV93" s="231">
        <f>IF($A93="a",IFERROR(VLOOKUP($B93 &amp; $C93&amp;BV$4,tblForecast,BV$2,FALSE),0),BT93+BU93)</f>
        <v>0</v>
      </c>
      <c r="BW93" s="231">
        <f t="shared" si="619"/>
        <v>0</v>
      </c>
      <c r="BX93" s="231">
        <f t="shared" si="619"/>
        <v>0</v>
      </c>
      <c r="BY93" s="193">
        <f>IFERROR(VLOOKUP($B93-IF(CompareVer="LY",1,0) &amp; $C93 &amp;BY$4,tblForecast,BY$2,FALSE),0)</f>
        <v>45474</v>
      </c>
      <c r="BZ93" s="194">
        <f t="shared" si="481"/>
        <v>-1</v>
      </c>
      <c r="CA93" s="337">
        <f t="shared" si="620"/>
        <v>0</v>
      </c>
      <c r="CB93" s="46">
        <f t="shared" si="620"/>
        <v>0</v>
      </c>
      <c r="CC93" s="46">
        <f>IF($A93="a",IFERROR(VLOOKUP($B93 &amp; $C93&amp;CC$4,tblForecast,CC$2,FALSE),0),CA93+CB93)</f>
        <v>0</v>
      </c>
      <c r="CD93" s="46">
        <f t="shared" si="621"/>
        <v>0</v>
      </c>
      <c r="CE93" s="46">
        <f t="shared" si="621"/>
        <v>0</v>
      </c>
      <c r="CF93" s="46">
        <f>IFERROR(VLOOKUP($B93-IF(CompareVer="LY",1,0) &amp; $C93 &amp;CF$4,tblForecast,CF$2,FALSE),0)</f>
        <v>1252533.3</v>
      </c>
      <c r="CG93" s="194">
        <f t="shared" si="482"/>
        <v>-1</v>
      </c>
      <c r="CH93" s="337">
        <f t="shared" si="622"/>
        <v>0</v>
      </c>
      <c r="CI93" s="46">
        <f t="shared" si="622"/>
        <v>0</v>
      </c>
      <c r="CJ93" s="46">
        <f>IF($A93="a",IFERROR(VLOOKUP($B93 &amp; $C93&amp;CJ$4,tblForecast,CJ$2,FALSE),0),CH93+CI93)</f>
        <v>0</v>
      </c>
      <c r="CK93" s="46">
        <f t="shared" si="623"/>
        <v>0</v>
      </c>
      <c r="CL93" s="46">
        <f t="shared" si="623"/>
        <v>0</v>
      </c>
      <c r="CM93" s="46">
        <f>IFERROR(VLOOKUP($B93-IF(CompareVer="LY",1,0) &amp; $C93 &amp;CM$4,tblForecast,CM$2,FALSE),0)</f>
        <v>211543.75719999999</v>
      </c>
      <c r="CN93" s="194">
        <f t="shared" si="483"/>
        <v>-1</v>
      </c>
      <c r="CO93" s="178">
        <f t="shared" si="525"/>
        <v>0</v>
      </c>
      <c r="CP93" s="223">
        <f t="shared" si="525"/>
        <v>27.543943792057</v>
      </c>
      <c r="CQ93" s="194">
        <f t="shared" si="484"/>
        <v>-1</v>
      </c>
      <c r="CR93" s="178">
        <f t="shared" si="487"/>
        <v>0</v>
      </c>
      <c r="CS93" s="223">
        <f t="shared" si="487"/>
        <v>4.6519716145489731</v>
      </c>
      <c r="CT93" s="194">
        <f t="shared" si="526"/>
        <v>-1</v>
      </c>
      <c r="CU93" s="44"/>
      <c r="CW93" s="102">
        <f>IF(CW92+BV93+BL93-Q93&lt;0,0,CW92+BV93+BL93-Q93)</f>
        <v>0</v>
      </c>
      <c r="CX93" s="48">
        <f>IFERROR(VLOOKUP($B93-IF(CompareVer="LY",1,0) &amp; $C93 &amp;CX$4,tblForecast,CX$2,FALSE),0)</f>
        <v>-1</v>
      </c>
      <c r="CY93" s="47">
        <f>IFERROR(CW93/CX93-1,)</f>
        <v>-1</v>
      </c>
      <c r="CZ93" s="278">
        <f>IFERROR(VLOOKUP(Brand&amp;Channel&amp;Country&amp;$C93,tblDiscount,6,FALSE),0)</f>
        <v>0.45</v>
      </c>
      <c r="DA93" s="279">
        <f>(1-CZ93)*DB93</f>
        <v>13.761000000000001</v>
      </c>
      <c r="DB93" s="279">
        <f>IFERROR(VLOOKUP(Brand&amp;Country &amp; Channel &amp;FC,tblFCSettings,8,FALSE),0)</f>
        <v>25.02</v>
      </c>
      <c r="DC93" s="280">
        <f>IFERROR(VLOOKUP(Brand&amp;Country &amp; Channel &amp;FC,tblFCSettings,9,FALSE),0)</f>
        <v>4.16</v>
      </c>
    </row>
    <row r="94" spans="2:107" ht="16.5" thickBot="1" x14ac:dyDescent="0.3">
      <c r="B94" s="44">
        <v>2019</v>
      </c>
      <c r="C94" s="88">
        <v>13</v>
      </c>
      <c r="D94" s="51">
        <f t="shared" si="624"/>
        <v>-14776.445801</v>
      </c>
      <c r="E94" s="202">
        <f t="shared" si="625"/>
        <v>-6650.2813950000009</v>
      </c>
      <c r="F94" s="182">
        <f t="shared" si="490"/>
        <v>0.45005960733466377</v>
      </c>
      <c r="G94" s="176">
        <f t="shared" si="606"/>
        <v>15913</v>
      </c>
      <c r="H94" s="203">
        <f t="shared" si="606"/>
        <v>-0.92857699999999999</v>
      </c>
      <c r="I94" s="203">
        <f t="shared" si="606"/>
        <v>-0.51066199999999995</v>
      </c>
      <c r="J94" s="176">
        <f>IFERROR(VLOOKUP($B94 &amp; $C94&amp;J$4&amp;$A94,tblForecast,J$2,FALSE),0)+IFERROR(VLOOKUP($B94 &amp; $C94 &amp; J$4 &amp; $A94,tblForecast,J$2+1,FALSE),0)</f>
        <v>23303</v>
      </c>
      <c r="K94" s="300">
        <f>IFERROR(VLOOKUP($B94 &amp; $C94&amp;K$4&amp;$A94,tblForecast,K$2,FALSE),0)+IFERROR(VLOOKUP($B94 &amp; $C94&amp;K$4&amp;$A94,tblForecast,K$2+1,FALSE),0)</f>
        <v>0</v>
      </c>
      <c r="L94" s="90">
        <f>Q94*AM94</f>
        <v>0</v>
      </c>
      <c r="M94" s="90">
        <f t="shared" si="607"/>
        <v>0</v>
      </c>
      <c r="N94" s="46">
        <f t="shared" si="607"/>
        <v>0</v>
      </c>
      <c r="O94" s="46">
        <f t="shared" si="607"/>
        <v>18</v>
      </c>
      <c r="P94" s="47">
        <f t="shared" si="485"/>
        <v>-1</v>
      </c>
      <c r="Q94" s="342">
        <f t="shared" si="626"/>
        <v>0</v>
      </c>
      <c r="R94" s="240">
        <f t="shared" si="608"/>
        <v>0</v>
      </c>
      <c r="S94" s="240">
        <f t="shared" si="608"/>
        <v>0</v>
      </c>
      <c r="T94" s="240">
        <f>IFERROR(VLOOKUP($B94-IF(CompareVer="LY",1,0) &amp; $C94 &amp;T$4,tblForecast,T$2,FALSE),0)</f>
        <v>1</v>
      </c>
      <c r="U94" s="91">
        <f t="shared" si="476"/>
        <v>-1</v>
      </c>
      <c r="V94" s="249">
        <f t="shared" si="627"/>
        <v>0</v>
      </c>
      <c r="W94" s="334">
        <f t="shared" si="627"/>
        <v>0</v>
      </c>
      <c r="X94" s="250">
        <f t="shared" si="628"/>
        <v>0</v>
      </c>
      <c r="Y94" s="51">
        <f t="shared" si="609"/>
        <v>0</v>
      </c>
      <c r="Z94" s="46">
        <f t="shared" si="609"/>
        <v>0</v>
      </c>
      <c r="AA94" s="46">
        <f t="shared" si="609"/>
        <v>0</v>
      </c>
      <c r="AB94" s="46">
        <f t="shared" si="609"/>
        <v>9</v>
      </c>
      <c r="AC94" s="91">
        <f t="shared" si="477"/>
        <v>-1</v>
      </c>
      <c r="AD94" s="75">
        <f>IF(AM94&lt;&gt;0,1-AR94/AM94,0)</f>
        <v>0.69767441860465107</v>
      </c>
      <c r="AE94" s="93">
        <f t="shared" si="610"/>
        <v>0.69767441860465107</v>
      </c>
      <c r="AF94" s="93">
        <f t="shared" si="610"/>
        <v>0</v>
      </c>
      <c r="AG94" s="76">
        <f t="shared" si="610"/>
        <v>0.5</v>
      </c>
      <c r="AH94" s="73">
        <f>IF(IFERROR(VLOOKUP($B94 &amp; $C94&amp;AH$4,tblForecast,AH$2,FALSE),0)=0,DB94,IFERROR(VLOOKUP($B94 &amp; $C94&amp;AH$4,tblForecast,AH$2,FALSE),0))</f>
        <v>25.02</v>
      </c>
      <c r="AI94" s="94">
        <f t="shared" si="611"/>
        <v>25.02</v>
      </c>
      <c r="AJ94" s="94">
        <f t="shared" si="611"/>
        <v>0</v>
      </c>
      <c r="AK94" s="49">
        <f>IFERROR(VLOOKUP($B94-IF(CompareVer="LY",1,0) &amp; $C94 &amp;AK$4,tblForecast,AK$2,FALSE),0)</f>
        <v>29.95</v>
      </c>
      <c r="AL94" s="47">
        <f t="shared" si="387"/>
        <v>-0.16460767946577626</v>
      </c>
      <c r="AM94" s="73">
        <f>IF(IFERROR(VLOOKUP($B94 &amp; $C94&amp;AM$4,tblForecast,AM$2,FALSE),0)=0,DA94,IFERROR(VLOOKUP($B94 &amp; $C94&amp;AM$4,tblForecast,AM$2,FALSE),0))</f>
        <v>13.76</v>
      </c>
      <c r="AN94" s="94">
        <f t="shared" si="612"/>
        <v>13.76</v>
      </c>
      <c r="AO94" s="94">
        <f t="shared" si="612"/>
        <v>0</v>
      </c>
      <c r="AP94" s="49">
        <f>IFERROR(VLOOKUP($B94-IF(CompareVer="LY",1,0) &amp; $C94 &amp;AP$4,tblForecast,AP$2,FALSE),0)</f>
        <v>18</v>
      </c>
      <c r="AQ94" s="47">
        <f t="shared" si="478"/>
        <v>-0.23555555555555552</v>
      </c>
      <c r="AR94" s="73">
        <f>IF(IFERROR(VLOOKUP($B94 &amp; $C94&amp;AR$4,tblForecast,AR$2,FALSE),0)=0,DC94,IFERROR(VLOOKUP($B94 &amp; $C94&amp;AR$4,tblForecast,AR$2,FALSE),0))</f>
        <v>4.16</v>
      </c>
      <c r="AS94" s="94">
        <f t="shared" si="613"/>
        <v>4.16</v>
      </c>
      <c r="AT94" s="94">
        <f t="shared" si="613"/>
        <v>0</v>
      </c>
      <c r="AU94" s="49">
        <f>IFERROR(VLOOKUP($B94-IF(CompareVer="LY",1,0) &amp; $C94 &amp;AU$4,tblForecast,AU$2,FALSE),0)</f>
        <v>9</v>
      </c>
      <c r="AV94" s="47">
        <f t="shared" si="479"/>
        <v>-0.53777777777777769</v>
      </c>
      <c r="AW94" s="191">
        <f t="shared" si="614"/>
        <v>0.45003996802557955</v>
      </c>
      <c r="AX94" s="192">
        <f t="shared" si="614"/>
        <v>0.45003996802557955</v>
      </c>
      <c r="AY94" s="192">
        <f t="shared" si="614"/>
        <v>0</v>
      </c>
      <c r="AZ94" s="192">
        <f t="shared" si="614"/>
        <v>0.39899833055091816</v>
      </c>
      <c r="BA94" s="235">
        <f>IF(BA93+BV94+BL94+BR94-Q94&lt;0,0,BA93+BV94+BL94+BR94-Q94)</f>
        <v>56712</v>
      </c>
      <c r="BB94" s="231">
        <f>IF(IFERROR(VLOOKUP($B94 &amp; $C94&amp;BB$4,tblForecast,BB$2,FALSE),0)=0,BA94,IFERROR(VLOOKUP($B94 &amp; $C94&amp;BB$4,tblForecast,BB$2,FALSE),0))</f>
        <v>56712</v>
      </c>
      <c r="BC94" s="231">
        <f>IFERROR(VLOOKUP($B94-IF(CompareVer="LY",1,0) &amp; $C94 &amp;BC$4,tblForecast,BC$2,FALSE),0)</f>
        <v>0</v>
      </c>
      <c r="BD94" s="231">
        <f t="shared" si="615"/>
        <v>525557</v>
      </c>
      <c r="BE94" s="194">
        <f t="shared" si="480"/>
        <v>-0.89209162850080959</v>
      </c>
      <c r="BF94" s="231">
        <f>IFERROR(VLOOKUP($B94 &amp; $C94&amp;IF($A94="a",BG$4,BF$4),tblForecast,BF$2,FALSE),0)</f>
        <v>0</v>
      </c>
      <c r="BG94" s="228">
        <f>IFERROR(VLOOKUP($B94-IF(CompareVer="LY",1,0) &amp; $C94 &amp;BG$4,tblForecast,BG$2,FALSE),0)</f>
        <v>525559</v>
      </c>
      <c r="BH94" s="179">
        <f>IF(Q94&lt;&gt;0,BA94/Q94,0)</f>
        <v>0</v>
      </c>
      <c r="BI94" s="183">
        <f>IF(T94&lt;&gt;0,BD94/T94,0)</f>
        <v>525557</v>
      </c>
      <c r="BJ94" s="195">
        <f t="shared" si="616"/>
        <v>0</v>
      </c>
      <c r="BK94" s="50">
        <f t="shared" si="617"/>
        <v>1.9027431848495977E-6</v>
      </c>
      <c r="BL94" s="234">
        <f>IFERROR(VLOOKUP($B94 &amp; $C94&amp;IF($A94="a",BM$4,BL$4),tblForecast,BL$2,FALSE),0)</f>
        <v>0</v>
      </c>
      <c r="BM94" s="228">
        <f>IFERROR(VLOOKUP($B94-IF(CompareVer="LY",1,0) &amp; $C94 &amp;BM$4,tblForecast,BM$2,FALSE),0)</f>
        <v>3125</v>
      </c>
      <c r="BN94" s="234">
        <f>IFERROR(VLOOKUP($B94 &amp; $C94&amp;IF($A94="a",BO$4,BN$4),tblForecast,BN$2,FALSE),0)</f>
        <v>0</v>
      </c>
      <c r="BO94" s="228">
        <f>IFERROR(VLOOKUP($B94-IF(CompareVer="LY",1,0) &amp; $C94 &amp;BO$4,tblForecast,BO$2,FALSE),0)</f>
        <v>0</v>
      </c>
      <c r="BP94" s="234">
        <f>IFERROR(VLOOKUP($B94 &amp; $C94&amp;IF($A94="a",BQ$4,BP$4),tblForecast,BP$2,FALSE),0)</f>
        <v>0</v>
      </c>
      <c r="BQ94" s="228">
        <f>IFERROR(VLOOKUP($B94-IF(CompareVer="LY",1,0) &amp; $C94 &amp;BQ$4,tblForecast,BQ$2,FALSE),0)</f>
        <v>0</v>
      </c>
      <c r="BR94" s="227">
        <f t="shared" si="629"/>
        <v>0</v>
      </c>
      <c r="BS94" s="231">
        <f t="shared" si="629"/>
        <v>0</v>
      </c>
      <c r="BT94" s="234">
        <f t="shared" si="618"/>
        <v>0</v>
      </c>
      <c r="BU94" s="231">
        <f t="shared" si="618"/>
        <v>0</v>
      </c>
      <c r="BV94" s="231">
        <f>IF($A94="a",IFERROR(VLOOKUP($B94 &amp; $C94&amp;BV$4,tblForecast,BV$2,FALSE),0),BT94+BU94)</f>
        <v>0</v>
      </c>
      <c r="BW94" s="231">
        <f t="shared" si="619"/>
        <v>0</v>
      </c>
      <c r="BX94" s="231">
        <f t="shared" si="619"/>
        <v>0</v>
      </c>
      <c r="BY94" s="193">
        <f>IFERROR(VLOOKUP($B94-IF(CompareVer="LY",1,0) &amp; $C94 &amp;BY$4,tblForecast,BY$2,FALSE),0)</f>
        <v>474340</v>
      </c>
      <c r="BZ94" s="194">
        <f t="shared" si="481"/>
        <v>-1</v>
      </c>
      <c r="CA94" s="337">
        <f t="shared" si="620"/>
        <v>0</v>
      </c>
      <c r="CB94" s="46">
        <f t="shared" si="620"/>
        <v>0</v>
      </c>
      <c r="CC94" s="46">
        <f>IF($A94="a",IFERROR(VLOOKUP($B94 &amp; $C94&amp;CC$4,tblForecast,CC$2,FALSE),0),CA94+CB94)</f>
        <v>0</v>
      </c>
      <c r="CD94" s="46">
        <f t="shared" si="621"/>
        <v>0</v>
      </c>
      <c r="CE94" s="46">
        <f t="shared" si="621"/>
        <v>0</v>
      </c>
      <c r="CF94" s="46">
        <f>IFERROR(VLOOKUP($B94-IF(CompareVer="LY",1,0) &amp; $C94 &amp;CF$4,tblForecast,CF$2,FALSE),0)</f>
        <v>11734366</v>
      </c>
      <c r="CG94" s="194">
        <f t="shared" si="482"/>
        <v>-1</v>
      </c>
      <c r="CH94" s="337">
        <f t="shared" si="622"/>
        <v>0</v>
      </c>
      <c r="CI94" s="46">
        <f t="shared" si="622"/>
        <v>0</v>
      </c>
      <c r="CJ94" s="46">
        <f>IF($A94="a",IFERROR(VLOOKUP($B94 &amp; $C94&amp;CJ$4,tblForecast,CJ$2,FALSE),0),CH94+CI94)</f>
        <v>0</v>
      </c>
      <c r="CK94" s="46">
        <f t="shared" si="623"/>
        <v>0</v>
      </c>
      <c r="CL94" s="46">
        <f t="shared" si="623"/>
        <v>0</v>
      </c>
      <c r="CM94" s="46">
        <f>IFERROR(VLOOKUP($B94-IF(CompareVer="LY",1,0) &amp; $C94 &amp;CM$4,tblForecast,CM$2,FALSE),0)</f>
        <v>1959649.2675999999</v>
      </c>
      <c r="CN94" s="194">
        <f t="shared" si="483"/>
        <v>-1</v>
      </c>
      <c r="CO94" s="178">
        <f t="shared" si="525"/>
        <v>0</v>
      </c>
      <c r="CP94" s="223">
        <f t="shared" si="525"/>
        <v>24.738301640173717</v>
      </c>
      <c r="CQ94" s="194">
        <f t="shared" si="484"/>
        <v>-1</v>
      </c>
      <c r="CR94" s="178">
        <f t="shared" si="487"/>
        <v>0</v>
      </c>
      <c r="CS94" s="223">
        <f t="shared" si="487"/>
        <v>4.1313177627861872</v>
      </c>
      <c r="CT94" s="194">
        <f t="shared" si="526"/>
        <v>-1</v>
      </c>
      <c r="CU94" s="44"/>
      <c r="CW94" s="102">
        <f>IF(CW93+BV94+BL94-Q94&lt;0,0,CW93+BV94+BL94-Q94)</f>
        <v>0</v>
      </c>
      <c r="CX94" s="48">
        <f>IFERROR(VLOOKUP($B94-IF(CompareVer="LY",1,0) &amp; $C94 &amp;CX$4,tblForecast,CX$2,FALSE),0)</f>
        <v>-2</v>
      </c>
      <c r="CY94" s="47">
        <f>IFERROR(CW94/CX94-1,)</f>
        <v>-1</v>
      </c>
      <c r="CZ94" s="278">
        <f>IFERROR(VLOOKUP(Brand&amp;Channel&amp;Country&amp;$C94,tblDiscount,6,FALSE),0)</f>
        <v>0.45</v>
      </c>
      <c r="DA94" s="279">
        <f>(1-CZ94)*DB94</f>
        <v>13.761000000000001</v>
      </c>
      <c r="DB94" s="279">
        <f>IFERROR(VLOOKUP(Brand&amp;Country &amp; Channel &amp;FC,tblFCSettings,8,FALSE),0)</f>
        <v>25.02</v>
      </c>
      <c r="DC94" s="280">
        <f>IFERROR(VLOOKUP(Brand&amp;Country &amp; Channel &amp;FC,tblFCSettings,9,FALSE),0)</f>
        <v>4.16</v>
      </c>
    </row>
    <row r="95" spans="2:107" ht="16.5" thickBot="1" x14ac:dyDescent="0.3">
      <c r="C95" s="253" t="s">
        <v>23</v>
      </c>
      <c r="D95" s="254">
        <f t="shared" ref="D95" si="630">SUM(D91:D94)</f>
        <v>-1205687.1356160003</v>
      </c>
      <c r="E95" s="255">
        <f t="shared" ref="E95" si="631">SUM(E91:E94)</f>
        <v>-504518.68716800003</v>
      </c>
      <c r="F95" s="256">
        <f t="shared" si="490"/>
        <v>0.4184490920277053</v>
      </c>
      <c r="G95" s="257">
        <f>SUM(G91:G94)</f>
        <v>14966</v>
      </c>
      <c r="H95" s="258">
        <f>IFERROR(D95/G95,0)</f>
        <v>-80.561749005479101</v>
      </c>
      <c r="I95" s="258">
        <f>IFERROR(SUMPRODUCT(I91:I94,G91:G94)/G95,0)</f>
        <v>-46.850758281972482</v>
      </c>
      <c r="J95" s="257">
        <f>SUM(J91:J94)</f>
        <v>94821</v>
      </c>
      <c r="K95" s="301">
        <f>IFERROR(VLOOKUP($B95 &amp; $C95&amp;K$4&amp;$A95,tblForecast,K$2,FALSE),0)+IFERROR(VLOOKUP($B95 &amp; $C95&amp;K$4&amp;$A95,tblForecast,K$2+1,FALSE),0)</f>
        <v>0</v>
      </c>
      <c r="L95" s="259">
        <f>SUM(L91:L94)</f>
        <v>0</v>
      </c>
      <c r="M95" s="259">
        <f t="shared" ref="M95:O95" si="632">SUM(M91:M94)</f>
        <v>0</v>
      </c>
      <c r="N95" s="259">
        <f t="shared" si="632"/>
        <v>0</v>
      </c>
      <c r="O95" s="259">
        <f t="shared" si="632"/>
        <v>18</v>
      </c>
      <c r="P95" s="260">
        <f t="shared" si="485"/>
        <v>-1</v>
      </c>
      <c r="Q95" s="261">
        <f>SUM(Q91:Q94)</f>
        <v>0</v>
      </c>
      <c r="R95" s="262">
        <f t="shared" ref="R95:S95" si="633">SUM(R91:R94)</f>
        <v>0</v>
      </c>
      <c r="S95" s="262">
        <f t="shared" si="633"/>
        <v>0</v>
      </c>
      <c r="T95" s="262">
        <f>SUM(T91:T94)</f>
        <v>1</v>
      </c>
      <c r="U95" s="260">
        <f t="shared" si="476"/>
        <v>-1</v>
      </c>
      <c r="V95" s="263">
        <f t="shared" ref="V95:X96" si="634">V94</f>
        <v>0</v>
      </c>
      <c r="W95" s="332">
        <f t="shared" si="634"/>
        <v>0</v>
      </c>
      <c r="X95" s="264">
        <f t="shared" si="634"/>
        <v>0</v>
      </c>
      <c r="Y95" s="254">
        <f>SUM(Y91:Y94)</f>
        <v>0</v>
      </c>
      <c r="Z95" s="259">
        <f t="shared" ref="Z95:AB95" si="635">SUM(Z91:Z94)</f>
        <v>0</v>
      </c>
      <c r="AA95" s="259">
        <f t="shared" si="635"/>
        <v>0</v>
      </c>
      <c r="AB95" s="259">
        <f t="shared" si="635"/>
        <v>9</v>
      </c>
      <c r="AC95" s="260">
        <f t="shared" si="477"/>
        <v>-1</v>
      </c>
      <c r="AD95" s="265">
        <f t="shared" ref="AD95:AG96" si="636">IFERROR(Y95/L95,0)</f>
        <v>0</v>
      </c>
      <c r="AE95" s="266">
        <f t="shared" si="636"/>
        <v>0</v>
      </c>
      <c r="AF95" s="266">
        <f t="shared" si="636"/>
        <v>0</v>
      </c>
      <c r="AG95" s="266">
        <f t="shared" si="636"/>
        <v>0.5</v>
      </c>
      <c r="AH95" s="58">
        <f>IFERROR(SUMPRODUCT(AH91:AH94,Q91:Q94)/Q95,0)</f>
        <v>0</v>
      </c>
      <c r="AI95" s="58">
        <f>IFERROR(SUMPRODUCT(AI91:AI94,R91:R94)/R95,0)</f>
        <v>0</v>
      </c>
      <c r="AJ95" s="58">
        <f t="shared" ref="AJ95:AK95" si="637">IFERROR(SUMPRODUCT(AJ91:AJ94,S91:S94)/S95,0)</f>
        <v>0</v>
      </c>
      <c r="AK95" s="58">
        <f t="shared" si="637"/>
        <v>29.95</v>
      </c>
      <c r="AL95" s="54">
        <f t="shared" ref="AL95" si="638">IFERROR((AL83*U83+AL89*U89+AL94*U94)/U95,0)</f>
        <v>-0.16460767946577626</v>
      </c>
      <c r="AM95" s="267">
        <f t="shared" ref="AM95:AP96" si="639">IF(Q95&lt;&gt;0,L95/Q95,0)</f>
        <v>0</v>
      </c>
      <c r="AN95" s="268">
        <f t="shared" si="639"/>
        <v>0</v>
      </c>
      <c r="AO95" s="268">
        <f t="shared" si="639"/>
        <v>0</v>
      </c>
      <c r="AP95" s="268">
        <f t="shared" si="639"/>
        <v>18</v>
      </c>
      <c r="AQ95" s="260">
        <f t="shared" si="478"/>
        <v>-1</v>
      </c>
      <c r="AR95" s="267">
        <f t="shared" ref="AR95:AU96" si="640">IFERROR((L95*(1-AD95))/Q95,0)</f>
        <v>0</v>
      </c>
      <c r="AS95" s="268">
        <f t="shared" si="640"/>
        <v>0</v>
      </c>
      <c r="AT95" s="268">
        <f t="shared" si="640"/>
        <v>0</v>
      </c>
      <c r="AU95" s="268">
        <f t="shared" si="640"/>
        <v>9</v>
      </c>
      <c r="AV95" s="260">
        <f t="shared" si="479"/>
        <v>-1</v>
      </c>
      <c r="AW95" s="269">
        <f>IFERROR(SUMPRODUCT(AW91:AW94,V91:V94)/V95,0)</f>
        <v>0</v>
      </c>
      <c r="AX95" s="270">
        <f t="shared" ref="AX95:AZ95" si="641">IFERROR(SUMPRODUCT(AX91:AX94,X91:X94)/X95,0)</f>
        <v>0</v>
      </c>
      <c r="AY95" s="270">
        <f t="shared" si="641"/>
        <v>0</v>
      </c>
      <c r="AZ95" s="270">
        <f t="shared" si="641"/>
        <v>0</v>
      </c>
      <c r="BA95" s="261">
        <f>BA94</f>
        <v>56712</v>
      </c>
      <c r="BB95" s="262">
        <f t="shared" ref="BB95:BD96" si="642">BB94</f>
        <v>56712</v>
      </c>
      <c r="BC95" s="262">
        <f t="shared" si="642"/>
        <v>0</v>
      </c>
      <c r="BD95" s="262">
        <f t="shared" si="642"/>
        <v>525557</v>
      </c>
      <c r="BE95" s="260">
        <f t="shared" si="480"/>
        <v>-0.89209162850080959</v>
      </c>
      <c r="BF95" s="262">
        <f>BF94</f>
        <v>0</v>
      </c>
      <c r="BG95" s="262">
        <f>BG94</f>
        <v>525559</v>
      </c>
      <c r="BH95" s="271">
        <f>IF(Q95&lt;&gt;0,(BA95*COUNTIF(BH91:BH94,"&lt;&gt;0")/Q95),0)</f>
        <v>0</v>
      </c>
      <c r="BI95" s="272">
        <f>IF(T95&lt;&gt;0,(BD95*COUNTIF(BI91:BI94,"&lt;&gt;0")/T95),0)</f>
        <v>525557</v>
      </c>
      <c r="BJ95" s="273" t="e">
        <f>IF(BA95&lt;&gt;0,(Q95/COUNTIF(BJ91:BJ94,"&lt;&gt;0"))/BA95,0)</f>
        <v>#DIV/0!</v>
      </c>
      <c r="BK95" s="274">
        <f>IF(BD95&lt;&gt;0,(T95/COUNTIF(BK91:BK94,"&lt;&gt;0"))/BD95,0)</f>
        <v>1.9027431848495977E-6</v>
      </c>
      <c r="BL95" s="261">
        <f>SUM(BL91:BL94)</f>
        <v>0</v>
      </c>
      <c r="BM95" s="262">
        <f>SUM(BM91:BM94)</f>
        <v>3125</v>
      </c>
      <c r="BN95" s="261">
        <f>SUM(BN91:BN94)</f>
        <v>0</v>
      </c>
      <c r="BO95" s="262">
        <f t="shared" ref="BO95" si="643">SUM(BO91:BO94)</f>
        <v>0</v>
      </c>
      <c r="BP95" s="261">
        <f>SUM(BP91:BP94)</f>
        <v>0</v>
      </c>
      <c r="BQ95" s="262">
        <f t="shared" ref="BQ95" si="644">SUM(BQ91:BQ94)</f>
        <v>0</v>
      </c>
      <c r="BR95" s="261">
        <f t="shared" si="629"/>
        <v>0</v>
      </c>
      <c r="BS95" s="262">
        <f t="shared" si="629"/>
        <v>0</v>
      </c>
      <c r="BT95" s="261">
        <f>SUM(BT92:BT94)</f>
        <v>0</v>
      </c>
      <c r="BU95" s="262">
        <f>SUM(BU92:BU94)</f>
        <v>0</v>
      </c>
      <c r="BV95" s="262">
        <f>SUM(BV91:BV94)</f>
        <v>0</v>
      </c>
      <c r="BW95" s="262">
        <f t="shared" ref="BW95:BX95" si="645">SUM(BW91:BW94)</f>
        <v>0</v>
      </c>
      <c r="BX95" s="262">
        <f t="shared" si="645"/>
        <v>0</v>
      </c>
      <c r="BY95" s="275">
        <f>SUM(BY91:BY94)</f>
        <v>522434</v>
      </c>
      <c r="BZ95" s="260">
        <f t="shared" si="481"/>
        <v>-1</v>
      </c>
      <c r="CA95" s="338">
        <f>SUM(CA92:CA94)</f>
        <v>0</v>
      </c>
      <c r="CB95" s="259">
        <f t="shared" ref="CB95" si="646">SUM(CB92:CB94)</f>
        <v>0</v>
      </c>
      <c r="CC95" s="259">
        <f t="shared" ref="CC95:CF95" si="647">SUM(CC91:CC94)</f>
        <v>0</v>
      </c>
      <c r="CD95" s="259">
        <f t="shared" si="647"/>
        <v>0</v>
      </c>
      <c r="CE95" s="259">
        <f t="shared" si="647"/>
        <v>0</v>
      </c>
      <c r="CF95" s="259">
        <f t="shared" si="647"/>
        <v>13020828.300000001</v>
      </c>
      <c r="CG95" s="260">
        <f t="shared" si="482"/>
        <v>-1</v>
      </c>
      <c r="CH95" s="338">
        <f>SUM(CH92:CH94)</f>
        <v>0</v>
      </c>
      <c r="CI95" s="259">
        <f t="shared" ref="CI95" si="648">SUM(CI92:CI94)</f>
        <v>0</v>
      </c>
      <c r="CJ95" s="259">
        <f t="shared" ref="CJ95:CM95" si="649">SUM(CJ91:CJ94)</f>
        <v>0</v>
      </c>
      <c r="CK95" s="259">
        <f t="shared" si="649"/>
        <v>0</v>
      </c>
      <c r="CL95" s="259">
        <f t="shared" si="649"/>
        <v>0</v>
      </c>
      <c r="CM95" s="259">
        <f t="shared" si="649"/>
        <v>2180281.8048</v>
      </c>
      <c r="CN95" s="260">
        <f t="shared" si="483"/>
        <v>-1</v>
      </c>
      <c r="CO95" s="276">
        <f t="shared" si="525"/>
        <v>0</v>
      </c>
      <c r="CP95" s="277">
        <f t="shared" si="525"/>
        <v>24.923393768399453</v>
      </c>
      <c r="CQ95" s="260">
        <f t="shared" si="484"/>
        <v>-1</v>
      </c>
      <c r="CR95" s="276">
        <f t="shared" si="487"/>
        <v>0</v>
      </c>
      <c r="CS95" s="277">
        <f t="shared" si="487"/>
        <v>4.1733152987745825</v>
      </c>
      <c r="CT95" s="260">
        <f t="shared" si="526"/>
        <v>-1</v>
      </c>
      <c r="CU95" s="44"/>
      <c r="CW95" s="100">
        <f>CW94</f>
        <v>0</v>
      </c>
      <c r="CX95" s="101">
        <f>CX94</f>
        <v>-2</v>
      </c>
      <c r="CY95" s="99">
        <f>IFERROR(CW95/CX95-1,)</f>
        <v>-1</v>
      </c>
      <c r="CZ95" s="278"/>
      <c r="DA95" s="279"/>
      <c r="DB95" s="279"/>
      <c r="DC95" s="280"/>
    </row>
    <row r="96" spans="2:107" ht="16.5" thickBot="1" x14ac:dyDescent="0.3">
      <c r="C96" s="105" t="s">
        <v>24</v>
      </c>
      <c r="D96" s="52">
        <f t="shared" ref="D96:E96" si="650">D84+D90+D95</f>
        <v>-3525400994.3532629</v>
      </c>
      <c r="E96" s="205">
        <f t="shared" si="650"/>
        <v>-1853780001.7157009</v>
      </c>
      <c r="F96" s="206">
        <f t="shared" si="490"/>
        <v>0.52583521837230829</v>
      </c>
      <c r="G96" s="204">
        <f>G84+G90+G95</f>
        <v>-136553844</v>
      </c>
      <c r="H96" s="207">
        <f>IFERROR(D96/G96,0)</f>
        <v>25.816929725927473</v>
      </c>
      <c r="I96" s="58">
        <f>IFERROR((I84*G84+I90*G90+I95*G95)/G96,0)</f>
        <v>12.241478845791862</v>
      </c>
      <c r="J96" s="204">
        <f t="shared" ref="J96:K96" si="651">J84+J90+J95</f>
        <v>974521</v>
      </c>
      <c r="K96" s="302">
        <f t="shared" si="651"/>
        <v>0</v>
      </c>
      <c r="L96" s="53">
        <f>L84+L90+L95</f>
        <v>0</v>
      </c>
      <c r="M96" s="53">
        <f t="shared" ref="M96:O96" si="652">M84+M90+M95</f>
        <v>0</v>
      </c>
      <c r="N96" s="53">
        <f t="shared" si="652"/>
        <v>0</v>
      </c>
      <c r="O96" s="53">
        <f t="shared" si="652"/>
        <v>18</v>
      </c>
      <c r="P96" s="54">
        <f t="shared" si="485"/>
        <v>-1</v>
      </c>
      <c r="Q96" s="229">
        <f>Q84+Q90+Q95</f>
        <v>0</v>
      </c>
      <c r="R96" s="230">
        <f t="shared" ref="R96:S96" si="653">R84+R90+R95</f>
        <v>0</v>
      </c>
      <c r="S96" s="230">
        <f t="shared" si="653"/>
        <v>0</v>
      </c>
      <c r="T96" s="230">
        <f>T84+T90+T95</f>
        <v>1</v>
      </c>
      <c r="U96" s="54">
        <f t="shared" si="476"/>
        <v>-1</v>
      </c>
      <c r="V96" s="247">
        <f t="shared" si="634"/>
        <v>0</v>
      </c>
      <c r="W96" s="333">
        <f t="shared" si="634"/>
        <v>0</v>
      </c>
      <c r="X96" s="248">
        <f t="shared" si="634"/>
        <v>0</v>
      </c>
      <c r="Y96" s="52">
        <f>Y84+Y90+Y95</f>
        <v>0</v>
      </c>
      <c r="Z96" s="53">
        <f t="shared" ref="Z96:AB96" si="654">Z84+Z90+Z95</f>
        <v>0</v>
      </c>
      <c r="AA96" s="53">
        <f t="shared" si="654"/>
        <v>0</v>
      </c>
      <c r="AB96" s="53">
        <f t="shared" si="654"/>
        <v>9</v>
      </c>
      <c r="AC96" s="54">
        <f t="shared" si="477"/>
        <v>-1</v>
      </c>
      <c r="AD96" s="77">
        <f t="shared" si="636"/>
        <v>0</v>
      </c>
      <c r="AE96" s="78">
        <f t="shared" si="636"/>
        <v>0</v>
      </c>
      <c r="AF96" s="78">
        <f t="shared" si="636"/>
        <v>0</v>
      </c>
      <c r="AG96" s="78">
        <f t="shared" si="636"/>
        <v>0.5</v>
      </c>
      <c r="AH96" s="57">
        <f>IFERROR((AH84*Q84+AH90*Q90+AH95*Q95)/Q96,0)</f>
        <v>0</v>
      </c>
      <c r="AI96" s="58">
        <f t="shared" ref="AI96:AK96" si="655">IFERROR((AI84*R84+AI90*R90+AI95*R95)/R96,0)</f>
        <v>0</v>
      </c>
      <c r="AJ96" s="58">
        <f t="shared" si="655"/>
        <v>0</v>
      </c>
      <c r="AK96" s="58">
        <f t="shared" si="655"/>
        <v>29.95</v>
      </c>
      <c r="AL96" s="54">
        <f t="shared" ref="AL96" si="656">IFERROR(AH96/AK96-1,)</f>
        <v>-1</v>
      </c>
      <c r="AM96" s="57">
        <f t="shared" si="639"/>
        <v>0</v>
      </c>
      <c r="AN96" s="58">
        <f t="shared" si="639"/>
        <v>0</v>
      </c>
      <c r="AO96" s="58">
        <f t="shared" si="639"/>
        <v>0</v>
      </c>
      <c r="AP96" s="58">
        <f t="shared" si="639"/>
        <v>18</v>
      </c>
      <c r="AQ96" s="54">
        <f t="shared" si="478"/>
        <v>-1</v>
      </c>
      <c r="AR96" s="57">
        <f t="shared" si="640"/>
        <v>0</v>
      </c>
      <c r="AS96" s="58">
        <f t="shared" si="640"/>
        <v>0</v>
      </c>
      <c r="AT96" s="58">
        <f t="shared" si="640"/>
        <v>0</v>
      </c>
      <c r="AU96" s="58">
        <f t="shared" si="640"/>
        <v>9</v>
      </c>
      <c r="AV96" s="54">
        <f t="shared" si="479"/>
        <v>-1</v>
      </c>
      <c r="AW96" s="59">
        <f>IFERROR((AW84*V84+AW90*V90+AW95*V95)/V96,0)</f>
        <v>0</v>
      </c>
      <c r="AX96" s="60">
        <f t="shared" ref="AX96:AZ96" si="657">IFERROR((AX84*X84+AX90*X90+AX95*X95)/X96,0)</f>
        <v>0</v>
      </c>
      <c r="AY96" s="60">
        <f t="shared" si="657"/>
        <v>0</v>
      </c>
      <c r="AZ96" s="60">
        <f t="shared" si="657"/>
        <v>0</v>
      </c>
      <c r="BA96" s="236">
        <f>BA95</f>
        <v>56712</v>
      </c>
      <c r="BB96" s="230">
        <f t="shared" si="642"/>
        <v>56712</v>
      </c>
      <c r="BC96" s="230">
        <f t="shared" si="642"/>
        <v>0</v>
      </c>
      <c r="BD96" s="230">
        <f t="shared" si="642"/>
        <v>525557</v>
      </c>
      <c r="BE96" s="54">
        <f t="shared" si="480"/>
        <v>-0.89209162850080959</v>
      </c>
      <c r="BF96" s="230">
        <f>BF95</f>
        <v>0</v>
      </c>
      <c r="BG96" s="230">
        <f>BG95</f>
        <v>525559</v>
      </c>
      <c r="BH96" s="62">
        <f>IF(Q94&lt;&gt;0,(BA96/(Q96/13)),0)</f>
        <v>0</v>
      </c>
      <c r="BI96" s="133">
        <f>IF(T94&lt;&gt;0,(BD96/(T96/13)),0)</f>
        <v>6832241</v>
      </c>
      <c r="BJ96" s="190">
        <f>IF(BA96&lt;&gt;0,(Q96/13)/BA96,0)</f>
        <v>0</v>
      </c>
      <c r="BK96" s="61">
        <f>IF(BD96&lt;&gt;0,(T96/13)/BD96,0)</f>
        <v>1.4636486037304598E-7</v>
      </c>
      <c r="BL96" s="229">
        <f>BL84+BL90+BL95</f>
        <v>0</v>
      </c>
      <c r="BM96" s="230">
        <f t="shared" ref="BM96" si="658">BM84+BM90+BM95</f>
        <v>3124</v>
      </c>
      <c r="BN96" s="229">
        <f>BN84+BN90+BN95</f>
        <v>0</v>
      </c>
      <c r="BO96" s="230">
        <f t="shared" ref="BO96" si="659">BO84+BO90+BO95</f>
        <v>0</v>
      </c>
      <c r="BP96" s="229">
        <f>BP84+BP90+BP95</f>
        <v>0</v>
      </c>
      <c r="BQ96" s="230">
        <f t="shared" ref="BQ96" si="660">BQ84+BQ90+BQ95</f>
        <v>0</v>
      </c>
      <c r="BR96" s="229">
        <f t="shared" si="629"/>
        <v>0</v>
      </c>
      <c r="BS96" s="230">
        <f t="shared" si="629"/>
        <v>0</v>
      </c>
      <c r="BT96" s="229">
        <f t="shared" ref="BT96:BY96" si="661">BT84+BT90+BT95</f>
        <v>0</v>
      </c>
      <c r="BU96" s="230">
        <f t="shared" si="661"/>
        <v>0</v>
      </c>
      <c r="BV96" s="230">
        <f t="shared" si="661"/>
        <v>0</v>
      </c>
      <c r="BW96" s="230">
        <f t="shared" si="661"/>
        <v>0</v>
      </c>
      <c r="BX96" s="230">
        <f t="shared" si="661"/>
        <v>0</v>
      </c>
      <c r="BY96" s="56">
        <f t="shared" si="661"/>
        <v>522434</v>
      </c>
      <c r="BZ96" s="54">
        <f t="shared" si="481"/>
        <v>-1</v>
      </c>
      <c r="CA96" s="339">
        <f t="shared" ref="CA96:CF96" si="662">CA84+CA90+CA95</f>
        <v>0</v>
      </c>
      <c r="CB96" s="53">
        <f t="shared" si="662"/>
        <v>0</v>
      </c>
      <c r="CC96" s="53">
        <f t="shared" si="662"/>
        <v>0</v>
      </c>
      <c r="CD96" s="53">
        <f t="shared" si="662"/>
        <v>0</v>
      </c>
      <c r="CE96" s="53">
        <f t="shared" si="662"/>
        <v>0</v>
      </c>
      <c r="CF96" s="53">
        <f t="shared" si="662"/>
        <v>13020828.300000001</v>
      </c>
      <c r="CG96" s="54">
        <f t="shared" si="482"/>
        <v>-1</v>
      </c>
      <c r="CH96" s="339">
        <f t="shared" ref="CH96:CM96" si="663">CH84+CH90+CH95</f>
        <v>0</v>
      </c>
      <c r="CI96" s="53">
        <f t="shared" si="663"/>
        <v>0</v>
      </c>
      <c r="CJ96" s="53">
        <f t="shared" si="663"/>
        <v>0</v>
      </c>
      <c r="CK96" s="53">
        <f t="shared" si="663"/>
        <v>0</v>
      </c>
      <c r="CL96" s="53">
        <f t="shared" si="663"/>
        <v>0</v>
      </c>
      <c r="CM96" s="53">
        <f t="shared" si="663"/>
        <v>2180281.8048</v>
      </c>
      <c r="CN96" s="54">
        <f t="shared" si="483"/>
        <v>-1</v>
      </c>
      <c r="CO96" s="55">
        <f t="shared" si="525"/>
        <v>0</v>
      </c>
      <c r="CP96" s="224">
        <f t="shared" si="525"/>
        <v>24.923393768399453</v>
      </c>
      <c r="CQ96" s="54">
        <f t="shared" si="484"/>
        <v>-1</v>
      </c>
      <c r="CR96" s="55">
        <f t="shared" si="487"/>
        <v>0</v>
      </c>
      <c r="CS96" s="224">
        <f t="shared" si="487"/>
        <v>4.1733152987745825</v>
      </c>
      <c r="CT96" s="54">
        <f t="shared" si="526"/>
        <v>-1</v>
      </c>
      <c r="CU96" s="44"/>
      <c r="CW96" s="55">
        <f>CW95</f>
        <v>0</v>
      </c>
      <c r="CX96" s="56">
        <f>CX95</f>
        <v>-2</v>
      </c>
      <c r="CY96" s="54">
        <f>IFERROR(CW96/CX96-1,)</f>
        <v>-1</v>
      </c>
      <c r="CZ96" s="281"/>
      <c r="DA96" s="282"/>
      <c r="DB96" s="282"/>
      <c r="DC96" s="283"/>
    </row>
  </sheetData>
  <sheetProtection sheet="1" objects="1" scenarios="1"/>
  <mergeCells count="32">
    <mergeCell ref="C6:R6"/>
    <mergeCell ref="C5:R5"/>
    <mergeCell ref="BJ9:BK9"/>
    <mergeCell ref="BL9:BM9"/>
    <mergeCell ref="BN9:BO9"/>
    <mergeCell ref="D8:K8"/>
    <mergeCell ref="L8:AZ8"/>
    <mergeCell ref="D9:K9"/>
    <mergeCell ref="BA8:BS8"/>
    <mergeCell ref="BP9:BQ9"/>
    <mergeCell ref="BR9:BS9"/>
    <mergeCell ref="L9:P9"/>
    <mergeCell ref="Q9:U9"/>
    <mergeCell ref="V9:X9"/>
    <mergeCell ref="Y9:AC9"/>
    <mergeCell ref="AD9:AG9"/>
    <mergeCell ref="CW9:CY9"/>
    <mergeCell ref="CZ9:DC9"/>
    <mergeCell ref="Z7:AC7"/>
    <mergeCell ref="BT9:BZ9"/>
    <mergeCell ref="CA9:CG9"/>
    <mergeCell ref="CH9:CN9"/>
    <mergeCell ref="CO9:CQ9"/>
    <mergeCell ref="CR9:CT9"/>
    <mergeCell ref="BT8:CT8"/>
    <mergeCell ref="AH9:AL9"/>
    <mergeCell ref="AM9:AQ9"/>
    <mergeCell ref="AR9:AV9"/>
    <mergeCell ref="AW9:AZ9"/>
    <mergeCell ref="BA9:BE9"/>
    <mergeCell ref="BF9:BG9"/>
    <mergeCell ref="BH9:BI9"/>
  </mergeCells>
  <phoneticPr fontId="13" type="noConversion"/>
  <conditionalFormatting sqref="C11:C14">
    <cfRule type="expression" dxfId="19" priority="20">
      <formula>$A11="A"</formula>
    </cfRule>
  </conditionalFormatting>
  <conditionalFormatting sqref="C16:C20">
    <cfRule type="expression" dxfId="18" priority="19">
      <formula>$A16="A"</formula>
    </cfRule>
  </conditionalFormatting>
  <conditionalFormatting sqref="C22:C25">
    <cfRule type="expression" dxfId="17" priority="18">
      <formula>$A22="A"</formula>
    </cfRule>
  </conditionalFormatting>
  <conditionalFormatting sqref="C28">
    <cfRule type="expression" dxfId="16" priority="17">
      <formula>$A28="A"</formula>
    </cfRule>
  </conditionalFormatting>
  <conditionalFormatting sqref="C29:C31">
    <cfRule type="expression" dxfId="15" priority="16">
      <formula>$A29="A"</formula>
    </cfRule>
  </conditionalFormatting>
  <conditionalFormatting sqref="C33">
    <cfRule type="expression" dxfId="14" priority="15">
      <formula>$A33="A"</formula>
    </cfRule>
  </conditionalFormatting>
  <conditionalFormatting sqref="C91:C94">
    <cfRule type="expression" dxfId="13" priority="4">
      <formula>$A91="A"</formula>
    </cfRule>
  </conditionalFormatting>
  <conditionalFormatting sqref="C39">
    <cfRule type="expression" dxfId="12" priority="14">
      <formula>$A39="A"</formula>
    </cfRule>
  </conditionalFormatting>
  <conditionalFormatting sqref="C40:C42">
    <cfRule type="expression" dxfId="11" priority="13">
      <formula>$A40="A"</formula>
    </cfRule>
  </conditionalFormatting>
  <conditionalFormatting sqref="C45:C48">
    <cfRule type="expression" dxfId="10" priority="12">
      <formula>$A45="A"</formula>
    </cfRule>
  </conditionalFormatting>
  <conditionalFormatting sqref="C50:C54">
    <cfRule type="expression" dxfId="9" priority="11">
      <formula>$A50="A"</formula>
    </cfRule>
  </conditionalFormatting>
  <conditionalFormatting sqref="C56:C59">
    <cfRule type="expression" dxfId="8" priority="10">
      <formula>$A56="A"</formula>
    </cfRule>
  </conditionalFormatting>
  <conditionalFormatting sqref="C62:C65">
    <cfRule type="expression" dxfId="7" priority="9">
      <formula>$A62="A"</formula>
    </cfRule>
  </conditionalFormatting>
  <conditionalFormatting sqref="C67:C71">
    <cfRule type="expression" dxfId="6" priority="8">
      <formula>$A67="A"</formula>
    </cfRule>
  </conditionalFormatting>
  <conditionalFormatting sqref="C73:C76">
    <cfRule type="expression" dxfId="5" priority="7">
      <formula>$A73="A"</formula>
    </cfRule>
  </conditionalFormatting>
  <conditionalFormatting sqref="C80:C83">
    <cfRule type="expression" dxfId="4" priority="6">
      <formula>$A80="A"</formula>
    </cfRule>
  </conditionalFormatting>
  <conditionalFormatting sqref="C85:C89">
    <cfRule type="expression" dxfId="3" priority="5">
      <formula>$A85="A"</formula>
    </cfRule>
  </conditionalFormatting>
  <conditionalFormatting sqref="C34">
    <cfRule type="expression" dxfId="2" priority="3">
      <formula>$A34="A"</formula>
    </cfRule>
  </conditionalFormatting>
  <conditionalFormatting sqref="C35">
    <cfRule type="expression" dxfId="1" priority="2">
      <formula>$A35="A"</formula>
    </cfRule>
  </conditionalFormatting>
  <conditionalFormatting sqref="C36:C37">
    <cfRule type="expression" dxfId="0" priority="1">
      <formula>$A36="A"</formula>
    </cfRule>
  </conditionalFormatting>
  <pageMargins left="0.7" right="0.7" top="0.75" bottom="0.75" header="0.3" footer="0.3"/>
  <pageSetup paperSize="3" scale="32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mulas" enableFormatConditionsCalculation="0">
    <tabColor theme="8" tint="0.59999389629810485"/>
    <pageSetUpPr fitToPage="1"/>
  </sheetPr>
  <dimension ref="A1:DC96"/>
  <sheetViews>
    <sheetView showGridLines="0" zoomScale="80" zoomScaleNormal="80" zoomScalePageLayoutView="80" workbookViewId="0">
      <pane xSplit="6" ySplit="10" topLeftCell="G26" activePane="bottomRight" state="frozen"/>
      <selection pane="topRight" activeCell="G1" sqref="G1"/>
      <selection pane="bottomLeft" activeCell="A10" sqref="A10"/>
      <selection pane="bottomRight" activeCell="C37" sqref="C37"/>
    </sheetView>
  </sheetViews>
  <sheetFormatPr defaultColWidth="8.875" defaultRowHeight="15.75" x14ac:dyDescent="0.25"/>
  <cols>
    <col min="1" max="1" width="2.125" style="44" bestFit="1" customWidth="1"/>
    <col min="2" max="2" width="5.5" style="44" bestFit="1" customWidth="1"/>
    <col min="3" max="3" width="10.25" style="44" bestFit="1" customWidth="1"/>
    <col min="4" max="5" width="12.625" style="44" bestFit="1" customWidth="1"/>
    <col min="6" max="6" width="7.375" style="44" bestFit="1" customWidth="1"/>
    <col min="7" max="7" width="10.75" style="44" bestFit="1" customWidth="1"/>
    <col min="8" max="9" width="7.5" style="44" bestFit="1" customWidth="1"/>
    <col min="10" max="10" width="11.75" style="44" bestFit="1" customWidth="1"/>
    <col min="11" max="13" width="10.75" style="44" bestFit="1" customWidth="1"/>
    <col min="14" max="14" width="6.75" style="44" bestFit="1" customWidth="1"/>
    <col min="15" max="15" width="10.75" style="44" bestFit="1" customWidth="1"/>
    <col min="16" max="16" width="8.875" style="44" bestFit="1" customWidth="1"/>
    <col min="17" max="17" width="9.5" style="44" bestFit="1" customWidth="1"/>
    <col min="18" max="18" width="8.75" style="44" bestFit="1" customWidth="1"/>
    <col min="19" max="19" width="7.625" style="44" bestFit="1" customWidth="1"/>
    <col min="20" max="20" width="8.375" style="44" bestFit="1" customWidth="1"/>
    <col min="21" max="21" width="8.875" style="44" bestFit="1" customWidth="1"/>
    <col min="22" max="22" width="9.5" style="44" bestFit="1" customWidth="1"/>
    <col min="23" max="23" width="9.5" style="44" customWidth="1"/>
    <col min="24" max="24" width="8.875" style="44" bestFit="1" customWidth="1"/>
    <col min="25" max="26" width="10.75" style="44" bestFit="1" customWidth="1"/>
    <col min="27" max="27" width="10.5" style="44" bestFit="1" customWidth="1"/>
    <col min="28" max="28" width="10.75" style="44" bestFit="1" customWidth="1"/>
    <col min="29" max="29" width="10.25" style="44" bestFit="1" customWidth="1"/>
    <col min="30" max="30" width="10.5" style="44" bestFit="1" customWidth="1"/>
    <col min="31" max="31" width="9.375" style="44" bestFit="1" customWidth="1"/>
    <col min="32" max="32" width="7.125" style="44" bestFit="1" customWidth="1"/>
    <col min="33" max="33" width="10.25" style="44" bestFit="1" customWidth="1"/>
    <col min="34" max="34" width="20.875" style="44" bestFit="1" customWidth="1"/>
    <col min="35" max="35" width="8.75" style="44" bestFit="1" customWidth="1"/>
    <col min="36" max="36" width="5.75" style="44" bestFit="1" customWidth="1"/>
    <col min="37" max="37" width="7.5" style="44" bestFit="1" customWidth="1"/>
    <col min="38" max="38" width="8.875" style="44" bestFit="1" customWidth="1"/>
    <col min="39" max="39" width="9.5" style="44" bestFit="1" customWidth="1"/>
    <col min="40" max="40" width="8.75" style="44" bestFit="1" customWidth="1"/>
    <col min="41" max="41" width="5.75" style="44" bestFit="1" customWidth="1"/>
    <col min="42" max="42" width="7.5" style="44" bestFit="1" customWidth="1"/>
    <col min="43" max="43" width="8.875" style="44" bestFit="1" customWidth="1"/>
    <col min="44" max="44" width="9.5" style="44" bestFit="1" customWidth="1"/>
    <col min="45" max="45" width="8.75" style="44" bestFit="1" customWidth="1"/>
    <col min="46" max="46" width="5.75" style="44" bestFit="1" customWidth="1"/>
    <col min="47" max="47" width="6.5" style="44" bestFit="1" customWidth="1"/>
    <col min="48" max="48" width="8.875" style="44" bestFit="1" customWidth="1"/>
    <col min="49" max="49" width="9.5" style="44" bestFit="1" customWidth="1"/>
    <col min="50" max="50" width="8.75" style="44" bestFit="1" customWidth="1"/>
    <col min="51" max="51" width="7.125" style="44" bestFit="1" customWidth="1"/>
    <col min="52" max="52" width="8" style="44" bestFit="1" customWidth="1"/>
    <col min="53" max="53" width="10.5" style="45" bestFit="1" customWidth="1"/>
    <col min="54" max="54" width="8.75" style="45" bestFit="1" customWidth="1"/>
    <col min="55" max="55" width="5.125" style="45" bestFit="1" customWidth="1"/>
    <col min="56" max="56" width="10.5" style="44" bestFit="1" customWidth="1"/>
    <col min="57" max="57" width="8.875" style="44" bestFit="1" customWidth="1"/>
    <col min="58" max="58" width="9.5" style="44" bestFit="1" customWidth="1"/>
    <col min="59" max="59" width="8.375" style="44" bestFit="1" customWidth="1"/>
    <col min="60" max="60" width="9.5" style="44" bestFit="1" customWidth="1"/>
    <col min="61" max="61" width="10.5" style="44" bestFit="1" customWidth="1"/>
    <col min="62" max="62" width="9.625" style="44" bestFit="1" customWidth="1"/>
    <col min="63" max="63" width="12" style="44" bestFit="1" customWidth="1"/>
    <col min="64" max="64" width="9.5" style="44" bestFit="1" customWidth="1"/>
    <col min="65" max="65" width="7.5" style="44" bestFit="1" customWidth="1"/>
    <col min="66" max="66" width="9.5" style="44" bestFit="1" customWidth="1"/>
    <col min="67" max="67" width="8.375" style="44" bestFit="1" customWidth="1"/>
    <col min="68" max="68" width="9.5" style="44" bestFit="1" customWidth="1"/>
    <col min="69" max="69" width="8.375" style="44" bestFit="1" customWidth="1"/>
    <col min="70" max="70" width="9.5" style="44" bestFit="1" customWidth="1"/>
    <col min="71" max="71" width="8.375" style="44" bestFit="1" customWidth="1"/>
    <col min="72" max="72" width="10.5" style="44" bestFit="1" customWidth="1"/>
    <col min="73" max="73" width="4.875" style="44" bestFit="1" customWidth="1"/>
    <col min="74" max="74" width="9.5" style="44" bestFit="1" customWidth="1"/>
    <col min="75" max="75" width="8.75" style="44" bestFit="1" customWidth="1"/>
    <col min="76" max="76" width="5.125" style="44" bestFit="1" customWidth="1"/>
    <col min="77" max="77" width="7.5" style="44" bestFit="1" customWidth="1"/>
    <col min="78" max="78" width="8.875" style="44" bestFit="1" customWidth="1"/>
    <col min="79" max="79" width="10.5" style="44" bestFit="1" customWidth="1"/>
    <col min="80" max="80" width="5.75" style="44" bestFit="1" customWidth="1"/>
    <col min="81" max="81" width="9.5" style="44" bestFit="1" customWidth="1"/>
    <col min="82" max="82" width="8.75" style="44" bestFit="1" customWidth="1"/>
    <col min="83" max="83" width="5.75" style="44" bestFit="1" customWidth="1"/>
    <col min="84" max="84" width="10.75" style="44" bestFit="1" customWidth="1"/>
    <col min="85" max="85" width="8.875" style="44" bestFit="1" customWidth="1"/>
    <col min="86" max="86" width="10.5" style="44" bestFit="1" customWidth="1"/>
    <col min="87" max="87" width="5.75" style="44" bestFit="1" customWidth="1"/>
    <col min="88" max="88" width="9.5" style="44" bestFit="1" customWidth="1"/>
    <col min="89" max="89" width="8.75" style="44" bestFit="1" customWidth="1"/>
    <col min="90" max="90" width="5.75" style="44" bestFit="1" customWidth="1"/>
    <col min="91" max="91" width="9.375" style="44" bestFit="1" customWidth="1"/>
    <col min="92" max="92" width="8.875" style="44" bestFit="1" customWidth="1"/>
    <col min="93" max="93" width="5.125" style="44" bestFit="1" customWidth="1"/>
    <col min="94" max="94" width="7.5" style="44" bestFit="1" customWidth="1"/>
    <col min="95" max="95" width="8.875" style="44" bestFit="1" customWidth="1"/>
    <col min="96" max="96" width="5.125" style="44" bestFit="1" customWidth="1"/>
    <col min="97" max="97" width="6.5" style="44" bestFit="1" customWidth="1"/>
    <col min="98" max="98" width="8.875" style="44" bestFit="1" customWidth="1"/>
    <col min="99" max="99" width="4.5" customWidth="1"/>
    <col min="100" max="100" width="4.375" customWidth="1"/>
    <col min="101" max="101" width="10.5" style="45" bestFit="1" customWidth="1"/>
    <col min="102" max="102" width="10.5" style="44" bestFit="1" customWidth="1"/>
    <col min="103" max="103" width="8.875" style="44" bestFit="1" customWidth="1"/>
    <col min="104" max="104" width="4.625" style="44" bestFit="1" customWidth="1"/>
    <col min="105" max="106" width="8.25" style="44" bestFit="1" customWidth="1"/>
    <col min="107" max="107" width="7.125" style="44" bestFit="1" customWidth="1"/>
    <col min="108" max="16384" width="8.875" style="44"/>
  </cols>
  <sheetData>
    <row r="1" spans="1:107" s="38" customFormat="1" x14ac:dyDescent="0.25">
      <c r="A1" s="38" t="s">
        <v>319</v>
      </c>
      <c r="C1" s="74" t="s">
        <v>323</v>
      </c>
      <c r="D1" s="213"/>
      <c r="E1" s="213"/>
      <c r="F1" s="213"/>
      <c r="G1" s="139"/>
      <c r="H1" s="139"/>
      <c r="I1" s="139"/>
      <c r="J1" s="139"/>
      <c r="K1" s="139"/>
      <c r="L1" s="81"/>
      <c r="M1" s="81"/>
      <c r="N1" s="81"/>
      <c r="O1" s="81"/>
      <c r="P1" s="81"/>
      <c r="Q1" s="42" t="s">
        <v>450</v>
      </c>
      <c r="R1" s="42"/>
      <c r="S1" s="139"/>
      <c r="T1" s="42"/>
      <c r="U1" s="43"/>
      <c r="V1" s="81"/>
      <c r="W1" s="81"/>
      <c r="X1" s="81"/>
      <c r="Y1" s="43"/>
      <c r="Z1" s="43"/>
      <c r="AA1" s="43"/>
      <c r="AB1" s="43"/>
      <c r="AC1" s="43"/>
      <c r="AD1" s="43"/>
      <c r="AE1" s="43"/>
      <c r="AF1" s="43"/>
      <c r="AG1" s="43"/>
      <c r="AH1" s="42" t="s">
        <v>331</v>
      </c>
      <c r="AI1" s="42"/>
      <c r="AJ1" s="42"/>
      <c r="AK1" s="42"/>
      <c r="AL1" s="43"/>
      <c r="AM1" s="42" t="s">
        <v>332</v>
      </c>
      <c r="AN1" s="42"/>
      <c r="AO1" s="42"/>
      <c r="AP1" s="42"/>
      <c r="AQ1" s="43"/>
      <c r="AR1" s="42" t="s">
        <v>333</v>
      </c>
      <c r="AS1" s="42"/>
      <c r="AT1" s="42"/>
      <c r="AU1" s="42"/>
      <c r="AV1" s="43"/>
      <c r="AW1" s="43"/>
      <c r="AX1" s="43"/>
      <c r="AY1" s="43"/>
      <c r="AZ1" s="43"/>
      <c r="BA1" s="42" t="s">
        <v>451</v>
      </c>
      <c r="BB1" s="42"/>
      <c r="BC1" s="42"/>
      <c r="BD1" s="42"/>
      <c r="BE1" s="43"/>
      <c r="BF1" s="42" t="s">
        <v>437</v>
      </c>
      <c r="BG1" s="42"/>
      <c r="BH1" s="43"/>
      <c r="BI1" s="43"/>
      <c r="BJ1" s="43"/>
      <c r="BK1" s="43"/>
      <c r="BL1" s="42" t="s">
        <v>438</v>
      </c>
      <c r="BM1" s="42"/>
      <c r="BN1" s="42" t="s">
        <v>444</v>
      </c>
      <c r="BO1" s="42"/>
      <c r="BP1" s="42" t="s">
        <v>445</v>
      </c>
      <c r="BQ1" s="42"/>
      <c r="BR1" s="43"/>
      <c r="BS1" s="43"/>
      <c r="BT1" s="42" t="s">
        <v>439</v>
      </c>
      <c r="BU1" s="42"/>
      <c r="BV1" s="42"/>
      <c r="BW1" s="42"/>
      <c r="BX1" s="42"/>
      <c r="BY1" s="42"/>
      <c r="BZ1" s="43"/>
      <c r="CA1" s="42" t="s">
        <v>440</v>
      </c>
      <c r="CB1" s="42"/>
      <c r="CC1" s="42"/>
      <c r="CD1" s="42"/>
      <c r="CE1" s="42"/>
      <c r="CF1" s="42"/>
      <c r="CG1" s="43"/>
      <c r="CH1" s="42" t="s">
        <v>441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/>
      <c r="CW1" s="42"/>
      <c r="CX1" s="42"/>
      <c r="CY1" s="42"/>
    </row>
    <row r="2" spans="1:107" s="38" customFormat="1" x14ac:dyDescent="0.25">
      <c r="C2" s="74" t="s">
        <v>322</v>
      </c>
      <c r="D2" s="213"/>
      <c r="E2" s="213"/>
      <c r="F2" s="213"/>
      <c r="G2" s="139">
        <v>5</v>
      </c>
      <c r="H2" s="139">
        <v>6</v>
      </c>
      <c r="I2" s="139">
        <v>7</v>
      </c>
      <c r="J2" s="139">
        <v>9</v>
      </c>
      <c r="K2" s="139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v>5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:AK2" si="0">AI2</f>
        <v>6</v>
      </c>
      <c r="AK2" s="42">
        <f t="shared" si="0"/>
        <v>6</v>
      </c>
      <c r="AL2" s="43"/>
      <c r="AM2" s="42">
        <v>7</v>
      </c>
      <c r="AN2" s="42">
        <f>AM2</f>
        <v>7</v>
      </c>
      <c r="AO2" s="42">
        <f t="shared" ref="AO2:AP2" si="1">AN2</f>
        <v>7</v>
      </c>
      <c r="AP2" s="42">
        <f t="shared" si="1"/>
        <v>7</v>
      </c>
      <c r="AQ2" s="43"/>
      <c r="AR2" s="42">
        <v>8</v>
      </c>
      <c r="AS2" s="42">
        <f>AR2</f>
        <v>8</v>
      </c>
      <c r="AT2" s="42">
        <f t="shared" ref="AT2:AU2" si="2">AS2</f>
        <v>8</v>
      </c>
      <c r="AU2" s="42">
        <f t="shared" si="2"/>
        <v>8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v>9</v>
      </c>
      <c r="BE2" s="43"/>
      <c r="BF2" s="42">
        <v>10</v>
      </c>
      <c r="BG2" s="42">
        <v>10</v>
      </c>
      <c r="BH2" s="43"/>
      <c r="BI2" s="43"/>
      <c r="BJ2" s="43"/>
      <c r="BK2" s="43"/>
      <c r="BL2" s="42">
        <v>11</v>
      </c>
      <c r="BM2" s="42">
        <f>BL2</f>
        <v>11</v>
      </c>
      <c r="BN2" s="42">
        <v>12</v>
      </c>
      <c r="BO2" s="42">
        <v>12</v>
      </c>
      <c r="BP2" s="42">
        <v>13</v>
      </c>
      <c r="BQ2" s="42">
        <v>13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v>16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v>19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v>22</v>
      </c>
      <c r="CN2" s="43"/>
      <c r="CO2" s="43"/>
      <c r="CP2" s="43"/>
      <c r="CQ2" s="43"/>
      <c r="CR2" s="43"/>
      <c r="CS2" s="43"/>
      <c r="CT2" s="43"/>
      <c r="CV2"/>
      <c r="CW2" s="43">
        <v>9</v>
      </c>
      <c r="CX2" s="43">
        <v>9</v>
      </c>
      <c r="CY2" s="43"/>
    </row>
    <row r="3" spans="1:107" s="38" customFormat="1" x14ac:dyDescent="0.25">
      <c r="C3" s="74" t="s">
        <v>321</v>
      </c>
      <c r="D3" s="43" t="s">
        <v>338</v>
      </c>
      <c r="E3" s="43" t="s">
        <v>338</v>
      </c>
      <c r="F3" s="43" t="s">
        <v>338</v>
      </c>
      <c r="G3" s="43" t="s">
        <v>338</v>
      </c>
      <c r="H3" s="43" t="s">
        <v>338</v>
      </c>
      <c r="I3" s="43" t="s">
        <v>338</v>
      </c>
      <c r="J3" s="43" t="s">
        <v>338</v>
      </c>
      <c r="K3" s="43" t="s">
        <v>338</v>
      </c>
      <c r="L3" s="43" t="s">
        <v>338</v>
      </c>
      <c r="M3" s="43" t="s">
        <v>338</v>
      </c>
      <c r="N3" s="43" t="s">
        <v>338</v>
      </c>
      <c r="O3" s="43" t="s">
        <v>338</v>
      </c>
      <c r="P3" s="43" t="s">
        <v>338</v>
      </c>
      <c r="Q3" s="43" t="s">
        <v>339</v>
      </c>
      <c r="R3" s="43" t="s">
        <v>339</v>
      </c>
      <c r="S3" s="43" t="s">
        <v>339</v>
      </c>
      <c r="T3" s="43" t="s">
        <v>339</v>
      </c>
      <c r="U3" s="43"/>
      <c r="V3" s="81" t="s">
        <v>338</v>
      </c>
      <c r="W3" s="81" t="s">
        <v>338</v>
      </c>
      <c r="X3" s="81" t="s">
        <v>338</v>
      </c>
      <c r="Y3" s="43" t="s">
        <v>320</v>
      </c>
      <c r="Z3" s="43" t="s">
        <v>320</v>
      </c>
      <c r="AA3" s="43" t="s">
        <v>320</v>
      </c>
      <c r="AB3" s="43" t="s">
        <v>320</v>
      </c>
      <c r="AC3" s="43"/>
      <c r="AD3" s="43" t="s">
        <v>320</v>
      </c>
      <c r="AE3" s="43"/>
      <c r="AF3" s="43"/>
      <c r="AG3" s="43"/>
      <c r="AH3" s="43" t="s">
        <v>338</v>
      </c>
      <c r="AI3" s="43"/>
      <c r="AJ3" s="43"/>
      <c r="AK3" s="43"/>
      <c r="AL3" s="43"/>
      <c r="AM3" s="43" t="s">
        <v>338</v>
      </c>
      <c r="AN3" s="43"/>
      <c r="AO3" s="43"/>
      <c r="AP3" s="43"/>
      <c r="AQ3" s="43"/>
      <c r="AR3" s="43" t="s">
        <v>338</v>
      </c>
      <c r="AS3" s="43"/>
      <c r="AT3" s="43"/>
      <c r="AU3" s="43"/>
      <c r="AV3" s="43"/>
      <c r="AW3" s="43" t="s">
        <v>338</v>
      </c>
      <c r="AX3" s="43"/>
      <c r="AY3" s="43"/>
      <c r="AZ3" s="43"/>
      <c r="BA3" s="43" t="s">
        <v>320</v>
      </c>
      <c r="BB3" s="43"/>
      <c r="BC3" s="43"/>
      <c r="BD3" s="43" t="s">
        <v>320</v>
      </c>
      <c r="BE3" s="43"/>
      <c r="BF3" s="43" t="s">
        <v>340</v>
      </c>
      <c r="BG3" s="43" t="s">
        <v>340</v>
      </c>
      <c r="BH3" s="43" t="s">
        <v>340</v>
      </c>
      <c r="BI3" s="43" t="s">
        <v>340</v>
      </c>
      <c r="BJ3" s="43" t="s">
        <v>338</v>
      </c>
      <c r="BK3" s="43" t="s">
        <v>338</v>
      </c>
      <c r="BL3" s="43" t="s">
        <v>338</v>
      </c>
      <c r="BM3" s="43"/>
      <c r="BN3" s="43" t="s">
        <v>338</v>
      </c>
      <c r="BO3" s="43"/>
      <c r="BP3" s="43" t="s">
        <v>338</v>
      </c>
      <c r="BQ3" s="43"/>
      <c r="BR3" s="43" t="s">
        <v>338</v>
      </c>
      <c r="BS3" s="43"/>
      <c r="BT3" s="43" t="s">
        <v>320</v>
      </c>
      <c r="BU3" s="43"/>
      <c r="BV3" s="43" t="s">
        <v>339</v>
      </c>
      <c r="BW3" s="43"/>
      <c r="BX3" s="43"/>
      <c r="BY3" s="43"/>
      <c r="BZ3" s="43"/>
      <c r="CA3" s="43" t="s">
        <v>320</v>
      </c>
      <c r="CB3" s="43" t="s">
        <v>339</v>
      </c>
      <c r="CC3" s="43" t="s">
        <v>339</v>
      </c>
      <c r="CD3" s="43" t="s">
        <v>339</v>
      </c>
      <c r="CE3" s="43" t="s">
        <v>339</v>
      </c>
      <c r="CF3" s="43" t="s">
        <v>339</v>
      </c>
      <c r="CG3" s="43"/>
      <c r="CH3" s="43" t="s">
        <v>320</v>
      </c>
      <c r="CI3" s="43" t="s">
        <v>320</v>
      </c>
      <c r="CJ3" s="43" t="s">
        <v>320</v>
      </c>
      <c r="CK3" s="43" t="s">
        <v>320</v>
      </c>
      <c r="CL3" s="43" t="s">
        <v>320</v>
      </c>
      <c r="CM3" s="43" t="s">
        <v>320</v>
      </c>
      <c r="CN3" s="43"/>
      <c r="CO3" s="43"/>
      <c r="CP3" s="43"/>
      <c r="CQ3" s="43"/>
      <c r="CR3" s="43"/>
      <c r="CS3" s="43"/>
      <c r="CT3" s="43"/>
      <c r="CV3"/>
      <c r="CW3" s="43" t="s">
        <v>320</v>
      </c>
      <c r="CX3" s="43" t="s">
        <v>320</v>
      </c>
      <c r="CY3" s="43"/>
    </row>
    <row r="4" spans="1:107" s="38" customFormat="1" x14ac:dyDescent="0.25">
      <c r="C4" s="74"/>
      <c r="D4" s="213"/>
      <c r="E4" s="213"/>
      <c r="F4" s="213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403</v>
      </c>
      <c r="T4" s="42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403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403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403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403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CompareVer</f>
        <v>LY</v>
      </c>
      <c r="BW4" s="42" t="str">
        <f>ForecastVer</f>
        <v>MBR</v>
      </c>
      <c r="BX4" s="42" t="s">
        <v>403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403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403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/>
      <c r="CW4" s="43" t="str">
        <f>ForecastVer</f>
        <v>MBR</v>
      </c>
      <c r="CX4" s="43" t="str">
        <f>CompareVer</f>
        <v>LY</v>
      </c>
      <c r="CY4" s="43"/>
    </row>
    <row r="5" spans="1:107" ht="18.75" x14ac:dyDescent="0.3">
      <c r="D5" s="226"/>
    </row>
    <row r="6" spans="1:107" x14ac:dyDescent="0.25">
      <c r="BA6" s="44"/>
    </row>
    <row r="7" spans="1:107" ht="16.5" thickBot="1" x14ac:dyDescent="0.3">
      <c r="BA7" s="44"/>
    </row>
    <row r="8" spans="1:107" s="140" customFormat="1" ht="21.75" thickBot="1" x14ac:dyDescent="0.3">
      <c r="C8" s="141" t="s">
        <v>39</v>
      </c>
      <c r="D8" s="382" t="s">
        <v>10</v>
      </c>
      <c r="E8" s="383"/>
      <c r="F8" s="383"/>
      <c r="G8" s="383"/>
      <c r="H8" s="383"/>
      <c r="I8" s="383"/>
      <c r="J8" s="383"/>
      <c r="K8" s="384"/>
      <c r="L8" s="385" t="s">
        <v>27</v>
      </c>
      <c r="M8" s="385"/>
      <c r="N8" s="385"/>
      <c r="O8" s="385"/>
      <c r="P8" s="385"/>
      <c r="Q8" s="385"/>
      <c r="R8" s="385"/>
      <c r="S8" s="385"/>
      <c r="T8" s="385"/>
      <c r="U8" s="385"/>
      <c r="V8" s="385"/>
      <c r="W8" s="385"/>
      <c r="X8" s="385"/>
      <c r="Y8" s="385"/>
      <c r="Z8" s="385"/>
      <c r="AA8" s="385"/>
      <c r="AB8" s="385"/>
      <c r="AC8" s="385"/>
      <c r="AD8" s="385"/>
      <c r="AE8" s="385"/>
      <c r="AF8" s="385"/>
      <c r="AG8" s="385"/>
      <c r="AH8" s="385"/>
      <c r="AI8" s="385"/>
      <c r="AJ8" s="385"/>
      <c r="AK8" s="385"/>
      <c r="AL8" s="385"/>
      <c r="AM8" s="385"/>
      <c r="AN8" s="385"/>
      <c r="AO8" s="385"/>
      <c r="AP8" s="385"/>
      <c r="AQ8" s="385"/>
      <c r="AR8" s="385"/>
      <c r="AS8" s="385"/>
      <c r="AT8" s="385"/>
      <c r="AU8" s="385"/>
      <c r="AV8" s="385"/>
      <c r="AW8" s="385"/>
      <c r="AX8" s="385"/>
      <c r="AY8" s="385"/>
      <c r="AZ8" s="422"/>
      <c r="BA8" s="419" t="s">
        <v>414</v>
      </c>
      <c r="BB8" s="420"/>
      <c r="BC8" s="420"/>
      <c r="BD8" s="420"/>
      <c r="BE8" s="420"/>
      <c r="BF8" s="420"/>
      <c r="BG8" s="420"/>
      <c r="BH8" s="420"/>
      <c r="BI8" s="420"/>
      <c r="BJ8" s="420"/>
      <c r="BK8" s="420"/>
      <c r="BL8" s="420"/>
      <c r="BM8" s="420"/>
      <c r="BN8" s="420"/>
      <c r="BO8" s="420"/>
      <c r="BP8" s="420"/>
      <c r="BQ8" s="420"/>
      <c r="BR8" s="420"/>
      <c r="BS8" s="421"/>
      <c r="BT8" s="368" t="s">
        <v>393</v>
      </c>
      <c r="BU8" s="368"/>
      <c r="BV8" s="368"/>
      <c r="BW8" s="368"/>
      <c r="BX8" s="368"/>
      <c r="BY8" s="368"/>
      <c r="BZ8" s="368"/>
      <c r="CA8" s="368"/>
      <c r="CB8" s="368"/>
      <c r="CC8" s="368"/>
      <c r="CD8" s="368"/>
      <c r="CE8" s="368"/>
      <c r="CF8" s="368"/>
      <c r="CG8" s="368"/>
      <c r="CH8" s="368"/>
      <c r="CI8" s="368"/>
      <c r="CJ8" s="368"/>
      <c r="CK8" s="368"/>
      <c r="CL8" s="368"/>
      <c r="CM8" s="368"/>
      <c r="CN8" s="368"/>
      <c r="CO8" s="368"/>
      <c r="CP8" s="368"/>
      <c r="CQ8" s="368"/>
      <c r="CR8" s="368"/>
      <c r="CS8" s="368"/>
      <c r="CT8" s="369"/>
      <c r="CW8" s="142"/>
      <c r="CX8" s="143"/>
      <c r="CY8" s="143"/>
      <c r="CZ8" s="144"/>
      <c r="DA8" s="145"/>
      <c r="DB8" s="145"/>
      <c r="DC8" s="146"/>
    </row>
    <row r="9" spans="1:107" s="140" customFormat="1" ht="21" x14ac:dyDescent="0.35">
      <c r="C9" s="147"/>
      <c r="D9" s="148"/>
      <c r="E9" s="149"/>
      <c r="F9" s="149"/>
      <c r="G9" s="149"/>
      <c r="H9" s="149"/>
      <c r="I9" s="149"/>
      <c r="J9" s="149"/>
      <c r="K9" s="304"/>
      <c r="L9" s="409" t="s">
        <v>6</v>
      </c>
      <c r="M9" s="409"/>
      <c r="N9" s="409"/>
      <c r="O9" s="409"/>
      <c r="P9" s="410"/>
      <c r="Q9" s="411" t="s">
        <v>8</v>
      </c>
      <c r="R9" s="412"/>
      <c r="S9" s="412"/>
      <c r="T9" s="413"/>
      <c r="U9" s="414"/>
      <c r="V9" s="415" t="s">
        <v>408</v>
      </c>
      <c r="W9" s="416"/>
      <c r="X9" s="417"/>
      <c r="Y9" s="418" t="s">
        <v>409</v>
      </c>
      <c r="Z9" s="409"/>
      <c r="AA9" s="418"/>
      <c r="AB9" s="409"/>
      <c r="AC9" s="410"/>
      <c r="AD9" s="418" t="s">
        <v>4</v>
      </c>
      <c r="AE9" s="409"/>
      <c r="AF9" s="409"/>
      <c r="AG9" s="409"/>
      <c r="AH9" s="399" t="s">
        <v>1</v>
      </c>
      <c r="AI9" s="400"/>
      <c r="AJ9" s="400"/>
      <c r="AK9" s="400"/>
      <c r="AL9" s="401"/>
      <c r="AM9" s="411" t="s">
        <v>2</v>
      </c>
      <c r="AN9" s="412"/>
      <c r="AO9" s="412"/>
      <c r="AP9" s="412"/>
      <c r="AQ9" s="423"/>
      <c r="AR9" s="399" t="s">
        <v>3</v>
      </c>
      <c r="AS9" s="400"/>
      <c r="AT9" s="400"/>
      <c r="AU9" s="400"/>
      <c r="AV9" s="400"/>
      <c r="AW9" s="352" t="s">
        <v>7</v>
      </c>
      <c r="AX9" s="353"/>
      <c r="AY9" s="353"/>
      <c r="AZ9" s="353"/>
      <c r="BA9" s="399" t="s">
        <v>452</v>
      </c>
      <c r="BB9" s="400"/>
      <c r="BC9" s="400"/>
      <c r="BD9" s="400"/>
      <c r="BE9" s="401"/>
      <c r="BF9" s="399" t="s">
        <v>453</v>
      </c>
      <c r="BG9" s="400"/>
      <c r="BH9" s="352" t="s">
        <v>304</v>
      </c>
      <c r="BI9" s="353"/>
      <c r="BJ9" s="408" t="s">
        <v>410</v>
      </c>
      <c r="BK9" s="353"/>
      <c r="BL9" s="399" t="s">
        <v>46</v>
      </c>
      <c r="BM9" s="400"/>
      <c r="BN9" s="399" t="s">
        <v>411</v>
      </c>
      <c r="BO9" s="400"/>
      <c r="BP9" s="399" t="s">
        <v>412</v>
      </c>
      <c r="BQ9" s="400"/>
      <c r="BR9" s="352" t="s">
        <v>413</v>
      </c>
      <c r="BS9" s="353"/>
      <c r="BT9" s="399" t="s">
        <v>395</v>
      </c>
      <c r="BU9" s="400"/>
      <c r="BV9" s="400"/>
      <c r="BW9" s="400"/>
      <c r="BX9" s="400"/>
      <c r="BY9" s="400"/>
      <c r="BZ9" s="401"/>
      <c r="CA9" s="399" t="s">
        <v>5</v>
      </c>
      <c r="CB9" s="400"/>
      <c r="CC9" s="400"/>
      <c r="CD9" s="400"/>
      <c r="CE9" s="400"/>
      <c r="CF9" s="400"/>
      <c r="CG9" s="401"/>
      <c r="CH9" s="399" t="s">
        <v>396</v>
      </c>
      <c r="CI9" s="400"/>
      <c r="CJ9" s="400"/>
      <c r="CK9" s="400"/>
      <c r="CL9" s="400"/>
      <c r="CM9" s="400"/>
      <c r="CN9" s="401"/>
      <c r="CO9" s="402" t="s">
        <v>1</v>
      </c>
      <c r="CP9" s="403"/>
      <c r="CQ9" s="404"/>
      <c r="CR9" s="405" t="s">
        <v>3</v>
      </c>
      <c r="CS9" s="406"/>
      <c r="CT9" s="407"/>
      <c r="CW9" s="352" t="s">
        <v>30</v>
      </c>
      <c r="CX9" s="353"/>
      <c r="CY9" s="354"/>
      <c r="CZ9" s="355" t="s">
        <v>382</v>
      </c>
      <c r="DA9" s="356"/>
      <c r="DB9" s="356"/>
      <c r="DC9" s="357"/>
    </row>
    <row r="10" spans="1:107" s="140" customFormat="1" ht="16.5" thickBot="1" x14ac:dyDescent="0.3">
      <c r="A10" s="150"/>
      <c r="B10" s="150"/>
      <c r="C10" s="151" t="s">
        <v>0</v>
      </c>
      <c r="D10" s="152" t="s">
        <v>6</v>
      </c>
      <c r="E10" s="153" t="s">
        <v>402</v>
      </c>
      <c r="F10" s="153" t="s">
        <v>4</v>
      </c>
      <c r="G10" s="197" t="s">
        <v>404</v>
      </c>
      <c r="H10" s="197" t="s">
        <v>2</v>
      </c>
      <c r="I10" s="197" t="s">
        <v>3</v>
      </c>
      <c r="J10" s="197" t="s">
        <v>405</v>
      </c>
      <c r="K10" s="305" t="s">
        <v>406</v>
      </c>
      <c r="L10" s="154" t="s">
        <v>407</v>
      </c>
      <c r="M10" s="154" t="s">
        <v>391</v>
      </c>
      <c r="N10" s="154" t="s">
        <v>403</v>
      </c>
      <c r="O10" s="154" t="s">
        <v>19</v>
      </c>
      <c r="P10" s="155" t="s">
        <v>25</v>
      </c>
      <c r="Q10" s="156" t="s">
        <v>407</v>
      </c>
      <c r="R10" s="154" t="s">
        <v>391</v>
      </c>
      <c r="S10" s="154" t="s">
        <v>403</v>
      </c>
      <c r="T10" s="154" t="s">
        <v>19</v>
      </c>
      <c r="U10" s="155" t="s">
        <v>25</v>
      </c>
      <c r="V10" s="157" t="s">
        <v>407</v>
      </c>
      <c r="W10" s="154" t="s">
        <v>391</v>
      </c>
      <c r="X10" s="158" t="s">
        <v>19</v>
      </c>
      <c r="Y10" s="156" t="s">
        <v>407</v>
      </c>
      <c r="Z10" s="154" t="s">
        <v>391</v>
      </c>
      <c r="AA10" s="154" t="s">
        <v>403</v>
      </c>
      <c r="AB10" s="154" t="s">
        <v>19</v>
      </c>
      <c r="AC10" s="155" t="s">
        <v>25</v>
      </c>
      <c r="AD10" s="156" t="s">
        <v>407</v>
      </c>
      <c r="AE10" s="154" t="s">
        <v>391</v>
      </c>
      <c r="AF10" s="154" t="s">
        <v>403</v>
      </c>
      <c r="AG10" s="154" t="s">
        <v>19</v>
      </c>
      <c r="AH10" s="156" t="s">
        <v>407</v>
      </c>
      <c r="AI10" s="154" t="s">
        <v>391</v>
      </c>
      <c r="AJ10" s="154" t="s">
        <v>403</v>
      </c>
      <c r="AK10" s="154" t="s">
        <v>19</v>
      </c>
      <c r="AL10" s="155" t="s">
        <v>25</v>
      </c>
      <c r="AM10" s="156" t="s">
        <v>407</v>
      </c>
      <c r="AN10" s="154" t="s">
        <v>391</v>
      </c>
      <c r="AO10" s="154" t="s">
        <v>403</v>
      </c>
      <c r="AP10" s="154" t="s">
        <v>19</v>
      </c>
      <c r="AQ10" s="155" t="s">
        <v>25</v>
      </c>
      <c r="AR10" s="156" t="s">
        <v>407</v>
      </c>
      <c r="AS10" s="154" t="s">
        <v>391</v>
      </c>
      <c r="AT10" s="154" t="s">
        <v>403</v>
      </c>
      <c r="AU10" s="154" t="s">
        <v>19</v>
      </c>
      <c r="AV10" s="155" t="s">
        <v>25</v>
      </c>
      <c r="AW10" s="156" t="s">
        <v>407</v>
      </c>
      <c r="AX10" s="154" t="s">
        <v>391</v>
      </c>
      <c r="AY10" s="154" t="s">
        <v>403</v>
      </c>
      <c r="AZ10" s="154" t="s">
        <v>19</v>
      </c>
      <c r="BA10" s="156" t="s">
        <v>407</v>
      </c>
      <c r="BB10" s="154" t="s">
        <v>391</v>
      </c>
      <c r="BC10" s="154" t="s">
        <v>403</v>
      </c>
      <c r="BD10" s="154" t="s">
        <v>19</v>
      </c>
      <c r="BE10" s="155" t="s">
        <v>25</v>
      </c>
      <c r="BF10" s="156" t="s">
        <v>407</v>
      </c>
      <c r="BG10" s="154" t="s">
        <v>19</v>
      </c>
      <c r="BH10" s="156" t="s">
        <v>407</v>
      </c>
      <c r="BI10" s="154" t="s">
        <v>19</v>
      </c>
      <c r="BJ10" s="159" t="s">
        <v>407</v>
      </c>
      <c r="BK10" s="160" t="s">
        <v>19</v>
      </c>
      <c r="BL10" s="156" t="s">
        <v>407</v>
      </c>
      <c r="BM10" s="154" t="s">
        <v>19</v>
      </c>
      <c r="BN10" s="156" t="s">
        <v>407</v>
      </c>
      <c r="BO10" s="154" t="s">
        <v>19</v>
      </c>
      <c r="BP10" s="156" t="s">
        <v>407</v>
      </c>
      <c r="BQ10" s="154" t="s">
        <v>19</v>
      </c>
      <c r="BR10" s="156" t="s">
        <v>407</v>
      </c>
      <c r="BS10" s="154" t="s">
        <v>19</v>
      </c>
      <c r="BT10" s="156" t="s">
        <v>45</v>
      </c>
      <c r="BU10" s="154" t="s">
        <v>44</v>
      </c>
      <c r="BV10" s="154" t="s">
        <v>407</v>
      </c>
      <c r="BW10" s="154" t="s">
        <v>391</v>
      </c>
      <c r="BX10" s="154" t="s">
        <v>403</v>
      </c>
      <c r="BY10" s="154" t="s">
        <v>19</v>
      </c>
      <c r="BZ10" s="155" t="s">
        <v>25</v>
      </c>
      <c r="CA10" s="156" t="s">
        <v>45</v>
      </c>
      <c r="CB10" s="154" t="s">
        <v>44</v>
      </c>
      <c r="CC10" s="154" t="s">
        <v>407</v>
      </c>
      <c r="CD10" s="154" t="s">
        <v>391</v>
      </c>
      <c r="CE10" s="154" t="s">
        <v>403</v>
      </c>
      <c r="CF10" s="154" t="s">
        <v>19</v>
      </c>
      <c r="CG10" s="155" t="s">
        <v>25</v>
      </c>
      <c r="CH10" s="156" t="s">
        <v>45</v>
      </c>
      <c r="CI10" s="154" t="s">
        <v>44</v>
      </c>
      <c r="CJ10" s="154" t="s">
        <v>407</v>
      </c>
      <c r="CK10" s="154" t="s">
        <v>391</v>
      </c>
      <c r="CL10" s="154" t="s">
        <v>403</v>
      </c>
      <c r="CM10" s="154" t="s">
        <v>19</v>
      </c>
      <c r="CN10" s="155" t="s">
        <v>25</v>
      </c>
      <c r="CO10" s="154" t="s">
        <v>403</v>
      </c>
      <c r="CP10" s="154" t="s">
        <v>19</v>
      </c>
      <c r="CQ10" s="154" t="s">
        <v>25</v>
      </c>
      <c r="CR10" s="161" t="s">
        <v>403</v>
      </c>
      <c r="CS10" s="162" t="s">
        <v>19</v>
      </c>
      <c r="CT10" s="163" t="s">
        <v>25</v>
      </c>
      <c r="CW10" s="164" t="s">
        <v>407</v>
      </c>
      <c r="CX10" s="165" t="s">
        <v>19</v>
      </c>
      <c r="CY10" s="166" t="s">
        <v>25</v>
      </c>
      <c r="CZ10" s="167" t="s">
        <v>381</v>
      </c>
      <c r="DA10" s="168" t="s">
        <v>332</v>
      </c>
      <c r="DB10" s="168" t="s">
        <v>331</v>
      </c>
      <c r="DC10" s="169" t="s">
        <v>333</v>
      </c>
    </row>
    <row r="11" spans="1:107" x14ac:dyDescent="0.25">
      <c r="A11" s="44" t="s">
        <v>335</v>
      </c>
      <c r="B11" s="44">
        <v>2018</v>
      </c>
      <c r="C11" s="88">
        <v>1</v>
      </c>
      <c r="D11" s="89">
        <f>G11*H11</f>
        <v>7194766.2871999871</v>
      </c>
      <c r="E11" s="199">
        <f>IFERROR(D11*F11,0)</f>
        <v>4731781.3160999967</v>
      </c>
      <c r="F11" s="200">
        <f t="shared" ref="F11" si="3">IF(H11&lt;&gt;0,1-I11/H11,0)</f>
        <v>0.6576699127139376</v>
      </c>
      <c r="G11" s="198">
        <f t="shared" ref="G11:I14" si="4">IFERROR(VLOOKUP($B11 &amp; $C11&amp;G$4&amp;$A11,tblForecast,G$2,FALSE),0)</f>
        <v>229725</v>
      </c>
      <c r="H11" s="201">
        <f t="shared" si="4"/>
        <v>31.319039230384099</v>
      </c>
      <c r="I11" s="201">
        <f t="shared" si="4"/>
        <v>10.721449433453</v>
      </c>
      <c r="J11" s="198">
        <f>IFERROR(VLOOKUP($B11 &amp; $C11&amp;J$4&amp;$A11,tblForecast,J$2,FALSE),0)+IFERROR(VLOOKUP($B11 &amp; $C11 &amp; J$4 &amp; $A11,tblForecast,J$2+1,FALSE),0)</f>
        <v>8158123</v>
      </c>
      <c r="K11" s="299">
        <f>IFERROR(VLOOKUP($B11 &amp; $C11&amp;K$4&amp;$A11,tblForecast,K$2+2,FALSE),0)</f>
        <v>829879</v>
      </c>
      <c r="L11" s="170">
        <f t="shared" ref="L11:O14" si="5">Q11*AM11</f>
        <v>0</v>
      </c>
      <c r="M11" s="170">
        <f t="shared" si="5"/>
        <v>0</v>
      </c>
      <c r="N11" s="170">
        <f t="shared" si="5"/>
        <v>0</v>
      </c>
      <c r="O11" s="170">
        <f t="shared" si="5"/>
        <v>0</v>
      </c>
      <c r="P11" s="91">
        <f>IFERROR(L11/O11-1,)</f>
        <v>0</v>
      </c>
      <c r="Q11" s="238">
        <f>IFERROR(VLOOKUP($B11 &amp; $C11&amp;CompareVer,tblForecast,Q$2,FALSE),0)</f>
        <v>0</v>
      </c>
      <c r="R11" s="239">
        <f t="shared" ref="R11:S14" si="6">IFERROR(VLOOKUP($B11 &amp; $C11&amp;R$4,tblForecast,R$2,FALSE),0)</f>
        <v>0</v>
      </c>
      <c r="S11" s="239">
        <f t="shared" si="6"/>
        <v>0</v>
      </c>
      <c r="T11" s="240">
        <f>IFERROR(VLOOKUP($B11-IF(CompareVer="LY",1,0) &amp; $C11 &amp;T$4,tblForecast,T$2,FALSE),0)</f>
        <v>0</v>
      </c>
      <c r="U11" s="91">
        <f t="shared" ref="U11:U74" si="7">IFERROR(Q11/T11-1,)</f>
        <v>0</v>
      </c>
      <c r="V11" s="245">
        <v>0</v>
      </c>
      <c r="W11" s="336">
        <v>0</v>
      </c>
      <c r="X11" s="246">
        <v>0</v>
      </c>
      <c r="Y11" s="89">
        <f t="shared" ref="Y11:AB14" si="8">IFERROR(L11*AD11,0)</f>
        <v>0</v>
      </c>
      <c r="Z11" s="170">
        <f t="shared" si="8"/>
        <v>0</v>
      </c>
      <c r="AA11" s="170">
        <f t="shared" si="8"/>
        <v>0</v>
      </c>
      <c r="AB11" s="170">
        <f t="shared" si="8"/>
        <v>0</v>
      </c>
      <c r="AC11" s="212">
        <f t="shared" ref="AC11:AC74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si="10"/>
        <v>0</v>
      </c>
      <c r="AH11" s="172">
        <f>IFERROR(VLOOKUP($B11 &amp; $C11&amp;CompareVer,tblForecast,AH$2,FALSE),0)</f>
        <v>0</v>
      </c>
      <c r="AI11" s="173">
        <f t="shared" ref="AI11:AJ14" si="11">IFERROR(VLOOKUP($B11 &amp; $C11&amp;AI$4,tblForecast,AI$2,FALSE),0)</f>
        <v>0</v>
      </c>
      <c r="AJ11" s="173">
        <f t="shared" si="11"/>
        <v>0</v>
      </c>
      <c r="AK11" s="173">
        <f>IFERROR(VLOOKUP($B11-IF(CompareVer="LY",1,0) &amp; $C11 &amp;AK$4,tblForecast,AK$2,FALSE),0)</f>
        <v>0</v>
      </c>
      <c r="AL11" s="212">
        <f t="shared" ref="AL11:AL26" si="12">IFERROR(AH11/AK11-1,)</f>
        <v>0</v>
      </c>
      <c r="AM11" s="172">
        <f>IFERROR(VLOOKUP($B11 &amp; $C11&amp;CompareVer,tblForecast,AM$2,FALSE),0)</f>
        <v>0</v>
      </c>
      <c r="AN11" s="173">
        <f t="shared" ref="AN11:AO14" si="13">IFERROR(VLOOKUP($B11 &amp; $C11&amp;AN$4,tblForecast,AN$2,FALSE),0)</f>
        <v>0</v>
      </c>
      <c r="AO11" s="173">
        <f t="shared" si="13"/>
        <v>0</v>
      </c>
      <c r="AP11" s="173">
        <f>IFERROR(VLOOKUP($B11-IF(CompareVer="LY",1,0) &amp; $C11 &amp;AP$4,tblForecast,AP$2,FALSE),0)</f>
        <v>0</v>
      </c>
      <c r="AQ11" s="212">
        <f t="shared" ref="AQ11:AQ74" si="14">IFERROR(AM11/AP11-1,)</f>
        <v>0</v>
      </c>
      <c r="AR11" s="172">
        <f>IFERROR(VLOOKUP($B11 &amp; $C11&amp;CompareVer,tblForecast,AR$2,FALSE),0)</f>
        <v>0</v>
      </c>
      <c r="AS11" s="173">
        <f t="shared" ref="AS11:AT14" si="15">IFERROR(VLOOKUP($B11 &amp; $C11&amp;AS$4,tblForecast,AS$2,FALSE),0)</f>
        <v>0</v>
      </c>
      <c r="AT11" s="173">
        <f t="shared" si="15"/>
        <v>0</v>
      </c>
      <c r="AU11" s="173">
        <f>IFERROR(VLOOKUP($B11-IF(CompareVer="LY",1,0) &amp; $C11 &amp;AU$4,tblForecast,AU$2,FALSE),0)</f>
        <v>0</v>
      </c>
      <c r="AV11" s="212">
        <f t="shared" ref="AV11:AV74" si="16">IFERROR(AR11/AU11-1,)</f>
        <v>0</v>
      </c>
      <c r="AW11" s="174">
        <f t="shared" ref="AW11:AZ26" si="17">IFERROR((AM11/AH11-1)*-1,0)</f>
        <v>0</v>
      </c>
      <c r="AX11" s="175">
        <f t="shared" si="17"/>
        <v>0</v>
      </c>
      <c r="AY11" s="175">
        <f t="shared" si="17"/>
        <v>0</v>
      </c>
      <c r="AZ11" s="175">
        <f t="shared" si="17"/>
        <v>0</v>
      </c>
      <c r="BA11" s="227">
        <f>CW11+BF11</f>
        <v>0</v>
      </c>
      <c r="BB11" s="228">
        <f>IF(IFERROR(VLOOKUP($B11 &amp; $C11&amp;BB$4,tblForecast,BB$2,FALSE),0)=0,BA11,IFERROR(VLOOKUP($B11 &amp; $C11&amp;BB$4,tblForecast,BB$2,FALSE),0))</f>
        <v>0</v>
      </c>
      <c r="BC11" s="228">
        <f t="shared" ref="BC11:BC14" si="18">IFERROR(VLOOKUP($B11 &amp; $C11&amp;BC$4,tblForecast,BC$2,FALSE),0)</f>
        <v>0</v>
      </c>
      <c r="BD11" s="228">
        <f>CX11+BG11</f>
        <v>-2</v>
      </c>
      <c r="BE11" s="177">
        <f t="shared" ref="BE11:BE74" si="19">IFERROR(BA11/BD11-1,)</f>
        <v>-1</v>
      </c>
      <c r="BF11" s="228">
        <f>IFERROR(VLOOKUP($B11 &amp; $C11&amp;CompareVer,tblForecast,BF$2,FALSE),0)</f>
        <v>0</v>
      </c>
      <c r="BG11" s="228">
        <f>IFERROR(VLOOKUP($B11-IF(CompareVer="LY",1,0) &amp; $C11 &amp;BG$4,tblForecast,BG$2,FALSE),0)</f>
        <v>0</v>
      </c>
      <c r="BH11" s="179">
        <f>IF(Q11&lt;&gt;0,BA11/Q11,0)</f>
        <v>0</v>
      </c>
      <c r="BI11" s="180">
        <f>IF(T11&lt;&gt;0,BD11/T11,0)</f>
        <v>0</v>
      </c>
      <c r="BJ11" s="95">
        <f t="shared" ref="BJ11:BJ25" si="20">IF(BA11&lt;&gt;0,Q11/BA11,0)</f>
        <v>0</v>
      </c>
      <c r="BK11" s="96">
        <f t="shared" ref="BK11:BK25" si="21">IF(BD11&lt;&gt;0,T11/BD11,0)</f>
        <v>0</v>
      </c>
      <c r="BL11" s="227">
        <f>IFERROR(VLOOKUP($B11 &amp; $C11&amp;CompareVer,tblForecast,BL$2,FALSE),0)</f>
        <v>0</v>
      </c>
      <c r="BM11" s="228">
        <f>IFERROR(VLOOKUP($B11-IF(CompareVer="LY",1,0) &amp; $C11 &amp;BM$4,tblForecast,BM$2,FALSE),0)</f>
        <v>0</v>
      </c>
      <c r="BN11" s="227">
        <f>IFERROR(VLOOKUP($B11 &amp; $C11&amp;CompareVer,tblForecast,BN$2,FALSE),0)</f>
        <v>0</v>
      </c>
      <c r="BO11" s="228">
        <f>IFERROR(VLOOKUP($B11-IF(CompareVer="LY",1,0) &amp; $C11 &amp;BO$4,tblForecast,BO$2,FALSE),0)</f>
        <v>0</v>
      </c>
      <c r="BP11" s="227">
        <f>IFERROR(VLOOKUP($B11 &amp; $C11&amp;CompareVer,tblForecast,BP$2,FALSE),0)</f>
        <v>0</v>
      </c>
      <c r="BQ11" s="228">
        <f>IFERROR(VLOOKUP($B11-IF(CompareVer="LY",1,0) &amp; $C11 &amp;BQ$4,tblForecast,BQ$2,FALSE),0)</f>
        <v>0</v>
      </c>
      <c r="BR11" s="227">
        <f>BN11-BP11</f>
        <v>0</v>
      </c>
      <c r="BS11" s="228">
        <f t="shared" ref="BS11:BS74" si="22">BO11-BQ11</f>
        <v>0</v>
      </c>
      <c r="BT11" s="227">
        <f t="shared" ref="BT11:BU14" si="23">IFERROR(VLOOKUP($B11 &amp; $C11&amp;BT$4,tblForecast,BT$2,FALSE),0)</f>
        <v>0</v>
      </c>
      <c r="BU11" s="228">
        <f t="shared" si="23"/>
        <v>0</v>
      </c>
      <c r="BV11" s="228">
        <f>IFERROR(VLOOKUP($B11 &amp; $C11&amp;CompareVer,tblForecast,BV$2,FALSE),0)</f>
        <v>0</v>
      </c>
      <c r="BW11" s="228">
        <f t="shared" ref="BW11:BX14" si="24">IFERROR(VLOOKUP($B11 &amp; $C11&amp;BW$4,tblForecast,BW$2,FALSE),0)</f>
        <v>0</v>
      </c>
      <c r="BX11" s="228">
        <f t="shared" si="24"/>
        <v>0</v>
      </c>
      <c r="BY11" s="176">
        <f>IFERROR(VLOOKUP($B11-IF(CompareVer="LY",1,0) &amp; $C11 &amp;BY$4,tblForecast,BY$2,FALSE),0)</f>
        <v>0</v>
      </c>
      <c r="BZ11" s="177">
        <f t="shared" ref="BZ11:BZ74" si="25">IFERROR(BV11/BY11-1,)</f>
        <v>0</v>
      </c>
      <c r="CA11" s="170">
        <f t="shared" ref="CA11:CB14" si="26">IFERROR(VLOOKUP($B11 &amp; $C11&amp;CA$4,tblForecast,CA$2,FALSE),0)</f>
        <v>0</v>
      </c>
      <c r="CB11" s="170">
        <f t="shared" si="26"/>
        <v>0</v>
      </c>
      <c r="CC11" s="170">
        <f>IFERROR(VLOOKUP($B11 &amp; $C11&amp;CompareVer,tblForecast,CC$2,FALSE),0)</f>
        <v>0</v>
      </c>
      <c r="CD11" s="170">
        <f t="shared" ref="CD11:CE14" si="27">IFERROR(VLOOKUP($B11 &amp; $C11&amp;CD$4,tblForecast,CD$2,FALSE),0)</f>
        <v>0</v>
      </c>
      <c r="CE11" s="170">
        <f t="shared" si="27"/>
        <v>0</v>
      </c>
      <c r="CF11" s="170">
        <f>IFERROR(VLOOKUP($B11-IF(CompareVer="LY",1,0) &amp; $C11 &amp;CF$4,tblForecast,CF$2,FALSE),0)</f>
        <v>0</v>
      </c>
      <c r="CG11" s="177">
        <f t="shared" ref="CG11:CG74" si="28">IFERROR(CC11/CF11-1,)</f>
        <v>0</v>
      </c>
      <c r="CH11" s="170">
        <f t="shared" ref="CH11:CI14" si="29">IFERROR(VLOOKUP($B11 &amp; $C11&amp;CH$4,tblForecast,CH$2,FALSE),0)</f>
        <v>0</v>
      </c>
      <c r="CI11" s="170">
        <f t="shared" si="29"/>
        <v>0</v>
      </c>
      <c r="CJ11" s="170">
        <f>IFERROR(VLOOKUP($B11 &amp; $C11&amp;CompareVer,tblForecast,CJ$2,FALSE),0)</f>
        <v>0</v>
      </c>
      <c r="CK11" s="170">
        <f t="shared" ref="CK11:CL14" si="30">IFERROR(VLOOKUP($B11 &amp; $C11&amp;CK$4,tblForecast,CK$2,FALSE),0)</f>
        <v>0</v>
      </c>
      <c r="CL11" s="170">
        <f t="shared" si="30"/>
        <v>0</v>
      </c>
      <c r="CM11" s="170">
        <f>IFERROR(VLOOKUP($B11-IF(CompareVer="LY",1,0) &amp; $C11 &amp;CM$4,tblForecast,CM$2,FALSE),0)</f>
        <v>0</v>
      </c>
      <c r="CN11" s="177">
        <f t="shared" ref="CN11:CN74" si="31">IFERROR(CJ11/CM11-1,)</f>
        <v>0</v>
      </c>
      <c r="CO11" s="178">
        <f t="shared" ref="CO11:CP26" si="32">IFERROR(CE11/BX11,0)</f>
        <v>0</v>
      </c>
      <c r="CP11" s="223">
        <f t="shared" si="32"/>
        <v>0</v>
      </c>
      <c r="CQ11" s="177">
        <f t="shared" ref="CQ11:CQ74" si="33">IFERROR(CL11/CP11-1,)</f>
        <v>0</v>
      </c>
      <c r="CR11" s="178">
        <f>IFERROR(CL11/BX11,0)</f>
        <v>0</v>
      </c>
      <c r="CS11" s="223">
        <f t="shared" ref="CS11:CS74" si="34">IFERROR(CM11/BY11,0)</f>
        <v>0</v>
      </c>
      <c r="CT11" s="177">
        <f t="shared" ref="CT11:CT12" si="35">IFERROR(CO11/CS11-1,)</f>
        <v>0</v>
      </c>
      <c r="CU11" s="44"/>
      <c r="CV11" s="44"/>
      <c r="CW11" s="227">
        <f>IFERROR(VLOOKUP($B11 &amp; $C11&amp;CompareVer,tblForecast,CW$2,FALSE),0)</f>
        <v>0</v>
      </c>
      <c r="CX11" s="92">
        <f>IFERROR(VLOOKUP($B11-IF(CompareVer="LY",1,0) &amp; $C11 &amp;CX$4,tblForecast,CX$2,FALSE),0)</f>
        <v>-2</v>
      </c>
      <c r="CY11" s="91">
        <f t="shared" ref="CY11:CY74" si="36">IFERROR(CW11/CX11-1,)</f>
        <v>-1</v>
      </c>
      <c r="CZ11" s="278">
        <f>IFERROR(VLOOKUP(Brand&amp;Channel&amp;Country&amp;$C11,tblDiscount,6,FALSE),0)</f>
        <v>0.3</v>
      </c>
      <c r="DA11" s="279">
        <f>(1-CZ11)*DB11</f>
        <v>17.513999999999999</v>
      </c>
      <c r="DB11" s="279">
        <f>IFERROR(VLOOKUP(Brand&amp;Country &amp; Channel &amp; FC,tblFCSettings,8,FALSE),0)</f>
        <v>25.02</v>
      </c>
      <c r="DC11" s="280">
        <f>IFERROR(VLOOKUP(Brand&amp;Country &amp; Channel&amp;FC,tblFCSettings,9,FALSE),0)</f>
        <v>4.16</v>
      </c>
    </row>
    <row r="12" spans="1:107" x14ac:dyDescent="0.25">
      <c r="A12" s="44" t="s">
        <v>335</v>
      </c>
      <c r="B12" s="44">
        <v>2018</v>
      </c>
      <c r="C12" s="88">
        <v>2</v>
      </c>
      <c r="D12" s="97">
        <f t="shared" ref="D12:D14" si="37">G12*H12</f>
        <v>9286858.3831999823</v>
      </c>
      <c r="E12" s="202">
        <f t="shared" ref="E12:E14" si="38">IFERROR(D12*F12,0)</f>
        <v>6383244.4163999828</v>
      </c>
      <c r="F12" s="182">
        <f>IF(H12&lt;&gt;0,1-I12/H12,0)</f>
        <v>0.68734163406080728</v>
      </c>
      <c r="G12" s="176">
        <f t="shared" si="4"/>
        <v>293123</v>
      </c>
      <c r="H12" s="203">
        <f t="shared" si="4"/>
        <v>31.6824622537296</v>
      </c>
      <c r="I12" s="203">
        <f t="shared" si="4"/>
        <v>9.9057868771812494</v>
      </c>
      <c r="J12" s="176">
        <f>IFERROR(VLOOKUP($B12 &amp; $C12&amp;J$4&amp;$A12,tblForecast,J$2,FALSE),0)+IFERROR(VLOOKUP($B12 &amp; $C12 &amp; J$4 &amp; $A12,tblForecast,J$2+1,FALSE),0)</f>
        <v>8735010</v>
      </c>
      <c r="K12" s="300">
        <f>IFERROR(VLOOKUP($B12 &amp; $C12&amp;K$4&amp;$A12,tblForecast,K$2+2,FALSE),0)</f>
        <v>930840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si="5"/>
        <v>0</v>
      </c>
      <c r="P12" s="91">
        <f t="shared" ref="P12:P75" si="39">IFERROR(L12/O12-1,)</f>
        <v>0</v>
      </c>
      <c r="Q12" s="238">
        <f>IFERROR(VLOOKUP($B12 &amp; $C12&amp;CompareVer,tblForecast,Q$2,FALSE),0)</f>
        <v>0</v>
      </c>
      <c r="R12" s="240">
        <f t="shared" si="6"/>
        <v>0</v>
      </c>
      <c r="S12" s="240">
        <f t="shared" si="6"/>
        <v>0</v>
      </c>
      <c r="T12" s="240">
        <f>IFERROR(VLOOKUP($B12-IF(CompareVer="LY",1,0) &amp; $C12 &amp;T$4,tblForecast,T$2,FALSE),0)</f>
        <v>0</v>
      </c>
      <c r="U12" s="91">
        <f t="shared" si="7"/>
        <v>0</v>
      </c>
      <c r="V12" s="245">
        <f t="shared" ref="V12:W14" si="40">IFERROR(IF(Q11&lt;&gt;0,Q12/Q11,0),0)</f>
        <v>0</v>
      </c>
      <c r="W12" s="331">
        <f t="shared" si="40"/>
        <v>0</v>
      </c>
      <c r="X12" s="246">
        <f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si="8"/>
        <v>0</v>
      </c>
      <c r="AC12" s="91">
        <f t="shared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si="10"/>
        <v>0</v>
      </c>
      <c r="AH12" s="104">
        <f>IFERROR(VLOOKUP($B12 &amp; $C12&amp;CompareVer,tblForecast,AH$2,FALSE),0)</f>
        <v>0</v>
      </c>
      <c r="AI12" s="94">
        <f t="shared" si="11"/>
        <v>0</v>
      </c>
      <c r="AJ12" s="94">
        <f t="shared" si="11"/>
        <v>0</v>
      </c>
      <c r="AK12" s="94">
        <f>IFERROR(VLOOKUP($B12-IF(CompareVer="LY",1,0) &amp; $C12 &amp;AK$4,tblForecast,AK$2,FALSE),0)</f>
        <v>0</v>
      </c>
      <c r="AL12" s="91">
        <f t="shared" si="12"/>
        <v>0</v>
      </c>
      <c r="AM12" s="104">
        <f>IFERROR(VLOOKUP($B12 &amp; $C12&amp;CompareVer,tblForecast,AM$2,FALSE),0)</f>
        <v>0</v>
      </c>
      <c r="AN12" s="94">
        <f t="shared" si="13"/>
        <v>0</v>
      </c>
      <c r="AO12" s="94">
        <f t="shared" si="13"/>
        <v>0</v>
      </c>
      <c r="AP12" s="94">
        <f>IFERROR(VLOOKUP($B12-IF(CompareVer="LY",1,0) &amp; $C12 &amp;AP$4,tblForecast,AP$2,FALSE),0)</f>
        <v>0</v>
      </c>
      <c r="AQ12" s="91">
        <f t="shared" si="14"/>
        <v>0</v>
      </c>
      <c r="AR12" s="104">
        <f>IFERROR(VLOOKUP($B12 &amp; $C12&amp;CompareVer,tblForecast,AR$2,FALSE),0)</f>
        <v>0</v>
      </c>
      <c r="AS12" s="94">
        <f t="shared" si="15"/>
        <v>0</v>
      </c>
      <c r="AT12" s="94">
        <f t="shared" si="15"/>
        <v>0</v>
      </c>
      <c r="AU12" s="94">
        <f>IFERROR(VLOOKUP($B12-IF(CompareVer="LY",1,0) &amp; $C12 &amp;AU$4,tblForecast,AU$2,FALSE),0)</f>
        <v>0</v>
      </c>
      <c r="AV12" s="91">
        <f t="shared" si="16"/>
        <v>0</v>
      </c>
      <c r="AW12" s="181">
        <f t="shared" si="17"/>
        <v>0</v>
      </c>
      <c r="AX12" s="182">
        <f t="shared" si="17"/>
        <v>0</v>
      </c>
      <c r="AY12" s="182">
        <f t="shared" si="17"/>
        <v>0</v>
      </c>
      <c r="AZ12" s="182">
        <f t="shared" si="17"/>
        <v>0</v>
      </c>
      <c r="BA12" s="227">
        <f t="shared" ref="BA12:BA14" si="41">CW12+BF12</f>
        <v>0</v>
      </c>
      <c r="BB12" s="228">
        <f>IF(IFERROR(VLOOKUP($B12 &amp; $C12&amp;BB$4,tblForecast,BB$2,FALSE),0)=0,BA12,IFERROR(VLOOKUP($B12 &amp; $C12&amp;BB$4,tblForecast,BB$2,FALSE),0))</f>
        <v>0</v>
      </c>
      <c r="BC12" s="228">
        <f t="shared" si="18"/>
        <v>0</v>
      </c>
      <c r="BD12" s="228">
        <f t="shared" ref="BD12:BD14" si="42">CX12+BG12</f>
        <v>-2</v>
      </c>
      <c r="BE12" s="177">
        <f t="shared" si="19"/>
        <v>-1</v>
      </c>
      <c r="BF12" s="228">
        <f>IFERROR(VLOOKUP($B12 &amp; $C12&amp;CompareVer,tblForecast,BF$2,FALSE),0)</f>
        <v>0</v>
      </c>
      <c r="BG12" s="228">
        <f>IFERROR(VLOOKUP($B12-IF(CompareVer="LY",1,0) &amp; $C12 &amp;BG$4,tblForecast,BG$2,FALSE),0)</f>
        <v>0</v>
      </c>
      <c r="BH12" s="179">
        <f>IF(Q12&lt;&gt;0,BA12/Q12,0)</f>
        <v>0</v>
      </c>
      <c r="BI12" s="183">
        <f>IF(T12&lt;&gt;0,BD12/T12,0)</f>
        <v>0</v>
      </c>
      <c r="BJ12" s="184">
        <f t="shared" si="20"/>
        <v>0</v>
      </c>
      <c r="BK12" s="96">
        <f t="shared" si="21"/>
        <v>0</v>
      </c>
      <c r="BL12" s="227">
        <f>IFERROR(VLOOKUP($B12 &amp; $C12&amp;CompareVer,tblForecast,BL$2,FALSE),0)</f>
        <v>0</v>
      </c>
      <c r="BM12" s="228">
        <f>IFERROR(VLOOKUP($B12-IF(CompareVer="LY",1,0) &amp; $C12 &amp;BM$4,tblForecast,BM$2,FALSE),0)</f>
        <v>0</v>
      </c>
      <c r="BN12" s="227">
        <f>IFERROR(VLOOKUP($B12 &amp; $C12&amp;CompareVer,tblForecast,BN$2,FALSE),0)</f>
        <v>0</v>
      </c>
      <c r="BO12" s="228">
        <f>IFERROR(VLOOKUP($B12-IF(CompareVer="LY",1,0) &amp; $C12 &amp;BO$4,tblForecast,BO$2,FALSE),0)</f>
        <v>0</v>
      </c>
      <c r="BP12" s="227">
        <f>IFERROR(VLOOKUP($B12 &amp; $C12&amp;CompareVer,tblForecast,BP$2,FALSE),0)</f>
        <v>0</v>
      </c>
      <c r="BQ12" s="228">
        <f>IFERROR(VLOOKUP($B12-IF(CompareVer="LY",1,0) &amp; $C12 &amp;BQ$4,tblForecast,BQ$2,FALSE),0)</f>
        <v>0</v>
      </c>
      <c r="BR12" s="227">
        <f t="shared" ref="BR12:BS75" si="43">BN12-BP12</f>
        <v>0</v>
      </c>
      <c r="BS12" s="228">
        <f t="shared" si="22"/>
        <v>0</v>
      </c>
      <c r="BT12" s="227">
        <f t="shared" si="23"/>
        <v>0</v>
      </c>
      <c r="BU12" s="228">
        <f t="shared" si="23"/>
        <v>0</v>
      </c>
      <c r="BV12" s="228">
        <f>IFERROR(VLOOKUP($B12 &amp; $C12&amp;CompareVer,tblForecast,BV$2,FALSE),0)</f>
        <v>0</v>
      </c>
      <c r="BW12" s="228">
        <f t="shared" si="24"/>
        <v>0</v>
      </c>
      <c r="BX12" s="228">
        <f t="shared" si="24"/>
        <v>0</v>
      </c>
      <c r="BY12" s="176">
        <f>IFERROR(VLOOKUP($B12-IF(CompareVer="LY",1,0) &amp; $C12 &amp;BY$4,tblForecast,BY$2,FALSE),0)</f>
        <v>0</v>
      </c>
      <c r="BZ12" s="177">
        <f t="shared" si="25"/>
        <v>0</v>
      </c>
      <c r="CA12" s="90">
        <f t="shared" si="26"/>
        <v>0</v>
      </c>
      <c r="CB12" s="90">
        <f t="shared" si="26"/>
        <v>0</v>
      </c>
      <c r="CC12" s="90">
        <f>IFERROR(VLOOKUP($B12 &amp; $C12&amp;CompareVer,tblForecast,CC$2,FALSE),0)</f>
        <v>0</v>
      </c>
      <c r="CD12" s="90">
        <f t="shared" si="27"/>
        <v>0</v>
      </c>
      <c r="CE12" s="90">
        <f t="shared" si="27"/>
        <v>0</v>
      </c>
      <c r="CF12" s="90">
        <f>IFERROR(VLOOKUP($B12-IF(CompareVer="LY",1,0) &amp; $C12 &amp;CF$4,tblForecast,CF$2,FALSE),0)</f>
        <v>0</v>
      </c>
      <c r="CG12" s="177">
        <f t="shared" si="28"/>
        <v>0</v>
      </c>
      <c r="CH12" s="90">
        <f t="shared" si="29"/>
        <v>0</v>
      </c>
      <c r="CI12" s="90">
        <f t="shared" si="29"/>
        <v>0</v>
      </c>
      <c r="CJ12" s="90">
        <f>IFERROR(VLOOKUP($B12 &amp; $C12&amp;CompareVer,tblForecast,CJ$2,FALSE),0)</f>
        <v>0</v>
      </c>
      <c r="CK12" s="90">
        <f t="shared" si="30"/>
        <v>0</v>
      </c>
      <c r="CL12" s="90">
        <f t="shared" si="30"/>
        <v>0</v>
      </c>
      <c r="CM12" s="90">
        <f>IFERROR(VLOOKUP($B12-IF(CompareVer="LY",1,0) &amp; $C12 &amp;CM$4,tblForecast,CM$2,FALSE),0)</f>
        <v>0</v>
      </c>
      <c r="CN12" s="177">
        <f t="shared" si="31"/>
        <v>0</v>
      </c>
      <c r="CO12" s="178">
        <f t="shared" si="32"/>
        <v>0</v>
      </c>
      <c r="CP12" s="223">
        <f t="shared" si="32"/>
        <v>0</v>
      </c>
      <c r="CQ12" s="177">
        <f t="shared" si="33"/>
        <v>0</v>
      </c>
      <c r="CR12" s="178">
        <f t="shared" ref="CR12:CS75" si="44">IFERROR(CL12/BX12,0)</f>
        <v>0</v>
      </c>
      <c r="CS12" s="223">
        <f t="shared" si="34"/>
        <v>0</v>
      </c>
      <c r="CT12" s="177">
        <f t="shared" si="35"/>
        <v>0</v>
      </c>
      <c r="CU12" s="44"/>
      <c r="CV12" s="44"/>
      <c r="CW12" s="103">
        <f>IFERROR(VLOOKUP($B12 &amp; $C12&amp;CompareVer,tblForecast,CW$2,FALSE),0)</f>
        <v>0</v>
      </c>
      <c r="CX12" s="92">
        <f>IFERROR(VLOOKUP($B12-IF(CompareVer="LY",1,0) &amp; $C12 &amp;CX$4,tblForecast,CX$2,FALSE),0)</f>
        <v>-2</v>
      </c>
      <c r="CY12" s="91">
        <f t="shared" si="36"/>
        <v>-1</v>
      </c>
      <c r="CZ12" s="278">
        <f>IFERROR(VLOOKUP(Brand&amp;Channel&amp;Country&amp;$C12,tblDiscount,6,FALSE),0)</f>
        <v>0.3</v>
      </c>
      <c r="DA12" s="279">
        <f>(1-CZ12)*DB12</f>
        <v>17.513999999999999</v>
      </c>
      <c r="DB12" s="279">
        <f>IFERROR(VLOOKUP(Brand&amp;Country &amp; Channel &amp; FC,tblFCSettings,8,FALSE),0)</f>
        <v>25.02</v>
      </c>
      <c r="DC12" s="280">
        <f>IFERROR(VLOOKUP(Brand&amp;Country &amp; Channel&amp;FC,tblFCSettings,9,FALSE),0)</f>
        <v>4.16</v>
      </c>
    </row>
    <row r="13" spans="1:107" x14ac:dyDescent="0.25">
      <c r="A13" s="44" t="s">
        <v>335</v>
      </c>
      <c r="B13" s="44">
        <v>2018</v>
      </c>
      <c r="C13" s="88">
        <v>3</v>
      </c>
      <c r="D13" s="97">
        <f t="shared" si="37"/>
        <v>17693591.118399989</v>
      </c>
      <c r="E13" s="202">
        <f t="shared" si="38"/>
        <v>14301687.505199989</v>
      </c>
      <c r="F13" s="182">
        <f t="shared" ref="F13:F76" si="45">IF(H13&lt;&gt;0,1-I13/H13,0)</f>
        <v>0.8082976151928436</v>
      </c>
      <c r="G13" s="176">
        <f t="shared" si="4"/>
        <v>370224</v>
      </c>
      <c r="H13" s="203">
        <f t="shared" si="4"/>
        <v>47.791583253381702</v>
      </c>
      <c r="I13" s="203">
        <f t="shared" si="4"/>
        <v>9.1617604833830306</v>
      </c>
      <c r="J13" s="176">
        <f>IFERROR(VLOOKUP($B13 &amp; $C13&amp;J$4&amp;$A13,tblForecast,J$2,FALSE),0)+IFERROR(VLOOKUP($B13 &amp; $C13 &amp; J$4 &amp; $A13,tblForecast,J$2+1,FALSE),0)</f>
        <v>8446460</v>
      </c>
      <c r="K13" s="300">
        <f>IFERROR(VLOOKUP($B13 &amp; $C13&amp;K$4&amp;$A13,tblForecast,K$2+2,FALSE),0)</f>
        <v>107688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si="5"/>
        <v>0</v>
      </c>
      <c r="P13" s="91">
        <f t="shared" si="39"/>
        <v>0</v>
      </c>
      <c r="Q13" s="238">
        <f>IFERROR(VLOOKUP($B13 &amp; $C13&amp;CompareVer,tblForecast,Q$2,FALSE),0)</f>
        <v>0</v>
      </c>
      <c r="R13" s="240">
        <f t="shared" si="6"/>
        <v>0</v>
      </c>
      <c r="S13" s="240">
        <f t="shared" si="6"/>
        <v>0</v>
      </c>
      <c r="T13" s="240">
        <f>IFERROR(VLOOKUP($B13-IF(CompareVer="LY",1,0) &amp; $C13 &amp;T$4,tblForecast,T$2,FALSE),0)</f>
        <v>0</v>
      </c>
      <c r="U13" s="91">
        <f t="shared" si="7"/>
        <v>0</v>
      </c>
      <c r="V13" s="245">
        <f t="shared" si="40"/>
        <v>0</v>
      </c>
      <c r="W13" s="331">
        <f t="shared" si="40"/>
        <v>0</v>
      </c>
      <c r="X13" s="246">
        <f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si="8"/>
        <v>0</v>
      </c>
      <c r="AC13" s="91">
        <f t="shared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si="10"/>
        <v>0</v>
      </c>
      <c r="AH13" s="104">
        <f>IFERROR(VLOOKUP($B13 &amp; $C13&amp;CompareVer,tblForecast,AH$2,FALSE),0)</f>
        <v>0</v>
      </c>
      <c r="AI13" s="94">
        <f t="shared" si="11"/>
        <v>0</v>
      </c>
      <c r="AJ13" s="94">
        <f t="shared" si="11"/>
        <v>0</v>
      </c>
      <c r="AK13" s="94">
        <f>IFERROR(VLOOKUP($B13-IF(CompareVer="LY",1,0) &amp; $C13 &amp;AK$4,tblForecast,AK$2,FALSE),0)</f>
        <v>0</v>
      </c>
      <c r="AL13" s="91">
        <f t="shared" si="12"/>
        <v>0</v>
      </c>
      <c r="AM13" s="104">
        <f>IFERROR(VLOOKUP($B13 &amp; $C13&amp;CompareVer,tblForecast,AM$2,FALSE),0)</f>
        <v>0</v>
      </c>
      <c r="AN13" s="94">
        <f t="shared" si="13"/>
        <v>0</v>
      </c>
      <c r="AO13" s="94">
        <f t="shared" si="13"/>
        <v>0</v>
      </c>
      <c r="AP13" s="94">
        <f>IFERROR(VLOOKUP($B13-IF(CompareVer="LY",1,0) &amp; $C13 &amp;AP$4,tblForecast,AP$2,FALSE),0)</f>
        <v>0</v>
      </c>
      <c r="AQ13" s="91">
        <f t="shared" si="14"/>
        <v>0</v>
      </c>
      <c r="AR13" s="104">
        <f>IFERROR(VLOOKUP($B13 &amp; $C13&amp;CompareVer,tblForecast,AR$2,FALSE),0)</f>
        <v>0</v>
      </c>
      <c r="AS13" s="94">
        <f t="shared" si="15"/>
        <v>0</v>
      </c>
      <c r="AT13" s="94">
        <f t="shared" si="15"/>
        <v>0</v>
      </c>
      <c r="AU13" s="94">
        <f>IFERROR(VLOOKUP($B13-IF(CompareVer="LY",1,0) &amp; $C13 &amp;AU$4,tblForecast,AU$2,FALSE),0)</f>
        <v>0</v>
      </c>
      <c r="AV13" s="91">
        <f t="shared" si="16"/>
        <v>0</v>
      </c>
      <c r="AW13" s="181">
        <f t="shared" si="17"/>
        <v>0</v>
      </c>
      <c r="AX13" s="182">
        <f t="shared" si="17"/>
        <v>0</v>
      </c>
      <c r="AY13" s="182">
        <f t="shared" si="17"/>
        <v>0</v>
      </c>
      <c r="AZ13" s="182">
        <f t="shared" si="17"/>
        <v>0</v>
      </c>
      <c r="BA13" s="227">
        <f t="shared" si="41"/>
        <v>0</v>
      </c>
      <c r="BB13" s="228">
        <f>IF(IFERROR(VLOOKUP($B13 &amp; $C13&amp;BB$4,tblForecast,BB$2,FALSE),0)=0,BA13,IFERROR(VLOOKUP($B13 &amp; $C13&amp;BB$4,tblForecast,BB$2,FALSE),0))</f>
        <v>0</v>
      </c>
      <c r="BC13" s="228">
        <f t="shared" si="18"/>
        <v>0</v>
      </c>
      <c r="BD13" s="228">
        <f t="shared" si="42"/>
        <v>-2</v>
      </c>
      <c r="BE13" s="177">
        <f t="shared" si="19"/>
        <v>-1</v>
      </c>
      <c r="BF13" s="228">
        <f>IFERROR(VLOOKUP($B13 &amp; $C13&amp;CompareVer,tblForecast,BF$2,FALSE),0)</f>
        <v>0</v>
      </c>
      <c r="BG13" s="228">
        <f>IFERROR(VLOOKUP($B13-IF(CompareVer="LY",1,0) &amp; $C13 &amp;BG$4,tblForecast,BG$2,FALSE),0)</f>
        <v>0</v>
      </c>
      <c r="BH13" s="179">
        <f>IF(Q13&lt;&gt;0,BA13/Q13,0)</f>
        <v>0</v>
      </c>
      <c r="BI13" s="183">
        <f>IF(T13&lt;&gt;0,BD13/T13,0)</f>
        <v>0</v>
      </c>
      <c r="BJ13" s="184">
        <f t="shared" si="20"/>
        <v>0</v>
      </c>
      <c r="BK13" s="96">
        <f t="shared" si="21"/>
        <v>0</v>
      </c>
      <c r="BL13" s="227">
        <f>IFERROR(VLOOKUP($B13 &amp; $C13&amp;CompareVer,tblForecast,BL$2,FALSE),0)</f>
        <v>0</v>
      </c>
      <c r="BM13" s="228">
        <f>IFERROR(VLOOKUP($B13-IF(CompareVer="LY",1,0) &amp; $C13 &amp;BM$4,tblForecast,BM$2,FALSE),0)</f>
        <v>0</v>
      </c>
      <c r="BN13" s="227">
        <f>IFERROR(VLOOKUP($B13 &amp; $C13&amp;CompareVer,tblForecast,BN$2,FALSE),0)</f>
        <v>0</v>
      </c>
      <c r="BO13" s="228">
        <f>IFERROR(VLOOKUP($B13-IF(CompareVer="LY",1,0) &amp; $C13 &amp;BO$4,tblForecast,BO$2,FALSE),0)</f>
        <v>0</v>
      </c>
      <c r="BP13" s="227">
        <f>IFERROR(VLOOKUP($B13 &amp; $C13&amp;CompareVer,tblForecast,BP$2,FALSE),0)</f>
        <v>0</v>
      </c>
      <c r="BQ13" s="228">
        <f>IFERROR(VLOOKUP($B13-IF(CompareVer="LY",1,0) &amp; $C13 &amp;BQ$4,tblForecast,BQ$2,FALSE),0)</f>
        <v>0</v>
      </c>
      <c r="BR13" s="227">
        <f t="shared" si="43"/>
        <v>0</v>
      </c>
      <c r="BS13" s="228">
        <f t="shared" si="22"/>
        <v>0</v>
      </c>
      <c r="BT13" s="227">
        <f t="shared" si="23"/>
        <v>0</v>
      </c>
      <c r="BU13" s="228">
        <f t="shared" si="23"/>
        <v>0</v>
      </c>
      <c r="BV13" s="228">
        <f>IFERROR(VLOOKUP($B13 &amp; $C13&amp;CompareVer,tblForecast,BV$2,FALSE),0)</f>
        <v>0</v>
      </c>
      <c r="BW13" s="228">
        <f t="shared" si="24"/>
        <v>0</v>
      </c>
      <c r="BX13" s="228">
        <f t="shared" si="24"/>
        <v>0</v>
      </c>
      <c r="BY13" s="176">
        <f>IFERROR(VLOOKUP($B13-IF(CompareVer="LY",1,0) &amp; $C13 &amp;BY$4,tblForecast,BY$2,FALSE),0)</f>
        <v>0</v>
      </c>
      <c r="BZ13" s="177">
        <f t="shared" si="25"/>
        <v>0</v>
      </c>
      <c r="CA13" s="90">
        <f t="shared" si="26"/>
        <v>0</v>
      </c>
      <c r="CB13" s="90">
        <f t="shared" si="26"/>
        <v>0</v>
      </c>
      <c r="CC13" s="90">
        <f>IFERROR(VLOOKUP($B13 &amp; $C13&amp;CompareVer,tblForecast,CC$2,FALSE),0)</f>
        <v>0</v>
      </c>
      <c r="CD13" s="90">
        <f t="shared" si="27"/>
        <v>0</v>
      </c>
      <c r="CE13" s="90">
        <f t="shared" si="27"/>
        <v>0</v>
      </c>
      <c r="CF13" s="90">
        <f>IFERROR(VLOOKUP($B13-IF(CompareVer="LY",1,0) &amp; $C13 &amp;CF$4,tblForecast,CF$2,FALSE),0)</f>
        <v>0</v>
      </c>
      <c r="CG13" s="177">
        <f t="shared" si="28"/>
        <v>0</v>
      </c>
      <c r="CH13" s="90">
        <f t="shared" si="29"/>
        <v>0</v>
      </c>
      <c r="CI13" s="90">
        <f t="shared" si="29"/>
        <v>0</v>
      </c>
      <c r="CJ13" s="90">
        <f>IFERROR(VLOOKUP($B13 &amp; $C13&amp;CompareVer,tblForecast,CJ$2,FALSE),0)</f>
        <v>0</v>
      </c>
      <c r="CK13" s="90">
        <f t="shared" si="30"/>
        <v>0</v>
      </c>
      <c r="CL13" s="90">
        <f t="shared" si="30"/>
        <v>0</v>
      </c>
      <c r="CM13" s="90">
        <f>IFERROR(VLOOKUP($B13-IF(CompareVer="LY",1,0) &amp; $C13 &amp;CM$4,tblForecast,CM$2,FALSE),0)</f>
        <v>0</v>
      </c>
      <c r="CN13" s="177">
        <f t="shared" si="31"/>
        <v>0</v>
      </c>
      <c r="CO13" s="178">
        <f>IFERROR(CE13/BX13,0)</f>
        <v>0</v>
      </c>
      <c r="CP13" s="223">
        <f t="shared" si="32"/>
        <v>0</v>
      </c>
      <c r="CQ13" s="177">
        <f t="shared" si="33"/>
        <v>0</v>
      </c>
      <c r="CR13" s="178">
        <f t="shared" si="44"/>
        <v>0</v>
      </c>
      <c r="CS13" s="223">
        <f t="shared" si="34"/>
        <v>0</v>
      </c>
      <c r="CT13" s="177">
        <f>IFERROR(CO13/CS13-1,)</f>
        <v>0</v>
      </c>
      <c r="CU13" s="44"/>
      <c r="CV13" s="44"/>
      <c r="CW13" s="103">
        <f>IFERROR(VLOOKUP($B13 &amp; $C13&amp;CompareVer,tblForecast,CW$2,FALSE),0)</f>
        <v>0</v>
      </c>
      <c r="CX13" s="92">
        <f>IFERROR(VLOOKUP($B13-IF(CompareVer="LY",1,0) &amp; $C13 &amp;CX$4,tblForecast,CX$2,FALSE),0)</f>
        <v>-2</v>
      </c>
      <c r="CY13" s="91">
        <f t="shared" si="36"/>
        <v>-1</v>
      </c>
      <c r="CZ13" s="278">
        <f>IFERROR(VLOOKUP(Brand&amp;Channel&amp;Country&amp;$C13,tblDiscount,6,FALSE),0)</f>
        <v>0.3</v>
      </c>
      <c r="DA13" s="279">
        <f>(1-CZ13)*DB13</f>
        <v>17.513999999999999</v>
      </c>
      <c r="DB13" s="279">
        <f>IFERROR(VLOOKUP(Brand&amp;Country &amp; Channel &amp; FC,tblFCSettings,8,FALSE),0)</f>
        <v>25.02</v>
      </c>
      <c r="DC13" s="280">
        <f>IFERROR(VLOOKUP(Brand&amp;Country &amp; Channel&amp;FC,tblFCSettings,9,FALSE),0)</f>
        <v>4.16</v>
      </c>
    </row>
    <row r="14" spans="1:107" ht="16.5" thickBot="1" x14ac:dyDescent="0.3">
      <c r="A14" s="44" t="s">
        <v>335</v>
      </c>
      <c r="B14" s="44">
        <v>2018</v>
      </c>
      <c r="C14" s="88">
        <v>4</v>
      </c>
      <c r="D14" s="98">
        <f t="shared" si="37"/>
        <v>23821594.139199983</v>
      </c>
      <c r="E14" s="202">
        <f t="shared" si="38"/>
        <v>20329255.414599985</v>
      </c>
      <c r="F14" s="182">
        <f t="shared" si="45"/>
        <v>0.85339609498034696</v>
      </c>
      <c r="G14" s="176">
        <f t="shared" si="4"/>
        <v>444649</v>
      </c>
      <c r="H14" s="203">
        <f t="shared" si="4"/>
        <v>53.573929412188001</v>
      </c>
      <c r="I14" s="203">
        <f t="shared" si="4"/>
        <v>7.8541472590740096</v>
      </c>
      <c r="J14" s="176">
        <f>IFERROR(VLOOKUP($B14 &amp; $C14&amp;J$4&amp;$A14,tblForecast,J$2,FALSE),0)+IFERROR(VLOOKUP($B14 &amp; $C14 &amp; J$4 &amp; $A14,tblForecast,J$2+1,FALSE),0)</f>
        <v>9130559</v>
      </c>
      <c r="K14" s="300">
        <f>IFERROR(VLOOKUP($B14 &amp; $C14&amp;K$4&amp;$A14,tblForecast,K$2+2,FALSE),0)</f>
        <v>1403720</v>
      </c>
      <c r="L14" s="171">
        <f t="shared" si="5"/>
        <v>0</v>
      </c>
      <c r="M14" s="171">
        <f t="shared" si="5"/>
        <v>0</v>
      </c>
      <c r="N14" s="171">
        <f t="shared" si="5"/>
        <v>0</v>
      </c>
      <c r="O14" s="171">
        <f t="shared" si="5"/>
        <v>0</v>
      </c>
      <c r="P14" s="91">
        <f t="shared" si="39"/>
        <v>0</v>
      </c>
      <c r="Q14" s="238">
        <f>IFERROR(VLOOKUP($B14 &amp; $C14&amp;CompareVer,tblForecast,Q$2,FALSE),0)</f>
        <v>0</v>
      </c>
      <c r="R14" s="241">
        <f t="shared" si="6"/>
        <v>0</v>
      </c>
      <c r="S14" s="241">
        <f t="shared" si="6"/>
        <v>0</v>
      </c>
      <c r="T14" s="240">
        <f>IFERROR(VLOOKUP($B14-IF(CompareVer="LY",1,0) &amp; $C14 &amp;T$4,tblForecast,T$2,FALSE),0)</f>
        <v>0</v>
      </c>
      <c r="U14" s="91">
        <f t="shared" si="7"/>
        <v>0</v>
      </c>
      <c r="V14" s="245">
        <f t="shared" si="40"/>
        <v>0</v>
      </c>
      <c r="W14" s="331">
        <f t="shared" si="40"/>
        <v>0</v>
      </c>
      <c r="X14" s="246">
        <f>IFERROR(IF(T13&lt;&gt;0,T14/T13,0),0)</f>
        <v>0</v>
      </c>
      <c r="Y14" s="98">
        <f t="shared" si="8"/>
        <v>0</v>
      </c>
      <c r="Z14" s="171">
        <f t="shared" si="8"/>
        <v>0</v>
      </c>
      <c r="AA14" s="171">
        <f t="shared" si="8"/>
        <v>0</v>
      </c>
      <c r="AB14" s="171">
        <f t="shared" si="8"/>
        <v>0</v>
      </c>
      <c r="AC14" s="91">
        <f t="shared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si="10"/>
        <v>0</v>
      </c>
      <c r="AH14" s="104">
        <f>IFERROR(VLOOKUP($B14 &amp; $C14&amp;CompareVer,tblForecast,AH$2,FALSE),0)</f>
        <v>0</v>
      </c>
      <c r="AI14" s="94">
        <f t="shared" si="11"/>
        <v>0</v>
      </c>
      <c r="AJ14" s="94">
        <f t="shared" si="11"/>
        <v>0</v>
      </c>
      <c r="AK14" s="94">
        <f>IFERROR(VLOOKUP($B14-IF(CompareVer="LY",1,0) &amp; $C14 &amp;AK$4,tblForecast,AK$2,FALSE),0)</f>
        <v>0</v>
      </c>
      <c r="AL14" s="91">
        <f t="shared" si="12"/>
        <v>0</v>
      </c>
      <c r="AM14" s="104">
        <f>IFERROR(VLOOKUP($B14 &amp; $C14&amp;CompareVer,tblForecast,AM$2,FALSE),0)</f>
        <v>0</v>
      </c>
      <c r="AN14" s="94">
        <f t="shared" si="13"/>
        <v>0</v>
      </c>
      <c r="AO14" s="94">
        <f t="shared" si="13"/>
        <v>0</v>
      </c>
      <c r="AP14" s="94">
        <f>IFERROR(VLOOKUP($B14-IF(CompareVer="LY",1,0) &amp; $C14 &amp;AP$4,tblForecast,AP$2,FALSE),0)</f>
        <v>0</v>
      </c>
      <c r="AQ14" s="91">
        <f t="shared" si="14"/>
        <v>0</v>
      </c>
      <c r="AR14" s="104">
        <f>IFERROR(VLOOKUP($B14 &amp; $C14&amp;CompareVer,tblForecast,AR$2,FALSE),0)</f>
        <v>0</v>
      </c>
      <c r="AS14" s="94">
        <f t="shared" si="15"/>
        <v>0</v>
      </c>
      <c r="AT14" s="94">
        <f t="shared" si="15"/>
        <v>0</v>
      </c>
      <c r="AU14" s="94">
        <f>IFERROR(VLOOKUP($B14-IF(CompareVer="LY",1,0) &amp; $C14 &amp;AU$4,tblForecast,AU$2,FALSE),0)</f>
        <v>0</v>
      </c>
      <c r="AV14" s="91">
        <f t="shared" si="16"/>
        <v>0</v>
      </c>
      <c r="AW14" s="181">
        <f t="shared" si="17"/>
        <v>0</v>
      </c>
      <c r="AX14" s="182">
        <f t="shared" si="17"/>
        <v>0</v>
      </c>
      <c r="AY14" s="182">
        <f t="shared" si="17"/>
        <v>0</v>
      </c>
      <c r="AZ14" s="182">
        <f t="shared" si="17"/>
        <v>0</v>
      </c>
      <c r="BA14" s="227">
        <f t="shared" si="41"/>
        <v>0</v>
      </c>
      <c r="BB14" s="228">
        <f>IF(IFERROR(VLOOKUP($B14 &amp; $C14&amp;BB$4,tblForecast,BB$2,FALSE),0)=0,BA14,IFERROR(VLOOKUP($B14 &amp; $C14&amp;BB$4,tblForecast,BB$2,FALSE),0))</f>
        <v>0</v>
      </c>
      <c r="BC14" s="228">
        <f t="shared" si="18"/>
        <v>0</v>
      </c>
      <c r="BD14" s="228">
        <f t="shared" si="42"/>
        <v>-2</v>
      </c>
      <c r="BE14" s="177">
        <f t="shared" si="19"/>
        <v>-1</v>
      </c>
      <c r="BF14" s="228">
        <f>IFERROR(VLOOKUP($B14 &amp; $C14&amp;CompareVer,tblForecast,BF$2,FALSE),0)</f>
        <v>0</v>
      </c>
      <c r="BG14" s="228">
        <f>IFERROR(VLOOKUP($B14-IF(CompareVer="LY",1,0) &amp; $C14 &amp;BG$4,tblForecast,BG$2,FALSE),0)</f>
        <v>0</v>
      </c>
      <c r="BH14" s="179">
        <f>IF(Q14&lt;&gt;0,BA14/Q14,0)</f>
        <v>0</v>
      </c>
      <c r="BI14" s="183">
        <f>IF(T14&lt;&gt;0,BD14/T14,0)</f>
        <v>0</v>
      </c>
      <c r="BJ14" s="184">
        <f t="shared" si="20"/>
        <v>0</v>
      </c>
      <c r="BK14" s="96">
        <f t="shared" si="21"/>
        <v>0</v>
      </c>
      <c r="BL14" s="227">
        <f>IFERROR(VLOOKUP($B14 &amp; $C14&amp;CompareVer,tblForecast,BL$2,FALSE),0)</f>
        <v>0</v>
      </c>
      <c r="BM14" s="228">
        <f>IFERROR(VLOOKUP($B14-IF(CompareVer="LY",1,0) &amp; $C14 &amp;BM$4,tblForecast,BM$2,FALSE),0)</f>
        <v>0</v>
      </c>
      <c r="BN14" s="227">
        <f>IFERROR(VLOOKUP($B14 &amp; $C14&amp;CompareVer,tblForecast,BN$2,FALSE),0)</f>
        <v>0</v>
      </c>
      <c r="BO14" s="228">
        <f>IFERROR(VLOOKUP($B14-IF(CompareVer="LY",1,0) &amp; $C14 &amp;BO$4,tblForecast,BO$2,FALSE),0)</f>
        <v>0</v>
      </c>
      <c r="BP14" s="227">
        <f>IFERROR(VLOOKUP($B14 &amp; $C14&amp;CompareVer,tblForecast,BP$2,FALSE),0)</f>
        <v>0</v>
      </c>
      <c r="BQ14" s="228">
        <f>IFERROR(VLOOKUP($B14-IF(CompareVer="LY",1,0) &amp; $C14 &amp;BQ$4,tblForecast,BQ$2,FALSE),0)</f>
        <v>0</v>
      </c>
      <c r="BR14" s="227">
        <f t="shared" si="43"/>
        <v>0</v>
      </c>
      <c r="BS14" s="228">
        <f t="shared" si="22"/>
        <v>0</v>
      </c>
      <c r="BT14" s="227">
        <f t="shared" si="23"/>
        <v>0</v>
      </c>
      <c r="BU14" s="228">
        <f t="shared" si="23"/>
        <v>0</v>
      </c>
      <c r="BV14" s="228">
        <f>IFERROR(VLOOKUP($B14 &amp; $C14&amp;CompareVer,tblForecast,BV$2,FALSE),0)</f>
        <v>0</v>
      </c>
      <c r="BW14" s="228">
        <f t="shared" si="24"/>
        <v>0</v>
      </c>
      <c r="BX14" s="228">
        <f t="shared" si="24"/>
        <v>0</v>
      </c>
      <c r="BY14" s="176">
        <f>IFERROR(VLOOKUP($B14-IF(CompareVer="LY",1,0) &amp; $C14 &amp;BY$4,tblForecast,BY$2,FALSE),0)</f>
        <v>0</v>
      </c>
      <c r="BZ14" s="177">
        <f t="shared" si="25"/>
        <v>0</v>
      </c>
      <c r="CA14" s="171">
        <f t="shared" si="26"/>
        <v>0</v>
      </c>
      <c r="CB14" s="171">
        <f t="shared" si="26"/>
        <v>0</v>
      </c>
      <c r="CC14" s="171">
        <f>IFERROR(VLOOKUP($B14 &amp; $C14&amp;CompareVer,tblForecast,CC$2,FALSE),0)</f>
        <v>0</v>
      </c>
      <c r="CD14" s="171">
        <f t="shared" si="27"/>
        <v>0</v>
      </c>
      <c r="CE14" s="171">
        <f t="shared" si="27"/>
        <v>0</v>
      </c>
      <c r="CF14" s="171">
        <f>IFERROR(VLOOKUP($B14-IF(CompareVer="LY",1,0) &amp; $C14 &amp;CF$4,tblForecast,CF$2,FALSE),0)</f>
        <v>0</v>
      </c>
      <c r="CG14" s="177">
        <f t="shared" si="28"/>
        <v>0</v>
      </c>
      <c r="CH14" s="171">
        <f t="shared" si="29"/>
        <v>0</v>
      </c>
      <c r="CI14" s="171">
        <f t="shared" si="29"/>
        <v>0</v>
      </c>
      <c r="CJ14" s="171">
        <f>IFERROR(VLOOKUP($B14 &amp; $C14&amp;CompareVer,tblForecast,CJ$2,FALSE),0)</f>
        <v>0</v>
      </c>
      <c r="CK14" s="171">
        <f t="shared" si="30"/>
        <v>0</v>
      </c>
      <c r="CL14" s="171">
        <f t="shared" si="30"/>
        <v>0</v>
      </c>
      <c r="CM14" s="171">
        <f>IFERROR(VLOOKUP($B14-IF(CompareVer="LY",1,0) &amp; $C14 &amp;CM$4,tblForecast,CM$2,FALSE),0)</f>
        <v>0</v>
      </c>
      <c r="CN14" s="177">
        <f t="shared" si="31"/>
        <v>0</v>
      </c>
      <c r="CO14" s="178">
        <f t="shared" ref="CO14:CP77" si="46">IFERROR(CE14/BX14,0)</f>
        <v>0</v>
      </c>
      <c r="CP14" s="223">
        <f t="shared" si="32"/>
        <v>0</v>
      </c>
      <c r="CQ14" s="177">
        <f t="shared" si="33"/>
        <v>0</v>
      </c>
      <c r="CR14" s="178">
        <f t="shared" si="44"/>
        <v>0</v>
      </c>
      <c r="CS14" s="223">
        <f t="shared" si="34"/>
        <v>0</v>
      </c>
      <c r="CT14" s="177">
        <f t="shared" ref="CT14:CT77" si="47">IFERROR(CO14/CS14-1,)</f>
        <v>0</v>
      </c>
      <c r="CU14" s="44"/>
      <c r="CV14" s="44"/>
      <c r="CW14" s="103">
        <f>IFERROR(VLOOKUP($B14 &amp; $C14&amp;CompareVer,tblForecast,CW$2,FALSE),0)</f>
        <v>0</v>
      </c>
      <c r="CX14" s="92">
        <f>IFERROR(VLOOKUP($B14-IF(CompareVer="LY",1,0) &amp; $C14 &amp;CX$4,tblForecast,CX$2,FALSE),0)</f>
        <v>-2</v>
      </c>
      <c r="CY14" s="91">
        <f t="shared" si="36"/>
        <v>-1</v>
      </c>
      <c r="CZ14" s="278">
        <f>IFERROR(VLOOKUP(Brand&amp;Channel&amp;Country&amp;$C14,tblDiscount,6,FALSE),0)</f>
        <v>0.3</v>
      </c>
      <c r="DA14" s="279">
        <f>(1-CZ14)*DB14</f>
        <v>17.513999999999999</v>
      </c>
      <c r="DB14" s="279">
        <f>IFERROR(VLOOKUP(Brand&amp;Country &amp; Channel &amp; FC,tblFCSettings,8,FALSE),0)</f>
        <v>25.02</v>
      </c>
      <c r="DC14" s="280">
        <f>IFERROR(VLOOKUP(Brand&amp;Country &amp; Channel&amp;FC,tblFCSettings,9,FALSE),0)</f>
        <v>4.16</v>
      </c>
    </row>
    <row r="15" spans="1:107" ht="16.5" thickBot="1" x14ac:dyDescent="0.3">
      <c r="C15" s="253" t="s">
        <v>21</v>
      </c>
      <c r="D15" s="254">
        <f t="shared" ref="D15:E15" si="48">SUM(D11:D14)</f>
        <v>57996809.927999943</v>
      </c>
      <c r="E15" s="255">
        <f t="shared" si="48"/>
        <v>45745968.652299955</v>
      </c>
      <c r="F15" s="256">
        <f t="shared" si="45"/>
        <v>0.78876698061654116</v>
      </c>
      <c r="G15" s="257">
        <f>SUM(G11:G14)</f>
        <v>1337721</v>
      </c>
      <c r="H15" s="258">
        <f>IFERROR(D15/G15,0)</f>
        <v>43.354937186453633</v>
      </c>
      <c r="I15" s="258">
        <f>IFERROR(SUMPRODUCT(I11:I14,G11:G14)/G15,0)</f>
        <v>9.1579942870747999</v>
      </c>
      <c r="J15" s="257">
        <f>SUM(J11:J14)</f>
        <v>34470152</v>
      </c>
      <c r="K15" s="301">
        <f>SUM(K11:K14)</f>
        <v>3272127</v>
      </c>
      <c r="L15" s="259">
        <f>SUM(L11:L14)</f>
        <v>0</v>
      </c>
      <c r="M15" s="259">
        <f t="shared" ref="M15:O15" si="49">SUM(M11:M14)</f>
        <v>0</v>
      </c>
      <c r="N15" s="259">
        <f t="shared" si="49"/>
        <v>0</v>
      </c>
      <c r="O15" s="259">
        <f t="shared" si="49"/>
        <v>0</v>
      </c>
      <c r="P15" s="260">
        <f t="shared" si="39"/>
        <v>0</v>
      </c>
      <c r="Q15" s="261">
        <f>SUM(Q11:Q14)</f>
        <v>0</v>
      </c>
      <c r="R15" s="262">
        <f t="shared" ref="R15:S15" si="50">SUM(R11:R14)</f>
        <v>0</v>
      </c>
      <c r="S15" s="262">
        <f t="shared" si="50"/>
        <v>0</v>
      </c>
      <c r="T15" s="262">
        <f>SUM(T11:T14)</f>
        <v>0</v>
      </c>
      <c r="U15" s="260">
        <f t="shared" si="7"/>
        <v>0</v>
      </c>
      <c r="V15" s="263">
        <f>V14</f>
        <v>0</v>
      </c>
      <c r="W15" s="332">
        <f>W14</f>
        <v>0</v>
      </c>
      <c r="X15" s="264">
        <f>X14</f>
        <v>0</v>
      </c>
      <c r="Y15" s="254">
        <f>SUM(Y11:Y14)</f>
        <v>0</v>
      </c>
      <c r="Z15" s="259">
        <f t="shared" ref="Z15:AB15" si="51">SUM(Z11:Z14)</f>
        <v>0</v>
      </c>
      <c r="AA15" s="259">
        <f t="shared" si="51"/>
        <v>0</v>
      </c>
      <c r="AB15" s="259">
        <f t="shared" si="51"/>
        <v>0</v>
      </c>
      <c r="AC15" s="260">
        <f t="shared" si="9"/>
        <v>0</v>
      </c>
      <c r="AD15" s="265">
        <f>IFERROR(Y15/L15,0)</f>
        <v>0</v>
      </c>
      <c r="AE15" s="266">
        <f>IFERROR(Z15/M15,0)</f>
        <v>0</v>
      </c>
      <c r="AF15" s="266">
        <f>IFERROR(AA15/N15,0)</f>
        <v>0</v>
      </c>
      <c r="AG15" s="266">
        <f>IFERROR(AB15/O15,0)</f>
        <v>0</v>
      </c>
      <c r="AH15" s="267">
        <f>IFERROR(SUMPRODUCT(AH11:AH14,Q11:Q14)/Q15,0)</f>
        <v>0</v>
      </c>
      <c r="AI15" s="268">
        <f>IFERROR(SUMPRODUCT(AI11:AI14,R11:R14)/R15,0)</f>
        <v>0</v>
      </c>
      <c r="AJ15" s="268">
        <f>IFERROR(SUMPRODUCT(AJ11:AJ14,S11:S14)/S15,0)</f>
        <v>0</v>
      </c>
      <c r="AK15" s="268">
        <f>IFERROR(SUMPRODUCT(AK11:AK14,T11:T14)/T15,0)</f>
        <v>0</v>
      </c>
      <c r="AL15" s="260">
        <f t="shared" si="12"/>
        <v>0</v>
      </c>
      <c r="AM15" s="267">
        <f>IF(Q15&lt;&gt;0,L15/Q15,0)</f>
        <v>0</v>
      </c>
      <c r="AN15" s="268">
        <f>IF(R15&lt;&gt;0,M15/R15,0)</f>
        <v>0</v>
      </c>
      <c r="AO15" s="268">
        <f>IF(S15&lt;&gt;0,N15/S15,0)</f>
        <v>0</v>
      </c>
      <c r="AP15" s="268">
        <f>IF(T15&lt;&gt;0,O15/T15,0)</f>
        <v>0</v>
      </c>
      <c r="AQ15" s="260">
        <f t="shared" si="14"/>
        <v>0</v>
      </c>
      <c r="AR15" s="267">
        <f>IFERROR((L15*(1-AD15))/Q15,0)</f>
        <v>0</v>
      </c>
      <c r="AS15" s="268">
        <f>IFERROR((M15*(1-AE15))/R15,0)</f>
        <v>0</v>
      </c>
      <c r="AT15" s="268">
        <f>IFERROR((N15*(1-AF15))/S15,0)</f>
        <v>0</v>
      </c>
      <c r="AU15" s="268">
        <f>IFERROR((O15*(1-AG15))/T15,0)</f>
        <v>0</v>
      </c>
      <c r="AV15" s="260">
        <f t="shared" si="16"/>
        <v>0</v>
      </c>
      <c r="AW15" s="269">
        <f t="shared" si="17"/>
        <v>0</v>
      </c>
      <c r="AX15" s="270">
        <f t="shared" si="17"/>
        <v>0</v>
      </c>
      <c r="AY15" s="270">
        <f t="shared" si="17"/>
        <v>0</v>
      </c>
      <c r="AZ15" s="270">
        <f t="shared" si="17"/>
        <v>0</v>
      </c>
      <c r="BA15" s="261">
        <f>BA14</f>
        <v>0</v>
      </c>
      <c r="BB15" s="262">
        <f t="shared" ref="BB15:BD15" si="52">BB14</f>
        <v>0</v>
      </c>
      <c r="BC15" s="262">
        <f t="shared" si="52"/>
        <v>0</v>
      </c>
      <c r="BD15" s="262">
        <f t="shared" si="52"/>
        <v>-2</v>
      </c>
      <c r="BE15" s="260">
        <f t="shared" si="19"/>
        <v>-1</v>
      </c>
      <c r="BF15" s="262">
        <f>BF14</f>
        <v>0</v>
      </c>
      <c r="BG15" s="262">
        <f>BG14</f>
        <v>0</v>
      </c>
      <c r="BH15" s="271">
        <f>IF(Q15&lt;&gt;0,(BA15*COUNTIF(BH11:BH14,"&lt;&gt;0")/Q15),0)</f>
        <v>0</v>
      </c>
      <c r="BI15" s="272">
        <f>IF(T15&lt;&gt;0,(BD15*COUNTIF(BI11:BI14,"&lt;&gt;0")/T15),0)</f>
        <v>0</v>
      </c>
      <c r="BJ15" s="273">
        <f>IF(BA15&lt;&gt;0,(Q15/COUNTIF(BJ11:BJ14,"&lt;&gt;0"))/BA15,0)</f>
        <v>0</v>
      </c>
      <c r="BK15" s="274" t="e">
        <f>IF(BD15&lt;&gt;0,(T15/COUNTIF(BK11:BK14,"&lt;&gt;0"))/BD15,0)</f>
        <v>#DIV/0!</v>
      </c>
      <c r="BL15" s="261">
        <f>SUM(BL11:BL14)</f>
        <v>0</v>
      </c>
      <c r="BM15" s="262">
        <f>SUM(BM11:BM14)</f>
        <v>0</v>
      </c>
      <c r="BN15" s="261">
        <f>SUM(BN11:BN14)</f>
        <v>0</v>
      </c>
      <c r="BO15" s="262">
        <f t="shared" ref="BO15:BQ15" si="53">SUM(BO11:BO14)</f>
        <v>0</v>
      </c>
      <c r="BP15" s="261">
        <f>SUM(BP11:BP14)</f>
        <v>0</v>
      </c>
      <c r="BQ15" s="262">
        <f t="shared" si="53"/>
        <v>0</v>
      </c>
      <c r="BR15" s="261">
        <f t="shared" si="43"/>
        <v>0</v>
      </c>
      <c r="BS15" s="262">
        <f t="shared" si="22"/>
        <v>0</v>
      </c>
      <c r="BT15" s="261">
        <f>SUM(BT11:BT14)</f>
        <v>0</v>
      </c>
      <c r="BU15" s="262">
        <f>SUM(BU11:BU14)</f>
        <v>0</v>
      </c>
      <c r="BV15" s="262">
        <f>SUM(BV11:BV14)</f>
        <v>0</v>
      </c>
      <c r="BW15" s="262">
        <f t="shared" ref="BW15:BX15" si="54">SUM(BW11:BW14)</f>
        <v>0</v>
      </c>
      <c r="BX15" s="262">
        <f t="shared" si="54"/>
        <v>0</v>
      </c>
      <c r="BY15" s="275">
        <f>SUM(BY11:BY14)</f>
        <v>0</v>
      </c>
      <c r="BZ15" s="260">
        <f t="shared" si="25"/>
        <v>0</v>
      </c>
      <c r="CA15" s="259">
        <f t="shared" ref="CA15:CF15" si="55">SUM(CA11:CA14)</f>
        <v>0</v>
      </c>
      <c r="CB15" s="259">
        <f t="shared" si="55"/>
        <v>0</v>
      </c>
      <c r="CC15" s="259">
        <f>SUM(CC11:CC14)</f>
        <v>0</v>
      </c>
      <c r="CD15" s="259">
        <f t="shared" si="55"/>
        <v>0</v>
      </c>
      <c r="CE15" s="259">
        <f t="shared" si="55"/>
        <v>0</v>
      </c>
      <c r="CF15" s="259">
        <f t="shared" si="55"/>
        <v>0</v>
      </c>
      <c r="CG15" s="260">
        <f t="shared" si="28"/>
        <v>0</v>
      </c>
      <c r="CH15" s="259">
        <f t="shared" ref="CH15:CM15" si="56">SUM(CH11:CH14)</f>
        <v>0</v>
      </c>
      <c r="CI15" s="259">
        <f t="shared" si="56"/>
        <v>0</v>
      </c>
      <c r="CJ15" s="259">
        <f>SUM(CJ11:CJ14)</f>
        <v>0</v>
      </c>
      <c r="CK15" s="259">
        <f t="shared" si="56"/>
        <v>0</v>
      </c>
      <c r="CL15" s="259">
        <f t="shared" si="56"/>
        <v>0</v>
      </c>
      <c r="CM15" s="259">
        <f t="shared" si="56"/>
        <v>0</v>
      </c>
      <c r="CN15" s="260">
        <f t="shared" si="31"/>
        <v>0</v>
      </c>
      <c r="CO15" s="276">
        <f t="shared" si="46"/>
        <v>0</v>
      </c>
      <c r="CP15" s="277">
        <f t="shared" si="32"/>
        <v>0</v>
      </c>
      <c r="CQ15" s="260">
        <f t="shared" si="33"/>
        <v>0</v>
      </c>
      <c r="CR15" s="276">
        <f t="shared" si="44"/>
        <v>0</v>
      </c>
      <c r="CS15" s="277">
        <f t="shared" si="34"/>
        <v>0</v>
      </c>
      <c r="CT15" s="260">
        <f t="shared" si="47"/>
        <v>0</v>
      </c>
      <c r="CU15" s="44"/>
      <c r="CV15" s="44"/>
      <c r="CW15" s="100">
        <f>CW14</f>
        <v>0</v>
      </c>
      <c r="CX15" s="101">
        <f>CX14</f>
        <v>-2</v>
      </c>
      <c r="CY15" s="99">
        <f t="shared" si="36"/>
        <v>-1</v>
      </c>
      <c r="CZ15" s="278"/>
      <c r="DA15" s="279"/>
      <c r="DB15" s="279"/>
      <c r="DC15" s="280"/>
    </row>
    <row r="16" spans="1:107" x14ac:dyDescent="0.25">
      <c r="A16" s="44" t="s">
        <v>335</v>
      </c>
      <c r="B16" s="44">
        <v>2018</v>
      </c>
      <c r="C16" s="88">
        <v>5</v>
      </c>
      <c r="D16" s="97">
        <f>G16*H16</f>
        <v>12614679.107299989</v>
      </c>
      <c r="E16" s="199">
        <f>IFERROR(D16*F16,0)</f>
        <v>9300361.3341000173</v>
      </c>
      <c r="F16" s="200">
        <f t="shared" si="45"/>
        <v>0.73726499540666013</v>
      </c>
      <c r="G16" s="198">
        <f t="shared" ref="G16:I20" si="57">IFERROR(VLOOKUP($B16 &amp; $C16&amp;G$4&amp;$A16,tblForecast,G$2,FALSE),0)</f>
        <v>315448</v>
      </c>
      <c r="H16" s="201">
        <f t="shared" si="57"/>
        <v>39.9897260635667</v>
      </c>
      <c r="I16" s="201">
        <f t="shared" si="57"/>
        <v>10.506700860997601</v>
      </c>
      <c r="J16" s="198">
        <f>IFERROR(VLOOKUP($B16 &amp; $C16&amp;J$4&amp;$A16,tblForecast,J$2,FALSE),0)+IFERROR(VLOOKUP($B16 &amp; $C16 &amp; J$4 &amp; $A16,tblForecast,J$2+1,FALSE),0)</f>
        <v>9317022</v>
      </c>
      <c r="K16" s="299">
        <f>IFERROR(VLOOKUP($B16 &amp; $C16&amp;K$4&amp;$A16,tblForecast,K$2+2,FALSE),0)</f>
        <v>579735</v>
      </c>
      <c r="L16" s="90">
        <f t="shared" ref="L16:O20" si="58">Q16*AM16</f>
        <v>0</v>
      </c>
      <c r="M16" s="90">
        <f t="shared" si="58"/>
        <v>0</v>
      </c>
      <c r="N16" s="90">
        <f t="shared" si="58"/>
        <v>0</v>
      </c>
      <c r="O16" s="90">
        <f t="shared" si="58"/>
        <v>0</v>
      </c>
      <c r="P16" s="91">
        <f t="shared" si="39"/>
        <v>0</v>
      </c>
      <c r="Q16" s="238">
        <f>IFERROR(VLOOKUP($B16 &amp; $C16&amp;CompareVer,tblForecast,Q$2,FALSE),0)</f>
        <v>0</v>
      </c>
      <c r="R16" s="239">
        <f t="shared" ref="R16:S20" si="59">IFERROR(VLOOKUP($B16 &amp; $C16&amp;R$4,tblForecast,R$2,FALSE),0)</f>
        <v>0</v>
      </c>
      <c r="S16" s="239">
        <f t="shared" si="59"/>
        <v>0</v>
      </c>
      <c r="T16" s="240">
        <f>IFERROR(VLOOKUP($B16-IF(CompareVer="LY",1,0) &amp; $C16 &amp;T$4,tblForecast,T$2,FALSE),0)</f>
        <v>0</v>
      </c>
      <c r="U16" s="91">
        <f t="shared" si="7"/>
        <v>0</v>
      </c>
      <c r="V16" s="245">
        <f>IFERROR(IF(Q14&gt;0,Q16/Q14,0),0)</f>
        <v>0</v>
      </c>
      <c r="W16" s="331">
        <f>IFERROR(IF(R14&gt;0,R16/R14,0),0)</f>
        <v>0</v>
      </c>
      <c r="X16" s="246">
        <f>IFERROR(IF(T14&gt;0,T16/T14,0),0)</f>
        <v>0</v>
      </c>
      <c r="Y16" s="97">
        <f t="shared" ref="Y16:AB20" si="60">IFERROR(L16*AD16,0)</f>
        <v>0</v>
      </c>
      <c r="Z16" s="90">
        <f t="shared" si="60"/>
        <v>0</v>
      </c>
      <c r="AA16" s="90">
        <f t="shared" si="60"/>
        <v>0</v>
      </c>
      <c r="AB16" s="90">
        <f t="shared" si="60"/>
        <v>0</v>
      </c>
      <c r="AC16" s="91">
        <f t="shared" si="9"/>
        <v>0</v>
      </c>
      <c r="AD16" s="75">
        <f>IF(AM16&lt;&gt;0,1-AR16/AM16,0)</f>
        <v>0</v>
      </c>
      <c r="AE16" s="93">
        <f t="shared" ref="AE16:AG20" si="61">IF(AN16&lt;&gt;0,1-AS16/AN16,0)</f>
        <v>0</v>
      </c>
      <c r="AF16" s="93">
        <f t="shared" si="61"/>
        <v>0</v>
      </c>
      <c r="AG16" s="93">
        <f t="shared" si="61"/>
        <v>0</v>
      </c>
      <c r="AH16" s="104">
        <f>IFERROR(VLOOKUP($B16 &amp; $C16&amp;CompareVer,tblForecast,AH$2,FALSE),0)</f>
        <v>0</v>
      </c>
      <c r="AI16" s="94">
        <f t="shared" ref="AI16:AJ20" si="62">IFERROR(VLOOKUP($B16 &amp; $C16&amp;AI$4,tblForecast,AI$2,FALSE),0)</f>
        <v>0</v>
      </c>
      <c r="AJ16" s="94">
        <f t="shared" si="62"/>
        <v>0</v>
      </c>
      <c r="AK16" s="94">
        <f>IFERROR(VLOOKUP($B16-IF(CompareVer="LY",1,0) &amp; $C16 &amp;AK$4,tblForecast,AK$2,FALSE),0)</f>
        <v>0</v>
      </c>
      <c r="AL16" s="91">
        <f t="shared" si="12"/>
        <v>0</v>
      </c>
      <c r="AM16" s="104">
        <f>IFERROR(VLOOKUP($B16 &amp; $C16&amp;CompareVer,tblForecast,AM$2,FALSE),0)</f>
        <v>0</v>
      </c>
      <c r="AN16" s="94">
        <f t="shared" ref="AN16:AO20" si="63">IFERROR(VLOOKUP($B16 &amp; $C16&amp;AN$4,tblForecast,AN$2,FALSE),0)</f>
        <v>0</v>
      </c>
      <c r="AO16" s="94">
        <f t="shared" si="63"/>
        <v>0</v>
      </c>
      <c r="AP16" s="94">
        <f>IFERROR(VLOOKUP($B16-IF(CompareVer="LY",1,0) &amp; $C16 &amp;AP$4,tblForecast,AP$2,FALSE),0)</f>
        <v>0</v>
      </c>
      <c r="AQ16" s="91">
        <f t="shared" si="14"/>
        <v>0</v>
      </c>
      <c r="AR16" s="104">
        <f>IFERROR(VLOOKUP($B16 &amp; $C16&amp;CompareVer,tblForecast,AR$2,FALSE),0)</f>
        <v>0</v>
      </c>
      <c r="AS16" s="94">
        <f t="shared" ref="AS16:AT20" si="64">IFERROR(VLOOKUP($B16 &amp; $C16&amp;AS$4,tblForecast,AS$2,FALSE),0)</f>
        <v>0</v>
      </c>
      <c r="AT16" s="94">
        <f t="shared" si="64"/>
        <v>0</v>
      </c>
      <c r="AU16" s="94">
        <f>IFERROR(VLOOKUP($B16-IF(CompareVer="LY",1,0) &amp; $C16 &amp;AU$4,tblForecast,AU$2,FALSE),0)</f>
        <v>0</v>
      </c>
      <c r="AV16" s="91">
        <f t="shared" si="16"/>
        <v>0</v>
      </c>
      <c r="AW16" s="181">
        <f t="shared" si="17"/>
        <v>0</v>
      </c>
      <c r="AX16" s="182">
        <f t="shared" si="17"/>
        <v>0</v>
      </c>
      <c r="AY16" s="182">
        <f t="shared" si="17"/>
        <v>0</v>
      </c>
      <c r="AZ16" s="182">
        <f t="shared" si="17"/>
        <v>0</v>
      </c>
      <c r="BA16" s="227">
        <f t="shared" ref="BA16:BA20" si="65">CW16+BF16</f>
        <v>0</v>
      </c>
      <c r="BB16" s="228">
        <f>IF(IFERROR(VLOOKUP($B16 &amp; $C16&amp;BB$4,tblForecast,BB$2,FALSE),0)=0,BA16,IFERROR(VLOOKUP($B16 &amp; $C16&amp;BB$4,tblForecast,BB$2,FALSE),0))</f>
        <v>0</v>
      </c>
      <c r="BC16" s="228">
        <f t="shared" ref="BC16:BC20" si="66">IFERROR(VLOOKUP($B16 &amp; $C16&amp;BC$4,tblForecast,BC$2,FALSE),0)</f>
        <v>0</v>
      </c>
      <c r="BD16" s="228">
        <f t="shared" ref="BD16:BD20" si="67">CX16+BG16</f>
        <v>-2</v>
      </c>
      <c r="BE16" s="177">
        <f t="shared" si="19"/>
        <v>-1</v>
      </c>
      <c r="BF16" s="228">
        <f>IFERROR(VLOOKUP($B16 &amp; $C16&amp;CompareVer,tblForecast,BF$2,FALSE),0)</f>
        <v>0</v>
      </c>
      <c r="BG16" s="228">
        <f>IFERROR(VLOOKUP($B16-IF(CompareVer="LY",1,0) &amp; $C16 &amp;BG$4,tblForecast,BG$2,FALSE),0)</f>
        <v>0</v>
      </c>
      <c r="BH16" s="179">
        <f>IF(Q16&lt;&gt;0,BA16/Q16,0)</f>
        <v>0</v>
      </c>
      <c r="BI16" s="183">
        <f>IF(T16&lt;&gt;0,BD16/T16,0)</f>
        <v>0</v>
      </c>
      <c r="BJ16" s="184">
        <f t="shared" si="20"/>
        <v>0</v>
      </c>
      <c r="BK16" s="96">
        <f t="shared" si="21"/>
        <v>0</v>
      </c>
      <c r="BL16" s="227">
        <f>IFERROR(VLOOKUP($B16 &amp; $C16&amp;CompareVer,tblForecast,BL$2,FALSE),0)</f>
        <v>0</v>
      </c>
      <c r="BM16" s="228">
        <f>IFERROR(VLOOKUP($B16-IF(CompareVer="LY",1,0) &amp; $C16 &amp;BM$4,tblForecast,BM$2,FALSE),0)</f>
        <v>0</v>
      </c>
      <c r="BN16" s="227">
        <f>IFERROR(VLOOKUP($B16 &amp; $C16&amp;CompareVer,tblForecast,BN$2,FALSE),0)</f>
        <v>0</v>
      </c>
      <c r="BO16" s="228">
        <f>IFERROR(VLOOKUP($B16-IF(CompareVer="LY",1,0) &amp; $C16 &amp;BO$4,tblForecast,BO$2,FALSE),0)</f>
        <v>0</v>
      </c>
      <c r="BP16" s="227">
        <f>IFERROR(VLOOKUP($B16 &amp; $C16&amp;CompareVer,tblForecast,BP$2,FALSE),0)</f>
        <v>0</v>
      </c>
      <c r="BQ16" s="228">
        <f>IFERROR(VLOOKUP($B16-IF(CompareVer="LY",1,0) &amp; $C16 &amp;BQ$4,tblForecast,BQ$2,FALSE),0)</f>
        <v>0</v>
      </c>
      <c r="BR16" s="227">
        <f t="shared" si="43"/>
        <v>0</v>
      </c>
      <c r="BS16" s="228">
        <f t="shared" si="22"/>
        <v>0</v>
      </c>
      <c r="BT16" s="227">
        <f t="shared" ref="BT16:BU20" si="68">IFERROR(VLOOKUP($B16 &amp; $C16&amp;BT$4,tblForecast,BT$2,FALSE),0)</f>
        <v>0</v>
      </c>
      <c r="BU16" s="228">
        <f t="shared" si="68"/>
        <v>0</v>
      </c>
      <c r="BV16" s="228">
        <f>IFERROR(VLOOKUP($B16 &amp; $C16&amp;CompareVer,tblForecast,BV$2,FALSE),0)</f>
        <v>0</v>
      </c>
      <c r="BW16" s="228">
        <f t="shared" ref="BW16:BX20" si="69">IFERROR(VLOOKUP($B16 &amp; $C16&amp;BW$4,tblForecast,BW$2,FALSE),0)</f>
        <v>0</v>
      </c>
      <c r="BX16" s="228">
        <f t="shared" si="69"/>
        <v>0</v>
      </c>
      <c r="BY16" s="176">
        <f>IFERROR(VLOOKUP($B16-IF(CompareVer="LY",1,0) &amp; $C16 &amp;BY$4,tblForecast,BY$2,FALSE),0)</f>
        <v>0</v>
      </c>
      <c r="BZ16" s="177">
        <f t="shared" si="25"/>
        <v>0</v>
      </c>
      <c r="CA16" s="90">
        <f t="shared" ref="CA16:CB20" si="70">IFERROR(VLOOKUP($B16 &amp; $C16&amp;CA$4,tblForecast,CA$2,FALSE),0)</f>
        <v>0</v>
      </c>
      <c r="CB16" s="90">
        <f t="shared" si="70"/>
        <v>0</v>
      </c>
      <c r="CC16" s="90">
        <f>IFERROR(VLOOKUP($B16 &amp; $C16&amp;CompareVer,tblForecast,CC$2,FALSE),0)</f>
        <v>0</v>
      </c>
      <c r="CD16" s="90">
        <f t="shared" ref="CD16:CE20" si="71">IFERROR(VLOOKUP($B16 &amp; $C16&amp;CD$4,tblForecast,CD$2,FALSE),0)</f>
        <v>0</v>
      </c>
      <c r="CE16" s="90">
        <f t="shared" si="71"/>
        <v>0</v>
      </c>
      <c r="CF16" s="90">
        <f>IFERROR(VLOOKUP($B16-IF(CompareVer="LY",1,0) &amp; $C16 &amp;CF$4,tblForecast,CF$2,FALSE),0)</f>
        <v>0</v>
      </c>
      <c r="CG16" s="177">
        <f t="shared" si="28"/>
        <v>0</v>
      </c>
      <c r="CH16" s="90">
        <f t="shared" ref="CH16:CI20" si="72">IFERROR(VLOOKUP($B16 &amp; $C16&amp;CH$4,tblForecast,CH$2,FALSE),0)</f>
        <v>0</v>
      </c>
      <c r="CI16" s="90">
        <f t="shared" si="72"/>
        <v>0</v>
      </c>
      <c r="CJ16" s="90">
        <f>IFERROR(VLOOKUP($B16 &amp; $C16&amp;CompareVer,tblForecast,CJ$2,FALSE),0)</f>
        <v>0</v>
      </c>
      <c r="CK16" s="90">
        <f t="shared" ref="CK16:CL20" si="73">IFERROR(VLOOKUP($B16 &amp; $C16&amp;CK$4,tblForecast,CK$2,FALSE),0)</f>
        <v>0</v>
      </c>
      <c r="CL16" s="90">
        <f t="shared" si="73"/>
        <v>0</v>
      </c>
      <c r="CM16" s="90">
        <f>IFERROR(VLOOKUP($B16-IF(CompareVer="LY",1,0) &amp; $C16 &amp;CM$4,tblForecast,CM$2,FALSE),0)</f>
        <v>0</v>
      </c>
      <c r="CN16" s="177">
        <f t="shared" si="31"/>
        <v>0</v>
      </c>
      <c r="CO16" s="178">
        <f t="shared" si="46"/>
        <v>0</v>
      </c>
      <c r="CP16" s="223">
        <f t="shared" si="32"/>
        <v>0</v>
      </c>
      <c r="CQ16" s="177">
        <f t="shared" si="33"/>
        <v>0</v>
      </c>
      <c r="CR16" s="178">
        <f t="shared" si="44"/>
        <v>0</v>
      </c>
      <c r="CS16" s="223">
        <f t="shared" si="34"/>
        <v>0</v>
      </c>
      <c r="CT16" s="177">
        <f t="shared" si="47"/>
        <v>0</v>
      </c>
      <c r="CU16" s="44"/>
      <c r="CV16" s="44"/>
      <c r="CW16" s="103">
        <f>IFERROR(VLOOKUP($B16 &amp; $C16&amp;CompareVer,tblForecast,CW$2,FALSE),0)</f>
        <v>0</v>
      </c>
      <c r="CX16" s="92">
        <f>IFERROR(VLOOKUP($B16-IF(CompareVer="LY",1,0) &amp; $C16 &amp;CX$4,tblForecast,CX$2,FALSE),0)</f>
        <v>-2</v>
      </c>
      <c r="CY16" s="91">
        <f t="shared" si="36"/>
        <v>-1</v>
      </c>
      <c r="CZ16" s="278">
        <f>IFERROR(VLOOKUP(Brand&amp;Channel&amp;Country&amp;$C16,tblDiscount,6,FALSE),0)</f>
        <v>0.35</v>
      </c>
      <c r="DA16" s="279">
        <f>(1-CZ16)*DB16</f>
        <v>16.263000000000002</v>
      </c>
      <c r="DB16" s="279">
        <f>IFERROR(VLOOKUP(Brand&amp;Country &amp; Channel &amp;FC,tblFCSettings,8,FALSE),0)</f>
        <v>25.02</v>
      </c>
      <c r="DC16" s="280">
        <f>IFERROR(VLOOKUP(Brand&amp;Country &amp; Channel &amp;FC,tblFCSettings,9,FALSE),0)</f>
        <v>4.16</v>
      </c>
    </row>
    <row r="17" spans="1:107" x14ac:dyDescent="0.25">
      <c r="A17" s="44" t="s">
        <v>335</v>
      </c>
      <c r="B17" s="44">
        <v>2018</v>
      </c>
      <c r="C17" s="88">
        <v>6</v>
      </c>
      <c r="D17" s="97">
        <f t="shared" ref="D17:D18" si="74">G17*H17</f>
        <v>18674460.950999971</v>
      </c>
      <c r="E17" s="202">
        <f t="shared" ref="E17:E20" si="75">IFERROR(D17*F17,0)</f>
        <v>14655460.763199972</v>
      </c>
      <c r="F17" s="182">
        <f t="shared" si="45"/>
        <v>0.78478628120268223</v>
      </c>
      <c r="G17" s="176">
        <f t="shared" si="57"/>
        <v>443601</v>
      </c>
      <c r="H17" s="203">
        <f t="shared" si="57"/>
        <v>42.097427532850404</v>
      </c>
      <c r="I17" s="203">
        <f t="shared" si="57"/>
        <v>9.0599439311453303</v>
      </c>
      <c r="J17" s="176">
        <f>IFERROR(VLOOKUP($B17 &amp; $C17&amp;J$4&amp;$A17,tblForecast,J$2,FALSE),0)+IFERROR(VLOOKUP($B17 &amp; $C17 &amp; J$4 &amp; $A17,tblForecast,J$2+1,FALSE),0)</f>
        <v>9376184</v>
      </c>
      <c r="K17" s="300">
        <f>IFERROR(VLOOKUP($B17 &amp; $C17&amp;K$4&amp;$A17,tblForecast,K$2+2,FALSE),0)</f>
        <v>627170</v>
      </c>
      <c r="L17" s="90">
        <f t="shared" si="58"/>
        <v>0</v>
      </c>
      <c r="M17" s="90">
        <f t="shared" si="58"/>
        <v>0</v>
      </c>
      <c r="N17" s="90">
        <f t="shared" si="58"/>
        <v>0</v>
      </c>
      <c r="O17" s="90">
        <f t="shared" si="58"/>
        <v>0</v>
      </c>
      <c r="P17" s="91">
        <f t="shared" si="39"/>
        <v>0</v>
      </c>
      <c r="Q17" s="238">
        <f>IFERROR(VLOOKUP($B17 &amp; $C17&amp;CompareVer,tblForecast,Q$2,FALSE),0)</f>
        <v>0</v>
      </c>
      <c r="R17" s="240">
        <f t="shared" si="59"/>
        <v>0</v>
      </c>
      <c r="S17" s="240">
        <f t="shared" si="59"/>
        <v>0</v>
      </c>
      <c r="T17" s="240">
        <f>IFERROR(VLOOKUP($B17-IF(CompareVer="LY",1,0) &amp; $C17 &amp;T$4,tblForecast,T$2,FALSE),0)</f>
        <v>0</v>
      </c>
      <c r="U17" s="91">
        <f t="shared" si="7"/>
        <v>0</v>
      </c>
      <c r="V17" s="245">
        <f t="shared" ref="V17:V20" si="76">IFERROR(IF(Q16&lt;&gt;0,Q17/Q16,0),0)</f>
        <v>0</v>
      </c>
      <c r="W17" s="331">
        <f t="shared" ref="W17:W20" si="77">IFERROR(IF(R16&lt;&gt;0,R17/R16,0),0)</f>
        <v>0</v>
      </c>
      <c r="X17" s="246">
        <f t="shared" ref="X17:X20" si="78">IFERROR(IF(T16&lt;&gt;0,T17/T16,0),0)</f>
        <v>0</v>
      </c>
      <c r="Y17" s="97">
        <f t="shared" si="60"/>
        <v>0</v>
      </c>
      <c r="Z17" s="90">
        <f t="shared" si="60"/>
        <v>0</v>
      </c>
      <c r="AA17" s="90">
        <f t="shared" si="60"/>
        <v>0</v>
      </c>
      <c r="AB17" s="90">
        <f t="shared" si="60"/>
        <v>0</v>
      </c>
      <c r="AC17" s="91">
        <f t="shared" si="9"/>
        <v>0</v>
      </c>
      <c r="AD17" s="75">
        <f>IF(AM17&lt;&gt;0,1-AR17/AM17,0)</f>
        <v>0</v>
      </c>
      <c r="AE17" s="93">
        <f t="shared" si="61"/>
        <v>0</v>
      </c>
      <c r="AF17" s="93">
        <f t="shared" si="61"/>
        <v>0</v>
      </c>
      <c r="AG17" s="93">
        <f t="shared" si="61"/>
        <v>0</v>
      </c>
      <c r="AH17" s="104">
        <f>IFERROR(VLOOKUP($B17 &amp; $C17&amp;CompareVer,tblForecast,AH$2,FALSE),0)</f>
        <v>0</v>
      </c>
      <c r="AI17" s="94">
        <f t="shared" si="62"/>
        <v>0</v>
      </c>
      <c r="AJ17" s="94">
        <f t="shared" si="62"/>
        <v>0</v>
      </c>
      <c r="AK17" s="94">
        <f>IFERROR(VLOOKUP($B17-IF(CompareVer="LY",1,0) &amp; $C17 &amp;AK$4,tblForecast,AK$2,FALSE),0)</f>
        <v>0</v>
      </c>
      <c r="AL17" s="91">
        <f t="shared" si="12"/>
        <v>0</v>
      </c>
      <c r="AM17" s="104">
        <f>IFERROR(VLOOKUP($B17 &amp; $C17&amp;CompareVer,tblForecast,AM$2,FALSE),0)</f>
        <v>0</v>
      </c>
      <c r="AN17" s="94">
        <f t="shared" si="63"/>
        <v>0</v>
      </c>
      <c r="AO17" s="94">
        <f t="shared" si="63"/>
        <v>0</v>
      </c>
      <c r="AP17" s="94">
        <f>IFERROR(VLOOKUP($B17-IF(CompareVer="LY",1,0) &amp; $C17 &amp;AP$4,tblForecast,AP$2,FALSE),0)</f>
        <v>0</v>
      </c>
      <c r="AQ17" s="91">
        <f t="shared" si="14"/>
        <v>0</v>
      </c>
      <c r="AR17" s="104">
        <f>IFERROR(VLOOKUP($B17 &amp; $C17&amp;CompareVer,tblForecast,AR$2,FALSE),0)</f>
        <v>0</v>
      </c>
      <c r="AS17" s="94">
        <f t="shared" si="64"/>
        <v>0</v>
      </c>
      <c r="AT17" s="94">
        <f t="shared" si="64"/>
        <v>0</v>
      </c>
      <c r="AU17" s="94">
        <f>IFERROR(VLOOKUP($B17-IF(CompareVer="LY",1,0) &amp; $C17 &amp;AU$4,tblForecast,AU$2,FALSE),0)</f>
        <v>0</v>
      </c>
      <c r="AV17" s="91">
        <f t="shared" si="16"/>
        <v>0</v>
      </c>
      <c r="AW17" s="181">
        <f t="shared" si="17"/>
        <v>0</v>
      </c>
      <c r="AX17" s="182">
        <f t="shared" si="17"/>
        <v>0</v>
      </c>
      <c r="AY17" s="182">
        <f t="shared" si="17"/>
        <v>0</v>
      </c>
      <c r="AZ17" s="182">
        <f t="shared" si="17"/>
        <v>0</v>
      </c>
      <c r="BA17" s="227">
        <f t="shared" si="65"/>
        <v>0</v>
      </c>
      <c r="BB17" s="228">
        <f>IF(IFERROR(VLOOKUP($B17 &amp; $C17&amp;BB$4,tblForecast,BB$2,FALSE),0)=0,BA17,IFERROR(VLOOKUP($B17 &amp; $C17&amp;BB$4,tblForecast,BB$2,FALSE),0))</f>
        <v>0</v>
      </c>
      <c r="BC17" s="228">
        <f t="shared" si="66"/>
        <v>0</v>
      </c>
      <c r="BD17" s="228">
        <f t="shared" si="67"/>
        <v>-2</v>
      </c>
      <c r="BE17" s="177">
        <f t="shared" si="19"/>
        <v>-1</v>
      </c>
      <c r="BF17" s="228">
        <f>IFERROR(VLOOKUP($B17 &amp; $C17&amp;CompareVer,tblForecast,BF$2,FALSE),0)</f>
        <v>0</v>
      </c>
      <c r="BG17" s="228">
        <f>IFERROR(VLOOKUP($B17-IF(CompareVer="LY",1,0) &amp; $C17 &amp;BG$4,tblForecast,BG$2,FALSE),0)</f>
        <v>0</v>
      </c>
      <c r="BH17" s="179">
        <f>IF(Q17&lt;&gt;0,BA17/Q17,0)</f>
        <v>0</v>
      </c>
      <c r="BI17" s="183">
        <f>IF(T17&lt;&gt;0,BD17/T17,0)</f>
        <v>0</v>
      </c>
      <c r="BJ17" s="184">
        <f t="shared" si="20"/>
        <v>0</v>
      </c>
      <c r="BK17" s="96">
        <f t="shared" si="21"/>
        <v>0</v>
      </c>
      <c r="BL17" s="227">
        <f>IFERROR(VLOOKUP($B17 &amp; $C17&amp;CompareVer,tblForecast,BL$2,FALSE),0)</f>
        <v>0</v>
      </c>
      <c r="BM17" s="228">
        <f>IFERROR(VLOOKUP($B17-IF(CompareVer="LY",1,0) &amp; $C17 &amp;BM$4,tblForecast,BM$2,FALSE),0)</f>
        <v>0</v>
      </c>
      <c r="BN17" s="227">
        <f>IFERROR(VLOOKUP($B17 &amp; $C17&amp;CompareVer,tblForecast,BN$2,FALSE),0)</f>
        <v>0</v>
      </c>
      <c r="BO17" s="228">
        <f>IFERROR(VLOOKUP($B17-IF(CompareVer="LY",1,0) &amp; $C17 &amp;BO$4,tblForecast,BO$2,FALSE),0)</f>
        <v>0</v>
      </c>
      <c r="BP17" s="227">
        <f>IFERROR(VLOOKUP($B17 &amp; $C17&amp;CompareVer,tblForecast,BP$2,FALSE),0)</f>
        <v>0</v>
      </c>
      <c r="BQ17" s="228">
        <f>IFERROR(VLOOKUP($B17-IF(CompareVer="LY",1,0) &amp; $C17 &amp;BQ$4,tblForecast,BQ$2,FALSE),0)</f>
        <v>0</v>
      </c>
      <c r="BR17" s="227">
        <f t="shared" si="43"/>
        <v>0</v>
      </c>
      <c r="BS17" s="228">
        <f t="shared" si="22"/>
        <v>0</v>
      </c>
      <c r="BT17" s="227">
        <f t="shared" si="68"/>
        <v>0</v>
      </c>
      <c r="BU17" s="228">
        <f t="shared" si="68"/>
        <v>0</v>
      </c>
      <c r="BV17" s="228">
        <f>IFERROR(VLOOKUP($B17 &amp; $C17&amp;CompareVer,tblForecast,BV$2,FALSE),0)</f>
        <v>0</v>
      </c>
      <c r="BW17" s="228">
        <f t="shared" si="69"/>
        <v>0</v>
      </c>
      <c r="BX17" s="228">
        <f t="shared" si="69"/>
        <v>0</v>
      </c>
      <c r="BY17" s="176">
        <f>IFERROR(VLOOKUP($B17-IF(CompareVer="LY",1,0) &amp; $C17 &amp;BY$4,tblForecast,BY$2,FALSE),0)</f>
        <v>0</v>
      </c>
      <c r="BZ17" s="177">
        <f t="shared" si="25"/>
        <v>0</v>
      </c>
      <c r="CA17" s="90">
        <f t="shared" si="70"/>
        <v>0</v>
      </c>
      <c r="CB17" s="90">
        <f t="shared" si="70"/>
        <v>0</v>
      </c>
      <c r="CC17" s="90">
        <f>IFERROR(VLOOKUP($B17 &amp; $C17&amp;CompareVer,tblForecast,CC$2,FALSE),0)</f>
        <v>0</v>
      </c>
      <c r="CD17" s="90">
        <f t="shared" si="71"/>
        <v>0</v>
      </c>
      <c r="CE17" s="90">
        <f t="shared" si="71"/>
        <v>0</v>
      </c>
      <c r="CF17" s="90">
        <f>IFERROR(VLOOKUP($B17-IF(CompareVer="LY",1,0) &amp; $C17 &amp;CF$4,tblForecast,CF$2,FALSE),0)</f>
        <v>0</v>
      </c>
      <c r="CG17" s="177">
        <f t="shared" si="28"/>
        <v>0</v>
      </c>
      <c r="CH17" s="90">
        <f t="shared" si="72"/>
        <v>0</v>
      </c>
      <c r="CI17" s="90">
        <f t="shared" si="72"/>
        <v>0</v>
      </c>
      <c r="CJ17" s="90">
        <f>IFERROR(VLOOKUP($B17 &amp; $C17&amp;CompareVer,tblForecast,CJ$2,FALSE),0)</f>
        <v>0</v>
      </c>
      <c r="CK17" s="90">
        <f t="shared" si="73"/>
        <v>0</v>
      </c>
      <c r="CL17" s="90">
        <f t="shared" si="73"/>
        <v>0</v>
      </c>
      <c r="CM17" s="90">
        <f>IFERROR(VLOOKUP($B17-IF(CompareVer="LY",1,0) &amp; $C17 &amp;CM$4,tblForecast,CM$2,FALSE),0)</f>
        <v>0</v>
      </c>
      <c r="CN17" s="177">
        <f t="shared" si="31"/>
        <v>0</v>
      </c>
      <c r="CO17" s="178">
        <f t="shared" si="46"/>
        <v>0</v>
      </c>
      <c r="CP17" s="223">
        <f t="shared" si="32"/>
        <v>0</v>
      </c>
      <c r="CQ17" s="177">
        <f t="shared" si="33"/>
        <v>0</v>
      </c>
      <c r="CR17" s="178">
        <f t="shared" si="44"/>
        <v>0</v>
      </c>
      <c r="CS17" s="223">
        <f t="shared" si="34"/>
        <v>0</v>
      </c>
      <c r="CT17" s="177">
        <f t="shared" si="47"/>
        <v>0</v>
      </c>
      <c r="CU17" s="44"/>
      <c r="CV17" s="44"/>
      <c r="CW17" s="103">
        <f>IFERROR(VLOOKUP($B17 &amp; $C17&amp;CompareVer,tblForecast,CW$2,FALSE),0)</f>
        <v>0</v>
      </c>
      <c r="CX17" s="92">
        <f>IFERROR(VLOOKUP($B17-IF(CompareVer="LY",1,0) &amp; $C17 &amp;CX$4,tblForecast,CX$2,FALSE),0)</f>
        <v>-2</v>
      </c>
      <c r="CY17" s="91">
        <f t="shared" si="36"/>
        <v>-1</v>
      </c>
      <c r="CZ17" s="278">
        <f>IFERROR(VLOOKUP(Brand&amp;Channel&amp;Country&amp;$C17,tblDiscount,6,FALSE),0)</f>
        <v>0.35</v>
      </c>
      <c r="DA17" s="279">
        <f>(1-CZ17)*DB17</f>
        <v>16.263000000000002</v>
      </c>
      <c r="DB17" s="279">
        <f>IFERROR(VLOOKUP(Brand&amp;Country &amp; Channel &amp;FC,tblFCSettings,8,FALSE),0)</f>
        <v>25.02</v>
      </c>
      <c r="DC17" s="280">
        <f>IFERROR(VLOOKUP(Brand&amp;Country &amp; Channel &amp;FC,tblFCSettings,9,FALSE),0)</f>
        <v>4.16</v>
      </c>
    </row>
    <row r="18" spans="1:107" x14ac:dyDescent="0.25">
      <c r="A18" s="44" t="s">
        <v>335</v>
      </c>
      <c r="B18" s="44">
        <v>2018</v>
      </c>
      <c r="C18" s="88">
        <v>7</v>
      </c>
      <c r="D18" s="97">
        <f t="shared" si="74"/>
        <v>16437761.035499977</v>
      </c>
      <c r="E18" s="202">
        <f t="shared" si="75"/>
        <v>12598468.536699977</v>
      </c>
      <c r="F18" s="182">
        <f t="shared" si="45"/>
        <v>0.76643458373020312</v>
      </c>
      <c r="G18" s="176">
        <f t="shared" si="57"/>
        <v>418976</v>
      </c>
      <c r="H18" s="203">
        <f t="shared" si="57"/>
        <v>39.233180505565898</v>
      </c>
      <c r="I18" s="203">
        <f t="shared" si="57"/>
        <v>9.1635141363705799</v>
      </c>
      <c r="J18" s="176">
        <f>IFERROR(VLOOKUP($B18 &amp; $C18&amp;J$4&amp;$A18,tblForecast,J$2,FALSE),0)+IFERROR(VLOOKUP($B18 &amp; $C18 &amp; J$4 &amp; $A18,tblForecast,J$2+1,FALSE),0)</f>
        <v>9275455</v>
      </c>
      <c r="K18" s="300">
        <f>IFERROR(VLOOKUP($B18 &amp; $C18&amp;K$4&amp;$A18,tblForecast,K$2+2,FALSE),0)</f>
        <v>480444</v>
      </c>
      <c r="L18" s="90">
        <f t="shared" si="58"/>
        <v>0</v>
      </c>
      <c r="M18" s="90">
        <f t="shared" si="58"/>
        <v>0</v>
      </c>
      <c r="N18" s="90">
        <f t="shared" si="58"/>
        <v>0</v>
      </c>
      <c r="O18" s="90">
        <f t="shared" si="58"/>
        <v>0</v>
      </c>
      <c r="P18" s="91">
        <f t="shared" si="39"/>
        <v>0</v>
      </c>
      <c r="Q18" s="238">
        <f>IFERROR(VLOOKUP($B18 &amp; $C18&amp;CompareVer,tblForecast,Q$2,FALSE),0)</f>
        <v>0</v>
      </c>
      <c r="R18" s="240">
        <f t="shared" si="59"/>
        <v>0</v>
      </c>
      <c r="S18" s="240">
        <f t="shared" si="59"/>
        <v>0</v>
      </c>
      <c r="T18" s="240">
        <f>IFERROR(VLOOKUP($B18-IF(CompareVer="LY",1,0) &amp; $C18 &amp;T$4,tblForecast,T$2,FALSE),0)</f>
        <v>0</v>
      </c>
      <c r="U18" s="91">
        <f t="shared" si="7"/>
        <v>0</v>
      </c>
      <c r="V18" s="245">
        <f t="shared" si="76"/>
        <v>0</v>
      </c>
      <c r="W18" s="331">
        <f t="shared" si="77"/>
        <v>0</v>
      </c>
      <c r="X18" s="246">
        <f t="shared" si="78"/>
        <v>0</v>
      </c>
      <c r="Y18" s="97">
        <f t="shared" si="60"/>
        <v>0</v>
      </c>
      <c r="Z18" s="90">
        <f t="shared" si="60"/>
        <v>0</v>
      </c>
      <c r="AA18" s="90">
        <f t="shared" si="60"/>
        <v>0</v>
      </c>
      <c r="AB18" s="90">
        <f t="shared" si="60"/>
        <v>0</v>
      </c>
      <c r="AC18" s="91">
        <f t="shared" si="9"/>
        <v>0</v>
      </c>
      <c r="AD18" s="75">
        <f>IF(AM18&lt;&gt;0,1-AR18/AM18,0)</f>
        <v>0</v>
      </c>
      <c r="AE18" s="93">
        <f t="shared" si="61"/>
        <v>0</v>
      </c>
      <c r="AF18" s="93">
        <f t="shared" si="61"/>
        <v>0</v>
      </c>
      <c r="AG18" s="93">
        <f t="shared" si="61"/>
        <v>0</v>
      </c>
      <c r="AH18" s="104">
        <f>IFERROR(VLOOKUP($B18 &amp; $C18&amp;CompareVer,tblForecast,AH$2,FALSE),0)</f>
        <v>0</v>
      </c>
      <c r="AI18" s="94">
        <f t="shared" si="62"/>
        <v>0</v>
      </c>
      <c r="AJ18" s="94">
        <f t="shared" si="62"/>
        <v>0</v>
      </c>
      <c r="AK18" s="94">
        <f>IFERROR(VLOOKUP($B18-IF(CompareVer="LY",1,0) &amp; $C18 &amp;AK$4,tblForecast,AK$2,FALSE),0)</f>
        <v>0</v>
      </c>
      <c r="AL18" s="91">
        <f t="shared" si="12"/>
        <v>0</v>
      </c>
      <c r="AM18" s="104">
        <f>IFERROR(VLOOKUP($B18 &amp; $C18&amp;CompareVer,tblForecast,AM$2,FALSE),0)</f>
        <v>0</v>
      </c>
      <c r="AN18" s="94">
        <f t="shared" si="63"/>
        <v>0</v>
      </c>
      <c r="AO18" s="94">
        <f t="shared" si="63"/>
        <v>0</v>
      </c>
      <c r="AP18" s="94">
        <f>IFERROR(VLOOKUP($B18-IF(CompareVer="LY",1,0) &amp; $C18 &amp;AP$4,tblForecast,AP$2,FALSE),0)</f>
        <v>0</v>
      </c>
      <c r="AQ18" s="91">
        <f t="shared" si="14"/>
        <v>0</v>
      </c>
      <c r="AR18" s="104">
        <f>IFERROR(VLOOKUP($B18 &amp; $C18&amp;CompareVer,tblForecast,AR$2,FALSE),0)</f>
        <v>0</v>
      </c>
      <c r="AS18" s="94">
        <f t="shared" si="64"/>
        <v>0</v>
      </c>
      <c r="AT18" s="94">
        <f t="shared" si="64"/>
        <v>0</v>
      </c>
      <c r="AU18" s="94">
        <f>IFERROR(VLOOKUP($B18-IF(CompareVer="LY",1,0) &amp; $C18 &amp;AU$4,tblForecast,AU$2,FALSE),0)</f>
        <v>0</v>
      </c>
      <c r="AV18" s="91">
        <f t="shared" si="16"/>
        <v>0</v>
      </c>
      <c r="AW18" s="181">
        <f t="shared" si="17"/>
        <v>0</v>
      </c>
      <c r="AX18" s="182">
        <f t="shared" si="17"/>
        <v>0</v>
      </c>
      <c r="AY18" s="182">
        <f t="shared" si="17"/>
        <v>0</v>
      </c>
      <c r="AZ18" s="182">
        <f t="shared" si="17"/>
        <v>0</v>
      </c>
      <c r="BA18" s="227">
        <f t="shared" si="65"/>
        <v>-1</v>
      </c>
      <c r="BB18" s="228">
        <f>IF(IFERROR(VLOOKUP($B18 &amp; $C18&amp;BB$4,tblForecast,BB$2,FALSE),0)=0,BA18,IFERROR(VLOOKUP($B18 &amp; $C18&amp;BB$4,tblForecast,BB$2,FALSE),0))</f>
        <v>-1</v>
      </c>
      <c r="BC18" s="228">
        <f t="shared" si="66"/>
        <v>0</v>
      </c>
      <c r="BD18" s="228">
        <f t="shared" si="67"/>
        <v>-2</v>
      </c>
      <c r="BE18" s="177">
        <f t="shared" si="19"/>
        <v>-0.5</v>
      </c>
      <c r="BF18" s="228">
        <f>IFERROR(VLOOKUP($B18 &amp; $C18&amp;CompareVer,tblForecast,BF$2,FALSE),0)</f>
        <v>0</v>
      </c>
      <c r="BG18" s="228">
        <f>IFERROR(VLOOKUP($B18-IF(CompareVer="LY",1,0) &amp; $C18 &amp;BG$4,tblForecast,BG$2,FALSE),0)</f>
        <v>0</v>
      </c>
      <c r="BH18" s="179">
        <f>IF(Q18&lt;&gt;0,BA18/Q18,0)</f>
        <v>0</v>
      </c>
      <c r="BI18" s="183">
        <f>IF(T18&lt;&gt;0,BD18/T18,0)</f>
        <v>0</v>
      </c>
      <c r="BJ18" s="184">
        <f t="shared" si="20"/>
        <v>0</v>
      </c>
      <c r="BK18" s="96">
        <f t="shared" si="21"/>
        <v>0</v>
      </c>
      <c r="BL18" s="227">
        <f>IFERROR(VLOOKUP($B18 &amp; $C18&amp;CompareVer,tblForecast,BL$2,FALSE),0)</f>
        <v>-1</v>
      </c>
      <c r="BM18" s="228">
        <f>IFERROR(VLOOKUP($B18-IF(CompareVer="LY",1,0) &amp; $C18 &amp;BM$4,tblForecast,BM$2,FALSE),0)</f>
        <v>0</v>
      </c>
      <c r="BN18" s="227">
        <f>IFERROR(VLOOKUP($B18 &amp; $C18&amp;CompareVer,tblForecast,BN$2,FALSE),0)</f>
        <v>0</v>
      </c>
      <c r="BO18" s="228">
        <f>IFERROR(VLOOKUP($B18-IF(CompareVer="LY",1,0) &amp; $C18 &amp;BO$4,tblForecast,BO$2,FALSE),0)</f>
        <v>0</v>
      </c>
      <c r="BP18" s="227">
        <f>IFERROR(VLOOKUP($B18 &amp; $C18&amp;CompareVer,tblForecast,BP$2,FALSE),0)</f>
        <v>0</v>
      </c>
      <c r="BQ18" s="228">
        <f>IFERROR(VLOOKUP($B18-IF(CompareVer="LY",1,0) &amp; $C18 &amp;BQ$4,tblForecast,BQ$2,FALSE),0)</f>
        <v>0</v>
      </c>
      <c r="BR18" s="227">
        <f t="shared" si="43"/>
        <v>0</v>
      </c>
      <c r="BS18" s="228">
        <f t="shared" si="22"/>
        <v>0</v>
      </c>
      <c r="BT18" s="227">
        <f t="shared" si="68"/>
        <v>0</v>
      </c>
      <c r="BU18" s="228">
        <f t="shared" si="68"/>
        <v>0</v>
      </c>
      <c r="BV18" s="228">
        <f>IFERROR(VLOOKUP($B18 &amp; $C18&amp;CompareVer,tblForecast,BV$2,FALSE),0)</f>
        <v>0</v>
      </c>
      <c r="BW18" s="228">
        <f t="shared" si="69"/>
        <v>0</v>
      </c>
      <c r="BX18" s="228">
        <f t="shared" si="69"/>
        <v>0</v>
      </c>
      <c r="BY18" s="176">
        <f>IFERROR(VLOOKUP($B18-IF(CompareVer="LY",1,0) &amp; $C18 &amp;BY$4,tblForecast,BY$2,FALSE),0)</f>
        <v>0</v>
      </c>
      <c r="BZ18" s="177">
        <f t="shared" si="25"/>
        <v>0</v>
      </c>
      <c r="CA18" s="90">
        <f t="shared" si="70"/>
        <v>0</v>
      </c>
      <c r="CB18" s="90">
        <f t="shared" si="70"/>
        <v>0</v>
      </c>
      <c r="CC18" s="90">
        <f>IFERROR(VLOOKUP($B18 &amp; $C18&amp;CompareVer,tblForecast,CC$2,FALSE),0)</f>
        <v>0</v>
      </c>
      <c r="CD18" s="90">
        <f t="shared" si="71"/>
        <v>0</v>
      </c>
      <c r="CE18" s="90">
        <f t="shared" si="71"/>
        <v>0</v>
      </c>
      <c r="CF18" s="90">
        <f>IFERROR(VLOOKUP($B18-IF(CompareVer="LY",1,0) &amp; $C18 &amp;CF$4,tblForecast,CF$2,FALSE),0)</f>
        <v>0</v>
      </c>
      <c r="CG18" s="177">
        <f t="shared" si="28"/>
        <v>0</v>
      </c>
      <c r="CH18" s="90">
        <f t="shared" si="72"/>
        <v>0</v>
      </c>
      <c r="CI18" s="90">
        <f t="shared" si="72"/>
        <v>0</v>
      </c>
      <c r="CJ18" s="90">
        <f>IFERROR(VLOOKUP($B18 &amp; $C18&amp;CompareVer,tblForecast,CJ$2,FALSE),0)</f>
        <v>0</v>
      </c>
      <c r="CK18" s="90">
        <f t="shared" si="73"/>
        <v>0</v>
      </c>
      <c r="CL18" s="90">
        <f t="shared" si="73"/>
        <v>0</v>
      </c>
      <c r="CM18" s="90">
        <f>IFERROR(VLOOKUP($B18-IF(CompareVer="LY",1,0) &amp; $C18 &amp;CM$4,tblForecast,CM$2,FALSE),0)</f>
        <v>0</v>
      </c>
      <c r="CN18" s="177">
        <f t="shared" si="31"/>
        <v>0</v>
      </c>
      <c r="CO18" s="178">
        <f t="shared" si="46"/>
        <v>0</v>
      </c>
      <c r="CP18" s="223">
        <f t="shared" si="32"/>
        <v>0</v>
      </c>
      <c r="CQ18" s="177">
        <f t="shared" si="33"/>
        <v>0</v>
      </c>
      <c r="CR18" s="178">
        <f t="shared" si="44"/>
        <v>0</v>
      </c>
      <c r="CS18" s="223">
        <f t="shared" si="34"/>
        <v>0</v>
      </c>
      <c r="CT18" s="177">
        <f t="shared" si="47"/>
        <v>0</v>
      </c>
      <c r="CU18" s="44"/>
      <c r="CV18" s="44"/>
      <c r="CW18" s="103">
        <f>IFERROR(VLOOKUP($B18 &amp; $C18&amp;CompareVer,tblForecast,CW$2,FALSE),0)</f>
        <v>-1</v>
      </c>
      <c r="CX18" s="92">
        <f>IFERROR(VLOOKUP($B18-IF(CompareVer="LY",1,0) &amp; $C18 &amp;CX$4,tblForecast,CX$2,FALSE),0)</f>
        <v>-2</v>
      </c>
      <c r="CY18" s="91">
        <f t="shared" si="36"/>
        <v>-0.5</v>
      </c>
      <c r="CZ18" s="278">
        <f>IFERROR(VLOOKUP(Brand&amp;Channel&amp;Country&amp;$C18,tblDiscount,6,FALSE),0)</f>
        <v>0.35</v>
      </c>
      <c r="DA18" s="279">
        <f>(1-CZ18)*DB18</f>
        <v>16.263000000000002</v>
      </c>
      <c r="DB18" s="279">
        <f>IFERROR(VLOOKUP(Brand&amp;Country &amp; Channel &amp;FC,tblFCSettings,8,FALSE),0)</f>
        <v>25.02</v>
      </c>
      <c r="DC18" s="280">
        <f>IFERROR(VLOOKUP(Brand&amp;Country &amp; Channel &amp;FC,tblFCSettings,9,FALSE),0)</f>
        <v>4.16</v>
      </c>
    </row>
    <row r="19" spans="1:107" x14ac:dyDescent="0.25">
      <c r="A19" s="44" t="s">
        <v>335</v>
      </c>
      <c r="B19" s="44">
        <v>2018</v>
      </c>
      <c r="C19" s="88">
        <v>8</v>
      </c>
      <c r="D19" s="97">
        <f t="shared" ref="D19:D20" si="79">G19*H19</f>
        <v>18715880.803099956</v>
      </c>
      <c r="E19" s="202">
        <f t="shared" si="75"/>
        <v>13800247.387899958</v>
      </c>
      <c r="F19" s="182">
        <f t="shared" si="45"/>
        <v>0.73735495182327671</v>
      </c>
      <c r="G19" s="176">
        <f t="shared" si="57"/>
        <v>495798</v>
      </c>
      <c r="H19" s="203">
        <f t="shared" si="57"/>
        <v>37.749004237814503</v>
      </c>
      <c r="I19" s="203">
        <f t="shared" si="57"/>
        <v>9.9145890366641201</v>
      </c>
      <c r="J19" s="176">
        <f>IFERROR(VLOOKUP($B19 &amp; $C19&amp;J$4&amp;$A19,tblForecast,J$2,FALSE),0)+IFERROR(VLOOKUP($B19 &amp; $C19 &amp; J$4 &amp; $A19,tblForecast,J$2+1,FALSE),0)</f>
        <v>9237992</v>
      </c>
      <c r="K19" s="300">
        <f>IFERROR(VLOOKUP($B19 &amp; $C19&amp;K$4&amp;$A19,tblForecast,K$2+2,FALSE),0)</f>
        <v>458994</v>
      </c>
      <c r="L19" s="90">
        <f t="shared" si="58"/>
        <v>0</v>
      </c>
      <c r="M19" s="90">
        <f t="shared" si="58"/>
        <v>0</v>
      </c>
      <c r="N19" s="90">
        <f t="shared" si="58"/>
        <v>0</v>
      </c>
      <c r="O19" s="90">
        <f t="shared" si="58"/>
        <v>0</v>
      </c>
      <c r="P19" s="91">
        <f t="shared" si="39"/>
        <v>0</v>
      </c>
      <c r="Q19" s="238">
        <f>IFERROR(VLOOKUP($B19 &amp; $C19&amp;CompareVer,tblForecast,Q$2,FALSE),0)</f>
        <v>0</v>
      </c>
      <c r="R19" s="240">
        <f t="shared" si="59"/>
        <v>0</v>
      </c>
      <c r="S19" s="240">
        <f t="shared" si="59"/>
        <v>0</v>
      </c>
      <c r="T19" s="240">
        <f>IFERROR(VLOOKUP($B19-IF(CompareVer="LY",1,0) &amp; $C19 &amp;T$4,tblForecast,T$2,FALSE),0)</f>
        <v>0</v>
      </c>
      <c r="U19" s="91">
        <f t="shared" si="7"/>
        <v>0</v>
      </c>
      <c r="V19" s="245">
        <f t="shared" si="76"/>
        <v>0</v>
      </c>
      <c r="W19" s="331">
        <f t="shared" si="77"/>
        <v>0</v>
      </c>
      <c r="X19" s="246">
        <f t="shared" si="78"/>
        <v>0</v>
      </c>
      <c r="Y19" s="97">
        <f t="shared" si="60"/>
        <v>0</v>
      </c>
      <c r="Z19" s="90">
        <f t="shared" si="60"/>
        <v>0</v>
      </c>
      <c r="AA19" s="90">
        <f t="shared" si="60"/>
        <v>0</v>
      </c>
      <c r="AB19" s="90">
        <f t="shared" si="60"/>
        <v>0</v>
      </c>
      <c r="AC19" s="91">
        <f t="shared" si="9"/>
        <v>0</v>
      </c>
      <c r="AD19" s="75">
        <f>IF(AM19&lt;&gt;0,1-AR19/AM19,0)</f>
        <v>0</v>
      </c>
      <c r="AE19" s="93">
        <f t="shared" si="61"/>
        <v>0</v>
      </c>
      <c r="AF19" s="93">
        <f t="shared" si="61"/>
        <v>0</v>
      </c>
      <c r="AG19" s="93">
        <f t="shared" si="61"/>
        <v>0</v>
      </c>
      <c r="AH19" s="104">
        <f>IFERROR(VLOOKUP($B19 &amp; $C19&amp;CompareVer,tblForecast,AH$2,FALSE),0)</f>
        <v>0</v>
      </c>
      <c r="AI19" s="94">
        <f t="shared" si="62"/>
        <v>0</v>
      </c>
      <c r="AJ19" s="94">
        <f t="shared" si="62"/>
        <v>0</v>
      </c>
      <c r="AK19" s="94">
        <f>IFERROR(VLOOKUP($B19-IF(CompareVer="LY",1,0) &amp; $C19 &amp;AK$4,tblForecast,AK$2,FALSE),0)</f>
        <v>0</v>
      </c>
      <c r="AL19" s="91">
        <f t="shared" si="12"/>
        <v>0</v>
      </c>
      <c r="AM19" s="104">
        <f>IFERROR(VLOOKUP($B19 &amp; $C19&amp;CompareVer,tblForecast,AM$2,FALSE),0)</f>
        <v>0</v>
      </c>
      <c r="AN19" s="94">
        <f t="shared" si="63"/>
        <v>0</v>
      </c>
      <c r="AO19" s="94">
        <f t="shared" si="63"/>
        <v>0</v>
      </c>
      <c r="AP19" s="94">
        <f>IFERROR(VLOOKUP($B19-IF(CompareVer="LY",1,0) &amp; $C19 &amp;AP$4,tblForecast,AP$2,FALSE),0)</f>
        <v>0</v>
      </c>
      <c r="AQ19" s="91">
        <f t="shared" si="14"/>
        <v>0</v>
      </c>
      <c r="AR19" s="104">
        <f>IFERROR(VLOOKUP($B19 &amp; $C19&amp;CompareVer,tblForecast,AR$2,FALSE),0)</f>
        <v>0</v>
      </c>
      <c r="AS19" s="94">
        <f t="shared" si="64"/>
        <v>0</v>
      </c>
      <c r="AT19" s="94">
        <f t="shared" si="64"/>
        <v>0</v>
      </c>
      <c r="AU19" s="94">
        <f>IFERROR(VLOOKUP($B19-IF(CompareVer="LY",1,0) &amp; $C19 &amp;AU$4,tblForecast,AU$2,FALSE),0)</f>
        <v>0</v>
      </c>
      <c r="AV19" s="91">
        <f t="shared" si="16"/>
        <v>0</v>
      </c>
      <c r="AW19" s="181">
        <f t="shared" si="17"/>
        <v>0</v>
      </c>
      <c r="AX19" s="182">
        <f t="shared" si="17"/>
        <v>0</v>
      </c>
      <c r="AY19" s="182">
        <f t="shared" si="17"/>
        <v>0</v>
      </c>
      <c r="AZ19" s="182">
        <f t="shared" si="17"/>
        <v>0</v>
      </c>
      <c r="BA19" s="227">
        <f t="shared" si="65"/>
        <v>-1</v>
      </c>
      <c r="BB19" s="228">
        <f>IF(IFERROR(VLOOKUP($B19 &amp; $C19&amp;BB$4,tblForecast,BB$2,FALSE),0)=0,BA19,IFERROR(VLOOKUP($B19 &amp; $C19&amp;BB$4,tblForecast,BB$2,FALSE),0))</f>
        <v>-1</v>
      </c>
      <c r="BC19" s="228">
        <f t="shared" si="66"/>
        <v>0</v>
      </c>
      <c r="BD19" s="228">
        <f t="shared" si="67"/>
        <v>-2</v>
      </c>
      <c r="BE19" s="177">
        <f t="shared" si="19"/>
        <v>-0.5</v>
      </c>
      <c r="BF19" s="228">
        <f>IFERROR(VLOOKUP($B19 &amp; $C19&amp;CompareVer,tblForecast,BF$2,FALSE),0)</f>
        <v>0</v>
      </c>
      <c r="BG19" s="228">
        <f>IFERROR(VLOOKUP($B19-IF(CompareVer="LY",1,0) &amp; $C19 &amp;BG$4,tblForecast,BG$2,FALSE),0)</f>
        <v>0</v>
      </c>
      <c r="BH19" s="179">
        <f>IF(Q19&lt;&gt;0,BA19/Q19,0)</f>
        <v>0</v>
      </c>
      <c r="BI19" s="183">
        <f>IF(T19&lt;&gt;0,BD19/T19,0)</f>
        <v>0</v>
      </c>
      <c r="BJ19" s="184">
        <f t="shared" si="20"/>
        <v>0</v>
      </c>
      <c r="BK19" s="96">
        <f t="shared" si="21"/>
        <v>0</v>
      </c>
      <c r="BL19" s="227">
        <f>IFERROR(VLOOKUP($B19 &amp; $C19&amp;CompareVer,tblForecast,BL$2,FALSE),0)</f>
        <v>0</v>
      </c>
      <c r="BM19" s="228">
        <f>IFERROR(VLOOKUP($B19-IF(CompareVer="LY",1,0) &amp; $C19 &amp;BM$4,tblForecast,BM$2,FALSE),0)</f>
        <v>0</v>
      </c>
      <c r="BN19" s="227">
        <f>IFERROR(VLOOKUP($B19 &amp; $C19&amp;CompareVer,tblForecast,BN$2,FALSE),0)</f>
        <v>0</v>
      </c>
      <c r="BO19" s="228">
        <f>IFERROR(VLOOKUP($B19-IF(CompareVer="LY",1,0) &amp; $C19 &amp;BO$4,tblForecast,BO$2,FALSE),0)</f>
        <v>0</v>
      </c>
      <c r="BP19" s="227">
        <f>IFERROR(VLOOKUP($B19 &amp; $C19&amp;CompareVer,tblForecast,BP$2,FALSE),0)</f>
        <v>0</v>
      </c>
      <c r="BQ19" s="228">
        <f>IFERROR(VLOOKUP($B19-IF(CompareVer="LY",1,0) &amp; $C19 &amp;BQ$4,tblForecast,BQ$2,FALSE),0)</f>
        <v>0</v>
      </c>
      <c r="BR19" s="227">
        <f t="shared" si="43"/>
        <v>0</v>
      </c>
      <c r="BS19" s="228">
        <f t="shared" si="22"/>
        <v>0</v>
      </c>
      <c r="BT19" s="227">
        <f t="shared" si="68"/>
        <v>0</v>
      </c>
      <c r="BU19" s="228">
        <f t="shared" si="68"/>
        <v>0</v>
      </c>
      <c r="BV19" s="228">
        <f>IFERROR(VLOOKUP($B19 &amp; $C19&amp;CompareVer,tblForecast,BV$2,FALSE),0)</f>
        <v>0</v>
      </c>
      <c r="BW19" s="228">
        <f t="shared" si="69"/>
        <v>0</v>
      </c>
      <c r="BX19" s="228">
        <f t="shared" si="69"/>
        <v>0</v>
      </c>
      <c r="BY19" s="176">
        <f>IFERROR(VLOOKUP($B19-IF(CompareVer="LY",1,0) &amp; $C19 &amp;BY$4,tblForecast,BY$2,FALSE),0)</f>
        <v>0</v>
      </c>
      <c r="BZ19" s="177">
        <f t="shared" si="25"/>
        <v>0</v>
      </c>
      <c r="CA19" s="90">
        <f t="shared" si="70"/>
        <v>0</v>
      </c>
      <c r="CB19" s="90">
        <f t="shared" si="70"/>
        <v>0</v>
      </c>
      <c r="CC19" s="90">
        <f>IFERROR(VLOOKUP($B19 &amp; $C19&amp;CompareVer,tblForecast,CC$2,FALSE),0)</f>
        <v>0</v>
      </c>
      <c r="CD19" s="90">
        <f t="shared" si="71"/>
        <v>0</v>
      </c>
      <c r="CE19" s="90">
        <f t="shared" si="71"/>
        <v>0</v>
      </c>
      <c r="CF19" s="90">
        <f>IFERROR(VLOOKUP($B19-IF(CompareVer="LY",1,0) &amp; $C19 &amp;CF$4,tblForecast,CF$2,FALSE),0)</f>
        <v>0</v>
      </c>
      <c r="CG19" s="177">
        <f t="shared" si="28"/>
        <v>0</v>
      </c>
      <c r="CH19" s="90">
        <f t="shared" si="72"/>
        <v>0</v>
      </c>
      <c r="CI19" s="90">
        <f t="shared" si="72"/>
        <v>0</v>
      </c>
      <c r="CJ19" s="90">
        <f>IFERROR(VLOOKUP($B19 &amp; $C19&amp;CompareVer,tblForecast,CJ$2,FALSE),0)</f>
        <v>0</v>
      </c>
      <c r="CK19" s="90">
        <f t="shared" si="73"/>
        <v>0</v>
      </c>
      <c r="CL19" s="90">
        <f t="shared" si="73"/>
        <v>0</v>
      </c>
      <c r="CM19" s="90">
        <f>IFERROR(VLOOKUP($B19-IF(CompareVer="LY",1,0) &amp; $C19 &amp;CM$4,tblForecast,CM$2,FALSE),0)</f>
        <v>0</v>
      </c>
      <c r="CN19" s="177">
        <f t="shared" si="31"/>
        <v>0</v>
      </c>
      <c r="CO19" s="178">
        <f t="shared" si="46"/>
        <v>0</v>
      </c>
      <c r="CP19" s="223">
        <f t="shared" si="32"/>
        <v>0</v>
      </c>
      <c r="CQ19" s="177">
        <f t="shared" si="33"/>
        <v>0</v>
      </c>
      <c r="CR19" s="178">
        <f t="shared" si="44"/>
        <v>0</v>
      </c>
      <c r="CS19" s="223">
        <f t="shared" si="34"/>
        <v>0</v>
      </c>
      <c r="CT19" s="177">
        <f t="shared" si="47"/>
        <v>0</v>
      </c>
      <c r="CU19" s="44"/>
      <c r="CV19" s="44"/>
      <c r="CW19" s="103">
        <f>IFERROR(VLOOKUP($B19 &amp; $C19&amp;CompareVer,tblForecast,CW$2,FALSE),0)</f>
        <v>-1</v>
      </c>
      <c r="CX19" s="92">
        <f>IFERROR(VLOOKUP($B19-IF(CompareVer="LY",1,0) &amp; $C19 &amp;CX$4,tblForecast,CX$2,FALSE),0)</f>
        <v>-2</v>
      </c>
      <c r="CY19" s="91">
        <f t="shared" si="36"/>
        <v>-0.5</v>
      </c>
      <c r="CZ19" s="278">
        <f>IFERROR(VLOOKUP(Brand&amp;Channel&amp;Country&amp;$C19,tblDiscount,6,FALSE),0)</f>
        <v>0.4</v>
      </c>
      <c r="DA19" s="279">
        <f>(1-CZ19)*DB19</f>
        <v>15.011999999999999</v>
      </c>
      <c r="DB19" s="279">
        <f>IFERROR(VLOOKUP(Brand&amp;Country &amp; Channel &amp;FC,tblFCSettings,8,FALSE),0)</f>
        <v>25.02</v>
      </c>
      <c r="DC19" s="280">
        <f>IFERROR(VLOOKUP(Brand&amp;Country &amp; Channel &amp;FC,tblFCSettings,9,FALSE),0)</f>
        <v>4.16</v>
      </c>
    </row>
    <row r="20" spans="1:107" ht="16.5" thickBot="1" x14ac:dyDescent="0.3">
      <c r="A20" s="44" t="s">
        <v>335</v>
      </c>
      <c r="B20" s="44">
        <v>2018</v>
      </c>
      <c r="C20" s="88">
        <v>9</v>
      </c>
      <c r="D20" s="97">
        <f t="shared" si="79"/>
        <v>12301895.203799982</v>
      </c>
      <c r="E20" s="202">
        <f t="shared" si="75"/>
        <v>9858022.7323999815</v>
      </c>
      <c r="F20" s="182">
        <f t="shared" si="45"/>
        <v>0.80134179076366197</v>
      </c>
      <c r="G20" s="176">
        <f t="shared" si="57"/>
        <v>277837</v>
      </c>
      <c r="H20" s="203">
        <f t="shared" si="57"/>
        <v>44.277382795667897</v>
      </c>
      <c r="I20" s="203">
        <f t="shared" si="57"/>
        <v>8.7960655758592292</v>
      </c>
      <c r="J20" s="176">
        <f>IFERROR(VLOOKUP($B20 &amp; $C20&amp;J$4&amp;$A20,tblForecast,J$2,FALSE),0)+IFERROR(VLOOKUP($B20 &amp; $C20 &amp; J$4 &amp; $A20,tblForecast,J$2+1,FALSE),0)</f>
        <v>9014658</v>
      </c>
      <c r="K20" s="300">
        <f>IFERROR(VLOOKUP($B20 &amp; $C20&amp;K$4&amp;$A20,tblForecast,K$2+2,FALSE),0)</f>
        <v>68662</v>
      </c>
      <c r="L20" s="90">
        <f t="shared" si="58"/>
        <v>0</v>
      </c>
      <c r="M20" s="90">
        <f t="shared" si="58"/>
        <v>8.9700000000000006</v>
      </c>
      <c r="N20" s="90">
        <f t="shared" si="58"/>
        <v>0</v>
      </c>
      <c r="O20" s="90">
        <f t="shared" si="58"/>
        <v>0</v>
      </c>
      <c r="P20" s="91">
        <f t="shared" si="39"/>
        <v>0</v>
      </c>
      <c r="Q20" s="238">
        <f>IFERROR(VLOOKUP($B20 &amp; $C20&amp;CompareVer,tblForecast,Q$2,FALSE),0)</f>
        <v>0</v>
      </c>
      <c r="R20" s="240">
        <f t="shared" si="59"/>
        <v>1</v>
      </c>
      <c r="S20" s="240">
        <f t="shared" si="59"/>
        <v>0</v>
      </c>
      <c r="T20" s="240">
        <f>IFERROR(VLOOKUP($B20-IF(CompareVer="LY",1,0) &amp; $C20 &amp;T$4,tblForecast,T$2,FALSE),0)</f>
        <v>0</v>
      </c>
      <c r="U20" s="91">
        <f t="shared" si="7"/>
        <v>0</v>
      </c>
      <c r="V20" s="245">
        <f t="shared" si="76"/>
        <v>0</v>
      </c>
      <c r="W20" s="331">
        <f t="shared" si="77"/>
        <v>0</v>
      </c>
      <c r="X20" s="246">
        <f t="shared" si="78"/>
        <v>0</v>
      </c>
      <c r="Y20" s="97">
        <f t="shared" si="60"/>
        <v>0</v>
      </c>
      <c r="Z20" s="90">
        <f t="shared" si="60"/>
        <v>6.91</v>
      </c>
      <c r="AA20" s="90">
        <f t="shared" si="60"/>
        <v>0</v>
      </c>
      <c r="AB20" s="90">
        <f t="shared" si="60"/>
        <v>0</v>
      </c>
      <c r="AC20" s="91">
        <f t="shared" si="9"/>
        <v>0</v>
      </c>
      <c r="AD20" s="75">
        <f>IF(AM20&lt;&gt;0,1-AR20/AM20,0)</f>
        <v>0</v>
      </c>
      <c r="AE20" s="93">
        <f t="shared" si="61"/>
        <v>0.77034559643255296</v>
      </c>
      <c r="AF20" s="93">
        <f t="shared" si="61"/>
        <v>0</v>
      </c>
      <c r="AG20" s="93">
        <f t="shared" si="61"/>
        <v>0</v>
      </c>
      <c r="AH20" s="104">
        <f>IFERROR(VLOOKUP($B20 &amp; $C20&amp;CompareVer,tblForecast,AH$2,FALSE),0)</f>
        <v>0</v>
      </c>
      <c r="AI20" s="94">
        <f t="shared" si="62"/>
        <v>14.95</v>
      </c>
      <c r="AJ20" s="94">
        <f t="shared" si="62"/>
        <v>0</v>
      </c>
      <c r="AK20" s="94">
        <f>IFERROR(VLOOKUP($B20-IF(CompareVer="LY",1,0) &amp; $C20 &amp;AK$4,tblForecast,AK$2,FALSE),0)</f>
        <v>0</v>
      </c>
      <c r="AL20" s="91">
        <f t="shared" si="12"/>
        <v>0</v>
      </c>
      <c r="AM20" s="104">
        <f>IFERROR(VLOOKUP($B20 &amp; $C20&amp;CompareVer,tblForecast,AM$2,FALSE),0)</f>
        <v>0</v>
      </c>
      <c r="AN20" s="94">
        <f t="shared" si="63"/>
        <v>8.9700000000000006</v>
      </c>
      <c r="AO20" s="94">
        <f t="shared" si="63"/>
        <v>0</v>
      </c>
      <c r="AP20" s="94">
        <f>IFERROR(VLOOKUP($B20-IF(CompareVer="LY",1,0) &amp; $C20 &amp;AP$4,tblForecast,AP$2,FALSE),0)</f>
        <v>0</v>
      </c>
      <c r="AQ20" s="91">
        <f t="shared" si="14"/>
        <v>0</v>
      </c>
      <c r="AR20" s="104">
        <f>IFERROR(VLOOKUP($B20 &amp; $C20&amp;CompareVer,tblForecast,AR$2,FALSE),0)</f>
        <v>0</v>
      </c>
      <c r="AS20" s="94">
        <f t="shared" si="64"/>
        <v>2.06</v>
      </c>
      <c r="AT20" s="94">
        <f t="shared" si="64"/>
        <v>0</v>
      </c>
      <c r="AU20" s="94">
        <f>IFERROR(VLOOKUP($B20-IF(CompareVer="LY",1,0) &amp; $C20 &amp;AU$4,tblForecast,AU$2,FALSE),0)</f>
        <v>0</v>
      </c>
      <c r="AV20" s="91">
        <f t="shared" si="16"/>
        <v>0</v>
      </c>
      <c r="AW20" s="181">
        <f t="shared" si="17"/>
        <v>0</v>
      </c>
      <c r="AX20" s="182">
        <f t="shared" si="17"/>
        <v>0.39999999999999991</v>
      </c>
      <c r="AY20" s="182">
        <f t="shared" si="17"/>
        <v>0</v>
      </c>
      <c r="AZ20" s="182">
        <f t="shared" si="17"/>
        <v>0</v>
      </c>
      <c r="BA20" s="227">
        <f t="shared" si="65"/>
        <v>-1</v>
      </c>
      <c r="BB20" s="228">
        <f>IF(IFERROR(VLOOKUP($B20 &amp; $C20&amp;BB$4,tblForecast,BB$2,FALSE),0)=0,BA20,IFERROR(VLOOKUP($B20 &amp; $C20&amp;BB$4,tblForecast,BB$2,FALSE),0))</f>
        <v>-1</v>
      </c>
      <c r="BC20" s="228">
        <f t="shared" si="66"/>
        <v>0</v>
      </c>
      <c r="BD20" s="228">
        <f t="shared" si="67"/>
        <v>-2</v>
      </c>
      <c r="BE20" s="177">
        <f t="shared" si="19"/>
        <v>-0.5</v>
      </c>
      <c r="BF20" s="228">
        <f>IFERROR(VLOOKUP($B20 &amp; $C20&amp;CompareVer,tblForecast,BF$2,FALSE),0)</f>
        <v>0</v>
      </c>
      <c r="BG20" s="228">
        <f>IFERROR(VLOOKUP($B20-IF(CompareVer="LY",1,0) &amp; $C20 &amp;BG$4,tblForecast,BG$2,FALSE),0)</f>
        <v>0</v>
      </c>
      <c r="BH20" s="179">
        <f>IF(Q20&lt;&gt;0,BA20/Q20,0)</f>
        <v>0</v>
      </c>
      <c r="BI20" s="183">
        <f>IF(T20&lt;&gt;0,BD20/T20,0)</f>
        <v>0</v>
      </c>
      <c r="BJ20" s="184">
        <f t="shared" si="20"/>
        <v>0</v>
      </c>
      <c r="BK20" s="96">
        <f t="shared" si="21"/>
        <v>0</v>
      </c>
      <c r="BL20" s="227">
        <f>IFERROR(VLOOKUP($B20 &amp; $C20&amp;CompareVer,tblForecast,BL$2,FALSE),0)</f>
        <v>0</v>
      </c>
      <c r="BM20" s="228">
        <f>IFERROR(VLOOKUP($B20-IF(CompareVer="LY",1,0) &amp; $C20 &amp;BM$4,tblForecast,BM$2,FALSE),0)</f>
        <v>0</v>
      </c>
      <c r="BN20" s="227">
        <f>IFERROR(VLOOKUP($B20 &amp; $C20&amp;CompareVer,tblForecast,BN$2,FALSE),0)</f>
        <v>0</v>
      </c>
      <c r="BO20" s="228">
        <f>IFERROR(VLOOKUP($B20-IF(CompareVer="LY",1,0) &amp; $C20 &amp;BO$4,tblForecast,BO$2,FALSE),0)</f>
        <v>0</v>
      </c>
      <c r="BP20" s="227">
        <f>IFERROR(VLOOKUP($B20 &amp; $C20&amp;CompareVer,tblForecast,BP$2,FALSE),0)</f>
        <v>0</v>
      </c>
      <c r="BQ20" s="228">
        <f>IFERROR(VLOOKUP($B20-IF(CompareVer="LY",1,0) &amp; $C20 &amp;BQ$4,tblForecast,BQ$2,FALSE),0)</f>
        <v>0</v>
      </c>
      <c r="BR20" s="227">
        <f t="shared" si="43"/>
        <v>0</v>
      </c>
      <c r="BS20" s="228">
        <f t="shared" si="22"/>
        <v>0</v>
      </c>
      <c r="BT20" s="227">
        <f t="shared" si="68"/>
        <v>0</v>
      </c>
      <c r="BU20" s="228">
        <f t="shared" si="68"/>
        <v>0</v>
      </c>
      <c r="BV20" s="228">
        <f>IFERROR(VLOOKUP($B20 &amp; $C20&amp;CompareVer,tblForecast,BV$2,FALSE),0)</f>
        <v>0</v>
      </c>
      <c r="BW20" s="228">
        <f t="shared" si="69"/>
        <v>0</v>
      </c>
      <c r="BX20" s="228">
        <f t="shared" si="69"/>
        <v>0</v>
      </c>
      <c r="BY20" s="176">
        <f>IFERROR(VLOOKUP($B20-IF(CompareVer="LY",1,0) &amp; $C20 &amp;BY$4,tblForecast,BY$2,FALSE),0)</f>
        <v>0</v>
      </c>
      <c r="BZ20" s="177">
        <f t="shared" si="25"/>
        <v>0</v>
      </c>
      <c r="CA20" s="90">
        <f t="shared" si="70"/>
        <v>0</v>
      </c>
      <c r="CB20" s="90">
        <f t="shared" si="70"/>
        <v>0</v>
      </c>
      <c r="CC20" s="90">
        <f>IFERROR(VLOOKUP($B20 &amp; $C20&amp;CompareVer,tblForecast,CC$2,FALSE),0)</f>
        <v>0</v>
      </c>
      <c r="CD20" s="90">
        <f t="shared" si="71"/>
        <v>0</v>
      </c>
      <c r="CE20" s="90">
        <f t="shared" si="71"/>
        <v>0</v>
      </c>
      <c r="CF20" s="90">
        <f>IFERROR(VLOOKUP($B20-IF(CompareVer="LY",1,0) &amp; $C20 &amp;CF$4,tblForecast,CF$2,FALSE),0)</f>
        <v>0</v>
      </c>
      <c r="CG20" s="177">
        <f t="shared" si="28"/>
        <v>0</v>
      </c>
      <c r="CH20" s="90">
        <f t="shared" si="72"/>
        <v>0</v>
      </c>
      <c r="CI20" s="90">
        <f t="shared" si="72"/>
        <v>0</v>
      </c>
      <c r="CJ20" s="90">
        <f>IFERROR(VLOOKUP($B20 &amp; $C20&amp;CompareVer,tblForecast,CJ$2,FALSE),0)</f>
        <v>0</v>
      </c>
      <c r="CK20" s="90">
        <f t="shared" si="73"/>
        <v>0</v>
      </c>
      <c r="CL20" s="90">
        <f t="shared" si="73"/>
        <v>0</v>
      </c>
      <c r="CM20" s="90">
        <f>IFERROR(VLOOKUP($B20-IF(CompareVer="LY",1,0) &amp; $C20 &amp;CM$4,tblForecast,CM$2,FALSE),0)</f>
        <v>0</v>
      </c>
      <c r="CN20" s="177">
        <f t="shared" si="31"/>
        <v>0</v>
      </c>
      <c r="CO20" s="178">
        <f t="shared" si="46"/>
        <v>0</v>
      </c>
      <c r="CP20" s="223">
        <f t="shared" si="32"/>
        <v>0</v>
      </c>
      <c r="CQ20" s="177">
        <f t="shared" si="33"/>
        <v>0</v>
      </c>
      <c r="CR20" s="178">
        <f t="shared" si="44"/>
        <v>0</v>
      </c>
      <c r="CS20" s="223">
        <f t="shared" si="34"/>
        <v>0</v>
      </c>
      <c r="CT20" s="177">
        <f t="shared" si="47"/>
        <v>0</v>
      </c>
      <c r="CU20" s="44"/>
      <c r="CV20" s="44"/>
      <c r="CW20" s="103">
        <f>IFERROR(VLOOKUP($B20 &amp; $C20&amp;CompareVer,tblForecast,CW$2,FALSE),0)</f>
        <v>-1</v>
      </c>
      <c r="CX20" s="92">
        <f>IFERROR(VLOOKUP($B20-IF(CompareVer="LY",1,0) &amp; $C20 &amp;CX$4,tblForecast,CX$2,FALSE),0)</f>
        <v>-2</v>
      </c>
      <c r="CY20" s="91">
        <f t="shared" si="36"/>
        <v>-0.5</v>
      </c>
      <c r="CZ20" s="278">
        <f>IFERROR(VLOOKUP(Brand&amp;Channel&amp;Country&amp;$C20,tblDiscount,6,FALSE),0)</f>
        <v>0.4</v>
      </c>
      <c r="DA20" s="279">
        <f>(1-CZ20)*DB20</f>
        <v>15.011999999999999</v>
      </c>
      <c r="DB20" s="279">
        <f>IFERROR(VLOOKUP(Brand&amp;Country &amp; Channel &amp;FC,tblFCSettings,8,FALSE),0)</f>
        <v>25.02</v>
      </c>
      <c r="DC20" s="280">
        <f>IFERROR(VLOOKUP(Brand&amp;Country &amp; Channel &amp;FC,tblFCSettings,9,FALSE),0)</f>
        <v>4.16</v>
      </c>
    </row>
    <row r="21" spans="1:107" ht="16.5" thickBot="1" x14ac:dyDescent="0.3">
      <c r="C21" s="253" t="s">
        <v>22</v>
      </c>
      <c r="D21" s="254">
        <f>SUM(D16:D20)</f>
        <v>78744677.100699872</v>
      </c>
      <c r="E21" s="255">
        <f>SUM(E16:E20)</f>
        <v>60212560.754299909</v>
      </c>
      <c r="F21" s="256">
        <f t="shared" si="45"/>
        <v>0.76465563097425848</v>
      </c>
      <c r="G21" s="257">
        <f>SUM(G16:G20)</f>
        <v>1951660</v>
      </c>
      <c r="H21" s="258">
        <f>IFERROR(D21/G21,0)</f>
        <v>40.347538557279378</v>
      </c>
      <c r="I21" s="258">
        <f>IFERROR(SUMPRODUCT(I16:I20,G16:G20)/G21,0)</f>
        <v>9.4955660035046936</v>
      </c>
      <c r="J21" s="257">
        <f>SUM(J16:J20)</f>
        <v>46221311</v>
      </c>
      <c r="K21" s="301">
        <f>SUM(K16:K20)</f>
        <v>2215005</v>
      </c>
      <c r="L21" s="259">
        <f>SUM(L16:L20)</f>
        <v>0</v>
      </c>
      <c r="M21" s="259">
        <f t="shared" ref="M21:O21" si="80">SUM(M16:M20)</f>
        <v>8.9700000000000006</v>
      </c>
      <c r="N21" s="259">
        <f t="shared" si="80"/>
        <v>0</v>
      </c>
      <c r="O21" s="259">
        <f t="shared" si="80"/>
        <v>0</v>
      </c>
      <c r="P21" s="260">
        <f t="shared" si="39"/>
        <v>0</v>
      </c>
      <c r="Q21" s="261">
        <f>SUM(Q16:Q20)</f>
        <v>0</v>
      </c>
      <c r="R21" s="262">
        <f t="shared" ref="R21:S21" si="81">SUM(R16:R20)</f>
        <v>1</v>
      </c>
      <c r="S21" s="262">
        <f t="shared" si="81"/>
        <v>0</v>
      </c>
      <c r="T21" s="262">
        <f>SUM(T16:T20)</f>
        <v>0</v>
      </c>
      <c r="U21" s="260">
        <f t="shared" si="7"/>
        <v>0</v>
      </c>
      <c r="V21" s="263">
        <f>V20</f>
        <v>0</v>
      </c>
      <c r="W21" s="332">
        <f>W20</f>
        <v>0</v>
      </c>
      <c r="X21" s="264">
        <f>X20</f>
        <v>0</v>
      </c>
      <c r="Y21" s="254">
        <f>SUM(Y16:Y20)</f>
        <v>0</v>
      </c>
      <c r="Z21" s="259">
        <f t="shared" ref="Z21:AB21" si="82">SUM(Z16:Z20)</f>
        <v>6.91</v>
      </c>
      <c r="AA21" s="259">
        <f t="shared" si="82"/>
        <v>0</v>
      </c>
      <c r="AB21" s="259">
        <f t="shared" si="82"/>
        <v>0</v>
      </c>
      <c r="AC21" s="260">
        <f t="shared" si="9"/>
        <v>0</v>
      </c>
      <c r="AD21" s="265">
        <f>IFERROR(Y21/L21,0)</f>
        <v>0</v>
      </c>
      <c r="AE21" s="266">
        <f>IFERROR(Z21/M21,0)</f>
        <v>0.77034559643255296</v>
      </c>
      <c r="AF21" s="266">
        <f>IFERROR(AA21/N21,0)</f>
        <v>0</v>
      </c>
      <c r="AG21" s="266">
        <f>IFERROR(AB21/O21,0)</f>
        <v>0</v>
      </c>
      <c r="AH21" s="267">
        <f>IFERROR(SUMPRODUCT(AH16:AH20,Q16:Q20)/Q21,0)</f>
        <v>0</v>
      </c>
      <c r="AI21" s="268">
        <f>IFERROR(SUMPRODUCT(AI16:AI20,R16:R20)/R21,0)</f>
        <v>14.95</v>
      </c>
      <c r="AJ21" s="268">
        <f>IFERROR(SUMPRODUCT(AJ16:AJ20,S16:S20)/S21,0)</f>
        <v>0</v>
      </c>
      <c r="AK21" s="268">
        <f>IFERROR(SUMPRODUCT(AK16:AK20,T16:T20)/T21,0)</f>
        <v>0</v>
      </c>
      <c r="AL21" s="260">
        <f t="shared" si="12"/>
        <v>0</v>
      </c>
      <c r="AM21" s="267">
        <f>IF(Q21&lt;&gt;0,L21/Q21,0)</f>
        <v>0</v>
      </c>
      <c r="AN21" s="268">
        <f>IF(R21&lt;&gt;0,M21/R21,0)</f>
        <v>8.9700000000000006</v>
      </c>
      <c r="AO21" s="268">
        <f>IF(S21&lt;&gt;0,N21/S21,0)</f>
        <v>0</v>
      </c>
      <c r="AP21" s="268">
        <f>IF(T21&lt;&gt;0,O21/T21,0)</f>
        <v>0</v>
      </c>
      <c r="AQ21" s="260">
        <f t="shared" si="14"/>
        <v>0</v>
      </c>
      <c r="AR21" s="267">
        <f>IFERROR((L21*(1-AD21))/Q21,0)</f>
        <v>0</v>
      </c>
      <c r="AS21" s="268">
        <f>IFERROR((M21*(1-AE21))/R21,0)</f>
        <v>2.06</v>
      </c>
      <c r="AT21" s="268">
        <f>IFERROR((N21*(1-AF21))/S21,0)</f>
        <v>0</v>
      </c>
      <c r="AU21" s="268">
        <f>IFERROR((O21*(1-AG21))/T21,0)</f>
        <v>0</v>
      </c>
      <c r="AV21" s="260">
        <f t="shared" si="16"/>
        <v>0</v>
      </c>
      <c r="AW21" s="269">
        <f t="shared" si="17"/>
        <v>0</v>
      </c>
      <c r="AX21" s="270">
        <f t="shared" si="17"/>
        <v>0.39999999999999991</v>
      </c>
      <c r="AY21" s="270">
        <f t="shared" si="17"/>
        <v>0</v>
      </c>
      <c r="AZ21" s="270">
        <f t="shared" si="17"/>
        <v>0</v>
      </c>
      <c r="BA21" s="261">
        <f>BA20</f>
        <v>-1</v>
      </c>
      <c r="BB21" s="262">
        <f t="shared" ref="BB21:BD21" si="83">BB20</f>
        <v>-1</v>
      </c>
      <c r="BC21" s="262">
        <f t="shared" si="83"/>
        <v>0</v>
      </c>
      <c r="BD21" s="262">
        <f t="shared" si="83"/>
        <v>-2</v>
      </c>
      <c r="BE21" s="260">
        <f t="shared" si="19"/>
        <v>-0.5</v>
      </c>
      <c r="BF21" s="262">
        <f>BF20</f>
        <v>0</v>
      </c>
      <c r="BG21" s="262">
        <f>BG20</f>
        <v>0</v>
      </c>
      <c r="BH21" s="271">
        <f>IF(Q21&lt;&gt;0,(BA21*COUNTIF(BH16:BH20,"&lt;&gt;0")/Q21),0)</f>
        <v>0</v>
      </c>
      <c r="BI21" s="272">
        <f>IF(T21&lt;&gt;0,(BD21*COUNTIF(BI16:BI20,"&lt;&gt;0")/T21),0)</f>
        <v>0</v>
      </c>
      <c r="BJ21" s="273" t="e">
        <f>IF(BA21&lt;&gt;0,(Q21/COUNTIF(BJ16:BJ20,"&lt;&gt;0"))/BA21,0)</f>
        <v>#DIV/0!</v>
      </c>
      <c r="BK21" s="274" t="e">
        <f>IF(BD21&lt;&gt;0,(T21/COUNTIF(BK16:BK20,"&lt;&gt;0"))/BD21,0)</f>
        <v>#DIV/0!</v>
      </c>
      <c r="BL21" s="261">
        <f>SUM(BL16:BL20)</f>
        <v>-1</v>
      </c>
      <c r="BM21" s="262">
        <f>SUM(BM16:BM20)</f>
        <v>0</v>
      </c>
      <c r="BN21" s="261">
        <f>SUM(BN16:BN20)</f>
        <v>0</v>
      </c>
      <c r="BO21" s="262">
        <f t="shared" ref="BO21:BQ21" si="84">SUM(BO16:BO20)</f>
        <v>0</v>
      </c>
      <c r="BP21" s="261">
        <f>SUM(BP16:BP20)</f>
        <v>0</v>
      </c>
      <c r="BQ21" s="262">
        <f t="shared" si="84"/>
        <v>0</v>
      </c>
      <c r="BR21" s="261">
        <f t="shared" si="43"/>
        <v>0</v>
      </c>
      <c r="BS21" s="262">
        <f t="shared" si="22"/>
        <v>0</v>
      </c>
      <c r="BT21" s="261">
        <f t="shared" ref="BT21:BY21" si="85">SUM(BT16:BT20)</f>
        <v>0</v>
      </c>
      <c r="BU21" s="262">
        <f t="shared" si="85"/>
        <v>0</v>
      </c>
      <c r="BV21" s="262">
        <f>SUM(BV16:BV20)</f>
        <v>0</v>
      </c>
      <c r="BW21" s="262">
        <f t="shared" si="85"/>
        <v>0</v>
      </c>
      <c r="BX21" s="262">
        <f t="shared" si="85"/>
        <v>0</v>
      </c>
      <c r="BY21" s="275">
        <f t="shared" si="85"/>
        <v>0</v>
      </c>
      <c r="BZ21" s="260">
        <f t="shared" si="25"/>
        <v>0</v>
      </c>
      <c r="CA21" s="259">
        <f t="shared" ref="CA21:CF21" si="86">SUM(CA16:CA20)</f>
        <v>0</v>
      </c>
      <c r="CB21" s="259">
        <f t="shared" si="86"/>
        <v>0</v>
      </c>
      <c r="CC21" s="259">
        <f>SUM(CC16:CC20)</f>
        <v>0</v>
      </c>
      <c r="CD21" s="259">
        <f t="shared" si="86"/>
        <v>0</v>
      </c>
      <c r="CE21" s="259">
        <f t="shared" si="86"/>
        <v>0</v>
      </c>
      <c r="CF21" s="259">
        <f t="shared" si="86"/>
        <v>0</v>
      </c>
      <c r="CG21" s="260">
        <f t="shared" si="28"/>
        <v>0</v>
      </c>
      <c r="CH21" s="259">
        <f t="shared" ref="CH21:CM21" si="87">SUM(CH16:CH20)</f>
        <v>0</v>
      </c>
      <c r="CI21" s="259">
        <f t="shared" si="87"/>
        <v>0</v>
      </c>
      <c r="CJ21" s="259">
        <f>SUM(CJ16:CJ20)</f>
        <v>0</v>
      </c>
      <c r="CK21" s="259">
        <f t="shared" si="87"/>
        <v>0</v>
      </c>
      <c r="CL21" s="259">
        <f t="shared" si="87"/>
        <v>0</v>
      </c>
      <c r="CM21" s="259">
        <f t="shared" si="87"/>
        <v>0</v>
      </c>
      <c r="CN21" s="260">
        <f t="shared" si="31"/>
        <v>0</v>
      </c>
      <c r="CO21" s="276">
        <f t="shared" si="46"/>
        <v>0</v>
      </c>
      <c r="CP21" s="277">
        <f t="shared" si="32"/>
        <v>0</v>
      </c>
      <c r="CQ21" s="260">
        <f t="shared" si="33"/>
        <v>0</v>
      </c>
      <c r="CR21" s="276">
        <f t="shared" si="44"/>
        <v>0</v>
      </c>
      <c r="CS21" s="277">
        <f t="shared" si="34"/>
        <v>0</v>
      </c>
      <c r="CT21" s="260">
        <f t="shared" si="47"/>
        <v>0</v>
      </c>
      <c r="CU21" s="44"/>
      <c r="CV21" s="44"/>
      <c r="CW21" s="100">
        <f>CW20</f>
        <v>-1</v>
      </c>
      <c r="CX21" s="101">
        <f>CX20</f>
        <v>-2</v>
      </c>
      <c r="CY21" s="99">
        <f t="shared" si="36"/>
        <v>-0.5</v>
      </c>
      <c r="CZ21" s="278"/>
      <c r="DA21" s="279"/>
      <c r="DB21" s="279"/>
      <c r="DC21" s="280"/>
    </row>
    <row r="22" spans="1:107" x14ac:dyDescent="0.25">
      <c r="A22" s="44" t="s">
        <v>335</v>
      </c>
      <c r="B22" s="44">
        <v>2018</v>
      </c>
      <c r="C22" s="88">
        <v>10</v>
      </c>
      <c r="D22" s="97">
        <f>G22*H22</f>
        <v>10871386.694999978</v>
      </c>
      <c r="E22" s="199">
        <f>IFERROR(D22*F22,0)</f>
        <v>8364136.3964999998</v>
      </c>
      <c r="F22" s="200">
        <f t="shared" si="45"/>
        <v>0.76937162030551953</v>
      </c>
      <c r="G22" s="198">
        <f t="shared" ref="G22:I25" si="88">IFERROR(VLOOKUP($B22 &amp; $C22&amp;G$4&amp;$A22,tblForecast,G$2,FALSE),0)</f>
        <v>249127</v>
      </c>
      <c r="H22" s="201">
        <f t="shared" si="88"/>
        <v>43.637930433072199</v>
      </c>
      <c r="I22" s="201">
        <f t="shared" si="88"/>
        <v>10.0641451889999</v>
      </c>
      <c r="J22" s="198">
        <f>IFERROR(VLOOKUP($B22 &amp; $C22&amp;J$4&amp;$A22,tblForecast,J$2,FALSE),0)+IFERROR(VLOOKUP($B22 &amp; $C22 &amp; J$4 &amp; $A22,tblForecast,J$2+1,FALSE),0)</f>
        <v>8775983</v>
      </c>
      <c r="K22" s="299">
        <f>IFERROR(VLOOKUP($B22 &amp; $C22&amp;K$4&amp;$A22,tblForecast,K$2+2,FALSE),0)</f>
        <v>358578</v>
      </c>
      <c r="L22" s="90">
        <f t="shared" ref="L22:O25" si="89">Q22*AM22</f>
        <v>0</v>
      </c>
      <c r="M22" s="90">
        <f t="shared" si="89"/>
        <v>0</v>
      </c>
      <c r="N22" s="90">
        <f t="shared" si="89"/>
        <v>0</v>
      </c>
      <c r="O22" s="90">
        <f t="shared" si="89"/>
        <v>0</v>
      </c>
      <c r="P22" s="91">
        <f t="shared" si="39"/>
        <v>0</v>
      </c>
      <c r="Q22" s="238">
        <f>IFERROR(VLOOKUP($B22 &amp; $C22&amp;CompareVer,tblForecast,Q$2,FALSE),0)</f>
        <v>0</v>
      </c>
      <c r="R22" s="239">
        <f t="shared" ref="R22:S25" si="90">IFERROR(VLOOKUP($B22 &amp; $C22&amp;R$4,tblForecast,R$2,FALSE),0)</f>
        <v>0</v>
      </c>
      <c r="S22" s="239">
        <f t="shared" si="90"/>
        <v>0</v>
      </c>
      <c r="T22" s="240">
        <f>IFERROR(VLOOKUP($B22-IF(CompareVer="LY",1,0) &amp; $C22 &amp;T$4,tblForecast,T$2,FALSE),0)</f>
        <v>0</v>
      </c>
      <c r="U22" s="91">
        <f t="shared" si="7"/>
        <v>0</v>
      </c>
      <c r="V22" s="245">
        <f>IFERROR(IF(Q20&gt;0,Q22/Q20,0),0)</f>
        <v>0</v>
      </c>
      <c r="W22" s="331">
        <f>IFERROR(IF(R20&gt;0,R22/R20,0),0)</f>
        <v>0</v>
      </c>
      <c r="X22" s="246">
        <f>IFERROR(IF(T20&gt;0,T22/T20,0),0)</f>
        <v>0</v>
      </c>
      <c r="Y22" s="97">
        <f t="shared" ref="Y22:AB25" si="91">IFERROR(L22*AD22,0)</f>
        <v>0</v>
      </c>
      <c r="Z22" s="90">
        <f t="shared" si="91"/>
        <v>0</v>
      </c>
      <c r="AA22" s="90">
        <f t="shared" si="91"/>
        <v>0</v>
      </c>
      <c r="AB22" s="90">
        <f t="shared" si="91"/>
        <v>0</v>
      </c>
      <c r="AC22" s="91">
        <f t="shared" si="9"/>
        <v>0</v>
      </c>
      <c r="AD22" s="75">
        <f>IF(AM22&lt;&gt;0,1-AR22/AM22,0)</f>
        <v>0</v>
      </c>
      <c r="AE22" s="93">
        <f t="shared" ref="AE22:AG25" si="92">IF(AN22&lt;&gt;0,1-AS22/AN22,0)</f>
        <v>0</v>
      </c>
      <c r="AF22" s="93">
        <f t="shared" si="92"/>
        <v>0</v>
      </c>
      <c r="AG22" s="93">
        <f t="shared" si="92"/>
        <v>0</v>
      </c>
      <c r="AH22" s="104">
        <f>IFERROR(VLOOKUP($B22 &amp; $C22&amp;CompareVer,tblForecast,AH$2,FALSE),0)</f>
        <v>0</v>
      </c>
      <c r="AI22" s="94">
        <f t="shared" ref="AI22:AJ25" si="93">IFERROR(VLOOKUP($B22 &amp; $C22&amp;AI$4,tblForecast,AI$2,FALSE),0)</f>
        <v>0</v>
      </c>
      <c r="AJ22" s="94">
        <f t="shared" si="93"/>
        <v>0</v>
      </c>
      <c r="AK22" s="94">
        <f>IFERROR(VLOOKUP($B22-IF(CompareVer="LY",1,0) &amp; $C22 &amp;AK$4,tblForecast,AK$2,FALSE),0)</f>
        <v>0</v>
      </c>
      <c r="AL22" s="91">
        <f t="shared" si="12"/>
        <v>0</v>
      </c>
      <c r="AM22" s="104">
        <f>IFERROR(VLOOKUP($B22 &amp; $C22&amp;CompareVer,tblForecast,AM$2,FALSE),0)</f>
        <v>0</v>
      </c>
      <c r="AN22" s="94">
        <f t="shared" ref="AN22:AO25" si="94">IFERROR(VLOOKUP($B22 &amp; $C22&amp;AN$4,tblForecast,AN$2,FALSE),0)</f>
        <v>0</v>
      </c>
      <c r="AO22" s="94">
        <f t="shared" si="94"/>
        <v>0</v>
      </c>
      <c r="AP22" s="94">
        <f>IFERROR(VLOOKUP($B22-IF(CompareVer="LY",1,0) &amp; $C22 &amp;AP$4,tblForecast,AP$2,FALSE),0)</f>
        <v>0</v>
      </c>
      <c r="AQ22" s="91">
        <f t="shared" si="14"/>
        <v>0</v>
      </c>
      <c r="AR22" s="104">
        <f>IFERROR(VLOOKUP($B22 &amp; $C22&amp;CompareVer,tblForecast,AR$2,FALSE),0)</f>
        <v>0</v>
      </c>
      <c r="AS22" s="94">
        <f t="shared" ref="AS22:AT25" si="95">IFERROR(VLOOKUP($B22 &amp; $C22&amp;AS$4,tblForecast,AS$2,FALSE),0)</f>
        <v>0</v>
      </c>
      <c r="AT22" s="94">
        <f t="shared" si="95"/>
        <v>0</v>
      </c>
      <c r="AU22" s="94">
        <f>IFERROR(VLOOKUP($B22-IF(CompareVer="LY",1,0) &amp; $C22 &amp;AU$4,tblForecast,AU$2,FALSE),0)</f>
        <v>0</v>
      </c>
      <c r="AV22" s="91">
        <f t="shared" si="16"/>
        <v>0</v>
      </c>
      <c r="AW22" s="181">
        <f t="shared" si="17"/>
        <v>0</v>
      </c>
      <c r="AX22" s="182">
        <f t="shared" si="17"/>
        <v>0</v>
      </c>
      <c r="AY22" s="182">
        <f t="shared" si="17"/>
        <v>0</v>
      </c>
      <c r="AZ22" s="182">
        <f t="shared" si="17"/>
        <v>0</v>
      </c>
      <c r="BA22" s="227">
        <f t="shared" ref="BA22:BA25" si="96">CW22+BF22</f>
        <v>-1</v>
      </c>
      <c r="BB22" s="228">
        <f>IF(IFERROR(VLOOKUP($B22 &amp; $C22&amp;BB$4,tblForecast,BB$2,FALSE),0)=0,BA22,IFERROR(VLOOKUP($B22 &amp; $C22&amp;BB$4,tblForecast,BB$2,FALSE),0))</f>
        <v>-1</v>
      </c>
      <c r="BC22" s="228">
        <f t="shared" ref="BC22:BC25" si="97">IFERROR(VLOOKUP($B22 &amp; $C22&amp;BC$4,tblForecast,BC$2,FALSE),0)</f>
        <v>0</v>
      </c>
      <c r="BD22" s="228">
        <f t="shared" ref="BD22:BD25" si="98">CX22+BG22</f>
        <v>-2</v>
      </c>
      <c r="BE22" s="177">
        <f t="shared" si="19"/>
        <v>-0.5</v>
      </c>
      <c r="BF22" s="228">
        <f>IFERROR(VLOOKUP($B22 &amp; $C22&amp;CompareVer,tblForecast,BF$2,FALSE),0)</f>
        <v>0</v>
      </c>
      <c r="BG22" s="228">
        <f>IFERROR(VLOOKUP($B22-IF(CompareVer="LY",1,0) &amp; $C22 &amp;BG$4,tblForecast,BG$2,FALSE),0)</f>
        <v>0</v>
      </c>
      <c r="BH22" s="185">
        <f>IF(Q22&lt;&gt;0,BA22/Q22,0)</f>
        <v>0</v>
      </c>
      <c r="BI22" s="186">
        <f>IF(T22&lt;&gt;0,BD22/T22,0)</f>
        <v>0</v>
      </c>
      <c r="BJ22" s="184">
        <f t="shared" si="20"/>
        <v>0</v>
      </c>
      <c r="BK22" s="96">
        <f t="shared" si="21"/>
        <v>0</v>
      </c>
      <c r="BL22" s="227">
        <f>IFERROR(VLOOKUP($B22 &amp; $C22&amp;CompareVer,tblForecast,BL$2,FALSE),0)</f>
        <v>0</v>
      </c>
      <c r="BM22" s="228">
        <f>IFERROR(VLOOKUP($B22-IF(CompareVer="LY",1,0) &amp; $C22 &amp;BM$4,tblForecast,BM$2,FALSE),0)</f>
        <v>0</v>
      </c>
      <c r="BN22" s="227">
        <f>IFERROR(VLOOKUP($B22 &amp; $C22&amp;CompareVer,tblForecast,BN$2,FALSE),0)</f>
        <v>0</v>
      </c>
      <c r="BO22" s="228">
        <f>IFERROR(VLOOKUP($B22-IF(CompareVer="LY",1,0) &amp; $C22 &amp;BO$4,tblForecast,BO$2,FALSE),0)</f>
        <v>0</v>
      </c>
      <c r="BP22" s="227">
        <f>IFERROR(VLOOKUP($B22 &amp; $C22&amp;CompareVer,tblForecast,BP$2,FALSE),0)</f>
        <v>0</v>
      </c>
      <c r="BQ22" s="228">
        <f>IFERROR(VLOOKUP($B22-IF(CompareVer="LY",1,0) &amp; $C22 &amp;BQ$4,tblForecast,BQ$2,FALSE),0)</f>
        <v>0</v>
      </c>
      <c r="BR22" s="227">
        <f t="shared" si="43"/>
        <v>0</v>
      </c>
      <c r="BS22" s="228">
        <f t="shared" si="22"/>
        <v>0</v>
      </c>
      <c r="BT22" s="227">
        <f t="shared" ref="BT22:BU25" si="99">IFERROR(VLOOKUP($B22 &amp; $C22&amp;BT$4,tblForecast,BT$2,FALSE),0)</f>
        <v>0</v>
      </c>
      <c r="BU22" s="228">
        <f t="shared" si="99"/>
        <v>0</v>
      </c>
      <c r="BV22" s="228">
        <f>IFERROR(VLOOKUP($B22 &amp; $C22&amp;CompareVer,tblForecast,BV$2,FALSE),0)</f>
        <v>0</v>
      </c>
      <c r="BW22" s="228">
        <f t="shared" ref="BW22:BX25" si="100">IFERROR(VLOOKUP($B22 &amp; $C22&amp;BW$4,tblForecast,BW$2,FALSE),0)</f>
        <v>0</v>
      </c>
      <c r="BX22" s="228">
        <f t="shared" si="100"/>
        <v>0</v>
      </c>
      <c r="BY22" s="176">
        <f>IFERROR(VLOOKUP($B22-IF(CompareVer="LY",1,0) &amp; $C22 &amp;BY$4,tblForecast,BY$2,FALSE),0)</f>
        <v>0</v>
      </c>
      <c r="BZ22" s="177">
        <f t="shared" si="25"/>
        <v>0</v>
      </c>
      <c r="CA22" s="90">
        <f t="shared" ref="CA22:CB25" si="101">IFERROR(VLOOKUP($B22 &amp; $C22&amp;CA$4,tblForecast,CA$2,FALSE),0)</f>
        <v>0</v>
      </c>
      <c r="CB22" s="90">
        <f t="shared" si="101"/>
        <v>0</v>
      </c>
      <c r="CC22" s="90">
        <f>IFERROR(VLOOKUP($B22 &amp; $C22&amp;CompareVer,tblForecast,CC$2,FALSE),0)</f>
        <v>0</v>
      </c>
      <c r="CD22" s="90">
        <f t="shared" ref="CD22:CE25" si="102">IFERROR(VLOOKUP($B22 &amp; $C22&amp;CD$4,tblForecast,CD$2,FALSE),0)</f>
        <v>0</v>
      </c>
      <c r="CE22" s="90">
        <f t="shared" si="102"/>
        <v>0</v>
      </c>
      <c r="CF22" s="90">
        <f>IFERROR(VLOOKUP($B22-IF(CompareVer="LY",1,0) &amp; $C22 &amp;CF$4,tblForecast,CF$2,FALSE),0)</f>
        <v>0</v>
      </c>
      <c r="CG22" s="177">
        <f t="shared" si="28"/>
        <v>0</v>
      </c>
      <c r="CH22" s="90">
        <f t="shared" ref="CH22:CI25" si="103">IFERROR(VLOOKUP($B22 &amp; $C22&amp;CH$4,tblForecast,CH$2,FALSE),0)</f>
        <v>0</v>
      </c>
      <c r="CI22" s="90">
        <f t="shared" si="103"/>
        <v>0</v>
      </c>
      <c r="CJ22" s="90">
        <f>IFERROR(VLOOKUP($B22 &amp; $C22&amp;CompareVer,tblForecast,CJ$2,FALSE),0)</f>
        <v>0</v>
      </c>
      <c r="CK22" s="90">
        <f t="shared" ref="CK22:CL25" si="104">IFERROR(VLOOKUP($B22 &amp; $C22&amp;CK$4,tblForecast,CK$2,FALSE),0)</f>
        <v>0</v>
      </c>
      <c r="CL22" s="90">
        <f t="shared" si="104"/>
        <v>0</v>
      </c>
      <c r="CM22" s="90">
        <f>IFERROR(VLOOKUP($B22-IF(CompareVer="LY",1,0) &amp; $C22 &amp;CM$4,tblForecast,CM$2,FALSE),0)</f>
        <v>0</v>
      </c>
      <c r="CN22" s="177">
        <f t="shared" si="31"/>
        <v>0</v>
      </c>
      <c r="CO22" s="178">
        <f t="shared" si="46"/>
        <v>0</v>
      </c>
      <c r="CP22" s="223">
        <f t="shared" si="32"/>
        <v>0</v>
      </c>
      <c r="CQ22" s="177">
        <f t="shared" si="33"/>
        <v>0</v>
      </c>
      <c r="CR22" s="178">
        <f t="shared" si="44"/>
        <v>0</v>
      </c>
      <c r="CS22" s="223">
        <f t="shared" si="34"/>
        <v>0</v>
      </c>
      <c r="CT22" s="177">
        <f t="shared" si="47"/>
        <v>0</v>
      </c>
      <c r="CU22" s="44"/>
      <c r="CV22" s="44"/>
      <c r="CW22" s="103">
        <f>IFERROR(VLOOKUP($B22 &amp; $C22&amp;CompareVer,tblForecast,CW$2,FALSE),0)</f>
        <v>-1</v>
      </c>
      <c r="CX22" s="92">
        <f>IFERROR(VLOOKUP($B22-IF(CompareVer="LY",1,0) &amp; $C22 &amp;CX$4,tblForecast,CX$2,FALSE),0)</f>
        <v>-2</v>
      </c>
      <c r="CY22" s="91">
        <f t="shared" si="36"/>
        <v>-0.5</v>
      </c>
      <c r="CZ22" s="278">
        <f>IFERROR(VLOOKUP(Brand&amp;Channel&amp;Country&amp;$C22,tblDiscount,6,FALSE),0)</f>
        <v>0.4</v>
      </c>
      <c r="DA22" s="279">
        <f>(1-CZ22)*DB22</f>
        <v>15.011999999999999</v>
      </c>
      <c r="DB22" s="279">
        <f>IFERROR(VLOOKUP(Brand&amp;Country &amp; Channel &amp;FC,tblFCSettings,8,FALSE),0)</f>
        <v>25.02</v>
      </c>
      <c r="DC22" s="280">
        <f>IFERROR(VLOOKUP(Brand&amp;Country &amp; Channel &amp;FC,tblFCSettings,9,FALSE),0)</f>
        <v>4.16</v>
      </c>
    </row>
    <row r="23" spans="1:107" x14ac:dyDescent="0.25">
      <c r="A23" s="44" t="s">
        <v>335</v>
      </c>
      <c r="B23" s="44">
        <v>2018</v>
      </c>
      <c r="C23" s="88">
        <v>11</v>
      </c>
      <c r="D23" s="97">
        <f t="shared" ref="D23:D25" si="105">G23*H23</f>
        <v>14426081.28019999</v>
      </c>
      <c r="E23" s="202">
        <f t="shared" ref="E23:E25" si="106">IFERROR(D23*F23,0)</f>
        <v>10843134.13219999</v>
      </c>
      <c r="F23" s="182">
        <f t="shared" si="45"/>
        <v>0.75163406621605222</v>
      </c>
      <c r="G23" s="176">
        <f t="shared" si="88"/>
        <v>371806</v>
      </c>
      <c r="H23" s="203">
        <f t="shared" si="88"/>
        <v>38.800022808131096</v>
      </c>
      <c r="I23" s="203">
        <f t="shared" si="88"/>
        <v>9.6366038955799507</v>
      </c>
      <c r="J23" s="176">
        <f>IFERROR(VLOOKUP($B23 &amp; $C23&amp;J$4&amp;$A23,tblForecast,J$2,FALSE),0)+IFERROR(VLOOKUP($B23 &amp; $C23 &amp; J$4 &amp; $A23,tblForecast,J$2+1,FALSE),0)</f>
        <v>8692687</v>
      </c>
      <c r="K23" s="300">
        <f>IFERROR(VLOOKUP($B23 &amp; $C23&amp;K$4&amp;$A23,tblForecast,K$2+2,FALSE),0)</f>
        <v>457219</v>
      </c>
      <c r="L23" s="90">
        <f t="shared" si="89"/>
        <v>0</v>
      </c>
      <c r="M23" s="90">
        <f t="shared" si="89"/>
        <v>0</v>
      </c>
      <c r="N23" s="90">
        <f t="shared" si="89"/>
        <v>0</v>
      </c>
      <c r="O23" s="90">
        <f t="shared" si="89"/>
        <v>0</v>
      </c>
      <c r="P23" s="91">
        <f t="shared" si="39"/>
        <v>0</v>
      </c>
      <c r="Q23" s="238">
        <f>IFERROR(VLOOKUP($B23 &amp; $C23&amp;CompareVer,tblForecast,Q$2,FALSE),0)</f>
        <v>0</v>
      </c>
      <c r="R23" s="240">
        <f t="shared" si="90"/>
        <v>0</v>
      </c>
      <c r="S23" s="240">
        <f t="shared" si="90"/>
        <v>0</v>
      </c>
      <c r="T23" s="240">
        <f>IFERROR(VLOOKUP($B23-IF(CompareVer="LY",1,0) &amp; $C23 &amp;T$4,tblForecast,T$2,FALSE),0)</f>
        <v>0</v>
      </c>
      <c r="U23" s="91">
        <f t="shared" si="7"/>
        <v>0</v>
      </c>
      <c r="V23" s="245">
        <f t="shared" ref="V23:V25" si="107">IFERROR(IF(Q22&lt;&gt;0,Q23/Q22,0),0)</f>
        <v>0</v>
      </c>
      <c r="W23" s="331">
        <f t="shared" ref="W23:W25" si="108">IFERROR(IF(R22&lt;&gt;0,R23/R22,0),0)</f>
        <v>0</v>
      </c>
      <c r="X23" s="246">
        <f t="shared" ref="X23:X25" si="109">IFERROR(IF(T22&lt;&gt;0,T23/T22,0),0)</f>
        <v>0</v>
      </c>
      <c r="Y23" s="97">
        <f t="shared" si="91"/>
        <v>0</v>
      </c>
      <c r="Z23" s="90">
        <f t="shared" si="91"/>
        <v>0</v>
      </c>
      <c r="AA23" s="90">
        <f t="shared" si="91"/>
        <v>0</v>
      </c>
      <c r="AB23" s="90">
        <f t="shared" si="91"/>
        <v>0</v>
      </c>
      <c r="AC23" s="91">
        <f t="shared" si="9"/>
        <v>0</v>
      </c>
      <c r="AD23" s="75">
        <f>IF(AM23&lt;&gt;0,1-AR23/AM23,0)</f>
        <v>0</v>
      </c>
      <c r="AE23" s="93">
        <f t="shared" si="92"/>
        <v>0</v>
      </c>
      <c r="AF23" s="93">
        <f t="shared" si="92"/>
        <v>0</v>
      </c>
      <c r="AG23" s="93">
        <f t="shared" si="92"/>
        <v>0</v>
      </c>
      <c r="AH23" s="104">
        <f>IFERROR(VLOOKUP($B23 &amp; $C23&amp;CompareVer,tblForecast,AH$2,FALSE),0)</f>
        <v>0</v>
      </c>
      <c r="AI23" s="94">
        <f t="shared" si="93"/>
        <v>0</v>
      </c>
      <c r="AJ23" s="94">
        <f t="shared" si="93"/>
        <v>0</v>
      </c>
      <c r="AK23" s="94">
        <f>IFERROR(VLOOKUP($B23-IF(CompareVer="LY",1,0) &amp; $C23 &amp;AK$4,tblForecast,AK$2,FALSE),0)</f>
        <v>0</v>
      </c>
      <c r="AL23" s="91">
        <f t="shared" si="12"/>
        <v>0</v>
      </c>
      <c r="AM23" s="104">
        <f>IFERROR(VLOOKUP($B23 &amp; $C23&amp;CompareVer,tblForecast,AM$2,FALSE),0)</f>
        <v>0</v>
      </c>
      <c r="AN23" s="94">
        <f t="shared" si="94"/>
        <v>0</v>
      </c>
      <c r="AO23" s="94">
        <f t="shared" si="94"/>
        <v>0</v>
      </c>
      <c r="AP23" s="94">
        <f>IFERROR(VLOOKUP($B23-IF(CompareVer="LY",1,0) &amp; $C23 &amp;AP$4,tblForecast,AP$2,FALSE),0)</f>
        <v>0</v>
      </c>
      <c r="AQ23" s="91">
        <f t="shared" si="14"/>
        <v>0</v>
      </c>
      <c r="AR23" s="104">
        <f>IFERROR(VLOOKUP($B23 &amp; $C23&amp;CompareVer,tblForecast,AR$2,FALSE),0)</f>
        <v>0</v>
      </c>
      <c r="AS23" s="94">
        <f t="shared" si="95"/>
        <v>0</v>
      </c>
      <c r="AT23" s="94">
        <f t="shared" si="95"/>
        <v>0</v>
      </c>
      <c r="AU23" s="94">
        <f>IFERROR(VLOOKUP($B23-IF(CompareVer="LY",1,0) &amp; $C23 &amp;AU$4,tblForecast,AU$2,FALSE),0)</f>
        <v>0</v>
      </c>
      <c r="AV23" s="91">
        <f t="shared" si="16"/>
        <v>0</v>
      </c>
      <c r="AW23" s="181">
        <f t="shared" si="17"/>
        <v>0</v>
      </c>
      <c r="AX23" s="182">
        <f t="shared" si="17"/>
        <v>0</v>
      </c>
      <c r="AY23" s="182">
        <f t="shared" si="17"/>
        <v>0</v>
      </c>
      <c r="AZ23" s="182">
        <f t="shared" si="17"/>
        <v>0</v>
      </c>
      <c r="BA23" s="227">
        <f t="shared" si="96"/>
        <v>2619</v>
      </c>
      <c r="BB23" s="228">
        <f>IF(IFERROR(VLOOKUP($B23 &amp; $C23&amp;BB$4,tblForecast,BB$2,FALSE),0)=0,BA23,IFERROR(VLOOKUP($B23 &amp; $C23&amp;BB$4,tblForecast,BB$2,FALSE),0))</f>
        <v>2619</v>
      </c>
      <c r="BC23" s="228">
        <f t="shared" si="97"/>
        <v>0</v>
      </c>
      <c r="BD23" s="228">
        <f t="shared" si="98"/>
        <v>25639</v>
      </c>
      <c r="BE23" s="177">
        <f t="shared" si="19"/>
        <v>-0.89785093022348761</v>
      </c>
      <c r="BF23" s="228">
        <f>IFERROR(VLOOKUP($B23 &amp; $C23&amp;CompareVer,tblForecast,BF$2,FALSE),0)</f>
        <v>2620</v>
      </c>
      <c r="BG23" s="228">
        <f>IFERROR(VLOOKUP($B23-IF(CompareVer="LY",1,0) &amp; $C23 &amp;BG$4,tblForecast,BG$2,FALSE),0)</f>
        <v>25641</v>
      </c>
      <c r="BH23" s="179">
        <f>IF(Q23&lt;&gt;0,BA23/Q23,0)</f>
        <v>0</v>
      </c>
      <c r="BI23" s="187">
        <f>IF(T23&lt;&gt;0,BD23/T23,0)</f>
        <v>0</v>
      </c>
      <c r="BJ23" s="184">
        <f t="shared" si="20"/>
        <v>0</v>
      </c>
      <c r="BK23" s="96">
        <f t="shared" si="21"/>
        <v>0</v>
      </c>
      <c r="BL23" s="227">
        <f>IFERROR(VLOOKUP($B23 &amp; $C23&amp;CompareVer,tblForecast,BL$2,FALSE),0)</f>
        <v>0</v>
      </c>
      <c r="BM23" s="228">
        <f>IFERROR(VLOOKUP($B23-IF(CompareVer="LY",1,0) &amp; $C23 &amp;BM$4,tblForecast,BM$2,FALSE),0)</f>
        <v>-2</v>
      </c>
      <c r="BN23" s="227">
        <f>IFERROR(VLOOKUP($B23 &amp; $C23&amp;CompareVer,tblForecast,BN$2,FALSE),0)</f>
        <v>0</v>
      </c>
      <c r="BO23" s="228">
        <f>IFERROR(VLOOKUP($B23-IF(CompareVer="LY",1,0) &amp; $C23 &amp;BO$4,tblForecast,BO$2,FALSE),0)</f>
        <v>0</v>
      </c>
      <c r="BP23" s="227">
        <f>IFERROR(VLOOKUP($B23 &amp; $C23&amp;CompareVer,tblForecast,BP$2,FALSE),0)</f>
        <v>0</v>
      </c>
      <c r="BQ23" s="228">
        <f>IFERROR(VLOOKUP($B23-IF(CompareVer="LY",1,0) &amp; $C23 &amp;BQ$4,tblForecast,BQ$2,FALSE),0)</f>
        <v>0</v>
      </c>
      <c r="BR23" s="227">
        <f t="shared" si="43"/>
        <v>0</v>
      </c>
      <c r="BS23" s="228">
        <f t="shared" si="22"/>
        <v>0</v>
      </c>
      <c r="BT23" s="227">
        <f t="shared" si="99"/>
        <v>0</v>
      </c>
      <c r="BU23" s="228">
        <f t="shared" si="99"/>
        <v>0</v>
      </c>
      <c r="BV23" s="228">
        <f>IFERROR(VLOOKUP($B23 &amp; $C23&amp;CompareVer,tblForecast,BV$2,FALSE),0)</f>
        <v>2620</v>
      </c>
      <c r="BW23" s="228">
        <f t="shared" si="100"/>
        <v>0</v>
      </c>
      <c r="BX23" s="228">
        <f t="shared" si="100"/>
        <v>0</v>
      </c>
      <c r="BY23" s="176">
        <f>IFERROR(VLOOKUP($B23-IF(CompareVer="LY",1,0) &amp; $C23 &amp;BY$4,tblForecast,BY$2,FALSE),0)</f>
        <v>25643</v>
      </c>
      <c r="BZ23" s="177">
        <f t="shared" si="25"/>
        <v>-0.89782786725422148</v>
      </c>
      <c r="CA23" s="90">
        <f t="shared" si="101"/>
        <v>0</v>
      </c>
      <c r="CB23" s="90">
        <f t="shared" si="101"/>
        <v>0</v>
      </c>
      <c r="CC23" s="90">
        <f>IFERROR(VLOOKUP($B23 &amp; $C23&amp;CompareVer,tblForecast,CC$2,FALSE),0)</f>
        <v>33929</v>
      </c>
      <c r="CD23" s="90">
        <f t="shared" si="102"/>
        <v>0</v>
      </c>
      <c r="CE23" s="90">
        <f t="shared" si="102"/>
        <v>0</v>
      </c>
      <c r="CF23" s="90">
        <f>IFERROR(VLOOKUP($B23-IF(CompareVer="LY",1,0) &amp; $C23 &amp;CF$4,tblForecast,CF$2,FALSE),0)</f>
        <v>691078.85</v>
      </c>
      <c r="CG23" s="177">
        <f t="shared" si="28"/>
        <v>-0.95090429984943103</v>
      </c>
      <c r="CH23" s="90">
        <f t="shared" si="103"/>
        <v>0</v>
      </c>
      <c r="CI23" s="90">
        <f t="shared" si="103"/>
        <v>0</v>
      </c>
      <c r="CJ23" s="90">
        <f>IFERROR(VLOOKUP($B23 &amp; $C23&amp;CompareVer,tblForecast,CJ$2,FALSE),0)</f>
        <v>9088.7800000000007</v>
      </c>
      <c r="CK23" s="90">
        <f t="shared" si="104"/>
        <v>0</v>
      </c>
      <c r="CL23" s="90">
        <f t="shared" si="104"/>
        <v>0</v>
      </c>
      <c r="CM23" s="90">
        <f>IFERROR(VLOOKUP($B23-IF(CompareVer="LY",1,0) &amp; $C23 &amp;CM$4,tblForecast,CM$2,FALSE),0)</f>
        <v>115106.8376</v>
      </c>
      <c r="CN23" s="177">
        <f t="shared" si="31"/>
        <v>-0.92104048560882368</v>
      </c>
      <c r="CO23" s="178">
        <f t="shared" si="46"/>
        <v>0</v>
      </c>
      <c r="CP23" s="223">
        <f t="shared" si="32"/>
        <v>26.95</v>
      </c>
      <c r="CQ23" s="177">
        <f t="shared" si="33"/>
        <v>-1</v>
      </c>
      <c r="CR23" s="178">
        <f t="shared" si="44"/>
        <v>0</v>
      </c>
      <c r="CS23" s="223">
        <f t="shared" si="34"/>
        <v>4.488821027180907</v>
      </c>
      <c r="CT23" s="177">
        <f t="shared" si="47"/>
        <v>-1</v>
      </c>
      <c r="CU23" s="44"/>
      <c r="CV23" s="44"/>
      <c r="CW23" s="103">
        <f>IFERROR(VLOOKUP($B23 &amp; $C23&amp;CompareVer,tblForecast,CW$2,FALSE),0)</f>
        <v>-1</v>
      </c>
      <c r="CX23" s="92">
        <f>IFERROR(VLOOKUP($B23-IF(CompareVer="LY",1,0) &amp; $C23 &amp;CX$4,tblForecast,CX$2,FALSE),0)</f>
        <v>-2</v>
      </c>
      <c r="CY23" s="91">
        <f t="shared" si="36"/>
        <v>-0.5</v>
      </c>
      <c r="CZ23" s="278">
        <f>IFERROR(VLOOKUP(Brand&amp;Channel&amp;Country&amp;$C23,tblDiscount,6,FALSE),0)</f>
        <v>0.45</v>
      </c>
      <c r="DA23" s="279">
        <f>(1-CZ23)*DB23</f>
        <v>13.761000000000001</v>
      </c>
      <c r="DB23" s="279">
        <f>IFERROR(VLOOKUP(Brand&amp;Country &amp; Channel &amp;FC,tblFCSettings,8,FALSE),0)</f>
        <v>25.02</v>
      </c>
      <c r="DC23" s="280">
        <f>IFERROR(VLOOKUP(Brand&amp;Country &amp; Channel &amp;FC,tblFCSettings,9,FALSE),0)</f>
        <v>4.16</v>
      </c>
    </row>
    <row r="24" spans="1:107" x14ac:dyDescent="0.25">
      <c r="A24" s="44" t="s">
        <v>335</v>
      </c>
      <c r="B24" s="44">
        <v>2018</v>
      </c>
      <c r="C24" s="88">
        <v>12</v>
      </c>
      <c r="D24" s="97">
        <f t="shared" si="105"/>
        <v>14736753.578799974</v>
      </c>
      <c r="E24" s="202">
        <f t="shared" si="106"/>
        <v>11024187.365199976</v>
      </c>
      <c r="F24" s="182">
        <f t="shared" si="45"/>
        <v>0.74807435072125861</v>
      </c>
      <c r="G24" s="176">
        <f t="shared" si="88"/>
        <v>386907</v>
      </c>
      <c r="H24" s="203">
        <f t="shared" si="88"/>
        <v>38.088619691036797</v>
      </c>
      <c r="I24" s="203">
        <f t="shared" si="88"/>
        <v>9.5955002457955008</v>
      </c>
      <c r="J24" s="176">
        <f>IFERROR(VLOOKUP($B24 &amp; $C24&amp;J$4&amp;$A24,tblForecast,J$2,FALSE),0)+IFERROR(VLOOKUP($B24 &amp; $C24 &amp; J$4 &amp; $A24,tblForecast,J$2+1,FALSE),0)</f>
        <v>8321716</v>
      </c>
      <c r="K24" s="300">
        <f>IFERROR(VLOOKUP($B24 &amp; $C24&amp;K$4&amp;$A24,tblForecast,K$2+2,FALSE),0)</f>
        <v>50668</v>
      </c>
      <c r="L24" s="90">
        <f t="shared" si="89"/>
        <v>0</v>
      </c>
      <c r="M24" s="90">
        <f t="shared" si="89"/>
        <v>0</v>
      </c>
      <c r="N24" s="90">
        <f t="shared" si="89"/>
        <v>0</v>
      </c>
      <c r="O24" s="90">
        <f t="shared" si="89"/>
        <v>0</v>
      </c>
      <c r="P24" s="91">
        <f t="shared" si="39"/>
        <v>0</v>
      </c>
      <c r="Q24" s="238">
        <f>IFERROR(VLOOKUP($B24 &amp; $C24&amp;CompareVer,tblForecast,Q$2,FALSE),0)</f>
        <v>0</v>
      </c>
      <c r="R24" s="240">
        <f t="shared" si="90"/>
        <v>0</v>
      </c>
      <c r="S24" s="240">
        <f t="shared" si="90"/>
        <v>0</v>
      </c>
      <c r="T24" s="240">
        <f>IFERROR(VLOOKUP($B24-IF(CompareVer="LY",1,0) &amp; $C24 &amp;T$4,tblForecast,T$2,FALSE),0)</f>
        <v>0</v>
      </c>
      <c r="U24" s="91">
        <f t="shared" si="7"/>
        <v>0</v>
      </c>
      <c r="V24" s="245">
        <f t="shared" si="107"/>
        <v>0</v>
      </c>
      <c r="W24" s="331">
        <f t="shared" si="108"/>
        <v>0</v>
      </c>
      <c r="X24" s="246">
        <f t="shared" si="109"/>
        <v>0</v>
      </c>
      <c r="Y24" s="97">
        <f t="shared" si="91"/>
        <v>0</v>
      </c>
      <c r="Z24" s="90">
        <f t="shared" si="91"/>
        <v>0</v>
      </c>
      <c r="AA24" s="90">
        <f t="shared" si="91"/>
        <v>0</v>
      </c>
      <c r="AB24" s="90">
        <f t="shared" si="91"/>
        <v>0</v>
      </c>
      <c r="AC24" s="91">
        <f t="shared" si="9"/>
        <v>0</v>
      </c>
      <c r="AD24" s="75">
        <f>IF(AM24&lt;&gt;0,1-AR24/AM24,0)</f>
        <v>0</v>
      </c>
      <c r="AE24" s="93">
        <f t="shared" si="92"/>
        <v>0</v>
      </c>
      <c r="AF24" s="93">
        <f t="shared" si="92"/>
        <v>0</v>
      </c>
      <c r="AG24" s="93">
        <f t="shared" si="92"/>
        <v>0</v>
      </c>
      <c r="AH24" s="104">
        <f>IFERROR(VLOOKUP($B24 &amp; $C24&amp;CompareVer,tblForecast,AH$2,FALSE),0)</f>
        <v>0</v>
      </c>
      <c r="AI24" s="94">
        <f t="shared" si="93"/>
        <v>0</v>
      </c>
      <c r="AJ24" s="94">
        <f t="shared" si="93"/>
        <v>0</v>
      </c>
      <c r="AK24" s="94">
        <f>IFERROR(VLOOKUP($B24-IF(CompareVer="LY",1,0) &amp; $C24 &amp;AK$4,tblForecast,AK$2,FALSE),0)</f>
        <v>0</v>
      </c>
      <c r="AL24" s="91">
        <f t="shared" si="12"/>
        <v>0</v>
      </c>
      <c r="AM24" s="104">
        <f>IFERROR(VLOOKUP($B24 &amp; $C24&amp;CompareVer,tblForecast,AM$2,FALSE),0)</f>
        <v>0</v>
      </c>
      <c r="AN24" s="94">
        <f t="shared" si="94"/>
        <v>0</v>
      </c>
      <c r="AO24" s="94">
        <f t="shared" si="94"/>
        <v>0</v>
      </c>
      <c r="AP24" s="94">
        <f>IFERROR(VLOOKUP($B24-IF(CompareVer="LY",1,0) &amp; $C24 &amp;AP$4,tblForecast,AP$2,FALSE),0)</f>
        <v>0</v>
      </c>
      <c r="AQ24" s="91">
        <f t="shared" si="14"/>
        <v>0</v>
      </c>
      <c r="AR24" s="104">
        <f>IFERROR(VLOOKUP($B24 &amp; $C24&amp;CompareVer,tblForecast,AR$2,FALSE),0)</f>
        <v>0</v>
      </c>
      <c r="AS24" s="94">
        <f t="shared" si="95"/>
        <v>0</v>
      </c>
      <c r="AT24" s="94">
        <f t="shared" si="95"/>
        <v>0</v>
      </c>
      <c r="AU24" s="94">
        <f>IFERROR(VLOOKUP($B24-IF(CompareVer="LY",1,0) &amp; $C24 &amp;AU$4,tblForecast,AU$2,FALSE),0)</f>
        <v>0</v>
      </c>
      <c r="AV24" s="91">
        <f t="shared" si="16"/>
        <v>0</v>
      </c>
      <c r="AW24" s="181">
        <f t="shared" si="17"/>
        <v>0</v>
      </c>
      <c r="AX24" s="182">
        <f t="shared" si="17"/>
        <v>0</v>
      </c>
      <c r="AY24" s="182">
        <f t="shared" si="17"/>
        <v>0</v>
      </c>
      <c r="AZ24" s="182">
        <f t="shared" si="17"/>
        <v>0</v>
      </c>
      <c r="BA24" s="227">
        <f t="shared" si="96"/>
        <v>48093</v>
      </c>
      <c r="BB24" s="228">
        <f>IF(IFERROR(VLOOKUP($B24 &amp; $C24&amp;BB$4,tblForecast,BB$2,FALSE),0)=0,BA24,IFERROR(VLOOKUP($B24 &amp; $C24&amp;BB$4,tblForecast,BB$2,FALSE),0))</f>
        <v>48093</v>
      </c>
      <c r="BC24" s="228">
        <f t="shared" si="97"/>
        <v>0</v>
      </c>
      <c r="BD24" s="228">
        <f t="shared" si="98"/>
        <v>881519</v>
      </c>
      <c r="BE24" s="177">
        <f t="shared" si="19"/>
        <v>-0.94544303639513161</v>
      </c>
      <c r="BF24" s="228">
        <f>IFERROR(VLOOKUP($B24 &amp; $C24&amp;CompareVer,tblForecast,BF$2,FALSE),0)</f>
        <v>48094</v>
      </c>
      <c r="BG24" s="228">
        <f>IFERROR(VLOOKUP($B24-IF(CompareVer="LY",1,0) &amp; $C24 &amp;BG$4,tblForecast,BG$2,FALSE),0)</f>
        <v>881521</v>
      </c>
      <c r="BH24" s="179">
        <f>IF(Q24&lt;&gt;0,BA24/Q24,0)</f>
        <v>0</v>
      </c>
      <c r="BI24" s="187">
        <f>IF(T24&lt;&gt;0,BD24/T24,0)</f>
        <v>0</v>
      </c>
      <c r="BJ24" s="184">
        <f t="shared" si="20"/>
        <v>0</v>
      </c>
      <c r="BK24" s="96">
        <f t="shared" si="21"/>
        <v>0</v>
      </c>
      <c r="BL24" s="227">
        <f>IFERROR(VLOOKUP($B24 &amp; $C24&amp;CompareVer,tblForecast,BL$2,FALSE),0)</f>
        <v>0</v>
      </c>
      <c r="BM24" s="228">
        <f>IFERROR(VLOOKUP($B24-IF(CompareVer="LY",1,0) &amp; $C24 &amp;BM$4,tblForecast,BM$2,FALSE),0)</f>
        <v>-109</v>
      </c>
      <c r="BN24" s="227">
        <f>IFERROR(VLOOKUP($B24 &amp; $C24&amp;CompareVer,tblForecast,BN$2,FALSE),0)</f>
        <v>0</v>
      </c>
      <c r="BO24" s="228">
        <f>IFERROR(VLOOKUP($B24-IF(CompareVer="LY",1,0) &amp; $C24 &amp;BO$4,tblForecast,BO$2,FALSE),0)</f>
        <v>0</v>
      </c>
      <c r="BP24" s="227">
        <f>IFERROR(VLOOKUP($B24 &amp; $C24&amp;CompareVer,tblForecast,BP$2,FALSE),0)</f>
        <v>0</v>
      </c>
      <c r="BQ24" s="228">
        <f>IFERROR(VLOOKUP($B24-IF(CompareVer="LY",1,0) &amp; $C24 &amp;BQ$4,tblForecast,BQ$2,FALSE),0)</f>
        <v>0</v>
      </c>
      <c r="BR24" s="227">
        <f t="shared" si="43"/>
        <v>0</v>
      </c>
      <c r="BS24" s="228">
        <f t="shared" si="22"/>
        <v>0</v>
      </c>
      <c r="BT24" s="227">
        <f t="shared" si="99"/>
        <v>0</v>
      </c>
      <c r="BU24" s="228">
        <f t="shared" si="99"/>
        <v>-1503</v>
      </c>
      <c r="BV24" s="228">
        <f>IFERROR(VLOOKUP($B24 &amp; $C24&amp;CompareVer,tblForecast,BV$2,FALSE),0)</f>
        <v>45474</v>
      </c>
      <c r="BW24" s="228">
        <f t="shared" si="100"/>
        <v>0</v>
      </c>
      <c r="BX24" s="228">
        <f t="shared" si="100"/>
        <v>0</v>
      </c>
      <c r="BY24" s="176">
        <f>IFERROR(VLOOKUP($B24-IF(CompareVer="LY",1,0) &amp; $C24 &amp;BY$4,tblForecast,BY$2,FALSE),0)</f>
        <v>855989</v>
      </c>
      <c r="BZ24" s="177">
        <f t="shared" si="25"/>
        <v>-0.94687548554946388</v>
      </c>
      <c r="CA24" s="90">
        <f t="shared" si="101"/>
        <v>0</v>
      </c>
      <c r="CB24" s="90">
        <f t="shared" si="101"/>
        <v>0</v>
      </c>
      <c r="CC24" s="90">
        <f>IFERROR(VLOOKUP($B24 &amp; $C24&amp;CompareVer,tblForecast,CC$2,FALSE),0)</f>
        <v>1252533.3</v>
      </c>
      <c r="CD24" s="90">
        <f t="shared" si="102"/>
        <v>0</v>
      </c>
      <c r="CE24" s="90">
        <f t="shared" si="102"/>
        <v>0</v>
      </c>
      <c r="CF24" s="90">
        <f>IFERROR(VLOOKUP($B24-IF(CompareVer="LY",1,0) &amp; $C24 &amp;CF$4,tblForecast,CF$2,FALSE),0)</f>
        <v>19913825.550000001</v>
      </c>
      <c r="CG24" s="177">
        <f t="shared" si="28"/>
        <v>-0.93710232637846924</v>
      </c>
      <c r="CH24" s="90">
        <f t="shared" si="103"/>
        <v>0</v>
      </c>
      <c r="CI24" s="90">
        <f t="shared" si="103"/>
        <v>-3289.51</v>
      </c>
      <c r="CJ24" s="90">
        <f>IFERROR(VLOOKUP($B24 &amp; $C24&amp;CompareVer,tblForecast,CJ$2,FALSE),0)</f>
        <v>211543.75719999999</v>
      </c>
      <c r="CK24" s="90">
        <f t="shared" si="104"/>
        <v>0</v>
      </c>
      <c r="CL24" s="90">
        <f t="shared" si="104"/>
        <v>0</v>
      </c>
      <c r="CM24" s="90">
        <f>IFERROR(VLOOKUP($B24-IF(CompareVer="LY",1,0) &amp; $C24 &amp;CM$4,tblForecast,CM$2,FALSE),0)</f>
        <v>3309227.8248999999</v>
      </c>
      <c r="CN24" s="177">
        <f t="shared" si="31"/>
        <v>-0.9360745864614527</v>
      </c>
      <c r="CO24" s="178">
        <f t="shared" si="46"/>
        <v>0</v>
      </c>
      <c r="CP24" s="223">
        <f t="shared" si="32"/>
        <v>23.264113849593862</v>
      </c>
      <c r="CQ24" s="177">
        <f t="shared" si="33"/>
        <v>-1</v>
      </c>
      <c r="CR24" s="178">
        <f t="shared" si="44"/>
        <v>0</v>
      </c>
      <c r="CS24" s="223">
        <f t="shared" si="34"/>
        <v>3.8659700357130755</v>
      </c>
      <c r="CT24" s="177">
        <f t="shared" si="47"/>
        <v>-1</v>
      </c>
      <c r="CU24" s="44"/>
      <c r="CV24" s="44"/>
      <c r="CW24" s="103">
        <f>IFERROR(VLOOKUP($B24 &amp; $C24&amp;CompareVer,tblForecast,CW$2,FALSE),0)</f>
        <v>-1</v>
      </c>
      <c r="CX24" s="92">
        <f>IFERROR(VLOOKUP($B24-IF(CompareVer="LY",1,0) &amp; $C24 &amp;CX$4,tblForecast,CX$2,FALSE),0)</f>
        <v>-2</v>
      </c>
      <c r="CY24" s="91">
        <f t="shared" si="36"/>
        <v>-0.5</v>
      </c>
      <c r="CZ24" s="278">
        <f>IFERROR(VLOOKUP(Brand&amp;Channel&amp;Country&amp;$C24,tblDiscount,6,FALSE),0)</f>
        <v>0.45</v>
      </c>
      <c r="DA24" s="279">
        <f>(1-CZ24)*DB24</f>
        <v>13.761000000000001</v>
      </c>
      <c r="DB24" s="279">
        <f>IFERROR(VLOOKUP(Brand&amp;Country &amp; Channel &amp;FC,tblFCSettings,8,FALSE),0)</f>
        <v>25.02</v>
      </c>
      <c r="DC24" s="280">
        <f>IFERROR(VLOOKUP(Brand&amp;Country &amp; Channel &amp;FC,tblFCSettings,9,FALSE),0)</f>
        <v>4.16</v>
      </c>
    </row>
    <row r="25" spans="1:107" ht="16.5" thickBot="1" x14ac:dyDescent="0.3">
      <c r="A25" s="44" t="s">
        <v>335</v>
      </c>
      <c r="B25" s="44">
        <v>2018</v>
      </c>
      <c r="C25" s="88">
        <v>13</v>
      </c>
      <c r="D25" s="97">
        <f t="shared" si="105"/>
        <v>11912901.464599974</v>
      </c>
      <c r="E25" s="202">
        <f t="shared" si="106"/>
        <v>8623302.4317999948</v>
      </c>
      <c r="F25" s="182">
        <f t="shared" si="45"/>
        <v>0.72386248282374743</v>
      </c>
      <c r="G25" s="176">
        <f t="shared" si="88"/>
        <v>320543</v>
      </c>
      <c r="H25" s="203">
        <f t="shared" si="88"/>
        <v>37.164753136396598</v>
      </c>
      <c r="I25" s="203">
        <f t="shared" si="88"/>
        <v>10.262582657552899</v>
      </c>
      <c r="J25" s="176">
        <f>IFERROR(VLOOKUP($B25 &amp; $C25&amp;J$4&amp;$A25,tblForecast,J$2,FALSE),0)+IFERROR(VLOOKUP($B25 &amp; $C25 &amp; J$4 &amp; $A25,tblForecast,J$2+1,FALSE),0)</f>
        <v>8377720</v>
      </c>
      <c r="K25" s="300">
        <f>IFERROR(VLOOKUP($B25 &amp; $C25&amp;K$4&amp;$A25,tblForecast,K$2+2,FALSE),0)</f>
        <v>474340</v>
      </c>
      <c r="L25" s="90">
        <f t="shared" si="89"/>
        <v>18</v>
      </c>
      <c r="M25" s="90">
        <f t="shared" si="89"/>
        <v>17.97</v>
      </c>
      <c r="N25" s="90">
        <f t="shared" si="89"/>
        <v>0</v>
      </c>
      <c r="O25" s="90">
        <f t="shared" si="89"/>
        <v>20</v>
      </c>
      <c r="P25" s="91">
        <f t="shared" si="39"/>
        <v>-9.9999999999999978E-2</v>
      </c>
      <c r="Q25" s="238">
        <f>IFERROR(VLOOKUP($B25 &amp; $C25&amp;CompareVer,tblForecast,Q$2,FALSE),0)</f>
        <v>1</v>
      </c>
      <c r="R25" s="241">
        <f t="shared" si="90"/>
        <v>1</v>
      </c>
      <c r="S25" s="241">
        <f t="shared" si="90"/>
        <v>0</v>
      </c>
      <c r="T25" s="240">
        <f>IFERROR(VLOOKUP($B25-IF(CompareVer="LY",1,0) &amp; $C25 &amp;T$4,tblForecast,T$2,FALSE),0)</f>
        <v>2</v>
      </c>
      <c r="U25" s="91">
        <f t="shared" si="7"/>
        <v>-0.5</v>
      </c>
      <c r="V25" s="245">
        <f t="shared" si="107"/>
        <v>0</v>
      </c>
      <c r="W25" s="331">
        <f t="shared" si="108"/>
        <v>0</v>
      </c>
      <c r="X25" s="246">
        <f t="shared" si="109"/>
        <v>0</v>
      </c>
      <c r="Y25" s="97">
        <f t="shared" si="91"/>
        <v>9</v>
      </c>
      <c r="Z25" s="90">
        <f t="shared" si="91"/>
        <v>8.4799999999999986</v>
      </c>
      <c r="AA25" s="90">
        <f t="shared" si="91"/>
        <v>0</v>
      </c>
      <c r="AB25" s="90">
        <f t="shared" si="91"/>
        <v>13</v>
      </c>
      <c r="AC25" s="91">
        <f t="shared" si="9"/>
        <v>-0.30769230769230771</v>
      </c>
      <c r="AD25" s="75">
        <f>IF(AM25&lt;&gt;0,1-AR25/AM25,0)</f>
        <v>0.5</v>
      </c>
      <c r="AE25" s="93">
        <f t="shared" si="92"/>
        <v>0.47189760712298268</v>
      </c>
      <c r="AF25" s="93">
        <f t="shared" si="92"/>
        <v>0</v>
      </c>
      <c r="AG25" s="93">
        <f t="shared" si="92"/>
        <v>0.65</v>
      </c>
      <c r="AH25" s="104">
        <f>IFERROR(VLOOKUP($B25 &amp; $C25&amp;CompareVer,tblForecast,AH$2,FALSE),0)</f>
        <v>29.95</v>
      </c>
      <c r="AI25" s="94">
        <f t="shared" si="93"/>
        <v>29.95</v>
      </c>
      <c r="AJ25" s="94">
        <f t="shared" si="93"/>
        <v>0</v>
      </c>
      <c r="AK25" s="94">
        <f>IFERROR(VLOOKUP($B25-IF(CompareVer="LY",1,0) &amp; $C25 &amp;AK$4,tblForecast,AK$2,FALSE),0)</f>
        <v>18.45</v>
      </c>
      <c r="AL25" s="91">
        <f t="shared" si="12"/>
        <v>0.62330623306233068</v>
      </c>
      <c r="AM25" s="104">
        <f>IFERROR(VLOOKUP($B25 &amp; $C25&amp;CompareVer,tblForecast,AM$2,FALSE),0)</f>
        <v>18</v>
      </c>
      <c r="AN25" s="94">
        <f t="shared" si="94"/>
        <v>17.97</v>
      </c>
      <c r="AO25" s="94">
        <f t="shared" si="94"/>
        <v>0</v>
      </c>
      <c r="AP25" s="94">
        <f>IFERROR(VLOOKUP($B25-IF(CompareVer="LY",1,0) &amp; $C25 &amp;AP$4,tblForecast,AP$2,FALSE),0)</f>
        <v>10</v>
      </c>
      <c r="AQ25" s="91">
        <f t="shared" si="14"/>
        <v>0.8</v>
      </c>
      <c r="AR25" s="104">
        <f>IFERROR(VLOOKUP($B25 &amp; $C25&amp;CompareVer,tblForecast,AR$2,FALSE),0)</f>
        <v>9</v>
      </c>
      <c r="AS25" s="94">
        <f t="shared" si="95"/>
        <v>9.49</v>
      </c>
      <c r="AT25" s="94">
        <f t="shared" si="95"/>
        <v>0</v>
      </c>
      <c r="AU25" s="94">
        <f>IFERROR(VLOOKUP($B25-IF(CompareVer="LY",1,0) &amp; $C25 &amp;AU$4,tblForecast,AU$2,FALSE),0)</f>
        <v>3.5</v>
      </c>
      <c r="AV25" s="91">
        <f t="shared" si="16"/>
        <v>1.5714285714285716</v>
      </c>
      <c r="AW25" s="181">
        <f t="shared" si="17"/>
        <v>0.39899833055091816</v>
      </c>
      <c r="AX25" s="182">
        <f t="shared" si="17"/>
        <v>0.4</v>
      </c>
      <c r="AY25" s="182">
        <f t="shared" si="17"/>
        <v>0</v>
      </c>
      <c r="AZ25" s="182">
        <f t="shared" si="17"/>
        <v>0.4579945799457994</v>
      </c>
      <c r="BA25" s="227">
        <f t="shared" si="96"/>
        <v>525557</v>
      </c>
      <c r="BB25" s="228">
        <f>IF(IFERROR(VLOOKUP($B25 &amp; $C25&amp;BB$4,tblForecast,BB$2,FALSE),0)=0,BA25,IFERROR(VLOOKUP($B25 &amp; $C25&amp;BB$4,tblForecast,BB$2,FALSE),0))</f>
        <v>525557</v>
      </c>
      <c r="BC25" s="228">
        <f t="shared" si="97"/>
        <v>0</v>
      </c>
      <c r="BD25" s="228">
        <f t="shared" si="98"/>
        <v>1112279</v>
      </c>
      <c r="BE25" s="177">
        <f t="shared" si="19"/>
        <v>-0.52749534963799549</v>
      </c>
      <c r="BF25" s="228">
        <f>IFERROR(VLOOKUP($B25 &amp; $C25&amp;CompareVer,tblForecast,BF$2,FALSE),0)</f>
        <v>525559</v>
      </c>
      <c r="BG25" s="228">
        <f>IFERROR(VLOOKUP($B25-IF(CompareVer="LY",1,0) &amp; $C25 &amp;BG$4,tblForecast,BG$2,FALSE),0)</f>
        <v>1112283</v>
      </c>
      <c r="BH25" s="188">
        <f>IF(Q25&lt;&gt;0,BA25/Q25,0)</f>
        <v>525557</v>
      </c>
      <c r="BI25" s="189">
        <f>IF(T25&lt;&gt;0,BD25/T25,0)</f>
        <v>556139.5</v>
      </c>
      <c r="BJ25" s="184">
        <f t="shared" si="20"/>
        <v>1.9027431848495977E-6</v>
      </c>
      <c r="BK25" s="96">
        <f t="shared" si="21"/>
        <v>1.7981100065720921E-6</v>
      </c>
      <c r="BL25" s="227">
        <f>IFERROR(VLOOKUP($B25 &amp; $C25&amp;CompareVer,tblForecast,BL$2,FALSE),0)</f>
        <v>3125</v>
      </c>
      <c r="BM25" s="228">
        <f>IFERROR(VLOOKUP($B25-IF(CompareVer="LY",1,0) &amp; $C25 &amp;BM$4,tblForecast,BM$2,FALSE),0)</f>
        <v>18</v>
      </c>
      <c r="BN25" s="227">
        <f>IFERROR(VLOOKUP($B25 &amp; $C25&amp;CompareVer,tblForecast,BN$2,FALSE),0)</f>
        <v>0</v>
      </c>
      <c r="BO25" s="228">
        <f>IFERROR(VLOOKUP($B25-IF(CompareVer="LY",1,0) &amp; $C25 &amp;BO$4,tblForecast,BO$2,FALSE),0)</f>
        <v>0</v>
      </c>
      <c r="BP25" s="227">
        <f>IFERROR(VLOOKUP($B25 &amp; $C25&amp;CompareVer,tblForecast,BP$2,FALSE),0)</f>
        <v>0</v>
      </c>
      <c r="BQ25" s="228">
        <f>IFERROR(VLOOKUP($B25-IF(CompareVer="LY",1,0) &amp; $C25 &amp;BQ$4,tblForecast,BQ$2,FALSE),0)</f>
        <v>0</v>
      </c>
      <c r="BR25" s="227">
        <f t="shared" si="43"/>
        <v>0</v>
      </c>
      <c r="BS25" s="228">
        <f t="shared" si="22"/>
        <v>0</v>
      </c>
      <c r="BT25" s="227">
        <f t="shared" si="99"/>
        <v>0</v>
      </c>
      <c r="BU25" s="228">
        <f t="shared" si="99"/>
        <v>-5695</v>
      </c>
      <c r="BV25" s="228">
        <f>IFERROR(VLOOKUP($B25 &amp; $C25&amp;CompareVer,tblForecast,BV$2,FALSE),0)</f>
        <v>474340</v>
      </c>
      <c r="BW25" s="228">
        <f t="shared" si="100"/>
        <v>0</v>
      </c>
      <c r="BX25" s="228">
        <f t="shared" si="100"/>
        <v>0</v>
      </c>
      <c r="BY25" s="176">
        <f>IFERROR(VLOOKUP($B25-IF(CompareVer="LY",1,0) &amp; $C25 &amp;BY$4,tblForecast,BY$2,FALSE),0)</f>
        <v>230744</v>
      </c>
      <c r="BZ25" s="177">
        <f t="shared" si="25"/>
        <v>1.0556980896578025</v>
      </c>
      <c r="CA25" s="90">
        <f t="shared" si="101"/>
        <v>0</v>
      </c>
      <c r="CB25" s="90">
        <f t="shared" si="101"/>
        <v>0</v>
      </c>
      <c r="CC25" s="90">
        <f>IFERROR(VLOOKUP($B25 &amp; $C25&amp;CompareVer,tblForecast,CC$2,FALSE),0)</f>
        <v>11734366</v>
      </c>
      <c r="CD25" s="90">
        <f t="shared" si="102"/>
        <v>0</v>
      </c>
      <c r="CE25" s="90">
        <f t="shared" si="102"/>
        <v>0</v>
      </c>
      <c r="CF25" s="90">
        <f>IFERROR(VLOOKUP($B25-IF(CompareVer="LY",1,0) &amp; $C25 &amp;CF$4,tblForecast,CF$2,FALSE),0)</f>
        <v>5330517.8</v>
      </c>
      <c r="CG25" s="177">
        <f t="shared" si="28"/>
        <v>1.2013557482164305</v>
      </c>
      <c r="CH25" s="90">
        <f t="shared" si="103"/>
        <v>0</v>
      </c>
      <c r="CI25" s="90">
        <f t="shared" si="103"/>
        <v>-19898.2</v>
      </c>
      <c r="CJ25" s="90">
        <f>IFERROR(VLOOKUP($B25 &amp; $C25&amp;CompareVer,tblForecast,CJ$2,FALSE),0)</f>
        <v>1959649.2675999999</v>
      </c>
      <c r="CK25" s="90">
        <f t="shared" si="104"/>
        <v>0</v>
      </c>
      <c r="CL25" s="90">
        <f t="shared" si="104"/>
        <v>0</v>
      </c>
      <c r="CM25" s="90">
        <f>IFERROR(VLOOKUP($B25-IF(CompareVer="LY",1,0) &amp; $C25 &amp;CM$4,tblForecast,CM$2,FALSE),0)</f>
        <v>832883.99580000003</v>
      </c>
      <c r="CN25" s="177">
        <f t="shared" si="31"/>
        <v>1.3528477885059149</v>
      </c>
      <c r="CO25" s="178">
        <f t="shared" si="46"/>
        <v>0</v>
      </c>
      <c r="CP25" s="223">
        <f t="shared" si="32"/>
        <v>23.101436223693788</v>
      </c>
      <c r="CQ25" s="177">
        <f t="shared" si="33"/>
        <v>-1</v>
      </c>
      <c r="CR25" s="178">
        <f t="shared" si="44"/>
        <v>0</v>
      </c>
      <c r="CS25" s="223">
        <f t="shared" si="34"/>
        <v>3.6095586268765385</v>
      </c>
      <c r="CT25" s="177">
        <f t="shared" si="47"/>
        <v>-1</v>
      </c>
      <c r="CU25" s="44"/>
      <c r="CV25" s="44"/>
      <c r="CW25" s="103">
        <f>IFERROR(VLOOKUP($B25 &amp; $C25&amp;CompareVer,tblForecast,CW$2,FALSE),0)</f>
        <v>-2</v>
      </c>
      <c r="CX25" s="92">
        <f>IFERROR(VLOOKUP($B25-IF(CompareVer="LY",1,0) &amp; $C25 &amp;CX$4,tblForecast,CX$2,FALSE),0)</f>
        <v>-4</v>
      </c>
      <c r="CY25" s="91">
        <f t="shared" si="36"/>
        <v>-0.5</v>
      </c>
      <c r="CZ25" s="278">
        <f>IFERROR(VLOOKUP(Brand&amp;Channel&amp;Country&amp;$C25,tblDiscount,6,FALSE),0)</f>
        <v>0.45</v>
      </c>
      <c r="DA25" s="279">
        <f>(1-CZ25)*DB25</f>
        <v>13.761000000000001</v>
      </c>
      <c r="DB25" s="279">
        <f>IFERROR(VLOOKUP(Brand&amp;Country &amp; Channel &amp;FC,tblFCSettings,8,FALSE),0)</f>
        <v>25.02</v>
      </c>
      <c r="DC25" s="280">
        <f>IFERROR(VLOOKUP(Brand&amp;Country &amp; Channel &amp;FC,tblFCSettings,9,FALSE),0)</f>
        <v>4.16</v>
      </c>
    </row>
    <row r="26" spans="1:107" ht="16.5" thickBot="1" x14ac:dyDescent="0.3">
      <c r="C26" s="253" t="s">
        <v>23</v>
      </c>
      <c r="D26" s="254">
        <f t="shared" ref="D26" si="110">SUM(D22:D25)</f>
        <v>51947123.01859992</v>
      </c>
      <c r="E26" s="255">
        <f t="shared" ref="E26" si="111">SUM(E22:E25)</f>
        <v>38854760.325699963</v>
      </c>
      <c r="F26" s="256">
        <f t="shared" si="45"/>
        <v>0.74796751134394546</v>
      </c>
      <c r="G26" s="257">
        <f>SUM(G22:G25)</f>
        <v>1328383</v>
      </c>
      <c r="H26" s="258">
        <f>IFERROR(D26/G26,0)</f>
        <v>39.105531325378237</v>
      </c>
      <c r="I26" s="258">
        <f>IFERROR(SUMPRODUCT(I22:I25,G22:G25)/G26,0)</f>
        <v>9.8558643801523793</v>
      </c>
      <c r="J26" s="257">
        <f>SUM(J22:J25)</f>
        <v>34168106</v>
      </c>
      <c r="K26" s="301">
        <f>SUM(K22:K25)</f>
        <v>1340805</v>
      </c>
      <c r="L26" s="259">
        <f>SUM(L22:L25)</f>
        <v>18</v>
      </c>
      <c r="M26" s="259">
        <f t="shared" ref="M26:O26" si="112">SUM(M22:M25)</f>
        <v>17.97</v>
      </c>
      <c r="N26" s="259">
        <f t="shared" si="112"/>
        <v>0</v>
      </c>
      <c r="O26" s="259">
        <f t="shared" si="112"/>
        <v>20</v>
      </c>
      <c r="P26" s="260">
        <f t="shared" si="39"/>
        <v>-9.9999999999999978E-2</v>
      </c>
      <c r="Q26" s="261">
        <f>SUM(Q22:Q25)</f>
        <v>1</v>
      </c>
      <c r="R26" s="262">
        <f t="shared" ref="R26:S26" si="113">SUM(R22:R25)</f>
        <v>1</v>
      </c>
      <c r="S26" s="262">
        <f t="shared" si="113"/>
        <v>0</v>
      </c>
      <c r="T26" s="262">
        <f>SUM(T22:T25)</f>
        <v>2</v>
      </c>
      <c r="U26" s="260">
        <f t="shared" si="7"/>
        <v>-0.5</v>
      </c>
      <c r="V26" s="263">
        <f t="shared" ref="V26:X27" si="114">V25</f>
        <v>0</v>
      </c>
      <c r="W26" s="332">
        <f t="shared" si="114"/>
        <v>0</v>
      </c>
      <c r="X26" s="264">
        <f t="shared" si="114"/>
        <v>0</v>
      </c>
      <c r="Y26" s="254">
        <f>SUM(Y22:Y25)</f>
        <v>9</v>
      </c>
      <c r="Z26" s="259">
        <f t="shared" ref="Z26:AB26" si="115">SUM(Z22:Z25)</f>
        <v>8.4799999999999986</v>
      </c>
      <c r="AA26" s="259">
        <f t="shared" si="115"/>
        <v>0</v>
      </c>
      <c r="AB26" s="259">
        <f t="shared" si="115"/>
        <v>13</v>
      </c>
      <c r="AC26" s="260">
        <f t="shared" si="9"/>
        <v>-0.30769230769230771</v>
      </c>
      <c r="AD26" s="265">
        <f t="shared" ref="AD26:AG27" si="116">IFERROR(Y26/L26,0)</f>
        <v>0.5</v>
      </c>
      <c r="AE26" s="266">
        <f t="shared" si="116"/>
        <v>0.47189760712298268</v>
      </c>
      <c r="AF26" s="266">
        <f t="shared" si="116"/>
        <v>0</v>
      </c>
      <c r="AG26" s="266">
        <f t="shared" si="116"/>
        <v>0.65</v>
      </c>
      <c r="AH26" s="267">
        <f>IFERROR(SUMPRODUCT(AH22:AH25,Q22:Q25)/Q26,0)</f>
        <v>29.95</v>
      </c>
      <c r="AI26" s="268">
        <f>IFERROR(SUMPRODUCT(AI22:AI25,R22:R25)/R26,0)</f>
        <v>29.95</v>
      </c>
      <c r="AJ26" s="268">
        <f t="shared" ref="AJ26:AK26" si="117">IFERROR(SUMPRODUCT(AJ22:AJ25,S22:S25)/S26,0)</f>
        <v>0</v>
      </c>
      <c r="AK26" s="268">
        <f t="shared" si="117"/>
        <v>18.45</v>
      </c>
      <c r="AL26" s="260">
        <f t="shared" si="12"/>
        <v>0.62330623306233068</v>
      </c>
      <c r="AM26" s="267">
        <f t="shared" ref="AM26:AP27" si="118">IF(Q26&lt;&gt;0,L26/Q26,0)</f>
        <v>18</v>
      </c>
      <c r="AN26" s="268">
        <f t="shared" si="118"/>
        <v>17.97</v>
      </c>
      <c r="AO26" s="268">
        <f t="shared" si="118"/>
        <v>0</v>
      </c>
      <c r="AP26" s="268">
        <f t="shared" si="118"/>
        <v>10</v>
      </c>
      <c r="AQ26" s="260">
        <f t="shared" si="14"/>
        <v>0.8</v>
      </c>
      <c r="AR26" s="267">
        <f t="shared" ref="AR26:AU27" si="119">IFERROR((L26*(1-AD26))/Q26,0)</f>
        <v>9</v>
      </c>
      <c r="AS26" s="268">
        <f t="shared" si="119"/>
        <v>9.49</v>
      </c>
      <c r="AT26" s="268">
        <f t="shared" si="119"/>
        <v>0</v>
      </c>
      <c r="AU26" s="268">
        <f t="shared" si="119"/>
        <v>3.5</v>
      </c>
      <c r="AV26" s="260">
        <f t="shared" si="16"/>
        <v>1.5714285714285716</v>
      </c>
      <c r="AW26" s="269">
        <f t="shared" si="17"/>
        <v>0.39899833055091816</v>
      </c>
      <c r="AX26" s="270">
        <f t="shared" si="17"/>
        <v>0.4</v>
      </c>
      <c r="AY26" s="270">
        <f t="shared" si="17"/>
        <v>0</v>
      </c>
      <c r="AZ26" s="270">
        <f t="shared" si="17"/>
        <v>0.4579945799457994</v>
      </c>
      <c r="BA26" s="261">
        <f t="shared" ref="BA26:BD27" si="120">BA25</f>
        <v>525557</v>
      </c>
      <c r="BB26" s="262">
        <f t="shared" si="120"/>
        <v>525557</v>
      </c>
      <c r="BC26" s="262">
        <f t="shared" si="120"/>
        <v>0</v>
      </c>
      <c r="BD26" s="262">
        <f t="shared" si="120"/>
        <v>1112279</v>
      </c>
      <c r="BE26" s="260">
        <f t="shared" si="19"/>
        <v>-0.52749534963799549</v>
      </c>
      <c r="BF26" s="262">
        <f>BF25</f>
        <v>525559</v>
      </c>
      <c r="BG26" s="262">
        <f>BG25</f>
        <v>1112283</v>
      </c>
      <c r="BH26" s="271">
        <f>IF(Q26&lt;&gt;0,(BA26*COUNTIF(BH22:BH25,"&lt;&gt;0")/Q26),0)</f>
        <v>525557</v>
      </c>
      <c r="BI26" s="272">
        <f>IF(T26&lt;&gt;0,(BD26*COUNTIF(BI22:BI25,"&lt;&gt;0")/T26),0)</f>
        <v>556139.5</v>
      </c>
      <c r="BJ26" s="273">
        <f>IF(BA26&lt;&gt;0,(Q26/COUNTIF(BJ22:BJ25,"&lt;&gt;0"))/BA26,0)</f>
        <v>1.9027431848495977E-6</v>
      </c>
      <c r="BK26" s="274">
        <f>IF(BD26&lt;&gt;0,(T26/COUNTIF(BK22:BK25,"&lt;&gt;0"))/BD26,0)</f>
        <v>1.7981100065720921E-6</v>
      </c>
      <c r="BL26" s="261">
        <f>SUM(BL22:BL25)</f>
        <v>3125</v>
      </c>
      <c r="BM26" s="262">
        <f>SUM(BM22:BM25)</f>
        <v>-93</v>
      </c>
      <c r="BN26" s="261">
        <f>SUM(BN22:BN25)</f>
        <v>0</v>
      </c>
      <c r="BO26" s="262">
        <f t="shared" ref="BO26:BQ26" si="121">SUM(BO22:BO25)</f>
        <v>0</v>
      </c>
      <c r="BP26" s="261">
        <f>SUM(BP22:BP25)</f>
        <v>0</v>
      </c>
      <c r="BQ26" s="262">
        <f t="shared" si="121"/>
        <v>0</v>
      </c>
      <c r="BR26" s="261">
        <f t="shared" si="43"/>
        <v>0</v>
      </c>
      <c r="BS26" s="262">
        <f t="shared" si="22"/>
        <v>0</v>
      </c>
      <c r="BT26" s="261">
        <f t="shared" ref="BT26:BY26" si="122">SUM(BT22:BT25)</f>
        <v>0</v>
      </c>
      <c r="BU26" s="262">
        <f t="shared" si="122"/>
        <v>-7198</v>
      </c>
      <c r="BV26" s="262">
        <f>SUM(BV22:BV25)</f>
        <v>522434</v>
      </c>
      <c r="BW26" s="262">
        <f t="shared" si="122"/>
        <v>0</v>
      </c>
      <c r="BX26" s="262">
        <f t="shared" si="122"/>
        <v>0</v>
      </c>
      <c r="BY26" s="275">
        <f t="shared" si="122"/>
        <v>1112376</v>
      </c>
      <c r="BZ26" s="260">
        <f t="shared" si="25"/>
        <v>-0.53034405632627823</v>
      </c>
      <c r="CA26" s="259">
        <f t="shared" ref="CA26:CF26" si="123">SUM(CA22:CA25)</f>
        <v>0</v>
      </c>
      <c r="CB26" s="259">
        <f t="shared" si="123"/>
        <v>0</v>
      </c>
      <c r="CC26" s="259">
        <f>SUM(CC22:CC25)</f>
        <v>13020828.300000001</v>
      </c>
      <c r="CD26" s="259">
        <f t="shared" si="123"/>
        <v>0</v>
      </c>
      <c r="CE26" s="259">
        <f t="shared" si="123"/>
        <v>0</v>
      </c>
      <c r="CF26" s="259">
        <f t="shared" si="123"/>
        <v>25935422.200000003</v>
      </c>
      <c r="CG26" s="260">
        <f t="shared" si="28"/>
        <v>-0.49795194388622677</v>
      </c>
      <c r="CH26" s="259">
        <f t="shared" ref="CH26:CM26" si="124">SUM(CH22:CH25)</f>
        <v>0</v>
      </c>
      <c r="CI26" s="259">
        <f t="shared" si="124"/>
        <v>-23187.71</v>
      </c>
      <c r="CJ26" s="259">
        <f>SUM(CJ22:CJ25)</f>
        <v>2180281.8048</v>
      </c>
      <c r="CK26" s="259">
        <f t="shared" si="124"/>
        <v>0</v>
      </c>
      <c r="CL26" s="259">
        <f t="shared" si="124"/>
        <v>0</v>
      </c>
      <c r="CM26" s="259">
        <f t="shared" si="124"/>
        <v>4257218.6583000002</v>
      </c>
      <c r="CN26" s="260">
        <f t="shared" si="31"/>
        <v>-0.48786238626732081</v>
      </c>
      <c r="CO26" s="276">
        <f t="shared" si="46"/>
        <v>0</v>
      </c>
      <c r="CP26" s="277">
        <f t="shared" si="32"/>
        <v>23.315337799449111</v>
      </c>
      <c r="CQ26" s="260">
        <f t="shared" si="33"/>
        <v>-1</v>
      </c>
      <c r="CR26" s="276">
        <f t="shared" si="44"/>
        <v>0</v>
      </c>
      <c r="CS26" s="277">
        <f t="shared" si="34"/>
        <v>3.8271399763209564</v>
      </c>
      <c r="CT26" s="260">
        <f t="shared" si="47"/>
        <v>-1</v>
      </c>
      <c r="CU26" s="44"/>
      <c r="CV26" s="44"/>
      <c r="CW26" s="100">
        <f>CW25</f>
        <v>-2</v>
      </c>
      <c r="CX26" s="101">
        <f>CX25</f>
        <v>-4</v>
      </c>
      <c r="CY26" s="99">
        <f t="shared" si="36"/>
        <v>-0.5</v>
      </c>
      <c r="CZ26" s="278"/>
      <c r="DA26" s="279"/>
      <c r="DB26" s="279"/>
      <c r="DC26" s="280"/>
    </row>
    <row r="27" spans="1:107" ht="16.5" thickBot="1" x14ac:dyDescent="0.3">
      <c r="C27" s="105" t="s">
        <v>24</v>
      </c>
      <c r="D27" s="52">
        <f t="shared" ref="D27:E27" si="125">D15+D21+D26</f>
        <v>188688610.04729974</v>
      </c>
      <c r="E27" s="205">
        <f t="shared" si="125"/>
        <v>144813289.73229983</v>
      </c>
      <c r="F27" s="206">
        <f t="shared" si="45"/>
        <v>0.76747234343397086</v>
      </c>
      <c r="G27" s="204">
        <f>G15+G21+G26</f>
        <v>4617764</v>
      </c>
      <c r="H27" s="207">
        <f>IFERROR(D27/G27,0)</f>
        <v>40.861466728767375</v>
      </c>
      <c r="I27" s="58">
        <f>IFERROR((I15*G15+I21*G21+I26*G26)/G27,0)</f>
        <v>9.5014211022910473</v>
      </c>
      <c r="J27" s="204">
        <f t="shared" ref="J27:K27" si="126">J15+J21+J26</f>
        <v>114859569</v>
      </c>
      <c r="K27" s="302">
        <f t="shared" si="126"/>
        <v>6827937</v>
      </c>
      <c r="L27" s="53">
        <f>L15+L21+L26</f>
        <v>18</v>
      </c>
      <c r="M27" s="53">
        <f t="shared" ref="M27:O27" si="127">M15+M21+M26</f>
        <v>26.939999999999998</v>
      </c>
      <c r="N27" s="53">
        <f t="shared" si="127"/>
        <v>0</v>
      </c>
      <c r="O27" s="53">
        <f t="shared" si="127"/>
        <v>20</v>
      </c>
      <c r="P27" s="54">
        <f t="shared" si="39"/>
        <v>-9.9999999999999978E-2</v>
      </c>
      <c r="Q27" s="230">
        <f t="shared" ref="Q27" si="128">Q15+Q21+Q26</f>
        <v>1</v>
      </c>
      <c r="R27" s="230">
        <f t="shared" ref="R27:S27" si="129">R15+R21+R26</f>
        <v>2</v>
      </c>
      <c r="S27" s="230">
        <f t="shared" si="129"/>
        <v>0</v>
      </c>
      <c r="T27" s="230">
        <f>T15+T21+T26</f>
        <v>2</v>
      </c>
      <c r="U27" s="54">
        <f t="shared" si="7"/>
        <v>-0.5</v>
      </c>
      <c r="V27" s="247">
        <f t="shared" si="114"/>
        <v>0</v>
      </c>
      <c r="W27" s="333">
        <f t="shared" si="114"/>
        <v>0</v>
      </c>
      <c r="X27" s="248">
        <f t="shared" si="114"/>
        <v>0</v>
      </c>
      <c r="Y27" s="52">
        <f>Y15+Y21+Y26</f>
        <v>9</v>
      </c>
      <c r="Z27" s="53">
        <f t="shared" ref="Z27:AB27" si="130">Z15+Z21+Z26</f>
        <v>15.389999999999999</v>
      </c>
      <c r="AA27" s="53">
        <f t="shared" si="130"/>
        <v>0</v>
      </c>
      <c r="AB27" s="53">
        <f t="shared" si="130"/>
        <v>13</v>
      </c>
      <c r="AC27" s="54">
        <f t="shared" si="9"/>
        <v>-0.30769230769230771</v>
      </c>
      <c r="AD27" s="77">
        <f t="shared" si="116"/>
        <v>0.5</v>
      </c>
      <c r="AE27" s="78">
        <f t="shared" si="116"/>
        <v>0.57126948775055675</v>
      </c>
      <c r="AF27" s="78">
        <f t="shared" si="116"/>
        <v>0</v>
      </c>
      <c r="AG27" s="78">
        <f t="shared" si="116"/>
        <v>0.65</v>
      </c>
      <c r="AH27" s="58">
        <f>IFERROR((AH15*Q15+AH21*Q21+AH26*Q26)/Q27,0)</f>
        <v>29.95</v>
      </c>
      <c r="AI27" s="58">
        <f t="shared" ref="AI27:AL27" si="131">IFERROR((AI15*R15+AI21*R21+AI26*R26)/R27,0)</f>
        <v>22.45</v>
      </c>
      <c r="AJ27" s="58">
        <f t="shared" si="131"/>
        <v>0</v>
      </c>
      <c r="AK27" s="58">
        <f t="shared" si="131"/>
        <v>18.45</v>
      </c>
      <c r="AL27" s="54">
        <f t="shared" si="131"/>
        <v>0.62330623306233068</v>
      </c>
      <c r="AM27" s="57">
        <f t="shared" si="118"/>
        <v>18</v>
      </c>
      <c r="AN27" s="58">
        <f t="shared" si="118"/>
        <v>13.469999999999999</v>
      </c>
      <c r="AO27" s="58">
        <f t="shared" si="118"/>
        <v>0</v>
      </c>
      <c r="AP27" s="58">
        <f t="shared" si="118"/>
        <v>10</v>
      </c>
      <c r="AQ27" s="54">
        <f t="shared" si="14"/>
        <v>0.8</v>
      </c>
      <c r="AR27" s="57">
        <f t="shared" si="119"/>
        <v>9</v>
      </c>
      <c r="AS27" s="58">
        <f t="shared" si="119"/>
        <v>5.7750000000000004</v>
      </c>
      <c r="AT27" s="58">
        <f t="shared" si="119"/>
        <v>0</v>
      </c>
      <c r="AU27" s="58">
        <f t="shared" si="119"/>
        <v>3.5</v>
      </c>
      <c r="AV27" s="54">
        <f t="shared" si="16"/>
        <v>1.5714285714285716</v>
      </c>
      <c r="AW27" s="59">
        <f t="shared" ref="AW27:AZ42" si="132">IFERROR((AM27/AH27-1)*-1,0)</f>
        <v>0.39899833055091816</v>
      </c>
      <c r="AX27" s="60">
        <f t="shared" si="132"/>
        <v>0.4</v>
      </c>
      <c r="AY27" s="60">
        <f t="shared" si="132"/>
        <v>0</v>
      </c>
      <c r="AZ27" s="60">
        <f t="shared" si="132"/>
        <v>0.4579945799457994</v>
      </c>
      <c r="BA27" s="229">
        <f t="shared" si="120"/>
        <v>525557</v>
      </c>
      <c r="BB27" s="230">
        <f t="shared" si="120"/>
        <v>525557</v>
      </c>
      <c r="BC27" s="230">
        <f t="shared" si="120"/>
        <v>0</v>
      </c>
      <c r="BD27" s="230">
        <f t="shared" si="120"/>
        <v>1112279</v>
      </c>
      <c r="BE27" s="54">
        <f t="shared" si="19"/>
        <v>-0.52749534963799549</v>
      </c>
      <c r="BF27" s="230">
        <f>BF26</f>
        <v>525559</v>
      </c>
      <c r="BG27" s="230">
        <f>BG26</f>
        <v>1112283</v>
      </c>
      <c r="BH27" s="62">
        <f>IF(Q25&lt;&gt;0,(BA27/(Q27/13)),0)</f>
        <v>6832241</v>
      </c>
      <c r="BI27" s="133">
        <f>IF(T25&lt;&gt;0,(BD27/(T27/13)),0)</f>
        <v>7229813.5</v>
      </c>
      <c r="BJ27" s="190">
        <f>IF(BA27&lt;&gt;0,(Q27/13)/BA27,0)</f>
        <v>1.4636486037304598E-7</v>
      </c>
      <c r="BK27" s="61">
        <f>IF(BD27&lt;&gt;0,(T27/13)/BD27,0)</f>
        <v>1.3831615435169939E-7</v>
      </c>
      <c r="BL27" s="229">
        <f t="shared" ref="BL27:BQ27" si="133">BL15+BL21+BL26</f>
        <v>3124</v>
      </c>
      <c r="BM27" s="230">
        <f t="shared" si="133"/>
        <v>-93</v>
      </c>
      <c r="BN27" s="229">
        <f t="shared" si="133"/>
        <v>0</v>
      </c>
      <c r="BO27" s="230">
        <f t="shared" si="133"/>
        <v>0</v>
      </c>
      <c r="BP27" s="229">
        <f t="shared" si="133"/>
        <v>0</v>
      </c>
      <c r="BQ27" s="230">
        <f t="shared" si="133"/>
        <v>0</v>
      </c>
      <c r="BR27" s="229">
        <f t="shared" si="43"/>
        <v>0</v>
      </c>
      <c r="BS27" s="230">
        <f t="shared" si="22"/>
        <v>0</v>
      </c>
      <c r="BT27" s="229">
        <f t="shared" ref="BT27:BY27" si="134">BT15+BT21+BT26</f>
        <v>0</v>
      </c>
      <c r="BU27" s="230">
        <f t="shared" si="134"/>
        <v>-7198</v>
      </c>
      <c r="BV27" s="230">
        <f t="shared" si="134"/>
        <v>522434</v>
      </c>
      <c r="BW27" s="230">
        <f t="shared" si="134"/>
        <v>0</v>
      </c>
      <c r="BX27" s="230">
        <f t="shared" si="134"/>
        <v>0</v>
      </c>
      <c r="BY27" s="56">
        <f t="shared" si="134"/>
        <v>1112376</v>
      </c>
      <c r="BZ27" s="54">
        <f t="shared" si="25"/>
        <v>-0.53034405632627823</v>
      </c>
      <c r="CA27" s="53">
        <f t="shared" ref="CA27:CF27" si="135">CA15+CA21+CA26</f>
        <v>0</v>
      </c>
      <c r="CB27" s="53">
        <f t="shared" si="135"/>
        <v>0</v>
      </c>
      <c r="CC27" s="53">
        <f t="shared" si="135"/>
        <v>13020828.300000001</v>
      </c>
      <c r="CD27" s="53">
        <f t="shared" si="135"/>
        <v>0</v>
      </c>
      <c r="CE27" s="53">
        <f t="shared" si="135"/>
        <v>0</v>
      </c>
      <c r="CF27" s="53">
        <f t="shared" si="135"/>
        <v>25935422.200000003</v>
      </c>
      <c r="CG27" s="54">
        <f t="shared" si="28"/>
        <v>-0.49795194388622677</v>
      </c>
      <c r="CH27" s="53">
        <f t="shared" ref="CH27:CM27" si="136">CH15+CH21+CH26</f>
        <v>0</v>
      </c>
      <c r="CI27" s="53">
        <f t="shared" si="136"/>
        <v>-23187.71</v>
      </c>
      <c r="CJ27" s="53">
        <f t="shared" si="136"/>
        <v>2180281.8048</v>
      </c>
      <c r="CK27" s="53">
        <f t="shared" si="136"/>
        <v>0</v>
      </c>
      <c r="CL27" s="53">
        <f t="shared" si="136"/>
        <v>0</v>
      </c>
      <c r="CM27" s="53">
        <f t="shared" si="136"/>
        <v>4257218.6583000002</v>
      </c>
      <c r="CN27" s="54">
        <f t="shared" si="31"/>
        <v>-0.48786238626732081</v>
      </c>
      <c r="CO27" s="55">
        <f t="shared" si="46"/>
        <v>0</v>
      </c>
      <c r="CP27" s="224">
        <f t="shared" si="46"/>
        <v>23.315337799449111</v>
      </c>
      <c r="CQ27" s="54">
        <f t="shared" si="33"/>
        <v>-1</v>
      </c>
      <c r="CR27" s="55">
        <f t="shared" si="44"/>
        <v>0</v>
      </c>
      <c r="CS27" s="224">
        <f t="shared" si="34"/>
        <v>3.8271399763209564</v>
      </c>
      <c r="CT27" s="54">
        <f t="shared" si="47"/>
        <v>-1</v>
      </c>
      <c r="CU27" s="44"/>
      <c r="CV27" s="44"/>
      <c r="CW27" s="55">
        <f>CW26</f>
        <v>-2</v>
      </c>
      <c r="CX27" s="56">
        <f>CX26</f>
        <v>-4</v>
      </c>
      <c r="CY27" s="54">
        <f t="shared" si="36"/>
        <v>-0.5</v>
      </c>
      <c r="CZ27" s="278"/>
      <c r="DA27" s="279"/>
      <c r="DB27" s="279"/>
      <c r="DC27" s="280"/>
    </row>
    <row r="28" spans="1:107" x14ac:dyDescent="0.25">
      <c r="A28" s="44" t="s">
        <v>335</v>
      </c>
      <c r="B28" s="44">
        <v>2018</v>
      </c>
      <c r="C28" s="88">
        <v>14</v>
      </c>
      <c r="D28" s="97">
        <f t="shared" ref="D28:D31" si="137">G28*H28</f>
        <v>17908696.63609999</v>
      </c>
      <c r="E28" s="199">
        <f t="shared" ref="E28:E31" si="138">IFERROR(D28*F28,0)</f>
        <v>14773847.425499992</v>
      </c>
      <c r="F28" s="200">
        <f t="shared" si="45"/>
        <v>0.824953804606817</v>
      </c>
      <c r="G28" s="198">
        <f t="shared" ref="G28:I31" si="139">IFERROR(VLOOKUP($B28 &amp; $C28&amp;G$4&amp;$A28,tblForecast,G$2,FALSE),0)</f>
        <v>343897</v>
      </c>
      <c r="H28" s="201">
        <f t="shared" si="139"/>
        <v>52.075757090349697</v>
      </c>
      <c r="I28" s="201">
        <f t="shared" si="139"/>
        <v>9.1156631508852897</v>
      </c>
      <c r="J28" s="198">
        <f>IFERROR(VLOOKUP($B28 &amp; $C28&amp;J$4&amp;$A28,tblForecast,J$2,FALSE),0)+IFERROR(VLOOKUP($B28 &amp; $C28 &amp; J$4 &amp; $A28,tblForecast,J$2+1,FALSE),0)</f>
        <v>8346119</v>
      </c>
      <c r="K28" s="299">
        <f>IFERROR(VLOOKUP($B28 &amp; $C28&amp;K$4&amp;$A28,tblForecast,K$2+2,FALSE),0)</f>
        <v>363627</v>
      </c>
      <c r="L28" s="90">
        <f>Q28*AM28</f>
        <v>28</v>
      </c>
      <c r="M28" s="90">
        <f t="shared" ref="M28:O31" si="140">R28*AN28</f>
        <v>27.54</v>
      </c>
      <c r="N28" s="90">
        <f t="shared" si="140"/>
        <v>0</v>
      </c>
      <c r="O28" s="90">
        <f t="shared" si="140"/>
        <v>28</v>
      </c>
      <c r="P28" s="91">
        <f t="shared" si="39"/>
        <v>0</v>
      </c>
      <c r="Q28" s="238">
        <f>IFERROR(VLOOKUP($B28 &amp; $C28&amp;CompareVer,tblForecast,Q$2,FALSE),0)</f>
        <v>2</v>
      </c>
      <c r="R28" s="239">
        <f t="shared" ref="R28:S31" si="141">IFERROR(VLOOKUP($B28 &amp; $C28&amp;R$4,tblForecast,R$2,FALSE),0)</f>
        <v>2</v>
      </c>
      <c r="S28" s="239">
        <f t="shared" si="141"/>
        <v>0</v>
      </c>
      <c r="T28" s="240">
        <f>IFERROR(VLOOKUP($B28-IF(CompareVer="LY",1,0) &amp; $C28 &amp;T$4,tblForecast,T$2,FALSE),0)</f>
        <v>2</v>
      </c>
      <c r="U28" s="91">
        <f t="shared" si="7"/>
        <v>0</v>
      </c>
      <c r="V28" s="245">
        <f>IFERROR(IF(Q25&lt;&gt;0,Q28/Q25,0),0)</f>
        <v>2</v>
      </c>
      <c r="W28" s="331">
        <f>IFERROR(IF(R25&lt;&gt;0,R28/R25,0),0)</f>
        <v>2</v>
      </c>
      <c r="X28" s="246">
        <f>IFERROR(IF(T25&lt;&gt;0,T28/T25,0),0)</f>
        <v>1</v>
      </c>
      <c r="Y28" s="97">
        <f t="shared" ref="Y28:AB31" si="142">IFERROR(L28*AD28,0)</f>
        <v>22</v>
      </c>
      <c r="Z28" s="90">
        <f t="shared" si="142"/>
        <v>21.319999999999997</v>
      </c>
      <c r="AA28" s="90">
        <f t="shared" si="142"/>
        <v>0</v>
      </c>
      <c r="AB28" s="90">
        <f t="shared" si="142"/>
        <v>20</v>
      </c>
      <c r="AC28" s="91">
        <f t="shared" si="9"/>
        <v>0.10000000000000009</v>
      </c>
      <c r="AD28" s="75">
        <f t="shared" ref="AD28:AG31" si="143">IF(AM28&lt;&gt;0,1-AR28/AM28,0)</f>
        <v>0.7857142857142857</v>
      </c>
      <c r="AE28" s="93">
        <f t="shared" si="143"/>
        <v>0.77414669571532313</v>
      </c>
      <c r="AF28" s="93">
        <f t="shared" si="143"/>
        <v>0</v>
      </c>
      <c r="AG28" s="93">
        <f t="shared" si="143"/>
        <v>0.7142857142857143</v>
      </c>
      <c r="AH28" s="104">
        <f>IFERROR(VLOOKUP($B28 &amp; $C28&amp;CompareVer,tblForecast,AH$2,FALSE),0)</f>
        <v>22.95</v>
      </c>
      <c r="AI28" s="94">
        <f t="shared" ref="AI28:AJ31" si="144">IFERROR(VLOOKUP($B28 &amp; $C28&amp;AI$4,tblForecast,AI$2,FALSE),0)</f>
        <v>22.95</v>
      </c>
      <c r="AJ28" s="94">
        <f t="shared" si="144"/>
        <v>0</v>
      </c>
      <c r="AK28" s="94">
        <f>IFERROR(VLOOKUP($B28-IF(CompareVer="LY",1,0) &amp; $C28 &amp;AK$4,tblForecast,AK$2,FALSE),0)</f>
        <v>22.45</v>
      </c>
      <c r="AL28" s="91">
        <f t="shared" ref="AL28:AL43" si="145">IFERROR(AH28/AK28-1,)</f>
        <v>2.2271714922049046E-2</v>
      </c>
      <c r="AM28" s="104">
        <f>IFERROR(VLOOKUP($B28 &amp; $C28&amp;CompareVer,tblForecast,AM$2,FALSE),0)</f>
        <v>14</v>
      </c>
      <c r="AN28" s="94">
        <f t="shared" ref="AN28:AO31" si="146">IFERROR(VLOOKUP($B28 &amp; $C28&amp;AN$4,tblForecast,AN$2,FALSE),0)</f>
        <v>13.77</v>
      </c>
      <c r="AO28" s="94">
        <f t="shared" si="146"/>
        <v>0</v>
      </c>
      <c r="AP28" s="94">
        <f>IFERROR(VLOOKUP($B28-IF(CompareVer="LY",1,0) &amp; $C28 &amp;AP$4,tblForecast,AP$2,FALSE),0)</f>
        <v>14</v>
      </c>
      <c r="AQ28" s="91">
        <f t="shared" si="14"/>
        <v>0</v>
      </c>
      <c r="AR28" s="104">
        <f>IFERROR(VLOOKUP($B28 &amp; $C28&amp;CompareVer,tblForecast,AR$2,FALSE),0)</f>
        <v>3</v>
      </c>
      <c r="AS28" s="94">
        <f t="shared" ref="AS28:AT31" si="147">IFERROR(VLOOKUP($B28 &amp; $C28&amp;AS$4,tblForecast,AS$2,FALSE),0)</f>
        <v>3.11</v>
      </c>
      <c r="AT28" s="94">
        <f t="shared" si="147"/>
        <v>0</v>
      </c>
      <c r="AU28" s="94">
        <f>IFERROR(VLOOKUP($B28-IF(CompareVer="LY",1,0) &amp; $C28 &amp;AU$4,tblForecast,AU$2,FALSE),0)</f>
        <v>4</v>
      </c>
      <c r="AV28" s="91">
        <f t="shared" si="16"/>
        <v>-0.25</v>
      </c>
      <c r="AW28" s="181">
        <f t="shared" si="132"/>
        <v>0.38997821350762529</v>
      </c>
      <c r="AX28" s="182">
        <f t="shared" si="132"/>
        <v>0.4</v>
      </c>
      <c r="AY28" s="182">
        <f t="shared" si="132"/>
        <v>0</v>
      </c>
      <c r="AZ28" s="182">
        <f t="shared" si="132"/>
        <v>0.37639198218262804</v>
      </c>
      <c r="BA28" s="227">
        <f t="shared" ref="BA28:BA31" si="148">CW28+BF28</f>
        <v>884946</v>
      </c>
      <c r="BB28" s="228">
        <f>IF(IFERROR(VLOOKUP($B28 &amp; $C28&amp;BB$4,tblForecast,BB$2,FALSE),0)=0,BA28,IFERROR(VLOOKUP($B28 &amp; $C28&amp;BB$4,tblForecast,BB$2,FALSE),0))</f>
        <v>884946</v>
      </c>
      <c r="BC28" s="228">
        <f t="shared" ref="BC28:BC31" si="149">IFERROR(VLOOKUP($B28 &amp; $C28&amp;BC$4,tblForecast,BC$2,FALSE),0)</f>
        <v>0</v>
      </c>
      <c r="BD28" s="228">
        <f t="shared" ref="BD28:BD41" si="150">CX28+BG28</f>
        <v>1112451</v>
      </c>
      <c r="BE28" s="177">
        <f t="shared" si="19"/>
        <v>-0.20450788394275343</v>
      </c>
      <c r="BF28" s="228">
        <f>IFERROR(VLOOKUP($B28 &amp; $C28&amp;CompareVer,tblForecast,BF$2,FALSE),0)</f>
        <v>884950</v>
      </c>
      <c r="BG28" s="228">
        <f>IFERROR(VLOOKUP($B28-IF(CompareVer="LY",1,0) &amp; $C28 &amp;BG$4,tblForecast,BG$2,FALSE),0)</f>
        <v>1112457</v>
      </c>
      <c r="BH28" s="185">
        <f>IF(Q28&lt;&gt;0,BA28/Q28,0)</f>
        <v>442473</v>
      </c>
      <c r="BI28" s="186">
        <f t="shared" ref="BI28:BI31" si="151">IF(T28&lt;&gt;0,BD28/T28,0)</f>
        <v>556225.5</v>
      </c>
      <c r="BJ28" s="184">
        <f t="shared" ref="BJ28:BJ31" si="152">IF(BA28&lt;&gt;0,Q28/BA28,0)</f>
        <v>2.2600249054744583E-6</v>
      </c>
      <c r="BK28" s="96">
        <f t="shared" ref="BK28:BK31" si="153">IF(BD28&lt;&gt;0,T28/BD28,0)</f>
        <v>1.7978319943979555E-6</v>
      </c>
      <c r="BL28" s="227">
        <f>IFERROR(VLOOKUP($B28 &amp; $C28&amp;CompareVer,tblForecast,BL$2,FALSE),0)</f>
        <v>2703</v>
      </c>
      <c r="BM28" s="228">
        <f>IFERROR(VLOOKUP($B28-IF(CompareVer="LY",1,0) &amp; $C28 &amp;BM$4,tblForecast,BM$2,FALSE),0)</f>
        <v>174</v>
      </c>
      <c r="BN28" s="227">
        <f>IFERROR(VLOOKUP($B28 &amp; $C28&amp;CompareVer,tblForecast,BN$2,FALSE),0)</f>
        <v>0</v>
      </c>
      <c r="BO28" s="228">
        <f>IFERROR(VLOOKUP($B28-IF(CompareVer="LY",1,0) &amp; $C28 &amp;BO$4,tblForecast,BO$2,FALSE),0)</f>
        <v>16</v>
      </c>
      <c r="BP28" s="227">
        <f>IFERROR(VLOOKUP($B28 &amp; $C28&amp;CompareVer,tblForecast,BP$2,FALSE),0)</f>
        <v>0</v>
      </c>
      <c r="BQ28" s="228">
        <f>IFERROR(VLOOKUP($B28-IF(CompareVer="LY",1,0) &amp; $C28 &amp;BQ$4,tblForecast,BQ$2,FALSE),0)</f>
        <v>16</v>
      </c>
      <c r="BR28" s="227">
        <f t="shared" si="43"/>
        <v>0</v>
      </c>
      <c r="BS28" s="228">
        <f t="shared" si="22"/>
        <v>0</v>
      </c>
      <c r="BT28" s="227">
        <f t="shared" ref="BT28:BU31" si="154">IFERROR(VLOOKUP($B28 &amp; $C28&amp;BT$4,tblForecast,BT$2,FALSE),0)</f>
        <v>0</v>
      </c>
      <c r="BU28" s="228">
        <f t="shared" si="154"/>
        <v>-6692</v>
      </c>
      <c r="BV28" s="228">
        <f>IFERROR(VLOOKUP($B28 &amp; $C28&amp;CompareVer,tblForecast,BV$2,FALSE),0)</f>
        <v>356688</v>
      </c>
      <c r="BW28" s="228">
        <f t="shared" ref="BW28:BX31" si="155">IFERROR(VLOOKUP($B28 &amp; $C28&amp;BW$4,tblForecast,BW$2,FALSE),0)</f>
        <v>0</v>
      </c>
      <c r="BX28" s="228">
        <f t="shared" si="155"/>
        <v>0</v>
      </c>
      <c r="BY28" s="176">
        <f>IFERROR(VLOOKUP($B28-IF(CompareVer="LY",1,0) &amp; $C28 &amp;BY$4,tblForecast,BY$2,FALSE),0)</f>
        <v>0</v>
      </c>
      <c r="BZ28" s="177">
        <f t="shared" si="25"/>
        <v>0</v>
      </c>
      <c r="CA28" s="90">
        <f t="shared" ref="CA28:CB31" si="156">IFERROR(VLOOKUP($B28 &amp; $C28&amp;CA$4,tblForecast,CA$2,FALSE),0)</f>
        <v>0</v>
      </c>
      <c r="CB28" s="90">
        <f t="shared" si="156"/>
        <v>0</v>
      </c>
      <c r="CC28" s="90">
        <f>IFERROR(VLOOKUP($B28 &amp; $C28&amp;CompareVer,tblForecast,CC$2,FALSE),0)</f>
        <v>9172275.5999999996</v>
      </c>
      <c r="CD28" s="90">
        <f t="shared" ref="CD28:CE31" si="157">IFERROR(VLOOKUP($B28 &amp; $C28&amp;CD$4,tblForecast,CD$2,FALSE),0)</f>
        <v>0</v>
      </c>
      <c r="CE28" s="90">
        <f t="shared" si="157"/>
        <v>0</v>
      </c>
      <c r="CF28" s="90">
        <f>IFERROR(VLOOKUP($B28-IF(CompareVer="LY",1,0) &amp; $C28 &amp;CF$4,tblForecast,CF$2,FALSE),0)</f>
        <v>0</v>
      </c>
      <c r="CG28" s="177">
        <f t="shared" si="28"/>
        <v>0</v>
      </c>
      <c r="CH28" s="90">
        <f t="shared" ref="CH28:CI31" si="158">IFERROR(VLOOKUP($B28 &amp; $C28&amp;CH$4,tblForecast,CH$2,FALSE),0)</f>
        <v>0</v>
      </c>
      <c r="CI28" s="90">
        <f t="shared" si="158"/>
        <v>-32379.0099999999</v>
      </c>
      <c r="CJ28" s="90">
        <f>IFERROR(VLOOKUP($B28 &amp; $C28&amp;CompareVer,tblForecast,CJ$2,FALSE),0)</f>
        <v>1502866.8104000001</v>
      </c>
      <c r="CK28" s="90">
        <f t="shared" ref="CK28:CL31" si="159">IFERROR(VLOOKUP($B28 &amp; $C28&amp;CK$4,tblForecast,CK$2,FALSE),0)</f>
        <v>0</v>
      </c>
      <c r="CL28" s="90">
        <f t="shared" si="159"/>
        <v>0</v>
      </c>
      <c r="CM28" s="90">
        <f>IFERROR(VLOOKUP($B28-IF(CompareVer="LY",1,0) &amp; $C28 &amp;CM$4,tblForecast,CM$2,FALSE),0)</f>
        <v>0</v>
      </c>
      <c r="CN28" s="177">
        <f t="shared" si="31"/>
        <v>0</v>
      </c>
      <c r="CO28" s="178">
        <f t="shared" si="46"/>
        <v>0</v>
      </c>
      <c r="CP28" s="223">
        <f t="shared" si="46"/>
        <v>0</v>
      </c>
      <c r="CQ28" s="177">
        <f t="shared" si="33"/>
        <v>0</v>
      </c>
      <c r="CR28" s="178">
        <f t="shared" si="44"/>
        <v>0</v>
      </c>
      <c r="CS28" s="223">
        <f t="shared" si="34"/>
        <v>0</v>
      </c>
      <c r="CT28" s="177">
        <f t="shared" si="47"/>
        <v>0</v>
      </c>
      <c r="CU28" s="44"/>
      <c r="CV28" s="44"/>
      <c r="CW28" s="102">
        <f>IFERROR(VLOOKUP($B28 &amp; $C28&amp;CompareVer,tblForecast,CW$2,FALSE),0)</f>
        <v>-4</v>
      </c>
      <c r="CX28" s="92">
        <f>IFERROR(VLOOKUP($B28-IF(CompareVer="LY",1,0) &amp; $C28 &amp;CX$4,tblForecast,CX$2,FALSE),0)</f>
        <v>-6</v>
      </c>
      <c r="CY28" s="91">
        <f t="shared" si="36"/>
        <v>-0.33333333333333337</v>
      </c>
      <c r="CZ28" s="278">
        <f>IFERROR(VLOOKUP(Brand&amp;Channel&amp;Country&amp;$C28,tblDiscount,6,FALSE),0)</f>
        <v>0.5</v>
      </c>
      <c r="DA28" s="279">
        <f>(1-CZ28)*DB28</f>
        <v>12.51</v>
      </c>
      <c r="DB28" s="279">
        <f>IFERROR(VLOOKUP(Brand&amp;Country &amp; Channel &amp;FC,tblFCSettings,8,FALSE),0)</f>
        <v>25.02</v>
      </c>
      <c r="DC28" s="280">
        <f>IFERROR(VLOOKUP(Brand&amp;Country &amp; Channel &amp;FC,tblFCSettings,9,FALSE),0)</f>
        <v>4.16</v>
      </c>
    </row>
    <row r="29" spans="1:107" ht="15" customHeight="1" x14ac:dyDescent="0.25">
      <c r="A29" s="44" t="s">
        <v>335</v>
      </c>
      <c r="B29" s="44">
        <v>2018</v>
      </c>
      <c r="C29" s="88">
        <v>15</v>
      </c>
      <c r="D29" s="97">
        <f t="shared" si="137"/>
        <v>17395309.056499977</v>
      </c>
      <c r="E29" s="202">
        <f t="shared" si="138"/>
        <v>14421529.35739998</v>
      </c>
      <c r="F29" s="182">
        <f t="shared" si="45"/>
        <v>0.82904703276951519</v>
      </c>
      <c r="G29" s="176">
        <f t="shared" si="139"/>
        <v>348808</v>
      </c>
      <c r="H29" s="203">
        <f t="shared" si="139"/>
        <v>49.870728470963897</v>
      </c>
      <c r="I29" s="203">
        <f t="shared" si="139"/>
        <v>8.5255490100570999</v>
      </c>
      <c r="J29" s="176">
        <f>IFERROR(VLOOKUP($B29 &amp; $C29&amp;J$4&amp;$A29,tblForecast,J$2,FALSE),0)+IFERROR(VLOOKUP($B29 &amp; $C29 &amp; J$4 &amp; $A29,tblForecast,J$2+1,FALSE),0)</f>
        <v>7713660</v>
      </c>
      <c r="K29" s="300">
        <f>IFERROR(VLOOKUP($B29 &amp; $C29&amp;K$4&amp;$A29,tblForecast,K$2+2,FALSE),0)</f>
        <v>38390</v>
      </c>
      <c r="L29" s="90">
        <f>Q29*AM29</f>
        <v>-65</v>
      </c>
      <c r="M29" s="90">
        <f t="shared" si="140"/>
        <v>0</v>
      </c>
      <c r="N29" s="90">
        <f t="shared" si="140"/>
        <v>0</v>
      </c>
      <c r="O29" s="90">
        <f t="shared" si="140"/>
        <v>256976.16889999999</v>
      </c>
      <c r="P29" s="91">
        <f t="shared" si="39"/>
        <v>-1.0002529417427235</v>
      </c>
      <c r="Q29" s="238">
        <f>IFERROR(VLOOKUP($B29 &amp; $C29&amp;CompareVer,tblForecast,Q$2,FALSE),0)</f>
        <v>-1</v>
      </c>
      <c r="R29" s="240">
        <f t="shared" si="141"/>
        <v>0</v>
      </c>
      <c r="S29" s="240">
        <f t="shared" si="141"/>
        <v>0</v>
      </c>
      <c r="T29" s="240">
        <f>IFERROR(VLOOKUP($B29-IF(CompareVer="LY",1,0) &amp; $C29 &amp;T$4,tblForecast,T$2,FALSE),0)</f>
        <v>22913</v>
      </c>
      <c r="U29" s="91">
        <f t="shared" si="7"/>
        <v>-1.0000436433465718</v>
      </c>
      <c r="V29" s="245">
        <f t="shared" ref="V29:V31" si="160">IFERROR(IF(Q28&lt;&gt;0,Q29/Q28,0),0)</f>
        <v>-0.5</v>
      </c>
      <c r="W29" s="331">
        <f t="shared" ref="W29:W31" si="161">IFERROR(IF(R28&lt;&gt;0,R29/R28,0),0)</f>
        <v>0</v>
      </c>
      <c r="X29" s="246">
        <f>IFERROR(IF(T28&lt;&gt;0,T29/T28,0),0)</f>
        <v>11456.5</v>
      </c>
      <c r="Y29" s="97">
        <f t="shared" si="142"/>
        <v>-55</v>
      </c>
      <c r="Z29" s="90">
        <f t="shared" si="142"/>
        <v>0</v>
      </c>
      <c r="AA29" s="90">
        <f t="shared" si="142"/>
        <v>0</v>
      </c>
      <c r="AB29" s="90">
        <f t="shared" si="142"/>
        <v>164377.86199999996</v>
      </c>
      <c r="AC29" s="91">
        <f t="shared" si="9"/>
        <v>-1.0003345949346878</v>
      </c>
      <c r="AD29" s="75">
        <f t="shared" si="143"/>
        <v>0.84615384615384615</v>
      </c>
      <c r="AE29" s="93">
        <f t="shared" si="143"/>
        <v>0.66746602717825732</v>
      </c>
      <c r="AF29" s="93">
        <f t="shared" si="143"/>
        <v>0</v>
      </c>
      <c r="AG29" s="93">
        <f t="shared" si="143"/>
        <v>0.63966189045322008</v>
      </c>
      <c r="AH29" s="104">
        <f>IFERROR(VLOOKUP($B29 &amp; $C29&amp;CompareVer,tblForecast,AH$2,FALSE),0)</f>
        <v>54.95</v>
      </c>
      <c r="AI29" s="94">
        <f t="shared" si="144"/>
        <v>25.02</v>
      </c>
      <c r="AJ29" s="94">
        <f t="shared" si="144"/>
        <v>0</v>
      </c>
      <c r="AK29" s="94">
        <f>IFERROR(VLOOKUP($B29-IF(CompareVer="LY",1,0) &amp; $C29 &amp;AK$4,tblForecast,AK$2,FALSE),0)</f>
        <v>24.668099999999999</v>
      </c>
      <c r="AL29" s="91">
        <f t="shared" si="145"/>
        <v>1.2275732626347389</v>
      </c>
      <c r="AM29" s="104">
        <f>IFERROR(VLOOKUP($B29 &amp; $C29&amp;CompareVer,tblForecast,AM$2,FALSE),0)</f>
        <v>65</v>
      </c>
      <c r="AN29" s="94">
        <f t="shared" si="146"/>
        <v>12.51</v>
      </c>
      <c r="AO29" s="94">
        <f t="shared" si="146"/>
        <v>0</v>
      </c>
      <c r="AP29" s="94">
        <f>IFERROR(VLOOKUP($B29-IF(CompareVer="LY",1,0) &amp; $C29 &amp;AP$4,tblForecast,AP$2,FALSE),0)</f>
        <v>11.215299999999999</v>
      </c>
      <c r="AQ29" s="91">
        <f t="shared" si="14"/>
        <v>4.7956541510258308</v>
      </c>
      <c r="AR29" s="104">
        <f>IFERROR(VLOOKUP($B29 &amp; $C29&amp;CompareVer,tblForecast,AR$2,FALSE),0)</f>
        <v>10</v>
      </c>
      <c r="AS29" s="94">
        <f t="shared" si="147"/>
        <v>4.16</v>
      </c>
      <c r="AT29" s="94">
        <f t="shared" si="147"/>
        <v>0</v>
      </c>
      <c r="AU29" s="94">
        <f>IFERROR(VLOOKUP($B29-IF(CompareVer="LY",1,0) &amp; $C29 &amp;AU$4,tblForecast,AU$2,FALSE),0)</f>
        <v>4.0412999999999997</v>
      </c>
      <c r="AV29" s="91">
        <f t="shared" si="16"/>
        <v>1.474451290426348</v>
      </c>
      <c r="AW29" s="181">
        <f t="shared" si="132"/>
        <v>-0.1828935395814375</v>
      </c>
      <c r="AX29" s="182">
        <f t="shared" si="132"/>
        <v>0.5</v>
      </c>
      <c r="AY29" s="182">
        <f t="shared" si="132"/>
        <v>0</v>
      </c>
      <c r="AZ29" s="182">
        <f t="shared" si="132"/>
        <v>0.54535209440532517</v>
      </c>
      <c r="BA29" s="227">
        <f t="shared" si="148"/>
        <v>885037</v>
      </c>
      <c r="BB29" s="228">
        <f>IF(IFERROR(VLOOKUP($B29 &amp; $C29&amp;BB$4,tblForecast,BB$2,FALSE),0)=0,BA29,IFERROR(VLOOKUP($B29 &amp; $C29&amp;BB$4,tblForecast,BB$2,FALSE),0))</f>
        <v>885037</v>
      </c>
      <c r="BC29" s="228">
        <f t="shared" si="149"/>
        <v>0</v>
      </c>
      <c r="BD29" s="228">
        <f t="shared" si="150"/>
        <v>867845</v>
      </c>
      <c r="BE29" s="177">
        <f t="shared" si="19"/>
        <v>1.9809989110958659E-2</v>
      </c>
      <c r="BF29" s="228">
        <f>IFERROR(VLOOKUP($B29 &amp; $C29&amp;CompareVer,tblForecast,BF$2,FALSE),0)</f>
        <v>885040</v>
      </c>
      <c r="BG29" s="228">
        <f>IFERROR(VLOOKUP($B29-IF(CompareVer="LY",1,0) &amp; $C29 &amp;BG$4,tblForecast,BG$2,FALSE),0)</f>
        <v>528427</v>
      </c>
      <c r="BH29" s="179">
        <f>IF(Q29&lt;&gt;0,BA29/Q29,0)</f>
        <v>-885037</v>
      </c>
      <c r="BI29" s="187">
        <f t="shared" si="151"/>
        <v>37.875660105616902</v>
      </c>
      <c r="BJ29" s="184">
        <f t="shared" si="152"/>
        <v>-1.1298962642239815E-6</v>
      </c>
      <c r="BK29" s="96">
        <f t="shared" si="153"/>
        <v>2.6402180112808163E-2</v>
      </c>
      <c r="BL29" s="227">
        <f>IFERROR(VLOOKUP($B29 &amp; $C29&amp;CompareVer,tblForecast,BL$2,FALSE),0)</f>
        <v>90</v>
      </c>
      <c r="BM29" s="228">
        <f>IFERROR(VLOOKUP($B29-IF(CompareVer="LY",1,0) &amp; $C29 &amp;BM$4,tblForecast,BM$2,FALSE),0)</f>
        <v>32</v>
      </c>
      <c r="BN29" s="227">
        <f>IFERROR(VLOOKUP($B29 &amp; $C29&amp;CompareVer,tblForecast,BN$2,FALSE),0)</f>
        <v>0</v>
      </c>
      <c r="BO29" s="228">
        <f>IFERROR(VLOOKUP($B29-IF(CompareVer="LY",1,0) &amp; $C29 &amp;BO$4,tblForecast,BO$2,FALSE),0)</f>
        <v>621247</v>
      </c>
      <c r="BP29" s="227">
        <f>IFERROR(VLOOKUP($B29 &amp; $C29&amp;CompareVer,tblForecast,BP$2,FALSE),0)</f>
        <v>0</v>
      </c>
      <c r="BQ29" s="228">
        <f>IFERROR(VLOOKUP($B29-IF(CompareVer="LY",1,0) &amp; $C29 &amp;BQ$4,tblForecast,BQ$2,FALSE),0)</f>
        <v>941887</v>
      </c>
      <c r="BR29" s="227">
        <f t="shared" si="43"/>
        <v>0</v>
      </c>
      <c r="BS29" s="228">
        <f t="shared" si="22"/>
        <v>-320640</v>
      </c>
      <c r="BT29" s="227">
        <f t="shared" si="154"/>
        <v>245000</v>
      </c>
      <c r="BU29" s="228">
        <f t="shared" si="154"/>
        <v>1326</v>
      </c>
      <c r="BV29" s="228">
        <f>IFERROR(VLOOKUP($B29 &amp; $C29&amp;CompareVer,tblForecast,BV$2,FALSE),0)</f>
        <v>0</v>
      </c>
      <c r="BW29" s="228">
        <f t="shared" si="155"/>
        <v>0</v>
      </c>
      <c r="BX29" s="228">
        <f t="shared" si="155"/>
        <v>0</v>
      </c>
      <c r="BY29" s="176">
        <f>IFERROR(VLOOKUP($B29-IF(CompareVer="LY",1,0) &amp; $C29 &amp;BY$4,tblForecast,BY$2,FALSE),0)</f>
        <v>0</v>
      </c>
      <c r="BZ29" s="177">
        <f t="shared" si="25"/>
        <v>0</v>
      </c>
      <c r="CA29" s="90">
        <f t="shared" si="156"/>
        <v>0</v>
      </c>
      <c r="CB29" s="90">
        <f t="shared" si="156"/>
        <v>0</v>
      </c>
      <c r="CC29" s="90">
        <f>IFERROR(VLOOKUP($B29 &amp; $C29&amp;CompareVer,tblForecast,CC$2,FALSE),0)</f>
        <v>0</v>
      </c>
      <c r="CD29" s="90">
        <f t="shared" si="157"/>
        <v>0</v>
      </c>
      <c r="CE29" s="90">
        <f t="shared" si="157"/>
        <v>0</v>
      </c>
      <c r="CF29" s="90">
        <f>IFERROR(VLOOKUP($B29-IF(CompareVer="LY",1,0) &amp; $C29 &amp;CF$4,tblForecast,CF$2,FALSE),0)</f>
        <v>0</v>
      </c>
      <c r="CG29" s="177">
        <f t="shared" si="28"/>
        <v>0</v>
      </c>
      <c r="CH29" s="90">
        <f t="shared" si="158"/>
        <v>0</v>
      </c>
      <c r="CI29" s="90">
        <f t="shared" si="158"/>
        <v>5671.11</v>
      </c>
      <c r="CJ29" s="90">
        <f>IFERROR(VLOOKUP($B29 &amp; $C29&amp;CompareVer,tblForecast,CJ$2,FALSE),0)</f>
        <v>0</v>
      </c>
      <c r="CK29" s="90">
        <f t="shared" si="159"/>
        <v>0</v>
      </c>
      <c r="CL29" s="90">
        <f t="shared" si="159"/>
        <v>0</v>
      </c>
      <c r="CM29" s="90">
        <f>IFERROR(VLOOKUP($B29-IF(CompareVer="LY",1,0) &amp; $C29 &amp;CM$4,tblForecast,CM$2,FALSE),0)</f>
        <v>0</v>
      </c>
      <c r="CN29" s="177">
        <f t="shared" si="31"/>
        <v>0</v>
      </c>
      <c r="CO29" s="178">
        <f t="shared" si="46"/>
        <v>0</v>
      </c>
      <c r="CP29" s="223">
        <f t="shared" si="46"/>
        <v>0</v>
      </c>
      <c r="CQ29" s="177">
        <f t="shared" si="33"/>
        <v>0</v>
      </c>
      <c r="CR29" s="178">
        <f t="shared" si="44"/>
        <v>0</v>
      </c>
      <c r="CS29" s="223">
        <f t="shared" si="34"/>
        <v>0</v>
      </c>
      <c r="CT29" s="177">
        <f t="shared" si="47"/>
        <v>0</v>
      </c>
      <c r="CU29" s="44"/>
      <c r="CV29" s="44"/>
      <c r="CW29" s="102">
        <f>IFERROR(VLOOKUP($B29 &amp; $C29&amp;CompareVer,tblForecast,CW$2,FALSE),0)</f>
        <v>-3</v>
      </c>
      <c r="CX29" s="48">
        <f>IFERROR(VLOOKUP($B29-IF(CompareVer="LY",1,0) &amp; $C29 &amp;CX$4,tblForecast,CX$2,FALSE),0)</f>
        <v>339418</v>
      </c>
      <c r="CY29" s="47">
        <f t="shared" si="36"/>
        <v>-1.0000088386591164</v>
      </c>
      <c r="CZ29" s="278">
        <f>IFERROR(VLOOKUP(Brand&amp;Channel&amp;Country&amp;$C29,tblDiscount,6,FALSE),0)</f>
        <v>0.5</v>
      </c>
      <c r="DA29" s="279">
        <f>(1-CZ29)*DB29</f>
        <v>12.51</v>
      </c>
      <c r="DB29" s="279">
        <f>IFERROR(VLOOKUP(Brand&amp;Country &amp; Channel &amp;FC,tblFCSettings,8,FALSE),0)</f>
        <v>25.02</v>
      </c>
      <c r="DC29" s="280">
        <f>IFERROR(VLOOKUP(Brand&amp;Country &amp; Channel &amp;FC,tblFCSettings,9,FALSE),0)</f>
        <v>4.16</v>
      </c>
    </row>
    <row r="30" spans="1:107" x14ac:dyDescent="0.25">
      <c r="A30" s="44" t="s">
        <v>335</v>
      </c>
      <c r="B30" s="44">
        <v>2018</v>
      </c>
      <c r="C30" s="88">
        <v>16</v>
      </c>
      <c r="D30" s="97">
        <f t="shared" si="137"/>
        <v>16866908.479499981</v>
      </c>
      <c r="E30" s="202">
        <f t="shared" si="138"/>
        <v>13668990.327399982</v>
      </c>
      <c r="F30" s="182">
        <f t="shared" si="45"/>
        <v>0.81040282776261319</v>
      </c>
      <c r="G30" s="176">
        <f t="shared" si="139"/>
        <v>394037</v>
      </c>
      <c r="H30" s="203">
        <f t="shared" si="139"/>
        <v>42.805392588766999</v>
      </c>
      <c r="I30" s="203">
        <f t="shared" si="139"/>
        <v>8.1157813913414198</v>
      </c>
      <c r="J30" s="176">
        <f>IFERROR(VLOOKUP($B30 &amp; $C30&amp;J$4&amp;$A30,tblForecast,J$2,FALSE),0)+IFERROR(VLOOKUP($B30 &amp; $C30 &amp; J$4 &amp; $A30,tblForecast,J$2+1,FALSE),0)</f>
        <v>7283447</v>
      </c>
      <c r="K30" s="300">
        <f>IFERROR(VLOOKUP($B30 &amp; $C30&amp;K$4&amp;$A30,tblForecast,K$2+2,FALSE),0)</f>
        <v>87175</v>
      </c>
      <c r="L30" s="90">
        <f>Q30*AM30</f>
        <v>394338.8493</v>
      </c>
      <c r="M30" s="90">
        <f t="shared" si="140"/>
        <v>312750</v>
      </c>
      <c r="N30" s="90">
        <f t="shared" si="140"/>
        <v>0</v>
      </c>
      <c r="O30" s="90">
        <f t="shared" si="140"/>
        <v>510868.47359999997</v>
      </c>
      <c r="P30" s="91">
        <f t="shared" si="39"/>
        <v>-0.22810102858537395</v>
      </c>
      <c r="Q30" s="238">
        <f>IFERROR(VLOOKUP($B30 &amp; $C30&amp;CompareVer,tblForecast,Q$2,FALSE),0)</f>
        <v>38411</v>
      </c>
      <c r="R30" s="240">
        <f t="shared" si="141"/>
        <v>25000</v>
      </c>
      <c r="S30" s="240">
        <f t="shared" si="141"/>
        <v>0</v>
      </c>
      <c r="T30" s="240">
        <f>IFERROR(VLOOKUP($B30-IF(CompareVer="LY",1,0) &amp; $C30 &amp;T$4,tblForecast,T$2,FALSE),0)</f>
        <v>48108</v>
      </c>
      <c r="U30" s="91">
        <f t="shared" si="7"/>
        <v>-0.20156730689282443</v>
      </c>
      <c r="V30" s="245">
        <f t="shared" si="160"/>
        <v>-38411</v>
      </c>
      <c r="W30" s="331">
        <f t="shared" si="161"/>
        <v>0</v>
      </c>
      <c r="X30" s="246">
        <f>IFERROR(IF(T29&lt;&gt;0,T30/T29,0),0)</f>
        <v>2.0995941168768821</v>
      </c>
      <c r="Y30" s="97">
        <f t="shared" si="142"/>
        <v>241094.32370000001</v>
      </c>
      <c r="Z30" s="90">
        <f t="shared" si="142"/>
        <v>208749.99999999997</v>
      </c>
      <c r="AA30" s="90">
        <f t="shared" si="142"/>
        <v>0</v>
      </c>
      <c r="AB30" s="90">
        <f t="shared" si="142"/>
        <v>317796.63719999994</v>
      </c>
      <c r="AC30" s="91">
        <f t="shared" si="9"/>
        <v>-0.24135659261784015</v>
      </c>
      <c r="AD30" s="75">
        <f t="shared" si="143"/>
        <v>0.6113887184282556</v>
      </c>
      <c r="AE30" s="93">
        <f t="shared" si="143"/>
        <v>0.66746602717825732</v>
      </c>
      <c r="AF30" s="93">
        <f t="shared" si="143"/>
        <v>0</v>
      </c>
      <c r="AG30" s="93">
        <f t="shared" si="143"/>
        <v>0.6220713424740093</v>
      </c>
      <c r="AH30" s="104">
        <f>IFERROR(VLOOKUP($B30 &amp; $C30&amp;CompareVer,tblForecast,AH$2,FALSE),0)</f>
        <v>23.994399999999999</v>
      </c>
      <c r="AI30" s="94">
        <f t="shared" si="144"/>
        <v>25.02</v>
      </c>
      <c r="AJ30" s="94">
        <f t="shared" si="144"/>
        <v>0</v>
      </c>
      <c r="AK30" s="94">
        <f>IFERROR(VLOOKUP($B30-IF(CompareVer="LY",1,0) &amp; $C30 &amp;AK$4,tblForecast,AK$2,FALSE),0)</f>
        <v>24.388300000000001</v>
      </c>
      <c r="AL30" s="91">
        <f t="shared" si="145"/>
        <v>-1.6151187249623833E-2</v>
      </c>
      <c r="AM30" s="104">
        <f>IFERROR(VLOOKUP($B30 &amp; $C30&amp;CompareVer,tblForecast,AM$2,FALSE),0)</f>
        <v>10.266299999999999</v>
      </c>
      <c r="AN30" s="94">
        <f t="shared" si="146"/>
        <v>12.51</v>
      </c>
      <c r="AO30" s="94">
        <f t="shared" si="146"/>
        <v>0</v>
      </c>
      <c r="AP30" s="94">
        <f>IFERROR(VLOOKUP($B30-IF(CompareVer="LY",1,0) &amp; $C30 &amp;AP$4,tblForecast,AP$2,FALSE),0)</f>
        <v>10.619199999999999</v>
      </c>
      <c r="AQ30" s="91">
        <f t="shared" si="14"/>
        <v>-3.3232258550549898E-2</v>
      </c>
      <c r="AR30" s="104">
        <f>IFERROR(VLOOKUP($B30 &amp; $C30&amp;CompareVer,tblForecast,AR$2,FALSE),0)</f>
        <v>3.9895999999999998</v>
      </c>
      <c r="AS30" s="94">
        <f t="shared" si="147"/>
        <v>4.16</v>
      </c>
      <c r="AT30" s="94">
        <f t="shared" si="147"/>
        <v>0</v>
      </c>
      <c r="AU30" s="94">
        <f>IFERROR(VLOOKUP($B30-IF(CompareVer="LY",1,0) &amp; $C30 &amp;AU$4,tblForecast,AU$2,FALSE),0)</f>
        <v>4.0133000000000001</v>
      </c>
      <c r="AV30" s="91">
        <f t="shared" si="16"/>
        <v>-5.9053646624972478E-3</v>
      </c>
      <c r="AW30" s="181">
        <f t="shared" si="132"/>
        <v>0.57213766545527289</v>
      </c>
      <c r="AX30" s="182">
        <f t="shared" si="132"/>
        <v>0.5</v>
      </c>
      <c r="AY30" s="182">
        <f t="shared" si="132"/>
        <v>0</v>
      </c>
      <c r="AZ30" s="182">
        <f t="shared" si="132"/>
        <v>0.56457809687432092</v>
      </c>
      <c r="BA30" s="227">
        <f t="shared" si="148"/>
        <v>787266</v>
      </c>
      <c r="BB30" s="228">
        <f>IF(IFERROR(VLOOKUP($B30 &amp; $C30&amp;BB$4,tblForecast,BB$2,FALSE),0)=0,BA30,IFERROR(VLOOKUP($B30 &amp; $C30&amp;BB$4,tblForecast,BB$2,FALSE),0))</f>
        <v>787266</v>
      </c>
      <c r="BC30" s="228">
        <f t="shared" si="149"/>
        <v>0</v>
      </c>
      <c r="BD30" s="228">
        <f t="shared" si="150"/>
        <v>665483</v>
      </c>
      <c r="BE30" s="177">
        <f t="shared" si="19"/>
        <v>0.18299941546215304</v>
      </c>
      <c r="BF30" s="228">
        <f>IFERROR(VLOOKUP($B30 &amp; $C30&amp;CompareVer,tblForecast,BF$2,FALSE),0)</f>
        <v>408466</v>
      </c>
      <c r="BG30" s="228">
        <f>IFERROR(VLOOKUP($B30-IF(CompareVer="LY",1,0) &amp; $C30 &amp;BG$4,tblForecast,BG$2,FALSE),0)</f>
        <v>94879</v>
      </c>
      <c r="BH30" s="179">
        <f>IF(Q30&lt;&gt;0,BA30/Q30,0)</f>
        <v>20.495847543672387</v>
      </c>
      <c r="BI30" s="187">
        <f t="shared" si="151"/>
        <v>13.833104681134115</v>
      </c>
      <c r="BJ30" s="184">
        <f t="shared" si="152"/>
        <v>4.8790370726031609E-2</v>
      </c>
      <c r="BK30" s="96">
        <f t="shared" si="153"/>
        <v>7.2290351519122206E-2</v>
      </c>
      <c r="BL30" s="227">
        <f>IFERROR(VLOOKUP($B30 &amp; $C30&amp;CompareVer,tblForecast,BL$2,FALSE),0)</f>
        <v>9</v>
      </c>
      <c r="BM30" s="228">
        <f>IFERROR(VLOOKUP($B30-IF(CompareVer="LY",1,0) &amp; $C30 &amp;BM$4,tblForecast,BM$2,FALSE),0)</f>
        <v>-113</v>
      </c>
      <c r="BN30" s="227">
        <f>IFERROR(VLOOKUP($B30 &amp; $C30&amp;CompareVer,tblForecast,BN$2,FALSE),0)</f>
        <v>418124</v>
      </c>
      <c r="BO30" s="228">
        <f>IFERROR(VLOOKUP($B30-IF(CompareVer="LY",1,0) &amp; $C30 &amp;BO$4,tblForecast,BO$2,FALSE),0)</f>
        <v>20480</v>
      </c>
      <c r="BP30" s="227">
        <f>IFERROR(VLOOKUP($B30 &amp; $C30&amp;CompareVer,tblForecast,BP$2,FALSE),0)</f>
        <v>489743</v>
      </c>
      <c r="BQ30" s="228">
        <f>IFERROR(VLOOKUP($B30-IF(CompareVer="LY",1,0) &amp; $C30 &amp;BQ$4,tblForecast,BQ$2,FALSE),0)</f>
        <v>75728</v>
      </c>
      <c r="BR30" s="227">
        <f t="shared" si="43"/>
        <v>-71619</v>
      </c>
      <c r="BS30" s="228">
        <f t="shared" si="22"/>
        <v>-55248</v>
      </c>
      <c r="BT30" s="227">
        <f t="shared" si="154"/>
        <v>17311</v>
      </c>
      <c r="BU30" s="228">
        <f t="shared" si="154"/>
        <v>0</v>
      </c>
      <c r="BV30" s="228">
        <f>IFERROR(VLOOKUP($B30 &amp; $C30&amp;CompareVer,tblForecast,BV$2,FALSE),0)</f>
        <v>10591</v>
      </c>
      <c r="BW30" s="228">
        <f t="shared" si="155"/>
        <v>0</v>
      </c>
      <c r="BX30" s="228">
        <f t="shared" si="155"/>
        <v>0</v>
      </c>
      <c r="BY30" s="176">
        <f>IFERROR(VLOOKUP($B30-IF(CompareVer="LY",1,0) &amp; $C30 &amp;BY$4,tblForecast,BY$2,FALSE),0)</f>
        <v>0</v>
      </c>
      <c r="BZ30" s="177">
        <f t="shared" si="25"/>
        <v>0</v>
      </c>
      <c r="CA30" s="90">
        <f t="shared" si="156"/>
        <v>0</v>
      </c>
      <c r="CB30" s="90">
        <f t="shared" si="156"/>
        <v>0</v>
      </c>
      <c r="CC30" s="90">
        <f>IFERROR(VLOOKUP($B30 &amp; $C30&amp;CompareVer,tblForecast,CC$2,FALSE),0)</f>
        <v>206524.5</v>
      </c>
      <c r="CD30" s="90">
        <f t="shared" si="157"/>
        <v>0</v>
      </c>
      <c r="CE30" s="90">
        <f t="shared" si="157"/>
        <v>0</v>
      </c>
      <c r="CF30" s="90">
        <f>IFERROR(VLOOKUP($B30-IF(CompareVer="LY",1,0) &amp; $C30 &amp;CF$4,tblForecast,CF$2,FALSE),0)</f>
        <v>0</v>
      </c>
      <c r="CG30" s="177">
        <f t="shared" si="28"/>
        <v>0</v>
      </c>
      <c r="CH30" s="90">
        <f t="shared" si="158"/>
        <v>0</v>
      </c>
      <c r="CI30" s="90">
        <f t="shared" si="158"/>
        <v>0</v>
      </c>
      <c r="CJ30" s="90">
        <f>IFERROR(VLOOKUP($B30 &amp; $C30&amp;CompareVer,tblForecast,CJ$2,FALSE),0)</f>
        <v>52414.858999999997</v>
      </c>
      <c r="CK30" s="90">
        <f t="shared" si="159"/>
        <v>0</v>
      </c>
      <c r="CL30" s="90">
        <f t="shared" si="159"/>
        <v>0</v>
      </c>
      <c r="CM30" s="90">
        <f>IFERROR(VLOOKUP($B30-IF(CompareVer="LY",1,0) &amp; $C30 &amp;CM$4,tblForecast,CM$2,FALSE),0)</f>
        <v>0</v>
      </c>
      <c r="CN30" s="177">
        <f t="shared" si="31"/>
        <v>0</v>
      </c>
      <c r="CO30" s="178">
        <f t="shared" si="46"/>
        <v>0</v>
      </c>
      <c r="CP30" s="223">
        <f t="shared" si="46"/>
        <v>0</v>
      </c>
      <c r="CQ30" s="177">
        <f t="shared" si="33"/>
        <v>0</v>
      </c>
      <c r="CR30" s="178">
        <f t="shared" si="44"/>
        <v>0</v>
      </c>
      <c r="CS30" s="223">
        <f t="shared" si="34"/>
        <v>0</v>
      </c>
      <c r="CT30" s="177">
        <f t="shared" si="47"/>
        <v>0</v>
      </c>
      <c r="CU30" s="44"/>
      <c r="CV30" s="44"/>
      <c r="CW30" s="102">
        <f>IFERROR(VLOOKUP($B30 &amp; $C30&amp;CompareVer,tblForecast,CW$2,FALSE),0)</f>
        <v>378800</v>
      </c>
      <c r="CX30" s="48">
        <f>IFERROR(VLOOKUP($B30-IF(CompareVer="LY",1,0) &amp; $C30 &amp;CX$4,tblForecast,CX$2,FALSE),0)</f>
        <v>570604</v>
      </c>
      <c r="CY30" s="47">
        <f t="shared" si="36"/>
        <v>-0.3361420529824537</v>
      </c>
      <c r="CZ30" s="278">
        <f>IFERROR(VLOOKUP(Brand&amp;Channel&amp;Country&amp;$C30,tblDiscount,6,FALSE),0)</f>
        <v>0.5</v>
      </c>
      <c r="DA30" s="279">
        <f>(1-CZ30)*DB30</f>
        <v>12.51</v>
      </c>
      <c r="DB30" s="279">
        <f>IFERROR(VLOOKUP(Brand&amp;Country &amp; Channel &amp;FC,tblFCSettings,8,FALSE),0)</f>
        <v>25.02</v>
      </c>
      <c r="DC30" s="280">
        <f>IFERROR(VLOOKUP(Brand&amp;Country &amp; Channel &amp;FC,tblFCSettings,9,FALSE),0)</f>
        <v>4.16</v>
      </c>
    </row>
    <row r="31" spans="1:107" ht="16.5" thickBot="1" x14ac:dyDescent="0.3">
      <c r="A31" s="44" t="s">
        <v>335</v>
      </c>
      <c r="B31" s="44">
        <v>2018</v>
      </c>
      <c r="C31" s="88">
        <v>17</v>
      </c>
      <c r="D31" s="97">
        <f t="shared" si="137"/>
        <v>15269887.58299998</v>
      </c>
      <c r="E31" s="202">
        <f t="shared" si="138"/>
        <v>12034238.245699983</v>
      </c>
      <c r="F31" s="182">
        <f t="shared" si="45"/>
        <v>0.78810260915723718</v>
      </c>
      <c r="G31" s="176">
        <f t="shared" si="139"/>
        <v>383492</v>
      </c>
      <c r="H31" s="203">
        <f t="shared" si="139"/>
        <v>39.818008154016198</v>
      </c>
      <c r="I31" s="203">
        <f t="shared" si="139"/>
        <v>8.43733203639189</v>
      </c>
      <c r="J31" s="176">
        <f>IFERROR(VLOOKUP($B31 &amp; $C31&amp;J$4&amp;$A31,tblForecast,J$2,FALSE),0)+IFERROR(VLOOKUP($B31 &amp; $C31 &amp; J$4 &amp; $A31,tblForecast,J$2+1,FALSE),0)</f>
        <v>7179595</v>
      </c>
      <c r="K31" s="300">
        <f>IFERROR(VLOOKUP($B31 &amp; $C31&amp;K$4&amp;$A31,tblForecast,K$2+2,FALSE),0)</f>
        <v>302390</v>
      </c>
      <c r="L31" s="90">
        <f>Q31*AM31</f>
        <v>625631.04</v>
      </c>
      <c r="M31" s="90">
        <f t="shared" si="140"/>
        <v>442844.54</v>
      </c>
      <c r="N31" s="90">
        <f t="shared" si="140"/>
        <v>0</v>
      </c>
      <c r="O31" s="90">
        <f t="shared" si="140"/>
        <v>478168.22899999999</v>
      </c>
      <c r="P31" s="91">
        <f t="shared" si="39"/>
        <v>0.30839106836602492</v>
      </c>
      <c r="Q31" s="238">
        <f>IFERROR(VLOOKUP($B31 &amp; $C31&amp;CompareVer,tblForecast,Q$2,FALSE),0)</f>
        <v>51840</v>
      </c>
      <c r="R31" s="240">
        <f t="shared" si="141"/>
        <v>39329</v>
      </c>
      <c r="S31" s="240">
        <f t="shared" si="141"/>
        <v>0</v>
      </c>
      <c r="T31" s="240">
        <f>IFERROR(VLOOKUP($B31-IF(CompareVer="LY",1,0) &amp; $C31 &amp;T$4,tblForecast,T$2,FALSE),0)</f>
        <v>45542</v>
      </c>
      <c r="U31" s="91">
        <f t="shared" si="7"/>
        <v>0.13828993017434454</v>
      </c>
      <c r="V31" s="245">
        <f t="shared" si="160"/>
        <v>1.3496133919970841</v>
      </c>
      <c r="W31" s="331">
        <f t="shared" si="161"/>
        <v>1.5731599999999999</v>
      </c>
      <c r="X31" s="246">
        <f>IFERROR(IF(T30&lt;&gt;0,T31/T30,0),0)</f>
        <v>0.94666167789141098</v>
      </c>
      <c r="Y31" s="97">
        <f t="shared" si="142"/>
        <v>417083.90400000004</v>
      </c>
      <c r="Z31" s="90">
        <f t="shared" si="142"/>
        <v>279235.90000000002</v>
      </c>
      <c r="AA31" s="90">
        <f t="shared" si="142"/>
        <v>0</v>
      </c>
      <c r="AB31" s="90">
        <f t="shared" si="142"/>
        <v>303810.68199999997</v>
      </c>
      <c r="AC31" s="91">
        <f t="shared" si="9"/>
        <v>0.37284147237456278</v>
      </c>
      <c r="AD31" s="75">
        <f t="shared" si="143"/>
        <v>0.66666114264407339</v>
      </c>
      <c r="AE31" s="93">
        <f t="shared" si="143"/>
        <v>0.63055062166962705</v>
      </c>
      <c r="AF31" s="93">
        <f t="shared" si="143"/>
        <v>0</v>
      </c>
      <c r="AG31" s="93">
        <f t="shared" si="143"/>
        <v>0.63536358874232102</v>
      </c>
      <c r="AH31" s="104">
        <f>IFERROR(VLOOKUP($B31 &amp; $C31&amp;CompareVer,tblForecast,AH$2,FALSE),0)</f>
        <v>24.217199999999998</v>
      </c>
      <c r="AI31" s="94">
        <f t="shared" si="144"/>
        <v>25.02</v>
      </c>
      <c r="AJ31" s="94">
        <f t="shared" si="144"/>
        <v>0</v>
      </c>
      <c r="AK31" s="94">
        <f>IFERROR(VLOOKUP($B31-IF(CompareVer="LY",1,0) &amp; $C31 &amp;AK$4,tblForecast,AK$2,FALSE),0)</f>
        <v>23.103400000000001</v>
      </c>
      <c r="AL31" s="91">
        <f t="shared" si="145"/>
        <v>4.8209354467307675E-2</v>
      </c>
      <c r="AM31" s="104">
        <f>IFERROR(VLOOKUP($B31 &amp; $C31&amp;CompareVer,tblForecast,AM$2,FALSE),0)</f>
        <v>12.0685</v>
      </c>
      <c r="AN31" s="94">
        <f t="shared" si="146"/>
        <v>11.26</v>
      </c>
      <c r="AO31" s="94">
        <f t="shared" si="146"/>
        <v>0</v>
      </c>
      <c r="AP31" s="94">
        <f>IFERROR(VLOOKUP($B31-IF(CompareVer="LY",1,0) &amp; $C31 &amp;AP$4,tblForecast,AP$2,FALSE),0)</f>
        <v>10.499499999999999</v>
      </c>
      <c r="AQ31" s="91">
        <f t="shared" si="14"/>
        <v>0.1494356874136864</v>
      </c>
      <c r="AR31" s="104">
        <f>IFERROR(VLOOKUP($B31 &amp; $C31&amp;CompareVer,tblForecast,AR$2,FALSE),0)</f>
        <v>4.0228999999999999</v>
      </c>
      <c r="AS31" s="94">
        <f t="shared" si="147"/>
        <v>4.16</v>
      </c>
      <c r="AT31" s="94">
        <f t="shared" si="147"/>
        <v>0</v>
      </c>
      <c r="AU31" s="94">
        <f>IFERROR(VLOOKUP($B31-IF(CompareVer="LY",1,0) &amp; $C31 &amp;AU$4,tblForecast,AU$2,FALSE),0)</f>
        <v>3.8285</v>
      </c>
      <c r="AV31" s="91">
        <f t="shared" si="16"/>
        <v>5.0777066736319654E-2</v>
      </c>
      <c r="AW31" s="181">
        <f t="shared" si="132"/>
        <v>0.50165584790975004</v>
      </c>
      <c r="AX31" s="182">
        <f t="shared" si="132"/>
        <v>0.54996003197442045</v>
      </c>
      <c r="AY31" s="182">
        <f t="shared" si="132"/>
        <v>0</v>
      </c>
      <c r="AZ31" s="182">
        <f t="shared" si="132"/>
        <v>0.54554308023927223</v>
      </c>
      <c r="BA31" s="227">
        <f t="shared" si="148"/>
        <v>736049</v>
      </c>
      <c r="BB31" s="228">
        <f>IF(IFERROR(VLOOKUP($B31 &amp; $C31&amp;BB$4,tblForecast,BB$2,FALSE),0)=0,BA31,IFERROR(VLOOKUP($B31 &amp; $C31&amp;BB$4,tblForecast,BB$2,FALSE),0))</f>
        <v>736049</v>
      </c>
      <c r="BC31" s="228">
        <f t="shared" si="149"/>
        <v>0</v>
      </c>
      <c r="BD31" s="228">
        <f t="shared" si="150"/>
        <v>615010</v>
      </c>
      <c r="BE31" s="177">
        <f t="shared" si="19"/>
        <v>0.19680818198078076</v>
      </c>
      <c r="BF31" s="228">
        <f>IFERROR(VLOOKUP($B31 &amp; $C31&amp;CompareVer,tblForecast,BF$2,FALSE),0)</f>
        <v>408162</v>
      </c>
      <c r="BG31" s="228">
        <f>IFERROR(VLOOKUP($B31-IF(CompareVer="LY",1,0) &amp; $C31 &amp;BG$4,tblForecast,BG$2,FALSE),0)</f>
        <v>85811</v>
      </c>
      <c r="BH31" s="179">
        <f>IF(Q31&lt;&gt;0,BA31/Q31,0)</f>
        <v>14.198476080246914</v>
      </c>
      <c r="BI31" s="187">
        <f t="shared" si="151"/>
        <v>13.504237846383559</v>
      </c>
      <c r="BJ31" s="184">
        <f t="shared" si="152"/>
        <v>7.0430093648656544E-2</v>
      </c>
      <c r="BK31" s="96">
        <f t="shared" si="153"/>
        <v>7.405082844181396E-2</v>
      </c>
      <c r="BL31" s="227">
        <f>IFERROR(VLOOKUP($B31 &amp; $C31&amp;CompareVer,tblForecast,BL$2,FALSE),0)</f>
        <v>-74</v>
      </c>
      <c r="BM31" s="228">
        <f>IFERROR(VLOOKUP($B31-IF(CompareVer="LY",1,0) &amp; $C31 &amp;BM$4,tblForecast,BM$2,FALSE),0)</f>
        <v>-94</v>
      </c>
      <c r="BN31" s="227">
        <f>IFERROR(VLOOKUP($B31 &amp; $C31&amp;CompareVer,tblForecast,BN$2,FALSE),0)</f>
        <v>979</v>
      </c>
      <c r="BO31" s="228">
        <f>IFERROR(VLOOKUP($B31-IF(CompareVer="LY",1,0) &amp; $C31 &amp;BO$4,tblForecast,BO$2,FALSE),0)</f>
        <v>4221</v>
      </c>
      <c r="BP31" s="227">
        <f>IFERROR(VLOOKUP($B31 &amp; $C31&amp;CompareVer,tblForecast,BP$2,FALSE),0)</f>
        <v>5513</v>
      </c>
      <c r="BQ31" s="228">
        <f>IFERROR(VLOOKUP($B31-IF(CompareVer="LY",1,0) &amp; $C31 &amp;BQ$4,tblForecast,BQ$2,FALSE),0)</f>
        <v>9042</v>
      </c>
      <c r="BR31" s="227">
        <f t="shared" si="43"/>
        <v>-4534</v>
      </c>
      <c r="BS31" s="228">
        <f t="shared" si="22"/>
        <v>-4821</v>
      </c>
      <c r="BT31" s="227">
        <f t="shared" si="154"/>
        <v>0</v>
      </c>
      <c r="BU31" s="228">
        <f t="shared" si="154"/>
        <v>2</v>
      </c>
      <c r="BV31" s="228">
        <f>IFERROR(VLOOKUP($B31 &amp; $C31&amp;CompareVer,tblForecast,BV$2,FALSE),0)</f>
        <v>6873</v>
      </c>
      <c r="BW31" s="228">
        <f t="shared" si="155"/>
        <v>0</v>
      </c>
      <c r="BX31" s="228">
        <f t="shared" si="155"/>
        <v>0</v>
      </c>
      <c r="BY31" s="176">
        <f>IFERROR(VLOOKUP($B31-IF(CompareVer="LY",1,0) &amp; $C31 &amp;BY$4,tblForecast,BY$2,FALSE),0)</f>
        <v>0</v>
      </c>
      <c r="BZ31" s="177">
        <f t="shared" si="25"/>
        <v>0</v>
      </c>
      <c r="CA31" s="90">
        <f t="shared" si="156"/>
        <v>0</v>
      </c>
      <c r="CB31" s="90">
        <f t="shared" si="156"/>
        <v>0</v>
      </c>
      <c r="CC31" s="90">
        <f>IFERROR(VLOOKUP($B31 &amp; $C31&amp;CompareVer,tblForecast,CC$2,FALSE),0)</f>
        <v>134551.35</v>
      </c>
      <c r="CD31" s="90">
        <f t="shared" si="157"/>
        <v>0</v>
      </c>
      <c r="CE31" s="90">
        <f t="shared" si="157"/>
        <v>0</v>
      </c>
      <c r="CF31" s="90">
        <f>IFERROR(VLOOKUP($B31-IF(CompareVer="LY",1,0) &amp; $C31 &amp;CF$4,tblForecast,CF$2,FALSE),0)</f>
        <v>0</v>
      </c>
      <c r="CG31" s="177">
        <f t="shared" si="28"/>
        <v>0</v>
      </c>
      <c r="CH31" s="90">
        <f t="shared" si="158"/>
        <v>0</v>
      </c>
      <c r="CI31" s="90">
        <f t="shared" si="158"/>
        <v>7.37</v>
      </c>
      <c r="CJ31" s="90">
        <f>IFERROR(VLOOKUP($B31 &amp; $C31&amp;CompareVer,tblForecast,CJ$2,FALSE),0)</f>
        <v>33742.641900000002</v>
      </c>
      <c r="CK31" s="90">
        <f t="shared" si="159"/>
        <v>0</v>
      </c>
      <c r="CL31" s="90">
        <f t="shared" si="159"/>
        <v>0</v>
      </c>
      <c r="CM31" s="90">
        <f>IFERROR(VLOOKUP($B31-IF(CompareVer="LY",1,0) &amp; $C31 &amp;CM$4,tblForecast,CM$2,FALSE),0)</f>
        <v>0</v>
      </c>
      <c r="CN31" s="177">
        <f t="shared" si="31"/>
        <v>0</v>
      </c>
      <c r="CO31" s="178">
        <f t="shared" si="46"/>
        <v>0</v>
      </c>
      <c r="CP31" s="223">
        <f t="shared" si="46"/>
        <v>0</v>
      </c>
      <c r="CQ31" s="177">
        <f t="shared" si="33"/>
        <v>0</v>
      </c>
      <c r="CR31" s="178">
        <f t="shared" si="44"/>
        <v>0</v>
      </c>
      <c r="CS31" s="223">
        <f t="shared" si="34"/>
        <v>0</v>
      </c>
      <c r="CT31" s="177">
        <f t="shared" si="47"/>
        <v>0</v>
      </c>
      <c r="CU31" s="44"/>
      <c r="CV31" s="44"/>
      <c r="CW31" s="102">
        <f>IFERROR(VLOOKUP($B31 &amp; $C31&amp;CompareVer,tblForecast,CW$2,FALSE),0)</f>
        <v>327887</v>
      </c>
      <c r="CX31" s="48">
        <f>IFERROR(VLOOKUP($B31-IF(CompareVer="LY",1,0) &amp; $C31 &amp;CX$4,tblForecast,CX$2,FALSE),0)</f>
        <v>529199</v>
      </c>
      <c r="CY31" s="47">
        <f t="shared" si="36"/>
        <v>-0.38040888210295187</v>
      </c>
      <c r="CZ31" s="278">
        <f>IFERROR(VLOOKUP(Brand&amp;Channel&amp;Country&amp;$C31,tblDiscount,6,FALSE),0)</f>
        <v>0.55000000000000004</v>
      </c>
      <c r="DA31" s="279">
        <f>(1-CZ31)*DB31</f>
        <v>11.258999999999999</v>
      </c>
      <c r="DB31" s="279">
        <f>IFERROR(VLOOKUP(Brand&amp;Country &amp; Channel &amp;FC,tblFCSettings,8,FALSE),0)</f>
        <v>25.02</v>
      </c>
      <c r="DC31" s="280">
        <f>IFERROR(VLOOKUP(Brand&amp;Country &amp; Channel &amp;FC,tblFCSettings,9,FALSE),0)</f>
        <v>4.16</v>
      </c>
    </row>
    <row r="32" spans="1:107" ht="16.5" thickBot="1" x14ac:dyDescent="0.3">
      <c r="C32" s="253" t="s">
        <v>28</v>
      </c>
      <c r="D32" s="254">
        <f t="shared" ref="D32" si="162">SUM(D28:D31)</f>
        <v>67440801.755099922</v>
      </c>
      <c r="E32" s="255">
        <f t="shared" ref="E32" si="163">SUM(E28:E31)</f>
        <v>54898605.355999932</v>
      </c>
      <c r="F32" s="256">
        <f t="shared" si="45"/>
        <v>0.81402658223659774</v>
      </c>
      <c r="G32" s="257">
        <f>SUM(G28:G31)</f>
        <v>1470234</v>
      </c>
      <c r="H32" s="258">
        <f>IFERROR(D32/G32,0)</f>
        <v>45.870794550459259</v>
      </c>
      <c r="I32" s="258">
        <f>IFERROR(SUMPRODUCT(I28:I31,G28:G31)/G32,0)</f>
        <v>8.5307484380717575</v>
      </c>
      <c r="J32" s="257">
        <f>SUM(J28:J31)</f>
        <v>30522821</v>
      </c>
      <c r="K32" s="301">
        <f>SUM(K28:K31)</f>
        <v>791582</v>
      </c>
      <c r="L32" s="259">
        <f>SUM(L28:L31)</f>
        <v>1019932.8893</v>
      </c>
      <c r="M32" s="259">
        <f t="shared" ref="M32:O32" si="164">SUM(M28:M31)</f>
        <v>755622.08</v>
      </c>
      <c r="N32" s="259">
        <f t="shared" si="164"/>
        <v>0</v>
      </c>
      <c r="O32" s="259">
        <f t="shared" si="164"/>
        <v>1246040.8714999999</v>
      </c>
      <c r="P32" s="260">
        <f t="shared" si="39"/>
        <v>-0.18146112809911941</v>
      </c>
      <c r="Q32" s="261">
        <f>SUM(Q28:Q31)</f>
        <v>90252</v>
      </c>
      <c r="R32" s="262">
        <f t="shared" ref="R32:S32" si="165">SUM(R28:R31)</f>
        <v>64331</v>
      </c>
      <c r="S32" s="262">
        <f t="shared" si="165"/>
        <v>0</v>
      </c>
      <c r="T32" s="262">
        <f>SUM(T28:T31)</f>
        <v>116565</v>
      </c>
      <c r="U32" s="260">
        <f t="shared" si="7"/>
        <v>-0.2257367134216961</v>
      </c>
      <c r="V32" s="263">
        <f>V31</f>
        <v>1.3496133919970841</v>
      </c>
      <c r="W32" s="332">
        <f>W31</f>
        <v>1.5731599999999999</v>
      </c>
      <c r="X32" s="264">
        <f>X31</f>
        <v>0.94666167789141098</v>
      </c>
      <c r="Y32" s="254">
        <f>SUM(Y28:Y31)</f>
        <v>658145.22770000005</v>
      </c>
      <c r="Z32" s="259">
        <f t="shared" ref="Z32:AB32" si="166">SUM(Z28:Z31)</f>
        <v>488007.22</v>
      </c>
      <c r="AA32" s="259">
        <f t="shared" si="166"/>
        <v>0</v>
      </c>
      <c r="AB32" s="259">
        <f t="shared" si="166"/>
        <v>786005.18119999988</v>
      </c>
      <c r="AC32" s="260">
        <f t="shared" si="9"/>
        <v>-0.16267062426330969</v>
      </c>
      <c r="AD32" s="265">
        <f>IFERROR(Y32/L32,0)</f>
        <v>0.64528287557399788</v>
      </c>
      <c r="AE32" s="266">
        <f>IFERROR(Z32/M32,0)</f>
        <v>0.64583504494733668</v>
      </c>
      <c r="AF32" s="266">
        <f>IFERROR(AA32/N32,0)</f>
        <v>0</v>
      </c>
      <c r="AG32" s="266">
        <f>IFERROR(AB32/O32,0)</f>
        <v>0.63080208617378397</v>
      </c>
      <c r="AH32" s="267">
        <f>IFERROR(SUMPRODUCT(AH28:AH31,Q28:Q31)/Q32,0)</f>
        <v>24.122008336657355</v>
      </c>
      <c r="AI32" s="268">
        <f>IFERROR(SUMPRODUCT(AI28:AI31,R28:R31)/R32,0)</f>
        <v>25.019935645334286</v>
      </c>
      <c r="AJ32" s="268">
        <f t="shared" ref="AJ32:AK32" si="167">IFERROR(SUMPRODUCT(AJ28:AJ31,S28:S31)/S32,0)</f>
        <v>0</v>
      </c>
      <c r="AK32" s="268">
        <f t="shared" si="167"/>
        <v>23.941255561274826</v>
      </c>
      <c r="AL32" s="260">
        <f t="shared" si="145"/>
        <v>7.5498452835907059E-3</v>
      </c>
      <c r="AM32" s="267">
        <f>IF(Q32&lt;&gt;0,L32/Q32,0)</f>
        <v>11.300945012852901</v>
      </c>
      <c r="AN32" s="268">
        <f>IF(R32&lt;&gt;0,M32/R32,0)</f>
        <v>11.74584694781676</v>
      </c>
      <c r="AO32" s="268">
        <f>IF(S32&lt;&gt;0,N32/S32,0)</f>
        <v>0</v>
      </c>
      <c r="AP32" s="268">
        <f>IF(T32&lt;&gt;0,O32/T32,0)</f>
        <v>10.689665607171964</v>
      </c>
      <c r="AQ32" s="260">
        <f t="shared" si="14"/>
        <v>5.7184146646347411E-2</v>
      </c>
      <c r="AR32" s="267">
        <f>IFERROR((L32*(1-AD32))/Q32,0)</f>
        <v>4.0086387182555505</v>
      </c>
      <c r="AS32" s="268">
        <f>IFERROR((M32*(1-AE32))/R32,0)</f>
        <v>4.159967356328985</v>
      </c>
      <c r="AT32" s="268">
        <f>IFERROR((N32*(1-AF32))/S32,0)</f>
        <v>0</v>
      </c>
      <c r="AU32" s="268">
        <f>IFERROR((O32*(1-AG32))/T32,0)</f>
        <v>3.9466022416677395</v>
      </c>
      <c r="AV32" s="260">
        <f t="shared" si="16"/>
        <v>1.5718958432860974E-2</v>
      </c>
      <c r="AW32" s="269">
        <f t="shared" si="132"/>
        <v>0.53150895003716347</v>
      </c>
      <c r="AX32" s="270">
        <f t="shared" si="132"/>
        <v>0.53054048122593289</v>
      </c>
      <c r="AY32" s="270">
        <f t="shared" si="132"/>
        <v>0</v>
      </c>
      <c r="AZ32" s="270">
        <f t="shared" si="132"/>
        <v>0.55350438577404504</v>
      </c>
      <c r="BA32" s="261">
        <f>BA31</f>
        <v>736049</v>
      </c>
      <c r="BB32" s="262">
        <f t="shared" ref="BB32:BD32" si="168">BB31</f>
        <v>736049</v>
      </c>
      <c r="BC32" s="262">
        <f t="shared" si="168"/>
        <v>0</v>
      </c>
      <c r="BD32" s="262">
        <f t="shared" si="168"/>
        <v>615010</v>
      </c>
      <c r="BE32" s="260">
        <f t="shared" si="19"/>
        <v>0.19680818198078076</v>
      </c>
      <c r="BF32" s="262">
        <f>BF31</f>
        <v>408162</v>
      </c>
      <c r="BG32" s="262">
        <f>BG31</f>
        <v>85811</v>
      </c>
      <c r="BH32" s="271">
        <f>IF(Q32&lt;&gt;0,(BA32*COUNTIF(BH28:BH31,"&lt;&gt;0")/Q32),0)</f>
        <v>32.621947436067899</v>
      </c>
      <c r="BI32" s="272">
        <f>IF(T32&lt;&gt;0,(BD32*COUNTIF(BI28:BI31,"&lt;&gt;0")/T32),0)</f>
        <v>21.104448161969717</v>
      </c>
      <c r="BJ32" s="273">
        <f t="shared" ref="BJ32" si="169">IF(BA32&lt;&gt;0,(Q32/COUNTIF(BJ28:BJ31,"&lt;&gt;0"))/BA32,0)</f>
        <v>3.0654209162705202E-2</v>
      </c>
      <c r="BK32" s="274">
        <f t="shared" ref="BK32" si="170">IF(BD32&lt;&gt;0,(T32/COUNTIF(BK28:BK31,"&lt;&gt;0"))/BD32,0)</f>
        <v>4.738337588006699E-2</v>
      </c>
      <c r="BL32" s="261">
        <f>SUM(BL28:BL31)</f>
        <v>2728</v>
      </c>
      <c r="BM32" s="262">
        <f>SUM(BM28:BM31)</f>
        <v>-1</v>
      </c>
      <c r="BN32" s="261">
        <f>SUM(BN28:BN31)</f>
        <v>419103</v>
      </c>
      <c r="BO32" s="262">
        <f t="shared" ref="BO32:BQ32" si="171">SUM(BO28:BO31)</f>
        <v>645964</v>
      </c>
      <c r="BP32" s="261">
        <f>SUM(BP28:BP31)</f>
        <v>495256</v>
      </c>
      <c r="BQ32" s="262">
        <f t="shared" si="171"/>
        <v>1026673</v>
      </c>
      <c r="BR32" s="261">
        <f t="shared" si="43"/>
        <v>-76153</v>
      </c>
      <c r="BS32" s="262">
        <f t="shared" si="22"/>
        <v>-380709</v>
      </c>
      <c r="BT32" s="261">
        <f>SUM(BT28:BT31)</f>
        <v>262311</v>
      </c>
      <c r="BU32" s="262">
        <f>SUM(BU28:BU31)</f>
        <v>-5364</v>
      </c>
      <c r="BV32" s="262">
        <f>SUM(BV28:BV31)</f>
        <v>374152</v>
      </c>
      <c r="BW32" s="262">
        <f t="shared" ref="BW32:BX32" si="172">SUM(BW28:BW31)</f>
        <v>0</v>
      </c>
      <c r="BX32" s="262">
        <f t="shared" si="172"/>
        <v>0</v>
      </c>
      <c r="BY32" s="275">
        <f>SUM(BY28:BY31)</f>
        <v>0</v>
      </c>
      <c r="BZ32" s="260">
        <f t="shared" si="25"/>
        <v>0</v>
      </c>
      <c r="CA32" s="259">
        <f t="shared" ref="CA32:CF32" si="173">SUM(CA28:CA31)</f>
        <v>0</v>
      </c>
      <c r="CB32" s="259">
        <f t="shared" si="173"/>
        <v>0</v>
      </c>
      <c r="CC32" s="259">
        <f>SUM(CC28:CC31)</f>
        <v>9513351.4499999993</v>
      </c>
      <c r="CD32" s="259">
        <f t="shared" si="173"/>
        <v>0</v>
      </c>
      <c r="CE32" s="259">
        <f t="shared" si="173"/>
        <v>0</v>
      </c>
      <c r="CF32" s="259">
        <f t="shared" si="173"/>
        <v>0</v>
      </c>
      <c r="CG32" s="260">
        <f t="shared" si="28"/>
        <v>0</v>
      </c>
      <c r="CH32" s="259">
        <f t="shared" ref="CH32:CM32" si="174">SUM(CH28:CH31)</f>
        <v>0</v>
      </c>
      <c r="CI32" s="259">
        <f t="shared" si="174"/>
        <v>-26700.529999999901</v>
      </c>
      <c r="CJ32" s="259">
        <f>SUM(CJ28:CJ31)</f>
        <v>1589024.3112999999</v>
      </c>
      <c r="CK32" s="259">
        <f t="shared" si="174"/>
        <v>0</v>
      </c>
      <c r="CL32" s="259">
        <f t="shared" si="174"/>
        <v>0</v>
      </c>
      <c r="CM32" s="259">
        <f t="shared" si="174"/>
        <v>0</v>
      </c>
      <c r="CN32" s="260">
        <f t="shared" si="31"/>
        <v>0</v>
      </c>
      <c r="CO32" s="276">
        <f t="shared" si="46"/>
        <v>0</v>
      </c>
      <c r="CP32" s="277">
        <f t="shared" si="46"/>
        <v>0</v>
      </c>
      <c r="CQ32" s="260">
        <f t="shared" si="33"/>
        <v>0</v>
      </c>
      <c r="CR32" s="276">
        <f t="shared" si="44"/>
        <v>0</v>
      </c>
      <c r="CS32" s="277">
        <f t="shared" si="34"/>
        <v>0</v>
      </c>
      <c r="CT32" s="260">
        <f t="shared" si="47"/>
        <v>0</v>
      </c>
      <c r="CU32" s="44"/>
      <c r="CV32" s="44"/>
      <c r="CW32" s="100">
        <f>CW31</f>
        <v>327887</v>
      </c>
      <c r="CX32" s="101">
        <f>CX31</f>
        <v>529199</v>
      </c>
      <c r="CY32" s="99">
        <f t="shared" si="36"/>
        <v>-0.38040888210295187</v>
      </c>
      <c r="CZ32" s="278"/>
      <c r="DA32" s="279"/>
      <c r="DB32" s="279"/>
      <c r="DC32" s="280"/>
    </row>
    <row r="33" spans="1:107" x14ac:dyDescent="0.25">
      <c r="A33" s="44" t="s">
        <v>335</v>
      </c>
      <c r="B33" s="44">
        <v>2018</v>
      </c>
      <c r="C33" s="88">
        <v>18</v>
      </c>
      <c r="D33" s="97">
        <f>G33*H33</f>
        <v>14028974.9496</v>
      </c>
      <c r="E33" s="199">
        <f>IFERROR(D33*F33,0)</f>
        <v>10849234.321200002</v>
      </c>
      <c r="F33" s="200">
        <f t="shared" si="45"/>
        <v>0.77334476397431584</v>
      </c>
      <c r="G33" s="198">
        <f t="shared" ref="G33:I37" si="175">IFERROR(VLOOKUP($B33 &amp; $C33&amp;G$4&amp;$A33,tblForecast,G$2,FALSE),0)</f>
        <v>381450</v>
      </c>
      <c r="H33" s="201">
        <f t="shared" si="175"/>
        <v>36.778017956744002</v>
      </c>
      <c r="I33" s="201">
        <f t="shared" si="175"/>
        <v>8.3359303405426601</v>
      </c>
      <c r="J33" s="198">
        <f>IFERROR(VLOOKUP($B33 &amp; $C33&amp;J$4&amp;$A33,tblForecast,J$2,FALSE),0)+IFERROR(VLOOKUP($B33 &amp; $C33 &amp; J$4 &amp; $A33,tblForecast,J$2+1,FALSE),0)</f>
        <v>7055693</v>
      </c>
      <c r="K33" s="299">
        <f>IFERROR(VLOOKUP($B33 &amp; $C33&amp;K$4&amp;$A33,tblForecast,K$2+2,FALSE),0)</f>
        <v>520087</v>
      </c>
      <c r="L33" s="90">
        <f>Q33*AM33</f>
        <v>496617.60479999997</v>
      </c>
      <c r="M33" s="90">
        <f t="shared" ref="M33:O34" si="176">R33*AN33</f>
        <v>376196.6</v>
      </c>
      <c r="N33" s="90">
        <f t="shared" si="176"/>
        <v>0</v>
      </c>
      <c r="O33" s="90">
        <f t="shared" si="176"/>
        <v>414867.22269999998</v>
      </c>
      <c r="P33" s="91">
        <f t="shared" si="39"/>
        <v>0.19705191836549485</v>
      </c>
      <c r="Q33" s="238">
        <f>IFERROR(VLOOKUP($B33 &amp; $C33&amp;CompareVer,tblForecast,Q$2,FALSE),0)</f>
        <v>35414</v>
      </c>
      <c r="R33" s="239">
        <f t="shared" ref="R33:S37" si="177">IFERROR(VLOOKUP($B33 &amp; $C33&amp;R$4,tblForecast,R$2,FALSE),0)</f>
        <v>33410</v>
      </c>
      <c r="S33" s="239">
        <f t="shared" si="177"/>
        <v>0</v>
      </c>
      <c r="T33" s="240">
        <f>IFERROR(VLOOKUP($B33-IF(CompareVer="LY",1,0) &amp; $C33 &amp;T$4,tblForecast,T$2,FALSE),0)</f>
        <v>38773</v>
      </c>
      <c r="U33" s="91">
        <f t="shared" si="7"/>
        <v>-8.6632450416527007E-2</v>
      </c>
      <c r="V33" s="245">
        <f>IFERROR(IF(Q31&gt;0,Q33/Q31,0),0)</f>
        <v>0.6831404320987654</v>
      </c>
      <c r="W33" s="331">
        <f>IFERROR(IF(R31&gt;0,R33/R31,0),0)</f>
        <v>0.84950036868468559</v>
      </c>
      <c r="X33" s="246">
        <f>IFERROR(IF(T31&gt;0,T33/T31,0),0)</f>
        <v>0.8513679680295112</v>
      </c>
      <c r="Y33" s="97">
        <f t="shared" ref="Y33:AB34" si="178">IFERROR(L33*AD33,0)</f>
        <v>352758.85399999999</v>
      </c>
      <c r="Z33" s="90">
        <f t="shared" si="178"/>
        <v>237211</v>
      </c>
      <c r="AA33" s="90">
        <f t="shared" si="178"/>
        <v>0</v>
      </c>
      <c r="AB33" s="90">
        <f t="shared" si="178"/>
        <v>266948.22769999999</v>
      </c>
      <c r="AC33" s="91">
        <f t="shared" si="9"/>
        <v>0.32145044392815803</v>
      </c>
      <c r="AD33" s="75">
        <f>IF(AM33&lt;&gt;0,1-AR33/AM33,0)</f>
        <v>0.7103228934907867</v>
      </c>
      <c r="AE33" s="93">
        <f t="shared" ref="AE33:AG34" si="179">IF(AN33&lt;&gt;0,1-AS33/AN33,0)</f>
        <v>0.63055062166962705</v>
      </c>
      <c r="AF33" s="93">
        <f t="shared" si="179"/>
        <v>0</v>
      </c>
      <c r="AG33" s="93">
        <f t="shared" si="179"/>
        <v>0.64345461172534324</v>
      </c>
      <c r="AH33" s="104">
        <f>IFERROR(VLOOKUP($B33 &amp; $C33&amp;CompareVer,tblForecast,AH$2,FALSE),0)</f>
        <v>24.376000000000001</v>
      </c>
      <c r="AI33" s="94">
        <f t="shared" ref="AI33:AJ42" si="180">IFERROR(VLOOKUP($B33 &amp; $C33&amp;AI$4,tblForecast,AI$2,FALSE),0)</f>
        <v>25.02</v>
      </c>
      <c r="AJ33" s="94">
        <f t="shared" si="180"/>
        <v>0</v>
      </c>
      <c r="AK33" s="94">
        <f>IFERROR(VLOOKUP($B33-IF(CompareVer="LY",1,0) &amp; $C33 &amp;AK$4,tblForecast,AK$2,FALSE),0)</f>
        <v>23.0061</v>
      </c>
      <c r="AL33" s="91">
        <f t="shared" si="145"/>
        <v>5.954507717518398E-2</v>
      </c>
      <c r="AM33" s="104">
        <f>IFERROR(VLOOKUP($B33 &amp; $C33&amp;CompareVer,tblForecast,AM$2,FALSE),0)</f>
        <v>14.023199999999999</v>
      </c>
      <c r="AN33" s="94">
        <f t="shared" ref="AN33:AO42" si="181">IFERROR(VLOOKUP($B33 &amp; $C33&amp;AN$4,tblForecast,AN$2,FALSE),0)</f>
        <v>11.26</v>
      </c>
      <c r="AO33" s="94">
        <f t="shared" si="181"/>
        <v>0</v>
      </c>
      <c r="AP33" s="94">
        <f>IFERROR(VLOOKUP($B33-IF(CompareVer="LY",1,0) &amp; $C33 &amp;AP$4,tblForecast,AP$2,FALSE),0)</f>
        <v>10.6999</v>
      </c>
      <c r="AQ33" s="91">
        <f t="shared" si="14"/>
        <v>0.31059168777278301</v>
      </c>
      <c r="AR33" s="104">
        <f>IFERROR(VLOOKUP($B33 &amp; $C33&amp;CompareVer,tblForecast,AR$2,FALSE),0)</f>
        <v>4.0621999999999998</v>
      </c>
      <c r="AS33" s="94">
        <f t="shared" ref="AS33:AT37" si="182">IFERROR(VLOOKUP($B33 &amp; $C33&amp;AS$4,tblForecast,AS$2,FALSE),0)</f>
        <v>4.16</v>
      </c>
      <c r="AT33" s="94">
        <f t="shared" si="182"/>
        <v>0</v>
      </c>
      <c r="AU33" s="94">
        <f>IFERROR(VLOOKUP($B33-IF(CompareVer="LY",1,0) &amp; $C33 &amp;AU$4,tblForecast,AU$2,FALSE),0)</f>
        <v>3.8149999999999999</v>
      </c>
      <c r="AV33" s="91">
        <f t="shared" si="16"/>
        <v>6.4796854521625091E-2</v>
      </c>
      <c r="AW33" s="181">
        <f t="shared" si="132"/>
        <v>0.42471283229405976</v>
      </c>
      <c r="AX33" s="182">
        <f t="shared" si="132"/>
        <v>0.54996003197442045</v>
      </c>
      <c r="AY33" s="182">
        <f t="shared" si="132"/>
        <v>0</v>
      </c>
      <c r="AZ33" s="182">
        <f t="shared" si="132"/>
        <v>0.5349103063969991</v>
      </c>
      <c r="BA33" s="227">
        <f t="shared" ref="BA33:BA34" si="183">CW33+BF33</f>
        <v>669567</v>
      </c>
      <c r="BB33" s="228">
        <f>IF(IFERROR(VLOOKUP($B33 &amp; $C33&amp;BB$4,tblForecast,BB$2,FALSE),0)=0,BA33,IFERROR(VLOOKUP($B33 &amp; $C33&amp;BB$4,tblForecast,BB$2,FALSE),0))</f>
        <v>669567</v>
      </c>
      <c r="BC33" s="228">
        <f t="shared" ref="BC33:BC37" si="184">IFERROR(VLOOKUP($B33 &amp; $C33&amp;BC$4,tblForecast,BC$2,FALSE),0)</f>
        <v>0</v>
      </c>
      <c r="BD33" s="228">
        <f t="shared" si="150"/>
        <v>569367</v>
      </c>
      <c r="BE33" s="177">
        <f t="shared" si="19"/>
        <v>0.17598490955745594</v>
      </c>
      <c r="BF33" s="228">
        <f>IFERROR(VLOOKUP($B33 &amp; $C33&amp;CompareVer,tblForecast,BF$2,FALSE),0)</f>
        <v>333682</v>
      </c>
      <c r="BG33" s="228">
        <f>IFERROR(VLOOKUP($B33-IF(CompareVer="LY",1,0) &amp; $C33 &amp;BG$4,tblForecast,BG$2,FALSE),0)</f>
        <v>70703</v>
      </c>
      <c r="BH33" s="185">
        <f>IF(Q33&lt;&gt;0,BA33/Q33,0)</f>
        <v>18.906844750663581</v>
      </c>
      <c r="BI33" s="186">
        <f>IF(T33&lt;&gt;0,BD33/T33,0)</f>
        <v>14.684625899466123</v>
      </c>
      <c r="BJ33" s="184">
        <f t="shared" ref="BJ33:BJ34" si="185">IF(BA33&lt;&gt;0,Q33/BA33,0)</f>
        <v>5.2890898147608827E-2</v>
      </c>
      <c r="BK33" s="96">
        <f t="shared" ref="BK33:BK34" si="186">IF(BD33&lt;&gt;0,T33/BD33,0)</f>
        <v>6.8098432118475424E-2</v>
      </c>
      <c r="BL33" s="227">
        <f>IFERROR(VLOOKUP($B33 &amp; $C33&amp;CompareVer,tblForecast,BL$2,FALSE),0)</f>
        <v>1</v>
      </c>
      <c r="BM33" s="228">
        <f>IFERROR(VLOOKUP($B33-IF(CompareVer="LY",1,0) &amp; $C33 &amp;BM$4,tblForecast,BM$2,FALSE),0)</f>
        <v>-50</v>
      </c>
      <c r="BN33" s="227">
        <f>IFERROR(VLOOKUP($B33 &amp; $C33&amp;CompareVer,tblForecast,BN$2,FALSE),0)</f>
        <v>77667</v>
      </c>
      <c r="BO33" s="228">
        <f>IFERROR(VLOOKUP($B33-IF(CompareVer="LY",1,0) &amp; $C33 &amp;BO$4,tblForecast,BO$2,FALSE),0)</f>
        <v>8314</v>
      </c>
      <c r="BP33" s="227">
        <f>IFERROR(VLOOKUP($B33 &amp; $C33&amp;CompareVer,tblForecast,BP$2,FALSE),0)</f>
        <v>112409</v>
      </c>
      <c r="BQ33" s="228">
        <f>IFERROR(VLOOKUP($B33-IF(CompareVer="LY",1,0) &amp; $C33 &amp;BQ$4,tblForecast,BQ$2,FALSE),0)</f>
        <v>15126</v>
      </c>
      <c r="BR33" s="227">
        <f t="shared" si="43"/>
        <v>-34742</v>
      </c>
      <c r="BS33" s="228">
        <f t="shared" si="22"/>
        <v>-6812</v>
      </c>
      <c r="BT33" s="227">
        <f t="shared" ref="BT33:BU37" si="187">IFERROR(VLOOKUP($B33 &amp; $C33&amp;BT$4,tblForecast,BT$2,FALSE),0)</f>
        <v>0</v>
      </c>
      <c r="BU33" s="228">
        <f t="shared" si="187"/>
        <v>0</v>
      </c>
      <c r="BV33" s="228">
        <f>IFERROR(VLOOKUP($B33 &amp; $C33&amp;CompareVer,tblForecast,BV$2,FALSE),0)</f>
        <v>0</v>
      </c>
      <c r="BW33" s="228">
        <f t="shared" ref="BW33:BX37" si="188">IFERROR(VLOOKUP($B33 &amp; $C33&amp;BW$4,tblForecast,BW$2,FALSE),0)</f>
        <v>0</v>
      </c>
      <c r="BX33" s="228">
        <f t="shared" si="188"/>
        <v>0</v>
      </c>
      <c r="BY33" s="176">
        <f>IFERROR(VLOOKUP($B33-IF(CompareVer="LY",1,0) &amp; $C33 &amp;BY$4,tblForecast,BY$2,FALSE),0)</f>
        <v>0</v>
      </c>
      <c r="BZ33" s="177">
        <f t="shared" si="25"/>
        <v>0</v>
      </c>
      <c r="CA33" s="90">
        <f t="shared" ref="CA33:CB37" si="189">IFERROR(VLOOKUP($B33 &amp; $C33&amp;CA$4,tblForecast,CA$2,FALSE),0)</f>
        <v>0</v>
      </c>
      <c r="CB33" s="90">
        <f t="shared" si="189"/>
        <v>0</v>
      </c>
      <c r="CC33" s="90">
        <f>IFERROR(VLOOKUP($B33 &amp; $C33&amp;CompareVer,tblForecast,CC$2,FALSE),0)</f>
        <v>0</v>
      </c>
      <c r="CD33" s="90">
        <f t="shared" ref="CD33:CE37" si="190">IFERROR(VLOOKUP($B33 &amp; $C33&amp;CD$4,tblForecast,CD$2,FALSE),0)</f>
        <v>0</v>
      </c>
      <c r="CE33" s="90">
        <f t="shared" si="190"/>
        <v>0</v>
      </c>
      <c r="CF33" s="90">
        <f>IFERROR(VLOOKUP($B33-IF(CompareVer="LY",1,0) &amp; $C33 &amp;CF$4,tblForecast,CF$2,FALSE),0)</f>
        <v>0</v>
      </c>
      <c r="CG33" s="177">
        <f t="shared" si="28"/>
        <v>0</v>
      </c>
      <c r="CH33" s="90">
        <f t="shared" ref="CH33:CI37" si="191">IFERROR(VLOOKUP($B33 &amp; $C33&amp;CH$4,tblForecast,CH$2,FALSE),0)</f>
        <v>0</v>
      </c>
      <c r="CI33" s="90">
        <f t="shared" si="191"/>
        <v>0</v>
      </c>
      <c r="CJ33" s="90">
        <f>IFERROR(VLOOKUP($B33 &amp; $C33&amp;CompareVer,tblForecast,CJ$2,FALSE),0)</f>
        <v>0</v>
      </c>
      <c r="CK33" s="90">
        <f t="shared" ref="CK33:CL37" si="192">IFERROR(VLOOKUP($B33 &amp; $C33&amp;CK$4,tblForecast,CK$2,FALSE),0)</f>
        <v>0</v>
      </c>
      <c r="CL33" s="90">
        <f t="shared" si="192"/>
        <v>0</v>
      </c>
      <c r="CM33" s="90">
        <f>IFERROR(VLOOKUP($B33-IF(CompareVer="LY",1,0) &amp; $C33 &amp;CM$4,tblForecast,CM$2,FALSE),0)</f>
        <v>0</v>
      </c>
      <c r="CN33" s="177">
        <f t="shared" si="31"/>
        <v>0</v>
      </c>
      <c r="CO33" s="178">
        <f t="shared" si="46"/>
        <v>0</v>
      </c>
      <c r="CP33" s="223">
        <f t="shared" si="46"/>
        <v>0</v>
      </c>
      <c r="CQ33" s="177">
        <f t="shared" si="33"/>
        <v>0</v>
      </c>
      <c r="CR33" s="178">
        <f t="shared" si="44"/>
        <v>0</v>
      </c>
      <c r="CS33" s="223">
        <f t="shared" si="34"/>
        <v>0</v>
      </c>
      <c r="CT33" s="177">
        <f t="shared" si="47"/>
        <v>0</v>
      </c>
      <c r="CU33" s="44"/>
      <c r="CV33" s="44"/>
      <c r="CW33" s="102">
        <f>IFERROR(VLOOKUP($B33 &amp; $C33&amp;CompareVer,tblForecast,CW$2,FALSE),0)</f>
        <v>335885</v>
      </c>
      <c r="CX33" s="48">
        <f>IFERROR(VLOOKUP($B33-IF(CompareVer="LY",1,0) &amp; $C33 &amp;CX$4,tblForecast,CX$2,FALSE),0)</f>
        <v>498664</v>
      </c>
      <c r="CY33" s="47">
        <f t="shared" si="36"/>
        <v>-0.32643022155198687</v>
      </c>
      <c r="CZ33" s="278">
        <f>IFERROR(VLOOKUP(Brand&amp;Channel&amp;Country&amp;$C33,tblDiscount,6,FALSE),0)</f>
        <v>0.55000000000000004</v>
      </c>
      <c r="DA33" s="279">
        <f>(1-CZ33)*DB33</f>
        <v>11.258999999999999</v>
      </c>
      <c r="DB33" s="279">
        <f>IFERROR(VLOOKUP(Brand&amp;Country &amp; Channel &amp;FC,tblFCSettings,8,FALSE),0)</f>
        <v>25.02</v>
      </c>
      <c r="DC33" s="280">
        <f>IFERROR(VLOOKUP(Brand&amp;Country &amp; Channel &amp;FC,tblFCSettings,9,FALSE),0)</f>
        <v>4.16</v>
      </c>
    </row>
    <row r="34" spans="1:107" ht="15" customHeight="1" x14ac:dyDescent="0.25">
      <c r="A34" s="44" t="s">
        <v>335</v>
      </c>
      <c r="B34" s="44">
        <v>2018</v>
      </c>
      <c r="C34" s="88">
        <v>19</v>
      </c>
      <c r="D34" s="97">
        <f t="shared" ref="D34" si="193">G34*H34</f>
        <v>13938058.87319999</v>
      </c>
      <c r="E34" s="202">
        <f t="shared" ref="E34" si="194">IFERROR(D34*F34,0)</f>
        <v>10743614.233199989</v>
      </c>
      <c r="F34" s="182">
        <f t="shared" ref="F34" si="195">IF(H34&lt;&gt;0,1-I34/H34,0)</f>
        <v>0.77081136842216547</v>
      </c>
      <c r="G34" s="176">
        <f t="shared" si="175"/>
        <v>380320</v>
      </c>
      <c r="H34" s="203">
        <f t="shared" si="175"/>
        <v>36.648240621581799</v>
      </c>
      <c r="I34" s="203">
        <f t="shared" si="175"/>
        <v>8.3993601177955401</v>
      </c>
      <c r="J34" s="176">
        <f>IFERROR(VLOOKUP($B34 &amp; $C34&amp;J$4&amp;$A34,tblForecast,J$2,FALSE),0)+IFERROR(VLOOKUP($B34 &amp; $C34 &amp; J$4 &amp; $A34,tblForecast,J$2+1,FALSE),0)</f>
        <v>7391156</v>
      </c>
      <c r="K34" s="300">
        <f>IFERROR(VLOOKUP($B34 &amp; $C34&amp;K$4&amp;$A34,tblForecast,K$2+2,FALSE),0)</f>
        <v>808941</v>
      </c>
      <c r="L34" s="90">
        <f>Q34*AM34</f>
        <v>477023.72999999701</v>
      </c>
      <c r="M34" s="90">
        <f t="shared" si="176"/>
        <v>414649.5</v>
      </c>
      <c r="N34" s="90">
        <f t="shared" si="176"/>
        <v>0</v>
      </c>
      <c r="O34" s="90">
        <f t="shared" si="176"/>
        <v>436239.43780000001</v>
      </c>
      <c r="P34" s="91">
        <f t="shared" si="39"/>
        <v>9.3490612416145424E-2</v>
      </c>
      <c r="Q34" s="238">
        <f>IFERROR(VLOOKUP($B34 &amp; $C34&amp;CompareVer,tblForecast,Q$2,FALSE),0)</f>
        <v>33130</v>
      </c>
      <c r="R34" s="240">
        <f t="shared" si="177"/>
        <v>36825</v>
      </c>
      <c r="S34" s="240">
        <f t="shared" si="177"/>
        <v>0</v>
      </c>
      <c r="T34" s="240">
        <f>IFERROR(VLOOKUP($B34-IF(CompareVer="LY",1,0) &amp; $C34 &amp;T$4,tblForecast,T$2,FALSE),0)</f>
        <v>40783</v>
      </c>
      <c r="U34" s="91">
        <f t="shared" si="7"/>
        <v>-0.18765171762744282</v>
      </c>
      <c r="V34" s="245">
        <f t="shared" ref="V34:V35" si="196">IFERROR(IF(Q33&lt;&gt;0,Q34/Q33,0),0)</f>
        <v>0.93550573219630651</v>
      </c>
      <c r="W34" s="331">
        <f t="shared" ref="W34:W35" si="197">IFERROR(IF(R33&lt;&gt;0,R34/R33,0),0)</f>
        <v>1.1022149057168513</v>
      </c>
      <c r="X34" s="246">
        <f t="shared" ref="X34:X35" si="198">IFERROR(IF(T33&lt;&gt;0,T34/T33,0),0)</f>
        <v>1.0518401980759806</v>
      </c>
      <c r="Y34" s="97">
        <f t="shared" si="178"/>
        <v>340994.5472999973</v>
      </c>
      <c r="Z34" s="90">
        <f t="shared" si="178"/>
        <v>261457.50000000003</v>
      </c>
      <c r="AA34" s="90">
        <f t="shared" si="178"/>
        <v>0</v>
      </c>
      <c r="AB34" s="90">
        <f t="shared" si="178"/>
        <v>274465.51170000003</v>
      </c>
      <c r="AC34" s="91">
        <f t="shared" si="9"/>
        <v>0.24239488301435741</v>
      </c>
      <c r="AD34" s="75">
        <f t="shared" ref="AD34" si="199">IF(AM34&lt;&gt;0,1-AR34/AM34,0)</f>
        <v>0.71483770272812097</v>
      </c>
      <c r="AE34" s="93">
        <f t="shared" si="179"/>
        <v>0.63055062166962705</v>
      </c>
      <c r="AF34" s="93">
        <f t="shared" si="179"/>
        <v>0</v>
      </c>
      <c r="AG34" s="93">
        <f t="shared" si="179"/>
        <v>0.62916253762877927</v>
      </c>
      <c r="AH34" s="104">
        <f>IFERROR(VLOOKUP($B34 &amp; $C34&amp;CompareVer,tblForecast,AH$2,FALSE),0)</f>
        <v>24.650472487171701</v>
      </c>
      <c r="AI34" s="94">
        <f t="shared" si="180"/>
        <v>25.02</v>
      </c>
      <c r="AJ34" s="94">
        <f t="shared" si="180"/>
        <v>0</v>
      </c>
      <c r="AK34" s="94">
        <f>IFERROR(VLOOKUP($B34-IF(CompareVer="LY",1,0) &amp; $C34 &amp;AK$4,tblForecast,AK$2,FALSE),0)</f>
        <v>24.142299999999999</v>
      </c>
      <c r="AL34" s="91">
        <f t="shared" si="145"/>
        <v>2.1049050304722483E-2</v>
      </c>
      <c r="AM34" s="104">
        <f>IFERROR(VLOOKUP($B34 &amp; $C34&amp;CompareVer,tblForecast,AM$2,FALSE),0)</f>
        <v>14.3985430123754</v>
      </c>
      <c r="AN34" s="94">
        <f t="shared" si="181"/>
        <v>11.26</v>
      </c>
      <c r="AO34" s="94">
        <f t="shared" si="181"/>
        <v>0</v>
      </c>
      <c r="AP34" s="94">
        <f>IFERROR(VLOOKUP($B34-IF(CompareVer="LY",1,0) &amp; $C34 &amp;AP$4,tblForecast,AP$2,FALSE),0)</f>
        <v>10.6966</v>
      </c>
      <c r="AQ34" s="91">
        <f t="shared" si="14"/>
        <v>0.34608595370261575</v>
      </c>
      <c r="AR34" s="104">
        <f>IFERROR(VLOOKUP($B34 &amp; $C34&amp;CompareVer,tblForecast,AR$2,FALSE),0)</f>
        <v>4.1059216027769301</v>
      </c>
      <c r="AS34" s="94">
        <f t="shared" si="182"/>
        <v>4.16</v>
      </c>
      <c r="AT34" s="94">
        <f t="shared" si="182"/>
        <v>0</v>
      </c>
      <c r="AU34" s="94">
        <f>IFERROR(VLOOKUP($B34-IF(CompareVer="LY",1,0) &amp; $C34 &amp;AU$4,tblForecast,AU$2,FALSE),0)</f>
        <v>3.9666999999999999</v>
      </c>
      <c r="AV34" s="91">
        <f t="shared" si="16"/>
        <v>3.50975881152924E-2</v>
      </c>
      <c r="AW34" s="181">
        <f t="shared" si="132"/>
        <v>0.41589180410766913</v>
      </c>
      <c r="AX34" s="182">
        <f t="shared" si="132"/>
        <v>0.54996003197442045</v>
      </c>
      <c r="AY34" s="182">
        <f t="shared" si="132"/>
        <v>0</v>
      </c>
      <c r="AZ34" s="182">
        <f t="shared" si="132"/>
        <v>0.5569353375610443</v>
      </c>
      <c r="BA34" s="227">
        <f t="shared" si="183"/>
        <v>629151</v>
      </c>
      <c r="BB34" s="228">
        <f>IF(IFERROR(VLOOKUP($B34 &amp; $C34&amp;BB$4,tblForecast,BB$2,FALSE),0)=0,BA34,IFERROR(VLOOKUP($B34 &amp; $C34&amp;BB$4,tblForecast,BB$2,FALSE),0))</f>
        <v>629151</v>
      </c>
      <c r="BC34" s="228">
        <f t="shared" si="184"/>
        <v>0</v>
      </c>
      <c r="BD34" s="228">
        <f t="shared" si="150"/>
        <v>512135</v>
      </c>
      <c r="BE34" s="177">
        <f t="shared" si="19"/>
        <v>0.22848662950198673</v>
      </c>
      <c r="BF34" s="228">
        <f>IFERROR(VLOOKUP($B34 &amp; $C34&amp;CompareVer,tblForecast,BF$2,FALSE),0)</f>
        <v>276369</v>
      </c>
      <c r="BG34" s="228">
        <f>IFERROR(VLOOKUP($B34-IF(CompareVer="LY",1,0) &amp; $C34 &amp;BG$4,tblForecast,BG$2,FALSE),0)</f>
        <v>38393</v>
      </c>
      <c r="BH34" s="179">
        <f>IF(Q34&lt;&gt;0,BA34/Q34,0)</f>
        <v>18.99037126471476</v>
      </c>
      <c r="BI34" s="187">
        <f t="shared" ref="BI34" si="200">IF(T34&lt;&gt;0,BD34/T34,0)</f>
        <v>12.557560748351028</v>
      </c>
      <c r="BJ34" s="184">
        <f t="shared" si="185"/>
        <v>5.2658264868052342E-2</v>
      </c>
      <c r="BK34" s="96">
        <f t="shared" si="186"/>
        <v>7.9633299813525724E-2</v>
      </c>
      <c r="BL34" s="227">
        <f>IFERROR(VLOOKUP($B34 &amp; $C34&amp;CompareVer,tblForecast,BL$2,FALSE),0)</f>
        <v>-211</v>
      </c>
      <c r="BM34" s="228">
        <f>IFERROR(VLOOKUP($B34-IF(CompareVer="LY",1,0) &amp; $C34 &amp;BM$4,tblForecast,BM$2,FALSE),0)</f>
        <v>129</v>
      </c>
      <c r="BN34" s="227">
        <f>IFERROR(VLOOKUP($B34 &amp; $C34&amp;CompareVer,tblForecast,BN$2,FALSE),0)</f>
        <v>17211</v>
      </c>
      <c r="BO34" s="228">
        <f>IFERROR(VLOOKUP($B34-IF(CompareVer="LY",1,0) &amp; $C34 &amp;BO$4,tblForecast,BO$2,FALSE),0)</f>
        <v>15948</v>
      </c>
      <c r="BP34" s="227">
        <f>IFERROR(VLOOKUP($B34 &amp; $C34&amp;CompareVer,tblForecast,BP$2,FALSE),0)</f>
        <v>20891</v>
      </c>
      <c r="BQ34" s="228">
        <f>IFERROR(VLOOKUP($B34-IF(CompareVer="LY",1,0) &amp; $C34 &amp;BQ$4,tblForecast,BQ$2,FALSE),0)</f>
        <v>32541</v>
      </c>
      <c r="BR34" s="227">
        <f t="shared" si="43"/>
        <v>-3680</v>
      </c>
      <c r="BS34" s="228">
        <f t="shared" si="22"/>
        <v>-16593</v>
      </c>
      <c r="BT34" s="227">
        <f t="shared" si="187"/>
        <v>0</v>
      </c>
      <c r="BU34" s="228">
        <f t="shared" si="187"/>
        <v>0</v>
      </c>
      <c r="BV34" s="228">
        <f>IFERROR(VLOOKUP($B34 &amp; $C34&amp;CompareVer,tblForecast,BV$2,FALSE),0)</f>
        <v>0</v>
      </c>
      <c r="BW34" s="228">
        <f t="shared" si="188"/>
        <v>0</v>
      </c>
      <c r="BX34" s="228">
        <f t="shared" si="188"/>
        <v>0</v>
      </c>
      <c r="BY34" s="176">
        <f>IFERROR(VLOOKUP($B34-IF(CompareVer="LY",1,0) &amp; $C34 &amp;BY$4,tblForecast,BY$2,FALSE),0)</f>
        <v>0</v>
      </c>
      <c r="BZ34" s="177">
        <f t="shared" si="25"/>
        <v>0</v>
      </c>
      <c r="CA34" s="90">
        <f t="shared" si="189"/>
        <v>0</v>
      </c>
      <c r="CB34" s="90">
        <f t="shared" si="189"/>
        <v>0</v>
      </c>
      <c r="CC34" s="90">
        <f>IFERROR(VLOOKUP($B34 &amp; $C34&amp;CompareVer,tblForecast,CC$2,FALSE),0)</f>
        <v>0</v>
      </c>
      <c r="CD34" s="90">
        <f t="shared" si="190"/>
        <v>0</v>
      </c>
      <c r="CE34" s="90">
        <f t="shared" si="190"/>
        <v>0</v>
      </c>
      <c r="CF34" s="90">
        <f>IFERROR(VLOOKUP($B34-IF(CompareVer="LY",1,0) &amp; $C34 &amp;CF$4,tblForecast,CF$2,FALSE),0)</f>
        <v>0</v>
      </c>
      <c r="CG34" s="177">
        <f t="shared" si="28"/>
        <v>0</v>
      </c>
      <c r="CH34" s="90">
        <f t="shared" si="191"/>
        <v>0</v>
      </c>
      <c r="CI34" s="90">
        <f t="shared" si="191"/>
        <v>0</v>
      </c>
      <c r="CJ34" s="90">
        <f>IFERROR(VLOOKUP($B34 &amp; $C34&amp;CompareVer,tblForecast,CJ$2,FALSE),0)</f>
        <v>0</v>
      </c>
      <c r="CK34" s="90">
        <f t="shared" si="192"/>
        <v>0</v>
      </c>
      <c r="CL34" s="90">
        <f t="shared" si="192"/>
        <v>0</v>
      </c>
      <c r="CM34" s="90">
        <f>IFERROR(VLOOKUP($B34-IF(CompareVer="LY",1,0) &amp; $C34 &amp;CM$4,tblForecast,CM$2,FALSE),0)</f>
        <v>0</v>
      </c>
      <c r="CN34" s="177">
        <f t="shared" si="31"/>
        <v>0</v>
      </c>
      <c r="CO34" s="178">
        <f t="shared" si="46"/>
        <v>0</v>
      </c>
      <c r="CP34" s="223">
        <f t="shared" si="46"/>
        <v>0</v>
      </c>
      <c r="CQ34" s="177">
        <f t="shared" si="33"/>
        <v>0</v>
      </c>
      <c r="CR34" s="178">
        <f t="shared" si="44"/>
        <v>0</v>
      </c>
      <c r="CS34" s="223">
        <f t="shared" si="34"/>
        <v>0</v>
      </c>
      <c r="CT34" s="177">
        <f t="shared" si="47"/>
        <v>0</v>
      </c>
      <c r="CU34" s="44"/>
      <c r="CV34" s="44"/>
      <c r="CW34" s="102">
        <f>IFERROR(VLOOKUP($B34 &amp; $C34&amp;CompareVer,tblForecast,CW$2,FALSE),0)</f>
        <v>352782</v>
      </c>
      <c r="CX34" s="48">
        <f>IFERROR(VLOOKUP($B34-IF(CompareVer="LY",1,0) &amp; $C34 &amp;CX$4,tblForecast,CX$2,FALSE),0)</f>
        <v>473742</v>
      </c>
      <c r="CY34" s="47">
        <f t="shared" si="36"/>
        <v>-0.25532884988031457</v>
      </c>
      <c r="CZ34" s="278">
        <f>IFERROR(VLOOKUP(Brand&amp;Channel&amp;Country&amp;$C34,tblDiscount,6,FALSE),0)</f>
        <v>0.55000000000000004</v>
      </c>
      <c r="DA34" s="279">
        <f>(1-CZ34)*DB34</f>
        <v>11.258999999999999</v>
      </c>
      <c r="DB34" s="279">
        <f>IFERROR(VLOOKUP(Brand&amp;Country &amp; Channel &amp;FC,tblFCSettings,8,FALSE),0)</f>
        <v>25.02</v>
      </c>
      <c r="DC34" s="280">
        <f>IFERROR(VLOOKUP(Brand&amp;Country &amp; Channel &amp;FC,tblFCSettings,9,FALSE),0)</f>
        <v>4.16</v>
      </c>
    </row>
    <row r="35" spans="1:107" ht="15" customHeight="1" x14ac:dyDescent="0.25">
      <c r="A35" s="44" t="s">
        <v>335</v>
      </c>
      <c r="B35" s="44">
        <v>2018</v>
      </c>
      <c r="C35" s="88">
        <v>20</v>
      </c>
      <c r="D35" s="97">
        <f t="shared" ref="D35" si="201">G35*H35</f>
        <v>13340449.428099975</v>
      </c>
      <c r="E35" s="202">
        <f t="shared" ref="E35" si="202">IFERROR(D35*F35,0)</f>
        <v>10434410.008099977</v>
      </c>
      <c r="F35" s="182">
        <f t="shared" ref="F35" si="203">IF(H35&lt;&gt;0,1-I35/H35,0)</f>
        <v>0.78216330449266636</v>
      </c>
      <c r="G35" s="176">
        <f t="shared" si="175"/>
        <v>345537</v>
      </c>
      <c r="H35" s="203">
        <f t="shared" si="175"/>
        <v>38.607875359512803</v>
      </c>
      <c r="I35" s="203">
        <f t="shared" si="175"/>
        <v>8.4102119888752807</v>
      </c>
      <c r="J35" s="176">
        <f>IFERROR(VLOOKUP($B35 &amp; $C35&amp;J$4&amp;$A35,tblForecast,J$2,FALSE),0)+IFERROR(VLOOKUP($B35 &amp; $C35 &amp; J$4 &amp; $A35,tblForecast,J$2+1,FALSE),0)</f>
        <v>8372697</v>
      </c>
      <c r="K35" s="300">
        <f>IFERROR(VLOOKUP($B35 &amp; $C35&amp;K$4&amp;$A35,tblForecast,K$2+2,FALSE),0)</f>
        <v>1395389</v>
      </c>
      <c r="L35" s="90">
        <f>Q35*AM35</f>
        <v>397306.68999999895</v>
      </c>
      <c r="M35" s="90">
        <f t="shared" ref="M35" si="204">R35*AN35</f>
        <v>397278.08</v>
      </c>
      <c r="N35" s="90">
        <f t="shared" ref="N35" si="205">S35*AO35</f>
        <v>0</v>
      </c>
      <c r="O35" s="90">
        <f t="shared" ref="O35" si="206">T35*AP35</f>
        <v>367682.94959999999</v>
      </c>
      <c r="P35" s="91">
        <f t="shared" ref="P35" si="207">IFERROR(L35/O35-1,)</f>
        <v>8.0568708536053801E-2</v>
      </c>
      <c r="Q35" s="238">
        <f>IFERROR(VLOOKUP($B35 &amp; $C35&amp;CompareVer,tblForecast,Q$2,FALSE),0)</f>
        <v>26989</v>
      </c>
      <c r="R35" s="240">
        <f t="shared" si="177"/>
        <v>26989</v>
      </c>
      <c r="S35" s="240">
        <f t="shared" si="177"/>
        <v>0</v>
      </c>
      <c r="T35" s="240">
        <f>IFERROR(VLOOKUP($B35-IF(CompareVer="LY",1,0) &amp; $C35 &amp;T$4,tblForecast,T$2,FALSE),0)</f>
        <v>34017</v>
      </c>
      <c r="U35" s="91">
        <f t="shared" ref="U35" si="208">IFERROR(Q35/T35-1,)</f>
        <v>-0.20660258106240992</v>
      </c>
      <c r="V35" s="245">
        <f t="shared" si="196"/>
        <v>0.81463929972834292</v>
      </c>
      <c r="W35" s="331">
        <f t="shared" si="197"/>
        <v>0.73289884589273591</v>
      </c>
      <c r="X35" s="246">
        <f t="shared" si="198"/>
        <v>0.83409754064193409</v>
      </c>
      <c r="Y35" s="97">
        <f t="shared" ref="Y35" si="209">IFERROR(L35*AD35,0)</f>
        <v>285572.11769999901</v>
      </c>
      <c r="Z35" s="90">
        <f t="shared" ref="Z35" si="210">IFERROR(M35*AE35,0)</f>
        <v>285543.62</v>
      </c>
      <c r="AA35" s="90">
        <f t="shared" ref="AA35" si="211">IFERROR(N35*AF35,0)</f>
        <v>0</v>
      </c>
      <c r="AB35" s="90">
        <f t="shared" ref="AB35" si="212">IFERROR(O35*AG35,0)</f>
        <v>233394.03869999998</v>
      </c>
      <c r="AC35" s="91">
        <f t="shared" ref="AC35" si="213">IFERROR(Y35/AB35-1,)</f>
        <v>0.22356217532645584</v>
      </c>
      <c r="AD35" s="75">
        <f t="shared" ref="AD35" si="214">IF(AM35&lt;&gt;0,1-AR35/AM35,0)</f>
        <v>0.71876997012056298</v>
      </c>
      <c r="AE35" s="93">
        <f t="shared" ref="AE35" si="215">IF(AN35&lt;&gt;0,1-AS35/AN35,0)</f>
        <v>0.71875</v>
      </c>
      <c r="AF35" s="93">
        <f t="shared" ref="AF35" si="216">IF(AO35&lt;&gt;0,1-AT35/AO35,0)</f>
        <v>0</v>
      </c>
      <c r="AG35" s="93">
        <f t="shared" ref="AG35" si="217">IF(AP35&lt;&gt;0,1-AU35/AP35,0)</f>
        <v>0.63476981718599657</v>
      </c>
      <c r="AH35" s="104">
        <f>IFERROR(VLOOKUP($B35 &amp; $C35&amp;CompareVer,tblForecast,AH$2,FALSE),0)</f>
        <v>24.6946533550705</v>
      </c>
      <c r="AI35" s="94">
        <f t="shared" si="180"/>
        <v>24.69</v>
      </c>
      <c r="AJ35" s="94">
        <f t="shared" si="180"/>
        <v>0</v>
      </c>
      <c r="AK35" s="94">
        <f>IFERROR(VLOOKUP($B35-IF(CompareVer="LY",1,0) &amp; $C35 &amp;AK$4,tblForecast,AK$2,FALSE),0)</f>
        <v>24.081399999999999</v>
      </c>
      <c r="AL35" s="91">
        <f t="shared" ref="AL35" si="218">IFERROR(AH35/AK35-1,)</f>
        <v>2.5465851448441601E-2</v>
      </c>
      <c r="AM35" s="104">
        <f>IFERROR(VLOOKUP($B35 &amp; $C35&amp;CompareVer,tblForecast,AM$2,FALSE),0)</f>
        <v>14.721060061506501</v>
      </c>
      <c r="AN35" s="94">
        <f t="shared" si="181"/>
        <v>14.72</v>
      </c>
      <c r="AO35" s="94">
        <f t="shared" si="181"/>
        <v>0</v>
      </c>
      <c r="AP35" s="94">
        <f>IFERROR(VLOOKUP($B35-IF(CompareVer="LY",1,0) &amp; $C35 &amp;AP$4,tblForecast,AP$2,FALSE),0)</f>
        <v>10.8088</v>
      </c>
      <c r="AQ35" s="91">
        <f t="shared" ref="AQ35" si="219">IFERROR(AM35/AP35-1,)</f>
        <v>0.36195137864577953</v>
      </c>
      <c r="AR35" s="104">
        <f>IFERROR(VLOOKUP($B35 &amp; $C35&amp;CompareVer,tblForecast,AR$2,FALSE),0)</f>
        <v>4.1400041609544598</v>
      </c>
      <c r="AS35" s="94">
        <f t="shared" si="182"/>
        <v>4.1399999999999997</v>
      </c>
      <c r="AT35" s="94">
        <f t="shared" si="182"/>
        <v>0</v>
      </c>
      <c r="AU35" s="94">
        <f>IFERROR(VLOOKUP($B35-IF(CompareVer="LY",1,0) &amp; $C35 &amp;AU$4,tblForecast,AU$2,FALSE),0)</f>
        <v>3.9477000000000002</v>
      </c>
      <c r="AV35" s="91">
        <f t="shared" ref="AV35" si="220">IFERROR(AR35/AU35-1,)</f>
        <v>4.8712962219636724E-2</v>
      </c>
      <c r="AW35" s="181">
        <f t="shared" ref="AW35" si="221">IFERROR((AM35/AH35-1)*-1,0)</f>
        <v>0.40387662665919311</v>
      </c>
      <c r="AX35" s="182">
        <f t="shared" ref="AX35" si="222">IFERROR((AN35/AI35-1)*-1,0)</f>
        <v>0.40380720939651682</v>
      </c>
      <c r="AY35" s="182">
        <f t="shared" ref="AY35" si="223">IFERROR((AO35/AJ35-1)*-1,0)</f>
        <v>0</v>
      </c>
      <c r="AZ35" s="182">
        <f t="shared" ref="AZ35" si="224">IFERROR((AP35/AK35-1)*-1,0)</f>
        <v>0.55115566370725955</v>
      </c>
      <c r="BA35" s="227">
        <f t="shared" ref="BA35" si="225">CW35+BF35</f>
        <v>585592</v>
      </c>
      <c r="BB35" s="228">
        <f>IF(IFERROR(VLOOKUP($B35 &amp; $C35&amp;BB$4,tblForecast,BB$2,FALSE),0)=0,BA35,IFERROR(VLOOKUP($B35 &amp; $C35&amp;BB$4,tblForecast,BB$2,FALSE),0))</f>
        <v>585592</v>
      </c>
      <c r="BC35" s="228">
        <f t="shared" si="184"/>
        <v>0</v>
      </c>
      <c r="BD35" s="228">
        <f t="shared" ref="BD35" si="226">CX35+BG35</f>
        <v>474317</v>
      </c>
      <c r="BE35" s="177">
        <f t="shared" ref="BE35" si="227">IFERROR(BA35/BD35-1,)</f>
        <v>0.23460048870270311</v>
      </c>
      <c r="BF35" s="228">
        <f>IFERROR(VLOOKUP($B35 &amp; $C35&amp;CompareVer,tblForecast,BF$2,FALSE),0)</f>
        <v>240802</v>
      </c>
      <c r="BG35" s="228">
        <f>IFERROR(VLOOKUP($B35-IF(CompareVer="LY",1,0) &amp; $C35 &amp;BG$4,tblForecast,BG$2,FALSE),0)</f>
        <v>32193</v>
      </c>
      <c r="BH35" s="179">
        <f>IF(Q35&lt;&gt;0,BA35/Q35,0)</f>
        <v>21.697432287228128</v>
      </c>
      <c r="BI35" s="187">
        <f t="shared" ref="BI35" si="228">IF(T35&lt;&gt;0,BD35/T35,0)</f>
        <v>13.943528235882059</v>
      </c>
      <c r="BJ35" s="184">
        <f t="shared" ref="BJ35" si="229">IF(BA35&lt;&gt;0,Q35/BA35,0)</f>
        <v>4.608840284703343E-2</v>
      </c>
      <c r="BK35" s="96">
        <f t="shared" ref="BK35" si="230">IF(BD35&lt;&gt;0,T35/BD35,0)</f>
        <v>7.171785957492563E-2</v>
      </c>
      <c r="BL35" s="227">
        <f>IFERROR(VLOOKUP($B35 &amp; $C35&amp;CompareVer,tblForecast,BL$2,FALSE),0)</f>
        <v>-257</v>
      </c>
      <c r="BM35" s="228">
        <f>IFERROR(VLOOKUP($B35-IF(CompareVer="LY",1,0) &amp; $C35 &amp;BM$4,tblForecast,BM$2,FALSE),0)</f>
        <v>-117</v>
      </c>
      <c r="BN35" s="227">
        <f>IFERROR(VLOOKUP($B35 &amp; $C35&amp;CompareVer,tblForecast,BN$2,FALSE),0)</f>
        <v>10465</v>
      </c>
      <c r="BO35" s="228">
        <f>IFERROR(VLOOKUP($B35-IF(CompareVer="LY",1,0) &amp; $C35 &amp;BO$4,tblForecast,BO$2,FALSE),0)</f>
        <v>2578</v>
      </c>
      <c r="BP35" s="227">
        <f>IFERROR(VLOOKUP($B35 &amp; $C35&amp;CompareVer,tblForecast,BP$2,FALSE),0)</f>
        <v>10311</v>
      </c>
      <c r="BQ35" s="228">
        <f>IFERROR(VLOOKUP($B35-IF(CompareVer="LY",1,0) &amp; $C35 &amp;BQ$4,tblForecast,BQ$2,FALSE),0)</f>
        <v>6255</v>
      </c>
      <c r="BR35" s="227">
        <f t="shared" ref="BR35" si="231">BN35-BP35</f>
        <v>154</v>
      </c>
      <c r="BS35" s="228">
        <f t="shared" ref="BS35" si="232">BO35-BQ35</f>
        <v>-3677</v>
      </c>
      <c r="BT35" s="227">
        <f t="shared" si="187"/>
        <v>0</v>
      </c>
      <c r="BU35" s="228">
        <f t="shared" si="187"/>
        <v>0</v>
      </c>
      <c r="BV35" s="228">
        <f>IFERROR(VLOOKUP($B35 &amp; $C35&amp;CompareVer,tblForecast,BV$2,FALSE),0)</f>
        <v>0</v>
      </c>
      <c r="BW35" s="228">
        <f t="shared" si="188"/>
        <v>0</v>
      </c>
      <c r="BX35" s="228">
        <f t="shared" si="188"/>
        <v>0</v>
      </c>
      <c r="BY35" s="176">
        <f>IFERROR(VLOOKUP($B35-IF(CompareVer="LY",1,0) &amp; $C35 &amp;BY$4,tblForecast,BY$2,FALSE),0)</f>
        <v>0</v>
      </c>
      <c r="BZ35" s="177">
        <f t="shared" ref="BZ35" si="233">IFERROR(BV35/BY35-1,)</f>
        <v>0</v>
      </c>
      <c r="CA35" s="90">
        <f t="shared" si="189"/>
        <v>0</v>
      </c>
      <c r="CB35" s="90">
        <f t="shared" si="189"/>
        <v>0</v>
      </c>
      <c r="CC35" s="90">
        <f>IFERROR(VLOOKUP($B35 &amp; $C35&amp;CompareVer,tblForecast,CC$2,FALSE),0)</f>
        <v>0</v>
      </c>
      <c r="CD35" s="90">
        <f t="shared" si="190"/>
        <v>0</v>
      </c>
      <c r="CE35" s="90">
        <f t="shared" si="190"/>
        <v>0</v>
      </c>
      <c r="CF35" s="90">
        <f>IFERROR(VLOOKUP($B35-IF(CompareVer="LY",1,0) &amp; $C35 &amp;CF$4,tblForecast,CF$2,FALSE),0)</f>
        <v>0</v>
      </c>
      <c r="CG35" s="177">
        <f t="shared" ref="CG35" si="234">IFERROR(CC35/CF35-1,)</f>
        <v>0</v>
      </c>
      <c r="CH35" s="90">
        <f t="shared" si="191"/>
        <v>0</v>
      </c>
      <c r="CI35" s="90">
        <f t="shared" si="191"/>
        <v>0</v>
      </c>
      <c r="CJ35" s="90">
        <f>IFERROR(VLOOKUP($B35 &amp; $C35&amp;CompareVer,tblForecast,CJ$2,FALSE),0)</f>
        <v>0</v>
      </c>
      <c r="CK35" s="90">
        <f t="shared" si="192"/>
        <v>0</v>
      </c>
      <c r="CL35" s="90">
        <f t="shared" si="192"/>
        <v>0</v>
      </c>
      <c r="CM35" s="90">
        <f>IFERROR(VLOOKUP($B35-IF(CompareVer="LY",1,0) &amp; $C35 &amp;CM$4,tblForecast,CM$2,FALSE),0)</f>
        <v>0</v>
      </c>
      <c r="CN35" s="177">
        <f t="shared" ref="CN35" si="235">IFERROR(CJ35/CM35-1,)</f>
        <v>0</v>
      </c>
      <c r="CO35" s="178">
        <f t="shared" ref="CO35" si="236">IFERROR(CE35/BX35,0)</f>
        <v>0</v>
      </c>
      <c r="CP35" s="223">
        <f t="shared" ref="CP35" si="237">IFERROR(CF35/BY35,0)</f>
        <v>0</v>
      </c>
      <c r="CQ35" s="177">
        <f t="shared" ref="CQ35" si="238">IFERROR(CL35/CP35-1,)</f>
        <v>0</v>
      </c>
      <c r="CR35" s="178">
        <f t="shared" ref="CR35" si="239">IFERROR(CL35/BX35,0)</f>
        <v>0</v>
      </c>
      <c r="CS35" s="223">
        <f t="shared" ref="CS35" si="240">IFERROR(CM35/BY35,0)</f>
        <v>0</v>
      </c>
      <c r="CT35" s="177">
        <f t="shared" ref="CT35" si="241">IFERROR(CO35/CS35-1,)</f>
        <v>0</v>
      </c>
      <c r="CU35" s="44"/>
      <c r="CV35" s="44"/>
      <c r="CW35" s="102">
        <f>IFERROR(VLOOKUP($B35 &amp; $C35&amp;CompareVer,tblForecast,CW$2,FALSE),0)</f>
        <v>344790</v>
      </c>
      <c r="CX35" s="48">
        <f>IFERROR(VLOOKUP($B35-IF(CompareVer="LY",1,0) &amp; $C35 &amp;CX$4,tblForecast,CX$2,FALSE),0)</f>
        <v>442124</v>
      </c>
      <c r="CY35" s="47">
        <f t="shared" ref="CY35" si="242">IFERROR(CW35/CX35-1,)</f>
        <v>-0.22015090789009417</v>
      </c>
      <c r="CZ35" s="278">
        <f>IFERROR(VLOOKUP(Brand&amp;Channel&amp;Country&amp;$C35,tblDiscount,6,FALSE),0)</f>
        <v>0.6</v>
      </c>
      <c r="DA35" s="279">
        <f>(1-CZ35)*DB35</f>
        <v>10.008000000000001</v>
      </c>
      <c r="DB35" s="279">
        <f>IFERROR(VLOOKUP(Brand&amp;Country &amp; Channel &amp;FC,tblFCSettings,8,FALSE),0)</f>
        <v>25.02</v>
      </c>
      <c r="DC35" s="280">
        <f>IFERROR(VLOOKUP(Brand&amp;Country &amp; Channel &amp;FC,tblFCSettings,9,FALSE),0)</f>
        <v>4.16</v>
      </c>
    </row>
    <row r="36" spans="1:107" ht="15" customHeight="1" x14ac:dyDescent="0.25">
      <c r="A36" s="44" t="s">
        <v>335</v>
      </c>
      <c r="B36" s="44">
        <v>2018</v>
      </c>
      <c r="C36" s="88">
        <v>21</v>
      </c>
      <c r="D36" s="97">
        <f t="shared" ref="D36:D37" si="243">G36*H36</f>
        <v>15307375.325799992</v>
      </c>
      <c r="E36" s="202">
        <f t="shared" ref="E36:E37" si="244">IFERROR(D36*F36,0)</f>
        <v>12318440.575799994</v>
      </c>
      <c r="F36" s="182">
        <f t="shared" ref="F36:F37" si="245">IF(H36&lt;&gt;0,1-I36/H36,0)</f>
        <v>0.80473891268856113</v>
      </c>
      <c r="G36" s="176">
        <f t="shared" si="175"/>
        <v>397441</v>
      </c>
      <c r="H36" s="203">
        <f t="shared" si="175"/>
        <v>38.514836984105798</v>
      </c>
      <c r="I36" s="203">
        <f t="shared" si="175"/>
        <v>7.5204489471393199</v>
      </c>
      <c r="J36" s="176">
        <f>IFERROR(VLOOKUP($B36 &amp; $C36&amp;J$4&amp;$A36,tblForecast,J$2,FALSE),0)+IFERROR(VLOOKUP($B36 &amp; $C36 &amp; J$4 &amp; $A36,tblForecast,J$2+1,FALSE),0)</f>
        <v>8583557</v>
      </c>
      <c r="K36" s="300">
        <f>IFERROR(VLOOKUP($B36 &amp; $C36&amp;K$4&amp;$A36,tblForecast,K$2+2,FALSE),0)</f>
        <v>706008</v>
      </c>
      <c r="L36" s="90">
        <f t="shared" ref="L36:L37" si="246">Q36*AM36</f>
        <v>368782.4199999994</v>
      </c>
      <c r="M36" s="90">
        <f t="shared" ref="M36:M37" si="247">R36*AN36</f>
        <v>368756.25</v>
      </c>
      <c r="N36" s="90">
        <f t="shared" ref="N36:N37" si="248">S36*AO36</f>
        <v>0</v>
      </c>
      <c r="O36" s="90">
        <f t="shared" ref="O36:O37" si="249">T36*AP36</f>
        <v>251610.0692</v>
      </c>
      <c r="P36" s="91">
        <f t="shared" ref="P36:P37" si="250">IFERROR(L36/O36-1,)</f>
        <v>0.46569022922076053</v>
      </c>
      <c r="Q36" s="238">
        <f>IFERROR(VLOOKUP($B36 &amp; $C36&amp;CompareVer,tblForecast,Q$2,FALSE),0)</f>
        <v>26625</v>
      </c>
      <c r="R36" s="240">
        <f t="shared" si="177"/>
        <v>26625</v>
      </c>
      <c r="S36" s="240">
        <f t="shared" si="177"/>
        <v>0</v>
      </c>
      <c r="T36" s="240">
        <f>IFERROR(VLOOKUP($B36-IF(CompareVer="LY",1,0) &amp; $C36 &amp;T$4,tblForecast,T$2,FALSE),0)</f>
        <v>25732</v>
      </c>
      <c r="U36" s="91">
        <f t="shared" ref="U36:U37" si="251">IFERROR(Q36/T36-1,)</f>
        <v>3.4703870666873859E-2</v>
      </c>
      <c r="V36" s="245">
        <f t="shared" ref="V36:V37" si="252">IFERROR(IF(Q35&lt;&gt;0,Q36/Q35,0),0)</f>
        <v>0.98651302382452111</v>
      </c>
      <c r="W36" s="331">
        <f t="shared" ref="W36:W37" si="253">IFERROR(IF(R35&lt;&gt;0,R36/R35,0),0)</f>
        <v>0.98651302382452111</v>
      </c>
      <c r="X36" s="246">
        <f t="shared" ref="X36:X37" si="254">IFERROR(IF(T35&lt;&gt;0,T36/T35,0),0)</f>
        <v>0.75644530675838551</v>
      </c>
      <c r="Y36" s="97">
        <f t="shared" ref="Y36:Y37" si="255">IFERROR(L36*AD36,0)</f>
        <v>258363.72099999941</v>
      </c>
      <c r="Z36" s="90">
        <f t="shared" ref="Z36:Z37" si="256">IFERROR(M36*AE36,0)</f>
        <v>258528.75</v>
      </c>
      <c r="AA36" s="90">
        <f t="shared" ref="AA36:AA37" si="257">IFERROR(N36*AF36,0)</f>
        <v>0</v>
      </c>
      <c r="AB36" s="90">
        <f t="shared" ref="AB36:AB37" si="258">IFERROR(O36*AG36,0)</f>
        <v>153318.97560000001</v>
      </c>
      <c r="AC36" s="91">
        <f t="shared" ref="AC36:AC37" si="259">IFERROR(Y36/AB36-1,)</f>
        <v>0.68513858111115233</v>
      </c>
      <c r="AD36" s="75">
        <f t="shared" ref="AD36:AD37" si="260">IF(AM36&lt;&gt;0,1-AR36/AM36,0)</f>
        <v>0.70058578443083008</v>
      </c>
      <c r="AE36" s="93">
        <f t="shared" ref="AE36:AE37" si="261">IF(AN36&lt;&gt;0,1-AS36/AN36,0)</f>
        <v>0.7010830324909747</v>
      </c>
      <c r="AF36" s="93">
        <f t="shared" ref="AF36:AF37" si="262">IF(AO36&lt;&gt;0,1-AT36/AO36,0)</f>
        <v>0</v>
      </c>
      <c r="AG36" s="93">
        <f t="shared" ref="AG36:AG37" si="263">IF(AP36&lt;&gt;0,1-AU36/AP36,0)</f>
        <v>0.60935151000705656</v>
      </c>
      <c r="AH36" s="104">
        <f>IFERROR(VLOOKUP($B36 &amp; $C36&amp;CompareVer,tblForecast,AH$2,FALSE),0)</f>
        <v>24.681786617840299</v>
      </c>
      <c r="AI36" s="94">
        <f t="shared" si="180"/>
        <v>24.68</v>
      </c>
      <c r="AJ36" s="94">
        <f t="shared" si="180"/>
        <v>0</v>
      </c>
      <c r="AK36" s="94">
        <f>IFERROR(VLOOKUP($B36-IF(CompareVer="LY",1,0) &amp; $C36 &amp;AK$4,tblForecast,AK$2,FALSE),0)</f>
        <v>23.244299999999999</v>
      </c>
      <c r="AL36" s="91">
        <f t="shared" ref="AL36:AL37" si="264">IFERROR(AH36/AK36-1,)</f>
        <v>6.1842542810078172E-2</v>
      </c>
      <c r="AM36" s="104">
        <f>IFERROR(VLOOKUP($B36 &amp; $C36&amp;CompareVer,tblForecast,AM$2,FALSE),0)</f>
        <v>13.8509829107981</v>
      </c>
      <c r="AN36" s="94">
        <f t="shared" si="181"/>
        <v>13.85</v>
      </c>
      <c r="AO36" s="94">
        <f t="shared" si="181"/>
        <v>0</v>
      </c>
      <c r="AP36" s="94">
        <f>IFERROR(VLOOKUP($B36-IF(CompareVer="LY",1,0) &amp; $C36 &amp;AP$4,tblForecast,AP$2,FALSE),0)</f>
        <v>9.7781000000000002</v>
      </c>
      <c r="AQ36" s="91">
        <f t="shared" ref="AQ36:AQ37" si="265">IFERROR(AM36/AP36-1,)</f>
        <v>0.41653111655619179</v>
      </c>
      <c r="AR36" s="104">
        <f>IFERROR(VLOOKUP($B36 &amp; $C36&amp;CompareVer,tblForecast,AR$2,FALSE),0)</f>
        <v>4.1471811830985903</v>
      </c>
      <c r="AS36" s="94">
        <f t="shared" si="182"/>
        <v>4.1399999999999997</v>
      </c>
      <c r="AT36" s="94">
        <f t="shared" si="182"/>
        <v>0</v>
      </c>
      <c r="AU36" s="94">
        <f>IFERROR(VLOOKUP($B36-IF(CompareVer="LY",1,0) &amp; $C36 &amp;AU$4,tblForecast,AU$2,FALSE),0)</f>
        <v>3.8197999999999999</v>
      </c>
      <c r="AV36" s="91">
        <f t="shared" ref="AV36:AV37" si="266">IFERROR(AR36/AU36-1,)</f>
        <v>8.5706367636680048E-2</v>
      </c>
      <c r="AW36" s="181">
        <f t="shared" ref="AW36:AW37" si="267">IFERROR((AM36/AH36-1)*-1,0)</f>
        <v>0.43881765427846142</v>
      </c>
      <c r="AX36" s="182">
        <f t="shared" ref="AX36:AX37" si="268">IFERROR((AN36/AI36-1)*-1,0)</f>
        <v>0.43881685575364671</v>
      </c>
      <c r="AY36" s="182">
        <f t="shared" ref="AY36:AY37" si="269">IFERROR((AO36/AJ36-1)*-1,0)</f>
        <v>0</v>
      </c>
      <c r="AZ36" s="182">
        <f t="shared" ref="AZ36:AZ37" si="270">IFERROR((AP36/AK36-1)*-1,0)</f>
        <v>0.57933342798019294</v>
      </c>
      <c r="BA36" s="227">
        <f t="shared" ref="BA36:BA37" si="271">CW36+BF36</f>
        <v>553684</v>
      </c>
      <c r="BB36" s="228">
        <f>IF(IFERROR(VLOOKUP($B36 &amp; $C36&amp;BB$4,tblForecast,BB$2,FALSE),0)=0,BA36,IFERROR(VLOOKUP($B36 &amp; $C36&amp;BB$4,tblForecast,BB$2,FALSE),0))</f>
        <v>553684</v>
      </c>
      <c r="BC36" s="228">
        <f t="shared" si="184"/>
        <v>0</v>
      </c>
      <c r="BD36" s="228">
        <f t="shared" ref="BD36:BD37" si="272">CX36+BG36</f>
        <v>446266</v>
      </c>
      <c r="BE36" s="177">
        <f t="shared" ref="BE36:BE37" si="273">IFERROR(BA36/BD36-1,)</f>
        <v>0.24070397475944838</v>
      </c>
      <c r="BF36" s="228">
        <f>IFERROR(VLOOKUP($B36 &amp; $C36&amp;CompareVer,tblForecast,BF$2,FALSE),0)</f>
        <v>197550</v>
      </c>
      <c r="BG36" s="228">
        <f>IFERROR(VLOOKUP($B36-IF(CompareVer="LY",1,0) &amp; $C36 &amp;BG$4,tblForecast,BG$2,FALSE),0)</f>
        <v>27404</v>
      </c>
      <c r="BH36" s="179">
        <f t="shared" ref="BH36:BH37" si="274">IF(Q36&lt;&gt;0,BA36/Q36,0)</f>
        <v>20.795643192488264</v>
      </c>
      <c r="BI36" s="187">
        <f t="shared" ref="BI36:BI37" si="275">IF(T36&lt;&gt;0,BD36/T36,0)</f>
        <v>17.34284159801026</v>
      </c>
      <c r="BJ36" s="184">
        <f t="shared" ref="BJ36:BJ37" si="276">IF(BA36&lt;&gt;0,Q36/BA36,0)</f>
        <v>4.8086995470340482E-2</v>
      </c>
      <c r="BK36" s="96">
        <f t="shared" ref="BK36:BK37" si="277">IF(BD36&lt;&gt;0,T36/BD36,0)</f>
        <v>5.7660677712395747E-2</v>
      </c>
      <c r="BL36" s="227">
        <f>IFERROR(VLOOKUP($B36 &amp; $C36&amp;CompareVer,tblForecast,BL$2,FALSE),0)</f>
        <v>-182</v>
      </c>
      <c r="BM36" s="228">
        <f>IFERROR(VLOOKUP($B36-IF(CompareVer="LY",1,0) &amp; $C36 &amp;BM$4,tblForecast,BM$2,FALSE),0)</f>
        <v>-13</v>
      </c>
      <c r="BN36" s="227">
        <f>IFERROR(VLOOKUP($B36 &amp; $C36&amp;CompareVer,tblForecast,BN$2,FALSE),0)</f>
        <v>1170</v>
      </c>
      <c r="BO36" s="228">
        <f>IFERROR(VLOOKUP($B36-IF(CompareVer="LY",1,0) &amp; $C36 &amp;BO$4,tblForecast,BO$2,FALSE),0)</f>
        <v>2511</v>
      </c>
      <c r="BP36" s="227">
        <f>IFERROR(VLOOKUP($B36 &amp; $C36&amp;CompareVer,tblForecast,BP$2,FALSE),0)</f>
        <v>497</v>
      </c>
      <c r="BQ36" s="228">
        <f>IFERROR(VLOOKUP($B36-IF(CompareVer="LY",1,0) &amp; $C36 &amp;BQ$4,tblForecast,BQ$2,FALSE),0)</f>
        <v>4816</v>
      </c>
      <c r="BR36" s="227">
        <f t="shared" ref="BR36:BR37" si="278">BN36-BP36</f>
        <v>673</v>
      </c>
      <c r="BS36" s="228">
        <f t="shared" ref="BS36:BS37" si="279">BO36-BQ36</f>
        <v>-2305</v>
      </c>
      <c r="BT36" s="227">
        <f t="shared" si="187"/>
        <v>0</v>
      </c>
      <c r="BU36" s="228">
        <f t="shared" si="187"/>
        <v>0</v>
      </c>
      <c r="BV36" s="228">
        <f>IFERROR(VLOOKUP($B36 &amp; $C36&amp;CompareVer,tblForecast,BV$2,FALSE),0)</f>
        <v>0</v>
      </c>
      <c r="BW36" s="228">
        <f t="shared" si="188"/>
        <v>0</v>
      </c>
      <c r="BX36" s="228">
        <f t="shared" si="188"/>
        <v>0</v>
      </c>
      <c r="BY36" s="176">
        <f>IFERROR(VLOOKUP($B36-IF(CompareVer="LY",1,0) &amp; $C36 &amp;BY$4,tblForecast,BY$2,FALSE),0)</f>
        <v>0</v>
      </c>
      <c r="BZ36" s="177">
        <f t="shared" ref="BZ36:BZ37" si="280">IFERROR(BV36/BY36-1,)</f>
        <v>0</v>
      </c>
      <c r="CA36" s="90">
        <f t="shared" si="189"/>
        <v>0</v>
      </c>
      <c r="CB36" s="90">
        <f t="shared" si="189"/>
        <v>0</v>
      </c>
      <c r="CC36" s="90">
        <f>IFERROR(VLOOKUP($B36 &amp; $C36&amp;CompareVer,tblForecast,CC$2,FALSE),0)</f>
        <v>0</v>
      </c>
      <c r="CD36" s="90">
        <f t="shared" si="190"/>
        <v>0</v>
      </c>
      <c r="CE36" s="90">
        <f t="shared" si="190"/>
        <v>0</v>
      </c>
      <c r="CF36" s="90">
        <f>IFERROR(VLOOKUP($B36-IF(CompareVer="LY",1,0) &amp; $C36 &amp;CF$4,tblForecast,CF$2,FALSE),0)</f>
        <v>0</v>
      </c>
      <c r="CG36" s="177">
        <f t="shared" ref="CG36:CG37" si="281">IFERROR(CC36/CF36-1,)</f>
        <v>0</v>
      </c>
      <c r="CH36" s="90">
        <f t="shared" si="191"/>
        <v>0</v>
      </c>
      <c r="CI36" s="90">
        <f t="shared" si="191"/>
        <v>0</v>
      </c>
      <c r="CJ36" s="90">
        <f>IFERROR(VLOOKUP($B36 &amp; $C36&amp;CompareVer,tblForecast,CJ$2,FALSE),0)</f>
        <v>0</v>
      </c>
      <c r="CK36" s="90">
        <f t="shared" si="192"/>
        <v>0</v>
      </c>
      <c r="CL36" s="90">
        <f t="shared" si="192"/>
        <v>0</v>
      </c>
      <c r="CM36" s="90">
        <f>IFERROR(VLOOKUP($B36-IF(CompareVer="LY",1,0) &amp; $C36 &amp;CM$4,tblForecast,CM$2,FALSE),0)</f>
        <v>0</v>
      </c>
      <c r="CN36" s="177">
        <f t="shared" ref="CN36:CN37" si="282">IFERROR(CJ36/CM36-1,)</f>
        <v>0</v>
      </c>
      <c r="CO36" s="178">
        <f t="shared" ref="CO36:CO37" si="283">IFERROR(CE36/BX36,0)</f>
        <v>0</v>
      </c>
      <c r="CP36" s="223">
        <f t="shared" ref="CP36:CP37" si="284">IFERROR(CF36/BY36,0)</f>
        <v>0</v>
      </c>
      <c r="CQ36" s="177">
        <f t="shared" ref="CQ36:CQ37" si="285">IFERROR(CL36/CP36-1,)</f>
        <v>0</v>
      </c>
      <c r="CR36" s="178">
        <f t="shared" ref="CR36:CR37" si="286">IFERROR(CL36/BX36,0)</f>
        <v>0</v>
      </c>
      <c r="CS36" s="223">
        <f t="shared" ref="CS36:CS37" si="287">IFERROR(CM36/BY36,0)</f>
        <v>0</v>
      </c>
      <c r="CT36" s="177">
        <f t="shared" ref="CT36:CT37" si="288">IFERROR(CO36/CS36-1,)</f>
        <v>0</v>
      </c>
      <c r="CU36" s="44"/>
      <c r="CV36" s="44"/>
      <c r="CW36" s="102">
        <f>IFERROR(VLOOKUP($B36 &amp; $C36&amp;CompareVer,tblForecast,CW$2,FALSE),0)</f>
        <v>356134</v>
      </c>
      <c r="CX36" s="48">
        <f>IFERROR(VLOOKUP($B36-IF(CompareVer="LY",1,0) &amp; $C36 &amp;CX$4,tblForecast,CX$2,FALSE),0)</f>
        <v>418862</v>
      </c>
      <c r="CY36" s="47">
        <f t="shared" ref="CY36:CY37" si="289">IFERROR(CW36/CX36-1,)</f>
        <v>-0.14975815423695638</v>
      </c>
      <c r="CZ36" s="278">
        <f>IFERROR(VLOOKUP(Brand&amp;Channel&amp;Country&amp;$C36,tblDiscount,6,FALSE),0)</f>
        <v>0.6</v>
      </c>
      <c r="DA36" s="279">
        <f t="shared" ref="DA36:DA37" si="290">(1-CZ36)*DB36</f>
        <v>10.008000000000001</v>
      </c>
      <c r="DB36" s="279">
        <f>IFERROR(VLOOKUP(Brand&amp;Country &amp; Channel &amp;FC,tblFCSettings,8,FALSE),0)</f>
        <v>25.02</v>
      </c>
      <c r="DC36" s="280">
        <f>IFERROR(VLOOKUP(Brand&amp;Country &amp; Channel &amp;FC,tblFCSettings,9,FALSE),0)</f>
        <v>4.16</v>
      </c>
    </row>
    <row r="37" spans="1:107" ht="15" customHeight="1" thickBot="1" x14ac:dyDescent="0.3">
      <c r="A37" s="44" t="s">
        <v>335</v>
      </c>
      <c r="B37" s="44">
        <v>2018</v>
      </c>
      <c r="C37" s="88">
        <v>22</v>
      </c>
      <c r="D37" s="97">
        <f t="shared" si="243"/>
        <v>17288260.214899994</v>
      </c>
      <c r="E37" s="202">
        <f t="shared" si="244"/>
        <v>14342990.604899997</v>
      </c>
      <c r="F37" s="182">
        <f t="shared" si="245"/>
        <v>0.82963759375500379</v>
      </c>
      <c r="G37" s="176">
        <f t="shared" si="175"/>
        <v>467190</v>
      </c>
      <c r="H37" s="203">
        <f t="shared" si="175"/>
        <v>37.004773678588997</v>
      </c>
      <c r="I37" s="203">
        <f t="shared" si="175"/>
        <v>6.3042222864359196</v>
      </c>
      <c r="J37" s="176">
        <f>IFERROR(VLOOKUP($B37 &amp; $C37&amp;J$4&amp;$A37,tblForecast,J$2,FALSE),0)+IFERROR(VLOOKUP($B37 &amp; $C37 &amp; J$4 &amp; $A37,tblForecast,J$2+1,FALSE),0)</f>
        <v>8338606</v>
      </c>
      <c r="K37" s="300">
        <f>IFERROR(VLOOKUP($B37 &amp; $C37&amp;K$4&amp;$A37,tblForecast,K$2+2,FALSE),0)</f>
        <v>286910</v>
      </c>
      <c r="L37" s="90">
        <f t="shared" si="246"/>
        <v>356627.96999999823</v>
      </c>
      <c r="M37" s="90">
        <f t="shared" si="247"/>
        <v>356521.07999999996</v>
      </c>
      <c r="N37" s="90">
        <f t="shared" si="248"/>
        <v>0</v>
      </c>
      <c r="O37" s="90">
        <f t="shared" si="249"/>
        <v>227604.36320000002</v>
      </c>
      <c r="P37" s="91">
        <f t="shared" si="250"/>
        <v>0.56687668455029949</v>
      </c>
      <c r="Q37" s="238">
        <f>IFERROR(VLOOKUP($B37 &amp; $C37&amp;CompareVer,tblForecast,Q$2,FALSE),0)</f>
        <v>29636</v>
      </c>
      <c r="R37" s="240">
        <f t="shared" si="177"/>
        <v>29636</v>
      </c>
      <c r="S37" s="240">
        <f t="shared" si="177"/>
        <v>0</v>
      </c>
      <c r="T37" s="240">
        <f>IFERROR(VLOOKUP($B37-IF(CompareVer="LY",1,0) &amp; $C37 &amp;T$4,tblForecast,T$2,FALSE),0)</f>
        <v>27292</v>
      </c>
      <c r="U37" s="91">
        <f t="shared" si="251"/>
        <v>8.5885973911768998E-2</v>
      </c>
      <c r="V37" s="245">
        <f t="shared" si="252"/>
        <v>1.1130892018779344</v>
      </c>
      <c r="W37" s="331">
        <f t="shared" si="253"/>
        <v>1.1130892018779344</v>
      </c>
      <c r="X37" s="246">
        <f t="shared" si="254"/>
        <v>1.060624902844707</v>
      </c>
      <c r="Y37" s="97">
        <f t="shared" si="255"/>
        <v>231619.04719999823</v>
      </c>
      <c r="Z37" s="90">
        <f t="shared" si="256"/>
        <v>231753.51999999996</v>
      </c>
      <c r="AA37" s="90">
        <f t="shared" si="257"/>
        <v>0</v>
      </c>
      <c r="AB37" s="90">
        <f t="shared" si="258"/>
        <v>125142.00760000003</v>
      </c>
      <c r="AC37" s="91">
        <f t="shared" si="259"/>
        <v>0.85084969980934022</v>
      </c>
      <c r="AD37" s="75">
        <f t="shared" si="260"/>
        <v>0.64946966218044921</v>
      </c>
      <c r="AE37" s="93">
        <f t="shared" si="261"/>
        <v>0.65004156275976721</v>
      </c>
      <c r="AF37" s="93">
        <f t="shared" si="262"/>
        <v>0</v>
      </c>
      <c r="AG37" s="93">
        <f t="shared" si="263"/>
        <v>0.549822533454842</v>
      </c>
      <c r="AH37" s="104">
        <f>IFERROR(VLOOKUP($B37 &amp; $C37&amp;CompareVer,tblForecast,AH$2,FALSE),0)</f>
        <v>24.9731895060062</v>
      </c>
      <c r="AI37" s="94">
        <f t="shared" si="180"/>
        <v>24.97</v>
      </c>
      <c r="AJ37" s="94">
        <f t="shared" si="180"/>
        <v>0</v>
      </c>
      <c r="AK37" s="94">
        <f>IFERROR(VLOOKUP($B37-IF(CompareVer="LY",1,0) &amp; $C37 &amp;AK$4,tblForecast,AK$2,FALSE),0)</f>
        <v>22.851299999999998</v>
      </c>
      <c r="AL37" s="91">
        <f t="shared" si="264"/>
        <v>9.2856402305610652E-2</v>
      </c>
      <c r="AM37" s="104">
        <f>IFERROR(VLOOKUP($B37 &amp; $C37&amp;CompareVer,tblForecast,AM$2,FALSE),0)</f>
        <v>12.0336067620461</v>
      </c>
      <c r="AN37" s="94">
        <f t="shared" si="181"/>
        <v>12.03</v>
      </c>
      <c r="AO37" s="94">
        <f t="shared" si="181"/>
        <v>0</v>
      </c>
      <c r="AP37" s="94">
        <f>IFERROR(VLOOKUP($B37-IF(CompareVer="LY",1,0) &amp; $C37 &amp;AP$4,tblForecast,AP$2,FALSE),0)</f>
        <v>8.3396000000000008</v>
      </c>
      <c r="AQ37" s="91">
        <f t="shared" si="265"/>
        <v>0.44294771476402928</v>
      </c>
      <c r="AR37" s="104">
        <f>IFERROR(VLOOKUP($B37 &amp; $C37&amp;CompareVer,tblForecast,AR$2,FALSE),0)</f>
        <v>4.2181442434876502</v>
      </c>
      <c r="AS37" s="94">
        <f t="shared" si="182"/>
        <v>4.21</v>
      </c>
      <c r="AT37" s="94">
        <f t="shared" si="182"/>
        <v>0</v>
      </c>
      <c r="AU37" s="94">
        <f>IFERROR(VLOOKUP($B37-IF(CompareVer="LY",1,0) &amp; $C37 &amp;AU$4,tblForecast,AU$2,FALSE),0)</f>
        <v>3.7543000000000002</v>
      </c>
      <c r="AV37" s="91">
        <f t="shared" si="266"/>
        <v>0.12355012745056326</v>
      </c>
      <c r="AW37" s="181">
        <f t="shared" si="267"/>
        <v>0.51813897223052163</v>
      </c>
      <c r="AX37" s="182">
        <f t="shared" si="268"/>
        <v>0.51822186623948741</v>
      </c>
      <c r="AY37" s="182">
        <f t="shared" si="269"/>
        <v>0</v>
      </c>
      <c r="AZ37" s="182">
        <f t="shared" si="270"/>
        <v>0.63504920945416665</v>
      </c>
      <c r="BA37" s="227">
        <f t="shared" si="271"/>
        <v>511526</v>
      </c>
      <c r="BB37" s="228">
        <f>IF(IFERROR(VLOOKUP($B37 &amp; $C37&amp;BB$4,tblForecast,BB$2,FALSE),0)=0,BA37,IFERROR(VLOOKUP($B37 &amp; $C37&amp;BB$4,tblForecast,BB$2,FALSE),0))</f>
        <v>511526</v>
      </c>
      <c r="BC37" s="228">
        <f t="shared" si="184"/>
        <v>0</v>
      </c>
      <c r="BD37" s="228">
        <f t="shared" si="272"/>
        <v>417906</v>
      </c>
      <c r="BE37" s="177">
        <f t="shared" si="273"/>
        <v>0.22402166994491579</v>
      </c>
      <c r="BF37" s="228">
        <f>IFERROR(VLOOKUP($B37 &amp; $C37&amp;CompareVer,tblForecast,BF$2,FALSE),0)</f>
        <v>159635</v>
      </c>
      <c r="BG37" s="228">
        <f>IFERROR(VLOOKUP($B37-IF(CompareVer="LY",1,0) &amp; $C37 &amp;BG$4,tblForecast,BG$2,FALSE),0)</f>
        <v>24572</v>
      </c>
      <c r="BH37" s="179">
        <f t="shared" si="274"/>
        <v>17.260291537319475</v>
      </c>
      <c r="BI37" s="187">
        <f t="shared" si="275"/>
        <v>15.312399237871904</v>
      </c>
      <c r="BJ37" s="184">
        <f t="shared" si="276"/>
        <v>5.7936448978155558E-2</v>
      </c>
      <c r="BK37" s="96">
        <f t="shared" si="277"/>
        <v>6.5306552191162603E-2</v>
      </c>
      <c r="BL37" s="227">
        <f>IFERROR(VLOOKUP($B37 &amp; $C37&amp;CompareVer,tblForecast,BL$2,FALSE),0)</f>
        <v>-271</v>
      </c>
      <c r="BM37" s="228">
        <f>IFERROR(VLOOKUP($B37-IF(CompareVer="LY",1,0) &amp; $C37 &amp;BM$4,tblForecast,BM$2,FALSE),0)</f>
        <v>-128</v>
      </c>
      <c r="BN37" s="227">
        <f>IFERROR(VLOOKUP($B37 &amp; $C37&amp;CompareVer,tblForecast,BN$2,FALSE),0)</f>
        <v>1364</v>
      </c>
      <c r="BO37" s="228">
        <f>IFERROR(VLOOKUP($B37-IF(CompareVer="LY",1,0) &amp; $C37 &amp;BO$4,tblForecast,BO$2,FALSE),0)</f>
        <v>1870</v>
      </c>
      <c r="BP37" s="227">
        <f>IFERROR(VLOOKUP($B37 &amp; $C37&amp;CompareVer,tblForecast,BP$2,FALSE),0)</f>
        <v>5601</v>
      </c>
      <c r="BQ37" s="228">
        <f>IFERROR(VLOOKUP($B37-IF(CompareVer="LY",1,0) &amp; $C37 &amp;BQ$4,tblForecast,BQ$2,FALSE),0)</f>
        <v>2828</v>
      </c>
      <c r="BR37" s="227">
        <f t="shared" si="278"/>
        <v>-4237</v>
      </c>
      <c r="BS37" s="228">
        <f t="shared" si="279"/>
        <v>-958</v>
      </c>
      <c r="BT37" s="227">
        <f t="shared" si="187"/>
        <v>0</v>
      </c>
      <c r="BU37" s="228">
        <f t="shared" si="187"/>
        <v>0</v>
      </c>
      <c r="BV37" s="228">
        <f>IFERROR(VLOOKUP($B37 &amp; $C37&amp;CompareVer,tblForecast,BV$2,FALSE),0)</f>
        <v>0</v>
      </c>
      <c r="BW37" s="228">
        <f t="shared" si="188"/>
        <v>0</v>
      </c>
      <c r="BX37" s="228">
        <f t="shared" si="188"/>
        <v>0</v>
      </c>
      <c r="BY37" s="176">
        <f>IFERROR(VLOOKUP($B37-IF(CompareVer="LY",1,0) &amp; $C37 &amp;BY$4,tblForecast,BY$2,FALSE),0)</f>
        <v>0</v>
      </c>
      <c r="BZ37" s="177">
        <f t="shared" si="280"/>
        <v>0</v>
      </c>
      <c r="CA37" s="90">
        <f t="shared" si="189"/>
        <v>0</v>
      </c>
      <c r="CB37" s="90">
        <f t="shared" si="189"/>
        <v>0</v>
      </c>
      <c r="CC37" s="90">
        <f>IFERROR(VLOOKUP($B37 &amp; $C37&amp;CompareVer,tblForecast,CC$2,FALSE),0)</f>
        <v>0</v>
      </c>
      <c r="CD37" s="90">
        <f t="shared" si="190"/>
        <v>0</v>
      </c>
      <c r="CE37" s="90">
        <f t="shared" si="190"/>
        <v>0</v>
      </c>
      <c r="CF37" s="90">
        <f>IFERROR(VLOOKUP($B37-IF(CompareVer="LY",1,0) &amp; $C37 &amp;CF$4,tblForecast,CF$2,FALSE),0)</f>
        <v>0</v>
      </c>
      <c r="CG37" s="177">
        <f t="shared" si="281"/>
        <v>0</v>
      </c>
      <c r="CH37" s="90">
        <f t="shared" si="191"/>
        <v>0</v>
      </c>
      <c r="CI37" s="90">
        <f t="shared" si="191"/>
        <v>0</v>
      </c>
      <c r="CJ37" s="90">
        <f>IFERROR(VLOOKUP($B37 &amp; $C37&amp;CompareVer,tblForecast,CJ$2,FALSE),0)</f>
        <v>0</v>
      </c>
      <c r="CK37" s="90">
        <f t="shared" si="192"/>
        <v>0</v>
      </c>
      <c r="CL37" s="90">
        <f t="shared" si="192"/>
        <v>0</v>
      </c>
      <c r="CM37" s="90">
        <f>IFERROR(VLOOKUP($B37-IF(CompareVer="LY",1,0) &amp; $C37 &amp;CM$4,tblForecast,CM$2,FALSE),0)</f>
        <v>0</v>
      </c>
      <c r="CN37" s="177">
        <f t="shared" si="282"/>
        <v>0</v>
      </c>
      <c r="CO37" s="178">
        <f t="shared" si="283"/>
        <v>0</v>
      </c>
      <c r="CP37" s="223">
        <f t="shared" si="284"/>
        <v>0</v>
      </c>
      <c r="CQ37" s="177">
        <f t="shared" si="285"/>
        <v>0</v>
      </c>
      <c r="CR37" s="178">
        <f t="shared" si="286"/>
        <v>0</v>
      </c>
      <c r="CS37" s="223">
        <f t="shared" si="287"/>
        <v>0</v>
      </c>
      <c r="CT37" s="177">
        <f t="shared" si="288"/>
        <v>0</v>
      </c>
      <c r="CU37" s="44"/>
      <c r="CV37" s="44"/>
      <c r="CW37" s="102">
        <f>IFERROR(VLOOKUP($B37 &amp; $C37&amp;CompareVer,tblForecast,CW$2,FALSE),0)</f>
        <v>351891</v>
      </c>
      <c r="CX37" s="48">
        <f>IFERROR(VLOOKUP($B37-IF(CompareVer="LY",1,0) &amp; $C37 &amp;CX$4,tblForecast,CX$2,FALSE),0)</f>
        <v>393334</v>
      </c>
      <c r="CY37" s="47">
        <f t="shared" si="289"/>
        <v>-0.1053633807400326</v>
      </c>
      <c r="CZ37" s="278">
        <f>IFERROR(VLOOKUP(Brand&amp;Channel&amp;Country&amp;$C37,tblDiscount,6,FALSE),0)</f>
        <v>0.6</v>
      </c>
      <c r="DA37" s="279">
        <f t="shared" si="290"/>
        <v>10.008000000000001</v>
      </c>
      <c r="DB37" s="279">
        <f>IFERROR(VLOOKUP(Brand&amp;Country &amp; Channel &amp;FC,tblFCSettings,8,FALSE),0)</f>
        <v>25.02</v>
      </c>
      <c r="DC37" s="280">
        <f>IFERROR(VLOOKUP(Brand&amp;Country &amp; Channel &amp;FC,tblFCSettings,9,FALSE),0)</f>
        <v>4.16</v>
      </c>
    </row>
    <row r="38" spans="1:107" ht="16.5" thickBot="1" x14ac:dyDescent="0.3">
      <c r="C38" s="253" t="s">
        <v>29</v>
      </c>
      <c r="D38" s="254">
        <f>SUM(D33:D37)</f>
        <v>73903118.791599959</v>
      </c>
      <c r="E38" s="255">
        <f>SUM(E33:E37)</f>
        <v>58688689.743199952</v>
      </c>
      <c r="F38" s="256">
        <f t="shared" si="45"/>
        <v>0.79413008142047037</v>
      </c>
      <c r="G38" s="257">
        <f>SUM(G33:G37)</f>
        <v>1971938</v>
      </c>
      <c r="H38" s="258">
        <f>IFERROR(D38/G38,0)</f>
        <v>37.477404863438892</v>
      </c>
      <c r="I38" s="258">
        <f>IFERROR(SUMPRODUCT(I33:I37,G33:G37)/G38,0)</f>
        <v>7.7154702878082322</v>
      </c>
      <c r="J38" s="257">
        <f>SUM(J33:J37)</f>
        <v>39741709</v>
      </c>
      <c r="K38" s="301">
        <f>SUM(K33:K37)</f>
        <v>3717335</v>
      </c>
      <c r="L38" s="259">
        <f>SUM(L33:L37)</f>
        <v>2096358.4147999939</v>
      </c>
      <c r="M38" s="259">
        <f t="shared" ref="M38:O38" si="291">SUM(M33:M37)</f>
        <v>1913401.5099999998</v>
      </c>
      <c r="N38" s="259">
        <f t="shared" si="291"/>
        <v>0</v>
      </c>
      <c r="O38" s="259">
        <f t="shared" si="291"/>
        <v>1698004.0425</v>
      </c>
      <c r="P38" s="260">
        <f t="shared" si="39"/>
        <v>0.23460154530226562</v>
      </c>
      <c r="Q38" s="261">
        <f>SUM(Q33:Q37)</f>
        <v>151794</v>
      </c>
      <c r="R38" s="262">
        <f t="shared" ref="R38:S38" si="292">SUM(R33:R37)</f>
        <v>153485</v>
      </c>
      <c r="S38" s="262">
        <f t="shared" si="292"/>
        <v>0</v>
      </c>
      <c r="T38" s="262">
        <f>SUM(T33:T37)</f>
        <v>166597</v>
      </c>
      <c r="U38" s="260">
        <f t="shared" si="7"/>
        <v>-8.8855141449125763E-2</v>
      </c>
      <c r="V38" s="263">
        <f>V37</f>
        <v>1.1130892018779344</v>
      </c>
      <c r="W38" s="332">
        <f>W37</f>
        <v>1.1130892018779344</v>
      </c>
      <c r="X38" s="264">
        <f>X37</f>
        <v>1.060624902844707</v>
      </c>
      <c r="Y38" s="254">
        <f>SUM(Y33:Y37)</f>
        <v>1469308.2871999939</v>
      </c>
      <c r="Z38" s="259">
        <f t="shared" ref="Z38:AB38" si="293">SUM(Z33:Z37)</f>
        <v>1274494.3899999999</v>
      </c>
      <c r="AA38" s="259">
        <f t="shared" si="293"/>
        <v>0</v>
      </c>
      <c r="AB38" s="259">
        <f t="shared" si="293"/>
        <v>1053268.7613000001</v>
      </c>
      <c r="AC38" s="260">
        <f t="shared" si="9"/>
        <v>0.39499844786671123</v>
      </c>
      <c r="AD38" s="265">
        <f>IFERROR(Y38/L38,0)</f>
        <v>0.70088601110711091</v>
      </c>
      <c r="AE38" s="266">
        <f>IFERROR(Z38/M38,0)</f>
        <v>0.66608831619454512</v>
      </c>
      <c r="AF38" s="266">
        <f>IFERROR(AA38/N38,0)</f>
        <v>0</v>
      </c>
      <c r="AG38" s="266">
        <f>IFERROR(AB38/O38,0)</f>
        <v>0.62029814708170827</v>
      </c>
      <c r="AH38" s="267">
        <f>IFERROR(SUMPRODUCT(AH33:AH37,Q33:Q37)/Q38,0)</f>
        <v>24.662791874514102</v>
      </c>
      <c r="AI38" s="268">
        <f>IFERROR(SUMPRODUCT(AI33:AI37,R33:R37)/R38,0)</f>
        <v>24.893338306674917</v>
      </c>
      <c r="AJ38" s="268">
        <f>IFERROR(SUMPRODUCT(AJ33:AJ37,S33:S37)/S38,0)</f>
        <v>0</v>
      </c>
      <c r="AK38" s="268">
        <f>IFERROR(SUMPRODUCT(AK33:AK37,T33:T37)/T38,0)</f>
        <v>23.515236932237674</v>
      </c>
      <c r="AL38" s="260">
        <f t="shared" si="145"/>
        <v>4.8800483940828032E-2</v>
      </c>
      <c r="AM38" s="267">
        <f>IF(Q38&lt;&gt;0,L38/Q38,0)</f>
        <v>13.810548604029105</v>
      </c>
      <c r="AN38" s="268">
        <f>IF(R38&lt;&gt;0,M38/R38,0)</f>
        <v>12.466374629442615</v>
      </c>
      <c r="AO38" s="268">
        <f>IF(S38&lt;&gt;0,N38/S38,0)</f>
        <v>0</v>
      </c>
      <c r="AP38" s="268">
        <f>IF(T38&lt;&gt;0,O38/T38,0)</f>
        <v>10.19228462997533</v>
      </c>
      <c r="AQ38" s="260">
        <f t="shared" si="14"/>
        <v>0.35500028751282353</v>
      </c>
      <c r="AR38" s="267">
        <f>IFERROR((L38*(1-AD38))/Q38,0)</f>
        <v>4.1309282817502666</v>
      </c>
      <c r="AS38" s="268">
        <f>IFERROR((M38*(1-AE38))/R38,0)</f>
        <v>4.1626681434667878</v>
      </c>
      <c r="AT38" s="268">
        <f>IFERROR((N38*(1-AF38))/S38,0)</f>
        <v>0</v>
      </c>
      <c r="AU38" s="268">
        <f>IFERROR((O38*(1-AG38))/T38,0)</f>
        <v>3.8700293594722579</v>
      </c>
      <c r="AV38" s="260">
        <f t="shared" si="16"/>
        <v>6.7415230749977129E-2</v>
      </c>
      <c r="AW38" s="269">
        <f t="shared" si="132"/>
        <v>0.44002493009315091</v>
      </c>
      <c r="AX38" s="270">
        <f t="shared" si="132"/>
        <v>0.49920840363544683</v>
      </c>
      <c r="AY38" s="270">
        <f t="shared" si="132"/>
        <v>0</v>
      </c>
      <c r="AZ38" s="270">
        <f t="shared" si="132"/>
        <v>0.56656678989262277</v>
      </c>
      <c r="BA38" s="261">
        <f>BA37</f>
        <v>511526</v>
      </c>
      <c r="BB38" s="262">
        <f t="shared" ref="BB38:BD38" si="294">BB37</f>
        <v>511526</v>
      </c>
      <c r="BC38" s="262">
        <f t="shared" si="294"/>
        <v>0</v>
      </c>
      <c r="BD38" s="262">
        <f t="shared" si="294"/>
        <v>417906</v>
      </c>
      <c r="BE38" s="260">
        <f t="shared" si="19"/>
        <v>0.22402166994491579</v>
      </c>
      <c r="BF38" s="262">
        <f>BF37</f>
        <v>159635</v>
      </c>
      <c r="BG38" s="262">
        <f>BG37</f>
        <v>24572</v>
      </c>
      <c r="BH38" s="271">
        <f>IF(Q38&lt;&gt;0,(BA38*COUNTIF(BH33:BH37,"&lt;&gt;0")/Q38),0)</f>
        <v>16.849348459095879</v>
      </c>
      <c r="BI38" s="272">
        <f>IF(T38&lt;&gt;0,(BD38*COUNTIF(BI33:BI37,"&lt;&gt;0")/T38),0)</f>
        <v>12.542422732702269</v>
      </c>
      <c r="BJ38" s="273">
        <f t="shared" ref="BJ38" si="295">IF(BA38&lt;&gt;0,(Q38/COUNTIF(BJ33:BJ37,"&lt;&gt;0"))/BA38,0)</f>
        <v>5.9349475881968851E-2</v>
      </c>
      <c r="BK38" s="274">
        <f t="shared" ref="BK38" si="296">IF(BD38&lt;&gt;0,(T38/COUNTIF(BK33:BK37,"&lt;&gt;0"))/BD38,0)</f>
        <v>7.9729412834465177E-2</v>
      </c>
      <c r="BL38" s="261">
        <f t="shared" ref="BL38" si="297">SUM(BL33:BL37)</f>
        <v>-920</v>
      </c>
      <c r="BM38" s="262">
        <f>SUM(BM33:BM37)</f>
        <v>-179</v>
      </c>
      <c r="BN38" s="261">
        <f t="shared" ref="BN38:BQ38" si="298">SUM(BN33:BN37)</f>
        <v>107877</v>
      </c>
      <c r="BO38" s="262">
        <f t="shared" si="298"/>
        <v>31221</v>
      </c>
      <c r="BP38" s="261">
        <f t="shared" si="298"/>
        <v>149709</v>
      </c>
      <c r="BQ38" s="262">
        <f t="shared" si="298"/>
        <v>61566</v>
      </c>
      <c r="BR38" s="261">
        <f t="shared" si="43"/>
        <v>-41832</v>
      </c>
      <c r="BS38" s="262">
        <f t="shared" si="22"/>
        <v>-30345</v>
      </c>
      <c r="BT38" s="261">
        <f t="shared" ref="BT38:BY38" si="299">SUM(BT33:BT37)</f>
        <v>0</v>
      </c>
      <c r="BU38" s="262">
        <f t="shared" si="299"/>
        <v>0</v>
      </c>
      <c r="BV38" s="262">
        <f t="shared" si="299"/>
        <v>0</v>
      </c>
      <c r="BW38" s="262">
        <f t="shared" si="299"/>
        <v>0</v>
      </c>
      <c r="BX38" s="262">
        <f t="shared" si="299"/>
        <v>0</v>
      </c>
      <c r="BY38" s="275">
        <f t="shared" si="299"/>
        <v>0</v>
      </c>
      <c r="BZ38" s="260">
        <f t="shared" si="25"/>
        <v>0</v>
      </c>
      <c r="CA38" s="338">
        <f t="shared" ref="CA38:CF38" si="300">SUM(CA33:CA37)</f>
        <v>0</v>
      </c>
      <c r="CB38" s="259">
        <f t="shared" si="300"/>
        <v>0</v>
      </c>
      <c r="CC38" s="259">
        <f t="shared" si="300"/>
        <v>0</v>
      </c>
      <c r="CD38" s="259">
        <f t="shared" si="300"/>
        <v>0</v>
      </c>
      <c r="CE38" s="259">
        <f t="shared" si="300"/>
        <v>0</v>
      </c>
      <c r="CF38" s="259">
        <f t="shared" si="300"/>
        <v>0</v>
      </c>
      <c r="CG38" s="260">
        <f t="shared" si="28"/>
        <v>0</v>
      </c>
      <c r="CH38" s="338">
        <f t="shared" ref="CH38:CM38" si="301">SUM(CH33:CH37)</f>
        <v>0</v>
      </c>
      <c r="CI38" s="259">
        <f t="shared" si="301"/>
        <v>0</v>
      </c>
      <c r="CJ38" s="259">
        <f t="shared" si="301"/>
        <v>0</v>
      </c>
      <c r="CK38" s="259">
        <f t="shared" si="301"/>
        <v>0</v>
      </c>
      <c r="CL38" s="259">
        <f t="shared" si="301"/>
        <v>0</v>
      </c>
      <c r="CM38" s="259">
        <f t="shared" si="301"/>
        <v>0</v>
      </c>
      <c r="CN38" s="260">
        <f t="shared" si="31"/>
        <v>0</v>
      </c>
      <c r="CO38" s="276">
        <f t="shared" si="46"/>
        <v>0</v>
      </c>
      <c r="CP38" s="277">
        <f t="shared" si="46"/>
        <v>0</v>
      </c>
      <c r="CQ38" s="260">
        <f t="shared" si="33"/>
        <v>0</v>
      </c>
      <c r="CR38" s="276">
        <f t="shared" si="44"/>
        <v>0</v>
      </c>
      <c r="CS38" s="277">
        <f t="shared" si="34"/>
        <v>0</v>
      </c>
      <c r="CT38" s="260">
        <f t="shared" si="47"/>
        <v>0</v>
      </c>
      <c r="CU38" s="44"/>
      <c r="CW38" s="100">
        <f>CW37</f>
        <v>351891</v>
      </c>
      <c r="CX38" s="101">
        <f>CX37</f>
        <v>393334</v>
      </c>
      <c r="CY38" s="99">
        <f t="shared" si="36"/>
        <v>-0.1053633807400326</v>
      </c>
      <c r="CZ38" s="278"/>
      <c r="DA38" s="279"/>
      <c r="DB38" s="279"/>
      <c r="DC38" s="280"/>
    </row>
    <row r="39" spans="1:107" x14ac:dyDescent="0.25">
      <c r="B39" s="44">
        <v>2018</v>
      </c>
      <c r="C39" s="88">
        <v>23</v>
      </c>
      <c r="D39" s="51">
        <f>G39*H39</f>
        <v>8450439.2452560011</v>
      </c>
      <c r="E39" s="202">
        <f>IFERROR(D39*F39,0)</f>
        <v>5566263.2546920013</v>
      </c>
      <c r="F39" s="182">
        <f t="shared" si="45"/>
        <v>0.65869513916887223</v>
      </c>
      <c r="G39" s="176">
        <f t="shared" ref="G39:I42" si="302">IFERROR(VLOOKUP($B39 &amp; $C39&amp;G$4&amp;$A39,tblForecast,G$2,FALSE),0)</f>
        <v>363764</v>
      </c>
      <c r="H39" s="203">
        <f t="shared" si="302"/>
        <v>23.230554000000001</v>
      </c>
      <c r="I39" s="203">
        <f t="shared" si="302"/>
        <v>7.9287010000000002</v>
      </c>
      <c r="J39" s="176">
        <f>IFERROR(VLOOKUP($B39 &amp; $C39&amp;J$4&amp;$A39,tblForecast,J$2,FALSE),0)+IFERROR(VLOOKUP($B39 &amp; $C39 &amp; J$4 &amp; $A39,tblForecast,J$2+1,FALSE),0)</f>
        <v>1388779</v>
      </c>
      <c r="K39" s="300">
        <f>IFERROR(VLOOKUP($B39 &amp; $C39&amp;K$4&amp;$A39,tblForecast,K$2,FALSE),0)+IFERROR(VLOOKUP($B39 &amp; $C39&amp;K$4&amp;$A39,tblForecast,K$2+1,FALSE),0)</f>
        <v>332853</v>
      </c>
      <c r="L39" s="90">
        <f t="shared" ref="L39:O42" si="303">Q39*AM39</f>
        <v>284496</v>
      </c>
      <c r="M39" s="90">
        <f t="shared" si="303"/>
        <v>284496</v>
      </c>
      <c r="N39" s="46">
        <f t="shared" si="303"/>
        <v>0</v>
      </c>
      <c r="O39" s="46">
        <f t="shared" si="303"/>
        <v>235192.17660000001</v>
      </c>
      <c r="P39" s="47">
        <f t="shared" si="39"/>
        <v>0.20963207243008264</v>
      </c>
      <c r="Q39" s="242">
        <f>ROUND(IF(BA37-(Q37*IF(W39=0,X39,W39))&lt;0,BA37,Q37*IF(W39=0,X39,W39)),0)</f>
        <v>23708</v>
      </c>
      <c r="R39" s="240">
        <f t="shared" ref="R39:S42" si="304">IFERROR(VLOOKUP($B39 &amp; $C39&amp;R$4,tblForecast,R$2,FALSE),0)</f>
        <v>23708</v>
      </c>
      <c r="S39" s="240">
        <f t="shared" si="304"/>
        <v>0</v>
      </c>
      <c r="T39" s="240">
        <f>IFERROR(VLOOKUP($B39-IF(CompareVer="LY",1,0) &amp; $C39 &amp;T$4,tblForecast,T$2,FALSE),0)</f>
        <v>28887</v>
      </c>
      <c r="U39" s="91">
        <f t="shared" si="7"/>
        <v>-0.17928479939072939</v>
      </c>
      <c r="V39" s="249">
        <f>IFERROR(IF(Q37&gt;0,Q39/Q37,0),0)</f>
        <v>0.79997300580375219</v>
      </c>
      <c r="W39" s="334">
        <f>IFERROR(IF(R37&gt;0,R39/R37,0),0)</f>
        <v>0.79997300580375219</v>
      </c>
      <c r="X39" s="250">
        <f>IFERROR(IF(T37&gt;0,T39/T37,0),0)</f>
        <v>1.0584420342957643</v>
      </c>
      <c r="Y39" s="51">
        <f t="shared" ref="Y39:AB42" si="305">IFERROR(L39*AD39,0)</f>
        <v>185870.72</v>
      </c>
      <c r="Z39" s="46">
        <f t="shared" si="305"/>
        <v>185870.72</v>
      </c>
      <c r="AA39" s="46">
        <f t="shared" si="305"/>
        <v>0</v>
      </c>
      <c r="AB39" s="46">
        <f t="shared" si="305"/>
        <v>129849.95370000001</v>
      </c>
      <c r="AC39" s="91">
        <f t="shared" si="9"/>
        <v>0.43142692549146422</v>
      </c>
      <c r="AD39" s="75">
        <f>IF(AM39&lt;&gt;0,1-AR39/AM39,0)</f>
        <v>0.65333333333333332</v>
      </c>
      <c r="AE39" s="93">
        <f t="shared" ref="AE39:AG42" si="306">IF(AN39&lt;&gt;0,1-AS39/AN39,0)</f>
        <v>0.65333333333333332</v>
      </c>
      <c r="AF39" s="93">
        <f t="shared" si="306"/>
        <v>0</v>
      </c>
      <c r="AG39" s="76">
        <f t="shared" si="306"/>
        <v>0.5521015008966077</v>
      </c>
      <c r="AH39" s="73">
        <f>IF(IFERROR(VLOOKUP($B39 &amp; $C39&amp;AH$4,tblForecast,AH$2,FALSE),0)=0,DB39,IFERROR(VLOOKUP($B39 &amp; $C39&amp;AH$4,tblForecast,AH$2,FALSE),0))</f>
        <v>25.02</v>
      </c>
      <c r="AI39" s="94">
        <f t="shared" si="180"/>
        <v>25.02</v>
      </c>
      <c r="AJ39" s="94">
        <f t="shared" si="180"/>
        <v>0</v>
      </c>
      <c r="AK39" s="49">
        <f>IFERROR(VLOOKUP($B39-IF(CompareVer="LY",1,0) &amp; $C39 &amp;AK$4,tblForecast,AK$2,FALSE),0)</f>
        <v>22.1861</v>
      </c>
      <c r="AL39" s="47">
        <f t="shared" si="145"/>
        <v>0.12773313020314525</v>
      </c>
      <c r="AM39" s="73">
        <f>IF(IFERROR(VLOOKUP($B39 &amp; $C39&amp;AM$4,tblForecast,AM$2,FALSE),0)=0,DA39,IFERROR(VLOOKUP($B39 &amp; $C39&amp;AM$4,tblForecast,AM$2,FALSE),0))</f>
        <v>12</v>
      </c>
      <c r="AN39" s="94">
        <f t="shared" si="181"/>
        <v>12</v>
      </c>
      <c r="AO39" s="94">
        <f t="shared" si="181"/>
        <v>0</v>
      </c>
      <c r="AP39" s="49">
        <f>IFERROR(VLOOKUP($B39-IF(CompareVer="LY",1,0) &amp; $C39 &amp;AP$4,tblForecast,AP$2,FALSE),0)</f>
        <v>8.1417999999999999</v>
      </c>
      <c r="AQ39" s="47">
        <f t="shared" si="14"/>
        <v>0.47387555577390761</v>
      </c>
      <c r="AR39" s="73">
        <f>IF(IFERROR(VLOOKUP($B39 &amp; $C39&amp;AR$4,tblForecast,AR$2,FALSE),0)=0,DC39,IFERROR(VLOOKUP($B39 &amp; $C39&amp;AR$4,tblForecast,AR$2,FALSE),0))</f>
        <v>4.16</v>
      </c>
      <c r="AS39" s="94">
        <f t="shared" ref="AS39:AT42" si="307">IFERROR(VLOOKUP($B39 &amp; $C39&amp;AS$4,tblForecast,AS$2,FALSE),0)</f>
        <v>4.16</v>
      </c>
      <c r="AT39" s="94">
        <f t="shared" si="307"/>
        <v>0</v>
      </c>
      <c r="AU39" s="49">
        <f>IFERROR(VLOOKUP($B39-IF(CompareVer="LY",1,0) &amp; $C39 &amp;AU$4,tblForecast,AU$2,FALSE),0)</f>
        <v>3.6467000000000001</v>
      </c>
      <c r="AV39" s="47">
        <f t="shared" si="16"/>
        <v>0.14075739709874679</v>
      </c>
      <c r="AW39" s="191">
        <f t="shared" si="132"/>
        <v>0.52038369304556353</v>
      </c>
      <c r="AX39" s="192">
        <f t="shared" si="132"/>
        <v>0.52038369304556353</v>
      </c>
      <c r="AY39" s="192">
        <f t="shared" si="132"/>
        <v>0</v>
      </c>
      <c r="AZ39" s="192">
        <f t="shared" si="132"/>
        <v>0.6330224780380509</v>
      </c>
      <c r="BA39" s="235">
        <f>IF(BA38+BV39+BL39+BR39-Q39&lt;0,0,BA38+BV39+BL39+BR39-Q39)</f>
        <v>362818</v>
      </c>
      <c r="BB39" s="231">
        <f>IF(IFERROR(VLOOKUP($B39 &amp; $C39&amp;BB$4,tblForecast,BB$2,FALSE),0)=0,BA39,IFERROR(VLOOKUP($B39 &amp; $C39&amp;BB$4,tblForecast,BB$2,FALSE),0))</f>
        <v>362818</v>
      </c>
      <c r="BC39" s="231">
        <f>IFERROR(VLOOKUP($B39-IF(CompareVer="LY",1,0) &amp; $C39 &amp;BC$4,tblForecast,BC$2,FALSE),0)</f>
        <v>0</v>
      </c>
      <c r="BD39" s="231">
        <f t="shared" si="150"/>
        <v>383042</v>
      </c>
      <c r="BE39" s="194">
        <f t="shared" si="19"/>
        <v>-5.2798387644174771E-2</v>
      </c>
      <c r="BF39" s="231">
        <f>IFERROR(VLOOKUP($B39 &amp; $C39&amp;IF($A39="a",BG$4,BF$4),tblForecast,BF$2,FALSE),0)</f>
        <v>0</v>
      </c>
      <c r="BG39" s="228">
        <f>IFERROR(VLOOKUP($B39-IF(CompareVer="LY",1,0) &amp; $C39 &amp;BG$4,tblForecast,BG$2,FALSE),0)</f>
        <v>21604</v>
      </c>
      <c r="BH39" s="179">
        <f>IF(Q39&lt;&gt;0,BA39/Q39,0)</f>
        <v>15.303610595579551</v>
      </c>
      <c r="BI39" s="183">
        <f>IF(T39&lt;&gt;0,BD39/T39,0)</f>
        <v>13.26001315470627</v>
      </c>
      <c r="BJ39" s="195">
        <f t="shared" ref="BJ39:BJ42" si="308">IF(BA39&lt;&gt;0,Q39/BA39,0)</f>
        <v>6.5344056799828007E-2</v>
      </c>
      <c r="BK39" s="50">
        <f t="shared" ref="BK39:BK42" si="309">IF(BD39&lt;&gt;0,T39/BD39,0)</f>
        <v>7.5414706481273588E-2</v>
      </c>
      <c r="BL39" s="234">
        <f>IFERROR(VLOOKUP($B39 &amp; $C39&amp;IF($A39="a",BM$4,BL$4),tblForecast,BL$2,FALSE),0)</f>
        <v>0</v>
      </c>
      <c r="BM39" s="228">
        <f>IFERROR(VLOOKUP($B39-IF(CompareVer="LY",1,0) &amp; $C39 &amp;BM$4,tblForecast,BM$2,FALSE),0)</f>
        <v>-4967</v>
      </c>
      <c r="BN39" s="234">
        <f>IFERROR(VLOOKUP($B39 &amp; $C39&amp;IF($A39="a",BO$4,BN$4),tblForecast,BN$2,FALSE),0)</f>
        <v>0</v>
      </c>
      <c r="BO39" s="228">
        <f>IFERROR(VLOOKUP($B39-IF(CompareVer="LY",1,0) &amp; $C39 &amp;BO$4,tblForecast,BO$2,FALSE),0)</f>
        <v>0</v>
      </c>
      <c r="BP39" s="234">
        <f>IFERROR(VLOOKUP($B39 &amp; $C39&amp;IF($A39="a",BQ$4,BP$4),tblForecast,BP$2,FALSE),0)</f>
        <v>125000</v>
      </c>
      <c r="BQ39" s="228">
        <f>IFERROR(VLOOKUP($B39-IF(CompareVer="LY",1,0) &amp; $C39 &amp;BQ$4,tblForecast,BQ$2,FALSE),0)</f>
        <v>1005</v>
      </c>
      <c r="BR39" s="227">
        <f t="shared" si="43"/>
        <v>-125000</v>
      </c>
      <c r="BS39" s="231">
        <f t="shared" si="22"/>
        <v>-1005</v>
      </c>
      <c r="BT39" s="234">
        <f t="shared" ref="BT39:BU42" si="310">IFERROR(VLOOKUP($B39 &amp; $C39&amp;BT$4,tblForecast,BT$2,FALSE),0)</f>
        <v>0</v>
      </c>
      <c r="BU39" s="231">
        <f t="shared" si="310"/>
        <v>0</v>
      </c>
      <c r="BV39" s="231">
        <f>IF($A39="a",IFERROR(VLOOKUP($B39 &amp; $C39&amp;BV$4,tblForecast,BV$2,FALSE),0),BT39+BU39)</f>
        <v>0</v>
      </c>
      <c r="BW39" s="231">
        <f t="shared" ref="BW39:BX42" si="311">IFERROR(VLOOKUP($B39 &amp; $C39&amp;BW$4,tblForecast,BW$2,FALSE),0)</f>
        <v>0</v>
      </c>
      <c r="BX39" s="231">
        <f t="shared" si="311"/>
        <v>0</v>
      </c>
      <c r="BY39" s="193">
        <f>IFERROR(VLOOKUP($B39-IF(CompareVer="LY",1,0) &amp; $C39 &amp;BY$4,tblForecast,BY$2,FALSE),0)</f>
        <v>0</v>
      </c>
      <c r="BZ39" s="194">
        <f t="shared" si="25"/>
        <v>0</v>
      </c>
      <c r="CA39" s="337">
        <f t="shared" ref="CA39:CB42" si="312">IFERROR(VLOOKUP($B39 &amp; $C39&amp;CA$4,tblForecast,CA$2,FALSE),0)</f>
        <v>0</v>
      </c>
      <c r="CB39" s="46">
        <f t="shared" si="312"/>
        <v>0</v>
      </c>
      <c r="CC39" s="46">
        <f>IF($A39="a",IFERROR(VLOOKUP($B39 &amp; $C39&amp;CC$4,tblForecast,CC$2,FALSE),0),CA39+CB39)</f>
        <v>0</v>
      </c>
      <c r="CD39" s="46">
        <f t="shared" ref="CD39:CE42" si="313">IFERROR(VLOOKUP($B39 &amp; $C39&amp;CD$4,tblForecast,CD$2,FALSE),0)</f>
        <v>0</v>
      </c>
      <c r="CE39" s="46">
        <f t="shared" si="313"/>
        <v>0</v>
      </c>
      <c r="CF39" s="46">
        <f>IFERROR(VLOOKUP($B39-IF(CompareVer="LY",1,0) &amp; $C39 &amp;CF$4,tblForecast,CF$2,FALSE),0)</f>
        <v>0</v>
      </c>
      <c r="CG39" s="194">
        <f t="shared" si="28"/>
        <v>0</v>
      </c>
      <c r="CH39" s="337">
        <f t="shared" ref="CH39:CI42" si="314">IFERROR(VLOOKUP($B39 &amp; $C39&amp;CH$4,tblForecast,CH$2,FALSE),0)</f>
        <v>0</v>
      </c>
      <c r="CI39" s="46">
        <f t="shared" si="314"/>
        <v>0</v>
      </c>
      <c r="CJ39" s="46">
        <f>IF($A39="a",IFERROR(VLOOKUP($B39 &amp; $C39&amp;CJ$4,tblForecast,CJ$2,FALSE),0),CH39+CI39)</f>
        <v>0</v>
      </c>
      <c r="CK39" s="46">
        <f t="shared" ref="CK39:CL42" si="315">IFERROR(VLOOKUP($B39 &amp; $C39&amp;CK$4,tblForecast,CK$2,FALSE),0)</f>
        <v>0</v>
      </c>
      <c r="CL39" s="46">
        <f t="shared" si="315"/>
        <v>0</v>
      </c>
      <c r="CM39" s="46">
        <f>IFERROR(VLOOKUP($B39-IF(CompareVer="LY",1,0) &amp; $C39 &amp;CM$4,tblForecast,CM$2,FALSE),0)</f>
        <v>0</v>
      </c>
      <c r="CN39" s="194">
        <f t="shared" si="31"/>
        <v>0</v>
      </c>
      <c r="CO39" s="178">
        <f t="shared" si="46"/>
        <v>0</v>
      </c>
      <c r="CP39" s="223">
        <f t="shared" si="46"/>
        <v>0</v>
      </c>
      <c r="CQ39" s="194">
        <f t="shared" si="33"/>
        <v>0</v>
      </c>
      <c r="CR39" s="178">
        <f t="shared" si="44"/>
        <v>0</v>
      </c>
      <c r="CS39" s="223">
        <f t="shared" si="34"/>
        <v>0</v>
      </c>
      <c r="CT39" s="194">
        <f t="shared" si="47"/>
        <v>0</v>
      </c>
      <c r="CU39" s="44"/>
      <c r="CW39" s="102">
        <f>IF(CW38+BV39+BL39-Q39&lt;0,0,CW38+BV39+BL39-Q39)</f>
        <v>328183</v>
      </c>
      <c r="CX39" s="48">
        <f>IFERROR(VLOOKUP($B39-IF(CompareVer="LY",1,0) &amp; $C39 &amp;CX$4,tblForecast,CX$2,FALSE),0)</f>
        <v>361438</v>
      </c>
      <c r="CY39" s="47">
        <f t="shared" si="36"/>
        <v>-9.2007481227762478E-2</v>
      </c>
      <c r="CZ39" s="278">
        <f>IFERROR(VLOOKUP(Brand&amp;Channel&amp;Country&amp;$C39,tblDiscount,6,FALSE),0)</f>
        <v>0.65</v>
      </c>
      <c r="DA39" s="279">
        <f>(1-CZ39)*DB39</f>
        <v>8.7569999999999997</v>
      </c>
      <c r="DB39" s="279">
        <f>IFERROR(VLOOKUP(Brand&amp;Country &amp; Channel &amp;FC,tblFCSettings,8,FALSE),0)</f>
        <v>25.02</v>
      </c>
      <c r="DC39" s="280">
        <f>IFERROR(VLOOKUP(Brand&amp;Country &amp; Channel &amp;FC,tblFCSettings,9,FALSE),0)</f>
        <v>4.16</v>
      </c>
    </row>
    <row r="40" spans="1:107" x14ac:dyDescent="0.25">
      <c r="B40" s="44">
        <v>2018</v>
      </c>
      <c r="C40" s="88">
        <v>24</v>
      </c>
      <c r="D40" s="51">
        <f t="shared" ref="D40:D42" si="316">G40*H40</f>
        <v>9764434.486668</v>
      </c>
      <c r="E40" s="202">
        <f t="shared" ref="E40:E42" si="317">IFERROR(D40*F40,0)</f>
        <v>6345392.5103639998</v>
      </c>
      <c r="F40" s="182">
        <f t="shared" si="45"/>
        <v>0.64984741502723642</v>
      </c>
      <c r="G40" s="176">
        <f t="shared" si="302"/>
        <v>421986</v>
      </c>
      <c r="H40" s="203">
        <f t="shared" si="302"/>
        <v>23.139237999999999</v>
      </c>
      <c r="I40" s="203">
        <f t="shared" si="302"/>
        <v>8.1022639999999999</v>
      </c>
      <c r="J40" s="176">
        <f>IFERROR(VLOOKUP($B40 &amp; $C40&amp;J$4&amp;$A40,tblForecast,J$2,FALSE),0)+IFERROR(VLOOKUP($B40 &amp; $C40 &amp; J$4 &amp; $A40,tblForecast,J$2+1,FALSE),0)</f>
        <v>1584336</v>
      </c>
      <c r="K40" s="300">
        <f>IFERROR(VLOOKUP($B40 &amp; $C40&amp;K$4&amp;$A40,tblForecast,K$2,FALSE),0)+IFERROR(VLOOKUP($B40 &amp; $C40&amp;K$4&amp;$A40,tblForecast,K$2+1,FALSE),0)</f>
        <v>1352754</v>
      </c>
      <c r="L40" s="90">
        <f t="shared" si="303"/>
        <v>181359</v>
      </c>
      <c r="M40" s="90">
        <f t="shared" si="303"/>
        <v>181359</v>
      </c>
      <c r="N40" s="46">
        <f t="shared" si="303"/>
        <v>0</v>
      </c>
      <c r="O40" s="46">
        <f t="shared" si="303"/>
        <v>191869.66019999998</v>
      </c>
      <c r="P40" s="47">
        <f t="shared" si="39"/>
        <v>-5.4780209591469231E-2</v>
      </c>
      <c r="Q40" s="242">
        <f t="shared" ref="Q40:Q42" si="318">ROUND(IF(BA39-(Q39*IF(W40=0,X40,W40))&lt;0,BA39,Q39*IF(W40=0,X40,W40)),0)</f>
        <v>20151</v>
      </c>
      <c r="R40" s="240">
        <f t="shared" si="304"/>
        <v>20151</v>
      </c>
      <c r="S40" s="240">
        <f t="shared" si="304"/>
        <v>0</v>
      </c>
      <c r="T40" s="240">
        <f>IFERROR(VLOOKUP($B40-IF(CompareVer="LY",1,0) &amp; $C40 &amp;T$4,tblForecast,T$2,FALSE),0)</f>
        <v>17799</v>
      </c>
      <c r="U40" s="91">
        <f t="shared" si="7"/>
        <v>0.13214225518287548</v>
      </c>
      <c r="V40" s="249">
        <f t="shared" ref="V40:V42" si="319">IFERROR(IF(Q39&lt;&gt;0,Q40/Q39,0),0)</f>
        <v>0.84996625611607901</v>
      </c>
      <c r="W40" s="334">
        <f t="shared" ref="W40:W42" si="320">IFERROR(IF(R39&lt;&gt;0,R40/R39,0),0)</f>
        <v>0.84996625611607901</v>
      </c>
      <c r="X40" s="250">
        <f t="shared" ref="X40:X42" si="321">IFERROR(IF(T39&lt;&gt;0,T40/T39,0),0)</f>
        <v>0.61615951812233882</v>
      </c>
      <c r="Y40" s="51">
        <f t="shared" si="305"/>
        <v>97530.839999999982</v>
      </c>
      <c r="Z40" s="46">
        <f t="shared" si="305"/>
        <v>97530.839999999982</v>
      </c>
      <c r="AA40" s="46">
        <f t="shared" si="305"/>
        <v>0</v>
      </c>
      <c r="AB40" s="46">
        <f t="shared" si="305"/>
        <v>126735.99959999998</v>
      </c>
      <c r="AC40" s="91">
        <f t="shared" si="9"/>
        <v>-0.23044091412208345</v>
      </c>
      <c r="AD40" s="75">
        <f>IF(AM40&lt;&gt;0,1-AR40/AM40,0)</f>
        <v>0.53777777777777769</v>
      </c>
      <c r="AE40" s="93">
        <f t="shared" si="306"/>
        <v>0.53777777777777769</v>
      </c>
      <c r="AF40" s="93">
        <f t="shared" si="306"/>
        <v>0</v>
      </c>
      <c r="AG40" s="76">
        <f t="shared" si="306"/>
        <v>0.66053173528265829</v>
      </c>
      <c r="AH40" s="73">
        <f>IF(IFERROR(VLOOKUP($B40 &amp; $C40&amp;AH$4,tblForecast,AH$2,FALSE),0)=0,DB40,IFERROR(VLOOKUP($B40 &amp; $C40&amp;AH$4,tblForecast,AH$2,FALSE),0))</f>
        <v>25.02</v>
      </c>
      <c r="AI40" s="94">
        <f t="shared" si="180"/>
        <v>25.02</v>
      </c>
      <c r="AJ40" s="94">
        <f t="shared" si="180"/>
        <v>0</v>
      </c>
      <c r="AK40" s="49">
        <f>IFERROR(VLOOKUP($B40-IF(CompareVer="LY",1,0) &amp; $C40 &amp;AK$4,tblForecast,AK$2,FALSE),0)</f>
        <v>22.349599999999999</v>
      </c>
      <c r="AL40" s="47">
        <f t="shared" si="145"/>
        <v>0.11948312274045181</v>
      </c>
      <c r="AM40" s="73">
        <f>IF(IFERROR(VLOOKUP($B40 &amp; $C40&amp;AM$4,tblForecast,AM$2,FALSE),0)=0,DA40,IFERROR(VLOOKUP($B40 &amp; $C40&amp;AM$4,tblForecast,AM$2,FALSE),0))</f>
        <v>9</v>
      </c>
      <c r="AN40" s="94">
        <f t="shared" si="181"/>
        <v>9</v>
      </c>
      <c r="AO40" s="94">
        <f t="shared" si="181"/>
        <v>0</v>
      </c>
      <c r="AP40" s="49">
        <f>IFERROR(VLOOKUP($B40-IF(CompareVer="LY",1,0) &amp; $C40 &amp;AP$4,tblForecast,AP$2,FALSE),0)</f>
        <v>10.7798</v>
      </c>
      <c r="AQ40" s="47">
        <f t="shared" si="14"/>
        <v>-0.16510510399079759</v>
      </c>
      <c r="AR40" s="73">
        <f>IF(IFERROR(VLOOKUP($B40 &amp; $C40&amp;AR$4,tblForecast,AR$2,FALSE),0)=0,DC40,IFERROR(VLOOKUP($B40 &amp; $C40&amp;AR$4,tblForecast,AR$2,FALSE),0))</f>
        <v>4.16</v>
      </c>
      <c r="AS40" s="94">
        <f t="shared" si="307"/>
        <v>4.16</v>
      </c>
      <c r="AT40" s="94">
        <f t="shared" si="307"/>
        <v>0</v>
      </c>
      <c r="AU40" s="49">
        <f>IFERROR(VLOOKUP($B40-IF(CompareVer="LY",1,0) &amp; $C40 &amp;AU$4,tblForecast,AU$2,FALSE),0)</f>
        <v>3.6594000000000002</v>
      </c>
      <c r="AV40" s="47">
        <f t="shared" si="16"/>
        <v>0.13679838224845597</v>
      </c>
      <c r="AW40" s="191">
        <f t="shared" si="132"/>
        <v>0.64028776978417268</v>
      </c>
      <c r="AX40" s="192">
        <f t="shared" si="132"/>
        <v>0.64028776978417268</v>
      </c>
      <c r="AY40" s="192">
        <f t="shared" si="132"/>
        <v>0</v>
      </c>
      <c r="AZ40" s="192">
        <f t="shared" si="132"/>
        <v>0.51767369438379207</v>
      </c>
      <c r="BA40" s="235">
        <f>IF(BA39+BV40+BL40+BR40-Q40&lt;0,0,BA39+BV40+BL40+BR40-Q40)</f>
        <v>371394</v>
      </c>
      <c r="BB40" s="231">
        <f>IF(IFERROR(VLOOKUP($B40 &amp; $C40&amp;BB$4,tblForecast,BB$2,FALSE),0)=0,BA40,IFERROR(VLOOKUP($B40 &amp; $C40&amp;BB$4,tblForecast,BB$2,FALSE),0))</f>
        <v>371394</v>
      </c>
      <c r="BC40" s="231">
        <f>IFERROR(VLOOKUP($B40-IF(CompareVer="LY",1,0) &amp; $C40 &amp;BC$4,tblForecast,BC$2,FALSE),0)</f>
        <v>0</v>
      </c>
      <c r="BD40" s="231">
        <f t="shared" si="150"/>
        <v>365173</v>
      </c>
      <c r="BE40" s="194">
        <f t="shared" si="19"/>
        <v>1.70357611323948E-2</v>
      </c>
      <c r="BF40" s="231">
        <f>IFERROR(VLOOKUP($B40 &amp; $C40&amp;IF($A40="a",BG$4,BF$4),tblForecast,BF$2,FALSE),0)</f>
        <v>0</v>
      </c>
      <c r="BG40" s="228">
        <f>IFERROR(VLOOKUP($B40-IF(CompareVer="LY",1,0) &amp; $C40 &amp;BG$4,tblForecast,BG$2,FALSE),0)</f>
        <v>21568</v>
      </c>
      <c r="BH40" s="179">
        <f>IF(Q40&lt;&gt;0,BA40/Q40,0)</f>
        <v>18.430549352389459</v>
      </c>
      <c r="BI40" s="183">
        <f>IF(T40&lt;&gt;0,BD40/T40,0)</f>
        <v>20.516489690432046</v>
      </c>
      <c r="BJ40" s="195">
        <f t="shared" si="308"/>
        <v>5.4257742451412787E-2</v>
      </c>
      <c r="BK40" s="50">
        <f t="shared" si="309"/>
        <v>4.8741281529576394E-2</v>
      </c>
      <c r="BL40" s="234">
        <f>IFERROR(VLOOKUP($B40 &amp; $C40&amp;IF($A40="a",BM$4,BL$4),tblForecast,BL$2,FALSE),0)</f>
        <v>0</v>
      </c>
      <c r="BM40" s="228">
        <f>IFERROR(VLOOKUP($B40-IF(CompareVer="LY",1,0) &amp; $C40 &amp;BM$4,tblForecast,BM$2,FALSE),0)</f>
        <v>-40</v>
      </c>
      <c r="BN40" s="234">
        <f>IFERROR(VLOOKUP($B40 &amp; $C40&amp;IF($A40="a",BO$4,BN$4),tblForecast,BN$2,FALSE),0)</f>
        <v>0</v>
      </c>
      <c r="BO40" s="228">
        <f>IFERROR(VLOOKUP($B40-IF(CompareVer="LY",1,0) &amp; $C40 &amp;BO$4,tblForecast,BO$2,FALSE),0)</f>
        <v>9</v>
      </c>
      <c r="BP40" s="234">
        <f>IFERROR(VLOOKUP($B40 &amp; $C40&amp;IF($A40="a",BQ$4,BP$4),tblForecast,BP$2,FALSE),0)</f>
        <v>0</v>
      </c>
      <c r="BQ40" s="228">
        <f>IFERROR(VLOOKUP($B40-IF(CompareVer="LY",1,0) &amp; $C40 &amp;BQ$4,tblForecast,BQ$2,FALSE),0)</f>
        <v>28</v>
      </c>
      <c r="BR40" s="227">
        <f t="shared" si="43"/>
        <v>0</v>
      </c>
      <c r="BS40" s="231">
        <f t="shared" si="22"/>
        <v>-19</v>
      </c>
      <c r="BT40" s="234">
        <f t="shared" si="310"/>
        <v>0</v>
      </c>
      <c r="BU40" s="231">
        <f t="shared" si="310"/>
        <v>28727</v>
      </c>
      <c r="BV40" s="231">
        <f>IF($A40="a",IFERROR(VLOOKUP($B40 &amp; $C40&amp;BV$4,tblForecast,BV$2,FALSE),0),BT40+BU40)</f>
        <v>28727</v>
      </c>
      <c r="BW40" s="231">
        <f t="shared" si="311"/>
        <v>0</v>
      </c>
      <c r="BX40" s="231">
        <f t="shared" si="311"/>
        <v>0</v>
      </c>
      <c r="BY40" s="193">
        <f>IFERROR(VLOOKUP($B40-IF(CompareVer="LY",1,0) &amp; $C40 &amp;BY$4,tblForecast,BY$2,FALSE),0)</f>
        <v>0</v>
      </c>
      <c r="BZ40" s="194">
        <f t="shared" si="25"/>
        <v>0</v>
      </c>
      <c r="CA40" s="337">
        <f t="shared" si="312"/>
        <v>0</v>
      </c>
      <c r="CB40" s="46">
        <f t="shared" si="312"/>
        <v>0</v>
      </c>
      <c r="CC40" s="46">
        <f>IF($A40="a",IFERROR(VLOOKUP($B40 &amp; $C40&amp;CC$4,tblForecast,CC$2,FALSE),0),CA40+CB40)</f>
        <v>0</v>
      </c>
      <c r="CD40" s="46">
        <f t="shared" si="313"/>
        <v>0</v>
      </c>
      <c r="CE40" s="46">
        <f t="shared" si="313"/>
        <v>0</v>
      </c>
      <c r="CF40" s="46">
        <f>IFERROR(VLOOKUP($B40-IF(CompareVer="LY",1,0) &amp; $C40 &amp;CF$4,tblForecast,CF$2,FALSE),0)</f>
        <v>0</v>
      </c>
      <c r="CG40" s="194">
        <f t="shared" si="28"/>
        <v>0</v>
      </c>
      <c r="CH40" s="337">
        <f t="shared" si="314"/>
        <v>0</v>
      </c>
      <c r="CI40" s="46">
        <f t="shared" si="314"/>
        <v>77545.66</v>
      </c>
      <c r="CJ40" s="46">
        <f>IF($A40="a",IFERROR(VLOOKUP($B40 &amp; $C40&amp;CJ$4,tblForecast,CJ$2,FALSE),0),CH40+CI40)</f>
        <v>77545.66</v>
      </c>
      <c r="CK40" s="46">
        <f t="shared" si="315"/>
        <v>0</v>
      </c>
      <c r="CL40" s="46">
        <f t="shared" si="315"/>
        <v>0</v>
      </c>
      <c r="CM40" s="46">
        <f>IFERROR(VLOOKUP($B40-IF(CompareVer="LY",1,0) &amp; $C40 &amp;CM$4,tblForecast,CM$2,FALSE),0)</f>
        <v>0</v>
      </c>
      <c r="CN40" s="194">
        <f t="shared" si="31"/>
        <v>0</v>
      </c>
      <c r="CO40" s="178">
        <f t="shared" si="46"/>
        <v>0</v>
      </c>
      <c r="CP40" s="223">
        <f t="shared" si="46"/>
        <v>0</v>
      </c>
      <c r="CQ40" s="194">
        <f t="shared" si="33"/>
        <v>0</v>
      </c>
      <c r="CR40" s="178">
        <f t="shared" si="44"/>
        <v>0</v>
      </c>
      <c r="CS40" s="223">
        <f t="shared" si="34"/>
        <v>0</v>
      </c>
      <c r="CT40" s="194">
        <f t="shared" si="47"/>
        <v>0</v>
      </c>
      <c r="CU40" s="44"/>
      <c r="CW40" s="102">
        <f>IF(CW39+BV40+BL40-Q40&lt;0,0,CW39+BV40+BL40-Q40)</f>
        <v>336759</v>
      </c>
      <c r="CX40" s="48">
        <f>IFERROR(VLOOKUP($B40-IF(CompareVer="LY",1,0) &amp; $C40 &amp;CX$4,tblForecast,CX$2,FALSE),0)</f>
        <v>343605</v>
      </c>
      <c r="CY40" s="47">
        <f t="shared" si="36"/>
        <v>-1.9924040686253086E-2</v>
      </c>
      <c r="CZ40" s="278">
        <f>IFERROR(VLOOKUP(Brand&amp;Channel&amp;Country&amp;$C40,tblDiscount,6,FALSE),0)</f>
        <v>0.65</v>
      </c>
      <c r="DA40" s="279">
        <f>(1-CZ40)*DB40</f>
        <v>8.7569999999999997</v>
      </c>
      <c r="DB40" s="279">
        <f>IFERROR(VLOOKUP(Brand&amp;Country &amp; Channel &amp;FC,tblFCSettings,8,FALSE),0)</f>
        <v>25.02</v>
      </c>
      <c r="DC40" s="280">
        <f>IFERROR(VLOOKUP(Brand&amp;Country &amp; Channel &amp;FC,tblFCSettings,9,FALSE),0)</f>
        <v>4.16</v>
      </c>
    </row>
    <row r="41" spans="1:107" x14ac:dyDescent="0.25">
      <c r="B41" s="44">
        <v>2018</v>
      </c>
      <c r="C41" s="88">
        <v>25</v>
      </c>
      <c r="D41" s="51">
        <f t="shared" si="316"/>
        <v>11904238.954074999</v>
      </c>
      <c r="E41" s="202">
        <f t="shared" si="317"/>
        <v>7182963.9952849997</v>
      </c>
      <c r="F41" s="182">
        <f t="shared" si="45"/>
        <v>0.60339548147478705</v>
      </c>
      <c r="G41" s="176">
        <f t="shared" si="302"/>
        <v>518479</v>
      </c>
      <c r="H41" s="203">
        <f t="shared" si="302"/>
        <v>22.959924999999998</v>
      </c>
      <c r="I41" s="203">
        <f t="shared" si="302"/>
        <v>9.1060099999999995</v>
      </c>
      <c r="J41" s="176">
        <f>IFERROR(VLOOKUP($B41 &amp; $C41&amp;J$4&amp;$A41,tblForecast,J$2,FALSE),0)+IFERROR(VLOOKUP($B41 &amp; $C41 &amp; J$4 &amp; $A41,tblForecast,J$2+1,FALSE),0)</f>
        <v>1557011</v>
      </c>
      <c r="K41" s="300">
        <f>IFERROR(VLOOKUP($B41 &amp; $C41&amp;K$4&amp;$A41,tblForecast,K$2,FALSE),0)+IFERROR(VLOOKUP($B41 &amp; $C41&amp;K$4&amp;$A41,tblForecast,K$2+1,FALSE),0)</f>
        <v>85959</v>
      </c>
      <c r="L41" s="90">
        <f t="shared" si="303"/>
        <v>211587.6</v>
      </c>
      <c r="M41" s="90">
        <f t="shared" si="303"/>
        <v>211587.6</v>
      </c>
      <c r="N41" s="46">
        <f t="shared" si="303"/>
        <v>0</v>
      </c>
      <c r="O41" s="46">
        <f t="shared" si="303"/>
        <v>219127.902</v>
      </c>
      <c r="P41" s="47">
        <f t="shared" si="39"/>
        <v>-3.4410506061432589E-2</v>
      </c>
      <c r="Q41" s="242">
        <f t="shared" si="318"/>
        <v>25189</v>
      </c>
      <c r="R41" s="240">
        <f t="shared" si="304"/>
        <v>25189</v>
      </c>
      <c r="S41" s="240">
        <f t="shared" si="304"/>
        <v>0</v>
      </c>
      <c r="T41" s="240">
        <f>IFERROR(VLOOKUP($B41-IF(CompareVer="LY",1,0) &amp; $C41 &amp;T$4,tblForecast,T$2,FALSE),0)</f>
        <v>22785</v>
      </c>
      <c r="U41" s="91">
        <f t="shared" si="7"/>
        <v>0.10550800965547502</v>
      </c>
      <c r="V41" s="249">
        <f t="shared" si="319"/>
        <v>1.250012406332192</v>
      </c>
      <c r="W41" s="334">
        <f t="shared" si="320"/>
        <v>1.250012406332192</v>
      </c>
      <c r="X41" s="250">
        <f t="shared" si="321"/>
        <v>1.2801280970841058</v>
      </c>
      <c r="Y41" s="51">
        <f t="shared" si="305"/>
        <v>106801.36</v>
      </c>
      <c r="Z41" s="46">
        <f t="shared" si="305"/>
        <v>106801.36</v>
      </c>
      <c r="AA41" s="46">
        <f t="shared" si="305"/>
        <v>0</v>
      </c>
      <c r="AB41" s="46">
        <f t="shared" si="305"/>
        <v>136705.44300000003</v>
      </c>
      <c r="AC41" s="91">
        <f t="shared" si="9"/>
        <v>-0.21874829812006846</v>
      </c>
      <c r="AD41" s="75">
        <f>IF(AM41&lt;&gt;0,1-AR41/AM41,0)</f>
        <v>0.50476190476190474</v>
      </c>
      <c r="AE41" s="93">
        <f t="shared" si="306"/>
        <v>0.50476190476190474</v>
      </c>
      <c r="AF41" s="93">
        <f t="shared" si="306"/>
        <v>0</v>
      </c>
      <c r="AG41" s="76">
        <f t="shared" si="306"/>
        <v>0.6238614149648547</v>
      </c>
      <c r="AH41" s="73">
        <f>IF(IFERROR(VLOOKUP($B41 &amp; $C41&amp;AH$4,tblForecast,AH$2,FALSE),0)=0,DB41,IFERROR(VLOOKUP($B41 &amp; $C41&amp;AH$4,tblForecast,AH$2,FALSE),0))</f>
        <v>25.02</v>
      </c>
      <c r="AI41" s="94">
        <f t="shared" si="180"/>
        <v>25.02</v>
      </c>
      <c r="AJ41" s="94">
        <f t="shared" si="180"/>
        <v>0</v>
      </c>
      <c r="AK41" s="49">
        <f>IFERROR(VLOOKUP($B41-IF(CompareVer="LY",1,0) &amp; $C41 &amp;AK$4,tblForecast,AK$2,FALSE),0)</f>
        <v>22.181799999999999</v>
      </c>
      <c r="AL41" s="47">
        <f t="shared" si="145"/>
        <v>0.12795174422274114</v>
      </c>
      <c r="AM41" s="73">
        <f>IF(IFERROR(VLOOKUP($B41 &amp; $C41&amp;AM$4,tblForecast,AM$2,FALSE),0)=0,DA41,IFERROR(VLOOKUP($B41 &amp; $C41&amp;AM$4,tblForecast,AM$2,FALSE),0))</f>
        <v>8.4</v>
      </c>
      <c r="AN41" s="94">
        <f t="shared" si="181"/>
        <v>8.4</v>
      </c>
      <c r="AO41" s="94">
        <f t="shared" si="181"/>
        <v>0</v>
      </c>
      <c r="AP41" s="49">
        <f>IFERROR(VLOOKUP($B41-IF(CompareVer="LY",1,0) &amp; $C41 &amp;AP$4,tblForecast,AP$2,FALSE),0)</f>
        <v>9.6172000000000004</v>
      </c>
      <c r="AQ41" s="47">
        <f t="shared" si="14"/>
        <v>-0.12656490454602176</v>
      </c>
      <c r="AR41" s="73">
        <f>IF(IFERROR(VLOOKUP($B41 &amp; $C41&amp;AR$4,tblForecast,AR$2,FALSE),0)=0,DC41,IFERROR(VLOOKUP($B41 &amp; $C41&amp;AR$4,tblForecast,AR$2,FALSE),0))</f>
        <v>4.16</v>
      </c>
      <c r="AS41" s="94">
        <f t="shared" si="307"/>
        <v>4.16</v>
      </c>
      <c r="AT41" s="94">
        <f t="shared" si="307"/>
        <v>0</v>
      </c>
      <c r="AU41" s="49">
        <f>IFERROR(VLOOKUP($B41-IF(CompareVer="LY",1,0) &amp; $C41 &amp;AU$4,tblForecast,AU$2,FALSE),0)</f>
        <v>3.6173999999999999</v>
      </c>
      <c r="AV41" s="47">
        <f t="shared" si="16"/>
        <v>0.14999723558356837</v>
      </c>
      <c r="AW41" s="191">
        <f t="shared" si="132"/>
        <v>0.66426858513189446</v>
      </c>
      <c r="AX41" s="192">
        <f t="shared" si="132"/>
        <v>0.66426858513189446</v>
      </c>
      <c r="AY41" s="192">
        <f t="shared" si="132"/>
        <v>0</v>
      </c>
      <c r="AZ41" s="192">
        <f t="shared" si="132"/>
        <v>0.56643734953881109</v>
      </c>
      <c r="BA41" s="235">
        <f>IF(BA40+BV41+BL41+BR41-Q41&lt;0,0,BA40+BV41+BL41+BR41-Q41)</f>
        <v>346205</v>
      </c>
      <c r="BB41" s="231">
        <f>IF(IFERROR(VLOOKUP($B41 &amp; $C41&amp;BB$4,tblForecast,BB$2,FALSE),0)=0,BA41,IFERROR(VLOOKUP($B41 &amp; $C41&amp;BB$4,tblForecast,BB$2,FALSE),0))</f>
        <v>346205</v>
      </c>
      <c r="BC41" s="231">
        <f>IFERROR(VLOOKUP($B41-IF(CompareVer="LY",1,0) &amp; $C41 &amp;BC$4,tblForecast,BC$2,FALSE),0)</f>
        <v>0</v>
      </c>
      <c r="BD41" s="231">
        <f t="shared" si="150"/>
        <v>342225</v>
      </c>
      <c r="BE41" s="194">
        <f t="shared" si="19"/>
        <v>1.1629775732339809E-2</v>
      </c>
      <c r="BF41" s="231">
        <f>IFERROR(VLOOKUP($B41 &amp; $C41&amp;IF($A41="a",BG$4,BF$4),tblForecast,BF$2,FALSE),0)</f>
        <v>0</v>
      </c>
      <c r="BG41" s="228">
        <f>IFERROR(VLOOKUP($B41-IF(CompareVer="LY",1,0) &amp; $C41 &amp;BG$4,tblForecast,BG$2,FALSE),0)</f>
        <v>21567</v>
      </c>
      <c r="BH41" s="179">
        <f>IF(Q41&lt;&gt;0,BA41/Q41,0)</f>
        <v>13.744293143832625</v>
      </c>
      <c r="BI41" s="183">
        <f>IF(T41&lt;&gt;0,BD41/T41,0)</f>
        <v>15.019749835418038</v>
      </c>
      <c r="BJ41" s="195">
        <f t="shared" si="308"/>
        <v>7.2757470284946779E-2</v>
      </c>
      <c r="BK41" s="50">
        <f t="shared" si="309"/>
        <v>6.6579005040543496E-2</v>
      </c>
      <c r="BL41" s="234">
        <f>IFERROR(VLOOKUP($B41 &amp; $C41&amp;IF($A41="a",BM$4,BL$4),tblForecast,BL$2,FALSE),0)</f>
        <v>0</v>
      </c>
      <c r="BM41" s="228">
        <f>IFERROR(VLOOKUP($B41-IF(CompareVer="LY",1,0) &amp; $C41 &amp;BM$4,tblForecast,BM$2,FALSE),0)</f>
        <v>-83</v>
      </c>
      <c r="BN41" s="234">
        <f>IFERROR(VLOOKUP($B41 &amp; $C41&amp;IF($A41="a",BO$4,BN$4),tblForecast,BN$2,FALSE),0)</f>
        <v>0</v>
      </c>
      <c r="BO41" s="228">
        <f>IFERROR(VLOOKUP($B41-IF(CompareVer="LY",1,0) &amp; $C41 &amp;BO$4,tblForecast,BO$2,FALSE),0)</f>
        <v>96</v>
      </c>
      <c r="BP41" s="234">
        <f>IFERROR(VLOOKUP($B41 &amp; $C41&amp;IF($A41="a",BQ$4,BP$4),tblForecast,BP$2,FALSE),0)</f>
        <v>0</v>
      </c>
      <c r="BQ41" s="228">
        <f>IFERROR(VLOOKUP($B41-IF(CompareVer="LY",1,0) &amp; $C41 &amp;BQ$4,tblForecast,BQ$2,FALSE),0)</f>
        <v>181</v>
      </c>
      <c r="BR41" s="227">
        <f t="shared" si="43"/>
        <v>0</v>
      </c>
      <c r="BS41" s="231">
        <f t="shared" si="22"/>
        <v>-85</v>
      </c>
      <c r="BT41" s="234">
        <f t="shared" si="310"/>
        <v>0</v>
      </c>
      <c r="BU41" s="231">
        <f t="shared" si="310"/>
        <v>0</v>
      </c>
      <c r="BV41" s="231">
        <f>IF($A41="a",IFERROR(VLOOKUP($B41 &amp; $C41&amp;BV$4,tblForecast,BV$2,FALSE),0),BT41+BU41)</f>
        <v>0</v>
      </c>
      <c r="BW41" s="231">
        <f t="shared" si="311"/>
        <v>0</v>
      </c>
      <c r="BX41" s="231">
        <f t="shared" si="311"/>
        <v>0</v>
      </c>
      <c r="BY41" s="193">
        <f>IFERROR(VLOOKUP($B41-IF(CompareVer="LY",1,0) &amp; $C41 &amp;BY$4,tblForecast,BY$2,FALSE),0)</f>
        <v>0</v>
      </c>
      <c r="BZ41" s="194">
        <f t="shared" si="25"/>
        <v>0</v>
      </c>
      <c r="CA41" s="337">
        <f t="shared" si="312"/>
        <v>0</v>
      </c>
      <c r="CB41" s="46">
        <f t="shared" si="312"/>
        <v>0</v>
      </c>
      <c r="CC41" s="46">
        <f>IF($A41="a",IFERROR(VLOOKUP($B41 &amp; $C41&amp;CC$4,tblForecast,CC$2,FALSE),0),CA41+CB41)</f>
        <v>0</v>
      </c>
      <c r="CD41" s="46">
        <f t="shared" si="313"/>
        <v>0</v>
      </c>
      <c r="CE41" s="46">
        <f t="shared" si="313"/>
        <v>0</v>
      </c>
      <c r="CF41" s="46">
        <f>IFERROR(VLOOKUP($B41-IF(CompareVer="LY",1,0) &amp; $C41 &amp;CF$4,tblForecast,CF$2,FALSE),0)</f>
        <v>0</v>
      </c>
      <c r="CG41" s="194">
        <f t="shared" si="28"/>
        <v>0</v>
      </c>
      <c r="CH41" s="337">
        <f t="shared" si="314"/>
        <v>0</v>
      </c>
      <c r="CI41" s="46">
        <f t="shared" si="314"/>
        <v>0</v>
      </c>
      <c r="CJ41" s="46">
        <f>IF($A41="a",IFERROR(VLOOKUP($B41 &amp; $C41&amp;CJ$4,tblForecast,CJ$2,FALSE),0),CH41+CI41)</f>
        <v>0</v>
      </c>
      <c r="CK41" s="46">
        <f t="shared" si="315"/>
        <v>0</v>
      </c>
      <c r="CL41" s="46">
        <f t="shared" si="315"/>
        <v>0</v>
      </c>
      <c r="CM41" s="46">
        <f>IFERROR(VLOOKUP($B41-IF(CompareVer="LY",1,0) &amp; $C41 &amp;CM$4,tblForecast,CM$2,FALSE),0)</f>
        <v>0</v>
      </c>
      <c r="CN41" s="194">
        <f t="shared" si="31"/>
        <v>0</v>
      </c>
      <c r="CO41" s="178">
        <f t="shared" si="46"/>
        <v>0</v>
      </c>
      <c r="CP41" s="223">
        <f t="shared" si="46"/>
        <v>0</v>
      </c>
      <c r="CQ41" s="194">
        <f t="shared" si="33"/>
        <v>0</v>
      </c>
      <c r="CR41" s="178">
        <f t="shared" si="44"/>
        <v>0</v>
      </c>
      <c r="CS41" s="223">
        <f t="shared" si="34"/>
        <v>0</v>
      </c>
      <c r="CT41" s="194">
        <f t="shared" si="47"/>
        <v>0</v>
      </c>
      <c r="CU41" s="44"/>
      <c r="CW41" s="102">
        <f>IF(CW40+BV41+BL41-Q41&lt;0,0,CW40+BV41+BL41-Q41)</f>
        <v>311570</v>
      </c>
      <c r="CX41" s="48">
        <f>IFERROR(VLOOKUP($B41-IF(CompareVer="LY",1,0) &amp; $C41 &amp;CX$4,tblForecast,CX$2,FALSE),0)</f>
        <v>320658</v>
      </c>
      <c r="CY41" s="47">
        <f t="shared" si="36"/>
        <v>-2.8341722333451891E-2</v>
      </c>
      <c r="CZ41" s="278">
        <f>IFERROR(VLOOKUP(Brand&amp;Channel&amp;Country&amp;$C41,tblDiscount,6,FALSE),0)</f>
        <v>0.65</v>
      </c>
      <c r="DA41" s="279">
        <f>(1-CZ41)*DB41</f>
        <v>8.7569999999999997</v>
      </c>
      <c r="DB41" s="279">
        <f>IFERROR(VLOOKUP(Brand&amp;Country &amp; Channel &amp;FC,tblFCSettings,8,FALSE),0)</f>
        <v>25.02</v>
      </c>
      <c r="DC41" s="280">
        <f>IFERROR(VLOOKUP(Brand&amp;Country &amp; Channel &amp;FC,tblFCSettings,9,FALSE),0)</f>
        <v>4.16</v>
      </c>
    </row>
    <row r="42" spans="1:107" ht="16.5" thickBot="1" x14ac:dyDescent="0.3">
      <c r="B42" s="44">
        <v>2018</v>
      </c>
      <c r="C42" s="88">
        <v>26</v>
      </c>
      <c r="D42" s="51">
        <f t="shared" si="316"/>
        <v>11196463.492401</v>
      </c>
      <c r="E42" s="202">
        <f t="shared" si="317"/>
        <v>6315946.4327499997</v>
      </c>
      <c r="F42" s="182">
        <f t="shared" si="45"/>
        <v>0.56410190923559123</v>
      </c>
      <c r="G42" s="176">
        <f t="shared" si="302"/>
        <v>486319</v>
      </c>
      <c r="H42" s="203">
        <f t="shared" si="302"/>
        <v>23.022879</v>
      </c>
      <c r="I42" s="203">
        <f t="shared" si="302"/>
        <v>10.035629</v>
      </c>
      <c r="J42" s="176">
        <f>IFERROR(VLOOKUP($B42 &amp; $C42&amp;J$4&amp;$A42,tblForecast,J$2,FALSE),0)+IFERROR(VLOOKUP($B42 &amp; $C42 &amp; J$4 &amp; $A42,tblForecast,J$2+1,FALSE),0)</f>
        <v>1090790</v>
      </c>
      <c r="K42" s="300">
        <f>IFERROR(VLOOKUP($B42 &amp; $C42&amp;K$4&amp;$A42,tblForecast,K$2,FALSE),0)+IFERROR(VLOOKUP($B42 &amp; $C42&amp;K$4&amp;$A42,tblForecast,K$2+1,FALSE),0)</f>
        <v>333746</v>
      </c>
      <c r="L42" s="90">
        <f t="shared" si="303"/>
        <v>211584</v>
      </c>
      <c r="M42" s="90">
        <f t="shared" si="303"/>
        <v>211584</v>
      </c>
      <c r="N42" s="46">
        <f t="shared" si="303"/>
        <v>0</v>
      </c>
      <c r="O42" s="46">
        <f t="shared" si="303"/>
        <v>197466.82200000001</v>
      </c>
      <c r="P42" s="47">
        <f t="shared" si="39"/>
        <v>7.1491392108391727E-2</v>
      </c>
      <c r="Q42" s="242">
        <f t="shared" si="318"/>
        <v>26448</v>
      </c>
      <c r="R42" s="240">
        <f t="shared" si="304"/>
        <v>26448</v>
      </c>
      <c r="S42" s="240">
        <f t="shared" si="304"/>
        <v>0</v>
      </c>
      <c r="T42" s="240">
        <f>IFERROR(VLOOKUP($B42-IF(CompareVer="LY",1,0) &amp; $C42 &amp;T$4,tblForecast,T$2,FALSE),0)</f>
        <v>23730</v>
      </c>
      <c r="U42" s="91">
        <f t="shared" si="7"/>
        <v>0.11453855878634633</v>
      </c>
      <c r="V42" s="249">
        <f t="shared" si="319"/>
        <v>1.0499821350589542</v>
      </c>
      <c r="W42" s="334">
        <f t="shared" si="320"/>
        <v>1.0499821350589542</v>
      </c>
      <c r="X42" s="250">
        <f t="shared" si="321"/>
        <v>1.0414746543778801</v>
      </c>
      <c r="Y42" s="51">
        <f t="shared" si="305"/>
        <v>101560.31999999999</v>
      </c>
      <c r="Z42" s="46">
        <f t="shared" si="305"/>
        <v>101560.31999999999</v>
      </c>
      <c r="AA42" s="46">
        <f t="shared" si="305"/>
        <v>0</v>
      </c>
      <c r="AB42" s="46">
        <f t="shared" si="305"/>
        <v>109328.85600000003</v>
      </c>
      <c r="AC42" s="91">
        <f t="shared" si="9"/>
        <v>-7.1056592780958328E-2</v>
      </c>
      <c r="AD42" s="75">
        <f>IF(AM42&lt;&gt;0,1-AR42/AM42,0)</f>
        <v>0.48</v>
      </c>
      <c r="AE42" s="93">
        <f t="shared" si="306"/>
        <v>0.48</v>
      </c>
      <c r="AF42" s="93">
        <f t="shared" si="306"/>
        <v>0</v>
      </c>
      <c r="AG42" s="76">
        <f t="shared" si="306"/>
        <v>0.55365683658999698</v>
      </c>
      <c r="AH42" s="73">
        <f>IF(IFERROR(VLOOKUP($B42 &amp; $C42&amp;AH$4,tblForecast,AH$2,FALSE),0)=0,DB42,IFERROR(VLOOKUP($B42 &amp; $C42&amp;AH$4,tblForecast,AH$2,FALSE),0))</f>
        <v>25.02</v>
      </c>
      <c r="AI42" s="94">
        <f t="shared" si="180"/>
        <v>25.02</v>
      </c>
      <c r="AJ42" s="94">
        <f t="shared" si="180"/>
        <v>0</v>
      </c>
      <c r="AK42" s="49">
        <f>IFERROR(VLOOKUP($B42-IF(CompareVer="LY",1,0) &amp; $C42 &amp;AK$4,tblForecast,AK$2,FALSE),0)</f>
        <v>22.8047</v>
      </c>
      <c r="AL42" s="47">
        <f t="shared" si="145"/>
        <v>9.7142255763066343E-2</v>
      </c>
      <c r="AM42" s="73">
        <f>IF(IFERROR(VLOOKUP($B42 &amp; $C42&amp;AM$4,tblForecast,AM$2,FALSE),0)=0,DA42,IFERROR(VLOOKUP($B42 &amp; $C42&amp;AM$4,tblForecast,AM$2,FALSE),0))</f>
        <v>8</v>
      </c>
      <c r="AN42" s="94">
        <f t="shared" si="181"/>
        <v>8</v>
      </c>
      <c r="AO42" s="94">
        <f t="shared" si="181"/>
        <v>0</v>
      </c>
      <c r="AP42" s="49">
        <f>IFERROR(VLOOKUP($B42-IF(CompareVer="LY",1,0) &amp; $C42 &amp;AP$4,tblForecast,AP$2,FALSE),0)</f>
        <v>8.3214000000000006</v>
      </c>
      <c r="AQ42" s="47">
        <f t="shared" si="14"/>
        <v>-3.8623308577883542E-2</v>
      </c>
      <c r="AR42" s="73">
        <f>IF(IFERROR(VLOOKUP($B42 &amp; $C42&amp;AR$4,tblForecast,AR$2,FALSE),0)=0,DC42,IFERROR(VLOOKUP($B42 &amp; $C42&amp;AR$4,tblForecast,AR$2,FALSE),0))</f>
        <v>4.16</v>
      </c>
      <c r="AS42" s="94">
        <f t="shared" si="307"/>
        <v>4.16</v>
      </c>
      <c r="AT42" s="94">
        <f t="shared" si="307"/>
        <v>0</v>
      </c>
      <c r="AU42" s="49">
        <f>IFERROR(VLOOKUP($B42-IF(CompareVer="LY",1,0) &amp; $C42 &amp;AU$4,tblForecast,AU$2,FALSE),0)</f>
        <v>3.7141999999999999</v>
      </c>
      <c r="AV42" s="47">
        <f t="shared" si="16"/>
        <v>0.12002584675030969</v>
      </c>
      <c r="AW42" s="191">
        <f t="shared" si="132"/>
        <v>0.68025579536370895</v>
      </c>
      <c r="AX42" s="192">
        <f t="shared" si="132"/>
        <v>0.68025579536370895</v>
      </c>
      <c r="AY42" s="192">
        <f t="shared" si="132"/>
        <v>0</v>
      </c>
      <c r="AZ42" s="192">
        <f t="shared" si="132"/>
        <v>0.63510153608685926</v>
      </c>
      <c r="BA42" s="235">
        <f>IF(BA41+BV42+BL42+BR42-Q42&lt;0,0,BA41+BV42+BL42+BR42-Q42)</f>
        <v>319757</v>
      </c>
      <c r="BB42" s="231">
        <f>IF(IFERROR(VLOOKUP($B42 &amp; $C42&amp;BB$4,tblForecast,BB$2,FALSE),0)=0,BA42,IFERROR(VLOOKUP($B42 &amp; $C42&amp;BB$4,tblForecast,BB$2,FALSE),0))</f>
        <v>319757</v>
      </c>
      <c r="BC42" s="231">
        <f>IFERROR(VLOOKUP($B42-IF(CompareVer="LY",1,0) &amp; $C42 &amp;BC$4,tblForecast,BC$2,FALSE),0)</f>
        <v>0</v>
      </c>
      <c r="BD42" s="231">
        <f>CX42+BG42</f>
        <v>318502</v>
      </c>
      <c r="BE42" s="194">
        <f t="shared" si="19"/>
        <v>3.9403206259300827E-3</v>
      </c>
      <c r="BF42" s="231">
        <f>IFERROR(VLOOKUP($B42 &amp; $C42&amp;IF($A42="a",BG$4,BF$4),tblForecast,BF$2,FALSE),0)</f>
        <v>0</v>
      </c>
      <c r="BG42" s="228">
        <f>IFERROR(VLOOKUP($B42-IF(CompareVer="LY",1,0) &amp; $C42 &amp;BG$4,tblForecast,BG$2,FALSE),0)</f>
        <v>21638</v>
      </c>
      <c r="BH42" s="179">
        <f>IF(Q42&lt;&gt;0,BA42/Q42,0)</f>
        <v>12.090025710828796</v>
      </c>
      <c r="BI42" s="183">
        <f>IF(T42&lt;&gt;0,BD42/T42,0)</f>
        <v>13.421913190054783</v>
      </c>
      <c r="BJ42" s="195">
        <f t="shared" si="308"/>
        <v>8.2712810040124221E-2</v>
      </c>
      <c r="BK42" s="50">
        <f t="shared" si="309"/>
        <v>7.4505026656033563E-2</v>
      </c>
      <c r="BL42" s="234">
        <f>IFERROR(VLOOKUP($B42 &amp; $C42&amp;IF($A42="a",BM$4,BL$4),tblForecast,BL$2,FALSE),0)</f>
        <v>0</v>
      </c>
      <c r="BM42" s="228">
        <f>IFERROR(VLOOKUP($B42-IF(CompareVer="LY",1,0) &amp; $C42 &amp;BM$4,tblForecast,BM$2,FALSE),0)</f>
        <v>24</v>
      </c>
      <c r="BN42" s="234">
        <f>IFERROR(VLOOKUP($B42 &amp; $C42&amp;IF($A42="a",BO$4,BN$4),tblForecast,BN$2,FALSE),0)</f>
        <v>0</v>
      </c>
      <c r="BO42" s="228">
        <f>IFERROR(VLOOKUP($B42-IF(CompareVer="LY",1,0) &amp; $C42 &amp;BO$4,tblForecast,BO$2,FALSE),0)</f>
        <v>18</v>
      </c>
      <c r="BP42" s="234">
        <f>IFERROR(VLOOKUP($B42 &amp; $C42&amp;IF($A42="a",BQ$4,BP$4),tblForecast,BP$2,FALSE),0)</f>
        <v>0</v>
      </c>
      <c r="BQ42" s="228">
        <f>IFERROR(VLOOKUP($B42-IF(CompareVer="LY",1,0) &amp; $C42 &amp;BQ$4,tblForecast,BQ$2,FALSE),0)</f>
        <v>35</v>
      </c>
      <c r="BR42" s="227">
        <f t="shared" si="43"/>
        <v>0</v>
      </c>
      <c r="BS42" s="231">
        <f t="shared" si="22"/>
        <v>-17</v>
      </c>
      <c r="BT42" s="234">
        <f t="shared" si="310"/>
        <v>0</v>
      </c>
      <c r="BU42" s="231">
        <f t="shared" si="310"/>
        <v>0</v>
      </c>
      <c r="BV42" s="231">
        <f>IF($A42="a",IFERROR(VLOOKUP($B42 &amp; $C42&amp;BV$4,tblForecast,BV$2,FALSE),0),BT42+BU42)</f>
        <v>0</v>
      </c>
      <c r="BW42" s="231">
        <f t="shared" si="311"/>
        <v>0</v>
      </c>
      <c r="BX42" s="231">
        <f t="shared" si="311"/>
        <v>0</v>
      </c>
      <c r="BY42" s="193">
        <f>IFERROR(VLOOKUP($B42-IF(CompareVer="LY",1,0) &amp; $C42 &amp;BY$4,tblForecast,BY$2,FALSE),0)</f>
        <v>0</v>
      </c>
      <c r="BZ42" s="194">
        <f t="shared" si="25"/>
        <v>0</v>
      </c>
      <c r="CA42" s="337">
        <f t="shared" si="312"/>
        <v>0</v>
      </c>
      <c r="CB42" s="46">
        <f t="shared" si="312"/>
        <v>0</v>
      </c>
      <c r="CC42" s="46">
        <f>IF($A42="a",IFERROR(VLOOKUP($B42 &amp; $C42&amp;CC$4,tblForecast,CC$2,FALSE),0),CA42+CB42)</f>
        <v>0</v>
      </c>
      <c r="CD42" s="46">
        <f t="shared" si="313"/>
        <v>0</v>
      </c>
      <c r="CE42" s="46">
        <f t="shared" si="313"/>
        <v>0</v>
      </c>
      <c r="CF42" s="46">
        <f>IFERROR(VLOOKUP($B42-IF(CompareVer="LY",1,0) &amp; $C42 &amp;CF$4,tblForecast,CF$2,FALSE),0)</f>
        <v>0</v>
      </c>
      <c r="CG42" s="194">
        <f t="shared" si="28"/>
        <v>0</v>
      </c>
      <c r="CH42" s="337">
        <f t="shared" si="314"/>
        <v>0</v>
      </c>
      <c r="CI42" s="46">
        <f t="shared" si="314"/>
        <v>0</v>
      </c>
      <c r="CJ42" s="46">
        <f>IF($A42="a",IFERROR(VLOOKUP($B42 &amp; $C42&amp;CJ$4,tblForecast,CJ$2,FALSE),0),CH42+CI42)</f>
        <v>0</v>
      </c>
      <c r="CK42" s="46">
        <f t="shared" si="315"/>
        <v>0</v>
      </c>
      <c r="CL42" s="46">
        <f t="shared" si="315"/>
        <v>0</v>
      </c>
      <c r="CM42" s="46">
        <f>IFERROR(VLOOKUP($B42-IF(CompareVer="LY",1,0) &amp; $C42 &amp;CM$4,tblForecast,CM$2,FALSE),0)</f>
        <v>0</v>
      </c>
      <c r="CN42" s="194">
        <f t="shared" si="31"/>
        <v>0</v>
      </c>
      <c r="CO42" s="178">
        <f t="shared" si="46"/>
        <v>0</v>
      </c>
      <c r="CP42" s="223">
        <f t="shared" si="46"/>
        <v>0</v>
      </c>
      <c r="CQ42" s="194">
        <f t="shared" si="33"/>
        <v>0</v>
      </c>
      <c r="CR42" s="178">
        <f t="shared" si="44"/>
        <v>0</v>
      </c>
      <c r="CS42" s="223">
        <f t="shared" si="34"/>
        <v>0</v>
      </c>
      <c r="CT42" s="194">
        <f t="shared" si="47"/>
        <v>0</v>
      </c>
      <c r="CU42" s="44"/>
      <c r="CW42" s="102">
        <f>IF(CW41+BV42+BL42-Q42&lt;0,0,CW41+BV42+BL42-Q42)</f>
        <v>285122</v>
      </c>
      <c r="CX42" s="48">
        <f>IFERROR(VLOOKUP($B42-IF(CompareVer="LY",1,0) &amp; $C42 &amp;CX$4,tblForecast,CX$2,FALSE),0)</f>
        <v>296864</v>
      </c>
      <c r="CY42" s="47">
        <f t="shared" si="36"/>
        <v>-3.9553465559987067E-2</v>
      </c>
      <c r="CZ42" s="278">
        <f>IFERROR(VLOOKUP(Brand&amp;Channel&amp;Country&amp;$C42,tblDiscount,6,FALSE),0)</f>
        <v>0.7</v>
      </c>
      <c r="DA42" s="279">
        <f>(1-CZ42)*DB42</f>
        <v>7.5060000000000011</v>
      </c>
      <c r="DB42" s="279">
        <f>IFERROR(VLOOKUP(Brand&amp;Country &amp; Channel &amp;FC,tblFCSettings,8,FALSE),0)</f>
        <v>25.02</v>
      </c>
      <c r="DC42" s="280">
        <f>IFERROR(VLOOKUP(Brand&amp;Country &amp; Channel &amp;FC,tblFCSettings,9,FALSE),0)</f>
        <v>4.16</v>
      </c>
    </row>
    <row r="43" spans="1:107" ht="16.5" thickBot="1" x14ac:dyDescent="0.3">
      <c r="C43" s="253" t="s">
        <v>41</v>
      </c>
      <c r="D43" s="254">
        <f t="shared" ref="D43" si="322">SUM(D39:D42)</f>
        <v>41315576.178399995</v>
      </c>
      <c r="E43" s="255">
        <f t="shared" ref="E43" si="323">SUM(E39:E42)</f>
        <v>25410566.193090998</v>
      </c>
      <c r="F43" s="256">
        <f t="shared" si="45"/>
        <v>0.61503598747766652</v>
      </c>
      <c r="G43" s="257">
        <f>SUM(G39:G42)</f>
        <v>1790548</v>
      </c>
      <c r="H43" s="258">
        <f>IFERROR(D43/G43,0)</f>
        <v>23.074263397797765</v>
      </c>
      <c r="I43" s="258">
        <f>IFERROR(SUMPRODUCT(I39:I42,G39:G42)/G43,0)</f>
        <v>8.8827610236134404</v>
      </c>
      <c r="J43" s="257">
        <f>SUM(J39:J42)</f>
        <v>5620916</v>
      </c>
      <c r="K43" s="301">
        <f>SUM(K39:K42)</f>
        <v>2105312</v>
      </c>
      <c r="L43" s="259">
        <f>SUM(L39:L42)</f>
        <v>889026.6</v>
      </c>
      <c r="M43" s="259">
        <f t="shared" ref="M43:O43" si="324">SUM(M39:M42)</f>
        <v>889026.6</v>
      </c>
      <c r="N43" s="259">
        <f t="shared" si="324"/>
        <v>0</v>
      </c>
      <c r="O43" s="259">
        <f t="shared" si="324"/>
        <v>843656.56079999998</v>
      </c>
      <c r="P43" s="260">
        <f t="shared" si="39"/>
        <v>5.3777853818830934E-2</v>
      </c>
      <c r="Q43" s="261">
        <f>SUM(Q39:Q42)</f>
        <v>95496</v>
      </c>
      <c r="R43" s="262">
        <f t="shared" ref="R43:S43" si="325">SUM(R39:R42)</f>
        <v>95496</v>
      </c>
      <c r="S43" s="262">
        <f t="shared" si="325"/>
        <v>0</v>
      </c>
      <c r="T43" s="262">
        <f>SUM(T39:T42)</f>
        <v>93201</v>
      </c>
      <c r="U43" s="260">
        <f t="shared" si="7"/>
        <v>2.4624199311166217E-2</v>
      </c>
      <c r="V43" s="263">
        <f t="shared" ref="V43:X43" si="326">V42</f>
        <v>1.0499821350589542</v>
      </c>
      <c r="W43" s="332">
        <f t="shared" si="326"/>
        <v>1.0499821350589542</v>
      </c>
      <c r="X43" s="264">
        <f t="shared" si="326"/>
        <v>1.0414746543778801</v>
      </c>
      <c r="Y43" s="254">
        <f>SUM(Y39:Y42)</f>
        <v>491763.24</v>
      </c>
      <c r="Z43" s="259">
        <f t="shared" ref="Z43:AB43" si="327">SUM(Z39:Z42)</f>
        <v>491763.24</v>
      </c>
      <c r="AA43" s="259">
        <f t="shared" si="327"/>
        <v>0</v>
      </c>
      <c r="AB43" s="259">
        <f t="shared" si="327"/>
        <v>502620.25230000005</v>
      </c>
      <c r="AC43" s="260">
        <f t="shared" si="9"/>
        <v>-2.1600825375257315E-2</v>
      </c>
      <c r="AD43" s="265">
        <f t="shared" ref="AD43:AG44" si="328">IFERROR(Y43/L43,0)</f>
        <v>0.55314794855407023</v>
      </c>
      <c r="AE43" s="266">
        <f t="shared" si="328"/>
        <v>0.55314794855407023</v>
      </c>
      <c r="AF43" s="266">
        <f t="shared" si="328"/>
        <v>0</v>
      </c>
      <c r="AG43" s="266">
        <f t="shared" si="328"/>
        <v>0.59576405335292937</v>
      </c>
      <c r="AH43" s="267">
        <f>IFERROR(SUMPRODUCT(AH39:AH42,Q39:Q42)/Q43,0)</f>
        <v>25.02</v>
      </c>
      <c r="AI43" s="268">
        <f>IFERROR(SUMPRODUCT(AI39:AI42,R39:R42)/R43,0)</f>
        <v>25.02</v>
      </c>
      <c r="AJ43" s="268">
        <f t="shared" ref="AJ43:AK43" si="329">IFERROR(SUMPRODUCT(AJ39:AJ42,S39:S42)/S43,0)</f>
        <v>0</v>
      </c>
      <c r="AK43" s="268">
        <f t="shared" si="329"/>
        <v>22.373775443396529</v>
      </c>
      <c r="AL43" s="260">
        <f t="shared" si="145"/>
        <v>0.11827349225427608</v>
      </c>
      <c r="AM43" s="267">
        <f t="shared" ref="AM43:AP44" si="330">IF(Q43&lt;&gt;0,L43/Q43,0)</f>
        <v>9.3095689871827094</v>
      </c>
      <c r="AN43" s="268">
        <f t="shared" si="330"/>
        <v>9.3095689871827094</v>
      </c>
      <c r="AO43" s="268">
        <f t="shared" si="330"/>
        <v>0</v>
      </c>
      <c r="AP43" s="268">
        <f t="shared" si="330"/>
        <v>9.0520118968680592</v>
      </c>
      <c r="AQ43" s="260">
        <f t="shared" si="14"/>
        <v>2.8453021631993591E-2</v>
      </c>
      <c r="AR43" s="267">
        <f t="shared" ref="AR43:AU44" si="331">IFERROR((L43*(1-AD43))/Q43,0)</f>
        <v>4.16</v>
      </c>
      <c r="AS43" s="268">
        <f t="shared" si="331"/>
        <v>4.16</v>
      </c>
      <c r="AT43" s="268">
        <f t="shared" si="331"/>
        <v>0</v>
      </c>
      <c r="AU43" s="268">
        <f t="shared" si="331"/>
        <v>3.6591485981910052</v>
      </c>
      <c r="AV43" s="260">
        <f t="shared" si="16"/>
        <v>0.13687648598272384</v>
      </c>
      <c r="AW43" s="269">
        <f t="shared" ref="AW43:AZ48" si="332">IFERROR((AM43/AH43-1)*-1,0)</f>
        <v>0.62791490858582288</v>
      </c>
      <c r="AX43" s="270">
        <f t="shared" si="332"/>
        <v>0.62791490858582288</v>
      </c>
      <c r="AY43" s="270">
        <f t="shared" si="332"/>
        <v>0</v>
      </c>
      <c r="AZ43" s="270">
        <f t="shared" si="332"/>
        <v>0.5954186668330177</v>
      </c>
      <c r="BA43" s="261">
        <f>BA42</f>
        <v>319757</v>
      </c>
      <c r="BB43" s="262">
        <f t="shared" ref="BB43:BD44" si="333">BB42</f>
        <v>319757</v>
      </c>
      <c r="BC43" s="262">
        <f t="shared" si="333"/>
        <v>0</v>
      </c>
      <c r="BD43" s="262">
        <f t="shared" si="333"/>
        <v>318502</v>
      </c>
      <c r="BE43" s="260">
        <f t="shared" si="19"/>
        <v>3.9403206259300827E-3</v>
      </c>
      <c r="BF43" s="262">
        <f t="shared" ref="BF43:BG44" si="334">BF42</f>
        <v>0</v>
      </c>
      <c r="BG43" s="262">
        <f t="shared" si="334"/>
        <v>21638</v>
      </c>
      <c r="BH43" s="271">
        <f>IF(Q43&lt;&gt;0,(BA43*COUNTIF(BH39:BH42,"&lt;&gt;0")/Q43),0)</f>
        <v>13.393524336097848</v>
      </c>
      <c r="BI43" s="272">
        <f>IF(T43&lt;&gt;0,(BD43*COUNTIF(BI39:BI42,"&lt;&gt;0")/T43),0)</f>
        <v>13.669467065804016</v>
      </c>
      <c r="BJ43" s="273">
        <f t="shared" ref="BJ43" si="335">IF(BA43&lt;&gt;0,(Q43/COUNTIF(BJ39:BJ42,"&lt;&gt;0"))/BA43,0)</f>
        <v>7.4662947175511404E-2</v>
      </c>
      <c r="BK43" s="274">
        <f t="shared" ref="BK43" si="336">IF(BD43&lt;&gt;0,(T43/COUNTIF(BK39:BK42,"&lt;&gt;0"))/BD43,0)</f>
        <v>7.3155741565202104E-2</v>
      </c>
      <c r="BL43" s="261">
        <f>SUM(BL39:BL42)</f>
        <v>0</v>
      </c>
      <c r="BM43" s="262">
        <f>SUM(BM39:BM42)</f>
        <v>-5066</v>
      </c>
      <c r="BN43" s="261">
        <f>SUM(BN39:BN42)</f>
        <v>0</v>
      </c>
      <c r="BO43" s="262">
        <f t="shared" ref="BO43:BQ43" si="337">SUM(BO39:BO42)</f>
        <v>123</v>
      </c>
      <c r="BP43" s="261">
        <f>SUM(BP39:BP42)</f>
        <v>125000</v>
      </c>
      <c r="BQ43" s="262">
        <f t="shared" si="337"/>
        <v>1249</v>
      </c>
      <c r="BR43" s="261">
        <f t="shared" si="43"/>
        <v>-125000</v>
      </c>
      <c r="BS43" s="262">
        <f t="shared" si="22"/>
        <v>-1126</v>
      </c>
      <c r="BT43" s="261">
        <f t="shared" ref="BT43:BY43" si="338">SUM(BT39:BT42)</f>
        <v>0</v>
      </c>
      <c r="BU43" s="262">
        <f t="shared" si="338"/>
        <v>28727</v>
      </c>
      <c r="BV43" s="262">
        <f t="shared" si="338"/>
        <v>28727</v>
      </c>
      <c r="BW43" s="262">
        <f t="shared" si="338"/>
        <v>0</v>
      </c>
      <c r="BX43" s="262">
        <f t="shared" si="338"/>
        <v>0</v>
      </c>
      <c r="BY43" s="275">
        <f t="shared" si="338"/>
        <v>0</v>
      </c>
      <c r="BZ43" s="260">
        <f t="shared" si="25"/>
        <v>0</v>
      </c>
      <c r="CA43" s="338">
        <f t="shared" ref="CA43:CF43" si="339">SUM(CA39:CA42)</f>
        <v>0</v>
      </c>
      <c r="CB43" s="259">
        <f t="shared" si="339"/>
        <v>0</v>
      </c>
      <c r="CC43" s="259">
        <f t="shared" si="339"/>
        <v>0</v>
      </c>
      <c r="CD43" s="259">
        <f t="shared" si="339"/>
        <v>0</v>
      </c>
      <c r="CE43" s="259">
        <f t="shared" si="339"/>
        <v>0</v>
      </c>
      <c r="CF43" s="259">
        <f t="shared" si="339"/>
        <v>0</v>
      </c>
      <c r="CG43" s="260">
        <f t="shared" si="28"/>
        <v>0</v>
      </c>
      <c r="CH43" s="338">
        <f t="shared" ref="CH43:CM43" si="340">SUM(CH39:CH42)</f>
        <v>0</v>
      </c>
      <c r="CI43" s="259">
        <f t="shared" si="340"/>
        <v>77545.66</v>
      </c>
      <c r="CJ43" s="259">
        <f t="shared" si="340"/>
        <v>77545.66</v>
      </c>
      <c r="CK43" s="259">
        <f t="shared" si="340"/>
        <v>0</v>
      </c>
      <c r="CL43" s="259">
        <f t="shared" si="340"/>
        <v>0</v>
      </c>
      <c r="CM43" s="259">
        <f t="shared" si="340"/>
        <v>0</v>
      </c>
      <c r="CN43" s="260">
        <f t="shared" si="31"/>
        <v>0</v>
      </c>
      <c r="CO43" s="276">
        <f t="shared" si="46"/>
        <v>0</v>
      </c>
      <c r="CP43" s="277">
        <f t="shared" si="46"/>
        <v>0</v>
      </c>
      <c r="CQ43" s="260">
        <f t="shared" si="33"/>
        <v>0</v>
      </c>
      <c r="CR43" s="276">
        <f t="shared" si="44"/>
        <v>0</v>
      </c>
      <c r="CS43" s="277">
        <f t="shared" si="34"/>
        <v>0</v>
      </c>
      <c r="CT43" s="260">
        <f t="shared" si="47"/>
        <v>0</v>
      </c>
      <c r="CU43" s="44"/>
      <c r="CW43" s="100">
        <f>CW42</f>
        <v>285122</v>
      </c>
      <c r="CX43" s="101">
        <f>CX42</f>
        <v>296864</v>
      </c>
      <c r="CY43" s="99">
        <f t="shared" si="36"/>
        <v>-3.9553465559987067E-2</v>
      </c>
      <c r="CZ43" s="278"/>
      <c r="DA43" s="279"/>
      <c r="DB43" s="279"/>
      <c r="DC43" s="280"/>
    </row>
    <row r="44" spans="1:107" ht="16.5" thickBot="1" x14ac:dyDescent="0.3">
      <c r="C44" s="105" t="s">
        <v>311</v>
      </c>
      <c r="D44" s="52">
        <f t="shared" ref="D44" si="341">D32+D38+D43</f>
        <v>182659496.72509986</v>
      </c>
      <c r="E44" s="205">
        <f t="shared" ref="E44" si="342">E32+E38+E43</f>
        <v>138997861.2922909</v>
      </c>
      <c r="F44" s="206">
        <f t="shared" si="45"/>
        <v>0.76096706595814634</v>
      </c>
      <c r="G44" s="204">
        <f>G32+G38+G43</f>
        <v>5232720</v>
      </c>
      <c r="H44" s="207">
        <f>IFERROR(D44/G44,0)</f>
        <v>34.907179578708558</v>
      </c>
      <c r="I44" s="58">
        <f>IFERROR((I32*G32+I38*G38+I43*G43)/G44,0)</f>
        <v>8.3439655538245852</v>
      </c>
      <c r="J44" s="204">
        <f t="shared" ref="J44" si="343">J32+J38+J43</f>
        <v>75885446</v>
      </c>
      <c r="K44" s="302">
        <f t="shared" ref="K44" si="344">K32+K38+K43</f>
        <v>6614229</v>
      </c>
      <c r="L44" s="53">
        <f>L32+L38+L43</f>
        <v>4005317.9040999939</v>
      </c>
      <c r="M44" s="53">
        <f t="shared" ref="M44:O44" si="345">M32+M38+M43</f>
        <v>3558050.19</v>
      </c>
      <c r="N44" s="53">
        <f t="shared" si="345"/>
        <v>0</v>
      </c>
      <c r="O44" s="53">
        <f t="shared" si="345"/>
        <v>3787701.4748</v>
      </c>
      <c r="P44" s="54">
        <f t="shared" si="39"/>
        <v>5.7453426767611004E-2</v>
      </c>
      <c r="Q44" s="229">
        <f>Q32+Q38+Q43</f>
        <v>337542</v>
      </c>
      <c r="R44" s="230">
        <f t="shared" ref="R44:S44" si="346">R32+R38+R43</f>
        <v>313312</v>
      </c>
      <c r="S44" s="230">
        <f t="shared" si="346"/>
        <v>0</v>
      </c>
      <c r="T44" s="230">
        <f>T32+T38+T43</f>
        <v>376363</v>
      </c>
      <c r="U44" s="54">
        <f t="shared" si="7"/>
        <v>-0.10314775894548611</v>
      </c>
      <c r="V44" s="247">
        <f t="shared" ref="V44:X44" si="347">V43</f>
        <v>1.0499821350589542</v>
      </c>
      <c r="W44" s="333">
        <f t="shared" si="347"/>
        <v>1.0499821350589542</v>
      </c>
      <c r="X44" s="248">
        <f t="shared" si="347"/>
        <v>1.0414746543778801</v>
      </c>
      <c r="Y44" s="52">
        <f>Y32+Y38+Y43</f>
        <v>2619216.7548999935</v>
      </c>
      <c r="Z44" s="53">
        <f t="shared" ref="Z44:AB44" si="348">Z32+Z38+Z43</f>
        <v>2254264.8499999996</v>
      </c>
      <c r="AA44" s="53">
        <f t="shared" si="348"/>
        <v>0</v>
      </c>
      <c r="AB44" s="53">
        <f t="shared" si="348"/>
        <v>2341894.1947999997</v>
      </c>
      <c r="AC44" s="54">
        <f t="shared" si="9"/>
        <v>0.11841805693688801</v>
      </c>
      <c r="AD44" s="77">
        <f t="shared" si="328"/>
        <v>0.65393479808902677</v>
      </c>
      <c r="AE44" s="78">
        <f t="shared" si="328"/>
        <v>0.63356746802944897</v>
      </c>
      <c r="AF44" s="78">
        <f t="shared" si="328"/>
        <v>0</v>
      </c>
      <c r="AG44" s="78">
        <f t="shared" si="328"/>
        <v>0.6182890099393743</v>
      </c>
      <c r="AH44" s="58">
        <f t="shared" ref="AH44:AL44" si="349">IFERROR((AH32*Q32+AH38*Q38+AH43*Q43)/Q44,0)</f>
        <v>24.619256999721497</v>
      </c>
      <c r="AI44" s="58">
        <f t="shared" si="349"/>
        <v>24.957937870237973</v>
      </c>
      <c r="AJ44" s="58">
        <f t="shared" si="349"/>
        <v>0</v>
      </c>
      <c r="AK44" s="58">
        <f t="shared" si="349"/>
        <v>23.364514117487641</v>
      </c>
      <c r="AL44" s="54">
        <f t="shared" si="349"/>
        <v>3.0326021136962811E-2</v>
      </c>
      <c r="AM44" s="57">
        <f t="shared" si="330"/>
        <v>11.866131930544922</v>
      </c>
      <c r="AN44" s="58">
        <f t="shared" si="330"/>
        <v>11.356252521448269</v>
      </c>
      <c r="AO44" s="58">
        <f t="shared" si="330"/>
        <v>0</v>
      </c>
      <c r="AP44" s="58">
        <f t="shared" si="330"/>
        <v>10.063958132972688</v>
      </c>
      <c r="AQ44" s="54">
        <f t="shared" si="14"/>
        <v>0.17907206824199173</v>
      </c>
      <c r="AR44" s="57">
        <f t="shared" si="331"/>
        <v>4.1064553424462753</v>
      </c>
      <c r="AS44" s="58">
        <f t="shared" si="331"/>
        <v>4.1613003651312432</v>
      </c>
      <c r="AT44" s="58">
        <f t="shared" si="331"/>
        <v>0</v>
      </c>
      <c r="AU44" s="58">
        <f t="shared" si="331"/>
        <v>3.8415234228656909</v>
      </c>
      <c r="AV44" s="54">
        <f t="shared" si="16"/>
        <v>6.8965327141738753E-2</v>
      </c>
      <c r="AW44" s="59">
        <f t="shared" si="332"/>
        <v>0.51801421421129179</v>
      </c>
      <c r="AX44" s="60">
        <f t="shared" si="332"/>
        <v>0.54498434203610802</v>
      </c>
      <c r="AY44" s="60">
        <f t="shared" si="332"/>
        <v>0</v>
      </c>
      <c r="AZ44" s="60">
        <f t="shared" si="332"/>
        <v>0.56926311061439461</v>
      </c>
      <c r="BA44" s="236">
        <f>BA43</f>
        <v>319757</v>
      </c>
      <c r="BB44" s="230">
        <f t="shared" si="333"/>
        <v>319757</v>
      </c>
      <c r="BC44" s="230">
        <f t="shared" si="333"/>
        <v>0</v>
      </c>
      <c r="BD44" s="230">
        <f t="shared" si="333"/>
        <v>318502</v>
      </c>
      <c r="BE44" s="54">
        <f t="shared" si="19"/>
        <v>3.9403206259300827E-3</v>
      </c>
      <c r="BF44" s="230">
        <f t="shared" si="334"/>
        <v>0</v>
      </c>
      <c r="BG44" s="230">
        <f t="shared" si="334"/>
        <v>21638</v>
      </c>
      <c r="BH44" s="62">
        <f>IF(Q42&lt;&gt;0,(BA44/(Q44/13)),0)</f>
        <v>12.315033388437588</v>
      </c>
      <c r="BI44" s="133">
        <f>IF(T42&lt;&gt;0,(BD44/(T44/13)),0)</f>
        <v>11.001416185969397</v>
      </c>
      <c r="BJ44" s="190">
        <f t="shared" ref="BJ44" si="350">IF(BA44&lt;&gt;0,(Q44/13)/BA44,0)</f>
        <v>8.1201566285551932E-2</v>
      </c>
      <c r="BK44" s="61">
        <f t="shared" ref="BK44" si="351">IF(BD44&lt;&gt;0,(T44/13)/BD44,0)</f>
        <v>9.0897388399444903E-2</v>
      </c>
      <c r="BL44" s="229">
        <f t="shared" ref="BL44:BQ44" si="352">BL32+BL38+BL43</f>
        <v>1808</v>
      </c>
      <c r="BM44" s="230">
        <f t="shared" si="352"/>
        <v>-5246</v>
      </c>
      <c r="BN44" s="229">
        <f t="shared" si="352"/>
        <v>526980</v>
      </c>
      <c r="BO44" s="230">
        <f t="shared" si="352"/>
        <v>677308</v>
      </c>
      <c r="BP44" s="229">
        <f t="shared" si="352"/>
        <v>769965</v>
      </c>
      <c r="BQ44" s="230">
        <f t="shared" si="352"/>
        <v>1089488</v>
      </c>
      <c r="BR44" s="229">
        <f t="shared" si="43"/>
        <v>-242985</v>
      </c>
      <c r="BS44" s="230">
        <f t="shared" si="22"/>
        <v>-412180</v>
      </c>
      <c r="BT44" s="229">
        <f t="shared" ref="BT44:BY44" si="353">BT32+BT38+BT43</f>
        <v>262311</v>
      </c>
      <c r="BU44" s="230">
        <f t="shared" si="353"/>
        <v>23363</v>
      </c>
      <c r="BV44" s="230">
        <f t="shared" si="353"/>
        <v>402879</v>
      </c>
      <c r="BW44" s="230">
        <f t="shared" si="353"/>
        <v>0</v>
      </c>
      <c r="BX44" s="230">
        <f t="shared" si="353"/>
        <v>0</v>
      </c>
      <c r="BY44" s="56">
        <f t="shared" si="353"/>
        <v>0</v>
      </c>
      <c r="BZ44" s="54">
        <f t="shared" si="25"/>
        <v>0</v>
      </c>
      <c r="CA44" s="339">
        <f t="shared" ref="CA44:CF44" si="354">CA32+CA38+CA43</f>
        <v>0</v>
      </c>
      <c r="CB44" s="53">
        <f t="shared" si="354"/>
        <v>0</v>
      </c>
      <c r="CC44" s="53">
        <f t="shared" si="354"/>
        <v>9513351.4499999993</v>
      </c>
      <c r="CD44" s="53">
        <f t="shared" si="354"/>
        <v>0</v>
      </c>
      <c r="CE44" s="53">
        <f t="shared" si="354"/>
        <v>0</v>
      </c>
      <c r="CF44" s="53">
        <f t="shared" si="354"/>
        <v>0</v>
      </c>
      <c r="CG44" s="54">
        <f t="shared" si="28"/>
        <v>0</v>
      </c>
      <c r="CH44" s="339">
        <f t="shared" ref="CH44:CM44" si="355">CH32+CH38+CH43</f>
        <v>0</v>
      </c>
      <c r="CI44" s="53">
        <f t="shared" si="355"/>
        <v>50845.130000000107</v>
      </c>
      <c r="CJ44" s="53">
        <f t="shared" si="355"/>
        <v>1666569.9712999999</v>
      </c>
      <c r="CK44" s="53">
        <f t="shared" si="355"/>
        <v>0</v>
      </c>
      <c r="CL44" s="53">
        <f t="shared" si="355"/>
        <v>0</v>
      </c>
      <c r="CM44" s="53">
        <f t="shared" si="355"/>
        <v>0</v>
      </c>
      <c r="CN44" s="54">
        <f t="shared" si="31"/>
        <v>0</v>
      </c>
      <c r="CO44" s="55">
        <f t="shared" si="46"/>
        <v>0</v>
      </c>
      <c r="CP44" s="224">
        <f t="shared" si="46"/>
        <v>0</v>
      </c>
      <c r="CQ44" s="54">
        <f t="shared" si="33"/>
        <v>0</v>
      </c>
      <c r="CR44" s="55">
        <f t="shared" si="44"/>
        <v>0</v>
      </c>
      <c r="CS44" s="224">
        <f t="shared" si="34"/>
        <v>0</v>
      </c>
      <c r="CT44" s="54">
        <f t="shared" si="47"/>
        <v>0</v>
      </c>
      <c r="CU44" s="44"/>
      <c r="CW44" s="55">
        <f>CW43</f>
        <v>285122</v>
      </c>
      <c r="CX44" s="56">
        <f>CX43</f>
        <v>296864</v>
      </c>
      <c r="CY44" s="54">
        <f t="shared" si="36"/>
        <v>-3.9553465559987067E-2</v>
      </c>
      <c r="CZ44" s="278"/>
      <c r="DA44" s="279"/>
      <c r="DB44" s="279"/>
      <c r="DC44" s="280"/>
    </row>
    <row r="45" spans="1:107" x14ac:dyDescent="0.25">
      <c r="B45" s="44">
        <v>2018</v>
      </c>
      <c r="C45" s="88">
        <v>27</v>
      </c>
      <c r="D45" s="51">
        <f>G45*H45</f>
        <v>1328964.30128</v>
      </c>
      <c r="E45" s="202">
        <f>IFERROR(D45*F45,0)</f>
        <v>-2329036.6627940005</v>
      </c>
      <c r="F45" s="182">
        <f t="shared" si="45"/>
        <v>-1.752520109494871</v>
      </c>
      <c r="G45" s="176">
        <f t="shared" ref="G45:I48" si="356">IFERROR(VLOOKUP($B45 &amp; $C45&amp;G$4&amp;$A45,tblForecast,G$2,FALSE),0)</f>
        <v>147163</v>
      </c>
      <c r="H45" s="203">
        <f t="shared" si="356"/>
        <v>9.0305599999999995</v>
      </c>
      <c r="I45" s="203">
        <f t="shared" si="356"/>
        <v>24.856798000000001</v>
      </c>
      <c r="J45" s="176">
        <f>IFERROR(VLOOKUP($B45 &amp; $C45&amp;J$4&amp;$A45,tblForecast,J$2,FALSE),0)+IFERROR(VLOOKUP($B45 &amp; $C45 &amp; J$4 &amp; $A45,tblForecast,J$2+1,FALSE),0)</f>
        <v>1332492</v>
      </c>
      <c r="K45" s="300">
        <f>IFERROR(VLOOKUP($B45 &amp; $C45&amp;K$4&amp;$A45,tblForecast,K$2,FALSE),0)+IFERROR(VLOOKUP($B45 &amp; $C45&amp;K$4&amp;$A45,tblForecast,K$2+1,FALSE),0)</f>
        <v>1211069</v>
      </c>
      <c r="L45" s="90">
        <f t="shared" ref="L45:O48" si="357">Q45*AM45</f>
        <v>198624.47999999998</v>
      </c>
      <c r="M45" s="90">
        <f t="shared" si="357"/>
        <v>198624.47999999998</v>
      </c>
      <c r="N45" s="46">
        <f t="shared" si="357"/>
        <v>0</v>
      </c>
      <c r="O45" s="46">
        <f t="shared" si="357"/>
        <v>185006.766</v>
      </c>
      <c r="P45" s="47">
        <f t="shared" si="39"/>
        <v>7.3606572853665231E-2</v>
      </c>
      <c r="Q45" s="242">
        <f>ROUND(IF(BA42-(Q42*IF(W45=0,X45,W45))&lt;0,BA42,Q42*IF(W45=0,X45,W45)),0)</f>
        <v>26448</v>
      </c>
      <c r="R45" s="240">
        <f t="shared" ref="R45:S48" si="358">IFERROR(VLOOKUP($B45 &amp; $C45&amp;R$4,tblForecast,R$2,FALSE),0)</f>
        <v>26448</v>
      </c>
      <c r="S45" s="240">
        <f t="shared" si="358"/>
        <v>0</v>
      </c>
      <c r="T45" s="240">
        <f>IFERROR(VLOOKUP($B45-IF(CompareVer="LY",1,0) &amp; $C45 &amp;T$4,tblForecast,T$2,FALSE),0)</f>
        <v>29470</v>
      </c>
      <c r="U45" s="91">
        <f t="shared" si="7"/>
        <v>-0.10254496097726506</v>
      </c>
      <c r="V45" s="249">
        <f>IFERROR(IF(Q42&lt;&gt;0,Q45/Q42,0),0)</f>
        <v>1</v>
      </c>
      <c r="W45" s="334">
        <f>IFERROR(IF(R42&lt;&gt;0,R45/R42,0),0)</f>
        <v>1</v>
      </c>
      <c r="X45" s="250">
        <f>IFERROR(IF(T42&lt;&gt;0,T45/T42,0),0)</f>
        <v>1.2418879056047198</v>
      </c>
      <c r="Y45" s="51">
        <f t="shared" ref="Y45:AB48" si="359">IFERROR(L45*AD45,0)</f>
        <v>88600.799999999974</v>
      </c>
      <c r="Z45" s="46">
        <f t="shared" si="359"/>
        <v>88600.799999999974</v>
      </c>
      <c r="AA45" s="46">
        <f t="shared" si="359"/>
        <v>0</v>
      </c>
      <c r="AB45" s="46">
        <f t="shared" si="359"/>
        <v>74187.778000000006</v>
      </c>
      <c r="AC45" s="91">
        <f t="shared" si="9"/>
        <v>0.19427758033135811</v>
      </c>
      <c r="AD45" s="75">
        <f>IF(AM45&lt;&gt;0,1-AR45/AM45,0)</f>
        <v>0.44607190412782949</v>
      </c>
      <c r="AE45" s="93">
        <f t="shared" ref="AE45:AG48" si="360">IF(AN45&lt;&gt;0,1-AS45/AN45,0)</f>
        <v>0.44607190412782949</v>
      </c>
      <c r="AF45" s="93">
        <f t="shared" si="360"/>
        <v>0</v>
      </c>
      <c r="AG45" s="76">
        <f t="shared" si="360"/>
        <v>0.40100035044123739</v>
      </c>
      <c r="AH45" s="73">
        <f>IF(IFERROR(VLOOKUP($B45 &amp; $C45&amp;AH$4,tblForecast,AH$2,FALSE),0)=0,DB45,IFERROR(VLOOKUP($B45 &amp; $C45&amp;AH$4,tblForecast,AH$2,FALSE),0))</f>
        <v>25.02</v>
      </c>
      <c r="AI45" s="94">
        <f t="shared" ref="AI45:AJ48" si="361">IFERROR(VLOOKUP($B45 &amp; $C45&amp;AI$4,tblForecast,AI$2,FALSE),0)</f>
        <v>25.02</v>
      </c>
      <c r="AJ45" s="94">
        <f t="shared" si="361"/>
        <v>0</v>
      </c>
      <c r="AK45" s="49">
        <f>IFERROR(VLOOKUP($B45-IF(CompareVer="LY",1,0) &amp; $C45 &amp;AK$4,tblForecast,AK$2,FALSE),0)</f>
        <v>23.263300000000001</v>
      </c>
      <c r="AL45" s="47">
        <f t="shared" ref="AL45:AL60" si="362">IFERROR(AH45/AK45-1,)</f>
        <v>7.5513792110319722E-2</v>
      </c>
      <c r="AM45" s="73">
        <f>IF(IFERROR(VLOOKUP($B45 &amp; $C45&amp;AM$4,tblForecast,AM$2,FALSE),0)=0,DA45,IFERROR(VLOOKUP($B45 &amp; $C45&amp;AM$4,tblForecast,AM$2,FALSE),0))</f>
        <v>7.51</v>
      </c>
      <c r="AN45" s="94">
        <f t="shared" ref="AN45:AO48" si="363">IFERROR(VLOOKUP($B45 &amp; $C45&amp;AN$4,tblForecast,AN$2,FALSE),0)</f>
        <v>7.51</v>
      </c>
      <c r="AO45" s="94">
        <f t="shared" si="363"/>
        <v>0</v>
      </c>
      <c r="AP45" s="49">
        <f>IFERROR(VLOOKUP($B45-IF(CompareVer="LY",1,0) &amp; $C45 &amp;AP$4,tblForecast,AP$2,FALSE),0)</f>
        <v>6.2778</v>
      </c>
      <c r="AQ45" s="47">
        <f t="shared" si="14"/>
        <v>0.19627895122495143</v>
      </c>
      <c r="AR45" s="73">
        <f>IF(IFERROR(VLOOKUP($B45 &amp; $C45&amp;AR$4,tblForecast,AR$2,FALSE),0)=0,DC45,IFERROR(VLOOKUP($B45 &amp; $C45&amp;AR$4,tblForecast,AR$2,FALSE),0))</f>
        <v>4.16</v>
      </c>
      <c r="AS45" s="94">
        <f t="shared" ref="AS45:AT48" si="364">IFERROR(VLOOKUP($B45 &amp; $C45&amp;AS$4,tblForecast,AS$2,FALSE),0)</f>
        <v>4.16</v>
      </c>
      <c r="AT45" s="94">
        <f t="shared" si="364"/>
        <v>0</v>
      </c>
      <c r="AU45" s="49">
        <f>IFERROR(VLOOKUP($B45-IF(CompareVer="LY",1,0) &amp; $C45 &amp;AU$4,tblForecast,AU$2,FALSE),0)</f>
        <v>3.7604000000000002</v>
      </c>
      <c r="AV45" s="47">
        <f t="shared" si="16"/>
        <v>0.10626529092649717</v>
      </c>
      <c r="AW45" s="191">
        <f t="shared" si="332"/>
        <v>0.6998401278976818</v>
      </c>
      <c r="AX45" s="192">
        <f t="shared" si="332"/>
        <v>0.6998401278976818</v>
      </c>
      <c r="AY45" s="192">
        <f t="shared" si="332"/>
        <v>0</v>
      </c>
      <c r="AZ45" s="192">
        <f t="shared" si="332"/>
        <v>0.73014146746162412</v>
      </c>
      <c r="BA45" s="235">
        <f>IF(BA44+BV45+BL45+BR45-Q45&lt;0,0,BA44+BV45+BL45+BR45-Q45)</f>
        <v>293309</v>
      </c>
      <c r="BB45" s="231">
        <f>IF(IFERROR(VLOOKUP($B45 &amp; $C45&amp;BB$4,tblForecast,BB$2,FALSE),0)=0,BA45,IFERROR(VLOOKUP($B45 &amp; $C45&amp;BB$4,tblForecast,BB$2,FALSE),0))</f>
        <v>293309</v>
      </c>
      <c r="BC45" s="231">
        <f>IFERROR(VLOOKUP($B45-IF(CompareVer="LY",1,0) &amp; $C45 &amp;BC$4,tblForecast,BC$2,FALSE),0)</f>
        <v>0</v>
      </c>
      <c r="BD45" s="231">
        <f t="shared" ref="BD45:BD48" si="365">CX45+BG45</f>
        <v>288510</v>
      </c>
      <c r="BE45" s="194">
        <f t="shared" si="19"/>
        <v>1.6633738865204029E-2</v>
      </c>
      <c r="BF45" s="231">
        <f>IFERROR(VLOOKUP($B45 &amp; $C45&amp;IF($A45="a",BG$4,BF$4),tblForecast,BF$2,FALSE),0)</f>
        <v>0</v>
      </c>
      <c r="BG45" s="228">
        <f>IFERROR(VLOOKUP($B45-IF(CompareVer="LY",1,0) &amp; $C45 &amp;BG$4,tblForecast,BG$2,FALSE),0)</f>
        <v>21603</v>
      </c>
      <c r="BH45" s="179">
        <f>IF(Q45&lt;&gt;0,BA45/Q45,0)</f>
        <v>11.090025710828796</v>
      </c>
      <c r="BI45" s="183">
        <f>IF(T45&lt;&gt;0,BD45/T45,0)</f>
        <v>9.7899558873430603</v>
      </c>
      <c r="BJ45" s="195">
        <f t="shared" ref="BJ45:BJ48" si="366">IF(BA45&lt;&gt;0,Q45/BA45,0)</f>
        <v>9.0171116467616066E-2</v>
      </c>
      <c r="BK45" s="50">
        <f t="shared" ref="BK45:BK48" si="367">IF(BD45&lt;&gt;0,T45/BD45,0)</f>
        <v>0.10214550622162144</v>
      </c>
      <c r="BL45" s="234">
        <f>IFERROR(VLOOKUP($B45 &amp; $C45&amp;IF($A45="a",BM$4,BL$4),tblForecast,BL$2,FALSE),0)</f>
        <v>0</v>
      </c>
      <c r="BM45" s="228">
        <f>IFERROR(VLOOKUP($B45-IF(CompareVer="LY",1,0) &amp; $C45 &amp;BM$4,tblForecast,BM$2,FALSE),0)</f>
        <v>-99</v>
      </c>
      <c r="BN45" s="234">
        <f>IFERROR(VLOOKUP($B45 &amp; $C45&amp;IF($A45="a",BO$4,BN$4),tblForecast,BN$2,FALSE),0)</f>
        <v>0</v>
      </c>
      <c r="BO45" s="228">
        <f>IFERROR(VLOOKUP($B45-IF(CompareVer="LY",1,0) &amp; $C45 &amp;BO$4,tblForecast,BO$2,FALSE),0)</f>
        <v>1</v>
      </c>
      <c r="BP45" s="234">
        <f>IFERROR(VLOOKUP($B45 &amp; $C45&amp;IF($A45="a",BQ$4,BP$4),tblForecast,BP$2,FALSE),0)</f>
        <v>0</v>
      </c>
      <c r="BQ45" s="228">
        <f>IFERROR(VLOOKUP($B45-IF(CompareVer="LY",1,0) &amp; $C45 &amp;BQ$4,tblForecast,BQ$2,FALSE),0)</f>
        <v>419</v>
      </c>
      <c r="BR45" s="227">
        <f t="shared" si="43"/>
        <v>0</v>
      </c>
      <c r="BS45" s="231">
        <f t="shared" si="22"/>
        <v>-418</v>
      </c>
      <c r="BT45" s="234">
        <f t="shared" ref="BT45:BU48" si="368">IFERROR(VLOOKUP($B45 &amp; $C45&amp;BT$4,tblForecast,BT$2,FALSE),0)</f>
        <v>0</v>
      </c>
      <c r="BU45" s="231">
        <f t="shared" si="368"/>
        <v>0</v>
      </c>
      <c r="BV45" s="231">
        <f>IF($A45="a",IFERROR(VLOOKUP($B45 &amp; $C45&amp;BV$4,tblForecast,BV$2,FALSE),0),BT45+BU45)</f>
        <v>0</v>
      </c>
      <c r="BW45" s="231">
        <f t="shared" ref="BW45:BX48" si="369">IFERROR(VLOOKUP($B45 &amp; $C45&amp;BW$4,tblForecast,BW$2,FALSE),0)</f>
        <v>0</v>
      </c>
      <c r="BX45" s="231">
        <f t="shared" si="369"/>
        <v>0</v>
      </c>
      <c r="BY45" s="193">
        <f>IFERROR(VLOOKUP($B45-IF(CompareVer="LY",1,0) &amp; $C45 &amp;BY$4,tblForecast,BY$2,FALSE),0)</f>
        <v>0</v>
      </c>
      <c r="BZ45" s="194">
        <f t="shared" si="25"/>
        <v>0</v>
      </c>
      <c r="CA45" s="337">
        <f t="shared" ref="CA45:CB48" si="370">IFERROR(VLOOKUP($B45 &amp; $C45&amp;CA$4,tblForecast,CA$2,FALSE),0)</f>
        <v>0</v>
      </c>
      <c r="CB45" s="46">
        <f t="shared" si="370"/>
        <v>0</v>
      </c>
      <c r="CC45" s="46">
        <f>IF($A45="a",IFERROR(VLOOKUP($B45 &amp; $C45&amp;CC$4,tblForecast,CC$2,FALSE),0),CA45+CB45)</f>
        <v>0</v>
      </c>
      <c r="CD45" s="46">
        <f t="shared" ref="CD45:CE48" si="371">IFERROR(VLOOKUP($B45 &amp; $C45&amp;CD$4,tblForecast,CD$2,FALSE),0)</f>
        <v>0</v>
      </c>
      <c r="CE45" s="46">
        <f t="shared" si="371"/>
        <v>0</v>
      </c>
      <c r="CF45" s="46">
        <f>IFERROR(VLOOKUP($B45-IF(CompareVer="LY",1,0) &amp; $C45 &amp;CF$4,tblForecast,CF$2,FALSE),0)</f>
        <v>0</v>
      </c>
      <c r="CG45" s="194">
        <f t="shared" si="28"/>
        <v>0</v>
      </c>
      <c r="CH45" s="337">
        <f t="shared" ref="CH45:CI48" si="372">IFERROR(VLOOKUP($B45 &amp; $C45&amp;CH$4,tblForecast,CH$2,FALSE),0)</f>
        <v>0</v>
      </c>
      <c r="CI45" s="46">
        <f t="shared" si="372"/>
        <v>0</v>
      </c>
      <c r="CJ45" s="46">
        <f>IF($A45="a",IFERROR(VLOOKUP($B45 &amp; $C45&amp;CJ$4,tblForecast,CJ$2,FALSE),0),CH45+CI45)</f>
        <v>0</v>
      </c>
      <c r="CK45" s="46">
        <f t="shared" ref="CK45:CL48" si="373">IFERROR(VLOOKUP($B45 &amp; $C45&amp;CK$4,tblForecast,CK$2,FALSE),0)</f>
        <v>0</v>
      </c>
      <c r="CL45" s="46">
        <f t="shared" si="373"/>
        <v>0</v>
      </c>
      <c r="CM45" s="46">
        <f>IFERROR(VLOOKUP($B45-IF(CompareVer="LY",1,0) &amp; $C45 &amp;CM$4,tblForecast,CM$2,FALSE),0)</f>
        <v>0</v>
      </c>
      <c r="CN45" s="194">
        <f t="shared" si="31"/>
        <v>0</v>
      </c>
      <c r="CO45" s="178">
        <f t="shared" si="46"/>
        <v>0</v>
      </c>
      <c r="CP45" s="223">
        <f t="shared" si="46"/>
        <v>0</v>
      </c>
      <c r="CQ45" s="194">
        <f t="shared" si="33"/>
        <v>0</v>
      </c>
      <c r="CR45" s="178">
        <f t="shared" si="44"/>
        <v>0</v>
      </c>
      <c r="CS45" s="223">
        <f t="shared" si="34"/>
        <v>0</v>
      </c>
      <c r="CT45" s="194">
        <f t="shared" si="47"/>
        <v>0</v>
      </c>
      <c r="CU45" s="44"/>
      <c r="CW45" s="102">
        <f>IFERROR(VLOOKUP($B45 &amp; $C45&amp;CompareVer,tblForecast,CW$2,FALSE),0)</f>
        <v>0</v>
      </c>
      <c r="CX45" s="48">
        <f>IFERROR(VLOOKUP($B45-IF(CompareVer="LY",1,0) &amp; $C45 &amp;CX$4,tblForecast,CX$2,FALSE),0)</f>
        <v>266907</v>
      </c>
      <c r="CY45" s="47">
        <f t="shared" si="36"/>
        <v>-1</v>
      </c>
      <c r="CZ45" s="278">
        <f>IFERROR(VLOOKUP(Brand&amp;Channel&amp;Country&amp;$C45,tblDiscount,6,FALSE),0)</f>
        <v>0.7</v>
      </c>
      <c r="DA45" s="279">
        <f>(1-CZ45)*DB45</f>
        <v>7.5060000000000011</v>
      </c>
      <c r="DB45" s="279">
        <f>IFERROR(VLOOKUP(Brand&amp;Country &amp; Channel &amp;FC,tblFCSettings,8,FALSE),0)</f>
        <v>25.02</v>
      </c>
      <c r="DC45" s="280">
        <f>IFERROR(VLOOKUP(Brand&amp;Country &amp; Channel &amp;FC,tblFCSettings,9,FALSE),0)</f>
        <v>4.16</v>
      </c>
    </row>
    <row r="46" spans="1:107" x14ac:dyDescent="0.25">
      <c r="B46" s="44">
        <v>2018</v>
      </c>
      <c r="C46" s="88">
        <v>28</v>
      </c>
      <c r="D46" s="51">
        <f t="shared" ref="D46:D48" si="374">G46*H46</f>
        <v>458487.28824000002</v>
      </c>
      <c r="E46" s="202">
        <f t="shared" ref="E46:E48" si="375">IFERROR(D46*F46,0)</f>
        <v>-2698533.1759200003</v>
      </c>
      <c r="F46" s="182">
        <f t="shared" si="45"/>
        <v>-5.8857317206740625</v>
      </c>
      <c r="G46" s="176">
        <f t="shared" si="356"/>
        <v>101040</v>
      </c>
      <c r="H46" s="203">
        <f t="shared" si="356"/>
        <v>4.5376810000000001</v>
      </c>
      <c r="I46" s="203">
        <f t="shared" si="356"/>
        <v>31.245253999999999</v>
      </c>
      <c r="J46" s="176">
        <f>IFERROR(VLOOKUP($B46 &amp; $C46&amp;J$4&amp;$A46,tblForecast,J$2,FALSE),0)+IFERROR(VLOOKUP($B46 &amp; $C46 &amp; J$4 &amp; $A46,tblForecast,J$2+1,FALSE),0)</f>
        <v>1302292</v>
      </c>
      <c r="K46" s="300">
        <f>IFERROR(VLOOKUP($B46 &amp; $C46&amp;K$4&amp;$A46,tblForecast,K$2,FALSE),0)+IFERROR(VLOOKUP($B46 &amp; $C46&amp;K$4&amp;$A46,tblForecast,K$2+1,FALSE),0)</f>
        <v>76678</v>
      </c>
      <c r="L46" s="90">
        <f t="shared" si="357"/>
        <v>168832.31</v>
      </c>
      <c r="M46" s="90">
        <f t="shared" si="357"/>
        <v>168832.31</v>
      </c>
      <c r="N46" s="46">
        <f t="shared" si="357"/>
        <v>0</v>
      </c>
      <c r="O46" s="46">
        <f t="shared" si="357"/>
        <v>143764.764</v>
      </c>
      <c r="P46" s="47">
        <f t="shared" si="39"/>
        <v>0.1743650203467102</v>
      </c>
      <c r="Q46" s="242">
        <f t="shared" ref="Q46:Q48" si="376">ROUND(IF(BA45-(Q45*IF(W46=0,X46,W46))&lt;0,BA45,Q45*IF(W46=0,X46,W46)),0)</f>
        <v>22481</v>
      </c>
      <c r="R46" s="240">
        <f t="shared" si="358"/>
        <v>22481</v>
      </c>
      <c r="S46" s="240">
        <f t="shared" si="358"/>
        <v>0</v>
      </c>
      <c r="T46" s="240">
        <f>IFERROR(VLOOKUP($B46-IF(CompareVer="LY",1,0) &amp; $C46 &amp;T$4,tblForecast,T$2,FALSE),0)</f>
        <v>21892</v>
      </c>
      <c r="U46" s="91">
        <f t="shared" si="7"/>
        <v>2.690480540836826E-2</v>
      </c>
      <c r="V46" s="249">
        <f t="shared" ref="V46:V48" si="377">IFERROR(IF(Q45&lt;&gt;0,Q46/Q45,0),0)</f>
        <v>0.8500075620084695</v>
      </c>
      <c r="W46" s="334">
        <f t="shared" ref="W46:W48" si="378">IFERROR(IF(R45&lt;&gt;0,R46/R45,0),0)</f>
        <v>0.8500075620084695</v>
      </c>
      <c r="X46" s="250">
        <f>IFERROR(IF(T45&lt;&gt;0,T46/T45,0),0)</f>
        <v>0.74285714285714288</v>
      </c>
      <c r="Y46" s="51">
        <f t="shared" si="359"/>
        <v>75311.349999999991</v>
      </c>
      <c r="Z46" s="46">
        <f t="shared" si="359"/>
        <v>75311.349999999991</v>
      </c>
      <c r="AA46" s="46">
        <f t="shared" si="359"/>
        <v>0</v>
      </c>
      <c r="AB46" s="46">
        <f t="shared" si="359"/>
        <v>62523.552000000003</v>
      </c>
      <c r="AC46" s="91">
        <f t="shared" si="9"/>
        <v>0.20452769541947946</v>
      </c>
      <c r="AD46" s="75">
        <f>IF(AM46&lt;&gt;0,1-AR46/AM46,0)</f>
        <v>0.44607190412782949</v>
      </c>
      <c r="AE46" s="93">
        <f t="shared" si="360"/>
        <v>0.44607190412782949</v>
      </c>
      <c r="AF46" s="93">
        <f t="shared" si="360"/>
        <v>0</v>
      </c>
      <c r="AG46" s="76">
        <f t="shared" si="360"/>
        <v>0.43490178163545001</v>
      </c>
      <c r="AH46" s="73">
        <f>IF(IFERROR(VLOOKUP($B46 &amp; $C46&amp;AH$4,tblForecast,AH$2,FALSE),0)=0,DB46,IFERROR(VLOOKUP($B46 &amp; $C46&amp;AH$4,tblForecast,AH$2,FALSE),0))</f>
        <v>25.02</v>
      </c>
      <c r="AI46" s="94">
        <f t="shared" si="361"/>
        <v>25.02</v>
      </c>
      <c r="AJ46" s="94">
        <f t="shared" si="361"/>
        <v>0</v>
      </c>
      <c r="AK46" s="49">
        <f>IFERROR(VLOOKUP($B46-IF(CompareVer="LY",1,0) &amp; $C46 &amp;AK$4,tblForecast,AK$2,FALSE),0)</f>
        <v>22.901599999999998</v>
      </c>
      <c r="AL46" s="47">
        <f t="shared" si="362"/>
        <v>9.2500087330142922E-2</v>
      </c>
      <c r="AM46" s="73">
        <f>IF(IFERROR(VLOOKUP($B46 &amp; $C46&amp;AM$4,tblForecast,AM$2,FALSE),0)=0,DA46,IFERROR(VLOOKUP($B46 &amp; $C46&amp;AM$4,tblForecast,AM$2,FALSE),0))</f>
        <v>7.51</v>
      </c>
      <c r="AN46" s="94">
        <f t="shared" si="363"/>
        <v>7.51</v>
      </c>
      <c r="AO46" s="94">
        <f t="shared" si="363"/>
        <v>0</v>
      </c>
      <c r="AP46" s="49">
        <f>IFERROR(VLOOKUP($B46-IF(CompareVer="LY",1,0) &amp; $C46 &amp;AP$4,tblForecast,AP$2,FALSE),0)</f>
        <v>6.5670000000000002</v>
      </c>
      <c r="AQ46" s="47">
        <f t="shared" si="14"/>
        <v>0.14359677173747509</v>
      </c>
      <c r="AR46" s="73">
        <f>IF(IFERROR(VLOOKUP($B46 &amp; $C46&amp;AR$4,tblForecast,AR$2,FALSE),0)=0,DC46,IFERROR(VLOOKUP($B46 &amp; $C46&amp;AR$4,tblForecast,AR$2,FALSE),0))</f>
        <v>4.16</v>
      </c>
      <c r="AS46" s="94">
        <f t="shared" si="364"/>
        <v>4.16</v>
      </c>
      <c r="AT46" s="94">
        <f t="shared" si="364"/>
        <v>0</v>
      </c>
      <c r="AU46" s="49">
        <f>IFERROR(VLOOKUP($B46-IF(CompareVer="LY",1,0) &amp; $C46 &amp;AU$4,tblForecast,AU$2,FALSE),0)</f>
        <v>3.7109999999999999</v>
      </c>
      <c r="AV46" s="47">
        <f t="shared" si="16"/>
        <v>0.12099164645648086</v>
      </c>
      <c r="AW46" s="191">
        <f t="shared" si="332"/>
        <v>0.6998401278976818</v>
      </c>
      <c r="AX46" s="192">
        <f t="shared" si="332"/>
        <v>0.6998401278976818</v>
      </c>
      <c r="AY46" s="192">
        <f t="shared" si="332"/>
        <v>0</v>
      </c>
      <c r="AZ46" s="192">
        <f t="shared" si="332"/>
        <v>0.71325147587941451</v>
      </c>
      <c r="BA46" s="235">
        <f>IF(BA45+BV46+BL46+BR46-Q46&lt;0,0,BA45+BV46+BL46+BR46-Q46)</f>
        <v>270828</v>
      </c>
      <c r="BB46" s="231">
        <f>IF(IFERROR(VLOOKUP($B46 &amp; $C46&amp;BB$4,tblForecast,BB$2,FALSE),0)=0,BA46,IFERROR(VLOOKUP($B46 &amp; $C46&amp;BB$4,tblForecast,BB$2,FALSE),0))</f>
        <v>270828</v>
      </c>
      <c r="BC46" s="231">
        <f>IFERROR(VLOOKUP($B46-IF(CompareVer="LY",1,0) &amp; $C46 &amp;BC$4,tblForecast,BC$2,FALSE),0)</f>
        <v>0</v>
      </c>
      <c r="BD46" s="231">
        <f t="shared" si="365"/>
        <v>265762</v>
      </c>
      <c r="BE46" s="194">
        <f t="shared" si="19"/>
        <v>1.9062168406318358E-2</v>
      </c>
      <c r="BF46" s="231">
        <f>IFERROR(VLOOKUP($B46 &amp; $C46&amp;IF($A46="a",BG$4,BF$4),tblForecast,BF$2,FALSE),0)</f>
        <v>0</v>
      </c>
      <c r="BG46" s="228">
        <f>IFERROR(VLOOKUP($B46-IF(CompareVer="LY",1,0) &amp; $C46 &amp;BG$4,tblForecast,BG$2,FALSE),0)</f>
        <v>21636</v>
      </c>
      <c r="BH46" s="179">
        <f>IF(Q46&lt;&gt;0,BA46/Q46,0)</f>
        <v>12.046972999421733</v>
      </c>
      <c r="BI46" s="183">
        <f>IF(T46&lt;&gt;0,BD46/T46,0)</f>
        <v>12.139685729947013</v>
      </c>
      <c r="BJ46" s="195">
        <f t="shared" si="366"/>
        <v>8.3008403857799049E-2</v>
      </c>
      <c r="BK46" s="50">
        <f t="shared" si="367"/>
        <v>8.2374455339740069E-2</v>
      </c>
      <c r="BL46" s="234">
        <f>IFERROR(VLOOKUP($B46 &amp; $C46&amp;IF($A46="a",BM$4,BL$4),tblForecast,BL$2,FALSE),0)</f>
        <v>0</v>
      </c>
      <c r="BM46" s="228">
        <f>IFERROR(VLOOKUP($B46-IF(CompareVer="LY",1,0) &amp; $C46 &amp;BM$4,tblForecast,BM$2,FALSE),0)</f>
        <v>-41</v>
      </c>
      <c r="BN46" s="234">
        <f>IFERROR(VLOOKUP($B46 &amp; $C46&amp;IF($A46="a",BO$4,BN$4),tblForecast,BN$2,FALSE),0)</f>
        <v>0</v>
      </c>
      <c r="BO46" s="228">
        <f>IFERROR(VLOOKUP($B46-IF(CompareVer="LY",1,0) &amp; $C46 &amp;BO$4,tblForecast,BO$2,FALSE),0)</f>
        <v>0</v>
      </c>
      <c r="BP46" s="234">
        <f>IFERROR(VLOOKUP($B46 &amp; $C46&amp;IF($A46="a",BQ$4,BP$4),tblForecast,BP$2,FALSE),0)</f>
        <v>0</v>
      </c>
      <c r="BQ46" s="228">
        <f>IFERROR(VLOOKUP($B46-IF(CompareVer="LY",1,0) &amp; $C46 &amp;BQ$4,tblForecast,BQ$2,FALSE),0)</f>
        <v>745</v>
      </c>
      <c r="BR46" s="227">
        <f t="shared" si="43"/>
        <v>0</v>
      </c>
      <c r="BS46" s="231">
        <f t="shared" si="22"/>
        <v>-745</v>
      </c>
      <c r="BT46" s="234">
        <f t="shared" si="368"/>
        <v>0</v>
      </c>
      <c r="BU46" s="231">
        <f t="shared" si="368"/>
        <v>0</v>
      </c>
      <c r="BV46" s="231">
        <f>IF($A46="a",IFERROR(VLOOKUP($B46 &amp; $C46&amp;BV$4,tblForecast,BV$2,FALSE),0),BT46+BU46)</f>
        <v>0</v>
      </c>
      <c r="BW46" s="231">
        <f t="shared" si="369"/>
        <v>0</v>
      </c>
      <c r="BX46" s="231">
        <f t="shared" si="369"/>
        <v>0</v>
      </c>
      <c r="BY46" s="193">
        <f>IFERROR(VLOOKUP($B46-IF(CompareVer="LY",1,0) &amp; $C46 &amp;BY$4,tblForecast,BY$2,FALSE),0)</f>
        <v>0</v>
      </c>
      <c r="BZ46" s="194">
        <f t="shared" si="25"/>
        <v>0</v>
      </c>
      <c r="CA46" s="337">
        <f t="shared" si="370"/>
        <v>0</v>
      </c>
      <c r="CB46" s="46">
        <f t="shared" si="370"/>
        <v>0</v>
      </c>
      <c r="CC46" s="46">
        <f>IF($A46="a",IFERROR(VLOOKUP($B46 &amp; $C46&amp;CC$4,tblForecast,CC$2,FALSE),0),CA46+CB46)</f>
        <v>0</v>
      </c>
      <c r="CD46" s="46">
        <f t="shared" si="371"/>
        <v>0</v>
      </c>
      <c r="CE46" s="46">
        <f t="shared" si="371"/>
        <v>0</v>
      </c>
      <c r="CF46" s="46">
        <f>IFERROR(VLOOKUP($B46-IF(CompareVer="LY",1,0) &amp; $C46 &amp;CF$4,tblForecast,CF$2,FALSE),0)</f>
        <v>0</v>
      </c>
      <c r="CG46" s="194">
        <f t="shared" si="28"/>
        <v>0</v>
      </c>
      <c r="CH46" s="337">
        <f t="shared" si="372"/>
        <v>0</v>
      </c>
      <c r="CI46" s="46">
        <f t="shared" si="372"/>
        <v>0</v>
      </c>
      <c r="CJ46" s="46">
        <f>IF($A46="a",IFERROR(VLOOKUP($B46 &amp; $C46&amp;CJ$4,tblForecast,CJ$2,FALSE),0),CH46+CI46)</f>
        <v>0</v>
      </c>
      <c r="CK46" s="46">
        <f t="shared" si="373"/>
        <v>0</v>
      </c>
      <c r="CL46" s="46">
        <f t="shared" si="373"/>
        <v>0</v>
      </c>
      <c r="CM46" s="46">
        <f>IFERROR(VLOOKUP($B46-IF(CompareVer="LY",1,0) &amp; $C46 &amp;CM$4,tblForecast,CM$2,FALSE),0)</f>
        <v>0</v>
      </c>
      <c r="CN46" s="194">
        <f t="shared" si="31"/>
        <v>0</v>
      </c>
      <c r="CO46" s="178">
        <f t="shared" si="46"/>
        <v>0</v>
      </c>
      <c r="CP46" s="223">
        <f t="shared" si="46"/>
        <v>0</v>
      </c>
      <c r="CQ46" s="194">
        <f t="shared" si="33"/>
        <v>0</v>
      </c>
      <c r="CR46" s="178">
        <f t="shared" si="44"/>
        <v>0</v>
      </c>
      <c r="CS46" s="223">
        <f t="shared" si="34"/>
        <v>0</v>
      </c>
      <c r="CT46" s="194">
        <f t="shared" si="47"/>
        <v>0</v>
      </c>
      <c r="CU46" s="44"/>
      <c r="CW46" s="102">
        <f>IFERROR(VLOOKUP($B46 &amp; $C46&amp;CompareVer,tblForecast,CW$2,FALSE),0)</f>
        <v>0</v>
      </c>
      <c r="CX46" s="48">
        <f>IFERROR(VLOOKUP($B46-IF(CompareVer="LY",1,0) &amp; $C46 &amp;CX$4,tblForecast,CX$2,FALSE),0)</f>
        <v>244126</v>
      </c>
      <c r="CY46" s="47">
        <f t="shared" si="36"/>
        <v>-1</v>
      </c>
      <c r="CZ46" s="278">
        <f>IFERROR(VLOOKUP(Brand&amp;Channel&amp;Country&amp;$C46,tblDiscount,6,FALSE),0)</f>
        <v>0.7</v>
      </c>
      <c r="DA46" s="279">
        <f>(1-CZ46)*DB46</f>
        <v>7.5060000000000011</v>
      </c>
      <c r="DB46" s="279">
        <f>IFERROR(VLOOKUP(Brand&amp;Country &amp; Channel &amp;FC,tblFCSettings,8,FALSE),0)</f>
        <v>25.02</v>
      </c>
      <c r="DC46" s="280">
        <f>IFERROR(VLOOKUP(Brand&amp;Country &amp; Channel &amp;FC,tblFCSettings,9,FALSE),0)</f>
        <v>4.16</v>
      </c>
    </row>
    <row r="47" spans="1:107" x14ac:dyDescent="0.25">
      <c r="B47" s="44">
        <v>2018</v>
      </c>
      <c r="C47" s="88">
        <v>29</v>
      </c>
      <c r="D47" s="51">
        <f t="shared" si="374"/>
        <v>-4413553.0949999997</v>
      </c>
      <c r="E47" s="202">
        <f t="shared" si="375"/>
        <v>-5041682.963583</v>
      </c>
      <c r="F47" s="182">
        <f t="shared" si="45"/>
        <v>1.142318412186905</v>
      </c>
      <c r="G47" s="176">
        <f t="shared" si="356"/>
        <v>-129297</v>
      </c>
      <c r="H47" s="203">
        <f t="shared" si="356"/>
        <v>34.134999999999998</v>
      </c>
      <c r="I47" s="203">
        <f t="shared" si="356"/>
        <v>-4.8580389999999998</v>
      </c>
      <c r="J47" s="176">
        <f>IFERROR(VLOOKUP($B47 &amp; $C47&amp;J$4&amp;$A47,tblForecast,J$2,FALSE),0)+IFERROR(VLOOKUP($B47 &amp; $C47 &amp; J$4 &amp; $A47,tblForecast,J$2+1,FALSE),0)</f>
        <v>1267333</v>
      </c>
      <c r="K47" s="300">
        <f>IFERROR(VLOOKUP($B47 &amp; $C47&amp;K$4&amp;$A47,tblForecast,K$2,FALSE),0)+IFERROR(VLOOKUP($B47 &amp; $C47&amp;K$4&amp;$A47,tblForecast,K$2+1,FALSE),0)</f>
        <v>41908</v>
      </c>
      <c r="L47" s="90">
        <f t="shared" si="357"/>
        <v>119616.08</v>
      </c>
      <c r="M47" s="90">
        <f t="shared" si="357"/>
        <v>119616.08</v>
      </c>
      <c r="N47" s="46">
        <f t="shared" si="357"/>
        <v>0</v>
      </c>
      <c r="O47" s="46">
        <f t="shared" si="357"/>
        <v>85859.297999999995</v>
      </c>
      <c r="P47" s="47">
        <f t="shared" si="39"/>
        <v>0.39316396460637271</v>
      </c>
      <c r="Q47" s="242">
        <f t="shared" si="376"/>
        <v>19108</v>
      </c>
      <c r="R47" s="240">
        <f t="shared" si="358"/>
        <v>19108</v>
      </c>
      <c r="S47" s="240">
        <f t="shared" si="358"/>
        <v>0</v>
      </c>
      <c r="T47" s="240">
        <f>IFERROR(VLOOKUP($B47-IF(CompareVer="LY",1,0) &amp; $C47 &amp;T$4,tblForecast,T$2,FALSE),0)</f>
        <v>11820</v>
      </c>
      <c r="U47" s="91">
        <f t="shared" si="7"/>
        <v>0.61658206429780038</v>
      </c>
      <c r="V47" s="249">
        <f t="shared" si="377"/>
        <v>0.84996219029402609</v>
      </c>
      <c r="W47" s="334">
        <f t="shared" si="378"/>
        <v>0.84996219029402609</v>
      </c>
      <c r="X47" s="250">
        <f>IFERROR(IF(T46&lt;&gt;0,T47/T46,0),0)</f>
        <v>0.53992325963822396</v>
      </c>
      <c r="Y47" s="51">
        <f t="shared" si="359"/>
        <v>40126.799999999988</v>
      </c>
      <c r="Z47" s="46">
        <f t="shared" si="359"/>
        <v>40126.799999999988</v>
      </c>
      <c r="AA47" s="46">
        <f t="shared" si="359"/>
        <v>0</v>
      </c>
      <c r="AB47" s="46">
        <f t="shared" si="359"/>
        <v>42151.301999999996</v>
      </c>
      <c r="AC47" s="91">
        <f t="shared" si="9"/>
        <v>-4.8029406066745217E-2</v>
      </c>
      <c r="AD47" s="75">
        <f>IF(AM47&lt;&gt;0,1-AR47/AM47,0)</f>
        <v>0.33546325878594241</v>
      </c>
      <c r="AE47" s="93">
        <f t="shared" si="360"/>
        <v>0.33546325878594241</v>
      </c>
      <c r="AF47" s="93">
        <f t="shared" si="360"/>
        <v>0</v>
      </c>
      <c r="AG47" s="76">
        <f t="shared" si="360"/>
        <v>0.49093462189732784</v>
      </c>
      <c r="AH47" s="73">
        <f>IF(IFERROR(VLOOKUP($B47 &amp; $C47&amp;AH$4,tblForecast,AH$2,FALSE),0)=0,DB47,IFERROR(VLOOKUP($B47 &amp; $C47&amp;AH$4,tblForecast,AH$2,FALSE),0))</f>
        <v>25.02</v>
      </c>
      <c r="AI47" s="94">
        <f t="shared" si="361"/>
        <v>25.02</v>
      </c>
      <c r="AJ47" s="94">
        <f t="shared" si="361"/>
        <v>0</v>
      </c>
      <c r="AK47" s="49">
        <f>IFERROR(VLOOKUP($B47-IF(CompareVer="LY",1,0) &amp; $C47 &amp;AK$4,tblForecast,AK$2,FALSE),0)</f>
        <v>22.803799999999999</v>
      </c>
      <c r="AL47" s="47">
        <f t="shared" si="362"/>
        <v>9.7185556793166095E-2</v>
      </c>
      <c r="AM47" s="73">
        <f>IF(IFERROR(VLOOKUP($B47 &amp; $C47&amp;AM$4,tblForecast,AM$2,FALSE),0)=0,DA47,IFERROR(VLOOKUP($B47 &amp; $C47&amp;AM$4,tblForecast,AM$2,FALSE),0))</f>
        <v>6.26</v>
      </c>
      <c r="AN47" s="94">
        <f t="shared" si="363"/>
        <v>6.26</v>
      </c>
      <c r="AO47" s="94">
        <f t="shared" si="363"/>
        <v>0</v>
      </c>
      <c r="AP47" s="49">
        <f>IFERROR(VLOOKUP($B47-IF(CompareVer="LY",1,0) &amp; $C47 &amp;AP$4,tblForecast,AP$2,FALSE),0)</f>
        <v>7.2638999999999996</v>
      </c>
      <c r="AQ47" s="47">
        <f t="shared" si="14"/>
        <v>-0.13820399509905146</v>
      </c>
      <c r="AR47" s="73">
        <f>IF(IFERROR(VLOOKUP($B47 &amp; $C47&amp;AR$4,tblForecast,AR$2,FALSE),0)=0,DC47,IFERROR(VLOOKUP($B47 &amp; $C47&amp;AR$4,tblForecast,AR$2,FALSE),0))</f>
        <v>4.16</v>
      </c>
      <c r="AS47" s="94">
        <f t="shared" si="364"/>
        <v>4.16</v>
      </c>
      <c r="AT47" s="94">
        <f t="shared" si="364"/>
        <v>0</v>
      </c>
      <c r="AU47" s="49">
        <f>IFERROR(VLOOKUP($B47-IF(CompareVer="LY",1,0) &amp; $C47 &amp;AU$4,tblForecast,AU$2,FALSE),0)</f>
        <v>3.6978</v>
      </c>
      <c r="AV47" s="47">
        <f t="shared" si="16"/>
        <v>0.12499323922332195</v>
      </c>
      <c r="AW47" s="191">
        <f t="shared" si="332"/>
        <v>0.74980015987210225</v>
      </c>
      <c r="AX47" s="192">
        <f t="shared" si="332"/>
        <v>0.74980015987210225</v>
      </c>
      <c r="AY47" s="192">
        <f t="shared" si="332"/>
        <v>0</v>
      </c>
      <c r="AZ47" s="192">
        <f t="shared" si="332"/>
        <v>0.68146098457274662</v>
      </c>
      <c r="BA47" s="235">
        <f>IF(BA46+BV47+BL47+BR47-Q47&lt;0,0,BA46+BV47+BL47+BR47-Q47)</f>
        <v>251720</v>
      </c>
      <c r="BB47" s="231">
        <f>IF(IFERROR(VLOOKUP($B47 &amp; $C47&amp;BB$4,tblForecast,BB$2,FALSE),0)=0,BA47,IFERROR(VLOOKUP($B47 &amp; $C47&amp;BB$4,tblForecast,BB$2,FALSE),0))</f>
        <v>251720</v>
      </c>
      <c r="BC47" s="231">
        <f>IFERROR(VLOOKUP($B47-IF(CompareVer="LY",1,0) &amp; $C47 &amp;BC$4,tblForecast,BC$2,FALSE),0)</f>
        <v>0</v>
      </c>
      <c r="BD47" s="231">
        <f t="shared" si="365"/>
        <v>252227</v>
      </c>
      <c r="BE47" s="194">
        <f t="shared" si="19"/>
        <v>-2.0100940819183233E-3</v>
      </c>
      <c r="BF47" s="231">
        <f>IFERROR(VLOOKUP($B47 &amp; $C47&amp;IF($A47="a",BG$4,BF$4),tblForecast,BF$2,FALSE),0)</f>
        <v>0</v>
      </c>
      <c r="BG47" s="228">
        <f>IFERROR(VLOOKUP($B47-IF(CompareVer="LY",1,0) &amp; $C47 &amp;BG$4,tblForecast,BG$2,FALSE),0)</f>
        <v>21623</v>
      </c>
      <c r="BH47" s="179">
        <f>IF(Q47&lt;&gt;0,BA47/Q47,0)</f>
        <v>13.173539878584887</v>
      </c>
      <c r="BI47" s="183">
        <f>IF(T47&lt;&gt;0,BD47/T47,0)</f>
        <v>21.339001692047379</v>
      </c>
      <c r="BJ47" s="195">
        <f t="shared" si="366"/>
        <v>7.5909740982043547E-2</v>
      </c>
      <c r="BK47" s="50">
        <f t="shared" si="367"/>
        <v>4.6862548418686339E-2</v>
      </c>
      <c r="BL47" s="234">
        <f>IFERROR(VLOOKUP($B47 &amp; $C47&amp;IF($A47="a",BM$4,BL$4),tblForecast,BL$2,FALSE),0)</f>
        <v>0</v>
      </c>
      <c r="BM47" s="228">
        <f>IFERROR(VLOOKUP($B47-IF(CompareVer="LY",1,0) &amp; $C47 &amp;BM$4,tblForecast,BM$2,FALSE),0)</f>
        <v>-91</v>
      </c>
      <c r="BN47" s="234">
        <f>IFERROR(VLOOKUP($B47 &amp; $C47&amp;IF($A47="a",BO$4,BN$4),tblForecast,BN$2,FALSE),0)</f>
        <v>0</v>
      </c>
      <c r="BO47" s="228">
        <f>IFERROR(VLOOKUP($B47-IF(CompareVer="LY",1,0) &amp; $C47 &amp;BO$4,tblForecast,BO$2,FALSE),0)</f>
        <v>334</v>
      </c>
      <c r="BP47" s="234">
        <f>IFERROR(VLOOKUP($B47 &amp; $C47&amp;IF($A47="a",BQ$4,BP$4),tblForecast,BP$2,FALSE),0)</f>
        <v>0</v>
      </c>
      <c r="BQ47" s="228">
        <f>IFERROR(VLOOKUP($B47-IF(CompareVer="LY",1,0) &amp; $C47 &amp;BQ$4,tblForecast,BQ$2,FALSE),0)</f>
        <v>1967</v>
      </c>
      <c r="BR47" s="227">
        <f t="shared" si="43"/>
        <v>0</v>
      </c>
      <c r="BS47" s="231">
        <f t="shared" si="22"/>
        <v>-1633</v>
      </c>
      <c r="BT47" s="234">
        <f t="shared" si="368"/>
        <v>0</v>
      </c>
      <c r="BU47" s="231">
        <f t="shared" si="368"/>
        <v>0</v>
      </c>
      <c r="BV47" s="231">
        <f>IF($A47="a",IFERROR(VLOOKUP($B47 &amp; $C47&amp;BV$4,tblForecast,BV$2,FALSE),0),BT47+BU47)</f>
        <v>0</v>
      </c>
      <c r="BW47" s="231">
        <f t="shared" si="369"/>
        <v>0</v>
      </c>
      <c r="BX47" s="231">
        <f t="shared" si="369"/>
        <v>0</v>
      </c>
      <c r="BY47" s="193">
        <f>IFERROR(VLOOKUP($B47-IF(CompareVer="LY",1,0) &amp; $C47 &amp;BY$4,tblForecast,BY$2,FALSE),0)</f>
        <v>0</v>
      </c>
      <c r="BZ47" s="194">
        <f t="shared" si="25"/>
        <v>0</v>
      </c>
      <c r="CA47" s="337">
        <f t="shared" si="370"/>
        <v>0</v>
      </c>
      <c r="CB47" s="46">
        <f t="shared" si="370"/>
        <v>0</v>
      </c>
      <c r="CC47" s="46">
        <f>IF($A47="a",IFERROR(VLOOKUP($B47 &amp; $C47&amp;CC$4,tblForecast,CC$2,FALSE),0),CA47+CB47)</f>
        <v>0</v>
      </c>
      <c r="CD47" s="46">
        <f t="shared" si="371"/>
        <v>0</v>
      </c>
      <c r="CE47" s="46">
        <f t="shared" si="371"/>
        <v>0</v>
      </c>
      <c r="CF47" s="46">
        <f>IFERROR(VLOOKUP($B47-IF(CompareVer="LY",1,0) &amp; $C47 &amp;CF$4,tblForecast,CF$2,FALSE),0)</f>
        <v>0</v>
      </c>
      <c r="CG47" s="194">
        <f t="shared" si="28"/>
        <v>0</v>
      </c>
      <c r="CH47" s="337">
        <f t="shared" si="372"/>
        <v>0</v>
      </c>
      <c r="CI47" s="46">
        <f t="shared" si="372"/>
        <v>0</v>
      </c>
      <c r="CJ47" s="46">
        <f>IF($A47="a",IFERROR(VLOOKUP($B47 &amp; $C47&amp;CJ$4,tblForecast,CJ$2,FALSE),0),CH47+CI47)</f>
        <v>0</v>
      </c>
      <c r="CK47" s="46">
        <f t="shared" si="373"/>
        <v>0</v>
      </c>
      <c r="CL47" s="46">
        <f t="shared" si="373"/>
        <v>0</v>
      </c>
      <c r="CM47" s="46">
        <f>IFERROR(VLOOKUP($B47-IF(CompareVer="LY",1,0) &amp; $C47 &amp;CM$4,tblForecast,CM$2,FALSE),0)</f>
        <v>0</v>
      </c>
      <c r="CN47" s="194">
        <f t="shared" si="31"/>
        <v>0</v>
      </c>
      <c r="CO47" s="178">
        <f t="shared" si="46"/>
        <v>0</v>
      </c>
      <c r="CP47" s="223">
        <f t="shared" si="46"/>
        <v>0</v>
      </c>
      <c r="CQ47" s="194">
        <f t="shared" si="33"/>
        <v>0</v>
      </c>
      <c r="CR47" s="178">
        <f t="shared" si="44"/>
        <v>0</v>
      </c>
      <c r="CS47" s="223">
        <f t="shared" si="34"/>
        <v>0</v>
      </c>
      <c r="CT47" s="194">
        <f t="shared" si="47"/>
        <v>0</v>
      </c>
      <c r="CU47" s="44"/>
      <c r="CW47" s="102">
        <f>IFERROR(VLOOKUP($B47 &amp; $C47&amp;CompareVer,tblForecast,CW$2,FALSE),0)</f>
        <v>0</v>
      </c>
      <c r="CX47" s="48">
        <f>IFERROR(VLOOKUP($B47-IF(CompareVer="LY",1,0) &amp; $C47 &amp;CX$4,tblForecast,CX$2,FALSE),0)</f>
        <v>230604</v>
      </c>
      <c r="CY47" s="47">
        <f t="shared" si="36"/>
        <v>-1</v>
      </c>
      <c r="CZ47" s="278">
        <f>IFERROR(VLOOKUP(Brand&amp;Channel&amp;Country&amp;$C47,tblDiscount,6,FALSE),0)</f>
        <v>0.75</v>
      </c>
      <c r="DA47" s="279">
        <f>(1-CZ47)*DB47</f>
        <v>6.2549999999999999</v>
      </c>
      <c r="DB47" s="279">
        <f>IFERROR(VLOOKUP(Brand&amp;Country &amp; Channel &amp;FC,tblFCSettings,8,FALSE),0)</f>
        <v>25.02</v>
      </c>
      <c r="DC47" s="280">
        <f>IFERROR(VLOOKUP(Brand&amp;Country &amp; Channel &amp;FC,tblFCSettings,9,FALSE),0)</f>
        <v>4.16</v>
      </c>
    </row>
    <row r="48" spans="1:107" ht="16.5" thickBot="1" x14ac:dyDescent="0.3">
      <c r="B48" s="44">
        <v>2018</v>
      </c>
      <c r="C48" s="88">
        <v>30</v>
      </c>
      <c r="D48" s="51">
        <f t="shared" si="374"/>
        <v>-4213486.8455129992</v>
      </c>
      <c r="E48" s="202">
        <f t="shared" si="375"/>
        <v>-4918483.5206429986</v>
      </c>
      <c r="F48" s="182">
        <f t="shared" si="45"/>
        <v>1.1673190639910886</v>
      </c>
      <c r="G48" s="176">
        <f t="shared" si="356"/>
        <v>-120219</v>
      </c>
      <c r="H48" s="203">
        <f t="shared" si="356"/>
        <v>35.048426999999997</v>
      </c>
      <c r="I48" s="203">
        <f t="shared" si="356"/>
        <v>-5.8642700000000003</v>
      </c>
      <c r="J48" s="176">
        <f>IFERROR(VLOOKUP($B48 &amp; $C48&amp;J$4&amp;$A48,tblForecast,J$2,FALSE),0)+IFERROR(VLOOKUP($B48 &amp; $C48 &amp; J$4 &amp; $A48,tblForecast,J$2+1,FALSE),0)</f>
        <v>1235669</v>
      </c>
      <c r="K48" s="300">
        <f>IFERROR(VLOOKUP($B48 &amp; $C48&amp;K$4&amp;$A48,tblForecast,K$2,FALSE),0)+IFERROR(VLOOKUP($B48 &amp; $C48&amp;K$4&amp;$A48,tblForecast,K$2+1,FALSE),0)</f>
        <v>74039</v>
      </c>
      <c r="L48" s="90">
        <f t="shared" si="357"/>
        <v>113637.78</v>
      </c>
      <c r="M48" s="90">
        <f t="shared" si="357"/>
        <v>113637.78</v>
      </c>
      <c r="N48" s="46">
        <f t="shared" si="357"/>
        <v>0</v>
      </c>
      <c r="O48" s="46">
        <f t="shared" si="357"/>
        <v>82291.393800000005</v>
      </c>
      <c r="P48" s="47">
        <f t="shared" si="39"/>
        <v>0.38091937385559249</v>
      </c>
      <c r="Q48" s="242">
        <f t="shared" si="376"/>
        <v>18153</v>
      </c>
      <c r="R48" s="240">
        <f t="shared" si="358"/>
        <v>18153</v>
      </c>
      <c r="S48" s="240">
        <f t="shared" si="358"/>
        <v>0</v>
      </c>
      <c r="T48" s="240">
        <f>IFERROR(VLOOKUP($B48-IF(CompareVer="LY",1,0) &amp; $C48 &amp;T$4,tblForecast,T$2,FALSE),0)</f>
        <v>12694</v>
      </c>
      <c r="U48" s="91">
        <f t="shared" si="7"/>
        <v>0.43004569087758004</v>
      </c>
      <c r="V48" s="249">
        <f t="shared" si="377"/>
        <v>0.95002093364036011</v>
      </c>
      <c r="W48" s="334">
        <f t="shared" si="378"/>
        <v>0.95002093364036011</v>
      </c>
      <c r="X48" s="250">
        <f>IFERROR(IF(T47&lt;&gt;0,T48/T47,0),0)</f>
        <v>1.0739424703891709</v>
      </c>
      <c r="Y48" s="51">
        <f t="shared" si="359"/>
        <v>38121.299999999988</v>
      </c>
      <c r="Z48" s="46">
        <f t="shared" si="359"/>
        <v>38121.299999999988</v>
      </c>
      <c r="AA48" s="46">
        <f t="shared" si="359"/>
        <v>0</v>
      </c>
      <c r="AB48" s="46">
        <f t="shared" si="359"/>
        <v>36507.944000000003</v>
      </c>
      <c r="AC48" s="91">
        <f t="shared" si="9"/>
        <v>4.4191916148441202E-2</v>
      </c>
      <c r="AD48" s="75">
        <f>IF(AM48&lt;&gt;0,1-AR48/AM48,0)</f>
        <v>0.33546325878594241</v>
      </c>
      <c r="AE48" s="93">
        <f t="shared" si="360"/>
        <v>0.33546325878594241</v>
      </c>
      <c r="AF48" s="93">
        <f t="shared" si="360"/>
        <v>0</v>
      </c>
      <c r="AG48" s="76">
        <f t="shared" si="360"/>
        <v>0.44364230953152239</v>
      </c>
      <c r="AH48" s="73">
        <f>IF(IFERROR(VLOOKUP($B48 &amp; $C48&amp;AH$4,tblForecast,AH$2,FALSE),0)=0,DB48,IFERROR(VLOOKUP($B48 &amp; $C48&amp;AH$4,tblForecast,AH$2,FALSE),0))</f>
        <v>25.02</v>
      </c>
      <c r="AI48" s="94">
        <f t="shared" si="361"/>
        <v>25.02</v>
      </c>
      <c r="AJ48" s="94">
        <f t="shared" si="361"/>
        <v>0</v>
      </c>
      <c r="AK48" s="49">
        <f>IFERROR(VLOOKUP($B48-IF(CompareVer="LY",1,0) &amp; $C48 &amp;AK$4,tblForecast,AK$2,FALSE),0)</f>
        <v>22.216699999999999</v>
      </c>
      <c r="AL48" s="47">
        <f t="shared" si="362"/>
        <v>0.12617985569414003</v>
      </c>
      <c r="AM48" s="73">
        <f>IF(IFERROR(VLOOKUP($B48 &amp; $C48&amp;AM$4,tblForecast,AM$2,FALSE),0)=0,DA48,IFERROR(VLOOKUP($B48 &amp; $C48&amp;AM$4,tblForecast,AM$2,FALSE),0))</f>
        <v>6.26</v>
      </c>
      <c r="AN48" s="94">
        <f t="shared" si="363"/>
        <v>6.26</v>
      </c>
      <c r="AO48" s="94">
        <f t="shared" si="363"/>
        <v>0</v>
      </c>
      <c r="AP48" s="49">
        <f>IFERROR(VLOOKUP($B48-IF(CompareVer="LY",1,0) &amp; $C48 &amp;AP$4,tblForecast,AP$2,FALSE),0)</f>
        <v>6.4827000000000004</v>
      </c>
      <c r="AQ48" s="47">
        <f t="shared" si="14"/>
        <v>-3.4352970213028633E-2</v>
      </c>
      <c r="AR48" s="73">
        <f>IF(IFERROR(VLOOKUP($B48 &amp; $C48&amp;AR$4,tblForecast,AR$2,FALSE),0)=0,DC48,IFERROR(VLOOKUP($B48 &amp; $C48&amp;AR$4,tblForecast,AR$2,FALSE),0))</f>
        <v>4.16</v>
      </c>
      <c r="AS48" s="94">
        <f t="shared" si="364"/>
        <v>4.16</v>
      </c>
      <c r="AT48" s="94">
        <f t="shared" si="364"/>
        <v>0</v>
      </c>
      <c r="AU48" s="49">
        <f>IFERROR(VLOOKUP($B48-IF(CompareVer="LY",1,0) &amp; $C48 &amp;AU$4,tblForecast,AU$2,FALSE),0)</f>
        <v>3.6067</v>
      </c>
      <c r="AV48" s="47">
        <f t="shared" si="16"/>
        <v>0.15340893337399852</v>
      </c>
      <c r="AW48" s="191">
        <f t="shared" si="332"/>
        <v>0.74980015987210225</v>
      </c>
      <c r="AX48" s="192">
        <f t="shared" si="332"/>
        <v>0.74980015987210225</v>
      </c>
      <c r="AY48" s="192">
        <f t="shared" si="332"/>
        <v>0</v>
      </c>
      <c r="AZ48" s="192">
        <f t="shared" si="332"/>
        <v>0.70820598918831323</v>
      </c>
      <c r="BA48" s="235">
        <f>IF(BA47+BV48+BL48+BR48-Q48&lt;0,0,BA47+BV48+BL48+BR48-Q48)</f>
        <v>233567</v>
      </c>
      <c r="BB48" s="231">
        <f>IF(IFERROR(VLOOKUP($B48 &amp; $C48&amp;BB$4,tblForecast,BB$2,FALSE),0)=0,BA48,IFERROR(VLOOKUP($B48 &amp; $C48&amp;BB$4,tblForecast,BB$2,FALSE),0))</f>
        <v>233567</v>
      </c>
      <c r="BC48" s="231">
        <f>IFERROR(VLOOKUP($B48-IF(CompareVer="LY",1,0) &amp; $C48 &amp;BC$4,tblForecast,BC$2,FALSE),0)</f>
        <v>0</v>
      </c>
      <c r="BD48" s="231">
        <f t="shared" si="365"/>
        <v>237299</v>
      </c>
      <c r="BE48" s="194">
        <f t="shared" si="19"/>
        <v>-1.572699421405066E-2</v>
      </c>
      <c r="BF48" s="231">
        <f>IFERROR(VLOOKUP($B48 &amp; $C48&amp;IF($A48="a",BG$4,BF$4),tblForecast,BF$2,FALSE),0)</f>
        <v>0</v>
      </c>
      <c r="BG48" s="228">
        <f>IFERROR(VLOOKUP($B48-IF(CompareVer="LY",1,0) &amp; $C48 &amp;BG$4,tblForecast,BG$2,FALSE),0)</f>
        <v>20378</v>
      </c>
      <c r="BH48" s="179">
        <f>IF(Q48&lt;&gt;0,BA48/Q48,0)</f>
        <v>12.86657852696524</v>
      </c>
      <c r="BI48" s="183">
        <f>IF(T48&lt;&gt;0,BD48/T48,0)</f>
        <v>18.693792342839135</v>
      </c>
      <c r="BJ48" s="195">
        <f t="shared" si="366"/>
        <v>7.7720739659284055E-2</v>
      </c>
      <c r="BK48" s="50">
        <f t="shared" si="367"/>
        <v>5.3493693610171138E-2</v>
      </c>
      <c r="BL48" s="234">
        <f>IFERROR(VLOOKUP($B48 &amp; $C48&amp;IF($A48="a",BM$4,BL$4),tblForecast,BL$2,FALSE),0)</f>
        <v>0</v>
      </c>
      <c r="BM48" s="228">
        <f>IFERROR(VLOOKUP($B48-IF(CompareVer="LY",1,0) &amp; $C48 &amp;BM$4,tblForecast,BM$2,FALSE),0)</f>
        <v>-103</v>
      </c>
      <c r="BN48" s="234">
        <f>IFERROR(VLOOKUP($B48 &amp; $C48&amp;IF($A48="a",BO$4,BN$4),tblForecast,BN$2,FALSE),0)</f>
        <v>0</v>
      </c>
      <c r="BO48" s="228">
        <f>IFERROR(VLOOKUP($B48-IF(CompareVer="LY",1,0) &amp; $C48 &amp;BO$4,tblForecast,BO$2,FALSE),0)</f>
        <v>147</v>
      </c>
      <c r="BP48" s="234">
        <f>IFERROR(VLOOKUP($B48 &amp; $C48&amp;IF($A48="a",BQ$4,BP$4),tblForecast,BP$2,FALSE),0)</f>
        <v>0</v>
      </c>
      <c r="BQ48" s="228">
        <f>IFERROR(VLOOKUP($B48-IF(CompareVer="LY",1,0) &amp; $C48 &amp;BQ$4,tblForecast,BQ$2,FALSE),0)</f>
        <v>2268</v>
      </c>
      <c r="BR48" s="227">
        <f t="shared" si="43"/>
        <v>0</v>
      </c>
      <c r="BS48" s="231">
        <f t="shared" si="22"/>
        <v>-2121</v>
      </c>
      <c r="BT48" s="234">
        <f t="shared" si="368"/>
        <v>0</v>
      </c>
      <c r="BU48" s="231">
        <f t="shared" si="368"/>
        <v>0</v>
      </c>
      <c r="BV48" s="231">
        <f>IF($A48="a",IFERROR(VLOOKUP($B48 &amp; $C48&amp;BV$4,tblForecast,BV$2,FALSE),0),BT48+BU48)</f>
        <v>0</v>
      </c>
      <c r="BW48" s="231">
        <f t="shared" si="369"/>
        <v>0</v>
      </c>
      <c r="BX48" s="231">
        <f t="shared" si="369"/>
        <v>0</v>
      </c>
      <c r="BY48" s="193">
        <f>IFERROR(VLOOKUP($B48-IF(CompareVer="LY",1,0) &amp; $C48 &amp;BY$4,tblForecast,BY$2,FALSE),0)</f>
        <v>0</v>
      </c>
      <c r="BZ48" s="194">
        <f t="shared" si="25"/>
        <v>0</v>
      </c>
      <c r="CA48" s="337">
        <f t="shared" si="370"/>
        <v>0</v>
      </c>
      <c r="CB48" s="46">
        <f t="shared" si="370"/>
        <v>0</v>
      </c>
      <c r="CC48" s="46">
        <f>IF($A48="a",IFERROR(VLOOKUP($B48 &amp; $C48&amp;CC$4,tblForecast,CC$2,FALSE),0),CA48+CB48)</f>
        <v>0</v>
      </c>
      <c r="CD48" s="46">
        <f t="shared" si="371"/>
        <v>0</v>
      </c>
      <c r="CE48" s="46">
        <f t="shared" si="371"/>
        <v>0</v>
      </c>
      <c r="CF48" s="46">
        <f>IFERROR(VLOOKUP($B48-IF(CompareVer="LY",1,0) &amp; $C48 &amp;CF$4,tblForecast,CF$2,FALSE),0)</f>
        <v>0</v>
      </c>
      <c r="CG48" s="194">
        <f t="shared" si="28"/>
        <v>0</v>
      </c>
      <c r="CH48" s="337">
        <f t="shared" si="372"/>
        <v>0</v>
      </c>
      <c r="CI48" s="46">
        <f t="shared" si="372"/>
        <v>0</v>
      </c>
      <c r="CJ48" s="46">
        <f>IF($A48="a",IFERROR(VLOOKUP($B48 &amp; $C48&amp;CJ$4,tblForecast,CJ$2,FALSE),0),CH48+CI48)</f>
        <v>0</v>
      </c>
      <c r="CK48" s="46">
        <f t="shared" si="373"/>
        <v>0</v>
      </c>
      <c r="CL48" s="46">
        <f t="shared" si="373"/>
        <v>0</v>
      </c>
      <c r="CM48" s="46">
        <f>IFERROR(VLOOKUP($B48-IF(CompareVer="LY",1,0) &amp; $C48 &amp;CM$4,tblForecast,CM$2,FALSE),0)</f>
        <v>0</v>
      </c>
      <c r="CN48" s="194">
        <f t="shared" si="31"/>
        <v>0</v>
      </c>
      <c r="CO48" s="178">
        <f t="shared" si="46"/>
        <v>0</v>
      </c>
      <c r="CP48" s="223">
        <f t="shared" si="46"/>
        <v>0</v>
      </c>
      <c r="CQ48" s="194">
        <f t="shared" si="33"/>
        <v>0</v>
      </c>
      <c r="CR48" s="178">
        <f t="shared" si="44"/>
        <v>0</v>
      </c>
      <c r="CS48" s="223">
        <f t="shared" si="34"/>
        <v>0</v>
      </c>
      <c r="CT48" s="194">
        <f t="shared" si="47"/>
        <v>0</v>
      </c>
      <c r="CU48" s="44"/>
      <c r="CW48" s="102">
        <f>IFERROR(VLOOKUP($B48 &amp; $C48&amp;CompareVer,tblForecast,CW$2,FALSE),0)</f>
        <v>0</v>
      </c>
      <c r="CX48" s="48">
        <f>IFERROR(VLOOKUP($B48-IF(CompareVer="LY",1,0) &amp; $C48 &amp;CX$4,tblForecast,CX$2,FALSE),0)</f>
        <v>216921</v>
      </c>
      <c r="CY48" s="47">
        <f t="shared" si="36"/>
        <v>-1</v>
      </c>
      <c r="CZ48" s="278">
        <f>IFERROR(VLOOKUP(Brand&amp;Channel&amp;Country&amp;$C48,tblDiscount,6,FALSE),0)</f>
        <v>0.75</v>
      </c>
      <c r="DA48" s="279">
        <f>(1-CZ48)*DB48</f>
        <v>6.2549999999999999</v>
      </c>
      <c r="DB48" s="279">
        <f>IFERROR(VLOOKUP(Brand&amp;Country &amp; Channel &amp;FC,tblFCSettings,8,FALSE),0)</f>
        <v>25.02</v>
      </c>
      <c r="DC48" s="280">
        <f>IFERROR(VLOOKUP(Brand&amp;Country &amp; Channel &amp;FC,tblFCSettings,9,FALSE),0)</f>
        <v>4.16</v>
      </c>
    </row>
    <row r="49" spans="2:107" ht="16.5" thickBot="1" x14ac:dyDescent="0.3">
      <c r="C49" s="253" t="s">
        <v>312</v>
      </c>
      <c r="D49" s="254">
        <f t="shared" ref="D49" si="379">SUM(D45:D48)</f>
        <v>-6839588.350992999</v>
      </c>
      <c r="E49" s="255">
        <f t="shared" ref="E49" si="380">SUM(E45:E48)</f>
        <v>-14987736.322939999</v>
      </c>
      <c r="F49" s="256">
        <f t="shared" si="45"/>
        <v>2.1913214003243366</v>
      </c>
      <c r="G49" s="257">
        <f>SUM(G45:G48)</f>
        <v>-1313</v>
      </c>
      <c r="H49" s="258">
        <f>IFERROR(D49/G49,0)</f>
        <v>5209.130503421934</v>
      </c>
      <c r="I49" s="258">
        <f>IFERROR(SUMPRODUCT(I45:I48,G45:G48)/G49,0)</f>
        <v>-6205.7486458088351</v>
      </c>
      <c r="J49" s="257">
        <f>SUM(J45:J48)</f>
        <v>5137786</v>
      </c>
      <c r="K49" s="301">
        <f>SUM(K45:K48)</f>
        <v>1403694</v>
      </c>
      <c r="L49" s="259">
        <f>SUM(L45:L48)</f>
        <v>600710.65</v>
      </c>
      <c r="M49" s="259">
        <f t="shared" ref="M49:O49" si="381">SUM(M45:M48)</f>
        <v>600710.65</v>
      </c>
      <c r="N49" s="259">
        <f t="shared" si="381"/>
        <v>0</v>
      </c>
      <c r="O49" s="259">
        <f t="shared" si="381"/>
        <v>496922.22180000006</v>
      </c>
      <c r="P49" s="260">
        <f t="shared" si="39"/>
        <v>0.20886252143051154</v>
      </c>
      <c r="Q49" s="262">
        <f t="shared" ref="Q49" si="382">SUM(Q45:Q48)</f>
        <v>86190</v>
      </c>
      <c r="R49" s="262">
        <f t="shared" ref="R49:S49" si="383">SUM(R45:R48)</f>
        <v>86190</v>
      </c>
      <c r="S49" s="262">
        <f t="shared" si="383"/>
        <v>0</v>
      </c>
      <c r="T49" s="262">
        <f>SUM(T45:T48)</f>
        <v>75876</v>
      </c>
      <c r="U49" s="260">
        <f t="shared" si="7"/>
        <v>0.13593231061205113</v>
      </c>
      <c r="V49" s="263">
        <f>V48</f>
        <v>0.95002093364036011</v>
      </c>
      <c r="W49" s="332">
        <f>W48</f>
        <v>0.95002093364036011</v>
      </c>
      <c r="X49" s="264">
        <f>X48</f>
        <v>1.0739424703891709</v>
      </c>
      <c r="Y49" s="254">
        <f>SUM(Y45:Y48)</f>
        <v>242160.24999999994</v>
      </c>
      <c r="Z49" s="259">
        <f t="shared" ref="Z49:AB49" si="384">SUM(Z45:Z48)</f>
        <v>242160.24999999994</v>
      </c>
      <c r="AA49" s="259">
        <f t="shared" si="384"/>
        <v>0</v>
      </c>
      <c r="AB49" s="259">
        <f t="shared" si="384"/>
        <v>215370.576</v>
      </c>
      <c r="AC49" s="260">
        <f t="shared" si="9"/>
        <v>0.12438873729900757</v>
      </c>
      <c r="AD49" s="265">
        <f>IFERROR(Y49/L49,0)</f>
        <v>0.4031229511246387</v>
      </c>
      <c r="AE49" s="266">
        <f>IFERROR(Z49/M49,0)</f>
        <v>0.4031229511246387</v>
      </c>
      <c r="AF49" s="266">
        <f>IFERROR(AA49/N49,0)</f>
        <v>0</v>
      </c>
      <c r="AG49" s="266">
        <f>IFERROR(AB49/O49,0)</f>
        <v>0.43340902570197753</v>
      </c>
      <c r="AH49" s="267">
        <f>IFERROR(SUMPRODUCT(AH45:AH48,Q45:Q48)/Q49,0)</f>
        <v>25.02</v>
      </c>
      <c r="AI49" s="268">
        <f>IFERROR(SUMPRODUCT(AI45:AI48,R45:R48)/R49,0)</f>
        <v>25.02</v>
      </c>
      <c r="AJ49" s="268">
        <f t="shared" ref="AJ49:AK49" si="385">IFERROR(SUMPRODUCT(AJ45:AJ48,S45:S48)/S49,0)</f>
        <v>0</v>
      </c>
      <c r="AK49" s="268">
        <f t="shared" si="385"/>
        <v>22.912264536875956</v>
      </c>
      <c r="AL49" s="260">
        <f t="shared" si="362"/>
        <v>9.1991582051253129E-2</v>
      </c>
      <c r="AM49" s="267">
        <f>IF(Q49&lt;&gt;0,L49/Q49,0)</f>
        <v>6.9696095834783618</v>
      </c>
      <c r="AN49" s="268">
        <f>IF(R49&lt;&gt;0,M49/R49,0)</f>
        <v>6.9696095834783618</v>
      </c>
      <c r="AO49" s="268">
        <f>IF(S49&lt;&gt;0,N49/S49,0)</f>
        <v>0</v>
      </c>
      <c r="AP49" s="268">
        <f>IF(T49&lt;&gt;0,O49/T49,0)</f>
        <v>6.549135718804366</v>
      </c>
      <c r="AQ49" s="260">
        <f t="shared" si="14"/>
        <v>6.4202954821458436E-2</v>
      </c>
      <c r="AR49" s="267">
        <f>IFERROR((L49*(1-AD49))/Q49,0)</f>
        <v>4.160000000000001</v>
      </c>
      <c r="AS49" s="268">
        <f>IFERROR((M49*(1-AE49))/R49,0)</f>
        <v>4.160000000000001</v>
      </c>
      <c r="AT49" s="268">
        <f>IFERROR((N49*(1-AF49))/S49,0)</f>
        <v>0</v>
      </c>
      <c r="AU49" s="268">
        <f>IFERROR((O49*(1-AG49))/T49,0)</f>
        <v>3.7106811877273445</v>
      </c>
      <c r="AV49" s="260">
        <f t="shared" si="16"/>
        <v>0.12108795920240389</v>
      </c>
      <c r="AW49" s="269">
        <f>IFERROR(SUMPRODUCT(AW45:AW48,V45:V48)/V49,0)</f>
        <v>2.7834514685566019</v>
      </c>
      <c r="AX49" s="270">
        <f t="shared" ref="AX49:AZ49" si="386">IFERROR(SUMPRODUCT(AX45:AX48,X45:X48)/X49,0)</f>
        <v>2.4201305773899078</v>
      </c>
      <c r="AY49" s="270">
        <f t="shared" si="386"/>
        <v>0</v>
      </c>
      <c r="AZ49" s="270">
        <f t="shared" si="386"/>
        <v>0.71336906564823555</v>
      </c>
      <c r="BA49" s="261">
        <f>BA48</f>
        <v>233567</v>
      </c>
      <c r="BB49" s="262">
        <f t="shared" ref="BB49:BD49" si="387">BB48</f>
        <v>233567</v>
      </c>
      <c r="BC49" s="262">
        <f t="shared" si="387"/>
        <v>0</v>
      </c>
      <c r="BD49" s="262">
        <f t="shared" si="387"/>
        <v>237299</v>
      </c>
      <c r="BE49" s="260">
        <f t="shared" si="19"/>
        <v>-1.572699421405066E-2</v>
      </c>
      <c r="BF49" s="262">
        <f>BF48</f>
        <v>0</v>
      </c>
      <c r="BG49" s="262">
        <f>BG48</f>
        <v>20378</v>
      </c>
      <c r="BH49" s="271">
        <f>IF(Q49&lt;&gt;0,(BA49*COUNTIF(BH45:BH48,"&lt;&gt;0")/Q49),0)</f>
        <v>10.839633368140156</v>
      </c>
      <c r="BI49" s="272">
        <f>IF(T49&lt;&gt;0,(BD49*COUNTIF(BI45:BI48,"&lt;&gt;0")/T49),0)</f>
        <v>12.509831830881966</v>
      </c>
      <c r="BJ49" s="273">
        <f t="shared" ref="BJ49" si="388">IF(BA49&lt;&gt;0,(Q49/COUNTIF(BJ45:BJ48,"&lt;&gt;0"))/BA49,0)</f>
        <v>9.2254042737201739E-2</v>
      </c>
      <c r="BK49" s="274">
        <f t="shared" ref="BK49" si="389">IF(BD49&lt;&gt;0,(T49/COUNTIF(BK45:BK48,"&lt;&gt;0"))/BD49,0)</f>
        <v>7.9937125735885947E-2</v>
      </c>
      <c r="BL49" s="261">
        <f>SUM(BL45:BL48)</f>
        <v>0</v>
      </c>
      <c r="BM49" s="262">
        <f>SUM(BM45:BM48)</f>
        <v>-334</v>
      </c>
      <c r="BN49" s="261">
        <f>SUM(BN45:BN48)</f>
        <v>0</v>
      </c>
      <c r="BO49" s="262">
        <f t="shared" ref="BO49:BQ49" si="390">SUM(BO45:BO48)</f>
        <v>482</v>
      </c>
      <c r="BP49" s="261">
        <f>SUM(BP45:BP48)</f>
        <v>0</v>
      </c>
      <c r="BQ49" s="262">
        <f t="shared" si="390"/>
        <v>5399</v>
      </c>
      <c r="BR49" s="261">
        <f t="shared" si="43"/>
        <v>0</v>
      </c>
      <c r="BS49" s="262">
        <f t="shared" si="22"/>
        <v>-4917</v>
      </c>
      <c r="BT49" s="261">
        <f>SUM(BT45:BT48)</f>
        <v>0</v>
      </c>
      <c r="BU49" s="262">
        <f>SUM(BU45:BU48)</f>
        <v>0</v>
      </c>
      <c r="BV49" s="262">
        <f>SUM(BV45:BV48)</f>
        <v>0</v>
      </c>
      <c r="BW49" s="262">
        <f t="shared" ref="BW49:BX49" si="391">SUM(BW45:BW48)</f>
        <v>0</v>
      </c>
      <c r="BX49" s="262">
        <f t="shared" si="391"/>
        <v>0</v>
      </c>
      <c r="BY49" s="275">
        <f>SUM(BY45:BY48)</f>
        <v>0</v>
      </c>
      <c r="BZ49" s="260">
        <f t="shared" si="25"/>
        <v>0</v>
      </c>
      <c r="CA49" s="338">
        <f>SUM(CA45:CA48)</f>
        <v>0</v>
      </c>
      <c r="CB49" s="259">
        <f t="shared" ref="CB49:CF49" si="392">SUM(CB45:CB48)</f>
        <v>0</v>
      </c>
      <c r="CC49" s="259">
        <f t="shared" si="392"/>
        <v>0</v>
      </c>
      <c r="CD49" s="259">
        <f t="shared" si="392"/>
        <v>0</v>
      </c>
      <c r="CE49" s="259">
        <f t="shared" si="392"/>
        <v>0</v>
      </c>
      <c r="CF49" s="259">
        <f t="shared" si="392"/>
        <v>0</v>
      </c>
      <c r="CG49" s="260">
        <f t="shared" si="28"/>
        <v>0</v>
      </c>
      <c r="CH49" s="338">
        <f>SUM(CH45:CH48)</f>
        <v>0</v>
      </c>
      <c r="CI49" s="259">
        <f t="shared" ref="CI49:CM49" si="393">SUM(CI45:CI48)</f>
        <v>0</v>
      </c>
      <c r="CJ49" s="259">
        <f t="shared" si="393"/>
        <v>0</v>
      </c>
      <c r="CK49" s="259">
        <f t="shared" si="393"/>
        <v>0</v>
      </c>
      <c r="CL49" s="259">
        <f t="shared" si="393"/>
        <v>0</v>
      </c>
      <c r="CM49" s="259">
        <f t="shared" si="393"/>
        <v>0</v>
      </c>
      <c r="CN49" s="260">
        <f t="shared" si="31"/>
        <v>0</v>
      </c>
      <c r="CO49" s="276">
        <f t="shared" si="46"/>
        <v>0</v>
      </c>
      <c r="CP49" s="277">
        <f t="shared" si="46"/>
        <v>0</v>
      </c>
      <c r="CQ49" s="260">
        <f t="shared" si="33"/>
        <v>0</v>
      </c>
      <c r="CR49" s="276">
        <f t="shared" si="44"/>
        <v>0</v>
      </c>
      <c r="CS49" s="277">
        <f t="shared" si="34"/>
        <v>0</v>
      </c>
      <c r="CT49" s="260">
        <f t="shared" si="47"/>
        <v>0</v>
      </c>
      <c r="CU49" s="44"/>
      <c r="CW49" s="100">
        <f>CW48</f>
        <v>0</v>
      </c>
      <c r="CX49" s="101">
        <f>CX48</f>
        <v>216921</v>
      </c>
      <c r="CY49" s="99">
        <f t="shared" si="36"/>
        <v>-1</v>
      </c>
      <c r="CZ49" s="278"/>
      <c r="DA49" s="279"/>
      <c r="DB49" s="279"/>
      <c r="DC49" s="280"/>
    </row>
    <row r="50" spans="2:107" x14ac:dyDescent="0.25">
      <c r="B50" s="44">
        <v>2018</v>
      </c>
      <c r="C50" s="88">
        <v>31</v>
      </c>
      <c r="D50" s="51">
        <f>G50*H50</f>
        <v>-6294952.2662959993</v>
      </c>
      <c r="E50" s="202">
        <f>IFERROR(D50*F50,0)</f>
        <v>-6183582.4635159997</v>
      </c>
      <c r="F50" s="182">
        <f t="shared" si="45"/>
        <v>0.98230807827149247</v>
      </c>
      <c r="G50" s="176">
        <f t="shared" ref="G50:I54" si="394">IFERROR(VLOOKUP($B50 &amp; $C50&amp;G$4&amp;$A50,tblForecast,G$2,FALSE),0)</f>
        <v>-193394</v>
      </c>
      <c r="H50" s="203">
        <f t="shared" si="394"/>
        <v>32.549883999999999</v>
      </c>
      <c r="I50" s="203">
        <f t="shared" si="394"/>
        <v>0.57586999999999999</v>
      </c>
      <c r="J50" s="176">
        <f>IFERROR(VLOOKUP($B50 &amp; $C50&amp;J$4&amp;$A50,tblForecast,J$2,FALSE),0)+IFERROR(VLOOKUP($B50 &amp; $C50 &amp; J$4 &amp; $A50,tblForecast,J$2+1,FALSE),0)</f>
        <v>1177112</v>
      </c>
      <c r="K50" s="300">
        <f>IFERROR(VLOOKUP($B50 &amp; $C50&amp;K$4&amp;$A50,tblForecast,K$2,FALSE),0)+IFERROR(VLOOKUP($B50 &amp; $C50&amp;K$4&amp;$A50,tblForecast,K$2+1,FALSE),0)</f>
        <v>0</v>
      </c>
      <c r="L50" s="90">
        <f t="shared" ref="L50:O54" si="395">Q50*AM50</f>
        <v>102275.87999999999</v>
      </c>
      <c r="M50" s="90">
        <f t="shared" si="395"/>
        <v>102275.87999999999</v>
      </c>
      <c r="N50" s="46">
        <f t="shared" si="395"/>
        <v>0</v>
      </c>
      <c r="O50" s="46">
        <f t="shared" si="395"/>
        <v>67445.592000000004</v>
      </c>
      <c r="P50" s="47">
        <f t="shared" si="39"/>
        <v>0.51642052456148635</v>
      </c>
      <c r="Q50" s="242">
        <f>ROUND(IF(BA48-(Q48*IF(W50=0,X50,W50))&lt;0,BA48,Q48*IF(W50=0,X50,W50)),0)</f>
        <v>16338</v>
      </c>
      <c r="R50" s="240">
        <f t="shared" ref="R50:S54" si="396">IFERROR(VLOOKUP($B50 &amp; $C50&amp;R$4,tblForecast,R$2,FALSE),0)</f>
        <v>16338</v>
      </c>
      <c r="S50" s="240">
        <f t="shared" si="396"/>
        <v>0</v>
      </c>
      <c r="T50" s="240">
        <f>IFERROR(VLOOKUP($B50-IF(CompareVer="LY",1,0) &amp; $C50 &amp;T$4,tblForecast,T$2,FALSE),0)</f>
        <v>10590</v>
      </c>
      <c r="U50" s="91">
        <f t="shared" si="7"/>
        <v>0.54277620396600557</v>
      </c>
      <c r="V50" s="249">
        <f>IFERROR(IF(Q48&gt;0,Q50/Q48,0),0)</f>
        <v>0.90001652619401751</v>
      </c>
      <c r="W50" s="334">
        <f>IFERROR(IF(R48&gt;0,R50/R48,0),0)</f>
        <v>0.90001652619401751</v>
      </c>
      <c r="X50" s="250">
        <f>IFERROR(IF(T48&gt;0,T50/T48,0),0)</f>
        <v>0.83425240270994172</v>
      </c>
      <c r="Y50" s="51">
        <f t="shared" ref="Y50:AB54" si="397">IFERROR(L50*AD50,0)</f>
        <v>34309.799999999988</v>
      </c>
      <c r="Z50" s="46">
        <f t="shared" si="397"/>
        <v>34309.799999999988</v>
      </c>
      <c r="AA50" s="46">
        <f t="shared" si="397"/>
        <v>0</v>
      </c>
      <c r="AB50" s="46">
        <f t="shared" si="397"/>
        <v>29592.696000000004</v>
      </c>
      <c r="AC50" s="91">
        <f t="shared" si="9"/>
        <v>0.15940095488427231</v>
      </c>
      <c r="AD50" s="75">
        <f>IF(AM50&lt;&gt;0,1-AR50/AM50,0)</f>
        <v>0.33546325878594241</v>
      </c>
      <c r="AE50" s="93">
        <f t="shared" ref="AE50:AG54" si="398">IF(AN50&lt;&gt;0,1-AS50/AN50,0)</f>
        <v>0.33546325878594241</v>
      </c>
      <c r="AF50" s="93">
        <f t="shared" si="398"/>
        <v>0</v>
      </c>
      <c r="AG50" s="76">
        <f t="shared" si="398"/>
        <v>0.43876397437507852</v>
      </c>
      <c r="AH50" s="73">
        <f>IF(IFERROR(VLOOKUP($B50 &amp; $C50&amp;AH$4,tblForecast,AH$2,FALSE),0)=0,DB50,IFERROR(VLOOKUP($B50 &amp; $C50&amp;AH$4,tblForecast,AH$2,FALSE),0))</f>
        <v>25.02</v>
      </c>
      <c r="AI50" s="94">
        <f t="shared" ref="AI50:AJ54" si="399">IFERROR(VLOOKUP($B50 &amp; $C50&amp;AI$4,tblForecast,AI$2,FALSE),0)</f>
        <v>25.02</v>
      </c>
      <c r="AJ50" s="94">
        <f t="shared" si="399"/>
        <v>0</v>
      </c>
      <c r="AK50" s="49">
        <f>IFERROR(VLOOKUP($B50-IF(CompareVer="LY",1,0) &amp; $C50 &amp;AK$4,tblForecast,AK$2,FALSE),0)</f>
        <v>22.009799999999998</v>
      </c>
      <c r="AL50" s="47">
        <f t="shared" si="362"/>
        <v>0.13676634953520717</v>
      </c>
      <c r="AM50" s="73">
        <f>IF(IFERROR(VLOOKUP($B50 &amp; $C50&amp;AM$4,tblForecast,AM$2,FALSE),0)=0,DA50,IFERROR(VLOOKUP($B50 &amp; $C50&amp;AM$4,tblForecast,AM$2,FALSE),0))</f>
        <v>6.26</v>
      </c>
      <c r="AN50" s="94">
        <f t="shared" ref="AN50:AO54" si="400">IFERROR(VLOOKUP($B50 &amp; $C50&amp;AN$4,tblForecast,AN$2,FALSE),0)</f>
        <v>6.26</v>
      </c>
      <c r="AO50" s="94">
        <f t="shared" si="400"/>
        <v>0</v>
      </c>
      <c r="AP50" s="49">
        <f>IFERROR(VLOOKUP($B50-IF(CompareVer="LY",1,0) &amp; $C50 &amp;AP$4,tblForecast,AP$2,FALSE),0)</f>
        <v>6.3688000000000002</v>
      </c>
      <c r="AQ50" s="47">
        <f t="shared" si="14"/>
        <v>-1.7083280994850014E-2</v>
      </c>
      <c r="AR50" s="73">
        <f>IF(IFERROR(VLOOKUP($B50 &amp; $C50&amp;AR$4,tblForecast,AR$2,FALSE),0)=0,DC50,IFERROR(VLOOKUP($B50 &amp; $C50&amp;AR$4,tblForecast,AR$2,FALSE),0))</f>
        <v>4.16</v>
      </c>
      <c r="AS50" s="94">
        <f t="shared" ref="AS50:AT54" si="401">IFERROR(VLOOKUP($B50 &amp; $C50&amp;AS$4,tblForecast,AS$2,FALSE),0)</f>
        <v>4.16</v>
      </c>
      <c r="AT50" s="94">
        <f t="shared" si="401"/>
        <v>0</v>
      </c>
      <c r="AU50" s="49">
        <f>IFERROR(VLOOKUP($B50-IF(CompareVer="LY",1,0) &amp; $C50 &amp;AU$4,tblForecast,AU$2,FALSE),0)</f>
        <v>3.5743999999999998</v>
      </c>
      <c r="AV50" s="47">
        <f t="shared" si="16"/>
        <v>0.16383169203222936</v>
      </c>
      <c r="AW50" s="191">
        <f t="shared" ref="AW50:AZ54" si="402">IFERROR((AM50/AH50-1)*-1,0)</f>
        <v>0.74980015987210225</v>
      </c>
      <c r="AX50" s="192">
        <f t="shared" si="402"/>
        <v>0.74980015987210225</v>
      </c>
      <c r="AY50" s="192">
        <f t="shared" si="402"/>
        <v>0</v>
      </c>
      <c r="AZ50" s="192">
        <f t="shared" si="402"/>
        <v>0.71063798853238103</v>
      </c>
      <c r="BA50" s="235">
        <f>IF(BA49+BV50+BL50+BR50-Q50&lt;0,0,BA49+BV50+BL50+BR50-Q50)</f>
        <v>217229</v>
      </c>
      <c r="BB50" s="231">
        <f>IF(IFERROR(VLOOKUP($B50 &amp; $C50&amp;BB$4,tblForecast,BB$2,FALSE),0)=0,BA50,IFERROR(VLOOKUP($B50 &amp; $C50&amp;BB$4,tblForecast,BB$2,FALSE),0))</f>
        <v>217229</v>
      </c>
      <c r="BC50" s="231">
        <f>IFERROR(VLOOKUP($B50-IF(CompareVer="LY",1,0) &amp; $C50 &amp;BC$4,tblForecast,BC$2,FALSE),0)</f>
        <v>0</v>
      </c>
      <c r="BD50" s="231">
        <f t="shared" ref="BD50:BD54" si="403">CX50+BG50</f>
        <v>226334</v>
      </c>
      <c r="BE50" s="194">
        <f t="shared" si="19"/>
        <v>-4.0228158385395063E-2</v>
      </c>
      <c r="BF50" s="231">
        <f>IFERROR(VLOOKUP($B50 &amp; $C50&amp;IF($A50="a",BG$4,BF$4),tblForecast,BF$2,FALSE),0)</f>
        <v>0</v>
      </c>
      <c r="BG50" s="228">
        <f>IFERROR(VLOOKUP($B50-IF(CompareVer="LY",1,0) &amp; $C50 &amp;BG$4,tblForecast,BG$2,FALSE),0)</f>
        <v>20356</v>
      </c>
      <c r="BH50" s="179">
        <f>IF(Q50&lt;&gt;0,BA50/Q50,0)</f>
        <v>13.295935855061819</v>
      </c>
      <c r="BI50" s="183">
        <f>IF(T50&lt;&gt;0,BD50/T50,0)</f>
        <v>21.372426817752597</v>
      </c>
      <c r="BJ50" s="195">
        <f t="shared" ref="BJ50:BJ54" si="404">IF(BA50&lt;&gt;0,Q50/BA50,0)</f>
        <v>7.5210952497134359E-2</v>
      </c>
      <c r="BK50" s="50">
        <f t="shared" ref="BK50:BK54" si="405">IF(BD50&lt;&gt;0,T50/BD50,0)</f>
        <v>4.6789258352699994E-2</v>
      </c>
      <c r="BL50" s="234">
        <f>IFERROR(VLOOKUP($B50 &amp; $C50&amp;IF($A50="a",BM$4,BL$4),tblForecast,BL$2,FALSE),0)</f>
        <v>0</v>
      </c>
      <c r="BM50" s="228">
        <f>IFERROR(VLOOKUP($B50-IF(CompareVer="LY",1,0) &amp; $C50 &amp;BM$4,tblForecast,BM$2,FALSE),0)</f>
        <v>-82</v>
      </c>
      <c r="BN50" s="234">
        <f>IFERROR(VLOOKUP($B50 &amp; $C50&amp;IF($A50="a",BO$4,BN$4),tblForecast,BN$2,FALSE),0)</f>
        <v>0</v>
      </c>
      <c r="BO50" s="228">
        <f>IFERROR(VLOOKUP($B50-IF(CompareVer="LY",1,0) &amp; $C50 &amp;BO$4,tblForecast,BO$2,FALSE),0)</f>
        <v>164</v>
      </c>
      <c r="BP50" s="234">
        <f>IFERROR(VLOOKUP($B50 &amp; $C50&amp;IF($A50="a",BQ$4,BP$4),tblForecast,BP$2,FALSE),0)</f>
        <v>0</v>
      </c>
      <c r="BQ50" s="228">
        <f>IFERROR(VLOOKUP($B50-IF(CompareVer="LY",1,0) &amp; $C50 &amp;BQ$4,tblForecast,BQ$2,FALSE),0)</f>
        <v>459</v>
      </c>
      <c r="BR50" s="227">
        <f t="shared" si="43"/>
        <v>0</v>
      </c>
      <c r="BS50" s="231">
        <f t="shared" si="22"/>
        <v>-295</v>
      </c>
      <c r="BT50" s="234">
        <f t="shared" ref="BT50:BU54" si="406">IFERROR(VLOOKUP($B50 &amp; $C50&amp;BT$4,tblForecast,BT$2,FALSE),0)</f>
        <v>0</v>
      </c>
      <c r="BU50" s="231">
        <f t="shared" si="406"/>
        <v>0</v>
      </c>
      <c r="BV50" s="231">
        <f>IF($A50="a",IFERROR(VLOOKUP($B50 &amp; $C50&amp;BV$4,tblForecast,BV$2,FALSE),0),BT50+BU50)</f>
        <v>0</v>
      </c>
      <c r="BW50" s="231">
        <f t="shared" ref="BW50:BX54" si="407">IFERROR(VLOOKUP($B50 &amp; $C50&amp;BW$4,tblForecast,BW$2,FALSE),0)</f>
        <v>0</v>
      </c>
      <c r="BX50" s="231">
        <f t="shared" si="407"/>
        <v>0</v>
      </c>
      <c r="BY50" s="193">
        <f>IFERROR(VLOOKUP($B50-IF(CompareVer="LY",1,0) &amp; $C50 &amp;BY$4,tblForecast,BY$2,FALSE),0)</f>
        <v>0</v>
      </c>
      <c r="BZ50" s="194">
        <f t="shared" si="25"/>
        <v>0</v>
      </c>
      <c r="CA50" s="337">
        <f t="shared" ref="CA50:CB54" si="408">IFERROR(VLOOKUP($B50 &amp; $C50&amp;CA$4,tblForecast,CA$2,FALSE),0)</f>
        <v>0</v>
      </c>
      <c r="CB50" s="46">
        <f t="shared" si="408"/>
        <v>0</v>
      </c>
      <c r="CC50" s="46">
        <f>IF($A50="a",IFERROR(VLOOKUP($B50 &amp; $C50&amp;CC$4,tblForecast,CC$2,FALSE),0),CA50+CB50)</f>
        <v>0</v>
      </c>
      <c r="CD50" s="46">
        <f t="shared" ref="CD50:CE54" si="409">IFERROR(VLOOKUP($B50 &amp; $C50&amp;CD$4,tblForecast,CD$2,FALSE),0)</f>
        <v>0</v>
      </c>
      <c r="CE50" s="46">
        <f t="shared" si="409"/>
        <v>0</v>
      </c>
      <c r="CF50" s="46">
        <f>IFERROR(VLOOKUP($B50-IF(CompareVer="LY",1,0) &amp; $C50 &amp;CF$4,tblForecast,CF$2,FALSE),0)</f>
        <v>0</v>
      </c>
      <c r="CG50" s="194">
        <f t="shared" si="28"/>
        <v>0</v>
      </c>
      <c r="CH50" s="337">
        <f t="shared" ref="CH50:CI54" si="410">IFERROR(VLOOKUP($B50 &amp; $C50&amp;CH$4,tblForecast,CH$2,FALSE),0)</f>
        <v>0</v>
      </c>
      <c r="CI50" s="46">
        <f t="shared" si="410"/>
        <v>0</v>
      </c>
      <c r="CJ50" s="46">
        <f>IF($A50="a",IFERROR(VLOOKUP($B50 &amp; $C50&amp;CJ$4,tblForecast,CJ$2,FALSE),0),CH50+CI50)</f>
        <v>0</v>
      </c>
      <c r="CK50" s="46">
        <f t="shared" ref="CK50:CL54" si="411">IFERROR(VLOOKUP($B50 &amp; $C50&amp;CK$4,tblForecast,CK$2,FALSE),0)</f>
        <v>0</v>
      </c>
      <c r="CL50" s="46">
        <f t="shared" si="411"/>
        <v>0</v>
      </c>
      <c r="CM50" s="46">
        <f>IFERROR(VLOOKUP($B50-IF(CompareVer="LY",1,0) &amp; $C50 &amp;CM$4,tblForecast,CM$2,FALSE),0)</f>
        <v>0</v>
      </c>
      <c r="CN50" s="194">
        <f t="shared" si="31"/>
        <v>0</v>
      </c>
      <c r="CO50" s="178">
        <f t="shared" si="46"/>
        <v>0</v>
      </c>
      <c r="CP50" s="223">
        <f t="shared" si="46"/>
        <v>0</v>
      </c>
      <c r="CQ50" s="194">
        <f t="shared" si="33"/>
        <v>0</v>
      </c>
      <c r="CR50" s="178">
        <f t="shared" si="44"/>
        <v>0</v>
      </c>
      <c r="CS50" s="223">
        <f t="shared" si="34"/>
        <v>0</v>
      </c>
      <c r="CT50" s="194">
        <f t="shared" si="47"/>
        <v>0</v>
      </c>
      <c r="CU50" s="44"/>
      <c r="CW50" s="102">
        <f>IFERROR(VLOOKUP($B50 &amp; $C50&amp;CompareVer,tblForecast,CW$2,FALSE),0)</f>
        <v>0</v>
      </c>
      <c r="CX50" s="48">
        <f>IFERROR(VLOOKUP($B50-IF(CompareVer="LY",1,0) &amp; $C50 &amp;CX$4,tblForecast,CX$2,FALSE),0)</f>
        <v>205978</v>
      </c>
      <c r="CY50" s="47">
        <f t="shared" si="36"/>
        <v>-1</v>
      </c>
      <c r="CZ50" s="278">
        <f>IFERROR(VLOOKUP(Brand&amp;Channel&amp;Country&amp;$C50,tblDiscount,6,FALSE),0)</f>
        <v>0.75</v>
      </c>
      <c r="DA50" s="279">
        <f>(1-CZ50)*DB50</f>
        <v>6.2549999999999999</v>
      </c>
      <c r="DB50" s="279">
        <f>IFERROR(VLOOKUP(Brand&amp;Country &amp; Channel &amp;FC,tblFCSettings,8,FALSE),0)</f>
        <v>25.02</v>
      </c>
      <c r="DC50" s="280">
        <f>IFERROR(VLOOKUP(Brand&amp;Country &amp; Channel &amp;FC,tblFCSettings,9,FALSE),0)</f>
        <v>4.16</v>
      </c>
    </row>
    <row r="51" spans="2:107" x14ac:dyDescent="0.25">
      <c r="B51" s="44">
        <v>2018</v>
      </c>
      <c r="C51" s="88">
        <v>32</v>
      </c>
      <c r="D51" s="51">
        <f t="shared" ref="D51:D54" si="412">G51*H51</f>
        <v>-6654420.0003920002</v>
      </c>
      <c r="E51" s="202">
        <f t="shared" ref="E51:E54" si="413">IFERROR(D51*F51,0)</f>
        <v>-6550877.4022239996</v>
      </c>
      <c r="F51" s="182">
        <f t="shared" si="45"/>
        <v>0.98444002660458751</v>
      </c>
      <c r="G51" s="176">
        <f t="shared" si="394"/>
        <v>-217342</v>
      </c>
      <c r="H51" s="203">
        <f t="shared" si="394"/>
        <v>30.617276</v>
      </c>
      <c r="I51" s="203">
        <f t="shared" si="394"/>
        <v>0.47640399999999999</v>
      </c>
      <c r="J51" s="176">
        <f>IFERROR(VLOOKUP($B51 &amp; $C51&amp;J$4&amp;$A51,tblForecast,J$2,FALSE),0)+IFERROR(VLOOKUP($B51 &amp; $C51 &amp; J$4 &amp; $A51,tblForecast,J$2+1,FALSE),0)</f>
        <v>1134502</v>
      </c>
      <c r="K51" s="300">
        <f>IFERROR(VLOOKUP($B51 &amp; $C51&amp;K$4&amp;$A51,tblForecast,K$2,FALSE),0)+IFERROR(VLOOKUP($B51 &amp; $C51&amp;K$4&amp;$A51,tblForecast,K$2+1,FALSE),0)</f>
        <v>0</v>
      </c>
      <c r="L51" s="90">
        <f t="shared" si="395"/>
        <v>86932.62</v>
      </c>
      <c r="M51" s="90">
        <f t="shared" si="395"/>
        <v>86932.62</v>
      </c>
      <c r="N51" s="46">
        <f t="shared" si="395"/>
        <v>0</v>
      </c>
      <c r="O51" s="46">
        <f t="shared" si="395"/>
        <v>61165.572199999995</v>
      </c>
      <c r="P51" s="47">
        <f t="shared" si="39"/>
        <v>0.42126717486998344</v>
      </c>
      <c r="Q51" s="242">
        <f t="shared" ref="Q51:Q54" si="414">ROUND(IF(BA50-(Q50*IF(W51=0,X51,W51))&lt;0,BA50,Q50*IF(W51=0,X51,W51)),0)</f>
        <v>13887</v>
      </c>
      <c r="R51" s="240">
        <f t="shared" si="396"/>
        <v>13887</v>
      </c>
      <c r="S51" s="240">
        <f t="shared" si="396"/>
        <v>0</v>
      </c>
      <c r="T51" s="240">
        <f>IFERROR(VLOOKUP($B51-IF(CompareVer="LY",1,0) &amp; $C51 &amp;T$4,tblForecast,T$2,FALSE),0)</f>
        <v>12517</v>
      </c>
      <c r="U51" s="91">
        <f t="shared" si="7"/>
        <v>0.10945114644084053</v>
      </c>
      <c r="V51" s="249">
        <f t="shared" ref="V51:V54" si="415">IFERROR(IF(Q50&lt;&gt;0,Q51/Q50,0),0)</f>
        <v>0.84998163789937564</v>
      </c>
      <c r="W51" s="334">
        <f t="shared" ref="W51:W54" si="416">IFERROR(IF(R50&lt;&gt;0,R51/R50,0),0)</f>
        <v>0.84998163789937564</v>
      </c>
      <c r="X51" s="250">
        <f t="shared" ref="X51:X54" si="417">IFERROR(IF(T50&lt;&gt;0,T51/T50,0),0)</f>
        <v>1.1819641170915958</v>
      </c>
      <c r="Y51" s="51">
        <f t="shared" si="397"/>
        <v>29162.69999999999</v>
      </c>
      <c r="Z51" s="46">
        <f t="shared" si="397"/>
        <v>29162.69999999999</v>
      </c>
      <c r="AA51" s="46">
        <f t="shared" si="397"/>
        <v>0</v>
      </c>
      <c r="AB51" s="46">
        <f t="shared" si="397"/>
        <v>15601.188799999993</v>
      </c>
      <c r="AC51" s="91">
        <f t="shared" si="9"/>
        <v>0.86926139884929809</v>
      </c>
      <c r="AD51" s="75">
        <f>IF(AM51&lt;&gt;0,1-AR51/AM51,0)</f>
        <v>0.33546325878594241</v>
      </c>
      <c r="AE51" s="93">
        <f t="shared" si="398"/>
        <v>0.33546325878594241</v>
      </c>
      <c r="AF51" s="93">
        <f t="shared" si="398"/>
        <v>0</v>
      </c>
      <c r="AG51" s="76">
        <f t="shared" si="398"/>
        <v>0.25506487128064492</v>
      </c>
      <c r="AH51" s="73">
        <f>IF(IFERROR(VLOOKUP($B51 &amp; $C51&amp;AH$4,tblForecast,AH$2,FALSE),0)=0,DB51,IFERROR(VLOOKUP($B51 &amp; $C51&amp;AH$4,tblForecast,AH$2,FALSE),0))</f>
        <v>25.02</v>
      </c>
      <c r="AI51" s="94">
        <f t="shared" si="399"/>
        <v>25.02</v>
      </c>
      <c r="AJ51" s="94">
        <f t="shared" si="399"/>
        <v>0</v>
      </c>
      <c r="AK51" s="49">
        <f>IFERROR(VLOOKUP($B51-IF(CompareVer="LY",1,0) &amp; $C51 &amp;AK$4,tblForecast,AK$2,FALSE),0)</f>
        <v>22.372499999999999</v>
      </c>
      <c r="AL51" s="47">
        <f t="shared" si="362"/>
        <v>0.11833724438484761</v>
      </c>
      <c r="AM51" s="73">
        <f>IF(IFERROR(VLOOKUP($B51 &amp; $C51&amp;AM$4,tblForecast,AM$2,FALSE),0)=0,DA51,IFERROR(VLOOKUP($B51 &amp; $C51&amp;AM$4,tblForecast,AM$2,FALSE),0))</f>
        <v>6.26</v>
      </c>
      <c r="AN51" s="94">
        <f t="shared" si="400"/>
        <v>6.26</v>
      </c>
      <c r="AO51" s="94">
        <f t="shared" si="400"/>
        <v>0</v>
      </c>
      <c r="AP51" s="49">
        <f>IFERROR(VLOOKUP($B51-IF(CompareVer="LY",1,0) &amp; $C51 &amp;AP$4,tblForecast,AP$2,FALSE),0)</f>
        <v>4.8865999999999996</v>
      </c>
      <c r="AQ51" s="47">
        <f t="shared" si="14"/>
        <v>0.2810543117914297</v>
      </c>
      <c r="AR51" s="73">
        <f>IF(IFERROR(VLOOKUP($B51 &amp; $C51&amp;AR$4,tblForecast,AR$2,FALSE),0)=0,DC51,IFERROR(VLOOKUP($B51 &amp; $C51&amp;AR$4,tblForecast,AR$2,FALSE),0))</f>
        <v>4.16</v>
      </c>
      <c r="AS51" s="94">
        <f t="shared" si="401"/>
        <v>4.16</v>
      </c>
      <c r="AT51" s="94">
        <f t="shared" si="401"/>
        <v>0</v>
      </c>
      <c r="AU51" s="49">
        <f>IFERROR(VLOOKUP($B51-IF(CompareVer="LY",1,0) &amp; $C51 &amp;AU$4,tblForecast,AU$2,FALSE),0)</f>
        <v>3.6402000000000001</v>
      </c>
      <c r="AV51" s="47">
        <f t="shared" si="16"/>
        <v>0.14279435195868362</v>
      </c>
      <c r="AW51" s="191">
        <f t="shared" si="402"/>
        <v>0.74980015987210225</v>
      </c>
      <c r="AX51" s="192">
        <f t="shared" si="402"/>
        <v>0.74980015987210225</v>
      </c>
      <c r="AY51" s="192">
        <f t="shared" si="402"/>
        <v>0</v>
      </c>
      <c r="AZ51" s="192">
        <f t="shared" si="402"/>
        <v>0.78158006481171083</v>
      </c>
      <c r="BA51" s="235">
        <f>IF(BA50+BV51+BL51+BR51-Q51&lt;0,0,BA50+BV51+BL51+BR51-Q51)</f>
        <v>203342</v>
      </c>
      <c r="BB51" s="231">
        <f>IF(IFERROR(VLOOKUP($B51 &amp; $C51&amp;BB$4,tblForecast,BB$2,FALSE),0)=0,BA51,IFERROR(VLOOKUP($B51 &amp; $C51&amp;BB$4,tblForecast,BB$2,FALSE),0))</f>
        <v>203342</v>
      </c>
      <c r="BC51" s="231">
        <f>IFERROR(VLOOKUP($B51-IF(CompareVer="LY",1,0) &amp; $C51 &amp;BC$4,tblForecast,BC$2,FALSE),0)</f>
        <v>0</v>
      </c>
      <c r="BD51" s="231">
        <f t="shared" si="403"/>
        <v>212001</v>
      </c>
      <c r="BE51" s="194">
        <f t="shared" si="19"/>
        <v>-4.0844146961570904E-2</v>
      </c>
      <c r="BF51" s="231">
        <f>IFERROR(VLOOKUP($B51 &amp; $C51&amp;IF($A51="a",BG$4,BF$4),tblForecast,BF$2,FALSE),0)</f>
        <v>0</v>
      </c>
      <c r="BG51" s="228">
        <f>IFERROR(VLOOKUP($B51-IF(CompareVer="LY",1,0) &amp; $C51 &amp;BG$4,tblForecast,BG$2,FALSE),0)</f>
        <v>20360</v>
      </c>
      <c r="BH51" s="179">
        <f>IF(Q51&lt;&gt;0,BA51/Q51,0)</f>
        <v>14.642615395693815</v>
      </c>
      <c r="BI51" s="183">
        <f>IF(T51&lt;&gt;0,BD51/T51,0)</f>
        <v>16.937045617959576</v>
      </c>
      <c r="BJ51" s="195">
        <f t="shared" si="404"/>
        <v>6.8293810427752261E-2</v>
      </c>
      <c r="BK51" s="50">
        <f t="shared" si="405"/>
        <v>5.904217432936637E-2</v>
      </c>
      <c r="BL51" s="234">
        <f>IFERROR(VLOOKUP($B51 &amp; $C51&amp;IF($A51="a",BM$4,BL$4),tblForecast,BL$2,FALSE),0)</f>
        <v>0</v>
      </c>
      <c r="BM51" s="228">
        <f>IFERROR(VLOOKUP($B51-IF(CompareVer="LY",1,0) &amp; $C51 &amp;BM$4,tblForecast,BM$2,FALSE),0)</f>
        <v>-635</v>
      </c>
      <c r="BN51" s="234">
        <f>IFERROR(VLOOKUP($B51 &amp; $C51&amp;IF($A51="a",BO$4,BN$4),tblForecast,BN$2,FALSE),0)</f>
        <v>0</v>
      </c>
      <c r="BO51" s="228">
        <f>IFERROR(VLOOKUP($B51-IF(CompareVer="LY",1,0) &amp; $C51 &amp;BO$4,tblForecast,BO$2,FALSE),0)</f>
        <v>77</v>
      </c>
      <c r="BP51" s="234">
        <f>IFERROR(VLOOKUP($B51 &amp; $C51&amp;IF($A51="a",BQ$4,BP$4),tblForecast,BP$2,FALSE),0)</f>
        <v>0</v>
      </c>
      <c r="BQ51" s="228">
        <f>IFERROR(VLOOKUP($B51-IF(CompareVer="LY",1,0) &amp; $C51 &amp;BQ$4,tblForecast,BQ$2,FALSE),0)</f>
        <v>1262</v>
      </c>
      <c r="BR51" s="227">
        <f t="shared" si="43"/>
        <v>0</v>
      </c>
      <c r="BS51" s="231">
        <f t="shared" si="22"/>
        <v>-1185</v>
      </c>
      <c r="BT51" s="234">
        <f t="shared" si="406"/>
        <v>0</v>
      </c>
      <c r="BU51" s="231">
        <f t="shared" si="406"/>
        <v>0</v>
      </c>
      <c r="BV51" s="231">
        <f>IF($A51="a",IFERROR(VLOOKUP($B51 &amp; $C51&amp;BV$4,tblForecast,BV$2,FALSE),0),BT51+BU51)</f>
        <v>0</v>
      </c>
      <c r="BW51" s="231">
        <f t="shared" si="407"/>
        <v>0</v>
      </c>
      <c r="BX51" s="231">
        <f t="shared" si="407"/>
        <v>0</v>
      </c>
      <c r="BY51" s="193">
        <f>IFERROR(VLOOKUP($B51-IF(CompareVer="LY",1,0) &amp; $C51 &amp;BY$4,tblForecast,BY$2,FALSE),0)</f>
        <v>0</v>
      </c>
      <c r="BZ51" s="194">
        <f t="shared" si="25"/>
        <v>0</v>
      </c>
      <c r="CA51" s="337">
        <f t="shared" si="408"/>
        <v>0</v>
      </c>
      <c r="CB51" s="46">
        <f t="shared" si="408"/>
        <v>0</v>
      </c>
      <c r="CC51" s="46">
        <f>IF($A51="a",IFERROR(VLOOKUP($B51 &amp; $C51&amp;CC$4,tblForecast,CC$2,FALSE),0),CA51+CB51)</f>
        <v>0</v>
      </c>
      <c r="CD51" s="46">
        <f t="shared" si="409"/>
        <v>0</v>
      </c>
      <c r="CE51" s="46">
        <f t="shared" si="409"/>
        <v>0</v>
      </c>
      <c r="CF51" s="46">
        <f>IFERROR(VLOOKUP($B51-IF(CompareVer="LY",1,0) &amp; $C51 &amp;CF$4,tblForecast,CF$2,FALSE),0)</f>
        <v>0</v>
      </c>
      <c r="CG51" s="194">
        <f t="shared" si="28"/>
        <v>0</v>
      </c>
      <c r="CH51" s="337">
        <f t="shared" si="410"/>
        <v>0</v>
      </c>
      <c r="CI51" s="46">
        <f t="shared" si="410"/>
        <v>0</v>
      </c>
      <c r="CJ51" s="46">
        <f>IF($A51="a",IFERROR(VLOOKUP($B51 &amp; $C51&amp;CJ$4,tblForecast,CJ$2,FALSE),0),CH51+CI51)</f>
        <v>0</v>
      </c>
      <c r="CK51" s="46">
        <f t="shared" si="411"/>
        <v>0</v>
      </c>
      <c r="CL51" s="46">
        <f t="shared" si="411"/>
        <v>0</v>
      </c>
      <c r="CM51" s="46">
        <f>IFERROR(VLOOKUP($B51-IF(CompareVer="LY",1,0) &amp; $C51 &amp;CM$4,tblForecast,CM$2,FALSE),0)</f>
        <v>0</v>
      </c>
      <c r="CN51" s="194">
        <f t="shared" si="31"/>
        <v>0</v>
      </c>
      <c r="CO51" s="178">
        <f t="shared" si="46"/>
        <v>0</v>
      </c>
      <c r="CP51" s="223">
        <f t="shared" si="46"/>
        <v>0</v>
      </c>
      <c r="CQ51" s="194">
        <f t="shared" si="33"/>
        <v>0</v>
      </c>
      <c r="CR51" s="178">
        <f t="shared" si="44"/>
        <v>0</v>
      </c>
      <c r="CS51" s="223">
        <f t="shared" si="34"/>
        <v>0</v>
      </c>
      <c r="CT51" s="194">
        <f t="shared" si="47"/>
        <v>0</v>
      </c>
      <c r="CU51" s="44"/>
      <c r="CW51" s="102">
        <f>IFERROR(VLOOKUP($B51 &amp; $C51&amp;CompareVer,tblForecast,CW$2,FALSE),0)</f>
        <v>0</v>
      </c>
      <c r="CX51" s="48">
        <f>IFERROR(VLOOKUP($B51-IF(CompareVer="LY",1,0) &amp; $C51 &amp;CX$4,tblForecast,CX$2,FALSE),0)</f>
        <v>191641</v>
      </c>
      <c r="CY51" s="47">
        <f t="shared" si="36"/>
        <v>-1</v>
      </c>
      <c r="CZ51" s="278">
        <f>IFERROR(VLOOKUP(Brand&amp;Channel&amp;Country&amp;$C51,tblDiscount,6,FALSE),0)</f>
        <v>0.75</v>
      </c>
      <c r="DA51" s="279">
        <f>(1-CZ51)*DB51</f>
        <v>6.2549999999999999</v>
      </c>
      <c r="DB51" s="279">
        <f>IFERROR(VLOOKUP(Brand&amp;Country &amp; Channel &amp;FC,tblFCSettings,8,FALSE),0)</f>
        <v>25.02</v>
      </c>
      <c r="DC51" s="280">
        <f>IFERROR(VLOOKUP(Brand&amp;Country &amp; Channel &amp;FC,tblFCSettings,9,FALSE),0)</f>
        <v>4.16</v>
      </c>
    </row>
    <row r="52" spans="2:107" x14ac:dyDescent="0.25">
      <c r="B52" s="44">
        <v>2018</v>
      </c>
      <c r="C52" s="88">
        <v>33</v>
      </c>
      <c r="D52" s="51">
        <f t="shared" si="412"/>
        <v>-7176511.7280890001</v>
      </c>
      <c r="E52" s="202">
        <f t="shared" si="413"/>
        <v>-6811500.3026750004</v>
      </c>
      <c r="F52" s="182">
        <f t="shared" si="45"/>
        <v>0.94913804376779065</v>
      </c>
      <c r="G52" s="176">
        <f t="shared" si="394"/>
        <v>-238859</v>
      </c>
      <c r="H52" s="203">
        <f t="shared" si="394"/>
        <v>30.044971</v>
      </c>
      <c r="I52" s="203">
        <f t="shared" si="394"/>
        <v>1.528146</v>
      </c>
      <c r="J52" s="176">
        <f>IFERROR(VLOOKUP($B52 &amp; $C52&amp;J$4&amp;$A52,tblForecast,J$2,FALSE),0)+IFERROR(VLOOKUP($B52 &amp; $C52 &amp; J$4 &amp; $A52,tblForecast,J$2+1,FALSE),0)</f>
        <v>1161762</v>
      </c>
      <c r="K52" s="300">
        <f>IFERROR(VLOOKUP($B52 &amp; $C52&amp;K$4&amp;$A52,tblForecast,K$2,FALSE),0)+IFERROR(VLOOKUP($B52 &amp; $C52&amp;K$4&amp;$A52,tblForecast,K$2+1,FALSE),0)</f>
        <v>151790</v>
      </c>
      <c r="L52" s="90">
        <f t="shared" si="395"/>
        <v>59025</v>
      </c>
      <c r="M52" s="90">
        <f t="shared" si="395"/>
        <v>59025</v>
      </c>
      <c r="N52" s="46">
        <f t="shared" si="395"/>
        <v>0</v>
      </c>
      <c r="O52" s="46">
        <f t="shared" si="395"/>
        <v>38777.931799999998</v>
      </c>
      <c r="P52" s="47">
        <f t="shared" si="39"/>
        <v>0.52212862471432797</v>
      </c>
      <c r="Q52" s="242">
        <f t="shared" si="414"/>
        <v>11805</v>
      </c>
      <c r="R52" s="240">
        <f t="shared" si="396"/>
        <v>11805</v>
      </c>
      <c r="S52" s="240">
        <f t="shared" si="396"/>
        <v>0</v>
      </c>
      <c r="T52" s="240">
        <f>IFERROR(VLOOKUP($B52-IF(CompareVer="LY",1,0) &amp; $C52 &amp;T$4,tblForecast,T$2,FALSE),0)</f>
        <v>8171</v>
      </c>
      <c r="U52" s="91">
        <f t="shared" si="7"/>
        <v>0.44474360543385139</v>
      </c>
      <c r="V52" s="249">
        <f t="shared" si="415"/>
        <v>0.8500756102829985</v>
      </c>
      <c r="W52" s="334">
        <f t="shared" si="416"/>
        <v>0.8500756102829985</v>
      </c>
      <c r="X52" s="250">
        <f t="shared" si="417"/>
        <v>0.65279220260445792</v>
      </c>
      <c r="Y52" s="51">
        <f t="shared" si="397"/>
        <v>9916.1999999999953</v>
      </c>
      <c r="Z52" s="46">
        <f t="shared" si="397"/>
        <v>9916.1999999999953</v>
      </c>
      <c r="AA52" s="46">
        <f t="shared" si="397"/>
        <v>0</v>
      </c>
      <c r="AB52" s="46">
        <f t="shared" si="397"/>
        <v>9515.9465999999993</v>
      </c>
      <c r="AC52" s="91">
        <f t="shared" si="9"/>
        <v>4.2061333131061973E-2</v>
      </c>
      <c r="AD52" s="75">
        <f>IF(AM52&lt;&gt;0,1-AR52/AM52,0)</f>
        <v>0.16799999999999993</v>
      </c>
      <c r="AE52" s="93">
        <f t="shared" si="398"/>
        <v>0.16799999999999993</v>
      </c>
      <c r="AF52" s="93">
        <f t="shared" si="398"/>
        <v>0</v>
      </c>
      <c r="AG52" s="76">
        <f t="shared" si="398"/>
        <v>0.24539592903198615</v>
      </c>
      <c r="AH52" s="73">
        <f>IF(IFERROR(VLOOKUP($B52 &amp; $C52&amp;AH$4,tblForecast,AH$2,FALSE),0)=0,DB52,IFERROR(VLOOKUP($B52 &amp; $C52&amp;AH$4,tblForecast,AH$2,FALSE),0))</f>
        <v>25.02</v>
      </c>
      <c r="AI52" s="94">
        <f t="shared" si="399"/>
        <v>25.02</v>
      </c>
      <c r="AJ52" s="94">
        <f t="shared" si="399"/>
        <v>0</v>
      </c>
      <c r="AK52" s="49">
        <f>IFERROR(VLOOKUP($B52-IF(CompareVer="LY",1,0) &amp; $C52 &amp;AK$4,tblForecast,AK$2,FALSE),0)</f>
        <v>21.906500000000001</v>
      </c>
      <c r="AL52" s="47">
        <f t="shared" si="362"/>
        <v>0.14212676602834762</v>
      </c>
      <c r="AM52" s="73">
        <f>IF(IFERROR(VLOOKUP($B52 &amp; $C52&amp;AM$4,tblForecast,AM$2,FALSE),0)=0,DA52,IFERROR(VLOOKUP($B52 &amp; $C52&amp;AM$4,tblForecast,AM$2,FALSE),0))</f>
        <v>5</v>
      </c>
      <c r="AN52" s="94">
        <f t="shared" si="400"/>
        <v>5</v>
      </c>
      <c r="AO52" s="94">
        <f t="shared" si="400"/>
        <v>0</v>
      </c>
      <c r="AP52" s="49">
        <f>IFERROR(VLOOKUP($B52-IF(CompareVer="LY",1,0) &amp; $C52 &amp;AP$4,tblForecast,AP$2,FALSE),0)</f>
        <v>4.7458</v>
      </c>
      <c r="AQ52" s="47">
        <f t="shared" si="14"/>
        <v>5.3563150575245411E-2</v>
      </c>
      <c r="AR52" s="73">
        <f>IF(IFERROR(VLOOKUP($B52 &amp; $C52&amp;AR$4,tblForecast,AR$2,FALSE),0)=0,DC52,IFERROR(VLOOKUP($B52 &amp; $C52&amp;AR$4,tblForecast,AR$2,FALSE),0))</f>
        <v>4.16</v>
      </c>
      <c r="AS52" s="94">
        <f t="shared" si="401"/>
        <v>4.16</v>
      </c>
      <c r="AT52" s="94">
        <f t="shared" si="401"/>
        <v>0</v>
      </c>
      <c r="AU52" s="49">
        <f>IFERROR(VLOOKUP($B52-IF(CompareVer="LY",1,0) &amp; $C52 &amp;AU$4,tblForecast,AU$2,FALSE),0)</f>
        <v>3.5811999999999999</v>
      </c>
      <c r="AV52" s="47">
        <f t="shared" si="16"/>
        <v>0.16162180274768234</v>
      </c>
      <c r="AW52" s="191">
        <f t="shared" si="402"/>
        <v>0.8001598721023182</v>
      </c>
      <c r="AX52" s="192">
        <f t="shared" si="402"/>
        <v>0.8001598721023182</v>
      </c>
      <c r="AY52" s="192">
        <f t="shared" si="402"/>
        <v>0</v>
      </c>
      <c r="AZ52" s="192">
        <f t="shared" si="402"/>
        <v>0.78336110286901151</v>
      </c>
      <c r="BA52" s="235">
        <f>IF(BA51+BV52+BL52+BR52-Q52&lt;0,0,BA51+BV52+BL52+BR52-Q52)</f>
        <v>191537</v>
      </c>
      <c r="BB52" s="231">
        <f>IF(IFERROR(VLOOKUP($B52 &amp; $C52&amp;BB$4,tblForecast,BB$2,FALSE),0)=0,BA52,IFERROR(VLOOKUP($B52 &amp; $C52&amp;BB$4,tblForecast,BB$2,FALSE),0))</f>
        <v>191537</v>
      </c>
      <c r="BC52" s="231">
        <f>IFERROR(VLOOKUP($B52-IF(CompareVer="LY",1,0) &amp; $C52 &amp;BC$4,tblForecast,BC$2,FALSE),0)</f>
        <v>0</v>
      </c>
      <c r="BD52" s="231">
        <f t="shared" si="403"/>
        <v>194457</v>
      </c>
      <c r="BE52" s="194">
        <f t="shared" si="19"/>
        <v>-1.5016173241384934E-2</v>
      </c>
      <c r="BF52" s="231">
        <f>IFERROR(VLOOKUP($B52 &amp; $C52&amp;IF($A52="a",BG$4,BF$4),tblForecast,BF$2,FALSE),0)</f>
        <v>0</v>
      </c>
      <c r="BG52" s="228">
        <f>IFERROR(VLOOKUP($B52-IF(CompareVer="LY",1,0) &amp; $C52 &amp;BG$4,tblForecast,BG$2,FALSE),0)</f>
        <v>20366</v>
      </c>
      <c r="BH52" s="179">
        <f>IF(Q52&lt;&gt;0,BA52/Q52,0)</f>
        <v>16.225074121135112</v>
      </c>
      <c r="BI52" s="183">
        <f>IF(T52&lt;&gt;0,BD52/T52,0)</f>
        <v>23.798433484273652</v>
      </c>
      <c r="BJ52" s="195">
        <f t="shared" si="404"/>
        <v>6.1633000412452947E-2</v>
      </c>
      <c r="BK52" s="50">
        <f t="shared" si="405"/>
        <v>4.2019572450464629E-2</v>
      </c>
      <c r="BL52" s="234">
        <f>IFERROR(VLOOKUP($B52 &amp; $C52&amp;IF($A52="a",BM$4,BL$4),tblForecast,BL$2,FALSE),0)</f>
        <v>0</v>
      </c>
      <c r="BM52" s="228">
        <f>IFERROR(VLOOKUP($B52-IF(CompareVer="LY",1,0) &amp; $C52 &amp;BM$4,tblForecast,BM$2,FALSE),0)</f>
        <v>-63</v>
      </c>
      <c r="BN52" s="234">
        <f>IFERROR(VLOOKUP($B52 &amp; $C52&amp;IF($A52="a",BO$4,BN$4),tblForecast,BN$2,FALSE),0)</f>
        <v>0</v>
      </c>
      <c r="BO52" s="228">
        <f>IFERROR(VLOOKUP($B52-IF(CompareVer="LY",1,0) &amp; $C52 &amp;BO$4,tblForecast,BO$2,FALSE),0)</f>
        <v>18</v>
      </c>
      <c r="BP52" s="234">
        <f>IFERROR(VLOOKUP($B52 &amp; $C52&amp;IF($A52="a",BQ$4,BP$4),tblForecast,BP$2,FALSE),0)</f>
        <v>0</v>
      </c>
      <c r="BQ52" s="228">
        <f>IFERROR(VLOOKUP($B52-IF(CompareVer="LY",1,0) &amp; $C52 &amp;BQ$4,tblForecast,BQ$2,FALSE),0)</f>
        <v>9410</v>
      </c>
      <c r="BR52" s="227">
        <f t="shared" si="43"/>
        <v>0</v>
      </c>
      <c r="BS52" s="231">
        <f t="shared" si="22"/>
        <v>-9392</v>
      </c>
      <c r="BT52" s="234">
        <f t="shared" si="406"/>
        <v>0</v>
      </c>
      <c r="BU52" s="231">
        <f t="shared" si="406"/>
        <v>0</v>
      </c>
      <c r="BV52" s="231">
        <f>IF($A52="a",IFERROR(VLOOKUP($B52 &amp; $C52&amp;BV$4,tblForecast,BV$2,FALSE),0),BT52+BU52)</f>
        <v>0</v>
      </c>
      <c r="BW52" s="231">
        <f t="shared" si="407"/>
        <v>0</v>
      </c>
      <c r="BX52" s="231">
        <f t="shared" si="407"/>
        <v>0</v>
      </c>
      <c r="BY52" s="193">
        <f>IFERROR(VLOOKUP($B52-IF(CompareVer="LY",1,0) &amp; $C52 &amp;BY$4,tblForecast,BY$2,FALSE),0)</f>
        <v>0</v>
      </c>
      <c r="BZ52" s="194">
        <f t="shared" si="25"/>
        <v>0</v>
      </c>
      <c r="CA52" s="337">
        <f t="shared" si="408"/>
        <v>0</v>
      </c>
      <c r="CB52" s="46">
        <f t="shared" si="408"/>
        <v>0</v>
      </c>
      <c r="CC52" s="46">
        <f>IF($A52="a",IFERROR(VLOOKUP($B52 &amp; $C52&amp;CC$4,tblForecast,CC$2,FALSE),0),CA52+CB52)</f>
        <v>0</v>
      </c>
      <c r="CD52" s="46">
        <f t="shared" si="409"/>
        <v>0</v>
      </c>
      <c r="CE52" s="46">
        <f t="shared" si="409"/>
        <v>0</v>
      </c>
      <c r="CF52" s="46">
        <f>IFERROR(VLOOKUP($B52-IF(CompareVer="LY",1,0) &amp; $C52 &amp;CF$4,tblForecast,CF$2,FALSE),0)</f>
        <v>0</v>
      </c>
      <c r="CG52" s="194">
        <f t="shared" si="28"/>
        <v>0</v>
      </c>
      <c r="CH52" s="337">
        <f t="shared" si="410"/>
        <v>0</v>
      </c>
      <c r="CI52" s="46">
        <f t="shared" si="410"/>
        <v>0</v>
      </c>
      <c r="CJ52" s="46">
        <f>IF($A52="a",IFERROR(VLOOKUP($B52 &amp; $C52&amp;CJ$4,tblForecast,CJ$2,FALSE),0),CH52+CI52)</f>
        <v>0</v>
      </c>
      <c r="CK52" s="46">
        <f t="shared" si="411"/>
        <v>0</v>
      </c>
      <c r="CL52" s="46">
        <f t="shared" si="411"/>
        <v>0</v>
      </c>
      <c r="CM52" s="46">
        <f>IFERROR(VLOOKUP($B52-IF(CompareVer="LY",1,0) &amp; $C52 &amp;CM$4,tblForecast,CM$2,FALSE),0)</f>
        <v>0</v>
      </c>
      <c r="CN52" s="194">
        <f t="shared" si="31"/>
        <v>0</v>
      </c>
      <c r="CO52" s="178">
        <f t="shared" si="46"/>
        <v>0</v>
      </c>
      <c r="CP52" s="223">
        <f t="shared" si="46"/>
        <v>0</v>
      </c>
      <c r="CQ52" s="194">
        <f t="shared" si="33"/>
        <v>0</v>
      </c>
      <c r="CR52" s="178">
        <f t="shared" si="44"/>
        <v>0</v>
      </c>
      <c r="CS52" s="223">
        <f t="shared" si="34"/>
        <v>0</v>
      </c>
      <c r="CT52" s="194">
        <f t="shared" si="47"/>
        <v>0</v>
      </c>
      <c r="CU52" s="44"/>
      <c r="CW52" s="102">
        <f>IFERROR(VLOOKUP($B52 &amp; $C52&amp;27,tblForecast,CW$2,FALSE),0)</f>
        <v>0</v>
      </c>
      <c r="CX52" s="48">
        <f>IFERROR(VLOOKUP($B52-IF(CompareVer="LY",1,0) &amp; $C52 &amp;CX$4,tblForecast,CX$2,FALSE),0)</f>
        <v>174091</v>
      </c>
      <c r="CY52" s="47">
        <f t="shared" si="36"/>
        <v>-1</v>
      </c>
      <c r="CZ52" s="278">
        <f>IFERROR(VLOOKUP(Brand&amp;Channel&amp;Country&amp;$C52,tblDiscount,6,FALSE),0)</f>
        <v>0.8</v>
      </c>
      <c r="DA52" s="279">
        <f>(1-CZ52)*DB52</f>
        <v>5.0039999999999987</v>
      </c>
      <c r="DB52" s="279">
        <f>IFERROR(VLOOKUP(Brand&amp;Country &amp; Channel &amp;FC,tblFCSettings,8,FALSE),0)</f>
        <v>25.02</v>
      </c>
      <c r="DC52" s="280">
        <f>IFERROR(VLOOKUP(Brand&amp;Country &amp; Channel &amp;FC,tblFCSettings,9,FALSE),0)</f>
        <v>4.16</v>
      </c>
    </row>
    <row r="53" spans="2:107" x14ac:dyDescent="0.25">
      <c r="B53" s="44">
        <v>2018</v>
      </c>
      <c r="C53" s="88">
        <v>34</v>
      </c>
      <c r="D53" s="51">
        <f t="shared" si="412"/>
        <v>-7592615.2079699999</v>
      </c>
      <c r="E53" s="202">
        <f t="shared" si="413"/>
        <v>-7075939.7865199996</v>
      </c>
      <c r="F53" s="182">
        <f t="shared" si="45"/>
        <v>0.93195026913682599</v>
      </c>
      <c r="G53" s="176">
        <f t="shared" si="394"/>
        <v>-265010</v>
      </c>
      <c r="H53" s="203">
        <f t="shared" si="394"/>
        <v>28.650296999999998</v>
      </c>
      <c r="I53" s="203">
        <f t="shared" si="394"/>
        <v>1.9496450000000001</v>
      </c>
      <c r="J53" s="176">
        <f>IFERROR(VLOOKUP($B53 &amp; $C53&amp;J$4&amp;$A53,tblForecast,J$2,FALSE),0)+IFERROR(VLOOKUP($B53 &amp; $C53 &amp; J$4 &amp; $A53,tblForecast,J$2+1,FALSE),0)</f>
        <v>1119505</v>
      </c>
      <c r="K53" s="300">
        <f>IFERROR(VLOOKUP($B53 &amp; $C53&amp;K$4&amp;$A53,tblForecast,K$2,FALSE),0)+IFERROR(VLOOKUP($B53 &amp; $C53&amp;K$4&amp;$A53,tblForecast,K$2+1,FALSE),0)</f>
        <v>7200</v>
      </c>
      <c r="L53" s="90">
        <f t="shared" si="395"/>
        <v>50170</v>
      </c>
      <c r="M53" s="90">
        <f t="shared" si="395"/>
        <v>50170</v>
      </c>
      <c r="N53" s="46">
        <f t="shared" si="395"/>
        <v>0</v>
      </c>
      <c r="O53" s="46">
        <f t="shared" si="395"/>
        <v>12068.895</v>
      </c>
      <c r="P53" s="47">
        <f t="shared" si="39"/>
        <v>3.1569671457080366</v>
      </c>
      <c r="Q53" s="242">
        <f t="shared" si="414"/>
        <v>10034</v>
      </c>
      <c r="R53" s="240">
        <f t="shared" si="396"/>
        <v>10034</v>
      </c>
      <c r="S53" s="240">
        <f t="shared" si="396"/>
        <v>0</v>
      </c>
      <c r="T53" s="240">
        <f>IFERROR(VLOOKUP($B53-IF(CompareVer="LY",1,0) &amp; $C53 &amp;T$4,tblForecast,T$2,FALSE),0)</f>
        <v>2397</v>
      </c>
      <c r="U53" s="91">
        <f t="shared" si="7"/>
        <v>3.1860659157279931</v>
      </c>
      <c r="V53" s="249">
        <f t="shared" si="415"/>
        <v>0.84997882253282508</v>
      </c>
      <c r="W53" s="334">
        <f t="shared" si="416"/>
        <v>0.84997882253282508</v>
      </c>
      <c r="X53" s="250">
        <f t="shared" si="417"/>
        <v>0.29335454656712767</v>
      </c>
      <c r="Y53" s="51">
        <f t="shared" si="397"/>
        <v>8428.5599999999959</v>
      </c>
      <c r="Z53" s="46">
        <f t="shared" si="397"/>
        <v>8428.5599999999959</v>
      </c>
      <c r="AA53" s="46">
        <f t="shared" si="397"/>
        <v>0</v>
      </c>
      <c r="AB53" s="46">
        <f t="shared" si="397"/>
        <v>4234.7799000000005</v>
      </c>
      <c r="AC53" s="91">
        <f t="shared" si="9"/>
        <v>0.99031831618922972</v>
      </c>
      <c r="AD53" s="75">
        <f>IF(AM53&lt;&gt;0,1-AR53/AM53,0)</f>
        <v>0.16799999999999993</v>
      </c>
      <c r="AE53" s="93">
        <f t="shared" si="398"/>
        <v>0.16799999999999993</v>
      </c>
      <c r="AF53" s="93">
        <f t="shared" si="398"/>
        <v>0</v>
      </c>
      <c r="AG53" s="76">
        <f t="shared" si="398"/>
        <v>0.35088381330685203</v>
      </c>
      <c r="AH53" s="73">
        <f>IF(IFERROR(VLOOKUP($B53 &amp; $C53&amp;AH$4,tblForecast,AH$2,FALSE),0)=0,DB53,IFERROR(VLOOKUP($B53 &amp; $C53&amp;AH$4,tblForecast,AH$2,FALSE),0))</f>
        <v>25.02</v>
      </c>
      <c r="AI53" s="94">
        <f t="shared" si="399"/>
        <v>25.02</v>
      </c>
      <c r="AJ53" s="94">
        <f t="shared" si="399"/>
        <v>0</v>
      </c>
      <c r="AK53" s="49">
        <f>IFERROR(VLOOKUP($B53-IF(CompareVer="LY",1,0) &amp; $C53 &amp;AK$4,tblForecast,AK$2,FALSE),0)</f>
        <v>20.2684</v>
      </c>
      <c r="AL53" s="47">
        <f t="shared" si="362"/>
        <v>0.2344338971009059</v>
      </c>
      <c r="AM53" s="73">
        <f>IF(IFERROR(VLOOKUP($B53 &amp; $C53&amp;AM$4,tblForecast,AM$2,FALSE),0)=0,DA53,IFERROR(VLOOKUP($B53 &amp; $C53&amp;AM$4,tblForecast,AM$2,FALSE),0))</f>
        <v>5</v>
      </c>
      <c r="AN53" s="94">
        <f t="shared" si="400"/>
        <v>5</v>
      </c>
      <c r="AO53" s="94">
        <f t="shared" si="400"/>
        <v>0</v>
      </c>
      <c r="AP53" s="49">
        <f>IFERROR(VLOOKUP($B53-IF(CompareVer="LY",1,0) &amp; $C53 &amp;AP$4,tblForecast,AP$2,FALSE),0)</f>
        <v>5.0350000000000001</v>
      </c>
      <c r="AQ53" s="47">
        <f t="shared" si="14"/>
        <v>-6.9513406156902491E-3</v>
      </c>
      <c r="AR53" s="73">
        <f>IF(IFERROR(VLOOKUP($B53 &amp; $C53&amp;AR$4,tblForecast,AR$2,FALSE),0)=0,DC53,IFERROR(VLOOKUP($B53 &amp; $C53&amp;AR$4,tblForecast,AR$2,FALSE),0))</f>
        <v>4.16</v>
      </c>
      <c r="AS53" s="94">
        <f t="shared" si="401"/>
        <v>4.16</v>
      </c>
      <c r="AT53" s="94">
        <f t="shared" si="401"/>
        <v>0</v>
      </c>
      <c r="AU53" s="49">
        <f>IFERROR(VLOOKUP($B53-IF(CompareVer="LY",1,0) &amp; $C53 &amp;AU$4,tblForecast,AU$2,FALSE),0)</f>
        <v>3.2683</v>
      </c>
      <c r="AV53" s="47">
        <f t="shared" si="16"/>
        <v>0.27283297126946726</v>
      </c>
      <c r="AW53" s="191">
        <f t="shared" si="402"/>
        <v>0.8001598721023182</v>
      </c>
      <c r="AX53" s="192">
        <f t="shared" si="402"/>
        <v>0.8001598721023182</v>
      </c>
      <c r="AY53" s="192">
        <f t="shared" si="402"/>
        <v>0</v>
      </c>
      <c r="AZ53" s="192">
        <f t="shared" si="402"/>
        <v>0.75158374612697598</v>
      </c>
      <c r="BA53" s="235">
        <f>IF(BA52+BV53+BL53+BR53-Q53&lt;0,0,BA52+BV53+BL53+BR53-Q53)</f>
        <v>181503</v>
      </c>
      <c r="BB53" s="231">
        <f>IF(IFERROR(VLOOKUP($B53 &amp; $C53&amp;BB$4,tblForecast,BB$2,FALSE),0)=0,BA53,IFERROR(VLOOKUP($B53 &amp; $C53&amp;BB$4,tblForecast,BB$2,FALSE),0))</f>
        <v>181503</v>
      </c>
      <c r="BC53" s="231">
        <f>IFERROR(VLOOKUP($B53-IF(CompareVer="LY",1,0) &amp; $C53 &amp;BC$4,tblForecast,BC$2,FALSE),0)</f>
        <v>0</v>
      </c>
      <c r="BD53" s="231">
        <f t="shared" si="403"/>
        <v>100444</v>
      </c>
      <c r="BE53" s="194">
        <f t="shared" si="19"/>
        <v>0.80700688941101517</v>
      </c>
      <c r="BF53" s="231">
        <f>IFERROR(VLOOKUP($B53 &amp; $C53&amp;IF($A53="a",BG$4,BF$4),tblForecast,BF$2,FALSE),0)</f>
        <v>0</v>
      </c>
      <c r="BG53" s="228">
        <f>IFERROR(VLOOKUP($B53-IF(CompareVer="LY",1,0) &amp; $C53 &amp;BG$4,tblForecast,BG$2,FALSE),0)</f>
        <v>18508</v>
      </c>
      <c r="BH53" s="179">
        <f>IF(Q53&lt;&gt;0,BA53/Q53,0)</f>
        <v>18.088798086505879</v>
      </c>
      <c r="BI53" s="183">
        <f>IF(T53&lt;&gt;0,BD53/T53,0)</f>
        <v>41.904046725073009</v>
      </c>
      <c r="BJ53" s="195">
        <f t="shared" si="404"/>
        <v>5.5282832790642576E-2</v>
      </c>
      <c r="BK53" s="50">
        <f t="shared" si="405"/>
        <v>2.3864043646210822E-2</v>
      </c>
      <c r="BL53" s="234">
        <f>IFERROR(VLOOKUP($B53 &amp; $C53&amp;IF($A53="a",BM$4,BL$4),tblForecast,BL$2,FALSE),0)</f>
        <v>0</v>
      </c>
      <c r="BM53" s="228">
        <f>IFERROR(VLOOKUP($B53-IF(CompareVer="LY",1,0) &amp; $C53 &amp;BM$4,tblForecast,BM$2,FALSE),0)</f>
        <v>-216</v>
      </c>
      <c r="BN53" s="234">
        <f>IFERROR(VLOOKUP($B53 &amp; $C53&amp;IF($A53="a",BO$4,BN$4),tblForecast,BN$2,FALSE),0)</f>
        <v>0</v>
      </c>
      <c r="BO53" s="228">
        <f>IFERROR(VLOOKUP($B53-IF(CompareVer="LY",1,0) &amp; $C53 &amp;BO$4,tblForecast,BO$2,FALSE),0)</f>
        <v>2005</v>
      </c>
      <c r="BP53" s="234">
        <f>IFERROR(VLOOKUP($B53 &amp; $C53&amp;IF($A53="a",BQ$4,BP$4),tblForecast,BP$2,FALSE),0)</f>
        <v>0</v>
      </c>
      <c r="BQ53" s="228">
        <f>IFERROR(VLOOKUP($B53-IF(CompareVer="LY",1,0) &amp; $C53 &amp;BQ$4,tblForecast,BQ$2,FALSE),0)</f>
        <v>93314</v>
      </c>
      <c r="BR53" s="227">
        <f t="shared" si="43"/>
        <v>0</v>
      </c>
      <c r="BS53" s="231">
        <f t="shared" si="22"/>
        <v>-91309</v>
      </c>
      <c r="BT53" s="234">
        <f t="shared" si="406"/>
        <v>0</v>
      </c>
      <c r="BU53" s="231">
        <f t="shared" si="406"/>
        <v>0</v>
      </c>
      <c r="BV53" s="231">
        <f>IF($A53="a",IFERROR(VLOOKUP($B53 &amp; $C53&amp;BV$4,tblForecast,BV$2,FALSE),0),BT53+BU53)</f>
        <v>0</v>
      </c>
      <c r="BW53" s="231">
        <f t="shared" si="407"/>
        <v>0</v>
      </c>
      <c r="BX53" s="231">
        <f t="shared" si="407"/>
        <v>0</v>
      </c>
      <c r="BY53" s="193">
        <f>IFERROR(VLOOKUP($B53-IF(CompareVer="LY",1,0) &amp; $C53 &amp;BY$4,tblForecast,BY$2,FALSE),0)</f>
        <v>0</v>
      </c>
      <c r="BZ53" s="194">
        <f t="shared" si="25"/>
        <v>0</v>
      </c>
      <c r="CA53" s="337">
        <f t="shared" si="408"/>
        <v>0</v>
      </c>
      <c r="CB53" s="46">
        <f t="shared" si="408"/>
        <v>0</v>
      </c>
      <c r="CC53" s="46">
        <f>IF($A53="a",IFERROR(VLOOKUP($B53 &amp; $C53&amp;CC$4,tblForecast,CC$2,FALSE),0),CA53+CB53)</f>
        <v>0</v>
      </c>
      <c r="CD53" s="46">
        <f t="shared" si="409"/>
        <v>0</v>
      </c>
      <c r="CE53" s="46">
        <f t="shared" si="409"/>
        <v>0</v>
      </c>
      <c r="CF53" s="46">
        <f>IFERROR(VLOOKUP($B53-IF(CompareVer="LY",1,0) &amp; $C53 &amp;CF$4,tblForecast,CF$2,FALSE),0)</f>
        <v>0</v>
      </c>
      <c r="CG53" s="194">
        <f t="shared" si="28"/>
        <v>0</v>
      </c>
      <c r="CH53" s="337">
        <f t="shared" si="410"/>
        <v>0</v>
      </c>
      <c r="CI53" s="46">
        <f t="shared" si="410"/>
        <v>0</v>
      </c>
      <c r="CJ53" s="46">
        <f>IF($A53="a",IFERROR(VLOOKUP($B53 &amp; $C53&amp;CJ$4,tblForecast,CJ$2,FALSE),0),CH53+CI53)</f>
        <v>0</v>
      </c>
      <c r="CK53" s="46">
        <f t="shared" si="411"/>
        <v>0</v>
      </c>
      <c r="CL53" s="46">
        <f t="shared" si="411"/>
        <v>0</v>
      </c>
      <c r="CM53" s="46">
        <f>IFERROR(VLOOKUP($B53-IF(CompareVer="LY",1,0) &amp; $C53 &amp;CM$4,tblForecast,CM$2,FALSE),0)</f>
        <v>0</v>
      </c>
      <c r="CN53" s="194">
        <f t="shared" si="31"/>
        <v>0</v>
      </c>
      <c r="CO53" s="178">
        <f t="shared" si="46"/>
        <v>0</v>
      </c>
      <c r="CP53" s="223">
        <f t="shared" si="46"/>
        <v>0</v>
      </c>
      <c r="CQ53" s="194">
        <f t="shared" si="33"/>
        <v>0</v>
      </c>
      <c r="CR53" s="178">
        <f t="shared" si="44"/>
        <v>0</v>
      </c>
      <c r="CS53" s="223">
        <f t="shared" si="34"/>
        <v>0</v>
      </c>
      <c r="CT53" s="194">
        <f t="shared" si="47"/>
        <v>0</v>
      </c>
      <c r="CU53" s="44"/>
      <c r="CW53" s="102">
        <f>IFERROR(VLOOKUP($B53 &amp; $C53&amp;27,tblForecast,CW$2,FALSE),0)</f>
        <v>0</v>
      </c>
      <c r="CX53" s="48">
        <f>IFERROR(VLOOKUP($B53-IF(CompareVer="LY",1,0) &amp; $C53 &amp;CX$4,tblForecast,CX$2,FALSE),0)</f>
        <v>81936</v>
      </c>
      <c r="CY53" s="47">
        <f t="shared" si="36"/>
        <v>-1</v>
      </c>
      <c r="CZ53" s="278">
        <f>IFERROR(VLOOKUP(Brand&amp;Channel&amp;Country&amp;$C53,tblDiscount,6,FALSE),0)</f>
        <v>0.8</v>
      </c>
      <c r="DA53" s="279">
        <f>(1-CZ53)*DB53</f>
        <v>5.0039999999999987</v>
      </c>
      <c r="DB53" s="279">
        <f>IFERROR(VLOOKUP(Brand&amp;Country &amp; Channel &amp;FC,tblFCSettings,8,FALSE),0)</f>
        <v>25.02</v>
      </c>
      <c r="DC53" s="280">
        <f>IFERROR(VLOOKUP(Brand&amp;Country &amp; Channel &amp;FC,tblFCSettings,9,FALSE),0)</f>
        <v>4.16</v>
      </c>
    </row>
    <row r="54" spans="2:107" ht="16.5" thickBot="1" x14ac:dyDescent="0.3">
      <c r="B54" s="44">
        <v>2018</v>
      </c>
      <c r="C54" s="88">
        <v>35</v>
      </c>
      <c r="D54" s="51">
        <f t="shared" si="412"/>
        <v>-8405161.9540800005</v>
      </c>
      <c r="E54" s="202">
        <f t="shared" si="413"/>
        <v>-7511526.4606079999</v>
      </c>
      <c r="F54" s="182">
        <f t="shared" si="45"/>
        <v>0.89368015769901787</v>
      </c>
      <c r="G54" s="176">
        <f t="shared" si="394"/>
        <v>-309664</v>
      </c>
      <c r="H54" s="203">
        <f t="shared" si="394"/>
        <v>27.142845000000001</v>
      </c>
      <c r="I54" s="203">
        <f t="shared" si="394"/>
        <v>2.8858229999999998</v>
      </c>
      <c r="J54" s="176">
        <f>IFERROR(VLOOKUP($B54 &amp; $C54&amp;J$4&amp;$A54,tblForecast,J$2,FALSE),0)+IFERROR(VLOOKUP($B54 &amp; $C54 &amp; J$4 &amp; $A54,tblForecast,J$2+1,FALSE),0)</f>
        <v>1071071</v>
      </c>
      <c r="K54" s="300">
        <f>IFERROR(VLOOKUP($B54 &amp; $C54&amp;K$4&amp;$A54,tblForecast,K$2,FALSE),0)+IFERROR(VLOOKUP($B54 &amp; $C54&amp;K$4&amp;$A54,tblForecast,K$2+1,FALSE),0)</f>
        <v>7434</v>
      </c>
      <c r="L54" s="90">
        <f t="shared" si="395"/>
        <v>42645</v>
      </c>
      <c r="M54" s="90">
        <f t="shared" si="395"/>
        <v>42645</v>
      </c>
      <c r="N54" s="46">
        <f t="shared" si="395"/>
        <v>0</v>
      </c>
      <c r="O54" s="46">
        <f t="shared" si="395"/>
        <v>7255.9975000000004</v>
      </c>
      <c r="P54" s="47">
        <f t="shared" si="39"/>
        <v>4.877207096612147</v>
      </c>
      <c r="Q54" s="242">
        <f t="shared" si="414"/>
        <v>8529</v>
      </c>
      <c r="R54" s="240">
        <f t="shared" si="396"/>
        <v>8529</v>
      </c>
      <c r="S54" s="240">
        <f t="shared" si="396"/>
        <v>0</v>
      </c>
      <c r="T54" s="240">
        <f>IFERROR(VLOOKUP($B54-IF(CompareVer="LY",1,0) &amp; $C54 &amp;T$4,tblForecast,T$2,FALSE),0)</f>
        <v>2165</v>
      </c>
      <c r="U54" s="91">
        <f t="shared" si="7"/>
        <v>2.9394919168591223</v>
      </c>
      <c r="V54" s="249">
        <f t="shared" si="415"/>
        <v>0.85000996611520829</v>
      </c>
      <c r="W54" s="334">
        <f t="shared" si="416"/>
        <v>0.85000996611520829</v>
      </c>
      <c r="X54" s="250">
        <f t="shared" si="417"/>
        <v>0.9032123487692949</v>
      </c>
      <c r="Y54" s="51">
        <f t="shared" si="397"/>
        <v>7164.3599999999969</v>
      </c>
      <c r="Z54" s="46">
        <f t="shared" si="397"/>
        <v>7164.3599999999969</v>
      </c>
      <c r="AA54" s="46">
        <f t="shared" si="397"/>
        <v>0</v>
      </c>
      <c r="AB54" s="46">
        <f t="shared" si="397"/>
        <v>142.89000000000044</v>
      </c>
      <c r="AC54" s="91">
        <f t="shared" si="9"/>
        <v>49.138988032752287</v>
      </c>
      <c r="AD54" s="75">
        <f>IF(AM54&lt;&gt;0,1-AR54/AM54,0)</f>
        <v>0.16799999999999993</v>
      </c>
      <c r="AE54" s="93">
        <f t="shared" si="398"/>
        <v>0.16799999999999993</v>
      </c>
      <c r="AF54" s="93">
        <f t="shared" si="398"/>
        <v>0</v>
      </c>
      <c r="AG54" s="76">
        <f t="shared" si="398"/>
        <v>1.9692674921676923E-2</v>
      </c>
      <c r="AH54" s="73">
        <f>IF(IFERROR(VLOOKUP($B54 &amp; $C54&amp;AH$4,tblForecast,AH$2,FALSE),0)=0,DB54,IFERROR(VLOOKUP($B54 &amp; $C54&amp;AH$4,tblForecast,AH$2,FALSE),0))</f>
        <v>25.02</v>
      </c>
      <c r="AI54" s="94">
        <f t="shared" si="399"/>
        <v>25.02</v>
      </c>
      <c r="AJ54" s="94">
        <f t="shared" si="399"/>
        <v>0</v>
      </c>
      <c r="AK54" s="49">
        <f>IFERROR(VLOOKUP($B54-IF(CompareVer="LY",1,0) &amp; $C54 &amp;AK$4,tblForecast,AK$2,FALSE),0)</f>
        <v>20.108000000000001</v>
      </c>
      <c r="AL54" s="47">
        <f t="shared" si="362"/>
        <v>0.24428088323055497</v>
      </c>
      <c r="AM54" s="73">
        <f>IF(IFERROR(VLOOKUP($B54 &amp; $C54&amp;AM$4,tblForecast,AM$2,FALSE),0)=0,DA54,IFERROR(VLOOKUP($B54 &amp; $C54&amp;AM$4,tblForecast,AM$2,FALSE),0))</f>
        <v>5</v>
      </c>
      <c r="AN54" s="94">
        <f t="shared" si="400"/>
        <v>5</v>
      </c>
      <c r="AO54" s="94">
        <f t="shared" si="400"/>
        <v>0</v>
      </c>
      <c r="AP54" s="49">
        <f>IFERROR(VLOOKUP($B54-IF(CompareVer="LY",1,0) &amp; $C54 &amp;AP$4,tblForecast,AP$2,FALSE),0)</f>
        <v>3.3515000000000001</v>
      </c>
      <c r="AQ54" s="47">
        <f t="shared" si="14"/>
        <v>0.49186931224824693</v>
      </c>
      <c r="AR54" s="73">
        <f>IF(IFERROR(VLOOKUP($B54 &amp; $C54&amp;AR$4,tblForecast,AR$2,FALSE),0)=0,DC54,IFERROR(VLOOKUP($B54 &amp; $C54&amp;AR$4,tblForecast,AR$2,FALSE),0))</f>
        <v>4.16</v>
      </c>
      <c r="AS54" s="94">
        <f t="shared" si="401"/>
        <v>4.16</v>
      </c>
      <c r="AT54" s="94">
        <f t="shared" si="401"/>
        <v>0</v>
      </c>
      <c r="AU54" s="49">
        <f>IFERROR(VLOOKUP($B54-IF(CompareVer="LY",1,0) &amp; $C54 &amp;AU$4,tblForecast,AU$2,FALSE),0)</f>
        <v>3.2854999999999999</v>
      </c>
      <c r="AV54" s="47">
        <f t="shared" si="16"/>
        <v>0.26616953279561728</v>
      </c>
      <c r="AW54" s="191">
        <f t="shared" si="402"/>
        <v>0.8001598721023182</v>
      </c>
      <c r="AX54" s="192">
        <f t="shared" si="402"/>
        <v>0.8001598721023182</v>
      </c>
      <c r="AY54" s="192">
        <f t="shared" si="402"/>
        <v>0</v>
      </c>
      <c r="AZ54" s="192">
        <f t="shared" si="402"/>
        <v>0.83332504475830516</v>
      </c>
      <c r="BA54" s="235">
        <f>IF(BA53+BV54+BL54+BR54-Q54&lt;0,0,BA53+BV54+BL54+BR54-Q54)</f>
        <v>172974</v>
      </c>
      <c r="BB54" s="231">
        <f>IF(IFERROR(VLOOKUP($B54 &amp; $C54&amp;BB$4,tblForecast,BB$2,FALSE),0)=0,BA54,IFERROR(VLOOKUP($B54 &amp; $C54&amp;BB$4,tblForecast,BB$2,FALSE),0))</f>
        <v>172974</v>
      </c>
      <c r="BC54" s="231">
        <f>IFERROR(VLOOKUP($B54-IF(CompareVer="LY",1,0) &amp; $C54 &amp;BC$4,tblForecast,BC$2,FALSE),0)</f>
        <v>0</v>
      </c>
      <c r="BD54" s="231">
        <f t="shared" si="403"/>
        <v>79905</v>
      </c>
      <c r="BE54" s="194">
        <f t="shared" si="19"/>
        <v>1.1647456354420873</v>
      </c>
      <c r="BF54" s="231">
        <f>IFERROR(VLOOKUP($B54 &amp; $C54&amp;IF($A54="a",BG$4,BF$4),tblForecast,BF$2,FALSE),0)</f>
        <v>0</v>
      </c>
      <c r="BG54" s="228">
        <f>IFERROR(VLOOKUP($B54-IF(CompareVer="LY",1,0) &amp; $C54 &amp;BG$4,tblForecast,BG$2,FALSE),0)</f>
        <v>6091</v>
      </c>
      <c r="BH54" s="179">
        <f>IF(Q54&lt;&gt;0,BA54/Q54,0)</f>
        <v>20.280689412592331</v>
      </c>
      <c r="BI54" s="183">
        <f>IF(T54&lt;&gt;0,BD54/T54,0)</f>
        <v>36.907621247113163</v>
      </c>
      <c r="BJ54" s="195">
        <f t="shared" si="404"/>
        <v>4.9307988483818378E-2</v>
      </c>
      <c r="BK54" s="50">
        <f t="shared" si="405"/>
        <v>2.7094674926475191E-2</v>
      </c>
      <c r="BL54" s="234">
        <f>IFERROR(VLOOKUP($B54 &amp; $C54&amp;IF($A54="a",BM$4,BL$4),tblForecast,BL$2,FALSE),0)</f>
        <v>0</v>
      </c>
      <c r="BM54" s="228">
        <f>IFERROR(VLOOKUP($B54-IF(CompareVer="LY",1,0) &amp; $C54 &amp;BM$4,tblForecast,BM$2,FALSE),0)</f>
        <v>-212</v>
      </c>
      <c r="BN54" s="234">
        <f>IFERROR(VLOOKUP($B54 &amp; $C54&amp;IF($A54="a",BO$4,BN$4),tblForecast,BN$2,FALSE),0)</f>
        <v>0</v>
      </c>
      <c r="BO54" s="228">
        <f>IFERROR(VLOOKUP($B54-IF(CompareVer="LY",1,0) &amp; $C54 &amp;BO$4,tblForecast,BO$2,FALSE),0)</f>
        <v>3486</v>
      </c>
      <c r="BP54" s="234">
        <f>IFERROR(VLOOKUP($B54 &amp; $C54&amp;IF($A54="a",BQ$4,BP$4),tblForecast,BP$2,FALSE),0)</f>
        <v>0</v>
      </c>
      <c r="BQ54" s="228">
        <f>IFERROR(VLOOKUP($B54-IF(CompareVer="LY",1,0) &amp; $C54 &amp;BQ$4,tblForecast,BQ$2,FALSE),0)</f>
        <v>21637</v>
      </c>
      <c r="BR54" s="227">
        <f t="shared" si="43"/>
        <v>0</v>
      </c>
      <c r="BS54" s="231">
        <f t="shared" si="22"/>
        <v>-18151</v>
      </c>
      <c r="BT54" s="234">
        <f t="shared" si="406"/>
        <v>0</v>
      </c>
      <c r="BU54" s="231">
        <f t="shared" si="406"/>
        <v>0</v>
      </c>
      <c r="BV54" s="231">
        <f>IF($A54="a",IFERROR(VLOOKUP($B54 &amp; $C54&amp;BV$4,tblForecast,BV$2,FALSE),0),BT54+BU54)</f>
        <v>0</v>
      </c>
      <c r="BW54" s="231">
        <f t="shared" si="407"/>
        <v>0</v>
      </c>
      <c r="BX54" s="231">
        <f t="shared" si="407"/>
        <v>0</v>
      </c>
      <c r="BY54" s="193">
        <f>IFERROR(VLOOKUP($B54-IF(CompareVer="LY",1,0) &amp; $C54 &amp;BY$4,tblForecast,BY$2,FALSE),0)</f>
        <v>0</v>
      </c>
      <c r="BZ54" s="194">
        <f t="shared" si="25"/>
        <v>0</v>
      </c>
      <c r="CA54" s="337">
        <f t="shared" si="408"/>
        <v>0</v>
      </c>
      <c r="CB54" s="46">
        <f t="shared" si="408"/>
        <v>0</v>
      </c>
      <c r="CC54" s="46">
        <f>IF($A54="a",IFERROR(VLOOKUP($B54 &amp; $C54&amp;CC$4,tblForecast,CC$2,FALSE),0),CA54+CB54)</f>
        <v>0</v>
      </c>
      <c r="CD54" s="46">
        <f t="shared" si="409"/>
        <v>0</v>
      </c>
      <c r="CE54" s="46">
        <f t="shared" si="409"/>
        <v>0</v>
      </c>
      <c r="CF54" s="46">
        <f>IFERROR(VLOOKUP($B54-IF(CompareVer="LY",1,0) &amp; $C54 &amp;CF$4,tblForecast,CF$2,FALSE),0)</f>
        <v>0</v>
      </c>
      <c r="CG54" s="194">
        <f t="shared" si="28"/>
        <v>0</v>
      </c>
      <c r="CH54" s="337">
        <f t="shared" si="410"/>
        <v>0</v>
      </c>
      <c r="CI54" s="46">
        <f t="shared" si="410"/>
        <v>0</v>
      </c>
      <c r="CJ54" s="46">
        <f>IF($A54="a",IFERROR(VLOOKUP($B54 &amp; $C54&amp;CJ$4,tblForecast,CJ$2,FALSE),0),CH54+CI54)</f>
        <v>0</v>
      </c>
      <c r="CK54" s="46">
        <f t="shared" si="411"/>
        <v>0</v>
      </c>
      <c r="CL54" s="46">
        <f t="shared" si="411"/>
        <v>0</v>
      </c>
      <c r="CM54" s="46">
        <f>IFERROR(VLOOKUP($B54-IF(CompareVer="LY",1,0) &amp; $C54 &amp;CM$4,tblForecast,CM$2,FALSE),0)</f>
        <v>0</v>
      </c>
      <c r="CN54" s="194">
        <f t="shared" si="31"/>
        <v>0</v>
      </c>
      <c r="CO54" s="178">
        <f t="shared" si="46"/>
        <v>0</v>
      </c>
      <c r="CP54" s="223">
        <f t="shared" si="46"/>
        <v>0</v>
      </c>
      <c r="CQ54" s="194">
        <f t="shared" si="33"/>
        <v>0</v>
      </c>
      <c r="CR54" s="178">
        <f t="shared" si="44"/>
        <v>0</v>
      </c>
      <c r="CS54" s="223">
        <f t="shared" si="34"/>
        <v>0</v>
      </c>
      <c r="CT54" s="194">
        <f t="shared" si="47"/>
        <v>0</v>
      </c>
      <c r="CU54" s="44"/>
      <c r="CW54" s="102">
        <f>IFERROR(VLOOKUP($B54 &amp; $C54&amp;27,tblForecast,CW$2,FALSE),0)</f>
        <v>0</v>
      </c>
      <c r="CX54" s="48">
        <f>IFERROR(VLOOKUP($B54-IF(CompareVer="LY",1,0) &amp; $C54 &amp;CX$4,tblForecast,CX$2,FALSE),0)</f>
        <v>73814</v>
      </c>
      <c r="CY54" s="47">
        <f t="shared" si="36"/>
        <v>-1</v>
      </c>
      <c r="CZ54" s="278">
        <f>IFERROR(VLOOKUP(Brand&amp;Channel&amp;Country&amp;$C54,tblDiscount,6,FALSE),0)</f>
        <v>0.8</v>
      </c>
      <c r="DA54" s="279">
        <f>(1-CZ54)*DB54</f>
        <v>5.0039999999999987</v>
      </c>
      <c r="DB54" s="279">
        <f>IFERROR(VLOOKUP(Brand&amp;Country &amp; Channel &amp;FC,tblFCSettings,8,FALSE),0)</f>
        <v>25.02</v>
      </c>
      <c r="DC54" s="280">
        <f>IFERROR(VLOOKUP(Brand&amp;Country &amp; Channel &amp;FC,tblFCSettings,9,FALSE),0)</f>
        <v>4.16</v>
      </c>
    </row>
    <row r="55" spans="2:107" ht="16.5" thickBot="1" x14ac:dyDescent="0.3">
      <c r="C55" s="253" t="s">
        <v>313</v>
      </c>
      <c r="D55" s="254">
        <f>SUM(D50:D54)</f>
        <v>-36123661.156827003</v>
      </c>
      <c r="E55" s="255">
        <f>SUM(E50:E54)</f>
        <v>-34133426.415542997</v>
      </c>
      <c r="F55" s="256">
        <f t="shared" si="45"/>
        <v>0.94490495488141113</v>
      </c>
      <c r="G55" s="257">
        <f>SUM(G50:G54)</f>
        <v>-1224269</v>
      </c>
      <c r="H55" s="258">
        <f>IFERROR(D55/G55,0)</f>
        <v>29.506310424283392</v>
      </c>
      <c r="I55" s="258">
        <f>IFERROR(SUMPRODUCT(I50:I54,G50:G54)/G55,0)</f>
        <v>1.6256515041089825</v>
      </c>
      <c r="J55" s="257">
        <f>SUM(J50:J54)</f>
        <v>5663952</v>
      </c>
      <c r="K55" s="301">
        <f>SUM(K50:K54)</f>
        <v>166424</v>
      </c>
      <c r="L55" s="259">
        <f>SUM(L50:L54)</f>
        <v>341048.5</v>
      </c>
      <c r="M55" s="259">
        <f t="shared" ref="M55:O55" si="418">SUM(M50:M54)</f>
        <v>341048.5</v>
      </c>
      <c r="N55" s="259">
        <f t="shared" si="418"/>
        <v>0</v>
      </c>
      <c r="O55" s="259">
        <f t="shared" si="418"/>
        <v>186713.98849999998</v>
      </c>
      <c r="P55" s="260">
        <f t="shared" si="39"/>
        <v>0.82658247911618066</v>
      </c>
      <c r="Q55" s="261">
        <f>SUM(Q50:Q54)</f>
        <v>60593</v>
      </c>
      <c r="R55" s="262">
        <f t="shared" ref="R55:S55" si="419">SUM(R50:R54)</f>
        <v>60593</v>
      </c>
      <c r="S55" s="262">
        <f t="shared" si="419"/>
        <v>0</v>
      </c>
      <c r="T55" s="262">
        <f>SUM(T50:T54)</f>
        <v>35840</v>
      </c>
      <c r="U55" s="260">
        <f t="shared" si="7"/>
        <v>0.69065290178571437</v>
      </c>
      <c r="V55" s="263">
        <f>V54</f>
        <v>0.85000996611520829</v>
      </c>
      <c r="W55" s="332">
        <f>W54</f>
        <v>0.85000996611520829</v>
      </c>
      <c r="X55" s="264">
        <f>X54</f>
        <v>0.9032123487692949</v>
      </c>
      <c r="Y55" s="254">
        <f>SUM(Y50:Y54)</f>
        <v>88981.619999999966</v>
      </c>
      <c r="Z55" s="259">
        <f t="shared" ref="Z55:AB55" si="420">SUM(Z50:Z54)</f>
        <v>88981.619999999966</v>
      </c>
      <c r="AA55" s="259">
        <f t="shared" si="420"/>
        <v>0</v>
      </c>
      <c r="AB55" s="259">
        <f t="shared" si="420"/>
        <v>59087.501299999996</v>
      </c>
      <c r="AC55" s="260">
        <f t="shared" si="9"/>
        <v>0.50592964742612945</v>
      </c>
      <c r="AD55" s="265">
        <f>IFERROR(Y55/L55,0)</f>
        <v>0.26090605881568152</v>
      </c>
      <c r="AE55" s="266">
        <f>IFERROR(Z55/M55,0)</f>
        <v>0.26090605881568152</v>
      </c>
      <c r="AF55" s="266">
        <f>IFERROR(AA55/N55,0)</f>
        <v>0</v>
      </c>
      <c r="AG55" s="266">
        <f>IFERROR(AB55/O55,0)</f>
        <v>0.31645995982780906</v>
      </c>
      <c r="AH55" s="268">
        <f>IFERROR(SUMPRODUCT(AH50:AH54,Q50:Q54)/Q55,0)</f>
        <v>25.020000000000003</v>
      </c>
      <c r="AI55" s="268">
        <f>IFERROR(SUMPRODUCT(AI50:AI54,R50:R54)/R55,0)</f>
        <v>25.020000000000003</v>
      </c>
      <c r="AJ55" s="268">
        <f>IFERROR(SUMPRODUCT(AJ50:AJ54,S50:S54)/S55,0)</f>
        <v>0</v>
      </c>
      <c r="AK55" s="268">
        <f>IFERROR(SUMPRODUCT(AK50:AK54,T50:T54)/T55,0)</f>
        <v>21.881572287946426</v>
      </c>
      <c r="AL55" s="260">
        <f t="shared" si="362"/>
        <v>0.14342788857921307</v>
      </c>
      <c r="AM55" s="267">
        <f>IF(Q55&lt;&gt;0,L55/Q55,0)</f>
        <v>5.6285131945934346</v>
      </c>
      <c r="AN55" s="268">
        <f>IF(R55&lt;&gt;0,M55/R55,0)</f>
        <v>5.6285131945934346</v>
      </c>
      <c r="AO55" s="268">
        <f>IF(S55&lt;&gt;0,N55/S55,0)</f>
        <v>0</v>
      </c>
      <c r="AP55" s="268">
        <f>IF(T55&lt;&gt;0,O55/T55,0)</f>
        <v>5.2096536969866065</v>
      </c>
      <c r="AQ55" s="260">
        <f t="shared" si="14"/>
        <v>8.0400641188320687E-2</v>
      </c>
      <c r="AR55" s="267">
        <f>IFERROR((L55*(1-AD55))/Q55,0)</f>
        <v>4.16</v>
      </c>
      <c r="AS55" s="268">
        <f>IFERROR((M55*(1-AE55))/R55,0)</f>
        <v>4.16</v>
      </c>
      <c r="AT55" s="268">
        <f>IFERROR((N55*(1-AF55))/S55,0)</f>
        <v>0</v>
      </c>
      <c r="AU55" s="268">
        <f>IFERROR((O55*(1-AG55))/T55,0)</f>
        <v>3.5610068973214282</v>
      </c>
      <c r="AV55" s="260">
        <f t="shared" si="16"/>
        <v>0.16820891392519677</v>
      </c>
      <c r="AW55" s="269">
        <f>IFERROR(SUMPRODUCT(AW50:AW54,V50:V54)/V55,0)</f>
        <v>3.9441985860905033</v>
      </c>
      <c r="AX55" s="270">
        <f t="shared" ref="AX55:AZ55" si="421">IFERROR(SUMPRODUCT(AX50:AX54,X50:X54)/X55,0)</f>
        <v>3.3121141581377129</v>
      </c>
      <c r="AY55" s="270">
        <f t="shared" si="421"/>
        <v>0</v>
      </c>
      <c r="AZ55" s="270">
        <f t="shared" si="421"/>
        <v>0.75574941094827275</v>
      </c>
      <c r="BA55" s="261">
        <f>BA54</f>
        <v>172974</v>
      </c>
      <c r="BB55" s="262">
        <f t="shared" ref="BB55:BD55" si="422">BB54</f>
        <v>172974</v>
      </c>
      <c r="BC55" s="262">
        <f t="shared" si="422"/>
        <v>0</v>
      </c>
      <c r="BD55" s="262">
        <f t="shared" si="422"/>
        <v>79905</v>
      </c>
      <c r="BE55" s="260">
        <f t="shared" si="19"/>
        <v>1.1647456354420873</v>
      </c>
      <c r="BF55" s="262">
        <f>BF54</f>
        <v>0</v>
      </c>
      <c r="BG55" s="262">
        <f>BG54</f>
        <v>6091</v>
      </c>
      <c r="BH55" s="271">
        <f>IF(Q55&lt;&gt;0,(BA55*COUNTIF(BH50:BH54,"&lt;&gt;0")/Q55),0)</f>
        <v>14.273430924364201</v>
      </c>
      <c r="BI55" s="272">
        <f>IF(T55&lt;&gt;0,(BD55*COUNTIF(BI50:BI54,"&lt;&gt;0")/T55),0)</f>
        <v>11.1474609375</v>
      </c>
      <c r="BJ55" s="273">
        <f t="shared" ref="BJ55" si="423">IF(BA55&lt;&gt;0,(Q55/COUNTIF(BJ50:BJ54,"&lt;&gt;0"))/BA55,0)</f>
        <v>7.0060240267323409E-2</v>
      </c>
      <c r="BK55" s="274">
        <f t="shared" ref="BK55" si="424">IF(BD55&lt;&gt;0,(T55/COUNTIF(BK50:BK54,"&lt;&gt;0"))/BD55,0)</f>
        <v>8.9706526500219014E-2</v>
      </c>
      <c r="BL55" s="261">
        <f t="shared" ref="BL55" si="425">SUM(BL50:BL54)</f>
        <v>0</v>
      </c>
      <c r="BM55" s="262">
        <f>SUM(BM50:BM54)</f>
        <v>-1208</v>
      </c>
      <c r="BN55" s="261">
        <f t="shared" ref="BN55:BQ55" si="426">SUM(BN50:BN54)</f>
        <v>0</v>
      </c>
      <c r="BO55" s="262">
        <f t="shared" si="426"/>
        <v>5750</v>
      </c>
      <c r="BP55" s="261">
        <f t="shared" si="426"/>
        <v>0</v>
      </c>
      <c r="BQ55" s="262">
        <f t="shared" si="426"/>
        <v>126082</v>
      </c>
      <c r="BR55" s="261">
        <f t="shared" si="43"/>
        <v>0</v>
      </c>
      <c r="BS55" s="262">
        <f t="shared" si="22"/>
        <v>-120332</v>
      </c>
      <c r="BT55" s="261">
        <f t="shared" ref="BT55:BY55" si="427">SUM(BT50:BT54)</f>
        <v>0</v>
      </c>
      <c r="BU55" s="262">
        <f t="shared" si="427"/>
        <v>0</v>
      </c>
      <c r="BV55" s="262">
        <f t="shared" si="427"/>
        <v>0</v>
      </c>
      <c r="BW55" s="262">
        <f t="shared" si="427"/>
        <v>0</v>
      </c>
      <c r="BX55" s="262">
        <f t="shared" si="427"/>
        <v>0</v>
      </c>
      <c r="BY55" s="275">
        <f t="shared" si="427"/>
        <v>0</v>
      </c>
      <c r="BZ55" s="260">
        <f t="shared" si="25"/>
        <v>0</v>
      </c>
      <c r="CA55" s="338">
        <f t="shared" ref="CA55:CF55" si="428">SUM(CA50:CA54)</f>
        <v>0</v>
      </c>
      <c r="CB55" s="259">
        <f t="shared" si="428"/>
        <v>0</v>
      </c>
      <c r="CC55" s="259">
        <f t="shared" si="428"/>
        <v>0</v>
      </c>
      <c r="CD55" s="259">
        <f t="shared" si="428"/>
        <v>0</v>
      </c>
      <c r="CE55" s="259">
        <f t="shared" si="428"/>
        <v>0</v>
      </c>
      <c r="CF55" s="259">
        <f t="shared" si="428"/>
        <v>0</v>
      </c>
      <c r="CG55" s="260">
        <f t="shared" si="28"/>
        <v>0</v>
      </c>
      <c r="CH55" s="338">
        <f t="shared" ref="CH55:CM55" si="429">SUM(CH50:CH54)</f>
        <v>0</v>
      </c>
      <c r="CI55" s="259">
        <f t="shared" si="429"/>
        <v>0</v>
      </c>
      <c r="CJ55" s="259">
        <f t="shared" si="429"/>
        <v>0</v>
      </c>
      <c r="CK55" s="259">
        <f t="shared" si="429"/>
        <v>0</v>
      </c>
      <c r="CL55" s="259">
        <f t="shared" si="429"/>
        <v>0</v>
      </c>
      <c r="CM55" s="259">
        <f t="shared" si="429"/>
        <v>0</v>
      </c>
      <c r="CN55" s="260">
        <f t="shared" si="31"/>
        <v>0</v>
      </c>
      <c r="CO55" s="276">
        <f t="shared" si="46"/>
        <v>0</v>
      </c>
      <c r="CP55" s="277">
        <f t="shared" si="46"/>
        <v>0</v>
      </c>
      <c r="CQ55" s="260">
        <f t="shared" si="33"/>
        <v>0</v>
      </c>
      <c r="CR55" s="276">
        <f t="shared" si="44"/>
        <v>0</v>
      </c>
      <c r="CS55" s="277">
        <f t="shared" si="34"/>
        <v>0</v>
      </c>
      <c r="CT55" s="260">
        <f t="shared" si="47"/>
        <v>0</v>
      </c>
      <c r="CU55" s="44"/>
      <c r="CW55" s="100">
        <f>CW54</f>
        <v>0</v>
      </c>
      <c r="CX55" s="101">
        <f>CX54</f>
        <v>73814</v>
      </c>
      <c r="CY55" s="99">
        <f t="shared" si="36"/>
        <v>-1</v>
      </c>
      <c r="CZ55" s="278"/>
      <c r="DA55" s="279"/>
      <c r="DB55" s="279"/>
      <c r="DC55" s="280"/>
    </row>
    <row r="56" spans="2:107" x14ac:dyDescent="0.25">
      <c r="B56" s="44">
        <v>2018</v>
      </c>
      <c r="C56" s="88">
        <v>36</v>
      </c>
      <c r="D56" s="51">
        <f>G56*H56</f>
        <v>-8813910.7269200012</v>
      </c>
      <c r="E56" s="202">
        <f>IFERROR(D56*F56,0)</f>
        <v>-7485498.2349200007</v>
      </c>
      <c r="F56" s="182">
        <f t="shared" si="45"/>
        <v>0.84928228420300655</v>
      </c>
      <c r="G56" s="176">
        <f t="shared" ref="G56:I59" si="430">IFERROR(VLOOKUP($B56 &amp; $C56&amp;G$4&amp;$A56,tblForecast,G$2,FALSE),0)</f>
        <v>-339704</v>
      </c>
      <c r="H56" s="203">
        <f t="shared" si="430"/>
        <v>25.945855000000002</v>
      </c>
      <c r="I56" s="203">
        <f t="shared" si="430"/>
        <v>3.9104999999999999</v>
      </c>
      <c r="J56" s="176">
        <f>IFERROR(VLOOKUP($B56 &amp; $C56&amp;J$4&amp;$A56,tblForecast,J$2,FALSE),0)+IFERROR(VLOOKUP($B56 &amp; $C56 &amp; J$4 &amp; $A56,tblForecast,J$2+1,FALSE),0)</f>
        <v>1009682</v>
      </c>
      <c r="K56" s="300">
        <f>IFERROR(VLOOKUP($B56 &amp; $C56&amp;K$4&amp;$A56,tblForecast,K$2,FALSE),0)+IFERROR(VLOOKUP($B56 &amp; $C56&amp;K$4&amp;$A56,tblForecast,K$2+1,FALSE),0)</f>
        <v>129642</v>
      </c>
      <c r="L56" s="90">
        <f t="shared" ref="L56:O59" si="431">Q56*AM56</f>
        <v>38380</v>
      </c>
      <c r="M56" s="90">
        <f t="shared" si="431"/>
        <v>38380</v>
      </c>
      <c r="N56" s="46">
        <f t="shared" si="431"/>
        <v>0</v>
      </c>
      <c r="O56" s="46">
        <f t="shared" si="431"/>
        <v>8291.0895</v>
      </c>
      <c r="P56" s="47">
        <f t="shared" si="39"/>
        <v>3.6290659388009257</v>
      </c>
      <c r="Q56" s="242">
        <f>ROUND(IF(BA54-(Q54*IF(W56=0,X56,W56))&lt;0,BA54,Q54*IF(W56=0,X56,W56)),0)</f>
        <v>7676</v>
      </c>
      <c r="R56" s="240">
        <f t="shared" ref="R56:S59" si="432">IFERROR(VLOOKUP($B56 &amp; $C56&amp;R$4,tblForecast,R$2,FALSE),0)</f>
        <v>7676</v>
      </c>
      <c r="S56" s="240">
        <f t="shared" si="432"/>
        <v>0</v>
      </c>
      <c r="T56" s="240">
        <f>IFERROR(VLOOKUP($B56-IF(CompareVer="LY",1,0) &amp; $C56 &amp;T$4,tblForecast,T$2,FALSE),0)</f>
        <v>2449</v>
      </c>
      <c r="U56" s="91">
        <f t="shared" si="7"/>
        <v>2.1343405471621071</v>
      </c>
      <c r="V56" s="249">
        <f>IFERROR(IF(Q54&gt;0,Q56/Q54,0),0)</f>
        <v>0.89998827529604875</v>
      </c>
      <c r="W56" s="334">
        <f>IFERROR(IF(R54&gt;0,R56/R54,0),0)</f>
        <v>0.89998827529604875</v>
      </c>
      <c r="X56" s="250">
        <f>IFERROR(IF(T54&gt;0,T56/T54,0),0)</f>
        <v>1.1311778290993071</v>
      </c>
      <c r="Y56" s="51">
        <f t="shared" ref="Y56:AB59" si="433">IFERROR(L56*AD56,0)</f>
        <v>6447.8399999999974</v>
      </c>
      <c r="Z56" s="46">
        <f t="shared" si="433"/>
        <v>6447.8399999999974</v>
      </c>
      <c r="AA56" s="46">
        <f t="shared" si="433"/>
        <v>0</v>
      </c>
      <c r="AB56" s="46">
        <f t="shared" si="433"/>
        <v>140.08279999999988</v>
      </c>
      <c r="AC56" s="91">
        <f t="shared" si="9"/>
        <v>45.028777266016981</v>
      </c>
      <c r="AD56" s="75">
        <f>IF(AM56&lt;&gt;0,1-AR56/AM56,0)</f>
        <v>0.16799999999999993</v>
      </c>
      <c r="AE56" s="93">
        <f t="shared" ref="AE56:AG59" si="434">IF(AN56&lt;&gt;0,1-AS56/AN56,0)</f>
        <v>0.16799999999999993</v>
      </c>
      <c r="AF56" s="93">
        <f t="shared" si="434"/>
        <v>0</v>
      </c>
      <c r="AG56" s="76">
        <f t="shared" si="434"/>
        <v>1.6895584108698847E-2</v>
      </c>
      <c r="AH56" s="73">
        <f>IF(IFERROR(VLOOKUP($B56 &amp; $C56&amp;AH$4,tblForecast,AH$2,FALSE),0)=0,DB56,IFERROR(VLOOKUP($B56 &amp; $C56&amp;AH$4,tblForecast,AH$2,FALSE),0))</f>
        <v>25.02</v>
      </c>
      <c r="AI56" s="94">
        <f t="shared" ref="AI56:AJ59" si="435">IFERROR(VLOOKUP($B56 &amp; $C56&amp;AI$4,tblForecast,AI$2,FALSE),0)</f>
        <v>25.02</v>
      </c>
      <c r="AJ56" s="94">
        <f t="shared" si="435"/>
        <v>0</v>
      </c>
      <c r="AK56" s="49">
        <f>IFERROR(VLOOKUP($B56-IF(CompareVer="LY",1,0) &amp; $C56 &amp;AK$4,tblForecast,AK$2,FALSE),0)</f>
        <v>20.429400000000001</v>
      </c>
      <c r="AL56" s="47">
        <f t="shared" si="362"/>
        <v>0.22470557138241931</v>
      </c>
      <c r="AM56" s="73">
        <f>IF(IFERROR(VLOOKUP($B56 &amp; $C56&amp;AM$4,tblForecast,AM$2,FALSE),0)=0,DA56,IFERROR(VLOOKUP($B56 &amp; $C56&amp;AM$4,tblForecast,AM$2,FALSE),0))</f>
        <v>5</v>
      </c>
      <c r="AN56" s="94">
        <f t="shared" ref="AN56:AO59" si="436">IFERROR(VLOOKUP($B56 &amp; $C56&amp;AN$4,tblForecast,AN$2,FALSE),0)</f>
        <v>5</v>
      </c>
      <c r="AO56" s="94">
        <f t="shared" si="436"/>
        <v>0</v>
      </c>
      <c r="AP56" s="49">
        <f>IFERROR(VLOOKUP($B56-IF(CompareVer="LY",1,0) &amp; $C56 &amp;AP$4,tblForecast,AP$2,FALSE),0)</f>
        <v>3.3855</v>
      </c>
      <c r="AQ56" s="47">
        <f t="shared" si="14"/>
        <v>0.47688672278836219</v>
      </c>
      <c r="AR56" s="73">
        <f>IF(IFERROR(VLOOKUP($B56 &amp; $C56&amp;AR$4,tblForecast,AR$2,FALSE),0)=0,DC56,IFERROR(VLOOKUP($B56 &amp; $C56&amp;AR$4,tblForecast,AR$2,FALSE),0))</f>
        <v>4.16</v>
      </c>
      <c r="AS56" s="94">
        <f t="shared" ref="AS56:AT59" si="437">IFERROR(VLOOKUP($B56 &amp; $C56&amp;AS$4,tblForecast,AS$2,FALSE),0)</f>
        <v>4.16</v>
      </c>
      <c r="AT56" s="94">
        <f t="shared" si="437"/>
        <v>0</v>
      </c>
      <c r="AU56" s="49">
        <f>IFERROR(VLOOKUP($B56-IF(CompareVer="LY",1,0) &amp; $C56 &amp;AU$4,tblForecast,AU$2,FALSE),0)</f>
        <v>3.3283</v>
      </c>
      <c r="AV56" s="47">
        <f t="shared" si="16"/>
        <v>0.2498873298681008</v>
      </c>
      <c r="AW56" s="191">
        <f t="shared" ref="AW56:AZ59" si="438">IFERROR((AM56/AH56-1)*-1,0)</f>
        <v>0.8001598721023182</v>
      </c>
      <c r="AX56" s="192">
        <f t="shared" si="438"/>
        <v>0.8001598721023182</v>
      </c>
      <c r="AY56" s="192">
        <f t="shared" si="438"/>
        <v>0</v>
      </c>
      <c r="AZ56" s="192">
        <f t="shared" si="438"/>
        <v>0.83428294516725898</v>
      </c>
      <c r="BA56" s="235">
        <f>IF(BA55+BV56+BL56+BR56-Q56&lt;0,0,BA55+BV56+BL56+BR56-Q56)</f>
        <v>165298</v>
      </c>
      <c r="BB56" s="231">
        <f>IF(IFERROR(VLOOKUP($B56 &amp; $C56&amp;BB$4,tblForecast,BB$2,FALSE),0)=0,BA56,IFERROR(VLOOKUP($B56 &amp; $C56&amp;BB$4,tblForecast,BB$2,FALSE),0))</f>
        <v>165298</v>
      </c>
      <c r="BC56" s="231">
        <f>IFERROR(VLOOKUP($B56-IF(CompareVer="LY",1,0) &amp; $C56 &amp;BC$4,tblForecast,BC$2,FALSE),0)</f>
        <v>0</v>
      </c>
      <c r="BD56" s="231">
        <f t="shared" ref="BD56:BD59" si="439">CX56+BG56</f>
        <v>76019</v>
      </c>
      <c r="BE56" s="194">
        <f t="shared" si="19"/>
        <v>1.1744300766913534</v>
      </c>
      <c r="BF56" s="231">
        <f>IFERROR(VLOOKUP($B56 &amp; $C56&amp;IF($A56="a",BG$4,BF$4),tblForecast,BF$2,FALSE),0)</f>
        <v>0</v>
      </c>
      <c r="BG56" s="228">
        <f>IFERROR(VLOOKUP($B56-IF(CompareVer="LY",1,0) &amp; $C56 &amp;BG$4,tblForecast,BG$2,FALSE),0)</f>
        <v>6092</v>
      </c>
      <c r="BH56" s="179">
        <f>IF(Q56&lt;&gt;0,BA56/Q56,0)</f>
        <v>21.534392912975509</v>
      </c>
      <c r="BI56" s="183">
        <f>IF(T56&lt;&gt;0,BD56/T56,0)</f>
        <v>31.040832993058391</v>
      </c>
      <c r="BJ56" s="195">
        <f t="shared" ref="BJ56:BJ59" si="440">IF(BA56&lt;&gt;0,Q56/BA56,0)</f>
        <v>4.6437343464530725E-2</v>
      </c>
      <c r="BK56" s="50">
        <f t="shared" ref="BK56:BK59" si="441">IF(BD56&lt;&gt;0,T56/BD56,0)</f>
        <v>3.2215630302950576E-2</v>
      </c>
      <c r="BL56" s="234">
        <f>IFERROR(VLOOKUP($B56 &amp; $C56&amp;IF($A56="a",BM$4,BL$4),tblForecast,BL$2,FALSE),0)</f>
        <v>0</v>
      </c>
      <c r="BM56" s="228">
        <f>IFERROR(VLOOKUP($B56-IF(CompareVer="LY",1,0) &amp; $C56 &amp;BM$4,tblForecast,BM$2,FALSE),0)</f>
        <v>-108</v>
      </c>
      <c r="BN56" s="234">
        <f>IFERROR(VLOOKUP($B56 &amp; $C56&amp;IF($A56="a",BO$4,BN$4),tblForecast,BN$2,FALSE),0)</f>
        <v>0</v>
      </c>
      <c r="BO56" s="228">
        <f>IFERROR(VLOOKUP($B56-IF(CompareVer="LY",1,0) &amp; $C56 &amp;BO$4,tblForecast,BO$2,FALSE),0)</f>
        <v>48</v>
      </c>
      <c r="BP56" s="234">
        <f>IFERROR(VLOOKUP($B56 &amp; $C56&amp;IF($A56="a",BQ$4,BP$4),tblForecast,BP$2,FALSE),0)</f>
        <v>0</v>
      </c>
      <c r="BQ56" s="228">
        <f>IFERROR(VLOOKUP($B56-IF(CompareVer="LY",1,0) &amp; $C56 &amp;BQ$4,tblForecast,BQ$2,FALSE),0)</f>
        <v>1377</v>
      </c>
      <c r="BR56" s="227">
        <f t="shared" si="43"/>
        <v>0</v>
      </c>
      <c r="BS56" s="231">
        <f t="shared" si="22"/>
        <v>-1329</v>
      </c>
      <c r="BT56" s="234">
        <f t="shared" ref="BT56:BU59" si="442">IFERROR(VLOOKUP($B56 &amp; $C56&amp;BT$4,tblForecast,BT$2,FALSE),0)</f>
        <v>0</v>
      </c>
      <c r="BU56" s="231">
        <f t="shared" si="442"/>
        <v>0</v>
      </c>
      <c r="BV56" s="231">
        <f>IF($A56="a",IFERROR(VLOOKUP($B56 &amp; $C56&amp;BV$4,tblForecast,BV$2,FALSE),0),BT56+BU56)</f>
        <v>0</v>
      </c>
      <c r="BW56" s="231">
        <f t="shared" ref="BW56:BX59" si="443">IFERROR(VLOOKUP($B56 &amp; $C56&amp;BW$4,tblForecast,BW$2,FALSE),0)</f>
        <v>0</v>
      </c>
      <c r="BX56" s="231">
        <f t="shared" si="443"/>
        <v>0</v>
      </c>
      <c r="BY56" s="193">
        <f>IFERROR(VLOOKUP($B56-IF(CompareVer="LY",1,0) &amp; $C56 &amp;BY$4,tblForecast,BY$2,FALSE),0)</f>
        <v>0</v>
      </c>
      <c r="BZ56" s="194">
        <f t="shared" si="25"/>
        <v>0</v>
      </c>
      <c r="CA56" s="337">
        <f t="shared" ref="CA56:CB59" si="444">IFERROR(VLOOKUP($B56 &amp; $C56&amp;CA$4,tblForecast,CA$2,FALSE),0)</f>
        <v>0</v>
      </c>
      <c r="CB56" s="46">
        <f t="shared" si="444"/>
        <v>0</v>
      </c>
      <c r="CC56" s="46">
        <f>IF($A56="a",IFERROR(VLOOKUP($B56 &amp; $C56&amp;CC$4,tblForecast,CC$2,FALSE),0),CA56+CB56)</f>
        <v>0</v>
      </c>
      <c r="CD56" s="46">
        <f t="shared" ref="CD56:CE59" si="445">IFERROR(VLOOKUP($B56 &amp; $C56&amp;CD$4,tblForecast,CD$2,FALSE),0)</f>
        <v>0</v>
      </c>
      <c r="CE56" s="46">
        <f t="shared" si="445"/>
        <v>0</v>
      </c>
      <c r="CF56" s="46">
        <f>IFERROR(VLOOKUP($B56-IF(CompareVer="LY",1,0) &amp; $C56 &amp;CF$4,tblForecast,CF$2,FALSE),0)</f>
        <v>0</v>
      </c>
      <c r="CG56" s="194">
        <f t="shared" si="28"/>
        <v>0</v>
      </c>
      <c r="CH56" s="337">
        <f t="shared" ref="CH56:CI59" si="446">IFERROR(VLOOKUP($B56 &amp; $C56&amp;CH$4,tblForecast,CH$2,FALSE),0)</f>
        <v>0</v>
      </c>
      <c r="CI56" s="46">
        <f t="shared" si="446"/>
        <v>0</v>
      </c>
      <c r="CJ56" s="46">
        <f>IF($A56="a",IFERROR(VLOOKUP($B56 &amp; $C56&amp;CJ$4,tblForecast,CJ$2,FALSE),0),CH56+CI56)</f>
        <v>0</v>
      </c>
      <c r="CK56" s="46">
        <f t="shared" ref="CK56:CL59" si="447">IFERROR(VLOOKUP($B56 &amp; $C56&amp;CK$4,tblForecast,CK$2,FALSE),0)</f>
        <v>0</v>
      </c>
      <c r="CL56" s="46">
        <f t="shared" si="447"/>
        <v>0</v>
      </c>
      <c r="CM56" s="46">
        <f>IFERROR(VLOOKUP($B56-IF(CompareVer="LY",1,0) &amp; $C56 &amp;CM$4,tblForecast,CM$2,FALSE),0)</f>
        <v>0</v>
      </c>
      <c r="CN56" s="194">
        <f t="shared" si="31"/>
        <v>0</v>
      </c>
      <c r="CO56" s="178">
        <f t="shared" si="46"/>
        <v>0</v>
      </c>
      <c r="CP56" s="223">
        <f t="shared" si="46"/>
        <v>0</v>
      </c>
      <c r="CQ56" s="194">
        <f t="shared" si="33"/>
        <v>0</v>
      </c>
      <c r="CR56" s="178">
        <f t="shared" si="44"/>
        <v>0</v>
      </c>
      <c r="CS56" s="223">
        <f t="shared" si="34"/>
        <v>0</v>
      </c>
      <c r="CT56" s="194">
        <f t="shared" si="47"/>
        <v>0</v>
      </c>
      <c r="CU56" s="44"/>
      <c r="CW56" s="102">
        <f>IF(CW55+BV56+BL56-Q56&lt;0,0,CW55+BV56+BL56-Q56)</f>
        <v>0</v>
      </c>
      <c r="CX56" s="48">
        <f>IFERROR(VLOOKUP($B56-IF(CompareVer="LY",1,0) &amp; $C56 &amp;CX$4,tblForecast,CX$2,FALSE),0)</f>
        <v>69927</v>
      </c>
      <c r="CY56" s="47">
        <f t="shared" si="36"/>
        <v>-1</v>
      </c>
      <c r="CZ56" s="278">
        <f>IFERROR(VLOOKUP(Brand&amp;Channel&amp;Country&amp;$C56,tblDiscount,6,FALSE),0)</f>
        <v>0.8</v>
      </c>
      <c r="DA56" s="279">
        <f>(1-CZ56)*DB56</f>
        <v>5.0039999999999987</v>
      </c>
      <c r="DB56" s="279">
        <f>IFERROR(VLOOKUP(Brand&amp;Country &amp; Channel &amp;FC,tblFCSettings,8,FALSE),0)</f>
        <v>25.02</v>
      </c>
      <c r="DC56" s="280">
        <f>IFERROR(VLOOKUP(Brand&amp;Country &amp; Channel &amp;FC,tblFCSettings,9,FALSE),0)</f>
        <v>4.16</v>
      </c>
    </row>
    <row r="57" spans="2:107" x14ac:dyDescent="0.25">
      <c r="B57" s="44">
        <v>2018</v>
      </c>
      <c r="C57" s="88">
        <v>37</v>
      </c>
      <c r="D57" s="51">
        <f t="shared" ref="D57:D59" si="448">G57*H57</f>
        <v>-8606653.0239240006</v>
      </c>
      <c r="E57" s="202">
        <f t="shared" ref="E57:E59" si="449">IFERROR(D57*F57,0)</f>
        <v>-7040721.5748200007</v>
      </c>
      <c r="F57" s="182">
        <f t="shared" si="45"/>
        <v>0.81805570124052118</v>
      </c>
      <c r="G57" s="176">
        <f t="shared" si="430"/>
        <v>-349508</v>
      </c>
      <c r="H57" s="203">
        <f t="shared" si="430"/>
        <v>24.625053000000001</v>
      </c>
      <c r="I57" s="203">
        <f t="shared" si="430"/>
        <v>4.4803879999999996</v>
      </c>
      <c r="J57" s="176">
        <f>IFERROR(VLOOKUP($B57 &amp; $C57&amp;J$4&amp;$A57,tblForecast,J$2,FALSE),0)+IFERROR(VLOOKUP($B57 &amp; $C57 &amp; J$4 &amp; $A57,tblForecast,J$2+1,FALSE),0)</f>
        <v>924202</v>
      </c>
      <c r="K57" s="300">
        <f>IFERROR(VLOOKUP($B57 &amp; $C57&amp;K$4&amp;$A57,tblForecast,K$2,FALSE),0)+IFERROR(VLOOKUP($B57 &amp; $C57&amp;K$4&amp;$A57,tblForecast,K$2+1,FALSE),0)</f>
        <v>0</v>
      </c>
      <c r="L57" s="90">
        <f t="shared" si="431"/>
        <v>32625</v>
      </c>
      <c r="M57" s="90">
        <f t="shared" si="431"/>
        <v>32625</v>
      </c>
      <c r="N57" s="46">
        <f t="shared" si="431"/>
        <v>0</v>
      </c>
      <c r="O57" s="46">
        <f t="shared" si="431"/>
        <v>6315.96</v>
      </c>
      <c r="P57" s="47">
        <f t="shared" si="39"/>
        <v>4.1654855318906385</v>
      </c>
      <c r="Q57" s="342">
        <f t="shared" ref="Q57:Q59" si="450">ROUND(IF(BA56-(Q56*IF(W57=0,X57,W57))&lt;0,BA56,Q56*IF(W57=0,X57,W57)),0)</f>
        <v>6525</v>
      </c>
      <c r="R57" s="240">
        <f t="shared" si="432"/>
        <v>6525</v>
      </c>
      <c r="S57" s="240">
        <f t="shared" si="432"/>
        <v>0</v>
      </c>
      <c r="T57" s="240">
        <f>IFERROR(VLOOKUP($B57-IF(CompareVer="LY",1,0) &amp; $C57 &amp;T$4,tblForecast,T$2,FALSE),0)</f>
        <v>2100</v>
      </c>
      <c r="U57" s="91">
        <f t="shared" si="7"/>
        <v>2.1071428571428572</v>
      </c>
      <c r="V57" s="249">
        <f t="shared" ref="V57:V59" si="451">IFERROR(IF(Q56&lt;&gt;0,Q57/Q56,0),0)</f>
        <v>0.85005211047420537</v>
      </c>
      <c r="W57" s="334">
        <f t="shared" ref="W57:W59" si="452">IFERROR(IF(R56&lt;&gt;0,R57/R56,0),0)</f>
        <v>0.85005211047420537</v>
      </c>
      <c r="X57" s="250">
        <f t="shared" ref="X57:X59" si="453">IFERROR(IF(T56&lt;&gt;0,T57/T56,0),0)</f>
        <v>0.8574928542262148</v>
      </c>
      <c r="Y57" s="51">
        <f t="shared" si="433"/>
        <v>5480.9999999999973</v>
      </c>
      <c r="Z57" s="46">
        <f t="shared" si="433"/>
        <v>5480.9999999999973</v>
      </c>
      <c r="AA57" s="46">
        <f t="shared" si="433"/>
        <v>0</v>
      </c>
      <c r="AB57" s="46">
        <f t="shared" si="433"/>
        <v>-586.94999999999982</v>
      </c>
      <c r="AC57" s="91">
        <f t="shared" si="9"/>
        <v>-10.338103756708406</v>
      </c>
      <c r="AD57" s="75">
        <f>IF(AM57&lt;&gt;0,1-AR57/AM57,0)</f>
        <v>0.16799999999999993</v>
      </c>
      <c r="AE57" s="93">
        <f t="shared" si="434"/>
        <v>0.16799999999999993</v>
      </c>
      <c r="AF57" s="93">
        <f t="shared" si="434"/>
        <v>0</v>
      </c>
      <c r="AG57" s="76">
        <f t="shared" si="434"/>
        <v>-9.2931240856496844E-2</v>
      </c>
      <c r="AH57" s="73">
        <f>IF(IFERROR(VLOOKUP($B57 &amp; $C57&amp;AH$4,tblForecast,AH$2,FALSE),0)=0,DB57,IFERROR(VLOOKUP($B57 &amp; $C57&amp;AH$4,tblForecast,AH$2,FALSE),0))</f>
        <v>25.02</v>
      </c>
      <c r="AI57" s="94">
        <f t="shared" si="435"/>
        <v>25.02</v>
      </c>
      <c r="AJ57" s="94">
        <f t="shared" si="435"/>
        <v>0</v>
      </c>
      <c r="AK57" s="49">
        <f>IFERROR(VLOOKUP($B57-IF(CompareVer="LY",1,0) &amp; $C57 &amp;AK$4,tblForecast,AK$2,FALSE),0)</f>
        <v>20.017099999999999</v>
      </c>
      <c r="AL57" s="47">
        <f t="shared" si="362"/>
        <v>0.24993130873103508</v>
      </c>
      <c r="AM57" s="73">
        <f>IF(IFERROR(VLOOKUP($B57 &amp; $C57&amp;AM$4,tblForecast,AM$2,FALSE),0)=0,DA57,IFERROR(VLOOKUP($B57 &amp; $C57&amp;AM$4,tblForecast,AM$2,FALSE),0))</f>
        <v>5</v>
      </c>
      <c r="AN57" s="94">
        <f t="shared" si="436"/>
        <v>5</v>
      </c>
      <c r="AO57" s="94">
        <f t="shared" si="436"/>
        <v>0</v>
      </c>
      <c r="AP57" s="49">
        <f>IFERROR(VLOOKUP($B57-IF(CompareVer="LY",1,0) &amp; $C57 &amp;AP$4,tblForecast,AP$2,FALSE),0)</f>
        <v>3.0076000000000001</v>
      </c>
      <c r="AQ57" s="47">
        <f t="shared" si="14"/>
        <v>0.66245511371192967</v>
      </c>
      <c r="AR57" s="73">
        <f>IF(IFERROR(VLOOKUP($B57 &amp; $C57&amp;AR$4,tblForecast,AR$2,FALSE),0)=0,DC57,IFERROR(VLOOKUP($B57 &amp; $C57&amp;AR$4,tblForecast,AR$2,FALSE),0))</f>
        <v>4.16</v>
      </c>
      <c r="AS57" s="94">
        <f t="shared" si="437"/>
        <v>4.16</v>
      </c>
      <c r="AT57" s="94">
        <f t="shared" si="437"/>
        <v>0</v>
      </c>
      <c r="AU57" s="49">
        <f>IFERROR(VLOOKUP($B57-IF(CompareVer="LY",1,0) &amp; $C57 &amp;AU$4,tblForecast,AU$2,FALSE),0)</f>
        <v>3.2871000000000001</v>
      </c>
      <c r="AV57" s="47">
        <f t="shared" si="16"/>
        <v>0.26555322320586527</v>
      </c>
      <c r="AW57" s="191">
        <f t="shared" si="438"/>
        <v>0.8001598721023182</v>
      </c>
      <c r="AX57" s="192">
        <f t="shared" si="438"/>
        <v>0.8001598721023182</v>
      </c>
      <c r="AY57" s="192">
        <f t="shared" si="438"/>
        <v>0</v>
      </c>
      <c r="AZ57" s="192">
        <f t="shared" si="438"/>
        <v>0.84974846506237167</v>
      </c>
      <c r="BA57" s="235">
        <f>IF(BA56+BV57+BL57+BR57-Q57&lt;0,0,BA56+BV57+BL57+BR57-Q57)</f>
        <v>158773</v>
      </c>
      <c r="BB57" s="231">
        <f>IF(IFERROR(VLOOKUP($B57 &amp; $C57&amp;BB$4,tblForecast,BB$2,FALSE),0)=0,BA57,IFERROR(VLOOKUP($B57 &amp; $C57&amp;BB$4,tblForecast,BB$2,FALSE),0))</f>
        <v>158773</v>
      </c>
      <c r="BC57" s="231">
        <f>IFERROR(VLOOKUP($B57-IF(CompareVer="LY",1,0) &amp; $C57 &amp;BC$4,tblForecast,BC$2,FALSE),0)</f>
        <v>0</v>
      </c>
      <c r="BD57" s="231">
        <f t="shared" si="439"/>
        <v>55503</v>
      </c>
      <c r="BE57" s="194">
        <f t="shared" si="19"/>
        <v>1.8606201466587393</v>
      </c>
      <c r="BF57" s="231">
        <f>IFERROR(VLOOKUP($B57 &amp; $C57&amp;IF($A57="a",BG$4,BF$4),tblForecast,BF$2,FALSE),0)</f>
        <v>0</v>
      </c>
      <c r="BG57" s="228">
        <f>IFERROR(VLOOKUP($B57-IF(CompareVer="LY",1,0) &amp; $C57 &amp;BG$4,tblForecast,BG$2,FALSE),0)</f>
        <v>6118</v>
      </c>
      <c r="BH57" s="179">
        <f>IF(Q57&lt;&gt;0,BA57/Q57,0)</f>
        <v>24.333026819923372</v>
      </c>
      <c r="BI57" s="183">
        <f>IF(T57&lt;&gt;0,BD57/T57,0)</f>
        <v>26.43</v>
      </c>
      <c r="BJ57" s="195">
        <f t="shared" si="440"/>
        <v>4.1096408079459357E-2</v>
      </c>
      <c r="BK57" s="50">
        <f t="shared" si="441"/>
        <v>3.7835792659856225E-2</v>
      </c>
      <c r="BL57" s="234">
        <f>IFERROR(VLOOKUP($B57 &amp; $C57&amp;IF($A57="a",BM$4,BL$4),tblForecast,BL$2,FALSE),0)</f>
        <v>0</v>
      </c>
      <c r="BM57" s="228">
        <f>IFERROR(VLOOKUP($B57-IF(CompareVer="LY",1,0) &amp; $C57 &amp;BM$4,tblForecast,BM$2,FALSE),0)</f>
        <v>-70</v>
      </c>
      <c r="BN57" s="234">
        <f>IFERROR(VLOOKUP($B57 &amp; $C57&amp;IF($A57="a",BO$4,BN$4),tblForecast,BN$2,FALSE),0)</f>
        <v>0</v>
      </c>
      <c r="BO57" s="228">
        <f>IFERROR(VLOOKUP($B57-IF(CompareVer="LY",1,0) &amp; $C57 &amp;BO$4,tblForecast,BO$2,FALSE),0)</f>
        <v>187</v>
      </c>
      <c r="BP57" s="234">
        <f>IFERROR(VLOOKUP($B57 &amp; $C57&amp;IF($A57="a",BQ$4,BP$4),tblForecast,BP$2,FALSE),0)</f>
        <v>0</v>
      </c>
      <c r="BQ57" s="228">
        <f>IFERROR(VLOOKUP($B57-IF(CompareVer="LY",1,0) &amp; $C57 &amp;BQ$4,tblForecast,BQ$2,FALSE),0)</f>
        <v>18534</v>
      </c>
      <c r="BR57" s="227">
        <f t="shared" si="43"/>
        <v>0</v>
      </c>
      <c r="BS57" s="231">
        <f t="shared" si="22"/>
        <v>-18347</v>
      </c>
      <c r="BT57" s="234">
        <f t="shared" si="442"/>
        <v>0</v>
      </c>
      <c r="BU57" s="231">
        <f t="shared" si="442"/>
        <v>0</v>
      </c>
      <c r="BV57" s="231">
        <f>IF($A57="a",IFERROR(VLOOKUP($B57 &amp; $C57&amp;BV$4,tblForecast,BV$2,FALSE),0),BT57+BU57)</f>
        <v>0</v>
      </c>
      <c r="BW57" s="231">
        <f t="shared" si="443"/>
        <v>0</v>
      </c>
      <c r="BX57" s="231">
        <f t="shared" si="443"/>
        <v>0</v>
      </c>
      <c r="BY57" s="193">
        <f>IFERROR(VLOOKUP($B57-IF(CompareVer="LY",1,0) &amp; $C57 &amp;BY$4,tblForecast,BY$2,FALSE),0)</f>
        <v>0</v>
      </c>
      <c r="BZ57" s="194">
        <f t="shared" si="25"/>
        <v>0</v>
      </c>
      <c r="CA57" s="337">
        <f t="shared" si="444"/>
        <v>0</v>
      </c>
      <c r="CB57" s="46">
        <f t="shared" si="444"/>
        <v>0</v>
      </c>
      <c r="CC57" s="46">
        <f>IF($A57="a",IFERROR(VLOOKUP($B57 &amp; $C57&amp;CC$4,tblForecast,CC$2,FALSE),0),CA57+CB57)</f>
        <v>0</v>
      </c>
      <c r="CD57" s="46">
        <f t="shared" si="445"/>
        <v>0</v>
      </c>
      <c r="CE57" s="46">
        <f t="shared" si="445"/>
        <v>0</v>
      </c>
      <c r="CF57" s="46">
        <f>IFERROR(VLOOKUP($B57-IF(CompareVer="LY",1,0) &amp; $C57 &amp;CF$4,tblForecast,CF$2,FALSE),0)</f>
        <v>0</v>
      </c>
      <c r="CG57" s="194">
        <f t="shared" si="28"/>
        <v>0</v>
      </c>
      <c r="CH57" s="337">
        <f t="shared" si="446"/>
        <v>0</v>
      </c>
      <c r="CI57" s="46">
        <f t="shared" si="446"/>
        <v>0</v>
      </c>
      <c r="CJ57" s="46">
        <f>IF($A57="a",IFERROR(VLOOKUP($B57 &amp; $C57&amp;CJ$4,tblForecast,CJ$2,FALSE),0),CH57+CI57)</f>
        <v>0</v>
      </c>
      <c r="CK57" s="46">
        <f t="shared" si="447"/>
        <v>0</v>
      </c>
      <c r="CL57" s="46">
        <f t="shared" si="447"/>
        <v>0</v>
      </c>
      <c r="CM57" s="46">
        <f>IFERROR(VLOOKUP($B57-IF(CompareVer="LY",1,0) &amp; $C57 &amp;CM$4,tblForecast,CM$2,FALSE),0)</f>
        <v>0</v>
      </c>
      <c r="CN57" s="194">
        <f t="shared" si="31"/>
        <v>0</v>
      </c>
      <c r="CO57" s="178">
        <f t="shared" si="46"/>
        <v>0</v>
      </c>
      <c r="CP57" s="223">
        <f t="shared" si="46"/>
        <v>0</v>
      </c>
      <c r="CQ57" s="194">
        <f t="shared" si="33"/>
        <v>0</v>
      </c>
      <c r="CR57" s="178">
        <f t="shared" si="44"/>
        <v>0</v>
      </c>
      <c r="CS57" s="223">
        <f t="shared" si="34"/>
        <v>0</v>
      </c>
      <c r="CT57" s="194">
        <f t="shared" si="47"/>
        <v>0</v>
      </c>
      <c r="CU57" s="44"/>
      <c r="CW57" s="102">
        <f>IF(CW56+BV57+BL57-Q57&lt;0,0,CW56+BV57+BL57-Q57)</f>
        <v>0</v>
      </c>
      <c r="CX57" s="48">
        <f>IFERROR(VLOOKUP($B57-IF(CompareVer="LY",1,0) &amp; $C57 &amp;CX$4,tblForecast,CX$2,FALSE),0)</f>
        <v>49385</v>
      </c>
      <c r="CY57" s="47">
        <f t="shared" si="36"/>
        <v>-1</v>
      </c>
      <c r="CZ57" s="278">
        <f>IFERROR(VLOOKUP(Brand&amp;Channel&amp;Country&amp;$C57,tblDiscount,6,FALSE),0)</f>
        <v>0.8</v>
      </c>
      <c r="DA57" s="279">
        <f>(1-CZ57)*DB57</f>
        <v>5.0039999999999987</v>
      </c>
      <c r="DB57" s="279">
        <f>IFERROR(VLOOKUP(Brand&amp;Country &amp; Channel &amp;FC,tblFCSettings,8,FALSE),0)</f>
        <v>25.02</v>
      </c>
      <c r="DC57" s="280">
        <f>IFERROR(VLOOKUP(Brand&amp;Country &amp; Channel &amp;FC,tblFCSettings,9,FALSE),0)</f>
        <v>4.16</v>
      </c>
    </row>
    <row r="58" spans="2:107" x14ac:dyDescent="0.25">
      <c r="B58" s="44">
        <v>2018</v>
      </c>
      <c r="C58" s="88">
        <v>38</v>
      </c>
      <c r="D58" s="51">
        <f t="shared" si="448"/>
        <v>-9807947.2698480003</v>
      </c>
      <c r="E58" s="202">
        <f t="shared" si="449"/>
        <v>-8007848.4093010006</v>
      </c>
      <c r="F58" s="182">
        <f t="shared" si="45"/>
        <v>0.81646527953092296</v>
      </c>
      <c r="G58" s="176">
        <f t="shared" si="430"/>
        <v>-386399</v>
      </c>
      <c r="H58" s="203">
        <f t="shared" si="430"/>
        <v>25.382952</v>
      </c>
      <c r="I58" s="203">
        <f t="shared" si="430"/>
        <v>4.6586530000000002</v>
      </c>
      <c r="J58" s="176">
        <f>IFERROR(VLOOKUP($B58 &amp; $C58&amp;J$4&amp;$A58,tblForecast,J$2,FALSE),0)+IFERROR(VLOOKUP($B58 &amp; $C58 &amp; J$4 &amp; $A58,tblForecast,J$2+1,FALSE),0)</f>
        <v>847509</v>
      </c>
      <c r="K58" s="300">
        <f>IFERROR(VLOOKUP($B58 &amp; $C58&amp;K$4&amp;$A58,tblForecast,K$2,FALSE),0)+IFERROR(VLOOKUP($B58 &amp; $C58&amp;K$4&amp;$A58,tblForecast,K$2+1,FALSE),0)</f>
        <v>0</v>
      </c>
      <c r="L58" s="90">
        <f t="shared" si="431"/>
        <v>27730</v>
      </c>
      <c r="M58" s="90">
        <f t="shared" si="431"/>
        <v>27730</v>
      </c>
      <c r="N58" s="46">
        <f t="shared" si="431"/>
        <v>0</v>
      </c>
      <c r="O58" s="46">
        <f t="shared" si="431"/>
        <v>3965</v>
      </c>
      <c r="P58" s="47">
        <f t="shared" si="39"/>
        <v>5.9936948297604031</v>
      </c>
      <c r="Q58" s="342">
        <f t="shared" si="450"/>
        <v>5546</v>
      </c>
      <c r="R58" s="240">
        <f t="shared" si="432"/>
        <v>5546</v>
      </c>
      <c r="S58" s="240">
        <f t="shared" si="432"/>
        <v>0</v>
      </c>
      <c r="T58" s="240">
        <f>IFERROR(VLOOKUP($B58-IF(CompareVer="LY",1,0) &amp; $C58 &amp;T$4,tblForecast,T$2,FALSE),0)</f>
        <v>1250</v>
      </c>
      <c r="U58" s="91">
        <f t="shared" si="7"/>
        <v>3.4367999999999999</v>
      </c>
      <c r="V58" s="249">
        <f t="shared" si="451"/>
        <v>0.84996168582375475</v>
      </c>
      <c r="W58" s="334">
        <f t="shared" si="452"/>
        <v>0.84996168582375475</v>
      </c>
      <c r="X58" s="250">
        <f t="shared" si="453"/>
        <v>0.59523809523809523</v>
      </c>
      <c r="Y58" s="51">
        <f t="shared" si="433"/>
        <v>4658.6399999999976</v>
      </c>
      <c r="Z58" s="46">
        <f t="shared" si="433"/>
        <v>4658.6399999999976</v>
      </c>
      <c r="AA58" s="46">
        <f t="shared" si="433"/>
        <v>0</v>
      </c>
      <c r="AB58" s="46">
        <f t="shared" si="433"/>
        <v>-217.99999999999946</v>
      </c>
      <c r="AC58" s="91">
        <f t="shared" si="9"/>
        <v>-22.369908256880777</v>
      </c>
      <c r="AD58" s="75">
        <f>IF(AM58&lt;&gt;0,1-AR58/AM58,0)</f>
        <v>0.16799999999999993</v>
      </c>
      <c r="AE58" s="93">
        <f t="shared" si="434"/>
        <v>0.16799999999999993</v>
      </c>
      <c r="AF58" s="93">
        <f t="shared" si="434"/>
        <v>0</v>
      </c>
      <c r="AG58" s="76">
        <f t="shared" si="434"/>
        <v>-5.4981084489281074E-2</v>
      </c>
      <c r="AH58" s="73">
        <f>IF(IFERROR(VLOOKUP($B58 &amp; $C58&amp;AH$4,tblForecast,AH$2,FALSE),0)=0,DB58,IFERROR(VLOOKUP($B58 &amp; $C58&amp;AH$4,tblForecast,AH$2,FALSE),0))</f>
        <v>25.02</v>
      </c>
      <c r="AI58" s="94">
        <f t="shared" si="435"/>
        <v>25.02</v>
      </c>
      <c r="AJ58" s="94">
        <f t="shared" si="435"/>
        <v>0</v>
      </c>
      <c r="AK58" s="49">
        <f>IFERROR(VLOOKUP($B58-IF(CompareVer="LY",1,0) &amp; $C58 &amp;AK$4,tblForecast,AK$2,FALSE),0)</f>
        <v>20.668199999999999</v>
      </c>
      <c r="AL58" s="47">
        <f t="shared" si="362"/>
        <v>0.21055534589369174</v>
      </c>
      <c r="AM58" s="73">
        <f>IF(IFERROR(VLOOKUP($B58 &amp; $C58&amp;AM$4,tblForecast,AM$2,FALSE),0)=0,DA58,IFERROR(VLOOKUP($B58 &amp; $C58&amp;AM$4,tblForecast,AM$2,FALSE),0))</f>
        <v>5</v>
      </c>
      <c r="AN58" s="94">
        <f t="shared" si="436"/>
        <v>5</v>
      </c>
      <c r="AO58" s="94">
        <f t="shared" si="436"/>
        <v>0</v>
      </c>
      <c r="AP58" s="49">
        <f>IFERROR(VLOOKUP($B58-IF(CompareVer="LY",1,0) &amp; $C58 &amp;AP$4,tblForecast,AP$2,FALSE),0)</f>
        <v>3.1720000000000002</v>
      </c>
      <c r="AQ58" s="47">
        <f t="shared" si="14"/>
        <v>0.5762925598991171</v>
      </c>
      <c r="AR58" s="73">
        <f>IF(IFERROR(VLOOKUP($B58 &amp; $C58&amp;AR$4,tblForecast,AR$2,FALSE),0)=0,DC58,IFERROR(VLOOKUP($B58 &amp; $C58&amp;AR$4,tblForecast,AR$2,FALSE),0))</f>
        <v>4.16</v>
      </c>
      <c r="AS58" s="94">
        <f t="shared" si="437"/>
        <v>4.16</v>
      </c>
      <c r="AT58" s="94">
        <f t="shared" si="437"/>
        <v>0</v>
      </c>
      <c r="AU58" s="49">
        <f>IFERROR(VLOOKUP($B58-IF(CompareVer="LY",1,0) &amp; $C58 &amp;AU$4,tblForecast,AU$2,FALSE),0)</f>
        <v>3.3464</v>
      </c>
      <c r="AV58" s="47">
        <f t="shared" si="16"/>
        <v>0.24312694238584753</v>
      </c>
      <c r="AW58" s="191">
        <f t="shared" si="438"/>
        <v>0.8001598721023182</v>
      </c>
      <c r="AX58" s="192">
        <f t="shared" si="438"/>
        <v>0.8001598721023182</v>
      </c>
      <c r="AY58" s="192">
        <f t="shared" si="438"/>
        <v>0</v>
      </c>
      <c r="AZ58" s="192">
        <f t="shared" si="438"/>
        <v>0.84652751570044804</v>
      </c>
      <c r="BA58" s="235">
        <f>IF(BA57+BV58+BL58+BR58-Q58&lt;0,0,BA57+BV58+BL58+BR58-Q58)</f>
        <v>153227</v>
      </c>
      <c r="BB58" s="231">
        <f>IF(IFERROR(VLOOKUP($B58 &amp; $C58&amp;BB$4,tblForecast,BB$2,FALSE),0)=0,BA58,IFERROR(VLOOKUP($B58 &amp; $C58&amp;BB$4,tblForecast,BB$2,FALSE),0))</f>
        <v>153227</v>
      </c>
      <c r="BC58" s="231">
        <f>IFERROR(VLOOKUP($B58-IF(CompareVer="LY",1,0) &amp; $C58 &amp;BC$4,tblForecast,BC$2,FALSE),0)</f>
        <v>0</v>
      </c>
      <c r="BD58" s="231">
        <f t="shared" si="439"/>
        <v>51339</v>
      </c>
      <c r="BE58" s="194">
        <f t="shared" si="19"/>
        <v>1.9846120882759695</v>
      </c>
      <c r="BF58" s="231">
        <f>IFERROR(VLOOKUP($B58 &amp; $C58&amp;IF($A58="a",BG$4,BF$4),tblForecast,BF$2,FALSE),0)</f>
        <v>0</v>
      </c>
      <c r="BG58" s="228">
        <f>IFERROR(VLOOKUP($B58-IF(CompareVer="LY",1,0) &amp; $C58 &amp;BG$4,tblForecast,BG$2,FALSE),0)</f>
        <v>5181</v>
      </c>
      <c r="BH58" s="179">
        <f>IF(Q58&lt;&gt;0,BA58/Q58,0)</f>
        <v>27.628380815001805</v>
      </c>
      <c r="BI58" s="183">
        <f>IF(T58&lt;&gt;0,BD58/T58,0)</f>
        <v>41.071199999999997</v>
      </c>
      <c r="BJ58" s="195">
        <f t="shared" si="440"/>
        <v>3.6194665431027166E-2</v>
      </c>
      <c r="BK58" s="50">
        <f t="shared" si="441"/>
        <v>2.4347961588655799E-2</v>
      </c>
      <c r="BL58" s="234">
        <f>IFERROR(VLOOKUP($B58 &amp; $C58&amp;IF($A58="a",BM$4,BL$4),tblForecast,BL$2,FALSE),0)</f>
        <v>0</v>
      </c>
      <c r="BM58" s="228">
        <f>IFERROR(VLOOKUP($B58-IF(CompareVer="LY",1,0) &amp; $C58 &amp;BM$4,tblForecast,BM$2,FALSE),0)</f>
        <v>-55</v>
      </c>
      <c r="BN58" s="234">
        <f>IFERROR(VLOOKUP($B58 &amp; $C58&amp;IF($A58="a",BO$4,BN$4),tblForecast,BN$2,FALSE),0)</f>
        <v>0</v>
      </c>
      <c r="BO58" s="228">
        <f>IFERROR(VLOOKUP($B58-IF(CompareVer="LY",1,0) &amp; $C58 &amp;BO$4,tblForecast,BO$2,FALSE),0)</f>
        <v>1758</v>
      </c>
      <c r="BP58" s="234">
        <f>IFERROR(VLOOKUP($B58 &amp; $C58&amp;IF($A58="a",BQ$4,BP$4),tblForecast,BP$2,FALSE),0)</f>
        <v>0</v>
      </c>
      <c r="BQ58" s="228">
        <f>IFERROR(VLOOKUP($B58-IF(CompareVer="LY",1,0) &amp; $C58 &amp;BQ$4,tblForecast,BQ$2,FALSE),0)</f>
        <v>4626</v>
      </c>
      <c r="BR58" s="227">
        <f t="shared" si="43"/>
        <v>0</v>
      </c>
      <c r="BS58" s="231">
        <f t="shared" si="22"/>
        <v>-2868</v>
      </c>
      <c r="BT58" s="234">
        <f t="shared" si="442"/>
        <v>0</v>
      </c>
      <c r="BU58" s="231">
        <f t="shared" si="442"/>
        <v>0</v>
      </c>
      <c r="BV58" s="231">
        <f>IF($A58="a",IFERROR(VLOOKUP($B58 &amp; $C58&amp;BV$4,tblForecast,BV$2,FALSE),0),BT58+BU58)</f>
        <v>0</v>
      </c>
      <c r="BW58" s="231">
        <f t="shared" si="443"/>
        <v>0</v>
      </c>
      <c r="BX58" s="231">
        <f t="shared" si="443"/>
        <v>0</v>
      </c>
      <c r="BY58" s="193">
        <f>IFERROR(VLOOKUP($B58-IF(CompareVer="LY",1,0) &amp; $C58 &amp;BY$4,tblForecast,BY$2,FALSE),0)</f>
        <v>0</v>
      </c>
      <c r="BZ58" s="194">
        <f t="shared" si="25"/>
        <v>0</v>
      </c>
      <c r="CA58" s="337">
        <f t="shared" si="444"/>
        <v>0</v>
      </c>
      <c r="CB58" s="46">
        <f t="shared" si="444"/>
        <v>0</v>
      </c>
      <c r="CC58" s="46">
        <f>IF($A58="a",IFERROR(VLOOKUP($B58 &amp; $C58&amp;CC$4,tblForecast,CC$2,FALSE),0),CA58+CB58)</f>
        <v>0</v>
      </c>
      <c r="CD58" s="46">
        <f t="shared" si="445"/>
        <v>0</v>
      </c>
      <c r="CE58" s="46">
        <f t="shared" si="445"/>
        <v>0</v>
      </c>
      <c r="CF58" s="46">
        <f>IFERROR(VLOOKUP($B58-IF(CompareVer="LY",1,0) &amp; $C58 &amp;CF$4,tblForecast,CF$2,FALSE),0)</f>
        <v>0</v>
      </c>
      <c r="CG58" s="194">
        <f t="shared" si="28"/>
        <v>0</v>
      </c>
      <c r="CH58" s="337">
        <f t="shared" si="446"/>
        <v>0</v>
      </c>
      <c r="CI58" s="46">
        <f t="shared" si="446"/>
        <v>0</v>
      </c>
      <c r="CJ58" s="46">
        <f>IF($A58="a",IFERROR(VLOOKUP($B58 &amp; $C58&amp;CJ$4,tblForecast,CJ$2,FALSE),0),CH58+CI58)</f>
        <v>0</v>
      </c>
      <c r="CK58" s="46">
        <f t="shared" si="447"/>
        <v>0</v>
      </c>
      <c r="CL58" s="46">
        <f t="shared" si="447"/>
        <v>0</v>
      </c>
      <c r="CM58" s="46">
        <f>IFERROR(VLOOKUP($B58-IF(CompareVer="LY",1,0) &amp; $C58 &amp;CM$4,tblForecast,CM$2,FALSE),0)</f>
        <v>0</v>
      </c>
      <c r="CN58" s="194">
        <f t="shared" si="31"/>
        <v>0</v>
      </c>
      <c r="CO58" s="178">
        <f t="shared" si="46"/>
        <v>0</v>
      </c>
      <c r="CP58" s="223">
        <f t="shared" si="46"/>
        <v>0</v>
      </c>
      <c r="CQ58" s="194">
        <f t="shared" si="33"/>
        <v>0</v>
      </c>
      <c r="CR58" s="178">
        <f t="shared" si="44"/>
        <v>0</v>
      </c>
      <c r="CS58" s="223">
        <f t="shared" si="34"/>
        <v>0</v>
      </c>
      <c r="CT58" s="194">
        <f t="shared" si="47"/>
        <v>0</v>
      </c>
      <c r="CU58" s="44"/>
      <c r="CW58" s="102">
        <f>IF(CW57+BV58+BL58-Q58&lt;0,0,CW57+BV58+BL58-Q58)</f>
        <v>0</v>
      </c>
      <c r="CX58" s="48">
        <f>IFERROR(VLOOKUP($B58-IF(CompareVer="LY",1,0) &amp; $C58 &amp;CX$4,tblForecast,CX$2,FALSE),0)</f>
        <v>46158</v>
      </c>
      <c r="CY58" s="47">
        <f t="shared" si="36"/>
        <v>-1</v>
      </c>
      <c r="CZ58" s="278">
        <f>IFERROR(VLOOKUP(Brand&amp;Channel&amp;Country&amp;$C58,tblDiscount,6,FALSE),0)</f>
        <v>0.8</v>
      </c>
      <c r="DA58" s="279">
        <f>(1-CZ58)*DB58</f>
        <v>5.0039999999999987</v>
      </c>
      <c r="DB58" s="279">
        <f>IFERROR(VLOOKUP(Brand&amp;Country &amp; Channel &amp;FC,tblFCSettings,8,FALSE),0)</f>
        <v>25.02</v>
      </c>
      <c r="DC58" s="280">
        <f>IFERROR(VLOOKUP(Brand&amp;Country &amp; Channel &amp;FC,tblFCSettings,9,FALSE),0)</f>
        <v>4.16</v>
      </c>
    </row>
    <row r="59" spans="2:107" ht="16.5" thickBot="1" x14ac:dyDescent="0.3">
      <c r="B59" s="44">
        <v>2018</v>
      </c>
      <c r="C59" s="88">
        <v>39</v>
      </c>
      <c r="D59" s="51">
        <f t="shared" si="448"/>
        <v>-10683685.580904</v>
      </c>
      <c r="E59" s="202">
        <f t="shared" si="449"/>
        <v>-8512204.7268720008</v>
      </c>
      <c r="F59" s="182">
        <f t="shared" si="45"/>
        <v>0.79674796327652131</v>
      </c>
      <c r="G59" s="176">
        <f t="shared" si="430"/>
        <v>-424872</v>
      </c>
      <c r="H59" s="203">
        <f t="shared" si="430"/>
        <v>25.145657</v>
      </c>
      <c r="I59" s="203">
        <f t="shared" si="430"/>
        <v>5.1109059999999999</v>
      </c>
      <c r="J59" s="176">
        <f>IFERROR(VLOOKUP($B59 &amp; $C59&amp;J$4&amp;$A59,tblForecast,J$2,FALSE),0)+IFERROR(VLOOKUP($B59 &amp; $C59 &amp; J$4 &amp; $A59,tblForecast,J$2+1,FALSE),0)</f>
        <v>744390</v>
      </c>
      <c r="K59" s="300">
        <f>IFERROR(VLOOKUP($B59 &amp; $C59&amp;K$4&amp;$A59,tblForecast,K$2,FALSE),0)+IFERROR(VLOOKUP($B59 &amp; $C59&amp;K$4&amp;$A59,tblForecast,K$2+1,FALSE),0)</f>
        <v>0</v>
      </c>
      <c r="L59" s="90">
        <f t="shared" si="431"/>
        <v>23570</v>
      </c>
      <c r="M59" s="90">
        <f t="shared" si="431"/>
        <v>23570</v>
      </c>
      <c r="N59" s="46">
        <f t="shared" si="431"/>
        <v>0</v>
      </c>
      <c r="O59" s="46">
        <f t="shared" si="431"/>
        <v>2924.9748</v>
      </c>
      <c r="P59" s="47">
        <f t="shared" si="39"/>
        <v>7.0581890825179077</v>
      </c>
      <c r="Q59" s="342">
        <f t="shared" si="450"/>
        <v>4714</v>
      </c>
      <c r="R59" s="240">
        <f t="shared" si="432"/>
        <v>4714</v>
      </c>
      <c r="S59" s="240">
        <f t="shared" si="432"/>
        <v>0</v>
      </c>
      <c r="T59" s="240">
        <f>IFERROR(VLOOKUP($B59-IF(CompareVer="LY",1,0) &amp; $C59 &amp;T$4,tblForecast,T$2,FALSE),0)</f>
        <v>957</v>
      </c>
      <c r="U59" s="91">
        <f t="shared" si="7"/>
        <v>3.9258098223615461</v>
      </c>
      <c r="V59" s="249">
        <f t="shared" si="451"/>
        <v>0.84998196898665701</v>
      </c>
      <c r="W59" s="334">
        <f t="shared" si="452"/>
        <v>0.84998196898665701</v>
      </c>
      <c r="X59" s="250">
        <f t="shared" si="453"/>
        <v>0.76559999999999995</v>
      </c>
      <c r="Y59" s="51">
        <f t="shared" si="433"/>
        <v>3959.7599999999984</v>
      </c>
      <c r="Z59" s="46">
        <f t="shared" si="433"/>
        <v>3959.7599999999984</v>
      </c>
      <c r="AA59" s="46">
        <f t="shared" si="433"/>
        <v>0</v>
      </c>
      <c r="AB59" s="46">
        <f t="shared" si="433"/>
        <v>-286.04730000000023</v>
      </c>
      <c r="AC59" s="91">
        <f t="shared" si="9"/>
        <v>-14.843025261905968</v>
      </c>
      <c r="AD59" s="75">
        <f>IF(AM59&lt;&gt;0,1-AR59/AM59,0)</f>
        <v>0.16799999999999993</v>
      </c>
      <c r="AE59" s="93">
        <f t="shared" si="434"/>
        <v>0.16799999999999993</v>
      </c>
      <c r="AF59" s="93">
        <f t="shared" si="434"/>
        <v>0</v>
      </c>
      <c r="AG59" s="76">
        <f t="shared" si="434"/>
        <v>-9.7794791257688862E-2</v>
      </c>
      <c r="AH59" s="73">
        <f>IF(IFERROR(VLOOKUP($B59 &amp; $C59&amp;AH$4,tblForecast,AH$2,FALSE),0)=0,DB59,IFERROR(VLOOKUP($B59 &amp; $C59&amp;AH$4,tblForecast,AH$2,FALSE),0))</f>
        <v>25.02</v>
      </c>
      <c r="AI59" s="94">
        <f t="shared" si="435"/>
        <v>25.02</v>
      </c>
      <c r="AJ59" s="94">
        <f t="shared" si="435"/>
        <v>0</v>
      </c>
      <c r="AK59" s="49">
        <f>IFERROR(VLOOKUP($B59-IF(CompareVer="LY",1,0) &amp; $C59 &amp;AK$4,tblForecast,AK$2,FALSE),0)</f>
        <v>20.4587</v>
      </c>
      <c r="AL59" s="47">
        <f t="shared" si="362"/>
        <v>0.22295160494068544</v>
      </c>
      <c r="AM59" s="73">
        <f>IF(IFERROR(VLOOKUP($B59 &amp; $C59&amp;AM$4,tblForecast,AM$2,FALSE),0)=0,DA59,IFERROR(VLOOKUP($B59 &amp; $C59&amp;AM$4,tblForecast,AM$2,FALSE),0))</f>
        <v>5</v>
      </c>
      <c r="AN59" s="94">
        <f t="shared" si="436"/>
        <v>5</v>
      </c>
      <c r="AO59" s="94">
        <f t="shared" si="436"/>
        <v>0</v>
      </c>
      <c r="AP59" s="49">
        <f>IFERROR(VLOOKUP($B59-IF(CompareVer="LY",1,0) &amp; $C59 &amp;AP$4,tblForecast,AP$2,FALSE),0)</f>
        <v>3.0564</v>
      </c>
      <c r="AQ59" s="47">
        <f t="shared" si="14"/>
        <v>0.63591152990446287</v>
      </c>
      <c r="AR59" s="73">
        <f>IF(IFERROR(VLOOKUP($B59 &amp; $C59&amp;AR$4,tblForecast,AR$2,FALSE),0)=0,DC59,IFERROR(VLOOKUP($B59 &amp; $C59&amp;AR$4,tblForecast,AR$2,FALSE),0))</f>
        <v>4.16</v>
      </c>
      <c r="AS59" s="94">
        <f t="shared" si="437"/>
        <v>4.16</v>
      </c>
      <c r="AT59" s="94">
        <f t="shared" si="437"/>
        <v>0</v>
      </c>
      <c r="AU59" s="49">
        <f>IFERROR(VLOOKUP($B59-IF(CompareVer="LY",1,0) &amp; $C59 &amp;AU$4,tblForecast,AU$2,FALSE),0)</f>
        <v>3.3553000000000002</v>
      </c>
      <c r="AV59" s="47">
        <f t="shared" si="16"/>
        <v>0.23982952344052699</v>
      </c>
      <c r="AW59" s="191">
        <f t="shared" si="438"/>
        <v>0.8001598721023182</v>
      </c>
      <c r="AX59" s="192">
        <f t="shared" si="438"/>
        <v>0.8001598721023182</v>
      </c>
      <c r="AY59" s="192">
        <f t="shared" si="438"/>
        <v>0</v>
      </c>
      <c r="AZ59" s="192">
        <f t="shared" si="438"/>
        <v>0.85060634351156228</v>
      </c>
      <c r="BA59" s="235">
        <f>IF(BA58+BV59+BL59+BR59-Q59&lt;0,0,BA58+BV59+BL59+BR59-Q59)</f>
        <v>148513</v>
      </c>
      <c r="BB59" s="231">
        <f>IF(IFERROR(VLOOKUP($B59 &amp; $C59&amp;BB$4,tblForecast,BB$2,FALSE),0)=0,BA59,IFERROR(VLOOKUP($B59 &amp; $C59&amp;BB$4,tblForecast,BB$2,FALSE),0))</f>
        <v>148513</v>
      </c>
      <c r="BC59" s="231">
        <f>IFERROR(VLOOKUP($B59-IF(CompareVer="LY",1,0) &amp; $C59 &amp;BC$4,tblForecast,BC$2,FALSE),0)</f>
        <v>0</v>
      </c>
      <c r="BD59" s="231">
        <f t="shared" si="439"/>
        <v>33014</v>
      </c>
      <c r="BE59" s="194">
        <f t="shared" si="19"/>
        <v>3.4984854910038168</v>
      </c>
      <c r="BF59" s="231">
        <f>IFERROR(VLOOKUP($B59 &amp; $C59&amp;IF($A59="a",BG$4,BF$4),tblForecast,BF$2,FALSE),0)</f>
        <v>0</v>
      </c>
      <c r="BG59" s="228">
        <f>IFERROR(VLOOKUP($B59-IF(CompareVer="LY",1,0) &amp; $C59 &amp;BG$4,tblForecast,BG$2,FALSE),0)</f>
        <v>1142</v>
      </c>
      <c r="BH59" s="179">
        <f>IF(Q59&lt;&gt;0,BA59/Q59,0)</f>
        <v>31.504666949512092</v>
      </c>
      <c r="BI59" s="183">
        <f>IF(T59&lt;&gt;0,BD59/T59,0)</f>
        <v>34.497387669801462</v>
      </c>
      <c r="BJ59" s="195">
        <f t="shared" si="440"/>
        <v>3.1741329041902057E-2</v>
      </c>
      <c r="BK59" s="50">
        <f t="shared" si="441"/>
        <v>2.898770218695099E-2</v>
      </c>
      <c r="BL59" s="234">
        <f>IFERROR(VLOOKUP($B59 &amp; $C59&amp;IF($A59="a",BM$4,BL$4),tblForecast,BL$2,FALSE),0)</f>
        <v>0</v>
      </c>
      <c r="BM59" s="228">
        <f>IFERROR(VLOOKUP($B59-IF(CompareVer="LY",1,0) &amp; $C59 &amp;BM$4,tblForecast,BM$2,FALSE),0)</f>
        <v>16</v>
      </c>
      <c r="BN59" s="234">
        <f>IFERROR(VLOOKUP($B59 &amp; $C59&amp;IF($A59="a",BO$4,BN$4),tblForecast,BN$2,FALSE),0)</f>
        <v>0</v>
      </c>
      <c r="BO59" s="228">
        <f>IFERROR(VLOOKUP($B59-IF(CompareVer="LY",1,0) &amp; $C59 &amp;BO$4,tblForecast,BO$2,FALSE),0)</f>
        <v>555</v>
      </c>
      <c r="BP59" s="234">
        <f>IFERROR(VLOOKUP($B59 &amp; $C59&amp;IF($A59="a",BQ$4,BP$4),tblForecast,BP$2,FALSE),0)</f>
        <v>0</v>
      </c>
      <c r="BQ59" s="228">
        <f>IFERROR(VLOOKUP($B59-IF(CompareVer="LY",1,0) &amp; $C59 &amp;BQ$4,tblForecast,BQ$2,FALSE),0)</f>
        <v>17903</v>
      </c>
      <c r="BR59" s="227">
        <f t="shared" si="43"/>
        <v>0</v>
      </c>
      <c r="BS59" s="231">
        <f t="shared" si="22"/>
        <v>-17348</v>
      </c>
      <c r="BT59" s="234">
        <f t="shared" si="442"/>
        <v>0</v>
      </c>
      <c r="BU59" s="231">
        <f t="shared" si="442"/>
        <v>0</v>
      </c>
      <c r="BV59" s="231">
        <f>IF($A59="a",IFERROR(VLOOKUP($B59 &amp; $C59&amp;BV$4,tblForecast,BV$2,FALSE),0),BT59+BU59)</f>
        <v>0</v>
      </c>
      <c r="BW59" s="231">
        <f t="shared" si="443"/>
        <v>0</v>
      </c>
      <c r="BX59" s="231">
        <f t="shared" si="443"/>
        <v>0</v>
      </c>
      <c r="BY59" s="193">
        <f>IFERROR(VLOOKUP($B59-IF(CompareVer="LY",1,0) &amp; $C59 &amp;BY$4,tblForecast,BY$2,FALSE),0)</f>
        <v>0</v>
      </c>
      <c r="BZ59" s="194">
        <f t="shared" si="25"/>
        <v>0</v>
      </c>
      <c r="CA59" s="337">
        <f t="shared" si="444"/>
        <v>0</v>
      </c>
      <c r="CB59" s="46">
        <f t="shared" si="444"/>
        <v>0</v>
      </c>
      <c r="CC59" s="46">
        <f>IF($A59="a",IFERROR(VLOOKUP($B59 &amp; $C59&amp;CC$4,tblForecast,CC$2,FALSE),0),CA59+CB59)</f>
        <v>0</v>
      </c>
      <c r="CD59" s="46">
        <f t="shared" si="445"/>
        <v>0</v>
      </c>
      <c r="CE59" s="46">
        <f t="shared" si="445"/>
        <v>0</v>
      </c>
      <c r="CF59" s="46">
        <f>IFERROR(VLOOKUP($B59-IF(CompareVer="LY",1,0) &amp; $C59 &amp;CF$4,tblForecast,CF$2,FALSE),0)</f>
        <v>0</v>
      </c>
      <c r="CG59" s="194">
        <f t="shared" si="28"/>
        <v>0</v>
      </c>
      <c r="CH59" s="337">
        <f t="shared" si="446"/>
        <v>0</v>
      </c>
      <c r="CI59" s="46">
        <f t="shared" si="446"/>
        <v>0</v>
      </c>
      <c r="CJ59" s="46">
        <f>IF($A59="a",IFERROR(VLOOKUP($B59 &amp; $C59&amp;CJ$4,tblForecast,CJ$2,FALSE),0),CH59+CI59)</f>
        <v>0</v>
      </c>
      <c r="CK59" s="46">
        <f t="shared" si="447"/>
        <v>0</v>
      </c>
      <c r="CL59" s="46">
        <f t="shared" si="447"/>
        <v>0</v>
      </c>
      <c r="CM59" s="46">
        <f>IFERROR(VLOOKUP($B59-IF(CompareVer="LY",1,0) &amp; $C59 &amp;CM$4,tblForecast,CM$2,FALSE),0)</f>
        <v>0</v>
      </c>
      <c r="CN59" s="194">
        <f t="shared" si="31"/>
        <v>0</v>
      </c>
      <c r="CO59" s="178">
        <f t="shared" si="46"/>
        <v>0</v>
      </c>
      <c r="CP59" s="223">
        <f t="shared" si="46"/>
        <v>0</v>
      </c>
      <c r="CQ59" s="194">
        <f t="shared" si="33"/>
        <v>0</v>
      </c>
      <c r="CR59" s="178">
        <f t="shared" si="44"/>
        <v>0</v>
      </c>
      <c r="CS59" s="223">
        <f t="shared" si="34"/>
        <v>0</v>
      </c>
      <c r="CT59" s="194">
        <f t="shared" si="47"/>
        <v>0</v>
      </c>
      <c r="CU59" s="44"/>
      <c r="CW59" s="102">
        <f>IF(CW58+BV59+BL59-Q59&lt;0,0,CW58+BV59+BL59-Q59)</f>
        <v>0</v>
      </c>
      <c r="CX59" s="48">
        <f>IFERROR(VLOOKUP($B59-IF(CompareVer="LY",1,0) &amp; $C59 &amp;CX$4,tblForecast,CX$2,FALSE),0)</f>
        <v>31872</v>
      </c>
      <c r="CY59" s="47">
        <f t="shared" si="36"/>
        <v>-1</v>
      </c>
      <c r="CZ59" s="278">
        <f>IFERROR(VLOOKUP(Brand&amp;Channel&amp;Country&amp;$C59,tblDiscount,6,FALSE),0)</f>
        <v>0.8</v>
      </c>
      <c r="DA59" s="279">
        <f>(1-CZ59)*DB59</f>
        <v>5.0039999999999987</v>
      </c>
      <c r="DB59" s="279">
        <f>IFERROR(VLOOKUP(Brand&amp;Country &amp; Channel &amp;FC,tblFCSettings,8,FALSE),0)</f>
        <v>25.02</v>
      </c>
      <c r="DC59" s="280">
        <f>IFERROR(VLOOKUP(Brand&amp;Country &amp; Channel &amp;FC,tblFCSettings,9,FALSE),0)</f>
        <v>4.16</v>
      </c>
    </row>
    <row r="60" spans="2:107" ht="16.5" thickBot="1" x14ac:dyDescent="0.3">
      <c r="C60" s="253" t="s">
        <v>314</v>
      </c>
      <c r="D60" s="254">
        <f t="shared" ref="D60" si="454">SUM(D56:D59)</f>
        <v>-37912196.601595998</v>
      </c>
      <c r="E60" s="255">
        <f t="shared" ref="E60" si="455">SUM(E56:E59)</f>
        <v>-31046272.945913002</v>
      </c>
      <c r="F60" s="256">
        <f t="shared" si="45"/>
        <v>0.81889934450820068</v>
      </c>
      <c r="G60" s="257">
        <f>SUM(G56:G59)</f>
        <v>-1500483</v>
      </c>
      <c r="H60" s="258">
        <f>IFERROR(D60/G60,0)</f>
        <v>25.266661869275424</v>
      </c>
      <c r="I60" s="258">
        <f>IFERROR(SUMPRODUCT(I56:I59,G56:G59)/G60,0)</f>
        <v>4.5758090266154294</v>
      </c>
      <c r="J60" s="257">
        <f>SUM(J56:J59)</f>
        <v>3525783</v>
      </c>
      <c r="K60" s="301">
        <f>SUM(K56:K59)</f>
        <v>129642</v>
      </c>
      <c r="L60" s="259">
        <f>SUM(L56:L59)</f>
        <v>122305</v>
      </c>
      <c r="M60" s="259">
        <f t="shared" ref="M60:O60" si="456">SUM(M56:M59)</f>
        <v>122305</v>
      </c>
      <c r="N60" s="259">
        <f t="shared" si="456"/>
        <v>0</v>
      </c>
      <c r="O60" s="259">
        <f t="shared" si="456"/>
        <v>21497.024300000001</v>
      </c>
      <c r="P60" s="260">
        <f t="shared" si="39"/>
        <v>4.6893920894902648</v>
      </c>
      <c r="Q60" s="261">
        <f>SUM(Q56:Q59)</f>
        <v>24461</v>
      </c>
      <c r="R60" s="262">
        <f t="shared" ref="R60:S60" si="457">SUM(R56:R59)</f>
        <v>24461</v>
      </c>
      <c r="S60" s="262">
        <f t="shared" si="457"/>
        <v>0</v>
      </c>
      <c r="T60" s="262">
        <f>SUM(T56:T59)</f>
        <v>6756</v>
      </c>
      <c r="U60" s="260">
        <f t="shared" si="7"/>
        <v>2.6206335109532266</v>
      </c>
      <c r="V60" s="263">
        <f t="shared" ref="V60:X60" si="458">V59</f>
        <v>0.84998196898665701</v>
      </c>
      <c r="W60" s="332">
        <f t="shared" si="458"/>
        <v>0.84998196898665701</v>
      </c>
      <c r="X60" s="264">
        <f t="shared" si="458"/>
        <v>0.76559999999999995</v>
      </c>
      <c r="Y60" s="254">
        <f>SUM(Y56:Y59)</f>
        <v>20547.239999999991</v>
      </c>
      <c r="Z60" s="259">
        <f t="shared" ref="Z60:AB60" si="459">SUM(Z56:Z59)</f>
        <v>20547.239999999991</v>
      </c>
      <c r="AA60" s="259">
        <f t="shared" si="459"/>
        <v>0</v>
      </c>
      <c r="AB60" s="259">
        <f t="shared" si="459"/>
        <v>-950.91449999999963</v>
      </c>
      <c r="AC60" s="260">
        <f t="shared" si="9"/>
        <v>-22.607873263053616</v>
      </c>
      <c r="AD60" s="265">
        <f t="shared" ref="AD60:AG61" si="460">IFERROR(Y60/L60,0)</f>
        <v>0.16799999999999993</v>
      </c>
      <c r="AE60" s="266">
        <f t="shared" si="460"/>
        <v>0.16799999999999993</v>
      </c>
      <c r="AF60" s="266">
        <f t="shared" si="460"/>
        <v>0</v>
      </c>
      <c r="AG60" s="266">
        <f t="shared" si="460"/>
        <v>-4.42347036840815E-2</v>
      </c>
      <c r="AH60" s="267">
        <f>IFERROR(SUMPRODUCT(AH56:AH59,Q56:Q59)/Q60,0)</f>
        <v>25.02</v>
      </c>
      <c r="AI60" s="268">
        <f>IFERROR(SUMPRODUCT(AI56:AI59,R56:R59)/R60,0)</f>
        <v>25.02</v>
      </c>
      <c r="AJ60" s="268">
        <f t="shared" ref="AJ60:AK60" si="461">IFERROR(SUMPRODUCT(AJ56:AJ59,S56:S59)/S60,0)</f>
        <v>0</v>
      </c>
      <c r="AK60" s="268">
        <f t="shared" si="461"/>
        <v>20.349576154529306</v>
      </c>
      <c r="AL60" s="260">
        <f t="shared" si="362"/>
        <v>0.22950963744918962</v>
      </c>
      <c r="AM60" s="267">
        <f t="shared" ref="AM60:AP61" si="462">IF(Q60&lt;&gt;0,L60/Q60,0)</f>
        <v>5</v>
      </c>
      <c r="AN60" s="268">
        <f t="shared" si="462"/>
        <v>5</v>
      </c>
      <c r="AO60" s="268">
        <f t="shared" si="462"/>
        <v>0</v>
      </c>
      <c r="AP60" s="268">
        <f t="shared" si="462"/>
        <v>3.1819159709887508</v>
      </c>
      <c r="AQ60" s="260">
        <f t="shared" si="14"/>
        <v>0.57138027703676175</v>
      </c>
      <c r="AR60" s="267">
        <f t="shared" ref="AR60:AU61" si="463">IFERROR((L60*(1-AD60))/Q60,0)</f>
        <v>4.16</v>
      </c>
      <c r="AS60" s="268">
        <f t="shared" si="463"/>
        <v>4.16</v>
      </c>
      <c r="AT60" s="268">
        <f t="shared" si="463"/>
        <v>0</v>
      </c>
      <c r="AU60" s="268">
        <f t="shared" si="463"/>
        <v>3.3226670811130847</v>
      </c>
      <c r="AV60" s="260">
        <f t="shared" si="16"/>
        <v>0.25200626437915985</v>
      </c>
      <c r="AW60" s="269">
        <f>IFERROR(SUMPRODUCT(AW56:AW59,Q56:Q59)/Q60,0)</f>
        <v>0.80015987210231809</v>
      </c>
      <c r="AX60" s="270">
        <f t="shared" ref="AX60:AZ60" si="464">IFERROR(SUMPRODUCT(AX56:AX59,X56:X59)/X60,0)</f>
        <v>3.5007086152835112</v>
      </c>
      <c r="AY60" s="270">
        <f t="shared" si="464"/>
        <v>0</v>
      </c>
      <c r="AZ60" s="270">
        <f t="shared" si="464"/>
        <v>0.84433034328212442</v>
      </c>
      <c r="BA60" s="261">
        <f>BA59</f>
        <v>148513</v>
      </c>
      <c r="BB60" s="262">
        <f t="shared" ref="BB60:BD61" si="465">BB59</f>
        <v>148513</v>
      </c>
      <c r="BC60" s="262">
        <f t="shared" si="465"/>
        <v>0</v>
      </c>
      <c r="BD60" s="262">
        <f t="shared" si="465"/>
        <v>33014</v>
      </c>
      <c r="BE60" s="260">
        <f t="shared" si="19"/>
        <v>3.4984854910038168</v>
      </c>
      <c r="BF60" s="262">
        <f>BF59</f>
        <v>0</v>
      </c>
      <c r="BG60" s="262">
        <f>BG59</f>
        <v>1142</v>
      </c>
      <c r="BH60" s="271">
        <f>IF(Q60&lt;&gt;0,(BA60*COUNTIF(BH56:BH59,"&lt;&gt;0")/Q60),0)</f>
        <v>24.285679244511673</v>
      </c>
      <c r="BI60" s="272">
        <f>IF(T60&lt;&gt;0,(BD60*COUNTIF(BI56:BI59,"&lt;&gt;0")/T60),0)</f>
        <v>19.546477205447012</v>
      </c>
      <c r="BJ60" s="273">
        <f t="shared" ref="BJ60" si="466">IF(BA60&lt;&gt;0,(Q60/COUNTIF(BJ56:BJ59,"&lt;&gt;0"))/BA60,0)</f>
        <v>4.1176530000740674E-2</v>
      </c>
      <c r="BK60" s="274">
        <f t="shared" ref="BK60" si="467">IF(BD60&lt;&gt;0,(T60/COUNTIF(BK56:BK59,"&lt;&gt;0"))/BD60,0)</f>
        <v>5.1160113891076511E-2</v>
      </c>
      <c r="BL60" s="261">
        <f>SUM(BL56:BL59)</f>
        <v>0</v>
      </c>
      <c r="BM60" s="262">
        <f>SUM(BM56:BM59)</f>
        <v>-217</v>
      </c>
      <c r="BN60" s="261">
        <f>SUM(BN56:BN59)</f>
        <v>0</v>
      </c>
      <c r="BO60" s="262">
        <f t="shared" ref="BO60:BQ60" si="468">SUM(BO56:BO59)</f>
        <v>2548</v>
      </c>
      <c r="BP60" s="261">
        <f>SUM(BP56:BP59)</f>
        <v>0</v>
      </c>
      <c r="BQ60" s="262">
        <f t="shared" si="468"/>
        <v>42440</v>
      </c>
      <c r="BR60" s="261">
        <f t="shared" si="43"/>
        <v>0</v>
      </c>
      <c r="BS60" s="262">
        <f t="shared" si="22"/>
        <v>-39892</v>
      </c>
      <c r="BT60" s="261">
        <f t="shared" ref="BT60:BY60" si="469">SUM(BT56:BT59)</f>
        <v>0</v>
      </c>
      <c r="BU60" s="262">
        <f t="shared" si="469"/>
        <v>0</v>
      </c>
      <c r="BV60" s="262">
        <f t="shared" si="469"/>
        <v>0</v>
      </c>
      <c r="BW60" s="262">
        <f t="shared" si="469"/>
        <v>0</v>
      </c>
      <c r="BX60" s="262">
        <f t="shared" si="469"/>
        <v>0</v>
      </c>
      <c r="BY60" s="275">
        <f t="shared" si="469"/>
        <v>0</v>
      </c>
      <c r="BZ60" s="260">
        <f t="shared" si="25"/>
        <v>0</v>
      </c>
      <c r="CA60" s="338">
        <f t="shared" ref="CA60:CF60" si="470">SUM(CA56:CA59)</f>
        <v>0</v>
      </c>
      <c r="CB60" s="259">
        <f t="shared" si="470"/>
        <v>0</v>
      </c>
      <c r="CC60" s="259">
        <f t="shared" si="470"/>
        <v>0</v>
      </c>
      <c r="CD60" s="259">
        <f t="shared" si="470"/>
        <v>0</v>
      </c>
      <c r="CE60" s="259">
        <f t="shared" si="470"/>
        <v>0</v>
      </c>
      <c r="CF60" s="259">
        <f t="shared" si="470"/>
        <v>0</v>
      </c>
      <c r="CG60" s="260">
        <f t="shared" si="28"/>
        <v>0</v>
      </c>
      <c r="CH60" s="338">
        <f t="shared" ref="CH60:CM60" si="471">SUM(CH56:CH59)</f>
        <v>0</v>
      </c>
      <c r="CI60" s="259">
        <f t="shared" si="471"/>
        <v>0</v>
      </c>
      <c r="CJ60" s="259">
        <f t="shared" si="471"/>
        <v>0</v>
      </c>
      <c r="CK60" s="259">
        <f t="shared" si="471"/>
        <v>0</v>
      </c>
      <c r="CL60" s="259">
        <f t="shared" si="471"/>
        <v>0</v>
      </c>
      <c r="CM60" s="259">
        <f t="shared" si="471"/>
        <v>0</v>
      </c>
      <c r="CN60" s="260">
        <f t="shared" si="31"/>
        <v>0</v>
      </c>
      <c r="CO60" s="276">
        <f t="shared" si="46"/>
        <v>0</v>
      </c>
      <c r="CP60" s="277">
        <f t="shared" si="46"/>
        <v>0</v>
      </c>
      <c r="CQ60" s="260">
        <f t="shared" si="33"/>
        <v>0</v>
      </c>
      <c r="CR60" s="276">
        <f t="shared" si="44"/>
        <v>0</v>
      </c>
      <c r="CS60" s="277">
        <f t="shared" si="34"/>
        <v>0</v>
      </c>
      <c r="CT60" s="260">
        <f t="shared" si="47"/>
        <v>0</v>
      </c>
      <c r="CU60" s="44"/>
      <c r="CW60" s="100">
        <f>CW59</f>
        <v>0</v>
      </c>
      <c r="CX60" s="101">
        <f>CX59</f>
        <v>31872</v>
      </c>
      <c r="CY60" s="99">
        <f t="shared" si="36"/>
        <v>-1</v>
      </c>
      <c r="CZ60" s="278"/>
      <c r="DA60" s="279"/>
      <c r="DB60" s="279"/>
      <c r="DC60" s="280"/>
    </row>
    <row r="61" spans="2:107" ht="16.5" thickBot="1" x14ac:dyDescent="0.3">
      <c r="C61" s="105" t="s">
        <v>42</v>
      </c>
      <c r="D61" s="52">
        <f t="shared" ref="D61" si="472">D49+D55+D60</f>
        <v>-80875446.109416008</v>
      </c>
      <c r="E61" s="205">
        <f t="shared" ref="E61" si="473">E49+E55+E60</f>
        <v>-80167435.684395999</v>
      </c>
      <c r="F61" s="206">
        <f t="shared" si="45"/>
        <v>0.99124566899993183</v>
      </c>
      <c r="G61" s="204">
        <f>G49+G55+G60</f>
        <v>-2726065</v>
      </c>
      <c r="H61" s="207">
        <f>IFERROR(D61/G61,0)</f>
        <v>29.667467983858053</v>
      </c>
      <c r="I61" s="58">
        <f>IFERROR((I49*G49+I55*G55+I60*G60)/G61,0)</f>
        <v>0.25971883466461698</v>
      </c>
      <c r="J61" s="204">
        <f t="shared" ref="J61" si="474">J49+J55+J60</f>
        <v>14327521</v>
      </c>
      <c r="K61" s="302">
        <f t="shared" ref="K61" si="475">K49+K55+K60</f>
        <v>1699760</v>
      </c>
      <c r="L61" s="53">
        <f>L49+L55+L60</f>
        <v>1064064.1499999999</v>
      </c>
      <c r="M61" s="53">
        <f t="shared" ref="M61:O61" si="476">M49+M55+M60</f>
        <v>1064064.1499999999</v>
      </c>
      <c r="N61" s="53">
        <f t="shared" si="476"/>
        <v>0</v>
      </c>
      <c r="O61" s="53">
        <f t="shared" si="476"/>
        <v>705133.23460000008</v>
      </c>
      <c r="P61" s="54">
        <f t="shared" si="39"/>
        <v>0.50902566747348121</v>
      </c>
      <c r="Q61" s="229">
        <f>Q49+Q55+Q60</f>
        <v>171244</v>
      </c>
      <c r="R61" s="230">
        <f>R49+R55+R60</f>
        <v>171244</v>
      </c>
      <c r="S61" s="230">
        <f>S49+S55+S60</f>
        <v>0</v>
      </c>
      <c r="T61" s="230">
        <f>T49+T55+T60</f>
        <v>118472</v>
      </c>
      <c r="U61" s="54">
        <f t="shared" si="7"/>
        <v>0.44543858464447306</v>
      </c>
      <c r="V61" s="247">
        <f t="shared" ref="V61:X61" si="477">V60</f>
        <v>0.84998196898665701</v>
      </c>
      <c r="W61" s="333">
        <f t="shared" si="477"/>
        <v>0.84998196898665701</v>
      </c>
      <c r="X61" s="248">
        <f t="shared" si="477"/>
        <v>0.76559999999999995</v>
      </c>
      <c r="Y61" s="52">
        <f>Y49+Y55+Y60</f>
        <v>351689.10999999987</v>
      </c>
      <c r="Z61" s="53">
        <f t="shared" ref="Z61:AB61" si="478">Z49+Z55+Z60</f>
        <v>351689.10999999987</v>
      </c>
      <c r="AA61" s="53">
        <f t="shared" si="478"/>
        <v>0</v>
      </c>
      <c r="AB61" s="53">
        <f t="shared" si="478"/>
        <v>273507.16279999999</v>
      </c>
      <c r="AC61" s="54">
        <f t="shared" si="9"/>
        <v>0.28584972473708059</v>
      </c>
      <c r="AD61" s="77">
        <f t="shared" si="460"/>
        <v>0.33051495062586206</v>
      </c>
      <c r="AE61" s="78">
        <f t="shared" si="460"/>
        <v>0.33051495062586206</v>
      </c>
      <c r="AF61" s="78">
        <f t="shared" si="460"/>
        <v>0</v>
      </c>
      <c r="AG61" s="78">
        <f t="shared" si="460"/>
        <v>0.38788011879081546</v>
      </c>
      <c r="AH61" s="58">
        <f>IFERROR((AH49*Q49+AH55*Q55+AH60*Q60)/Q61,0)</f>
        <v>25.02</v>
      </c>
      <c r="AI61" s="58">
        <f t="shared" ref="AI61:AL61" si="479">IFERROR((AI49*R49+AI55*R55+AI60*R60)/R61,0)</f>
        <v>25.02</v>
      </c>
      <c r="AJ61" s="58">
        <f t="shared" si="479"/>
        <v>0</v>
      </c>
      <c r="AK61" s="58">
        <f t="shared" si="479"/>
        <v>22.454320609933145</v>
      </c>
      <c r="AL61" s="54">
        <f t="shared" si="479"/>
        <v>1.6007238423328076</v>
      </c>
      <c r="AM61" s="57">
        <f t="shared" si="462"/>
        <v>6.2137309920347565</v>
      </c>
      <c r="AN61" s="58">
        <f t="shared" si="462"/>
        <v>6.2137309920347565</v>
      </c>
      <c r="AO61" s="58">
        <f t="shared" si="462"/>
        <v>0</v>
      </c>
      <c r="AP61" s="58">
        <f t="shared" si="462"/>
        <v>5.9518977868188268</v>
      </c>
      <c r="AQ61" s="54">
        <f t="shared" si="14"/>
        <v>4.3991549350156811E-2</v>
      </c>
      <c r="AR61" s="57">
        <f t="shared" si="463"/>
        <v>4.160000000000001</v>
      </c>
      <c r="AS61" s="58">
        <f t="shared" si="463"/>
        <v>4.160000000000001</v>
      </c>
      <c r="AT61" s="58">
        <f t="shared" si="463"/>
        <v>0</v>
      </c>
      <c r="AU61" s="58">
        <f t="shared" si="463"/>
        <v>3.6432749662367492</v>
      </c>
      <c r="AV61" s="54">
        <f t="shared" si="16"/>
        <v>0.14182982029956226</v>
      </c>
      <c r="AW61" s="59">
        <f>IFERROR((AW49*V49+AW55*V55+AW60*V60)/V61,0)</f>
        <v>7.8555392662849197</v>
      </c>
      <c r="AX61" s="60">
        <f t="shared" ref="AX61:AZ61" si="480">IFERROR((AX49*X49+AX55*X55+AX60*X60)/X61,0)</f>
        <v>10.802985808478507</v>
      </c>
      <c r="AY61" s="60">
        <f t="shared" si="480"/>
        <v>0</v>
      </c>
      <c r="AZ61" s="60">
        <f t="shared" si="480"/>
        <v>0.73174314775503402</v>
      </c>
      <c r="BA61" s="236">
        <f>BA60</f>
        <v>148513</v>
      </c>
      <c r="BB61" s="230">
        <f t="shared" si="465"/>
        <v>148513</v>
      </c>
      <c r="BC61" s="230">
        <f t="shared" si="465"/>
        <v>0</v>
      </c>
      <c r="BD61" s="230">
        <f t="shared" si="465"/>
        <v>33014</v>
      </c>
      <c r="BE61" s="54">
        <f t="shared" si="19"/>
        <v>3.4984854910038168</v>
      </c>
      <c r="BF61" s="230">
        <f>BF60</f>
        <v>0</v>
      </c>
      <c r="BG61" s="230">
        <f>BG60</f>
        <v>1142</v>
      </c>
      <c r="BH61" s="62">
        <f>IF(Q59&lt;&gt;0,(BA61/(Q61/13)),0)</f>
        <v>11.274374576627503</v>
      </c>
      <c r="BI61" s="133">
        <f>IF(T59&lt;&gt;0,(BD61/(T61/13)),0)</f>
        <v>3.6226450131676682</v>
      </c>
      <c r="BJ61" s="190">
        <f t="shared" ref="BJ61" si="481">IF(BA61&lt;&gt;0,(Q61/13)/BA61,0)</f>
        <v>8.8696716008803161E-2</v>
      </c>
      <c r="BK61" s="61">
        <f t="shared" ref="BK61" si="482">IF(BD61&lt;&gt;0,(T61/13)/BD61,0)</f>
        <v>0.27604139968591412</v>
      </c>
      <c r="BL61" s="229">
        <f t="shared" ref="BL61:BY61" si="483">BL49+BL55+BL60</f>
        <v>0</v>
      </c>
      <c r="BM61" s="230">
        <f t="shared" si="483"/>
        <v>-1759</v>
      </c>
      <c r="BN61" s="229">
        <f t="shared" si="483"/>
        <v>0</v>
      </c>
      <c r="BO61" s="230">
        <f t="shared" si="483"/>
        <v>8780</v>
      </c>
      <c r="BP61" s="229">
        <f t="shared" si="483"/>
        <v>0</v>
      </c>
      <c r="BQ61" s="230">
        <f t="shared" si="483"/>
        <v>173921</v>
      </c>
      <c r="BR61" s="229">
        <f t="shared" si="43"/>
        <v>0</v>
      </c>
      <c r="BS61" s="230">
        <f t="shared" si="22"/>
        <v>-165141</v>
      </c>
      <c r="BT61" s="229">
        <f t="shared" si="483"/>
        <v>0</v>
      </c>
      <c r="BU61" s="230">
        <f t="shared" si="483"/>
        <v>0</v>
      </c>
      <c r="BV61" s="230">
        <f t="shared" si="483"/>
        <v>0</v>
      </c>
      <c r="BW61" s="230">
        <f t="shared" si="483"/>
        <v>0</v>
      </c>
      <c r="BX61" s="230">
        <f t="shared" si="483"/>
        <v>0</v>
      </c>
      <c r="BY61" s="56">
        <f t="shared" si="483"/>
        <v>0</v>
      </c>
      <c r="BZ61" s="54">
        <f t="shared" si="25"/>
        <v>0</v>
      </c>
      <c r="CA61" s="339">
        <f t="shared" ref="CA61:CF61" si="484">CA49+CA55+CA60</f>
        <v>0</v>
      </c>
      <c r="CB61" s="53">
        <f t="shared" si="484"/>
        <v>0</v>
      </c>
      <c r="CC61" s="53">
        <f t="shared" si="484"/>
        <v>0</v>
      </c>
      <c r="CD61" s="53">
        <f t="shared" si="484"/>
        <v>0</v>
      </c>
      <c r="CE61" s="53">
        <f t="shared" si="484"/>
        <v>0</v>
      </c>
      <c r="CF61" s="53">
        <f t="shared" si="484"/>
        <v>0</v>
      </c>
      <c r="CG61" s="54">
        <f t="shared" si="28"/>
        <v>0</v>
      </c>
      <c r="CH61" s="339">
        <f t="shared" ref="CH61:CM61" si="485">CH49+CH55+CH60</f>
        <v>0</v>
      </c>
      <c r="CI61" s="53">
        <f t="shared" si="485"/>
        <v>0</v>
      </c>
      <c r="CJ61" s="53">
        <f t="shared" si="485"/>
        <v>0</v>
      </c>
      <c r="CK61" s="53">
        <f t="shared" si="485"/>
        <v>0</v>
      </c>
      <c r="CL61" s="53">
        <f t="shared" si="485"/>
        <v>0</v>
      </c>
      <c r="CM61" s="53">
        <f t="shared" si="485"/>
        <v>0</v>
      </c>
      <c r="CN61" s="54">
        <f t="shared" si="31"/>
        <v>0</v>
      </c>
      <c r="CO61" s="55">
        <f t="shared" si="46"/>
        <v>0</v>
      </c>
      <c r="CP61" s="224">
        <f t="shared" si="46"/>
        <v>0</v>
      </c>
      <c r="CQ61" s="54">
        <f t="shared" si="33"/>
        <v>0</v>
      </c>
      <c r="CR61" s="55">
        <f t="shared" si="44"/>
        <v>0</v>
      </c>
      <c r="CS61" s="224">
        <f t="shared" si="34"/>
        <v>0</v>
      </c>
      <c r="CT61" s="54">
        <f t="shared" si="47"/>
        <v>0</v>
      </c>
      <c r="CU61" s="44"/>
      <c r="CW61" s="55">
        <f>CW60</f>
        <v>0</v>
      </c>
      <c r="CX61" s="56">
        <f>CX60</f>
        <v>31872</v>
      </c>
      <c r="CY61" s="54">
        <f t="shared" si="36"/>
        <v>-1</v>
      </c>
      <c r="CZ61" s="278"/>
      <c r="DA61" s="279"/>
      <c r="DB61" s="279"/>
      <c r="DC61" s="280"/>
    </row>
    <row r="62" spans="2:107" x14ac:dyDescent="0.25">
      <c r="B62" s="44">
        <v>2018</v>
      </c>
      <c r="C62" s="88">
        <v>40</v>
      </c>
      <c r="D62" s="51">
        <f>G62*H62</f>
        <v>-5811970.2820420004</v>
      </c>
      <c r="E62" s="202">
        <f>IFERROR(D62*F62,0)</f>
        <v>-3773707.9075640007</v>
      </c>
      <c r="F62" s="182">
        <f t="shared" si="45"/>
        <v>0.64929924353263058</v>
      </c>
      <c r="G62" s="176">
        <f t="shared" ref="G62:I65" si="486">IFERROR(VLOOKUP($B62 &amp; $C62&amp;G$4&amp;$A62,tblForecast,G$2,FALSE),0)</f>
        <v>-221153</v>
      </c>
      <c r="H62" s="203">
        <f t="shared" si="486"/>
        <v>26.280314000000001</v>
      </c>
      <c r="I62" s="203">
        <f t="shared" si="486"/>
        <v>9.216526</v>
      </c>
      <c r="J62" s="176">
        <f>IFERROR(VLOOKUP($B62 &amp; $C62&amp;J$4&amp;$A62,tblForecast,J$2,FALSE),0)+IFERROR(VLOOKUP($B62 &amp; $C62 &amp; J$4 &amp; $A62,tblForecast,J$2+1,FALSE),0)</f>
        <v>627912</v>
      </c>
      <c r="K62" s="300">
        <f>IFERROR(VLOOKUP($B62 &amp; $C62&amp;K$4&amp;$A62,tblForecast,K$2,FALSE),0)+IFERROR(VLOOKUP($B62 &amp; $C62&amp;K$4&amp;$A62,tblForecast,K$2+1,FALSE),0)</f>
        <v>0</v>
      </c>
      <c r="L62" s="90">
        <f t="shared" ref="L62:O65" si="487">Q62*AM62</f>
        <v>14375</v>
      </c>
      <c r="M62" s="90">
        <f t="shared" si="487"/>
        <v>14375</v>
      </c>
      <c r="N62" s="46">
        <f t="shared" si="487"/>
        <v>0</v>
      </c>
      <c r="O62" s="46">
        <f t="shared" si="487"/>
        <v>3923.9886000000001</v>
      </c>
      <c r="P62" s="47">
        <f t="shared" si="39"/>
        <v>2.6633643634948378</v>
      </c>
      <c r="Q62" s="242">
        <f>ROUND(IF(BA59-(Q59*IF(W62=0,X62,W62))&lt;0,BA59,Q59*IF(W62=0,X62,W62)),0)</f>
        <v>2875</v>
      </c>
      <c r="R62" s="240">
        <f t="shared" ref="R62:S65" si="488">IFERROR(VLOOKUP($B62 &amp; $C62&amp;R$4,tblForecast,R$2,FALSE),0)</f>
        <v>2875</v>
      </c>
      <c r="S62" s="240">
        <f t="shared" si="488"/>
        <v>0</v>
      </c>
      <c r="T62" s="240">
        <f>IFERROR(VLOOKUP($B62-IF(CompareVer="LY",1,0) &amp; $C62 &amp;T$4,tblForecast,T$2,FALSE),0)</f>
        <v>1029</v>
      </c>
      <c r="U62" s="91">
        <f t="shared" si="7"/>
        <v>1.7939747327502431</v>
      </c>
      <c r="V62" s="249">
        <f>IFERROR(IF(Q59&lt;&gt;0,Q62/Q59,0),0)</f>
        <v>0.60988544760288499</v>
      </c>
      <c r="W62" s="334">
        <f>IFERROR(IF(R59&lt;&gt;0,R62/R59,0),0)</f>
        <v>0.60988544760288499</v>
      </c>
      <c r="X62" s="250">
        <f>IFERROR(IF(T59&lt;&gt;0,T62/T59,0),0)</f>
        <v>1.0752351097178683</v>
      </c>
      <c r="Y62" s="51">
        <f t="shared" ref="Y62:AB65" si="489">IFERROR(L62*AD62,0)</f>
        <v>2414.9999999999991</v>
      </c>
      <c r="Z62" s="46">
        <f t="shared" si="489"/>
        <v>2414.9999999999991</v>
      </c>
      <c r="AA62" s="46">
        <f t="shared" si="489"/>
        <v>0</v>
      </c>
      <c r="AB62" s="46">
        <f t="shared" si="489"/>
        <v>252.00210000000033</v>
      </c>
      <c r="AC62" s="91">
        <f t="shared" si="9"/>
        <v>8.5832534728877103</v>
      </c>
      <c r="AD62" s="75">
        <f>IF(AM62&lt;&gt;0,1-AR62/AM62,0)</f>
        <v>0.16799999999999993</v>
      </c>
      <c r="AE62" s="93">
        <f t="shared" ref="AE62:AG65" si="490">IF(AN62&lt;&gt;0,1-AS62/AN62,0)</f>
        <v>0.16799999999999993</v>
      </c>
      <c r="AF62" s="93">
        <f t="shared" si="490"/>
        <v>0</v>
      </c>
      <c r="AG62" s="76">
        <f t="shared" si="490"/>
        <v>6.4220905228929648E-2</v>
      </c>
      <c r="AH62" s="73">
        <f>IF(IFERROR(VLOOKUP($B62 &amp; $C62&amp;AH$4,tblForecast,AH$2,FALSE),0)=0,DB62,IFERROR(VLOOKUP($B62 &amp; $C62&amp;AH$4,tblForecast,AH$2,FALSE),0))</f>
        <v>25.02</v>
      </c>
      <c r="AI62" s="94">
        <f t="shared" ref="AI62:AJ65" si="491">IFERROR(VLOOKUP($B62 &amp; $C62&amp;AI$4,tblForecast,AI$2,FALSE),0)</f>
        <v>25.02</v>
      </c>
      <c r="AJ62" s="94">
        <f t="shared" si="491"/>
        <v>0</v>
      </c>
      <c r="AK62" s="49">
        <f>IFERROR(VLOOKUP($B62-IF(CompareVer="LY",1,0) &amp; $C62 &amp;AK$4,tblForecast,AK$2,FALSE),0)</f>
        <v>21.565999999999999</v>
      </c>
      <c r="AL62" s="47">
        <f t="shared" ref="AL62:AL94" si="492">IFERROR(AH62/AK62-1,)</f>
        <v>0.16015951034035059</v>
      </c>
      <c r="AM62" s="73">
        <f>IF(IFERROR(VLOOKUP($B62 &amp; $C62&amp;AM$4,tblForecast,AM$2,FALSE),0)=0,DA62,IFERROR(VLOOKUP($B62 &amp; $C62&amp;AM$4,tblForecast,AM$2,FALSE),0))</f>
        <v>5</v>
      </c>
      <c r="AN62" s="94">
        <f t="shared" ref="AN62:AO65" si="493">IFERROR(VLOOKUP($B62 &amp; $C62&amp;AN$4,tblForecast,AN$2,FALSE),0)</f>
        <v>5</v>
      </c>
      <c r="AO62" s="94">
        <f t="shared" si="493"/>
        <v>0</v>
      </c>
      <c r="AP62" s="49">
        <f>IFERROR(VLOOKUP($B62-IF(CompareVer="LY",1,0) &amp; $C62 &amp;AP$4,tblForecast,AP$2,FALSE),0)</f>
        <v>3.8134000000000001</v>
      </c>
      <c r="AQ62" s="47">
        <f t="shared" si="14"/>
        <v>0.31116588870823936</v>
      </c>
      <c r="AR62" s="73">
        <f>IF(IFERROR(VLOOKUP($B62 &amp; $C62&amp;AR$4,tblForecast,AR$2,FALSE),0)=0,DC62,IFERROR(VLOOKUP($B62 &amp; $C62&amp;AR$4,tblForecast,AR$2,FALSE),0))</f>
        <v>4.16</v>
      </c>
      <c r="AS62" s="94">
        <f t="shared" ref="AS62:AT65" si="494">IFERROR(VLOOKUP($B62 &amp; $C62&amp;AS$4,tblForecast,AS$2,FALSE),0)</f>
        <v>4.16</v>
      </c>
      <c r="AT62" s="94">
        <f t="shared" si="494"/>
        <v>0</v>
      </c>
      <c r="AU62" s="49">
        <f>IFERROR(VLOOKUP($B62-IF(CompareVer="LY",1,0) &amp; $C62 &amp;AU$4,tblForecast,AU$2,FALSE),0)</f>
        <v>3.5684999999999998</v>
      </c>
      <c r="AV62" s="47">
        <f t="shared" si="16"/>
        <v>0.16575591985428062</v>
      </c>
      <c r="AW62" s="191">
        <f t="shared" ref="AW62:AZ65" si="495">IFERROR((AM62/AH62-1)*-1,0)</f>
        <v>0.8001598721023182</v>
      </c>
      <c r="AX62" s="192">
        <f t="shared" si="495"/>
        <v>0.8001598721023182</v>
      </c>
      <c r="AY62" s="192">
        <f t="shared" si="495"/>
        <v>0</v>
      </c>
      <c r="AZ62" s="192">
        <f t="shared" si="495"/>
        <v>0.82317536863581564</v>
      </c>
      <c r="BA62" s="235">
        <f>IF(BA61+BV62+BL62+BR62-Q62&lt;0,0,BA61+BV62+BL62+BR62-Q62)</f>
        <v>145638</v>
      </c>
      <c r="BB62" s="231">
        <f>IF(IFERROR(VLOOKUP($B62 &amp; $C62&amp;BB$4,tblForecast,BB$2,FALSE),0)=0,BA62,IFERROR(VLOOKUP($B62 &amp; $C62&amp;BB$4,tblForecast,BB$2,FALSE),0))</f>
        <v>145638</v>
      </c>
      <c r="BC62" s="231">
        <f>IFERROR(VLOOKUP($B62-IF(CompareVer="LY",1,0) &amp; $C62 &amp;BC$4,tblForecast,BC$2,FALSE),0)</f>
        <v>0</v>
      </c>
      <c r="BD62" s="231">
        <f t="shared" ref="BD62:BD65" si="496">CX62+BG62</f>
        <v>29071</v>
      </c>
      <c r="BE62" s="194">
        <f t="shared" si="19"/>
        <v>4.0097347872450211</v>
      </c>
      <c r="BF62" s="231">
        <f>IFERROR(VLOOKUP($B62 &amp; $C62&amp;IF($A62="a",BG$4,BF$4),tblForecast,BF$2,FALSE),0)</f>
        <v>0</v>
      </c>
      <c r="BG62" s="228">
        <f>IFERROR(VLOOKUP($B62-IF(CompareVer="LY",1,0) &amp; $C62 &amp;BG$4,tblForecast,BG$2,FALSE),0)</f>
        <v>1142</v>
      </c>
      <c r="BH62" s="179">
        <f>IF(Q62&lt;&gt;0,BA62/Q62,0)</f>
        <v>50.656695652173916</v>
      </c>
      <c r="BI62" s="183">
        <f>IF(T62&lt;&gt;0,BD62/T62,0)</f>
        <v>28.251700680272108</v>
      </c>
      <c r="BJ62" s="195">
        <f t="shared" ref="BJ62:BJ65" si="497">IF(BA62&lt;&gt;0,Q62/BA62,0)</f>
        <v>1.9740727008061083E-2</v>
      </c>
      <c r="BK62" s="50">
        <f t="shared" ref="BK62:BK65" si="498">IF(BD62&lt;&gt;0,T62/BD62,0)</f>
        <v>3.5396099205393688E-2</v>
      </c>
      <c r="BL62" s="234">
        <f>IFERROR(VLOOKUP($B62 &amp; $C62&amp;IF($A62="a",BM$4,BL$4),tblForecast,BL$2,FALSE),0)</f>
        <v>0</v>
      </c>
      <c r="BM62" s="228">
        <f>IFERROR(VLOOKUP($B62-IF(CompareVer="LY",1,0) &amp; $C62 &amp;BM$4,tblForecast,BM$2,FALSE),0)</f>
        <v>-36</v>
      </c>
      <c r="BN62" s="234">
        <f>IFERROR(VLOOKUP($B62 &amp; $C62&amp;IF($A62="a",BO$4,BN$4),tblForecast,BN$2,FALSE),0)</f>
        <v>0</v>
      </c>
      <c r="BO62" s="228">
        <f>IFERROR(VLOOKUP($B62-IF(CompareVer="LY",1,0) &amp; $C62 &amp;BO$4,tblForecast,BO$2,FALSE),0)</f>
        <v>387</v>
      </c>
      <c r="BP62" s="234">
        <f>IFERROR(VLOOKUP($B62 &amp; $C62&amp;IF($A62="a",BQ$4,BP$4),tblForecast,BP$2,FALSE),0)</f>
        <v>0</v>
      </c>
      <c r="BQ62" s="228">
        <f>IFERROR(VLOOKUP($B62-IF(CompareVer="LY",1,0) &amp; $C62 &amp;BQ$4,tblForecast,BQ$2,FALSE),0)</f>
        <v>3267</v>
      </c>
      <c r="BR62" s="227">
        <f t="shared" si="43"/>
        <v>0</v>
      </c>
      <c r="BS62" s="231">
        <f t="shared" si="22"/>
        <v>-2880</v>
      </c>
      <c r="BT62" s="234">
        <f t="shared" ref="BT62:BU65" si="499">IFERROR(VLOOKUP($B62 &amp; $C62&amp;BT$4,tblForecast,BT$2,FALSE),0)</f>
        <v>0</v>
      </c>
      <c r="BU62" s="231">
        <f t="shared" si="499"/>
        <v>0</v>
      </c>
      <c r="BV62" s="231">
        <f>IF($A62="a",IFERROR(VLOOKUP($B62 &amp; $C62&amp;BV$4,tblForecast,BV$2,FALSE),0),BT62+BU62)</f>
        <v>0</v>
      </c>
      <c r="BW62" s="231">
        <f t="shared" ref="BW62:BX65" si="500">IFERROR(VLOOKUP($B62 &amp; $C62&amp;BW$4,tblForecast,BW$2,FALSE),0)</f>
        <v>0</v>
      </c>
      <c r="BX62" s="231">
        <f t="shared" si="500"/>
        <v>0</v>
      </c>
      <c r="BY62" s="193">
        <f>IFERROR(VLOOKUP($B62-IF(CompareVer="LY",1,0) &amp; $C62 &amp;BY$4,tblForecast,BY$2,FALSE),0)</f>
        <v>0</v>
      </c>
      <c r="BZ62" s="194">
        <f t="shared" si="25"/>
        <v>0</v>
      </c>
      <c r="CA62" s="337">
        <f t="shared" ref="CA62:CB65" si="501">IFERROR(VLOOKUP($B62 &amp; $C62&amp;CA$4,tblForecast,CA$2,FALSE),0)</f>
        <v>0</v>
      </c>
      <c r="CB62" s="46">
        <f t="shared" si="501"/>
        <v>0</v>
      </c>
      <c r="CC62" s="46">
        <f>IF($A62="a",IFERROR(VLOOKUP($B62 &amp; $C62&amp;CC$4,tblForecast,CC$2,FALSE),0),CA62+CB62)</f>
        <v>0</v>
      </c>
      <c r="CD62" s="46">
        <f t="shared" ref="CD62:CE65" si="502">IFERROR(VLOOKUP($B62 &amp; $C62&amp;CD$4,tblForecast,CD$2,FALSE),0)</f>
        <v>0</v>
      </c>
      <c r="CE62" s="46">
        <f t="shared" si="502"/>
        <v>0</v>
      </c>
      <c r="CF62" s="46">
        <f>IFERROR(VLOOKUP($B62-IF(CompareVer="LY",1,0) &amp; $C62 &amp;CF$4,tblForecast,CF$2,FALSE),0)</f>
        <v>0</v>
      </c>
      <c r="CG62" s="194">
        <f t="shared" si="28"/>
        <v>0</v>
      </c>
      <c r="CH62" s="337">
        <f t="shared" ref="CH62:CI65" si="503">IFERROR(VLOOKUP($B62 &amp; $C62&amp;CH$4,tblForecast,CH$2,FALSE),0)</f>
        <v>0</v>
      </c>
      <c r="CI62" s="46">
        <f t="shared" si="503"/>
        <v>0</v>
      </c>
      <c r="CJ62" s="46">
        <f>IF($A62="a",IFERROR(VLOOKUP($B62 &amp; $C62&amp;CJ$4,tblForecast,CJ$2,FALSE),0),CH62+CI62)</f>
        <v>0</v>
      </c>
      <c r="CK62" s="46">
        <f t="shared" ref="CK62:CL65" si="504">IFERROR(VLOOKUP($B62 &amp; $C62&amp;CK$4,tblForecast,CK$2,FALSE),0)</f>
        <v>0</v>
      </c>
      <c r="CL62" s="46">
        <f t="shared" si="504"/>
        <v>0</v>
      </c>
      <c r="CM62" s="46">
        <f>IFERROR(VLOOKUP($B62-IF(CompareVer="LY",1,0) &amp; $C62 &amp;CM$4,tblForecast,CM$2,FALSE),0)</f>
        <v>0</v>
      </c>
      <c r="CN62" s="194">
        <f t="shared" si="31"/>
        <v>0</v>
      </c>
      <c r="CO62" s="178">
        <f t="shared" si="46"/>
        <v>0</v>
      </c>
      <c r="CP62" s="223">
        <f t="shared" si="46"/>
        <v>0</v>
      </c>
      <c r="CQ62" s="194">
        <f t="shared" si="33"/>
        <v>0</v>
      </c>
      <c r="CR62" s="178">
        <f t="shared" si="44"/>
        <v>0</v>
      </c>
      <c r="CS62" s="223">
        <f t="shared" si="34"/>
        <v>0</v>
      </c>
      <c r="CT62" s="194">
        <f t="shared" si="47"/>
        <v>0</v>
      </c>
      <c r="CU62" s="44"/>
      <c r="CW62" s="102">
        <f>IFERROR(VLOOKUP($B62 &amp; $C62&amp;CompareVer,tblForecast,CW$2,FALSE),0)</f>
        <v>0</v>
      </c>
      <c r="CX62" s="48">
        <f>IFERROR(VLOOKUP($B62-IF(CompareVer="LY",1,0) &amp; $C62 &amp;CX$4,tblForecast,CX$2,FALSE),0)</f>
        <v>27929</v>
      </c>
      <c r="CY62" s="47">
        <f t="shared" si="36"/>
        <v>-1</v>
      </c>
      <c r="CZ62" s="278">
        <f>IFERROR(VLOOKUP(Brand&amp;Channel&amp;Country&amp;$C62,tblDiscount,6,FALSE),0)</f>
        <v>0.8</v>
      </c>
      <c r="DA62" s="279">
        <f>(1-CZ62)*DB62</f>
        <v>5.0039999999999987</v>
      </c>
      <c r="DB62" s="279">
        <f>IFERROR(VLOOKUP(Brand&amp;Country &amp; Channel &amp;FC,tblFCSettings,8,FALSE),0)</f>
        <v>25.02</v>
      </c>
      <c r="DC62" s="280">
        <f>IFERROR(VLOOKUP(Brand&amp;Country &amp; Channel &amp;FC,tblFCSettings,9,FALSE),0)</f>
        <v>4.16</v>
      </c>
    </row>
    <row r="63" spans="2:107" x14ac:dyDescent="0.25">
      <c r="B63" s="44">
        <v>2018</v>
      </c>
      <c r="C63" s="88">
        <v>41</v>
      </c>
      <c r="D63" s="51">
        <f t="shared" ref="D63:D65" si="505">G63*H63</f>
        <v>-5788263.1837130003</v>
      </c>
      <c r="E63" s="202">
        <f t="shared" ref="E63:E65" si="506">IFERROR(D63*F63,0)</f>
        <v>-4185100.4536220008</v>
      </c>
      <c r="F63" s="182">
        <f t="shared" si="45"/>
        <v>0.7230321636718291</v>
      </c>
      <c r="G63" s="176">
        <f t="shared" si="486"/>
        <v>-214817</v>
      </c>
      <c r="H63" s="203">
        <f t="shared" si="486"/>
        <v>26.945088999999999</v>
      </c>
      <c r="I63" s="203">
        <f t="shared" si="486"/>
        <v>7.462923</v>
      </c>
      <c r="J63" s="176">
        <f>IFERROR(VLOOKUP($B63 &amp; $C63&amp;J$4&amp;$A63,tblForecast,J$2,FALSE),0)+IFERROR(VLOOKUP($B63 &amp; $C63 &amp; J$4 &amp; $A63,tblForecast,J$2+1,FALSE),0)</f>
        <v>554781</v>
      </c>
      <c r="K63" s="300">
        <f>IFERROR(VLOOKUP($B63 &amp; $C63&amp;K$4&amp;$A63,tblForecast,K$2,FALSE),0)+IFERROR(VLOOKUP($B63 &amp; $C63&amp;K$4&amp;$A63,tblForecast,K$2+1,FALSE),0)</f>
        <v>0</v>
      </c>
      <c r="L63" s="90">
        <f t="shared" si="487"/>
        <v>8625</v>
      </c>
      <c r="M63" s="90">
        <f t="shared" si="487"/>
        <v>8625</v>
      </c>
      <c r="N63" s="46">
        <f t="shared" si="487"/>
        <v>0</v>
      </c>
      <c r="O63" s="46">
        <f t="shared" si="487"/>
        <v>3942.9563999999996</v>
      </c>
      <c r="P63" s="47">
        <f t="shared" si="39"/>
        <v>1.1874449334514581</v>
      </c>
      <c r="Q63" s="242">
        <f t="shared" ref="Q63:Q65" si="507">ROUND(IF(BA62-(Q62*IF(W63=0,X63,W63))&lt;0,BA62,Q62*IF(W63=0,X63,W63)),0)</f>
        <v>1725</v>
      </c>
      <c r="R63" s="240">
        <f t="shared" si="488"/>
        <v>1725</v>
      </c>
      <c r="S63" s="240">
        <f t="shared" si="488"/>
        <v>0</v>
      </c>
      <c r="T63" s="240">
        <f>IFERROR(VLOOKUP($B63-IF(CompareVer="LY",1,0) &amp; $C63 &amp;T$4,tblForecast,T$2,FALSE),0)</f>
        <v>1031</v>
      </c>
      <c r="U63" s="91">
        <f t="shared" si="7"/>
        <v>0.6731328806983512</v>
      </c>
      <c r="V63" s="249">
        <f t="shared" ref="V63:V65" si="508">IFERROR(IF(Q62&lt;&gt;0,Q63/Q62,0),0)</f>
        <v>0.6</v>
      </c>
      <c r="W63" s="334">
        <f t="shared" ref="W63:W65" si="509">IFERROR(IF(R62&lt;&gt;0,R63/R62,0),0)</f>
        <v>0.6</v>
      </c>
      <c r="X63" s="250">
        <f>IFERROR(IF(T62&lt;&gt;0,T63/T62,0),0)</f>
        <v>1.0019436345966959</v>
      </c>
      <c r="Y63" s="51">
        <f t="shared" si="489"/>
        <v>1448.9999999999993</v>
      </c>
      <c r="Z63" s="46">
        <f t="shared" si="489"/>
        <v>1448.9999999999993</v>
      </c>
      <c r="AA63" s="46">
        <f t="shared" si="489"/>
        <v>0</v>
      </c>
      <c r="AB63" s="46">
        <f t="shared" si="489"/>
        <v>-8.0417999999998138</v>
      </c>
      <c r="AC63" s="91">
        <f t="shared" si="9"/>
        <v>-181.18354099828807</v>
      </c>
      <c r="AD63" s="75">
        <f>IF(AM63&lt;&gt;0,1-AR63/AM63,0)</f>
        <v>0.16799999999999993</v>
      </c>
      <c r="AE63" s="93">
        <f t="shared" si="490"/>
        <v>0.16799999999999993</v>
      </c>
      <c r="AF63" s="93">
        <f t="shared" si="490"/>
        <v>0</v>
      </c>
      <c r="AG63" s="76">
        <f t="shared" si="490"/>
        <v>-2.0395356134295106E-3</v>
      </c>
      <c r="AH63" s="73">
        <f>IF(IFERROR(VLOOKUP($B63 &amp; $C63&amp;AH$4,tblForecast,AH$2,FALSE),0)=0,DB63,IFERROR(VLOOKUP($B63 &amp; $C63&amp;AH$4,tblForecast,AH$2,FALSE),0))</f>
        <v>25.02</v>
      </c>
      <c r="AI63" s="94">
        <f t="shared" si="491"/>
        <v>25.02</v>
      </c>
      <c r="AJ63" s="94">
        <f t="shared" si="491"/>
        <v>0</v>
      </c>
      <c r="AK63" s="49">
        <f>IFERROR(VLOOKUP($B63-IF(CompareVer="LY",1,0) &amp; $C63 &amp;AK$4,tblForecast,AK$2,FALSE),0)</f>
        <v>23.5763</v>
      </c>
      <c r="AL63" s="47">
        <f t="shared" si="492"/>
        <v>6.1235223508353753E-2</v>
      </c>
      <c r="AM63" s="73">
        <f>IF(IFERROR(VLOOKUP($B63 &amp; $C63&amp;AM$4,tblForecast,AM$2,FALSE),0)=0,DA63,IFERROR(VLOOKUP($B63 &amp; $C63&amp;AM$4,tblForecast,AM$2,FALSE),0))</f>
        <v>5</v>
      </c>
      <c r="AN63" s="94">
        <f t="shared" si="493"/>
        <v>5</v>
      </c>
      <c r="AO63" s="94">
        <f t="shared" si="493"/>
        <v>0</v>
      </c>
      <c r="AP63" s="49">
        <f>IFERROR(VLOOKUP($B63-IF(CompareVer="LY",1,0) &amp; $C63 &amp;AP$4,tblForecast,AP$2,FALSE),0)</f>
        <v>3.8243999999999998</v>
      </c>
      <c r="AQ63" s="47">
        <f t="shared" si="14"/>
        <v>0.3073946239933063</v>
      </c>
      <c r="AR63" s="73">
        <f>IF(IFERROR(VLOOKUP($B63 &amp; $C63&amp;AR$4,tblForecast,AR$2,FALSE),0)=0,DC63,IFERROR(VLOOKUP($B63 &amp; $C63&amp;AR$4,tblForecast,AR$2,FALSE),0))</f>
        <v>4.16</v>
      </c>
      <c r="AS63" s="94">
        <f t="shared" si="494"/>
        <v>4.16</v>
      </c>
      <c r="AT63" s="94">
        <f t="shared" si="494"/>
        <v>0</v>
      </c>
      <c r="AU63" s="49">
        <f>IFERROR(VLOOKUP($B63-IF(CompareVer="LY",1,0) &amp; $C63 &amp;AU$4,tblForecast,AU$2,FALSE),0)</f>
        <v>3.8321999999999998</v>
      </c>
      <c r="AV63" s="47">
        <f t="shared" si="16"/>
        <v>8.5538333072386674E-2</v>
      </c>
      <c r="AW63" s="191">
        <f t="shared" si="495"/>
        <v>0.8001598721023182</v>
      </c>
      <c r="AX63" s="192">
        <f t="shared" si="495"/>
        <v>0.8001598721023182</v>
      </c>
      <c r="AY63" s="192">
        <f t="shared" si="495"/>
        <v>0</v>
      </c>
      <c r="AZ63" s="192">
        <f t="shared" si="495"/>
        <v>0.83778625144742813</v>
      </c>
      <c r="BA63" s="235">
        <f>IF(BA62+BV63+BL63+BR63-Q63&lt;0,0,BA62+BV63+BL63+BR63-Q63)</f>
        <v>143913</v>
      </c>
      <c r="BB63" s="231">
        <f>IF(IFERROR(VLOOKUP($B63 &amp; $C63&amp;BB$4,tblForecast,BB$2,FALSE),0)=0,BA63,IFERROR(VLOOKUP($B63 &amp; $C63&amp;BB$4,tblForecast,BB$2,FALSE),0))</f>
        <v>143913</v>
      </c>
      <c r="BC63" s="231">
        <f>IFERROR(VLOOKUP($B63-IF(CompareVer="LY",1,0) &amp; $C63 &amp;BC$4,tblForecast,BC$2,FALSE),0)</f>
        <v>0</v>
      </c>
      <c r="BD63" s="231">
        <f t="shared" si="496"/>
        <v>29030</v>
      </c>
      <c r="BE63" s="194">
        <f t="shared" si="19"/>
        <v>3.9573889080261795</v>
      </c>
      <c r="BF63" s="231">
        <f>IFERROR(VLOOKUP($B63 &amp; $C63&amp;IF($A63="a",BG$4,BF$4),tblForecast,BF$2,FALSE),0)</f>
        <v>0</v>
      </c>
      <c r="BG63" s="228">
        <f>IFERROR(VLOOKUP($B63-IF(CompareVer="LY",1,0) &amp; $C63 &amp;BG$4,tblForecast,BG$2,FALSE),0)</f>
        <v>1142</v>
      </c>
      <c r="BH63" s="179">
        <f>IF(Q63&lt;&gt;0,BA63/Q63,0)</f>
        <v>83.427826086956529</v>
      </c>
      <c r="BI63" s="183">
        <f>IF(T63&lt;&gt;0,BD63/T63,0)</f>
        <v>28.157129000969931</v>
      </c>
      <c r="BJ63" s="195">
        <f t="shared" si="497"/>
        <v>1.1986408455108295E-2</v>
      </c>
      <c r="BK63" s="50">
        <f t="shared" si="498"/>
        <v>3.5514984498794352E-2</v>
      </c>
      <c r="BL63" s="234">
        <f>IFERROR(VLOOKUP($B63 &amp; $C63&amp;IF($A63="a",BM$4,BL$4),tblForecast,BL$2,FALSE),0)</f>
        <v>0</v>
      </c>
      <c r="BM63" s="228">
        <f>IFERROR(VLOOKUP($B63-IF(CompareVer="LY",1,0) &amp; $C63 &amp;BM$4,tblForecast,BM$2,FALSE),0)</f>
        <v>-42</v>
      </c>
      <c r="BN63" s="234">
        <f>IFERROR(VLOOKUP($B63 &amp; $C63&amp;IF($A63="a",BO$4,BN$4),tblForecast,BN$2,FALSE),0)</f>
        <v>0</v>
      </c>
      <c r="BO63" s="228">
        <f>IFERROR(VLOOKUP($B63-IF(CompareVer="LY",1,0) &amp; $C63 &amp;BO$4,tblForecast,BO$2,FALSE),0)</f>
        <v>1236</v>
      </c>
      <c r="BP63" s="234">
        <f>IFERROR(VLOOKUP($B63 &amp; $C63&amp;IF($A63="a",BQ$4,BP$4),tblForecast,BP$2,FALSE),0)</f>
        <v>0</v>
      </c>
      <c r="BQ63" s="228">
        <f>IFERROR(VLOOKUP($B63-IF(CompareVer="LY",1,0) &amp; $C63 &amp;BQ$4,tblForecast,BQ$2,FALSE),0)</f>
        <v>239</v>
      </c>
      <c r="BR63" s="227">
        <f t="shared" si="43"/>
        <v>0</v>
      </c>
      <c r="BS63" s="231">
        <f t="shared" si="22"/>
        <v>997</v>
      </c>
      <c r="BT63" s="234">
        <f t="shared" si="499"/>
        <v>0</v>
      </c>
      <c r="BU63" s="231">
        <f t="shared" si="499"/>
        <v>0</v>
      </c>
      <c r="BV63" s="231">
        <f>IF($A63="a",IFERROR(VLOOKUP($B63 &amp; $C63&amp;BV$4,tblForecast,BV$2,FALSE),0),BT63+BU63)</f>
        <v>0</v>
      </c>
      <c r="BW63" s="231">
        <f t="shared" si="500"/>
        <v>0</v>
      </c>
      <c r="BX63" s="231">
        <f t="shared" si="500"/>
        <v>0</v>
      </c>
      <c r="BY63" s="193">
        <f>IFERROR(VLOOKUP($B63-IF(CompareVer="LY",1,0) &amp; $C63 &amp;BY$4,tblForecast,BY$2,FALSE),0)</f>
        <v>0</v>
      </c>
      <c r="BZ63" s="194">
        <f t="shared" si="25"/>
        <v>0</v>
      </c>
      <c r="CA63" s="337">
        <f t="shared" si="501"/>
        <v>0</v>
      </c>
      <c r="CB63" s="46">
        <f t="shared" si="501"/>
        <v>0</v>
      </c>
      <c r="CC63" s="46">
        <f>IF($A63="a",IFERROR(VLOOKUP($B63 &amp; $C63&amp;CC$4,tblForecast,CC$2,FALSE),0),CA63+CB63)</f>
        <v>0</v>
      </c>
      <c r="CD63" s="46">
        <f t="shared" si="502"/>
        <v>0</v>
      </c>
      <c r="CE63" s="46">
        <f t="shared" si="502"/>
        <v>0</v>
      </c>
      <c r="CF63" s="46">
        <f>IFERROR(VLOOKUP($B63-IF(CompareVer="LY",1,0) &amp; $C63 &amp;CF$4,tblForecast,CF$2,FALSE),0)</f>
        <v>0</v>
      </c>
      <c r="CG63" s="194">
        <f t="shared" si="28"/>
        <v>0</v>
      </c>
      <c r="CH63" s="337">
        <f t="shared" si="503"/>
        <v>0</v>
      </c>
      <c r="CI63" s="46">
        <f t="shared" si="503"/>
        <v>0</v>
      </c>
      <c r="CJ63" s="46">
        <f>IF($A63="a",IFERROR(VLOOKUP($B63 &amp; $C63&amp;CJ$4,tblForecast,CJ$2,FALSE),0),CH63+CI63)</f>
        <v>0</v>
      </c>
      <c r="CK63" s="46">
        <f t="shared" si="504"/>
        <v>0</v>
      </c>
      <c r="CL63" s="46">
        <f t="shared" si="504"/>
        <v>0</v>
      </c>
      <c r="CM63" s="46">
        <f>IFERROR(VLOOKUP($B63-IF(CompareVer="LY",1,0) &amp; $C63 &amp;CM$4,tblForecast,CM$2,FALSE),0)</f>
        <v>0</v>
      </c>
      <c r="CN63" s="194">
        <f t="shared" si="31"/>
        <v>0</v>
      </c>
      <c r="CO63" s="178">
        <f t="shared" si="46"/>
        <v>0</v>
      </c>
      <c r="CP63" s="223">
        <f t="shared" si="46"/>
        <v>0</v>
      </c>
      <c r="CQ63" s="194">
        <f t="shared" si="33"/>
        <v>0</v>
      </c>
      <c r="CR63" s="178">
        <f t="shared" si="44"/>
        <v>0</v>
      </c>
      <c r="CS63" s="223">
        <f t="shared" si="34"/>
        <v>0</v>
      </c>
      <c r="CT63" s="194">
        <f t="shared" si="47"/>
        <v>0</v>
      </c>
      <c r="CU63" s="44"/>
      <c r="CW63" s="102">
        <f>IFERROR(VLOOKUP($B63 &amp; $C63&amp;CompareVer,tblForecast,CW$2,FALSE),0)</f>
        <v>0</v>
      </c>
      <c r="CX63" s="48">
        <f>IFERROR(VLOOKUP($B63-IF(CompareVer="LY",1,0) &amp; $C63 &amp;CX$4,tblForecast,CX$2,FALSE),0)</f>
        <v>27888</v>
      </c>
      <c r="CY63" s="47">
        <f t="shared" si="36"/>
        <v>-1</v>
      </c>
      <c r="CZ63" s="278">
        <f>IFERROR(VLOOKUP(Brand&amp;Channel&amp;Country&amp;$C63,tblDiscount,6,FALSE),0)</f>
        <v>0.8</v>
      </c>
      <c r="DA63" s="279">
        <f>(1-CZ63)*DB63</f>
        <v>5.0039999999999987</v>
      </c>
      <c r="DB63" s="279">
        <f>IFERROR(VLOOKUP(Brand&amp;Country &amp; Channel &amp;FC,tblFCSettings,8,FALSE),0)</f>
        <v>25.02</v>
      </c>
      <c r="DC63" s="280">
        <f>IFERROR(VLOOKUP(Brand&amp;Country &amp; Channel &amp;FC,tblFCSettings,9,FALSE),0)</f>
        <v>4.16</v>
      </c>
    </row>
    <row r="64" spans="2:107" x14ac:dyDescent="0.25">
      <c r="B64" s="44">
        <v>2018</v>
      </c>
      <c r="C64" s="88">
        <v>42</v>
      </c>
      <c r="D64" s="51">
        <f t="shared" si="505"/>
        <v>-5130189.6285639992</v>
      </c>
      <c r="E64" s="202">
        <f t="shared" si="506"/>
        <v>-3507936.4535599994</v>
      </c>
      <c r="F64" s="182">
        <f t="shared" si="45"/>
        <v>0.68378299976055901</v>
      </c>
      <c r="G64" s="176">
        <f t="shared" si="486"/>
        <v>-127996</v>
      </c>
      <c r="H64" s="203">
        <f t="shared" si="486"/>
        <v>40.080858999999997</v>
      </c>
      <c r="I64" s="203">
        <f t="shared" si="486"/>
        <v>12.674249</v>
      </c>
      <c r="J64" s="176">
        <f>IFERROR(VLOOKUP($B64 &amp; $C64&amp;J$4&amp;$A64,tblForecast,J$2,FALSE),0)+IFERROR(VLOOKUP($B64 &amp; $C64 &amp; J$4 &amp; $A64,tblForecast,J$2+1,FALSE),0)</f>
        <v>466479</v>
      </c>
      <c r="K64" s="300">
        <f>IFERROR(VLOOKUP($B64 &amp; $C64&amp;K$4&amp;$A64,tblForecast,K$2,FALSE),0)+IFERROR(VLOOKUP($B64 &amp; $C64&amp;K$4&amp;$A64,tblForecast,K$2+1,FALSE),0)</f>
        <v>0</v>
      </c>
      <c r="L64" s="90">
        <f t="shared" si="487"/>
        <v>44110</v>
      </c>
      <c r="M64" s="90">
        <f t="shared" si="487"/>
        <v>44110</v>
      </c>
      <c r="N64" s="46">
        <f t="shared" si="487"/>
        <v>0</v>
      </c>
      <c r="O64" s="46">
        <f t="shared" si="487"/>
        <v>7189.9455000000007</v>
      </c>
      <c r="P64" s="47">
        <f t="shared" si="39"/>
        <v>5.134956099458611</v>
      </c>
      <c r="Q64" s="242">
        <f t="shared" si="507"/>
        <v>8822</v>
      </c>
      <c r="R64" s="240">
        <f t="shared" si="488"/>
        <v>8822</v>
      </c>
      <c r="S64" s="240">
        <f t="shared" si="488"/>
        <v>0</v>
      </c>
      <c r="T64" s="240">
        <f>IFERROR(VLOOKUP($B64-IF(CompareVer="LY",1,0) &amp; $C64 &amp;T$4,tblForecast,T$2,FALSE),0)</f>
        <v>1621</v>
      </c>
      <c r="U64" s="91">
        <f t="shared" si="7"/>
        <v>4.4423195558297346</v>
      </c>
      <c r="V64" s="249">
        <f t="shared" si="508"/>
        <v>5.1142028985507251</v>
      </c>
      <c r="W64" s="334">
        <f t="shared" si="509"/>
        <v>5.1142028985507251</v>
      </c>
      <c r="X64" s="250">
        <f>IFERROR(IF(T63&lt;&gt;0,T64/T63,0),0)</f>
        <v>1.5722599418040737</v>
      </c>
      <c r="Y64" s="51">
        <f t="shared" si="489"/>
        <v>7410.4799999999968</v>
      </c>
      <c r="Z64" s="46">
        <f t="shared" si="489"/>
        <v>7410.4799999999968</v>
      </c>
      <c r="AA64" s="46">
        <f t="shared" si="489"/>
        <v>0</v>
      </c>
      <c r="AB64" s="46">
        <f t="shared" si="489"/>
        <v>1038.8989000000006</v>
      </c>
      <c r="AC64" s="91">
        <f t="shared" si="9"/>
        <v>6.1330136166281362</v>
      </c>
      <c r="AD64" s="75">
        <f>IF(AM64&lt;&gt;0,1-AR64/AM64,0)</f>
        <v>0.16799999999999993</v>
      </c>
      <c r="AE64" s="93">
        <f t="shared" si="490"/>
        <v>0.16799999999999993</v>
      </c>
      <c r="AF64" s="93">
        <f t="shared" si="490"/>
        <v>0</v>
      </c>
      <c r="AG64" s="76">
        <f t="shared" si="490"/>
        <v>0.14449329275166278</v>
      </c>
      <c r="AH64" s="73">
        <f>IF(IFERROR(VLOOKUP($B64 &amp; $C64&amp;AH$4,tblForecast,AH$2,FALSE),0)=0,DB64,IFERROR(VLOOKUP($B64 &amp; $C64&amp;AH$4,tblForecast,AH$2,FALSE),0))</f>
        <v>25.02</v>
      </c>
      <c r="AI64" s="94">
        <f t="shared" si="491"/>
        <v>25.02</v>
      </c>
      <c r="AJ64" s="94">
        <f t="shared" si="491"/>
        <v>0</v>
      </c>
      <c r="AK64" s="49">
        <f>IFERROR(VLOOKUP($B64-IF(CompareVer="LY",1,0) &amp; $C64 &amp;AK$4,tblForecast,AK$2,FALSE),0)</f>
        <v>23.2319</v>
      </c>
      <c r="AL64" s="47">
        <f t="shared" si="492"/>
        <v>7.696744562433544E-2</v>
      </c>
      <c r="AM64" s="73">
        <f>IF(IFERROR(VLOOKUP($B64 &amp; $C64&amp;AM$4,tblForecast,AM$2,FALSE),0)=0,DA64,IFERROR(VLOOKUP($B64 &amp; $C64&amp;AM$4,tblForecast,AM$2,FALSE),0))</f>
        <v>5</v>
      </c>
      <c r="AN64" s="94">
        <f t="shared" si="493"/>
        <v>5</v>
      </c>
      <c r="AO64" s="94">
        <f t="shared" si="493"/>
        <v>0</v>
      </c>
      <c r="AP64" s="49">
        <f>IFERROR(VLOOKUP($B64-IF(CompareVer="LY",1,0) &amp; $C64 &amp;AP$4,tblForecast,AP$2,FALSE),0)</f>
        <v>4.4355000000000002</v>
      </c>
      <c r="AQ64" s="47">
        <f t="shared" si="14"/>
        <v>0.12726862811407957</v>
      </c>
      <c r="AR64" s="73">
        <f>IF(IFERROR(VLOOKUP($B64 &amp; $C64&amp;AR$4,tblForecast,AR$2,FALSE),0)=0,DC64,IFERROR(VLOOKUP($B64 &amp; $C64&amp;AR$4,tblForecast,AR$2,FALSE),0))</f>
        <v>4.16</v>
      </c>
      <c r="AS64" s="94">
        <f t="shared" si="494"/>
        <v>4.16</v>
      </c>
      <c r="AT64" s="94">
        <f t="shared" si="494"/>
        <v>0</v>
      </c>
      <c r="AU64" s="49">
        <f>IFERROR(VLOOKUP($B64-IF(CompareVer="LY",1,0) &amp; $C64 &amp;AU$4,tblForecast,AU$2,FALSE),0)</f>
        <v>3.7946</v>
      </c>
      <c r="AV64" s="47">
        <f t="shared" si="16"/>
        <v>9.6294734622885292E-2</v>
      </c>
      <c r="AW64" s="191">
        <f t="shared" si="495"/>
        <v>0.8001598721023182</v>
      </c>
      <c r="AX64" s="192">
        <f t="shared" si="495"/>
        <v>0.8001598721023182</v>
      </c>
      <c r="AY64" s="192">
        <f t="shared" si="495"/>
        <v>0</v>
      </c>
      <c r="AZ64" s="192">
        <f t="shared" si="495"/>
        <v>0.80907717405808388</v>
      </c>
      <c r="BA64" s="235">
        <f>IF(BA63+BV64+BL64+BR64-Q64&lt;0,0,BA63+BV64+BL64+BR64-Q64)</f>
        <v>135091</v>
      </c>
      <c r="BB64" s="231">
        <f>IF(IFERROR(VLOOKUP($B64 &amp; $C64&amp;BB$4,tblForecast,BB$2,FALSE),0)=0,BA64,IFERROR(VLOOKUP($B64 &amp; $C64&amp;BB$4,tblForecast,BB$2,FALSE),0))</f>
        <v>135091</v>
      </c>
      <c r="BC64" s="231">
        <f>IFERROR(VLOOKUP($B64-IF(CompareVer="LY",1,0) &amp; $C64 &amp;BC$4,tblForecast,BC$2,FALSE),0)</f>
        <v>0</v>
      </c>
      <c r="BD64" s="231">
        <f t="shared" si="496"/>
        <v>27369</v>
      </c>
      <c r="BE64" s="194">
        <f t="shared" si="19"/>
        <v>3.9359128941503156</v>
      </c>
      <c r="BF64" s="231">
        <f>IFERROR(VLOOKUP($B64 &amp; $C64&amp;IF($A64="a",BG$4,BF$4),tblForecast,BF$2,FALSE),0)</f>
        <v>0</v>
      </c>
      <c r="BG64" s="228">
        <f>IFERROR(VLOOKUP($B64-IF(CompareVer="LY",1,0) &amp; $C64 &amp;BG$4,tblForecast,BG$2,FALSE),0)</f>
        <v>1142</v>
      </c>
      <c r="BH64" s="179">
        <f>IF(Q64&lt;&gt;0,BA64/Q64,0)</f>
        <v>15.312967581047381</v>
      </c>
      <c r="BI64" s="183">
        <f>IF(T64&lt;&gt;0,BD64/T64,0)</f>
        <v>16.884022208513265</v>
      </c>
      <c r="BJ64" s="195">
        <f t="shared" si="497"/>
        <v>6.5304128328312033E-2</v>
      </c>
      <c r="BK64" s="50">
        <f t="shared" si="498"/>
        <v>5.9227593262450216E-2</v>
      </c>
      <c r="BL64" s="234">
        <f>IFERROR(VLOOKUP($B64 &amp; $C64&amp;IF($A64="a",BM$4,BL$4),tblForecast,BL$2,FALSE),0)</f>
        <v>0</v>
      </c>
      <c r="BM64" s="228">
        <f>IFERROR(VLOOKUP($B64-IF(CompareVer="LY",1,0) &amp; $C64 &amp;BM$4,tblForecast,BM$2,FALSE),0)</f>
        <v>-39</v>
      </c>
      <c r="BN64" s="234">
        <f>IFERROR(VLOOKUP($B64 &amp; $C64&amp;IF($A64="a",BO$4,BN$4),tblForecast,BN$2,FALSE),0)</f>
        <v>0</v>
      </c>
      <c r="BO64" s="228">
        <f>IFERROR(VLOOKUP($B64-IF(CompareVer="LY",1,0) &amp; $C64 &amp;BO$4,tblForecast,BO$2,FALSE),0)</f>
        <v>0</v>
      </c>
      <c r="BP64" s="234">
        <f>IFERROR(VLOOKUP($B64 &amp; $C64&amp;IF($A64="a",BQ$4,BP$4),tblForecast,BP$2,FALSE),0)</f>
        <v>0</v>
      </c>
      <c r="BQ64" s="228">
        <f>IFERROR(VLOOKUP($B64-IF(CompareVer="LY",1,0) &amp; $C64 &amp;BQ$4,tblForecast,BQ$2,FALSE),0)</f>
        <v>1</v>
      </c>
      <c r="BR64" s="227">
        <f t="shared" si="43"/>
        <v>0</v>
      </c>
      <c r="BS64" s="231">
        <f t="shared" si="22"/>
        <v>-1</v>
      </c>
      <c r="BT64" s="234">
        <f t="shared" si="499"/>
        <v>0</v>
      </c>
      <c r="BU64" s="231">
        <f t="shared" si="499"/>
        <v>0</v>
      </c>
      <c r="BV64" s="231">
        <f>IF($A64="a",IFERROR(VLOOKUP($B64 &amp; $C64&amp;BV$4,tblForecast,BV$2,FALSE),0),BT64+BU64)</f>
        <v>0</v>
      </c>
      <c r="BW64" s="231">
        <f t="shared" si="500"/>
        <v>0</v>
      </c>
      <c r="BX64" s="231">
        <f t="shared" si="500"/>
        <v>0</v>
      </c>
      <c r="BY64" s="193">
        <f>IFERROR(VLOOKUP($B64-IF(CompareVer="LY",1,0) &amp; $C64 &amp;BY$4,tblForecast,BY$2,FALSE),0)</f>
        <v>0</v>
      </c>
      <c r="BZ64" s="194">
        <f t="shared" si="25"/>
        <v>0</v>
      </c>
      <c r="CA64" s="337">
        <f t="shared" si="501"/>
        <v>0</v>
      </c>
      <c r="CB64" s="46">
        <f t="shared" si="501"/>
        <v>0</v>
      </c>
      <c r="CC64" s="46">
        <f>IF($A64="a",IFERROR(VLOOKUP($B64 &amp; $C64&amp;CC$4,tblForecast,CC$2,FALSE),0),CA64+CB64)</f>
        <v>0</v>
      </c>
      <c r="CD64" s="46">
        <f t="shared" si="502"/>
        <v>0</v>
      </c>
      <c r="CE64" s="46">
        <f t="shared" si="502"/>
        <v>0</v>
      </c>
      <c r="CF64" s="46">
        <f>IFERROR(VLOOKUP($B64-IF(CompareVer="LY",1,0) &amp; $C64 &amp;CF$4,tblForecast,CF$2,FALSE),0)</f>
        <v>0</v>
      </c>
      <c r="CG64" s="194">
        <f t="shared" si="28"/>
        <v>0</v>
      </c>
      <c r="CH64" s="337">
        <f t="shared" si="503"/>
        <v>0</v>
      </c>
      <c r="CI64" s="46">
        <f t="shared" si="503"/>
        <v>0</v>
      </c>
      <c r="CJ64" s="46">
        <f>IF($A64="a",IFERROR(VLOOKUP($B64 &amp; $C64&amp;CJ$4,tblForecast,CJ$2,FALSE),0),CH64+CI64)</f>
        <v>0</v>
      </c>
      <c r="CK64" s="46">
        <f t="shared" si="504"/>
        <v>0</v>
      </c>
      <c r="CL64" s="46">
        <f t="shared" si="504"/>
        <v>0</v>
      </c>
      <c r="CM64" s="46">
        <f>IFERROR(VLOOKUP($B64-IF(CompareVer="LY",1,0) &amp; $C64 &amp;CM$4,tblForecast,CM$2,FALSE),0)</f>
        <v>0</v>
      </c>
      <c r="CN64" s="194">
        <f t="shared" si="31"/>
        <v>0</v>
      </c>
      <c r="CO64" s="178">
        <f t="shared" si="46"/>
        <v>0</v>
      </c>
      <c r="CP64" s="223">
        <f t="shared" si="46"/>
        <v>0</v>
      </c>
      <c r="CQ64" s="194">
        <f t="shared" si="33"/>
        <v>0</v>
      </c>
      <c r="CR64" s="178">
        <f t="shared" si="44"/>
        <v>0</v>
      </c>
      <c r="CS64" s="223">
        <f t="shared" si="34"/>
        <v>0</v>
      </c>
      <c r="CT64" s="194">
        <f t="shared" si="47"/>
        <v>0</v>
      </c>
      <c r="CU64" s="44"/>
      <c r="CW64" s="102">
        <f>IFERROR(VLOOKUP($B64 &amp; $C64&amp;CompareVer,tblForecast,CW$2,FALSE),0)</f>
        <v>0</v>
      </c>
      <c r="CX64" s="48">
        <f>IFERROR(VLOOKUP($B64-IF(CompareVer="LY",1,0) &amp; $C64 &amp;CX$4,tblForecast,CX$2,FALSE),0)</f>
        <v>26227</v>
      </c>
      <c r="CY64" s="47">
        <f t="shared" si="36"/>
        <v>-1</v>
      </c>
      <c r="CZ64" s="278">
        <f>IFERROR(VLOOKUP(Brand&amp;Channel&amp;Country&amp;$C64,tblDiscount,6,FALSE),0)</f>
        <v>0.8</v>
      </c>
      <c r="DA64" s="279">
        <f>(1-CZ64)*DB64</f>
        <v>5.0039999999999987</v>
      </c>
      <c r="DB64" s="279">
        <f>IFERROR(VLOOKUP(Brand&amp;Country &amp; Channel &amp;FC,tblFCSettings,8,FALSE),0)</f>
        <v>25.02</v>
      </c>
      <c r="DC64" s="280">
        <f>IFERROR(VLOOKUP(Brand&amp;Country &amp; Channel &amp;FC,tblFCSettings,9,FALSE),0)</f>
        <v>4.16</v>
      </c>
    </row>
    <row r="65" spans="2:107" ht="16.5" thickBot="1" x14ac:dyDescent="0.3">
      <c r="B65" s="44">
        <v>2018</v>
      </c>
      <c r="C65" s="88">
        <v>43</v>
      </c>
      <c r="D65" s="51">
        <f t="shared" si="505"/>
        <v>-5304760.7046720004</v>
      </c>
      <c r="E65" s="202">
        <f t="shared" si="506"/>
        <v>-4298190.2845440004</v>
      </c>
      <c r="F65" s="182">
        <f t="shared" si="45"/>
        <v>0.81025149367407001</v>
      </c>
      <c r="G65" s="176">
        <f t="shared" si="486"/>
        <v>-170976</v>
      </c>
      <c r="H65" s="203">
        <f t="shared" si="486"/>
        <v>31.026347000000001</v>
      </c>
      <c r="I65" s="203">
        <f t="shared" si="486"/>
        <v>5.8872030000000004</v>
      </c>
      <c r="J65" s="176">
        <f>IFERROR(VLOOKUP($B65 &amp; $C65&amp;J$4&amp;$A65,tblForecast,J$2,FALSE),0)+IFERROR(VLOOKUP($B65 &amp; $C65 &amp; J$4 &amp; $A65,tblForecast,J$2+1,FALSE),0)</f>
        <v>418926</v>
      </c>
      <c r="K65" s="300">
        <f>IFERROR(VLOOKUP($B65 &amp; $C65&amp;K$4&amp;$A65,tblForecast,K$2,FALSE),0)+IFERROR(VLOOKUP($B65 &amp; $C65&amp;K$4&amp;$A65,tblForecast,K$2+1,FALSE),0)</f>
        <v>0</v>
      </c>
      <c r="L65" s="90">
        <f t="shared" si="487"/>
        <v>1805</v>
      </c>
      <c r="M65" s="90">
        <f t="shared" si="487"/>
        <v>1805</v>
      </c>
      <c r="N65" s="46">
        <f t="shared" si="487"/>
        <v>0</v>
      </c>
      <c r="O65" s="46">
        <f t="shared" si="487"/>
        <v>4630.9488000000001</v>
      </c>
      <c r="P65" s="47">
        <f t="shared" si="39"/>
        <v>-0.61023106107327296</v>
      </c>
      <c r="Q65" s="242">
        <f t="shared" si="507"/>
        <v>361</v>
      </c>
      <c r="R65" s="240">
        <f t="shared" si="488"/>
        <v>361</v>
      </c>
      <c r="S65" s="240">
        <f t="shared" si="488"/>
        <v>0</v>
      </c>
      <c r="T65" s="240">
        <f>IFERROR(VLOOKUP($B65-IF(CompareVer="LY",1,0) &amp; $C65 &amp;T$4,tblForecast,T$2,FALSE),0)</f>
        <v>1104</v>
      </c>
      <c r="U65" s="91">
        <f t="shared" si="7"/>
        <v>-0.67300724637681153</v>
      </c>
      <c r="V65" s="249">
        <f t="shared" si="508"/>
        <v>4.0920426207209253E-2</v>
      </c>
      <c r="W65" s="334">
        <f t="shared" si="509"/>
        <v>4.0920426207209253E-2</v>
      </c>
      <c r="X65" s="250">
        <f>IFERROR(IF(T64&lt;&gt;0,T65/T64,0),0)</f>
        <v>0.68106107341147437</v>
      </c>
      <c r="Y65" s="51">
        <f t="shared" si="489"/>
        <v>303.2399999999999</v>
      </c>
      <c r="Z65" s="46">
        <f t="shared" si="489"/>
        <v>303.2399999999999</v>
      </c>
      <c r="AA65" s="46">
        <f t="shared" si="489"/>
        <v>0</v>
      </c>
      <c r="AB65" s="46">
        <f t="shared" si="489"/>
        <v>630.93599999999969</v>
      </c>
      <c r="AC65" s="91">
        <f t="shared" si="9"/>
        <v>-0.51938072958271508</v>
      </c>
      <c r="AD65" s="75">
        <f>IF(AM65&lt;&gt;0,1-AR65/AM65,0)</f>
        <v>0.16799999999999993</v>
      </c>
      <c r="AE65" s="93">
        <f t="shared" si="490"/>
        <v>0.16799999999999993</v>
      </c>
      <c r="AF65" s="93">
        <f t="shared" si="490"/>
        <v>0</v>
      </c>
      <c r="AG65" s="76">
        <f t="shared" si="490"/>
        <v>0.13624335470951432</v>
      </c>
      <c r="AH65" s="73">
        <f>IF(IFERROR(VLOOKUP($B65 &amp; $C65&amp;AH$4,tblForecast,AH$2,FALSE),0)=0,DB65,IFERROR(VLOOKUP($B65 &amp; $C65&amp;AH$4,tblForecast,AH$2,FALSE),0))</f>
        <v>25.02</v>
      </c>
      <c r="AI65" s="94">
        <f t="shared" si="491"/>
        <v>25.02</v>
      </c>
      <c r="AJ65" s="94">
        <f t="shared" si="491"/>
        <v>0</v>
      </c>
      <c r="AK65" s="49">
        <f>IFERROR(VLOOKUP($B65-IF(CompareVer="LY",1,0) &amp; $C65 &amp;AK$4,tblForecast,AK$2,FALSE),0)</f>
        <v>22.080100000000002</v>
      </c>
      <c r="AL65" s="47">
        <f t="shared" si="492"/>
        <v>0.13314704190651305</v>
      </c>
      <c r="AM65" s="73">
        <f>IF(IFERROR(VLOOKUP($B65 &amp; $C65&amp;AM$4,tblForecast,AM$2,FALSE),0)=0,DA65,IFERROR(VLOOKUP($B65 &amp; $C65&amp;AM$4,tblForecast,AM$2,FALSE),0))</f>
        <v>5</v>
      </c>
      <c r="AN65" s="94">
        <f t="shared" si="493"/>
        <v>5</v>
      </c>
      <c r="AO65" s="94">
        <f t="shared" si="493"/>
        <v>0</v>
      </c>
      <c r="AP65" s="49">
        <f>IFERROR(VLOOKUP($B65-IF(CompareVer="LY",1,0) &amp; $C65 &amp;AP$4,tblForecast,AP$2,FALSE),0)</f>
        <v>4.1947000000000001</v>
      </c>
      <c r="AQ65" s="47">
        <f t="shared" si="14"/>
        <v>0.19198035616373033</v>
      </c>
      <c r="AR65" s="73">
        <f>IF(IFERROR(VLOOKUP($B65 &amp; $C65&amp;AR$4,tblForecast,AR$2,FALSE),0)=0,DC65,IFERROR(VLOOKUP($B65 &amp; $C65&amp;AR$4,tblForecast,AR$2,FALSE),0))</f>
        <v>4.16</v>
      </c>
      <c r="AS65" s="94">
        <f t="shared" si="494"/>
        <v>4.16</v>
      </c>
      <c r="AT65" s="94">
        <f t="shared" si="494"/>
        <v>0</v>
      </c>
      <c r="AU65" s="49">
        <f>IFERROR(VLOOKUP($B65-IF(CompareVer="LY",1,0) &amp; $C65 &amp;AU$4,tblForecast,AU$2,FALSE),0)</f>
        <v>3.6232000000000002</v>
      </c>
      <c r="AV65" s="47">
        <f t="shared" si="16"/>
        <v>0.14815632589975714</v>
      </c>
      <c r="AW65" s="191">
        <f t="shared" si="495"/>
        <v>0.8001598721023182</v>
      </c>
      <c r="AX65" s="192">
        <f t="shared" si="495"/>
        <v>0.8001598721023182</v>
      </c>
      <c r="AY65" s="192">
        <f t="shared" si="495"/>
        <v>0</v>
      </c>
      <c r="AZ65" s="192">
        <f t="shared" si="495"/>
        <v>0.81002350532832734</v>
      </c>
      <c r="BA65" s="235">
        <f>IF(BA64+BV65+BL65+BR65-Q65&lt;0,0,BA64+BV65+BL65+BR65-Q65)</f>
        <v>134730</v>
      </c>
      <c r="BB65" s="231">
        <f>IF(IFERROR(VLOOKUP($B65 &amp; $C65&amp;BB$4,tblForecast,BB$2,FALSE),0)=0,BA65,IFERROR(VLOOKUP($B65 &amp; $C65&amp;BB$4,tblForecast,BB$2,FALSE),0))</f>
        <v>134730</v>
      </c>
      <c r="BC65" s="231">
        <f>IFERROR(VLOOKUP($B65-IF(CompareVer="LY",1,0) &amp; $C65 &amp;BC$4,tblForecast,BC$2,FALSE),0)</f>
        <v>0</v>
      </c>
      <c r="BD65" s="231">
        <f t="shared" si="496"/>
        <v>26533</v>
      </c>
      <c r="BE65" s="194">
        <f t="shared" si="19"/>
        <v>4.0778276108996341</v>
      </c>
      <c r="BF65" s="231">
        <f>IFERROR(VLOOKUP($B65 &amp; $C65&amp;IF($A65="a",BG$4,BF$4),tblForecast,BF$2,FALSE),0)</f>
        <v>0</v>
      </c>
      <c r="BG65" s="228">
        <f>IFERROR(VLOOKUP($B65-IF(CompareVer="LY",1,0) &amp; $C65 &amp;BG$4,tblForecast,BG$2,FALSE),0)</f>
        <v>1142</v>
      </c>
      <c r="BH65" s="179">
        <f>IF(Q65&lt;&gt;0,BA65/Q65,0)</f>
        <v>373.21329639889194</v>
      </c>
      <c r="BI65" s="183">
        <f>IF(T65&lt;&gt;0,BD65/T65,0)</f>
        <v>24.033514492753625</v>
      </c>
      <c r="BJ65" s="195">
        <f t="shared" si="497"/>
        <v>2.6794329399539821E-3</v>
      </c>
      <c r="BK65" s="50">
        <f t="shared" si="498"/>
        <v>4.1608562921644741E-2</v>
      </c>
      <c r="BL65" s="234">
        <f>IFERROR(VLOOKUP($B65 &amp; $C65&amp;IF($A65="a",BM$4,BL$4),tblForecast,BL$2,FALSE),0)</f>
        <v>0</v>
      </c>
      <c r="BM65" s="228">
        <f>IFERROR(VLOOKUP($B65-IF(CompareVer="LY",1,0) &amp; $C65 &amp;BM$4,tblForecast,BM$2,FALSE),0)</f>
        <v>-95</v>
      </c>
      <c r="BN65" s="234">
        <f>IFERROR(VLOOKUP($B65 &amp; $C65&amp;IF($A65="a",BO$4,BN$4),tblForecast,BN$2,FALSE),0)</f>
        <v>0</v>
      </c>
      <c r="BO65" s="228">
        <f>IFERROR(VLOOKUP($B65-IF(CompareVer="LY",1,0) &amp; $C65 &amp;BO$4,tblForecast,BO$2,FALSE),0)</f>
        <v>632</v>
      </c>
      <c r="BP65" s="234">
        <f>IFERROR(VLOOKUP($B65 &amp; $C65&amp;IF($A65="a",BQ$4,BP$4),tblForecast,BP$2,FALSE),0)</f>
        <v>0</v>
      </c>
      <c r="BQ65" s="228">
        <f>IFERROR(VLOOKUP($B65-IF(CompareVer="LY",1,0) &amp; $C65 &amp;BQ$4,tblForecast,BQ$2,FALSE),0)</f>
        <v>282</v>
      </c>
      <c r="BR65" s="227">
        <f t="shared" si="43"/>
        <v>0</v>
      </c>
      <c r="BS65" s="231">
        <f t="shared" si="22"/>
        <v>350</v>
      </c>
      <c r="BT65" s="234">
        <f t="shared" si="499"/>
        <v>0</v>
      </c>
      <c r="BU65" s="231">
        <f t="shared" si="499"/>
        <v>0</v>
      </c>
      <c r="BV65" s="231">
        <f>IF($A65="a",IFERROR(VLOOKUP($B65 &amp; $C65&amp;BV$4,tblForecast,BV$2,FALSE),0),BT65+BU65)</f>
        <v>0</v>
      </c>
      <c r="BW65" s="231">
        <f t="shared" si="500"/>
        <v>0</v>
      </c>
      <c r="BX65" s="231">
        <f t="shared" si="500"/>
        <v>0</v>
      </c>
      <c r="BY65" s="193">
        <f>IFERROR(VLOOKUP($B65-IF(CompareVer="LY",1,0) &amp; $C65 &amp;BY$4,tblForecast,BY$2,FALSE),0)</f>
        <v>0</v>
      </c>
      <c r="BZ65" s="194">
        <f t="shared" si="25"/>
        <v>0</v>
      </c>
      <c r="CA65" s="337">
        <f t="shared" si="501"/>
        <v>0</v>
      </c>
      <c r="CB65" s="46">
        <f t="shared" si="501"/>
        <v>0</v>
      </c>
      <c r="CC65" s="46">
        <f>IF($A65="a",IFERROR(VLOOKUP($B65 &amp; $C65&amp;CC$4,tblForecast,CC$2,FALSE),0),CA65+CB65)</f>
        <v>0</v>
      </c>
      <c r="CD65" s="46">
        <f t="shared" si="502"/>
        <v>0</v>
      </c>
      <c r="CE65" s="46">
        <f t="shared" si="502"/>
        <v>0</v>
      </c>
      <c r="CF65" s="46">
        <f>IFERROR(VLOOKUP($B65-IF(CompareVer="LY",1,0) &amp; $C65 &amp;CF$4,tblForecast,CF$2,FALSE),0)</f>
        <v>0</v>
      </c>
      <c r="CG65" s="194">
        <f t="shared" si="28"/>
        <v>0</v>
      </c>
      <c r="CH65" s="337">
        <f t="shared" si="503"/>
        <v>0</v>
      </c>
      <c r="CI65" s="46">
        <f t="shared" si="503"/>
        <v>0</v>
      </c>
      <c r="CJ65" s="46">
        <f>IF($A65="a",IFERROR(VLOOKUP($B65 &amp; $C65&amp;CJ$4,tblForecast,CJ$2,FALSE),0),CH65+CI65)</f>
        <v>0</v>
      </c>
      <c r="CK65" s="46">
        <f t="shared" si="504"/>
        <v>0</v>
      </c>
      <c r="CL65" s="46">
        <f t="shared" si="504"/>
        <v>0</v>
      </c>
      <c r="CM65" s="46">
        <f>IFERROR(VLOOKUP($B65-IF(CompareVer="LY",1,0) &amp; $C65 &amp;CM$4,tblForecast,CM$2,FALSE),0)</f>
        <v>0</v>
      </c>
      <c r="CN65" s="194">
        <f t="shared" si="31"/>
        <v>0</v>
      </c>
      <c r="CO65" s="178">
        <f t="shared" si="46"/>
        <v>0</v>
      </c>
      <c r="CP65" s="223">
        <f t="shared" si="46"/>
        <v>0</v>
      </c>
      <c r="CQ65" s="194">
        <f t="shared" si="33"/>
        <v>0</v>
      </c>
      <c r="CR65" s="178">
        <f t="shared" si="44"/>
        <v>0</v>
      </c>
      <c r="CS65" s="223">
        <f t="shared" si="34"/>
        <v>0</v>
      </c>
      <c r="CT65" s="194">
        <f t="shared" si="47"/>
        <v>0</v>
      </c>
      <c r="CU65" s="44"/>
      <c r="CW65" s="102">
        <f>IFERROR(VLOOKUP($B65 &amp; $C65&amp;CompareVer,tblForecast,CW$2,FALSE),0)</f>
        <v>0</v>
      </c>
      <c r="CX65" s="48">
        <f>IFERROR(VLOOKUP($B65-IF(CompareVer="LY",1,0) &amp; $C65 &amp;CX$4,tblForecast,CX$2,FALSE),0)</f>
        <v>25391</v>
      </c>
      <c r="CY65" s="47">
        <f t="shared" si="36"/>
        <v>-1</v>
      </c>
      <c r="CZ65" s="278">
        <f>IFERROR(VLOOKUP(Brand&amp;Channel&amp;Country&amp;$C65,tblDiscount,6,FALSE),0)</f>
        <v>0.8</v>
      </c>
      <c r="DA65" s="279">
        <f>(1-CZ65)*DB65</f>
        <v>5.0039999999999987</v>
      </c>
      <c r="DB65" s="279">
        <f>IFERROR(VLOOKUP(Brand&amp;Country &amp; Channel &amp;FC,tblFCSettings,8,FALSE),0)</f>
        <v>25.02</v>
      </c>
      <c r="DC65" s="280">
        <f>IFERROR(VLOOKUP(Brand&amp;Country &amp; Channel &amp;FC,tblFCSettings,9,FALSE),0)</f>
        <v>4.16</v>
      </c>
    </row>
    <row r="66" spans="2:107" ht="16.5" thickBot="1" x14ac:dyDescent="0.3">
      <c r="C66" s="253" t="s">
        <v>315</v>
      </c>
      <c r="D66" s="254">
        <f t="shared" ref="D66" si="510">SUM(D62:D65)</f>
        <v>-22035183.798991002</v>
      </c>
      <c r="E66" s="255">
        <f t="shared" ref="E66" si="511">SUM(E62:E65)</f>
        <v>-15764935.09929</v>
      </c>
      <c r="F66" s="256">
        <f t="shared" si="45"/>
        <v>0.71544377587682673</v>
      </c>
      <c r="G66" s="257">
        <f>SUM(G62:G65)</f>
        <v>-734942</v>
      </c>
      <c r="H66" s="258">
        <f>IFERROR(D66/G66,0)</f>
        <v>29.982207846321209</v>
      </c>
      <c r="I66" s="258">
        <f>IFERROR(SUMPRODUCT(I62:I65,G62:G65)/G66,0)</f>
        <v>8.5316238556253428</v>
      </c>
      <c r="J66" s="257">
        <f>SUM(J62:J65)</f>
        <v>2068098</v>
      </c>
      <c r="K66" s="301">
        <f>SUM(K62:K65)</f>
        <v>0</v>
      </c>
      <c r="L66" s="259">
        <f>SUM(L62:L65)</f>
        <v>68915</v>
      </c>
      <c r="M66" s="259">
        <f t="shared" ref="M66:O66" si="512">SUM(M62:M65)</f>
        <v>68915</v>
      </c>
      <c r="N66" s="259">
        <f t="shared" si="512"/>
        <v>0</v>
      </c>
      <c r="O66" s="259">
        <f t="shared" si="512"/>
        <v>19687.8393</v>
      </c>
      <c r="P66" s="260">
        <f t="shared" si="39"/>
        <v>2.5003841178244484</v>
      </c>
      <c r="Q66" s="262">
        <f t="shared" ref="Q66" si="513">SUM(Q62:Q65)</f>
        <v>13783</v>
      </c>
      <c r="R66" s="262">
        <f t="shared" ref="R66:S66" si="514">SUM(R62:R65)</f>
        <v>13783</v>
      </c>
      <c r="S66" s="262">
        <f t="shared" si="514"/>
        <v>0</v>
      </c>
      <c r="T66" s="262">
        <f>SUM(T62:T65)</f>
        <v>4785</v>
      </c>
      <c r="U66" s="260">
        <f t="shared" si="7"/>
        <v>1.8804597701149426</v>
      </c>
      <c r="V66" s="263">
        <f>V65</f>
        <v>4.0920426207209253E-2</v>
      </c>
      <c r="W66" s="332">
        <f>W65</f>
        <v>4.0920426207209253E-2</v>
      </c>
      <c r="X66" s="264">
        <f>X65</f>
        <v>0.68106107341147437</v>
      </c>
      <c r="Y66" s="254">
        <f>SUM(Y62:Y65)</f>
        <v>11577.719999999996</v>
      </c>
      <c r="Z66" s="259">
        <f t="shared" ref="Z66:AB66" si="515">SUM(Z62:Z65)</f>
        <v>11577.719999999996</v>
      </c>
      <c r="AA66" s="259">
        <f t="shared" si="515"/>
        <v>0</v>
      </c>
      <c r="AB66" s="259">
        <f t="shared" si="515"/>
        <v>1913.7952000000007</v>
      </c>
      <c r="AC66" s="260">
        <f t="shared" si="9"/>
        <v>5.049612832135848</v>
      </c>
      <c r="AD66" s="265">
        <f>IFERROR(Y66/L66,0)</f>
        <v>0.16799999999999993</v>
      </c>
      <c r="AE66" s="266">
        <f>IFERROR(Z66/M66,0)</f>
        <v>0.16799999999999993</v>
      </c>
      <c r="AF66" s="266">
        <f>IFERROR(AA66/N66,0)</f>
        <v>0</v>
      </c>
      <c r="AG66" s="266">
        <f>IFERROR(AB66/O66,0)</f>
        <v>9.7206969786674396E-2</v>
      </c>
      <c r="AH66" s="267">
        <f>IFERROR(SUMPRODUCT(AH62:AH65,Q62:Q65)/Q66,0)</f>
        <v>25.02</v>
      </c>
      <c r="AI66" s="268">
        <f>IFERROR(SUMPRODUCT(AI62:AI65,R62:R65)/R66,0)</f>
        <v>25.02</v>
      </c>
      <c r="AJ66" s="268">
        <f t="shared" ref="AJ66:AK66" si="516">IFERROR(SUMPRODUCT(AJ62:AJ65,S62:S65)/S66,0)</f>
        <v>0</v>
      </c>
      <c r="AK66" s="268">
        <f t="shared" si="516"/>
        <v>22.682114858934167</v>
      </c>
      <c r="AL66" s="260">
        <f t="shared" si="492"/>
        <v>0.10307174421810905</v>
      </c>
      <c r="AM66" s="267">
        <f>IF(Q66&lt;&gt;0,L66/Q66,0)</f>
        <v>5</v>
      </c>
      <c r="AN66" s="268">
        <f>IF(R66&lt;&gt;0,M66/R66,0)</f>
        <v>5</v>
      </c>
      <c r="AO66" s="268">
        <f>IF(S66&lt;&gt;0,N66/S66,0)</f>
        <v>0</v>
      </c>
      <c r="AP66" s="268">
        <f>IF(T66&lt;&gt;0,O66/T66,0)</f>
        <v>4.1144909717868341</v>
      </c>
      <c r="AQ66" s="260">
        <f t="shared" si="14"/>
        <v>0.21521715183849555</v>
      </c>
      <c r="AR66" s="267">
        <f>IFERROR((L66*(1-AD66))/Q66,0)</f>
        <v>4.16</v>
      </c>
      <c r="AS66" s="268">
        <f>IFERROR((M66*(1-AE66))/R66,0)</f>
        <v>4.16</v>
      </c>
      <c r="AT66" s="268">
        <f>IFERROR((N66*(1-AF66))/S66,0)</f>
        <v>0</v>
      </c>
      <c r="AU66" s="268">
        <f>IFERROR((O66*(1-AG66))/T66,0)</f>
        <v>3.7145337722048066</v>
      </c>
      <c r="AV66" s="260">
        <f t="shared" si="16"/>
        <v>0.11992520599180923</v>
      </c>
      <c r="AW66" s="269">
        <f>IFERROR(SUMPRODUCT(AW62:AW65,V62:V65)/V66,0)</f>
        <v>124.46167054645903</v>
      </c>
      <c r="AX66" s="270">
        <f t="shared" ref="AX66:AZ66" si="517">IFERROR(SUMPRODUCT(AX62:AX65,X62:X65)/X66,0)</f>
        <v>5.0877847362027122</v>
      </c>
      <c r="AY66" s="270">
        <f t="shared" si="517"/>
        <v>0</v>
      </c>
      <c r="AZ66" s="270">
        <f t="shared" si="517"/>
        <v>0.81563576750625588</v>
      </c>
      <c r="BA66" s="261">
        <f>BA65</f>
        <v>134730</v>
      </c>
      <c r="BB66" s="262">
        <f t="shared" ref="BB66:BD66" si="518">BB65</f>
        <v>134730</v>
      </c>
      <c r="BC66" s="262">
        <f t="shared" si="518"/>
        <v>0</v>
      </c>
      <c r="BD66" s="262">
        <f t="shared" si="518"/>
        <v>26533</v>
      </c>
      <c r="BE66" s="260">
        <f t="shared" si="19"/>
        <v>4.0778276108996341</v>
      </c>
      <c r="BF66" s="262">
        <f>BF65</f>
        <v>0</v>
      </c>
      <c r="BG66" s="262">
        <f>BG65</f>
        <v>1142</v>
      </c>
      <c r="BH66" s="271">
        <f>IF(Q66&lt;&gt;0,(BA66*COUNTIF(BH62:BH65,"&lt;&gt;0")/Q66),0)</f>
        <v>39.10034099978234</v>
      </c>
      <c r="BI66" s="272">
        <f>IF(T66&lt;&gt;0,(BD66*COUNTIF(BI62:BI65,"&lt;&gt;0")/T66),0)</f>
        <v>22.18014629049112</v>
      </c>
      <c r="BJ66" s="273">
        <f t="shared" ref="BJ66" si="519">IF(BA66&lt;&gt;0,(Q66/COUNTIF(BJ62:BJ65,"&lt;&gt;0"))/BA66,0)</f>
        <v>2.5575224523120315E-2</v>
      </c>
      <c r="BK66" s="274">
        <f t="shared" ref="BK66" si="520">IF(BD66&lt;&gt;0,(T66/COUNTIF(BK62:BK65,"&lt;&gt;0"))/BD66,0)</f>
        <v>4.508536539403761E-2</v>
      </c>
      <c r="BL66" s="261">
        <f>SUM(BL62:BL65)</f>
        <v>0</v>
      </c>
      <c r="BM66" s="262">
        <f>SUM(BM62:BM65)</f>
        <v>-212</v>
      </c>
      <c r="BN66" s="261">
        <f>SUM(BN62:BN65)</f>
        <v>0</v>
      </c>
      <c r="BO66" s="262">
        <f t="shared" ref="BO66:BQ66" si="521">SUM(BO62:BO65)</f>
        <v>2255</v>
      </c>
      <c r="BP66" s="261">
        <f>SUM(BP62:BP65)</f>
        <v>0</v>
      </c>
      <c r="BQ66" s="262">
        <f t="shared" si="521"/>
        <v>3789</v>
      </c>
      <c r="BR66" s="261">
        <f t="shared" si="43"/>
        <v>0</v>
      </c>
      <c r="BS66" s="262">
        <f t="shared" si="22"/>
        <v>-1534</v>
      </c>
      <c r="BT66" s="261">
        <f>SUM(BT62:BT65)</f>
        <v>0</v>
      </c>
      <c r="BU66" s="262">
        <f>SUM(BU62:BU65)</f>
        <v>0</v>
      </c>
      <c r="BV66" s="262">
        <f>SUM(BV62:BV65)</f>
        <v>0</v>
      </c>
      <c r="BW66" s="262">
        <f t="shared" ref="BW66:BX66" si="522">SUM(BW62:BW65)</f>
        <v>0</v>
      </c>
      <c r="BX66" s="262">
        <f t="shared" si="522"/>
        <v>0</v>
      </c>
      <c r="BY66" s="275">
        <f>SUM(BY62:BY65)</f>
        <v>0</v>
      </c>
      <c r="BZ66" s="260">
        <f t="shared" si="25"/>
        <v>0</v>
      </c>
      <c r="CA66" s="338">
        <f>SUM(CA62:CA65)</f>
        <v>0</v>
      </c>
      <c r="CB66" s="259">
        <f t="shared" ref="CB66:CF66" si="523">SUM(CB62:CB65)</f>
        <v>0</v>
      </c>
      <c r="CC66" s="259">
        <f t="shared" si="523"/>
        <v>0</v>
      </c>
      <c r="CD66" s="259">
        <f t="shared" si="523"/>
        <v>0</v>
      </c>
      <c r="CE66" s="259">
        <f t="shared" si="523"/>
        <v>0</v>
      </c>
      <c r="CF66" s="259">
        <f t="shared" si="523"/>
        <v>0</v>
      </c>
      <c r="CG66" s="260">
        <f t="shared" si="28"/>
        <v>0</v>
      </c>
      <c r="CH66" s="338">
        <f>SUM(CH62:CH65)</f>
        <v>0</v>
      </c>
      <c r="CI66" s="259">
        <f t="shared" ref="CI66:CM66" si="524">SUM(CI62:CI65)</f>
        <v>0</v>
      </c>
      <c r="CJ66" s="259">
        <f t="shared" si="524"/>
        <v>0</v>
      </c>
      <c r="CK66" s="259">
        <f t="shared" si="524"/>
        <v>0</v>
      </c>
      <c r="CL66" s="259">
        <f t="shared" si="524"/>
        <v>0</v>
      </c>
      <c r="CM66" s="259">
        <f t="shared" si="524"/>
        <v>0</v>
      </c>
      <c r="CN66" s="260">
        <f t="shared" si="31"/>
        <v>0</v>
      </c>
      <c r="CO66" s="276">
        <f t="shared" si="46"/>
        <v>0</v>
      </c>
      <c r="CP66" s="277">
        <f t="shared" si="46"/>
        <v>0</v>
      </c>
      <c r="CQ66" s="260">
        <f t="shared" si="33"/>
        <v>0</v>
      </c>
      <c r="CR66" s="276">
        <f t="shared" si="44"/>
        <v>0</v>
      </c>
      <c r="CS66" s="277">
        <f t="shared" si="34"/>
        <v>0</v>
      </c>
      <c r="CT66" s="260">
        <f t="shared" si="47"/>
        <v>0</v>
      </c>
      <c r="CU66" s="44"/>
      <c r="CW66" s="100">
        <f>CW65</f>
        <v>0</v>
      </c>
      <c r="CX66" s="101">
        <f>CX65</f>
        <v>25391</v>
      </c>
      <c r="CY66" s="99">
        <f t="shared" si="36"/>
        <v>-1</v>
      </c>
      <c r="CZ66" s="278"/>
      <c r="DA66" s="279"/>
      <c r="DB66" s="279"/>
      <c r="DC66" s="280"/>
    </row>
    <row r="67" spans="2:107" x14ac:dyDescent="0.25">
      <c r="B67" s="44">
        <v>2018</v>
      </c>
      <c r="C67" s="88">
        <v>44</v>
      </c>
      <c r="D67" s="51">
        <f>G67*H67</f>
        <v>-5117273.3668320002</v>
      </c>
      <c r="E67" s="202">
        <f>IFERROR(D67*F67,0)</f>
        <v>-4155631.2601919998</v>
      </c>
      <c r="F67" s="182">
        <f t="shared" si="45"/>
        <v>0.81207919966266462</v>
      </c>
      <c r="G67" s="176">
        <f t="shared" ref="G67:I71" si="525">IFERROR(VLOOKUP($B67 &amp; $C67&amp;G$4&amp;$A67,tblForecast,G$2,FALSE),0)</f>
        <v>-164667</v>
      </c>
      <c r="H67" s="203">
        <f t="shared" si="525"/>
        <v>31.076495999999999</v>
      </c>
      <c r="I67" s="203">
        <f t="shared" si="525"/>
        <v>5.8399200000000002</v>
      </c>
      <c r="J67" s="176">
        <f>IFERROR(VLOOKUP($B67 &amp; $C67&amp;J$4&amp;$A67,tblForecast,J$2,FALSE),0)+IFERROR(VLOOKUP($B67 &amp; $C67 &amp; J$4 &amp; $A67,tblForecast,J$2+1,FALSE),0)</f>
        <v>373702</v>
      </c>
      <c r="K67" s="300">
        <f>IFERROR(VLOOKUP($B67 &amp; $C67&amp;K$4&amp;$A67,tblForecast,K$2,FALSE),0)+IFERROR(VLOOKUP($B67 &amp; $C67&amp;K$4&amp;$A67,tblForecast,K$2+1,FALSE),0)</f>
        <v>0</v>
      </c>
      <c r="L67" s="90">
        <f t="shared" ref="L67:O71" si="526">Q67*AM67</f>
        <v>2955</v>
      </c>
      <c r="M67" s="90">
        <f t="shared" si="526"/>
        <v>2955</v>
      </c>
      <c r="N67" s="46">
        <f t="shared" si="526"/>
        <v>0</v>
      </c>
      <c r="O67" s="46">
        <f t="shared" si="526"/>
        <v>3846.0054999999998</v>
      </c>
      <c r="P67" s="47">
        <f t="shared" si="39"/>
        <v>-0.23167036552599829</v>
      </c>
      <c r="Q67" s="242">
        <f>ROUND(IF(BA65-(Q65*IF(W67=0,X67,W67))&lt;0,BA65,Q65*IF(W67=0,X67,W67)),0)</f>
        <v>591</v>
      </c>
      <c r="R67" s="240">
        <f t="shared" ref="R67:S71" si="527">IFERROR(VLOOKUP($B67 &amp; $C67&amp;R$4,tblForecast,R$2,FALSE),0)</f>
        <v>591</v>
      </c>
      <c r="S67" s="240">
        <f t="shared" si="527"/>
        <v>0</v>
      </c>
      <c r="T67" s="240">
        <f>IFERROR(VLOOKUP($B67-IF(CompareVer="LY",1,0) &amp; $C67 &amp;T$4,tblForecast,T$2,FALSE),0)</f>
        <v>881</v>
      </c>
      <c r="U67" s="91">
        <f t="shared" si="7"/>
        <v>-0.3291713961407492</v>
      </c>
      <c r="V67" s="249">
        <f>IFERROR(IF(Q65&gt;0,Q67/Q65,0),0)</f>
        <v>1.6371191135734071</v>
      </c>
      <c r="W67" s="334">
        <f>IFERROR(IF(R65&gt;0,R67/R65,0),0)</f>
        <v>1.6371191135734071</v>
      </c>
      <c r="X67" s="250">
        <f>IFERROR(IF(T65&gt;0,T67/T65,0),0)</f>
        <v>0.79800724637681164</v>
      </c>
      <c r="Y67" s="51">
        <f t="shared" ref="Y67:AB71" si="528">IFERROR(L67*AD67,0)</f>
        <v>496.43999999999977</v>
      </c>
      <c r="Z67" s="46">
        <f t="shared" si="528"/>
        <v>496.43999999999977</v>
      </c>
      <c r="AA67" s="46">
        <f t="shared" si="528"/>
        <v>0</v>
      </c>
      <c r="AB67" s="46">
        <f t="shared" si="528"/>
        <v>482.96420000000006</v>
      </c>
      <c r="AC67" s="91">
        <f t="shared" si="9"/>
        <v>2.7902275158282253E-2</v>
      </c>
      <c r="AD67" s="75">
        <f>IF(AM67&lt;&gt;0,1-AR67/AM67,0)</f>
        <v>0.16799999999999993</v>
      </c>
      <c r="AE67" s="93">
        <f t="shared" ref="AE67:AG71" si="529">IF(AN67&lt;&gt;0,1-AS67/AN67,0)</f>
        <v>0.16799999999999993</v>
      </c>
      <c r="AF67" s="93">
        <f t="shared" si="529"/>
        <v>0</v>
      </c>
      <c r="AG67" s="76">
        <f t="shared" si="529"/>
        <v>0.12557553544840228</v>
      </c>
      <c r="AH67" s="73">
        <f>IF(IFERROR(VLOOKUP($B67 &amp; $C67&amp;AH$4,tblForecast,AH$2,FALSE),0)=0,DB67,IFERROR(VLOOKUP($B67 &amp; $C67&amp;AH$4,tblForecast,AH$2,FALSE),0))</f>
        <v>25.02</v>
      </c>
      <c r="AI67" s="94">
        <f t="shared" ref="AI67:AJ71" si="530">IFERROR(VLOOKUP($B67 &amp; $C67&amp;AI$4,tblForecast,AI$2,FALSE),0)</f>
        <v>25.02</v>
      </c>
      <c r="AJ67" s="94">
        <f t="shared" si="530"/>
        <v>0</v>
      </c>
      <c r="AK67" s="49">
        <f>IFERROR(VLOOKUP($B67-IF(CompareVer="LY",1,0) &amp; $C67 &amp;AK$4,tblForecast,AK$2,FALSE),0)</f>
        <v>23.376899999999999</v>
      </c>
      <c r="AL67" s="47">
        <f t="shared" si="492"/>
        <v>7.0287334933203383E-2</v>
      </c>
      <c r="AM67" s="73">
        <f>IF(IFERROR(VLOOKUP($B67 &amp; $C67&amp;AM$4,tblForecast,AM$2,FALSE),0)=0,DA67,IFERROR(VLOOKUP($B67 &amp; $C67&amp;AM$4,tblForecast,AM$2,FALSE),0))</f>
        <v>5</v>
      </c>
      <c r="AN67" s="94">
        <f t="shared" ref="AN67:AO71" si="531">IFERROR(VLOOKUP($B67 &amp; $C67&amp;AN$4,tblForecast,AN$2,FALSE),0)</f>
        <v>5</v>
      </c>
      <c r="AO67" s="94">
        <f t="shared" si="531"/>
        <v>0</v>
      </c>
      <c r="AP67" s="49">
        <f>IFERROR(VLOOKUP($B67-IF(CompareVer="LY",1,0) &amp; $C67 &amp;AP$4,tblForecast,AP$2,FALSE),0)</f>
        <v>4.3654999999999999</v>
      </c>
      <c r="AQ67" s="47">
        <f t="shared" si="14"/>
        <v>0.14534417592486548</v>
      </c>
      <c r="AR67" s="73">
        <f>IF(IFERROR(VLOOKUP($B67 &amp; $C67&amp;AR$4,tblForecast,AR$2,FALSE),0)=0,DC67,IFERROR(VLOOKUP($B67 &amp; $C67&amp;AR$4,tblForecast,AR$2,FALSE),0))</f>
        <v>4.16</v>
      </c>
      <c r="AS67" s="94">
        <f t="shared" ref="AS67:AT71" si="532">IFERROR(VLOOKUP($B67 &amp; $C67&amp;AS$4,tblForecast,AS$2,FALSE),0)</f>
        <v>4.16</v>
      </c>
      <c r="AT67" s="94">
        <f t="shared" si="532"/>
        <v>0</v>
      </c>
      <c r="AU67" s="49">
        <f>IFERROR(VLOOKUP($B67-IF(CompareVer="LY",1,0) &amp; $C67 &amp;AU$4,tblForecast,AU$2,FALSE),0)</f>
        <v>3.8172999999999999</v>
      </c>
      <c r="AV67" s="47">
        <f t="shared" si="16"/>
        <v>8.9775495769261138E-2</v>
      </c>
      <c r="AW67" s="191">
        <f t="shared" ref="AW67:AZ71" si="533">IFERROR((AM67/AH67-1)*-1,0)</f>
        <v>0.8001598721023182</v>
      </c>
      <c r="AX67" s="192">
        <f t="shared" si="533"/>
        <v>0.8001598721023182</v>
      </c>
      <c r="AY67" s="192">
        <f t="shared" si="533"/>
        <v>0</v>
      </c>
      <c r="AZ67" s="192">
        <f t="shared" si="533"/>
        <v>0.81325582091723025</v>
      </c>
      <c r="BA67" s="235">
        <f>IF(BA66+BV67+BL67+BR67-Q67&lt;0,0,BA66+BV67+BL67+BR67-Q67)</f>
        <v>134139</v>
      </c>
      <c r="BB67" s="231">
        <f>IF(IFERROR(VLOOKUP($B67 &amp; $C67&amp;BB$4,tblForecast,BB$2,FALSE),0)=0,BA67,IFERROR(VLOOKUP($B67 &amp; $C67&amp;BB$4,tblForecast,BB$2,FALSE),0))</f>
        <v>134139</v>
      </c>
      <c r="BC67" s="231">
        <f>IFERROR(VLOOKUP($B67-IF(CompareVer="LY",1,0) &amp; $C67 &amp;BC$4,tblForecast,BC$2,FALSE),0)</f>
        <v>0</v>
      </c>
      <c r="BD67" s="231">
        <f t="shared" ref="BD67:BD71" si="534">CX67+BG67</f>
        <v>26715</v>
      </c>
      <c r="BE67" s="194">
        <f t="shared" si="19"/>
        <v>4.021111734980348</v>
      </c>
      <c r="BF67" s="231">
        <f>IFERROR(VLOOKUP($B67 &amp; $C67&amp;IF($A67="a",BG$4,BF$4),tblForecast,BF$2,FALSE),0)</f>
        <v>0</v>
      </c>
      <c r="BG67" s="228">
        <f>IFERROR(VLOOKUP($B67-IF(CompareVer="LY",1,0) &amp; $C67 &amp;BG$4,tblForecast,BG$2,FALSE),0)</f>
        <v>1085</v>
      </c>
      <c r="BH67" s="179">
        <f>IF(Q67&lt;&gt;0,BA67/Q67,0)</f>
        <v>226.96954314720813</v>
      </c>
      <c r="BI67" s="183">
        <f>IF(T67&lt;&gt;0,BD67/T67,0)</f>
        <v>30.32349602724177</v>
      </c>
      <c r="BJ67" s="195">
        <f t="shared" ref="BJ67:BJ71" si="535">IF(BA67&lt;&gt;0,Q67/BA67,0)</f>
        <v>4.4058774852951043E-3</v>
      </c>
      <c r="BK67" s="50">
        <f t="shared" ref="BK67:BK71" si="536">IF(BD67&lt;&gt;0,T67/BD67,0)</f>
        <v>3.2977727868238819E-2</v>
      </c>
      <c r="BL67" s="234">
        <f>IFERROR(VLOOKUP($B67 &amp; $C67&amp;IF($A67="a",BM$4,BL$4),tblForecast,BL$2,FALSE),0)</f>
        <v>0</v>
      </c>
      <c r="BM67" s="228">
        <f>IFERROR(VLOOKUP($B67-IF(CompareVer="LY",1,0) &amp; $C67 &amp;BM$4,tblForecast,BM$2,FALSE),0)</f>
        <v>-17</v>
      </c>
      <c r="BN67" s="234">
        <f>IFERROR(VLOOKUP($B67 &amp; $C67&amp;IF($A67="a",BO$4,BN$4),tblForecast,BN$2,FALSE),0)</f>
        <v>0</v>
      </c>
      <c r="BO67" s="228">
        <f>IFERROR(VLOOKUP($B67-IF(CompareVer="LY",1,0) &amp; $C67 &amp;BO$4,tblForecast,BO$2,FALSE),0)</f>
        <v>1100</v>
      </c>
      <c r="BP67" s="234">
        <f>IFERROR(VLOOKUP($B67 &amp; $C67&amp;IF($A67="a",BQ$4,BP$4),tblForecast,BP$2,FALSE),0)</f>
        <v>0</v>
      </c>
      <c r="BQ67" s="228">
        <f>IFERROR(VLOOKUP($B67-IF(CompareVer="LY",1,0) &amp; $C67 &amp;BQ$4,tblForecast,BQ$2,FALSE),0)</f>
        <v>21</v>
      </c>
      <c r="BR67" s="227">
        <f t="shared" si="43"/>
        <v>0</v>
      </c>
      <c r="BS67" s="231">
        <f t="shared" si="22"/>
        <v>1079</v>
      </c>
      <c r="BT67" s="234">
        <f t="shared" ref="BT67:BU71" si="537">IFERROR(VLOOKUP($B67 &amp; $C67&amp;BT$4,tblForecast,BT$2,FALSE),0)</f>
        <v>0</v>
      </c>
      <c r="BU67" s="231">
        <f t="shared" si="537"/>
        <v>0</v>
      </c>
      <c r="BV67" s="231">
        <f>IF($A67="a",IFERROR(VLOOKUP($B67 &amp; $C67&amp;BV$4,tblForecast,BV$2,FALSE),0),BT67+BU67)</f>
        <v>0</v>
      </c>
      <c r="BW67" s="231">
        <f t="shared" ref="BW67:BX71" si="538">IFERROR(VLOOKUP($B67 &amp; $C67&amp;BW$4,tblForecast,BW$2,FALSE),0)</f>
        <v>0</v>
      </c>
      <c r="BX67" s="231">
        <f t="shared" si="538"/>
        <v>0</v>
      </c>
      <c r="BY67" s="193">
        <f>IFERROR(VLOOKUP($B67-IF(CompareVer="LY",1,0) &amp; $C67 &amp;BY$4,tblForecast,BY$2,FALSE),0)</f>
        <v>0</v>
      </c>
      <c r="BZ67" s="194">
        <f t="shared" si="25"/>
        <v>0</v>
      </c>
      <c r="CA67" s="337">
        <f t="shared" ref="CA67:CB71" si="539">IFERROR(VLOOKUP($B67 &amp; $C67&amp;CA$4,tblForecast,CA$2,FALSE),0)</f>
        <v>0</v>
      </c>
      <c r="CB67" s="46">
        <f t="shared" si="539"/>
        <v>0</v>
      </c>
      <c r="CC67" s="46">
        <f>IF($A67="a",IFERROR(VLOOKUP($B67 &amp; $C67&amp;CC$4,tblForecast,CC$2,FALSE),0),CA67+CB67)</f>
        <v>0</v>
      </c>
      <c r="CD67" s="46">
        <f t="shared" ref="CD67:CE71" si="540">IFERROR(VLOOKUP($B67 &amp; $C67&amp;CD$4,tblForecast,CD$2,FALSE),0)</f>
        <v>0</v>
      </c>
      <c r="CE67" s="46">
        <f t="shared" si="540"/>
        <v>0</v>
      </c>
      <c r="CF67" s="46">
        <f>IFERROR(VLOOKUP($B67-IF(CompareVer="LY",1,0) &amp; $C67 &amp;CF$4,tblForecast,CF$2,FALSE),0)</f>
        <v>0</v>
      </c>
      <c r="CG67" s="194">
        <f t="shared" si="28"/>
        <v>0</v>
      </c>
      <c r="CH67" s="337">
        <f t="shared" ref="CH67:CI71" si="541">IFERROR(VLOOKUP($B67 &amp; $C67&amp;CH$4,tblForecast,CH$2,FALSE),0)</f>
        <v>0</v>
      </c>
      <c r="CI67" s="46">
        <f t="shared" si="541"/>
        <v>0</v>
      </c>
      <c r="CJ67" s="46">
        <f>IF($A67="a",IFERROR(VLOOKUP($B67 &amp; $C67&amp;CJ$4,tblForecast,CJ$2,FALSE),0),CH67+CI67)</f>
        <v>0</v>
      </c>
      <c r="CK67" s="46">
        <f t="shared" ref="CK67:CL71" si="542">IFERROR(VLOOKUP($B67 &amp; $C67&amp;CK$4,tblForecast,CK$2,FALSE),0)</f>
        <v>0</v>
      </c>
      <c r="CL67" s="46">
        <f t="shared" si="542"/>
        <v>0</v>
      </c>
      <c r="CM67" s="46">
        <f>IFERROR(VLOOKUP($B67-IF(CompareVer="LY",1,0) &amp; $C67 &amp;CM$4,tblForecast,CM$2,FALSE),0)</f>
        <v>0</v>
      </c>
      <c r="CN67" s="194">
        <f t="shared" si="31"/>
        <v>0</v>
      </c>
      <c r="CO67" s="178">
        <f t="shared" si="46"/>
        <v>0</v>
      </c>
      <c r="CP67" s="223">
        <f t="shared" si="46"/>
        <v>0</v>
      </c>
      <c r="CQ67" s="194">
        <f t="shared" si="33"/>
        <v>0</v>
      </c>
      <c r="CR67" s="178">
        <f t="shared" si="44"/>
        <v>0</v>
      </c>
      <c r="CS67" s="223">
        <f t="shared" si="34"/>
        <v>0</v>
      </c>
      <c r="CT67" s="194">
        <f t="shared" si="47"/>
        <v>0</v>
      </c>
      <c r="CU67" s="44"/>
      <c r="CW67" s="102">
        <f>IFERROR(VLOOKUP($B67 &amp; $C67&amp;CompareVer,tblForecast,CW$2,FALSE),0)</f>
        <v>0</v>
      </c>
      <c r="CX67" s="48">
        <f>IFERROR(VLOOKUP($B67-IF(CompareVer="LY",1,0) &amp; $C67 &amp;CX$4,tblForecast,CX$2,FALSE),0)</f>
        <v>25630</v>
      </c>
      <c r="CY67" s="47">
        <f t="shared" si="36"/>
        <v>-1</v>
      </c>
      <c r="CZ67" s="278">
        <f>IFERROR(VLOOKUP(Brand&amp;Channel&amp;Country&amp;$C67,tblDiscount,6,FALSE),0)</f>
        <v>0.8</v>
      </c>
      <c r="DA67" s="279">
        <f>(1-CZ67)*DB67</f>
        <v>5.0039999999999987</v>
      </c>
      <c r="DB67" s="279">
        <f>IFERROR(VLOOKUP(Brand&amp;Country &amp; Channel &amp;FC,tblFCSettings,8,FALSE),0)</f>
        <v>25.02</v>
      </c>
      <c r="DC67" s="280">
        <f>IFERROR(VLOOKUP(Brand&amp;Country &amp; Channel &amp;FC,tblFCSettings,9,FALSE),0)</f>
        <v>4.16</v>
      </c>
    </row>
    <row r="68" spans="2:107" x14ac:dyDescent="0.25">
      <c r="B68" s="44">
        <v>2018</v>
      </c>
      <c r="C68" s="88">
        <v>45</v>
      </c>
      <c r="D68" s="51">
        <f t="shared" ref="D68:D71" si="543">G68*H68</f>
        <v>-5025049.9021549998</v>
      </c>
      <c r="E68" s="202">
        <f t="shared" ref="E68:E71" si="544">IFERROR(D68*F68,0)</f>
        <v>-3964069.2443049997</v>
      </c>
      <c r="F68" s="182">
        <f t="shared" si="45"/>
        <v>0.78886166734483631</v>
      </c>
      <c r="G68" s="176">
        <f t="shared" si="525"/>
        <v>-148285</v>
      </c>
      <c r="H68" s="203">
        <f t="shared" si="525"/>
        <v>33.887782999999999</v>
      </c>
      <c r="I68" s="203">
        <f t="shared" si="525"/>
        <v>7.1550099999999999</v>
      </c>
      <c r="J68" s="176">
        <f>IFERROR(VLOOKUP($B68 &amp; $C68&amp;J$4&amp;$A68,tblForecast,J$2,FALSE),0)+IFERROR(VLOOKUP($B68 &amp; $C68 &amp; J$4 &amp; $A68,tblForecast,J$2+1,FALSE),0)</f>
        <v>327046</v>
      </c>
      <c r="K68" s="300">
        <f>IFERROR(VLOOKUP($B68 &amp; $C68&amp;K$4&amp;$A68,tblForecast,K$2,FALSE),0)+IFERROR(VLOOKUP($B68 &amp; $C68&amp;K$4&amp;$A68,tblForecast,K$2+1,FALSE),0)</f>
        <v>0</v>
      </c>
      <c r="L68" s="90">
        <f t="shared" si="526"/>
        <v>5500</v>
      </c>
      <c r="M68" s="90">
        <f t="shared" si="526"/>
        <v>5500</v>
      </c>
      <c r="N68" s="46">
        <f t="shared" si="526"/>
        <v>0</v>
      </c>
      <c r="O68" s="46">
        <f t="shared" si="526"/>
        <v>4956.9710000000005</v>
      </c>
      <c r="P68" s="47">
        <f t="shared" si="39"/>
        <v>0.10954855293686405</v>
      </c>
      <c r="Q68" s="242">
        <f t="shared" ref="Q68:Q71" si="545">ROUND(IF(BA67-(Q67*IF(W68=0,X68,W68))&lt;0,BA67,Q67*IF(W68=0,X68,W68)),0)</f>
        <v>1100</v>
      </c>
      <c r="R68" s="240">
        <f t="shared" si="527"/>
        <v>1100</v>
      </c>
      <c r="S68" s="240">
        <f t="shared" si="527"/>
        <v>0</v>
      </c>
      <c r="T68" s="240">
        <f>IFERROR(VLOOKUP($B68-IF(CompareVer="LY",1,0) &amp; $C68 &amp;T$4,tblForecast,T$2,FALSE),0)</f>
        <v>1130</v>
      </c>
      <c r="U68" s="91">
        <f t="shared" si="7"/>
        <v>-2.6548672566371723E-2</v>
      </c>
      <c r="V68" s="249">
        <f t="shared" ref="V68:V71" si="546">IFERROR(IF(Q67&lt;&gt;0,Q68/Q67,0),0)</f>
        <v>1.8612521150592216</v>
      </c>
      <c r="W68" s="334">
        <f t="shared" ref="W68:W71" si="547">IFERROR(IF(R67&lt;&gt;0,R68/R67,0),0)</f>
        <v>1.8612521150592216</v>
      </c>
      <c r="X68" s="250">
        <f t="shared" ref="X68:X71" si="548">IFERROR(IF(T67&lt;&gt;0,T68/T67,0),0)</f>
        <v>1.282633371169126</v>
      </c>
      <c r="Y68" s="51">
        <f t="shared" si="528"/>
        <v>923.99999999999955</v>
      </c>
      <c r="Z68" s="46">
        <f t="shared" si="528"/>
        <v>923.99999999999955</v>
      </c>
      <c r="AA68" s="46">
        <f t="shared" si="528"/>
        <v>0</v>
      </c>
      <c r="AB68" s="46">
        <f t="shared" si="528"/>
        <v>683.98900000000037</v>
      </c>
      <c r="AC68" s="91">
        <f t="shared" si="9"/>
        <v>0.35089891796505368</v>
      </c>
      <c r="AD68" s="75">
        <f>IF(AM68&lt;&gt;0,1-AR68/AM68,0)</f>
        <v>0.16799999999999993</v>
      </c>
      <c r="AE68" s="93">
        <f t="shared" si="529"/>
        <v>0.16799999999999993</v>
      </c>
      <c r="AF68" s="93">
        <f t="shared" si="529"/>
        <v>0</v>
      </c>
      <c r="AG68" s="76">
        <f t="shared" si="529"/>
        <v>0.13798527366813329</v>
      </c>
      <c r="AH68" s="73">
        <f>IF(IFERROR(VLOOKUP($B68 &amp; $C68&amp;AH$4,tblForecast,AH$2,FALSE),0)=0,DB68,IFERROR(VLOOKUP($B68 &amp; $C68&amp;AH$4,tblForecast,AH$2,FALSE),0))</f>
        <v>25.02</v>
      </c>
      <c r="AI68" s="94">
        <f t="shared" si="530"/>
        <v>25.02</v>
      </c>
      <c r="AJ68" s="94">
        <f t="shared" si="530"/>
        <v>0</v>
      </c>
      <c r="AK68" s="49">
        <f>IFERROR(VLOOKUP($B68-IF(CompareVer="LY",1,0) &amp; $C68 &amp;AK$4,tblForecast,AK$2,FALSE),0)</f>
        <v>23.428000000000001</v>
      </c>
      <c r="AL68" s="47">
        <f t="shared" si="492"/>
        <v>6.795287689943641E-2</v>
      </c>
      <c r="AM68" s="73">
        <f>IF(IFERROR(VLOOKUP($B68 &amp; $C68&amp;AM$4,tblForecast,AM$2,FALSE),0)=0,DA68,IFERROR(VLOOKUP($B68 &amp; $C68&amp;AM$4,tblForecast,AM$2,FALSE),0))</f>
        <v>5</v>
      </c>
      <c r="AN68" s="94">
        <f t="shared" si="531"/>
        <v>5</v>
      </c>
      <c r="AO68" s="94">
        <f t="shared" si="531"/>
        <v>0</v>
      </c>
      <c r="AP68" s="49">
        <f>IFERROR(VLOOKUP($B68-IF(CompareVer="LY",1,0) &amp; $C68 &amp;AP$4,tblForecast,AP$2,FALSE),0)</f>
        <v>4.3867000000000003</v>
      </c>
      <c r="AQ68" s="47">
        <f t="shared" si="14"/>
        <v>0.1398089680169603</v>
      </c>
      <c r="AR68" s="73">
        <f>IF(IFERROR(VLOOKUP($B68 &amp; $C68&amp;AR$4,tblForecast,AR$2,FALSE),0)=0,DC68,IFERROR(VLOOKUP($B68 &amp; $C68&amp;AR$4,tblForecast,AR$2,FALSE),0))</f>
        <v>4.16</v>
      </c>
      <c r="AS68" s="94">
        <f t="shared" si="532"/>
        <v>4.16</v>
      </c>
      <c r="AT68" s="94">
        <f t="shared" si="532"/>
        <v>0</v>
      </c>
      <c r="AU68" s="49">
        <f>IFERROR(VLOOKUP($B68-IF(CompareVer="LY",1,0) &amp; $C68 &amp;AU$4,tblForecast,AU$2,FALSE),0)</f>
        <v>3.7814000000000001</v>
      </c>
      <c r="AV68" s="47">
        <f t="shared" si="16"/>
        <v>0.10012164806685364</v>
      </c>
      <c r="AW68" s="191">
        <f t="shared" si="533"/>
        <v>0.8001598721023182</v>
      </c>
      <c r="AX68" s="192">
        <f t="shared" si="533"/>
        <v>0.8001598721023182</v>
      </c>
      <c r="AY68" s="192">
        <f t="shared" si="533"/>
        <v>0</v>
      </c>
      <c r="AZ68" s="192">
        <f t="shared" si="533"/>
        <v>0.81275823800580504</v>
      </c>
      <c r="BA68" s="235">
        <f>IF(BA67+BV68+BL68+BR68-Q68&lt;0,0,BA67+BV68+BL68+BR68-Q68)</f>
        <v>133039</v>
      </c>
      <c r="BB68" s="231">
        <f>IF(IFERROR(VLOOKUP($B68 &amp; $C68&amp;BB$4,tblForecast,BB$2,FALSE),0)=0,BA68,IFERROR(VLOOKUP($B68 &amp; $C68&amp;BB$4,tblForecast,BB$2,FALSE),0))</f>
        <v>133039</v>
      </c>
      <c r="BC68" s="231">
        <f>IFERROR(VLOOKUP($B68-IF(CompareVer="LY",1,0) &amp; $C68 &amp;BC$4,tblForecast,BC$2,FALSE),0)</f>
        <v>0</v>
      </c>
      <c r="BD68" s="231">
        <f t="shared" si="534"/>
        <v>25445</v>
      </c>
      <c r="BE68" s="194">
        <f t="shared" si="19"/>
        <v>4.2284928276675178</v>
      </c>
      <c r="BF68" s="231">
        <f>IFERROR(VLOOKUP($B68 &amp; $C68&amp;IF($A68="a",BG$4,BF$4),tblForecast,BF$2,FALSE),0)</f>
        <v>0</v>
      </c>
      <c r="BG68" s="228">
        <f>IFERROR(VLOOKUP($B68-IF(CompareVer="LY",1,0) &amp; $C68 &amp;BG$4,tblForecast,BG$2,FALSE),0)</f>
        <v>1007</v>
      </c>
      <c r="BH68" s="179">
        <f>IF(Q68&lt;&gt;0,BA68/Q68,0)</f>
        <v>120.94454545454545</v>
      </c>
      <c r="BI68" s="183">
        <f>IF(T68&lt;&gt;0,BD68/T68,0)</f>
        <v>22.517699115044248</v>
      </c>
      <c r="BJ68" s="195">
        <f t="shared" si="535"/>
        <v>8.2682521666578978E-3</v>
      </c>
      <c r="BK68" s="50">
        <f t="shared" si="536"/>
        <v>4.4409510709373157E-2</v>
      </c>
      <c r="BL68" s="234">
        <f>IFERROR(VLOOKUP($B68 &amp; $C68&amp;IF($A68="a",BM$4,BL$4),tblForecast,BL$2,FALSE),0)</f>
        <v>0</v>
      </c>
      <c r="BM68" s="228">
        <f>IFERROR(VLOOKUP($B68-IF(CompareVer="LY",1,0) &amp; $C68 &amp;BM$4,tblForecast,BM$2,FALSE),0)</f>
        <v>-92</v>
      </c>
      <c r="BN68" s="234">
        <f>IFERROR(VLOOKUP($B68 &amp; $C68&amp;IF($A68="a",BO$4,BN$4),tblForecast,BN$2,FALSE),0)</f>
        <v>0</v>
      </c>
      <c r="BO68" s="228">
        <f>IFERROR(VLOOKUP($B68-IF(CompareVer="LY",1,0) &amp; $C68 &amp;BO$4,tblForecast,BO$2,FALSE),0)</f>
        <v>31</v>
      </c>
      <c r="BP68" s="234">
        <f>IFERROR(VLOOKUP($B68 &amp; $C68&amp;IF($A68="a",BQ$4,BP$4),tblForecast,BP$2,FALSE),0)</f>
        <v>0</v>
      </c>
      <c r="BQ68" s="228">
        <f>IFERROR(VLOOKUP($B68-IF(CompareVer="LY",1,0) &amp; $C68 &amp;BQ$4,tblForecast,BQ$2,FALSE),0)</f>
        <v>79</v>
      </c>
      <c r="BR68" s="227">
        <f t="shared" si="43"/>
        <v>0</v>
      </c>
      <c r="BS68" s="231">
        <f t="shared" si="22"/>
        <v>-48</v>
      </c>
      <c r="BT68" s="234">
        <f t="shared" si="537"/>
        <v>0</v>
      </c>
      <c r="BU68" s="231">
        <f t="shared" si="537"/>
        <v>0</v>
      </c>
      <c r="BV68" s="231">
        <f>IF($A68="a",IFERROR(VLOOKUP($B68 &amp; $C68&amp;BV$4,tblForecast,BV$2,FALSE),0),BT68+BU68)</f>
        <v>0</v>
      </c>
      <c r="BW68" s="231">
        <f t="shared" si="538"/>
        <v>0</v>
      </c>
      <c r="BX68" s="231">
        <f t="shared" si="538"/>
        <v>0</v>
      </c>
      <c r="BY68" s="193">
        <f>IFERROR(VLOOKUP($B68-IF(CompareVer="LY",1,0) &amp; $C68 &amp;BY$4,tblForecast,BY$2,FALSE),0)</f>
        <v>0</v>
      </c>
      <c r="BZ68" s="194">
        <f t="shared" si="25"/>
        <v>0</v>
      </c>
      <c r="CA68" s="337">
        <f t="shared" si="539"/>
        <v>0</v>
      </c>
      <c r="CB68" s="46">
        <f t="shared" si="539"/>
        <v>0</v>
      </c>
      <c r="CC68" s="46">
        <f>IF($A68="a",IFERROR(VLOOKUP($B68 &amp; $C68&amp;CC$4,tblForecast,CC$2,FALSE),0),CA68+CB68)</f>
        <v>0</v>
      </c>
      <c r="CD68" s="46">
        <f t="shared" si="540"/>
        <v>0</v>
      </c>
      <c r="CE68" s="46">
        <f t="shared" si="540"/>
        <v>0</v>
      </c>
      <c r="CF68" s="46">
        <f>IFERROR(VLOOKUP($B68-IF(CompareVer="LY",1,0) &amp; $C68 &amp;CF$4,tblForecast,CF$2,FALSE),0)</f>
        <v>0</v>
      </c>
      <c r="CG68" s="194">
        <f t="shared" si="28"/>
        <v>0</v>
      </c>
      <c r="CH68" s="337">
        <f t="shared" si="541"/>
        <v>0</v>
      </c>
      <c r="CI68" s="46">
        <f t="shared" si="541"/>
        <v>0</v>
      </c>
      <c r="CJ68" s="46">
        <f>IF($A68="a",IFERROR(VLOOKUP($B68 &amp; $C68&amp;CJ$4,tblForecast,CJ$2,FALSE),0),CH68+CI68)</f>
        <v>0</v>
      </c>
      <c r="CK68" s="46">
        <f t="shared" si="542"/>
        <v>0</v>
      </c>
      <c r="CL68" s="46">
        <f t="shared" si="542"/>
        <v>0</v>
      </c>
      <c r="CM68" s="46">
        <f>IFERROR(VLOOKUP($B68-IF(CompareVer="LY",1,0) &amp; $C68 &amp;CM$4,tblForecast,CM$2,FALSE),0)</f>
        <v>0</v>
      </c>
      <c r="CN68" s="194">
        <f t="shared" si="31"/>
        <v>0</v>
      </c>
      <c r="CO68" s="178">
        <f t="shared" si="46"/>
        <v>0</v>
      </c>
      <c r="CP68" s="223">
        <f t="shared" si="46"/>
        <v>0</v>
      </c>
      <c r="CQ68" s="194">
        <f t="shared" si="33"/>
        <v>0</v>
      </c>
      <c r="CR68" s="178">
        <f t="shared" si="44"/>
        <v>0</v>
      </c>
      <c r="CS68" s="223">
        <f t="shared" si="34"/>
        <v>0</v>
      </c>
      <c r="CT68" s="194">
        <f t="shared" si="47"/>
        <v>0</v>
      </c>
      <c r="CU68" s="44"/>
      <c r="CW68" s="102">
        <f>IFERROR(VLOOKUP($B68 &amp; $C68&amp;CompareVer,tblForecast,CW$2,FALSE),0)</f>
        <v>0</v>
      </c>
      <c r="CX68" s="48">
        <f>IFERROR(VLOOKUP($B68-IF(CompareVer="LY",1,0) &amp; $C68 &amp;CX$4,tblForecast,CX$2,FALSE),0)</f>
        <v>24438</v>
      </c>
      <c r="CY68" s="47">
        <f t="shared" si="36"/>
        <v>-1</v>
      </c>
      <c r="CZ68" s="278">
        <f>IFERROR(VLOOKUP(Brand&amp;Channel&amp;Country&amp;$C68,tblDiscount,6,FALSE),0)</f>
        <v>0.8</v>
      </c>
      <c r="DA68" s="279">
        <f>(1-CZ68)*DB68</f>
        <v>5.0039999999999987</v>
      </c>
      <c r="DB68" s="279">
        <f>IFERROR(VLOOKUP(Brand&amp;Country &amp; Channel &amp;FC,tblFCSettings,8,FALSE),0)</f>
        <v>25.02</v>
      </c>
      <c r="DC68" s="280">
        <f>IFERROR(VLOOKUP(Brand&amp;Country &amp; Channel &amp;FC,tblFCSettings,9,FALSE),0)</f>
        <v>4.16</v>
      </c>
    </row>
    <row r="69" spans="2:107" x14ac:dyDescent="0.25">
      <c r="B69" s="44">
        <v>2018</v>
      </c>
      <c r="C69" s="88">
        <v>46</v>
      </c>
      <c r="D69" s="51">
        <f t="shared" si="543"/>
        <v>-3835783.53106</v>
      </c>
      <c r="E69" s="202">
        <f t="shared" si="544"/>
        <v>-2910450.6388489995</v>
      </c>
      <c r="F69" s="182">
        <f t="shared" si="45"/>
        <v>0.7587630050762304</v>
      </c>
      <c r="G69" s="176">
        <f t="shared" si="525"/>
        <v>-139061</v>
      </c>
      <c r="H69" s="203">
        <f t="shared" si="525"/>
        <v>27.583459999999999</v>
      </c>
      <c r="I69" s="203">
        <f t="shared" si="525"/>
        <v>6.6541509999999997</v>
      </c>
      <c r="J69" s="176">
        <f>IFERROR(VLOOKUP($B69 &amp; $C69&amp;J$4&amp;$A69,tblForecast,J$2,FALSE),0)+IFERROR(VLOOKUP($B69 &amp; $C69 &amp; J$4 &amp; $A69,tblForecast,J$2+1,FALSE),0)</f>
        <v>270079</v>
      </c>
      <c r="K69" s="300">
        <f>IFERROR(VLOOKUP($B69 &amp; $C69&amp;K$4&amp;$A69,tblForecast,K$2,FALSE),0)+IFERROR(VLOOKUP($B69 &amp; $C69&amp;K$4&amp;$A69,tblForecast,K$2+1,FALSE),0)</f>
        <v>0</v>
      </c>
      <c r="L69" s="90">
        <f t="shared" si="526"/>
        <v>173320</v>
      </c>
      <c r="M69" s="90">
        <f t="shared" si="526"/>
        <v>173320</v>
      </c>
      <c r="N69" s="46">
        <f t="shared" si="526"/>
        <v>0</v>
      </c>
      <c r="O69" s="46">
        <f t="shared" si="526"/>
        <v>6384.9708000000001</v>
      </c>
      <c r="P69" s="47">
        <f t="shared" si="39"/>
        <v>26.144994930908688</v>
      </c>
      <c r="Q69" s="242">
        <f t="shared" si="545"/>
        <v>34664</v>
      </c>
      <c r="R69" s="240">
        <f t="shared" si="527"/>
        <v>34664</v>
      </c>
      <c r="S69" s="240">
        <f t="shared" si="527"/>
        <v>0</v>
      </c>
      <c r="T69" s="240">
        <f>IFERROR(VLOOKUP($B69-IF(CompareVer="LY",1,0) &amp; $C69 &amp;T$4,tblForecast,T$2,FALSE),0)</f>
        <v>1674</v>
      </c>
      <c r="U69" s="91">
        <f t="shared" si="7"/>
        <v>19.707287933094385</v>
      </c>
      <c r="V69" s="249">
        <f t="shared" si="546"/>
        <v>31.512727272727272</v>
      </c>
      <c r="W69" s="334">
        <f t="shared" si="547"/>
        <v>31.512727272727272</v>
      </c>
      <c r="X69" s="250">
        <f t="shared" si="548"/>
        <v>1.4814159292035398</v>
      </c>
      <c r="Y69" s="51">
        <f t="shared" si="528"/>
        <v>29117.759999999987</v>
      </c>
      <c r="Z69" s="46">
        <f t="shared" si="528"/>
        <v>29117.759999999987</v>
      </c>
      <c r="AA69" s="46">
        <f t="shared" si="528"/>
        <v>0</v>
      </c>
      <c r="AB69" s="46">
        <f t="shared" si="528"/>
        <v>65.95560000000026</v>
      </c>
      <c r="AC69" s="91">
        <f t="shared" si="9"/>
        <v>440.47517420810169</v>
      </c>
      <c r="AD69" s="75">
        <f>IF(AM69&lt;&gt;0,1-AR69/AM69,0)</f>
        <v>0.16799999999999993</v>
      </c>
      <c r="AE69" s="93">
        <f t="shared" si="529"/>
        <v>0.16799999999999993</v>
      </c>
      <c r="AF69" s="93">
        <f t="shared" si="529"/>
        <v>0</v>
      </c>
      <c r="AG69" s="76">
        <f t="shared" si="529"/>
        <v>1.0329820145771107E-2</v>
      </c>
      <c r="AH69" s="73">
        <f>IF(IFERROR(VLOOKUP($B69 &amp; $C69&amp;AH$4,tblForecast,AH$2,FALSE),0)=0,DB69,IFERROR(VLOOKUP($B69 &amp; $C69&amp;AH$4,tblForecast,AH$2,FALSE),0))</f>
        <v>25.02</v>
      </c>
      <c r="AI69" s="94">
        <f t="shared" si="530"/>
        <v>25.02</v>
      </c>
      <c r="AJ69" s="94">
        <f t="shared" si="530"/>
        <v>0</v>
      </c>
      <c r="AK69" s="49">
        <f>IFERROR(VLOOKUP($B69-IF(CompareVer="LY",1,0) &amp; $C69 &amp;AK$4,tblForecast,AK$2,FALSE),0)</f>
        <v>23.0823</v>
      </c>
      <c r="AL69" s="47">
        <f t="shared" si="492"/>
        <v>8.3947440246422644E-2</v>
      </c>
      <c r="AM69" s="73">
        <f>IF(IFERROR(VLOOKUP($B69 &amp; $C69&amp;AM$4,tblForecast,AM$2,FALSE),0)=0,DA69,IFERROR(VLOOKUP($B69 &amp; $C69&amp;AM$4,tblForecast,AM$2,FALSE),0))</f>
        <v>5</v>
      </c>
      <c r="AN69" s="94">
        <f t="shared" si="531"/>
        <v>5</v>
      </c>
      <c r="AO69" s="94">
        <f t="shared" si="531"/>
        <v>0</v>
      </c>
      <c r="AP69" s="49">
        <f>IFERROR(VLOOKUP($B69-IF(CompareVer="LY",1,0) &amp; $C69 &amp;AP$4,tblForecast,AP$2,FALSE),0)</f>
        <v>3.8142</v>
      </c>
      <c r="AQ69" s="47">
        <f t="shared" si="14"/>
        <v>0.31089088144302868</v>
      </c>
      <c r="AR69" s="73">
        <f>IF(IFERROR(VLOOKUP($B69 &amp; $C69&amp;AR$4,tblForecast,AR$2,FALSE),0)=0,DC69,IFERROR(VLOOKUP($B69 &amp; $C69&amp;AR$4,tblForecast,AR$2,FALSE),0))</f>
        <v>4.16</v>
      </c>
      <c r="AS69" s="94">
        <f t="shared" si="532"/>
        <v>4.16</v>
      </c>
      <c r="AT69" s="94">
        <f t="shared" si="532"/>
        <v>0</v>
      </c>
      <c r="AU69" s="49">
        <f>IFERROR(VLOOKUP($B69-IF(CompareVer="LY",1,0) &amp; $C69 &amp;AU$4,tblForecast,AU$2,FALSE),0)</f>
        <v>3.7747999999999999</v>
      </c>
      <c r="AV69" s="47">
        <f t="shared" si="16"/>
        <v>0.10204514146444854</v>
      </c>
      <c r="AW69" s="191">
        <f t="shared" si="533"/>
        <v>0.8001598721023182</v>
      </c>
      <c r="AX69" s="192">
        <f t="shared" si="533"/>
        <v>0.8001598721023182</v>
      </c>
      <c r="AY69" s="192">
        <f t="shared" si="533"/>
        <v>0</v>
      </c>
      <c r="AZ69" s="192">
        <f t="shared" si="533"/>
        <v>0.83475650173509575</v>
      </c>
      <c r="BA69" s="235">
        <f>IF(BA68+BV69+BL69+BR69-Q69&lt;0,0,BA68+BV69+BL69+BR69-Q69)</f>
        <v>98375</v>
      </c>
      <c r="BB69" s="231">
        <f>IF(IFERROR(VLOOKUP($B69 &amp; $C69&amp;BB$4,tblForecast,BB$2,FALSE),0)=0,BA69,IFERROR(VLOOKUP($B69 &amp; $C69&amp;BB$4,tblForecast,BB$2,FALSE),0))</f>
        <v>98375</v>
      </c>
      <c r="BC69" s="231">
        <f>IFERROR(VLOOKUP($B69-IF(CompareVer="LY",1,0) &amp; $C69 &amp;BC$4,tblForecast,BC$2,FALSE),0)</f>
        <v>0</v>
      </c>
      <c r="BD69" s="231">
        <f t="shared" si="534"/>
        <v>23446</v>
      </c>
      <c r="BE69" s="194">
        <f t="shared" si="19"/>
        <v>3.1958116523074303</v>
      </c>
      <c r="BF69" s="231">
        <f>IFERROR(VLOOKUP($B69 &amp; $C69&amp;IF($A69="a",BG$4,BF$4),tblForecast,BF$2,FALSE),0)</f>
        <v>0</v>
      </c>
      <c r="BG69" s="228">
        <f>IFERROR(VLOOKUP($B69-IF(CompareVer="LY",1,0) &amp; $C69 &amp;BG$4,tblForecast,BG$2,FALSE),0)</f>
        <v>1007</v>
      </c>
      <c r="BH69" s="179">
        <f>IF(Q69&lt;&gt;0,BA69/Q69,0)</f>
        <v>2.8379586891299331</v>
      </c>
      <c r="BI69" s="183">
        <f>IF(T69&lt;&gt;0,BD69/T69,0)</f>
        <v>14.005973715651136</v>
      </c>
      <c r="BJ69" s="195">
        <f t="shared" si="535"/>
        <v>0.3523659466327827</v>
      </c>
      <c r="BK69" s="50">
        <f t="shared" si="536"/>
        <v>7.1398106286786653E-2</v>
      </c>
      <c r="BL69" s="234">
        <f>IFERROR(VLOOKUP($B69 &amp; $C69&amp;IF($A69="a",BM$4,BL$4),tblForecast,BL$2,FALSE),0)</f>
        <v>0</v>
      </c>
      <c r="BM69" s="228">
        <f>IFERROR(VLOOKUP($B69-IF(CompareVer="LY",1,0) &amp; $C69 &amp;BM$4,tblForecast,BM$2,FALSE),0)</f>
        <v>-298</v>
      </c>
      <c r="BN69" s="234">
        <f>IFERROR(VLOOKUP($B69 &amp; $C69&amp;IF($A69="a",BO$4,BN$4),tblForecast,BN$2,FALSE),0)</f>
        <v>0</v>
      </c>
      <c r="BO69" s="228">
        <f>IFERROR(VLOOKUP($B69-IF(CompareVer="LY",1,0) &amp; $C69 &amp;BO$4,tblForecast,BO$2,FALSE),0)</f>
        <v>6</v>
      </c>
      <c r="BP69" s="234">
        <f>IFERROR(VLOOKUP($B69 &amp; $C69&amp;IF($A69="a",BQ$4,BP$4),tblForecast,BP$2,FALSE),0)</f>
        <v>0</v>
      </c>
      <c r="BQ69" s="228">
        <f>IFERROR(VLOOKUP($B69-IF(CompareVer="LY",1,0) &amp; $C69 &amp;BQ$4,tblForecast,BQ$2,FALSE),0)</f>
        <v>20</v>
      </c>
      <c r="BR69" s="227">
        <f t="shared" si="43"/>
        <v>0</v>
      </c>
      <c r="BS69" s="231">
        <f t="shared" si="22"/>
        <v>-14</v>
      </c>
      <c r="BT69" s="234">
        <f t="shared" si="537"/>
        <v>0</v>
      </c>
      <c r="BU69" s="231">
        <f t="shared" si="537"/>
        <v>0</v>
      </c>
      <c r="BV69" s="231">
        <f>IF($A69="a",IFERROR(VLOOKUP($B69 &amp; $C69&amp;BV$4,tblForecast,BV$2,FALSE),0),BT69+BU69)</f>
        <v>0</v>
      </c>
      <c r="BW69" s="231">
        <f t="shared" si="538"/>
        <v>0</v>
      </c>
      <c r="BX69" s="231">
        <f t="shared" si="538"/>
        <v>0</v>
      </c>
      <c r="BY69" s="193">
        <f>IFERROR(VLOOKUP($B69-IF(CompareVer="LY",1,0) &amp; $C69 &amp;BY$4,tblForecast,BY$2,FALSE),0)</f>
        <v>0</v>
      </c>
      <c r="BZ69" s="194">
        <f t="shared" si="25"/>
        <v>0</v>
      </c>
      <c r="CA69" s="337">
        <f t="shared" si="539"/>
        <v>0</v>
      </c>
      <c r="CB69" s="46">
        <f t="shared" si="539"/>
        <v>0</v>
      </c>
      <c r="CC69" s="46">
        <f>IF($A69="a",IFERROR(VLOOKUP($B69 &amp; $C69&amp;CC$4,tblForecast,CC$2,FALSE),0),CA69+CB69)</f>
        <v>0</v>
      </c>
      <c r="CD69" s="46">
        <f t="shared" si="540"/>
        <v>0</v>
      </c>
      <c r="CE69" s="46">
        <f t="shared" si="540"/>
        <v>0</v>
      </c>
      <c r="CF69" s="46">
        <f>IFERROR(VLOOKUP($B69-IF(CompareVer="LY",1,0) &amp; $C69 &amp;CF$4,tblForecast,CF$2,FALSE),0)</f>
        <v>0</v>
      </c>
      <c r="CG69" s="194">
        <f t="shared" si="28"/>
        <v>0</v>
      </c>
      <c r="CH69" s="337">
        <f t="shared" si="541"/>
        <v>0</v>
      </c>
      <c r="CI69" s="46">
        <f t="shared" si="541"/>
        <v>0</v>
      </c>
      <c r="CJ69" s="46">
        <f>IF($A69="a",IFERROR(VLOOKUP($B69 &amp; $C69&amp;CJ$4,tblForecast,CJ$2,FALSE),0),CH69+CI69)</f>
        <v>0</v>
      </c>
      <c r="CK69" s="46">
        <f t="shared" si="542"/>
        <v>0</v>
      </c>
      <c r="CL69" s="46">
        <f t="shared" si="542"/>
        <v>0</v>
      </c>
      <c r="CM69" s="46">
        <f>IFERROR(VLOOKUP($B69-IF(CompareVer="LY",1,0) &amp; $C69 &amp;CM$4,tblForecast,CM$2,FALSE),0)</f>
        <v>0</v>
      </c>
      <c r="CN69" s="194">
        <f t="shared" si="31"/>
        <v>0</v>
      </c>
      <c r="CO69" s="178">
        <f t="shared" si="46"/>
        <v>0</v>
      </c>
      <c r="CP69" s="223">
        <f t="shared" si="46"/>
        <v>0</v>
      </c>
      <c r="CQ69" s="194">
        <f t="shared" si="33"/>
        <v>0</v>
      </c>
      <c r="CR69" s="178">
        <f t="shared" si="44"/>
        <v>0</v>
      </c>
      <c r="CS69" s="223">
        <f t="shared" si="34"/>
        <v>0</v>
      </c>
      <c r="CT69" s="194">
        <f t="shared" si="47"/>
        <v>0</v>
      </c>
      <c r="CU69" s="44"/>
      <c r="CW69" s="102">
        <f>IFERROR(VLOOKUP($B69 &amp; $C69&amp;27,tblForecast,CW$2,FALSE),0)</f>
        <v>0</v>
      </c>
      <c r="CX69" s="48">
        <f>IFERROR(VLOOKUP($B69-IF(CompareVer="LY",1,0) &amp; $C69 &amp;CX$4,tblForecast,CX$2,FALSE),0)</f>
        <v>22439</v>
      </c>
      <c r="CY69" s="47">
        <f t="shared" si="36"/>
        <v>-1</v>
      </c>
      <c r="CZ69" s="278">
        <f>IFERROR(VLOOKUP(Brand&amp;Channel&amp;Country&amp;$C69,tblDiscount,6,FALSE),0)</f>
        <v>0.8</v>
      </c>
      <c r="DA69" s="279">
        <f>(1-CZ69)*DB69</f>
        <v>5.0039999999999987</v>
      </c>
      <c r="DB69" s="279">
        <f>IFERROR(VLOOKUP(Brand&amp;Country &amp; Channel &amp;FC,tblFCSettings,8,FALSE),0)</f>
        <v>25.02</v>
      </c>
      <c r="DC69" s="280">
        <f>IFERROR(VLOOKUP(Brand&amp;Country &amp; Channel &amp;FC,tblFCSettings,9,FALSE),0)</f>
        <v>4.16</v>
      </c>
    </row>
    <row r="70" spans="2:107" x14ac:dyDescent="0.25">
      <c r="B70" s="44">
        <v>2018</v>
      </c>
      <c r="C70" s="88">
        <v>47</v>
      </c>
      <c r="D70" s="51">
        <f t="shared" si="543"/>
        <v>-4125068.8963519996</v>
      </c>
      <c r="E70" s="202">
        <f t="shared" si="544"/>
        <v>-3321206.0638799998</v>
      </c>
      <c r="F70" s="182">
        <f t="shared" si="45"/>
        <v>0.80512741661529696</v>
      </c>
      <c r="G70" s="176">
        <f t="shared" si="525"/>
        <v>-179986</v>
      </c>
      <c r="H70" s="203">
        <f t="shared" si="525"/>
        <v>22.918831999999998</v>
      </c>
      <c r="I70" s="203">
        <f t="shared" si="525"/>
        <v>4.4662519999999999</v>
      </c>
      <c r="J70" s="176">
        <f>IFERROR(VLOOKUP($B70 &amp; $C70&amp;J$4&amp;$A70,tblForecast,J$2,FALSE),0)+IFERROR(VLOOKUP($B70 &amp; $C70 &amp; J$4 &amp; $A70,tblForecast,J$2+1,FALSE),0)</f>
        <v>245286</v>
      </c>
      <c r="K70" s="300">
        <f>IFERROR(VLOOKUP($B70 &amp; $C70&amp;K$4&amp;$A70,tblForecast,K$2,FALSE),0)+IFERROR(VLOOKUP($B70 &amp; $C70&amp;K$4&amp;$A70,tblForecast,K$2+1,FALSE),0)</f>
        <v>0</v>
      </c>
      <c r="L70" s="90">
        <f t="shared" si="526"/>
        <v>19365</v>
      </c>
      <c r="M70" s="90">
        <f t="shared" si="526"/>
        <v>19365</v>
      </c>
      <c r="N70" s="46">
        <f t="shared" si="526"/>
        <v>0</v>
      </c>
      <c r="O70" s="46">
        <f t="shared" si="526"/>
        <v>5660.0375000000004</v>
      </c>
      <c r="P70" s="47">
        <f t="shared" si="39"/>
        <v>2.4213554238819088</v>
      </c>
      <c r="Q70" s="242">
        <f t="shared" si="545"/>
        <v>3873</v>
      </c>
      <c r="R70" s="240">
        <f t="shared" si="527"/>
        <v>3873</v>
      </c>
      <c r="S70" s="240">
        <f t="shared" si="527"/>
        <v>0</v>
      </c>
      <c r="T70" s="240">
        <f>IFERROR(VLOOKUP($B70-IF(CompareVer="LY",1,0) &amp; $C70 &amp;T$4,tblForecast,T$2,FALSE),0)</f>
        <v>1525</v>
      </c>
      <c r="U70" s="91">
        <f t="shared" si="7"/>
        <v>1.5396721311475412</v>
      </c>
      <c r="V70" s="249">
        <f t="shared" si="546"/>
        <v>0.11172974844218786</v>
      </c>
      <c r="W70" s="334">
        <f t="shared" si="547"/>
        <v>0.11172974844218786</v>
      </c>
      <c r="X70" s="250">
        <f t="shared" si="548"/>
        <v>0.91099163679808837</v>
      </c>
      <c r="Y70" s="51">
        <f t="shared" si="528"/>
        <v>3253.3199999999988</v>
      </c>
      <c r="Z70" s="46">
        <f t="shared" si="528"/>
        <v>3253.3199999999988</v>
      </c>
      <c r="AA70" s="46">
        <f t="shared" si="528"/>
        <v>0</v>
      </c>
      <c r="AB70" s="46">
        <f t="shared" si="528"/>
        <v>-131.91249999999965</v>
      </c>
      <c r="AC70" s="91">
        <f t="shared" si="9"/>
        <v>-25.662712025016639</v>
      </c>
      <c r="AD70" s="75">
        <f>IF(AM70&lt;&gt;0,1-AR70/AM70,0)</f>
        <v>0.16799999999999993</v>
      </c>
      <c r="AE70" s="93">
        <f t="shared" si="529"/>
        <v>0.16799999999999993</v>
      </c>
      <c r="AF70" s="93">
        <f t="shared" si="529"/>
        <v>0</v>
      </c>
      <c r="AG70" s="76">
        <f t="shared" si="529"/>
        <v>-2.3305940994207131E-2</v>
      </c>
      <c r="AH70" s="73">
        <f>IF(IFERROR(VLOOKUP($B70 &amp; $C70&amp;AH$4,tblForecast,AH$2,FALSE),0)=0,DB70,IFERROR(VLOOKUP($B70 &amp; $C70&amp;AH$4,tblForecast,AH$2,FALSE),0))</f>
        <v>25.02</v>
      </c>
      <c r="AI70" s="94">
        <f t="shared" si="530"/>
        <v>25.02</v>
      </c>
      <c r="AJ70" s="94">
        <f t="shared" si="530"/>
        <v>0</v>
      </c>
      <c r="AK70" s="49">
        <f>IFERROR(VLOOKUP($B70-IF(CompareVer="LY",1,0) &amp; $C70 &amp;AK$4,tblForecast,AK$2,FALSE),0)</f>
        <v>23.2257</v>
      </c>
      <c r="AL70" s="47">
        <f t="shared" si="492"/>
        <v>7.7254937418463232E-2</v>
      </c>
      <c r="AM70" s="73">
        <f>IF(IFERROR(VLOOKUP($B70 &amp; $C70&amp;AM$4,tblForecast,AM$2,FALSE),0)=0,DA70,IFERROR(VLOOKUP($B70 &amp; $C70&amp;AM$4,tblForecast,AM$2,FALSE),0))</f>
        <v>5</v>
      </c>
      <c r="AN70" s="94">
        <f t="shared" si="531"/>
        <v>5</v>
      </c>
      <c r="AO70" s="94">
        <f t="shared" si="531"/>
        <v>0</v>
      </c>
      <c r="AP70" s="49">
        <f>IFERROR(VLOOKUP($B70-IF(CompareVer="LY",1,0) &amp; $C70 &amp;AP$4,tblForecast,AP$2,FALSE),0)</f>
        <v>3.7115</v>
      </c>
      <c r="AQ70" s="47">
        <f t="shared" si="14"/>
        <v>0.34716421931833485</v>
      </c>
      <c r="AR70" s="73">
        <f>IF(IFERROR(VLOOKUP($B70 &amp; $C70&amp;AR$4,tblForecast,AR$2,FALSE),0)=0,DC70,IFERROR(VLOOKUP($B70 &amp; $C70&amp;AR$4,tblForecast,AR$2,FALSE),0))</f>
        <v>4.16</v>
      </c>
      <c r="AS70" s="94">
        <f t="shared" si="532"/>
        <v>4.16</v>
      </c>
      <c r="AT70" s="94">
        <f t="shared" si="532"/>
        <v>0</v>
      </c>
      <c r="AU70" s="49">
        <f>IFERROR(VLOOKUP($B70-IF(CompareVer="LY",1,0) &amp; $C70 &amp;AU$4,tblForecast,AU$2,FALSE),0)</f>
        <v>3.798</v>
      </c>
      <c r="AV70" s="47">
        <f t="shared" si="16"/>
        <v>9.531332280147442E-2</v>
      </c>
      <c r="AW70" s="191">
        <f t="shared" si="533"/>
        <v>0.8001598721023182</v>
      </c>
      <c r="AX70" s="192">
        <f t="shared" si="533"/>
        <v>0.8001598721023182</v>
      </c>
      <c r="AY70" s="192">
        <f t="shared" si="533"/>
        <v>0</v>
      </c>
      <c r="AZ70" s="192">
        <f t="shared" si="533"/>
        <v>0.84019857313234914</v>
      </c>
      <c r="BA70" s="235">
        <f>IF(BA69+BV70+BL70+BR70-Q70&lt;0,0,BA69+BV70+BL70+BR70-Q70)</f>
        <v>94502</v>
      </c>
      <c r="BB70" s="231">
        <f>IF(IFERROR(VLOOKUP($B70 &amp; $C70&amp;BB$4,tblForecast,BB$2,FALSE),0)=0,BA70,IFERROR(VLOOKUP($B70 &amp; $C70&amp;BB$4,tblForecast,BB$2,FALSE),0))</f>
        <v>94502</v>
      </c>
      <c r="BC70" s="231">
        <f>IFERROR(VLOOKUP($B70-IF(CompareVer="LY",1,0) &amp; $C70 &amp;BC$4,tblForecast,BC$2,FALSE),0)</f>
        <v>0</v>
      </c>
      <c r="BD70" s="231">
        <f t="shared" si="534"/>
        <v>21312</v>
      </c>
      <c r="BE70" s="194">
        <f t="shared" si="19"/>
        <v>3.4342154654654653</v>
      </c>
      <c r="BF70" s="231">
        <f>IFERROR(VLOOKUP($B70 &amp; $C70&amp;IF($A70="a",BG$4,BF$4),tblForecast,BF$2,FALSE),0)</f>
        <v>0</v>
      </c>
      <c r="BG70" s="228">
        <f>IFERROR(VLOOKUP($B70-IF(CompareVer="LY",1,0) &amp; $C70 &amp;BG$4,tblForecast,BG$2,FALSE),0)</f>
        <v>1007</v>
      </c>
      <c r="BH70" s="179">
        <f>IF(Q70&lt;&gt;0,BA70/Q70,0)</f>
        <v>24.400206558223598</v>
      </c>
      <c r="BI70" s="183">
        <f>IF(T70&lt;&gt;0,BD70/T70,0)</f>
        <v>13.975081967213114</v>
      </c>
      <c r="BJ70" s="195">
        <f t="shared" si="535"/>
        <v>4.0983259613553154E-2</v>
      </c>
      <c r="BK70" s="50">
        <f t="shared" si="536"/>
        <v>7.1555930930930933E-2</v>
      </c>
      <c r="BL70" s="234">
        <f>IFERROR(VLOOKUP($B70 &amp; $C70&amp;IF($A70="a",BM$4,BL$4),tblForecast,BL$2,FALSE),0)</f>
        <v>0</v>
      </c>
      <c r="BM70" s="228">
        <f>IFERROR(VLOOKUP($B70-IF(CompareVer="LY",1,0) &amp; $C70 &amp;BM$4,tblForecast,BM$2,FALSE),0)</f>
        <v>-579</v>
      </c>
      <c r="BN70" s="234">
        <f>IFERROR(VLOOKUP($B70 &amp; $C70&amp;IF($A70="a",BO$4,BN$4),tblForecast,BN$2,FALSE),0)</f>
        <v>0</v>
      </c>
      <c r="BO70" s="228">
        <f>IFERROR(VLOOKUP($B70-IF(CompareVer="LY",1,0) &amp; $C70 &amp;BO$4,tblForecast,BO$2,FALSE),0)</f>
        <v>19</v>
      </c>
      <c r="BP70" s="234">
        <f>IFERROR(VLOOKUP($B70 &amp; $C70&amp;IF($A70="a",BQ$4,BP$4),tblForecast,BP$2,FALSE),0)</f>
        <v>0</v>
      </c>
      <c r="BQ70" s="228">
        <f>IFERROR(VLOOKUP($B70-IF(CompareVer="LY",1,0) &amp; $C70 &amp;BQ$4,tblForecast,BQ$2,FALSE),0)</f>
        <v>49</v>
      </c>
      <c r="BR70" s="227">
        <f t="shared" si="43"/>
        <v>0</v>
      </c>
      <c r="BS70" s="231">
        <f t="shared" si="22"/>
        <v>-30</v>
      </c>
      <c r="BT70" s="234">
        <f t="shared" si="537"/>
        <v>0</v>
      </c>
      <c r="BU70" s="231">
        <f t="shared" si="537"/>
        <v>0</v>
      </c>
      <c r="BV70" s="231">
        <f>IF($A70="a",IFERROR(VLOOKUP($B70 &amp; $C70&amp;BV$4,tblForecast,BV$2,FALSE),0),BT70+BU70)</f>
        <v>0</v>
      </c>
      <c r="BW70" s="231">
        <f t="shared" si="538"/>
        <v>0</v>
      </c>
      <c r="BX70" s="231">
        <f t="shared" si="538"/>
        <v>0</v>
      </c>
      <c r="BY70" s="193">
        <f>IFERROR(VLOOKUP($B70-IF(CompareVer="LY",1,0) &amp; $C70 &amp;BY$4,tblForecast,BY$2,FALSE),0)</f>
        <v>0</v>
      </c>
      <c r="BZ70" s="194">
        <f t="shared" si="25"/>
        <v>0</v>
      </c>
      <c r="CA70" s="337">
        <f t="shared" si="539"/>
        <v>0</v>
      </c>
      <c r="CB70" s="46">
        <f t="shared" si="539"/>
        <v>0</v>
      </c>
      <c r="CC70" s="46">
        <f>IF($A70="a",IFERROR(VLOOKUP($B70 &amp; $C70&amp;CC$4,tblForecast,CC$2,FALSE),0),CA70+CB70)</f>
        <v>0</v>
      </c>
      <c r="CD70" s="46">
        <f t="shared" si="540"/>
        <v>0</v>
      </c>
      <c r="CE70" s="46">
        <f t="shared" si="540"/>
        <v>0</v>
      </c>
      <c r="CF70" s="46">
        <f>IFERROR(VLOOKUP($B70-IF(CompareVer="LY",1,0) &amp; $C70 &amp;CF$4,tblForecast,CF$2,FALSE),0)</f>
        <v>0</v>
      </c>
      <c r="CG70" s="194">
        <f t="shared" si="28"/>
        <v>0</v>
      </c>
      <c r="CH70" s="337">
        <f t="shared" si="541"/>
        <v>0</v>
      </c>
      <c r="CI70" s="46">
        <f t="shared" si="541"/>
        <v>0</v>
      </c>
      <c r="CJ70" s="46">
        <f>IF($A70="a",IFERROR(VLOOKUP($B70 &amp; $C70&amp;CJ$4,tblForecast,CJ$2,FALSE),0),CH70+CI70)</f>
        <v>0</v>
      </c>
      <c r="CK70" s="46">
        <f t="shared" si="542"/>
        <v>0</v>
      </c>
      <c r="CL70" s="46">
        <f t="shared" si="542"/>
        <v>0</v>
      </c>
      <c r="CM70" s="46">
        <f>IFERROR(VLOOKUP($B70-IF(CompareVer="LY",1,0) &amp; $C70 &amp;CM$4,tblForecast,CM$2,FALSE),0)</f>
        <v>0</v>
      </c>
      <c r="CN70" s="194">
        <f t="shared" si="31"/>
        <v>0</v>
      </c>
      <c r="CO70" s="178">
        <f t="shared" si="46"/>
        <v>0</v>
      </c>
      <c r="CP70" s="223">
        <f t="shared" si="46"/>
        <v>0</v>
      </c>
      <c r="CQ70" s="194">
        <f t="shared" si="33"/>
        <v>0</v>
      </c>
      <c r="CR70" s="178">
        <f t="shared" si="44"/>
        <v>0</v>
      </c>
      <c r="CS70" s="223">
        <f t="shared" si="34"/>
        <v>0</v>
      </c>
      <c r="CT70" s="194">
        <f t="shared" si="47"/>
        <v>0</v>
      </c>
      <c r="CU70" s="44"/>
      <c r="CW70" s="102">
        <f>IFERROR(VLOOKUP($B70 &amp; $C70&amp;27,tblForecast,CW$2,FALSE),0)</f>
        <v>0</v>
      </c>
      <c r="CX70" s="48">
        <f>IFERROR(VLOOKUP($B70-IF(CompareVer="LY",1,0) &amp; $C70 &amp;CX$4,tblForecast,CX$2,FALSE),0)</f>
        <v>20305</v>
      </c>
      <c r="CY70" s="47">
        <f t="shared" si="36"/>
        <v>-1</v>
      </c>
      <c r="CZ70" s="278">
        <f>IFERROR(VLOOKUP(Brand&amp;Channel&amp;Country&amp;$C70,tblDiscount,6,FALSE),0)</f>
        <v>0.8</v>
      </c>
      <c r="DA70" s="279">
        <f>(1-CZ70)*DB70</f>
        <v>5.0039999999999987</v>
      </c>
      <c r="DB70" s="279">
        <f>IFERROR(VLOOKUP(Brand&amp;Country &amp; Channel &amp;FC,tblFCSettings,8,FALSE),0)</f>
        <v>25.02</v>
      </c>
      <c r="DC70" s="280">
        <f>IFERROR(VLOOKUP(Brand&amp;Country &amp; Channel &amp;FC,tblFCSettings,9,FALSE),0)</f>
        <v>4.16</v>
      </c>
    </row>
    <row r="71" spans="2:107" ht="16.5" thickBot="1" x14ac:dyDescent="0.3">
      <c r="B71" s="44">
        <v>2018</v>
      </c>
      <c r="C71" s="88">
        <v>48</v>
      </c>
      <c r="D71" s="51">
        <f t="shared" si="543"/>
        <v>-3783450.0115920003</v>
      </c>
      <c r="E71" s="202">
        <f t="shared" si="544"/>
        <v>-3218637.028684</v>
      </c>
      <c r="F71" s="182">
        <f t="shared" si="45"/>
        <v>0.85071482874691451</v>
      </c>
      <c r="G71" s="176">
        <f t="shared" si="525"/>
        <v>-165574</v>
      </c>
      <c r="H71" s="203">
        <f t="shared" si="525"/>
        <v>22.850508000000001</v>
      </c>
      <c r="I71" s="203">
        <f t="shared" si="525"/>
        <v>3.4112420000000001</v>
      </c>
      <c r="J71" s="176">
        <f>IFERROR(VLOOKUP($B71 &amp; $C71&amp;J$4&amp;$A71,tblForecast,J$2,FALSE),0)+IFERROR(VLOOKUP($B71 &amp; $C71 &amp; J$4 &amp; $A71,tblForecast,J$2+1,FALSE),0)</f>
        <v>228899</v>
      </c>
      <c r="K71" s="300">
        <f>IFERROR(VLOOKUP($B71 &amp; $C71&amp;K$4&amp;$A71,tblForecast,K$2,FALSE),0)+IFERROR(VLOOKUP($B71 &amp; $C71&amp;K$4&amp;$A71,tblForecast,K$2+1,FALSE),0)</f>
        <v>0</v>
      </c>
      <c r="L71" s="90">
        <f t="shared" si="526"/>
        <v>28225</v>
      </c>
      <c r="M71" s="90">
        <f t="shared" si="526"/>
        <v>28225</v>
      </c>
      <c r="N71" s="46">
        <f t="shared" si="526"/>
        <v>0</v>
      </c>
      <c r="O71" s="46">
        <f t="shared" si="526"/>
        <v>7933.8719999999994</v>
      </c>
      <c r="P71" s="47">
        <f t="shared" si="39"/>
        <v>2.5575315558405785</v>
      </c>
      <c r="Q71" s="242">
        <f t="shared" si="545"/>
        <v>5645</v>
      </c>
      <c r="R71" s="240">
        <f t="shared" si="527"/>
        <v>5645</v>
      </c>
      <c r="S71" s="240">
        <f t="shared" si="527"/>
        <v>0</v>
      </c>
      <c r="T71" s="240">
        <f>IFERROR(VLOOKUP($B71-IF(CompareVer="LY",1,0) &amp; $C71 &amp;T$4,tblForecast,T$2,FALSE),0)</f>
        <v>2680</v>
      </c>
      <c r="U71" s="91">
        <f t="shared" si="7"/>
        <v>1.1063432835820897</v>
      </c>
      <c r="V71" s="249">
        <f t="shared" si="546"/>
        <v>1.4575264652723987</v>
      </c>
      <c r="W71" s="334">
        <f t="shared" si="547"/>
        <v>1.4575264652723987</v>
      </c>
      <c r="X71" s="250">
        <f t="shared" si="548"/>
        <v>1.7573770491803278</v>
      </c>
      <c r="Y71" s="51">
        <f t="shared" si="528"/>
        <v>4741.7999999999984</v>
      </c>
      <c r="Z71" s="46">
        <f t="shared" si="528"/>
        <v>4741.7999999999984</v>
      </c>
      <c r="AA71" s="46">
        <f t="shared" si="528"/>
        <v>0</v>
      </c>
      <c r="AB71" s="46">
        <f t="shared" si="528"/>
        <v>-3236.1000000000017</v>
      </c>
      <c r="AC71" s="91">
        <f t="shared" si="9"/>
        <v>-2.4652822842310176</v>
      </c>
      <c r="AD71" s="75">
        <f>IF(AM71&lt;&gt;0,1-AR71/AM71,0)</f>
        <v>0.16799999999999993</v>
      </c>
      <c r="AE71" s="93">
        <f t="shared" si="529"/>
        <v>0.16799999999999993</v>
      </c>
      <c r="AF71" s="93">
        <f t="shared" si="529"/>
        <v>0</v>
      </c>
      <c r="AG71" s="76">
        <f t="shared" si="529"/>
        <v>-0.40788406972030833</v>
      </c>
      <c r="AH71" s="73">
        <f>IF(IFERROR(VLOOKUP($B71 &amp; $C71&amp;AH$4,tblForecast,AH$2,FALSE),0)=0,DB71,IFERROR(VLOOKUP($B71 &amp; $C71&amp;AH$4,tblForecast,AH$2,FALSE),0))</f>
        <v>25.02</v>
      </c>
      <c r="AI71" s="94">
        <f t="shared" si="530"/>
        <v>25.02</v>
      </c>
      <c r="AJ71" s="94">
        <f t="shared" si="530"/>
        <v>0</v>
      </c>
      <c r="AK71" s="49">
        <f>IFERROR(VLOOKUP($B71-IF(CompareVer="LY",1,0) &amp; $C71 &amp;AK$4,tblForecast,AK$2,FALSE),0)</f>
        <v>25.662500000000001</v>
      </c>
      <c r="AL71" s="47">
        <f t="shared" si="492"/>
        <v>-2.5036531904530035E-2</v>
      </c>
      <c r="AM71" s="73">
        <f>IF(IFERROR(VLOOKUP($B71 &amp; $C71&amp;AM$4,tblForecast,AM$2,FALSE),0)=0,DA71,IFERROR(VLOOKUP($B71 &amp; $C71&amp;AM$4,tblForecast,AM$2,FALSE),0))</f>
        <v>5</v>
      </c>
      <c r="AN71" s="94">
        <f t="shared" si="531"/>
        <v>5</v>
      </c>
      <c r="AO71" s="94">
        <f t="shared" si="531"/>
        <v>0</v>
      </c>
      <c r="AP71" s="49">
        <f>IFERROR(VLOOKUP($B71-IF(CompareVer="LY",1,0) &amp; $C71 &amp;AP$4,tblForecast,AP$2,FALSE),0)</f>
        <v>2.9603999999999999</v>
      </c>
      <c r="AQ71" s="47">
        <f t="shared" si="14"/>
        <v>0.68896095122280787</v>
      </c>
      <c r="AR71" s="73">
        <f>IF(IFERROR(VLOOKUP($B71 &amp; $C71&amp;AR$4,tblForecast,AR$2,FALSE),0)=0,DC71,IFERROR(VLOOKUP($B71 &amp; $C71&amp;AR$4,tblForecast,AR$2,FALSE),0))</f>
        <v>4.16</v>
      </c>
      <c r="AS71" s="94">
        <f t="shared" si="532"/>
        <v>4.16</v>
      </c>
      <c r="AT71" s="94">
        <f t="shared" si="532"/>
        <v>0</v>
      </c>
      <c r="AU71" s="49">
        <f>IFERROR(VLOOKUP($B71-IF(CompareVer="LY",1,0) &amp; $C71 &amp;AU$4,tblForecast,AU$2,FALSE),0)</f>
        <v>4.1679000000000004</v>
      </c>
      <c r="AV71" s="47">
        <f t="shared" si="16"/>
        <v>-1.8954389500708269E-3</v>
      </c>
      <c r="AW71" s="191">
        <f t="shared" si="533"/>
        <v>0.8001598721023182</v>
      </c>
      <c r="AX71" s="192">
        <f t="shared" si="533"/>
        <v>0.8001598721023182</v>
      </c>
      <c r="AY71" s="192">
        <f t="shared" si="533"/>
        <v>0</v>
      </c>
      <c r="AZ71" s="192">
        <f t="shared" si="533"/>
        <v>0.88464101315148569</v>
      </c>
      <c r="BA71" s="235">
        <f>IF(BA70+BV71+BL71+BR71-Q71&lt;0,0,BA70+BV71+BL71+BR71-Q71)</f>
        <v>88857</v>
      </c>
      <c r="BB71" s="231">
        <f>IF(IFERROR(VLOOKUP($B71 &amp; $C71&amp;BB$4,tblForecast,BB$2,FALSE),0)=0,BA71,IFERROR(VLOOKUP($B71 &amp; $C71&amp;BB$4,tblForecast,BB$2,FALSE),0))</f>
        <v>88857</v>
      </c>
      <c r="BC71" s="231">
        <f>IFERROR(VLOOKUP($B71-IF(CompareVer="LY",1,0) &amp; $C71 &amp;BC$4,tblForecast,BC$2,FALSE),0)</f>
        <v>0</v>
      </c>
      <c r="BD71" s="231">
        <f t="shared" si="534"/>
        <v>18473</v>
      </c>
      <c r="BE71" s="194">
        <f t="shared" si="19"/>
        <v>3.8101012288204403</v>
      </c>
      <c r="BF71" s="231">
        <f>IFERROR(VLOOKUP($B71 &amp; $C71&amp;IF($A71="a",BG$4,BF$4),tblForecast,BF$2,FALSE),0)</f>
        <v>0</v>
      </c>
      <c r="BG71" s="228">
        <f>IFERROR(VLOOKUP($B71-IF(CompareVer="LY",1,0) &amp; $C71 &amp;BG$4,tblForecast,BG$2,FALSE),0)</f>
        <v>1007</v>
      </c>
      <c r="BH71" s="179">
        <f>IF(Q71&lt;&gt;0,BA71/Q71,0)</f>
        <v>15.740832595217006</v>
      </c>
      <c r="BI71" s="183">
        <f>IF(T71&lt;&gt;0,BD71/T71,0)</f>
        <v>6.892910447761194</v>
      </c>
      <c r="BJ71" s="195">
        <f t="shared" si="535"/>
        <v>6.3529041043474344E-2</v>
      </c>
      <c r="BK71" s="50">
        <f t="shared" si="536"/>
        <v>0.14507659827856872</v>
      </c>
      <c r="BL71" s="234">
        <f>IFERROR(VLOOKUP($B71 &amp; $C71&amp;IF($A71="a",BM$4,BL$4),tblForecast,BL$2,FALSE),0)</f>
        <v>0</v>
      </c>
      <c r="BM71" s="228">
        <f>IFERROR(VLOOKUP($B71-IF(CompareVer="LY",1,0) &amp; $C71 &amp;BM$4,tblForecast,BM$2,FALSE),0)</f>
        <v>-196</v>
      </c>
      <c r="BN71" s="234">
        <f>IFERROR(VLOOKUP($B71 &amp; $C71&amp;IF($A71="a",BO$4,BN$4),tblForecast,BN$2,FALSE),0)</f>
        <v>0</v>
      </c>
      <c r="BO71" s="228">
        <f>IFERROR(VLOOKUP($B71-IF(CompareVer="LY",1,0) &amp; $C71 &amp;BO$4,tblForecast,BO$2,FALSE),0)</f>
        <v>37</v>
      </c>
      <c r="BP71" s="234">
        <f>IFERROR(VLOOKUP($B71 &amp; $C71&amp;IF($A71="a",BQ$4,BP$4),tblForecast,BP$2,FALSE),0)</f>
        <v>0</v>
      </c>
      <c r="BQ71" s="228">
        <f>IFERROR(VLOOKUP($B71-IF(CompareVer="LY",1,0) &amp; $C71 &amp;BQ$4,tblForecast,BQ$2,FALSE),0)</f>
        <v>0</v>
      </c>
      <c r="BR71" s="227">
        <f t="shared" si="43"/>
        <v>0</v>
      </c>
      <c r="BS71" s="231">
        <f t="shared" si="22"/>
        <v>37</v>
      </c>
      <c r="BT71" s="234">
        <f t="shared" si="537"/>
        <v>0</v>
      </c>
      <c r="BU71" s="231">
        <f t="shared" si="537"/>
        <v>0</v>
      </c>
      <c r="BV71" s="231">
        <f>IF($A71="a",IFERROR(VLOOKUP($B71 &amp; $C71&amp;BV$4,tblForecast,BV$2,FALSE),0),BT71+BU71)</f>
        <v>0</v>
      </c>
      <c r="BW71" s="231">
        <f t="shared" si="538"/>
        <v>0</v>
      </c>
      <c r="BX71" s="231">
        <f t="shared" si="538"/>
        <v>0</v>
      </c>
      <c r="BY71" s="193">
        <f>IFERROR(VLOOKUP($B71-IF(CompareVer="LY",1,0) &amp; $C71 &amp;BY$4,tblForecast,BY$2,FALSE),0)</f>
        <v>0</v>
      </c>
      <c r="BZ71" s="194">
        <f t="shared" si="25"/>
        <v>0</v>
      </c>
      <c r="CA71" s="337">
        <f t="shared" si="539"/>
        <v>0</v>
      </c>
      <c r="CB71" s="46">
        <f t="shared" si="539"/>
        <v>0</v>
      </c>
      <c r="CC71" s="46">
        <f>IF($A71="a",IFERROR(VLOOKUP($B71 &amp; $C71&amp;CC$4,tblForecast,CC$2,FALSE),0),CA71+CB71)</f>
        <v>0</v>
      </c>
      <c r="CD71" s="46">
        <f t="shared" si="540"/>
        <v>0</v>
      </c>
      <c r="CE71" s="46">
        <f t="shared" si="540"/>
        <v>0</v>
      </c>
      <c r="CF71" s="46">
        <f>IFERROR(VLOOKUP($B71-IF(CompareVer="LY",1,0) &amp; $C71 &amp;CF$4,tblForecast,CF$2,FALSE),0)</f>
        <v>0</v>
      </c>
      <c r="CG71" s="194">
        <f t="shared" si="28"/>
        <v>0</v>
      </c>
      <c r="CH71" s="337">
        <f t="shared" si="541"/>
        <v>0</v>
      </c>
      <c r="CI71" s="46">
        <f t="shared" si="541"/>
        <v>0</v>
      </c>
      <c r="CJ71" s="46">
        <f>IF($A71="a",IFERROR(VLOOKUP($B71 &amp; $C71&amp;CJ$4,tblForecast,CJ$2,FALSE),0),CH71+CI71)</f>
        <v>0</v>
      </c>
      <c r="CK71" s="46">
        <f t="shared" si="542"/>
        <v>0</v>
      </c>
      <c r="CL71" s="46">
        <f t="shared" si="542"/>
        <v>0</v>
      </c>
      <c r="CM71" s="46">
        <f>IFERROR(VLOOKUP($B71-IF(CompareVer="LY",1,0) &amp; $C71 &amp;CM$4,tblForecast,CM$2,FALSE),0)</f>
        <v>0</v>
      </c>
      <c r="CN71" s="194">
        <f t="shared" si="31"/>
        <v>0</v>
      </c>
      <c r="CO71" s="178">
        <f t="shared" si="46"/>
        <v>0</v>
      </c>
      <c r="CP71" s="223">
        <f t="shared" si="46"/>
        <v>0</v>
      </c>
      <c r="CQ71" s="194">
        <f t="shared" si="33"/>
        <v>0</v>
      </c>
      <c r="CR71" s="178">
        <f t="shared" si="44"/>
        <v>0</v>
      </c>
      <c r="CS71" s="223">
        <f t="shared" si="34"/>
        <v>0</v>
      </c>
      <c r="CT71" s="194">
        <f t="shared" si="47"/>
        <v>0</v>
      </c>
      <c r="CU71" s="44"/>
      <c r="CW71" s="102">
        <f>IFERROR(VLOOKUP($B71 &amp; $C71&amp;27,tblForecast,CW$2,FALSE),0)</f>
        <v>0</v>
      </c>
      <c r="CX71" s="48">
        <f>IFERROR(VLOOKUP($B71-IF(CompareVer="LY",1,0) &amp; $C71 &amp;CX$4,tblForecast,CX$2,FALSE),0)</f>
        <v>17466</v>
      </c>
      <c r="CY71" s="47">
        <f t="shared" si="36"/>
        <v>-1</v>
      </c>
      <c r="CZ71" s="278">
        <f>IFERROR(VLOOKUP(Brand&amp;Channel&amp;Country&amp;$C71,tblDiscount,6,FALSE),0)</f>
        <v>0.8</v>
      </c>
      <c r="DA71" s="279">
        <f>(1-CZ71)*DB71</f>
        <v>5.0039999999999987</v>
      </c>
      <c r="DB71" s="279">
        <f>IFERROR(VLOOKUP(Brand&amp;Country &amp; Channel &amp;FC,tblFCSettings,8,FALSE),0)</f>
        <v>25.02</v>
      </c>
      <c r="DC71" s="280">
        <f>IFERROR(VLOOKUP(Brand&amp;Country &amp; Channel &amp;FC,tblFCSettings,9,FALSE),0)</f>
        <v>4.16</v>
      </c>
    </row>
    <row r="72" spans="2:107" ht="16.5" thickBot="1" x14ac:dyDescent="0.3">
      <c r="C72" s="253" t="s">
        <v>316</v>
      </c>
      <c r="D72" s="254">
        <f>SUM(D67:D71)</f>
        <v>-21886625.707991</v>
      </c>
      <c r="E72" s="255">
        <f>SUM(E67:E71)</f>
        <v>-17569994.235909998</v>
      </c>
      <c r="F72" s="256">
        <f t="shared" si="45"/>
        <v>0.80277309395824503</v>
      </c>
      <c r="G72" s="257">
        <f>SUM(G67:G71)</f>
        <v>-797573</v>
      </c>
      <c r="H72" s="258">
        <f>IFERROR(D72/G72,0)</f>
        <v>27.441532885379772</v>
      </c>
      <c r="I72" s="258">
        <f>IFERROR(SUMPRODUCT(I67:I71,G67:G71)/G72,0)</f>
        <v>5.4122086280265256</v>
      </c>
      <c r="J72" s="257">
        <f>SUM(J67:J71)</f>
        <v>1445012</v>
      </c>
      <c r="K72" s="301">
        <f>SUM(K67:K71)</f>
        <v>0</v>
      </c>
      <c r="L72" s="259">
        <f>SUM(L67:L71)</f>
        <v>229365</v>
      </c>
      <c r="M72" s="259">
        <f t="shared" ref="M72:O72" si="549">SUM(M67:M71)</f>
        <v>229365</v>
      </c>
      <c r="N72" s="259">
        <f t="shared" si="549"/>
        <v>0</v>
      </c>
      <c r="O72" s="259">
        <f t="shared" si="549"/>
        <v>28781.856799999998</v>
      </c>
      <c r="P72" s="260">
        <f t="shared" si="39"/>
        <v>6.9690828008010941</v>
      </c>
      <c r="Q72" s="261">
        <f>SUM(Q67:Q71)</f>
        <v>45873</v>
      </c>
      <c r="R72" s="262">
        <f t="shared" ref="R72:S72" si="550">SUM(R67:R71)</f>
        <v>45873</v>
      </c>
      <c r="S72" s="262">
        <f t="shared" si="550"/>
        <v>0</v>
      </c>
      <c r="T72" s="262">
        <f>SUM(T67:T71)</f>
        <v>7890</v>
      </c>
      <c r="U72" s="260">
        <f t="shared" si="7"/>
        <v>4.8140684410646388</v>
      </c>
      <c r="V72" s="263">
        <f>V71</f>
        <v>1.4575264652723987</v>
      </c>
      <c r="W72" s="332">
        <f>W71</f>
        <v>1.4575264652723987</v>
      </c>
      <c r="X72" s="264">
        <f>X71</f>
        <v>1.7573770491803278</v>
      </c>
      <c r="Y72" s="254">
        <f>SUM(Y67:Y71)</f>
        <v>38533.319999999978</v>
      </c>
      <c r="Z72" s="259">
        <f t="shared" ref="Z72:AB72" si="551">SUM(Z67:Z71)</f>
        <v>38533.319999999978</v>
      </c>
      <c r="AA72" s="259">
        <f t="shared" si="551"/>
        <v>0</v>
      </c>
      <c r="AB72" s="259">
        <f t="shared" si="551"/>
        <v>-2135.1037000000006</v>
      </c>
      <c r="AC72" s="260">
        <f t="shared" si="9"/>
        <v>-19.047516848947414</v>
      </c>
      <c r="AD72" s="265">
        <f>IFERROR(Y72/L72,0)</f>
        <v>0.1679999999999999</v>
      </c>
      <c r="AE72" s="266">
        <f>IFERROR(Z72/M72,0)</f>
        <v>0.1679999999999999</v>
      </c>
      <c r="AF72" s="266">
        <f>IFERROR(AA72/N72,0)</f>
        <v>0</v>
      </c>
      <c r="AG72" s="266">
        <f>IFERROR(AB72/O72,0)</f>
        <v>-7.4182277913355493E-2</v>
      </c>
      <c r="AH72" s="267">
        <f>IFERROR(SUMPRODUCT(AH67:AH71,Q67:Q71)/Q72,0)</f>
        <v>25.02</v>
      </c>
      <c r="AI72" s="268">
        <f>IFERROR(SUMPRODUCT(AI67:AI71,R67:R71)/R72,0)</f>
        <v>25.02</v>
      </c>
      <c r="AJ72" s="268">
        <f>IFERROR(SUMPRODUCT(AJ67:AJ71,S67:S71)/S72,0)</f>
        <v>0</v>
      </c>
      <c r="AK72" s="268">
        <f>IFERROR(SUMPRODUCT(AK67:AK71,T67:T71)/T72,0)</f>
        <v>24.068840506970847</v>
      </c>
      <c r="AL72" s="260">
        <f t="shared" si="492"/>
        <v>3.9518293070814003E-2</v>
      </c>
      <c r="AM72" s="267">
        <f>IF(Q72&lt;&gt;0,L72/Q72,0)</f>
        <v>5</v>
      </c>
      <c r="AN72" s="268">
        <f>IF(R72&lt;&gt;0,M72/R72,0)</f>
        <v>5</v>
      </c>
      <c r="AO72" s="268">
        <f>IF(S72&lt;&gt;0,N72/S72,0)</f>
        <v>0</v>
      </c>
      <c r="AP72" s="268">
        <f>IF(T72&lt;&gt;0,O72/T72,0)</f>
        <v>3.6478905956907477</v>
      </c>
      <c r="AQ72" s="260">
        <f t="shared" si="14"/>
        <v>0.37065514133195188</v>
      </c>
      <c r="AR72" s="267">
        <f>IFERROR((L72*(1-AD72))/Q72,0)</f>
        <v>4.16</v>
      </c>
      <c r="AS72" s="268">
        <f>IFERROR((M72*(1-AE72))/R72,0)</f>
        <v>4.16</v>
      </c>
      <c r="AT72" s="268">
        <f>IFERROR((N72*(1-AF72))/S72,0)</f>
        <v>0</v>
      </c>
      <c r="AU72" s="268">
        <f>IFERROR((O72*(1-AG72))/T72,0)</f>
        <v>3.9184994296577944</v>
      </c>
      <c r="AV72" s="260">
        <f t="shared" si="16"/>
        <v>6.1630880564730983E-2</v>
      </c>
      <c r="AW72" s="269">
        <f>IFERROR(SUMPRODUCT(AW67:AW71,V67:V71)/V72,0)</f>
        <v>20.082058643649471</v>
      </c>
      <c r="AX72" s="270">
        <f t="shared" ref="AX72:AZ72" si="552">IFERROR(SUMPRODUCT(AX67:AX71,X67:X71)/X72,0)</f>
        <v>2.8368051464470065</v>
      </c>
      <c r="AY72" s="270">
        <f t="shared" si="552"/>
        <v>0</v>
      </c>
      <c r="AZ72" s="270">
        <f t="shared" si="552"/>
        <v>0.84055011054641204</v>
      </c>
      <c r="BA72" s="261">
        <f>BA71</f>
        <v>88857</v>
      </c>
      <c r="BB72" s="262">
        <f t="shared" ref="BB72:BD72" si="553">BB71</f>
        <v>88857</v>
      </c>
      <c r="BC72" s="262">
        <f t="shared" si="553"/>
        <v>0</v>
      </c>
      <c r="BD72" s="262">
        <f t="shared" si="553"/>
        <v>18473</v>
      </c>
      <c r="BE72" s="260">
        <f t="shared" si="19"/>
        <v>3.8101012288204403</v>
      </c>
      <c r="BF72" s="262">
        <f>BF71</f>
        <v>0</v>
      </c>
      <c r="BG72" s="262">
        <f>BG71</f>
        <v>1007</v>
      </c>
      <c r="BH72" s="271">
        <f>IF(Q72&lt;&gt;0,(BA72*COUNTIF(BH67:BH71,"&lt;&gt;0")/Q72),0)</f>
        <v>9.6851088875809292</v>
      </c>
      <c r="BI72" s="272">
        <f>IF(T72&lt;&gt;0,(BD72*COUNTIF(BI67:BI71,"&lt;&gt;0")/T72),0)</f>
        <v>11.70659062103929</v>
      </c>
      <c r="BJ72" s="273">
        <f t="shared" ref="BJ72" si="554">IF(BA72&lt;&gt;0,(Q72/COUNTIF(BJ67:BJ71,"&lt;&gt;0"))/BA72,0)</f>
        <v>0.10325129140079004</v>
      </c>
      <c r="BK72" s="274">
        <f t="shared" ref="BK72" si="555">IF(BD72&lt;&gt;0,(T72/COUNTIF(BK67:BK71,"&lt;&gt;0"))/BD72,0)</f>
        <v>8.5421967195366211E-2</v>
      </c>
      <c r="BL72" s="261">
        <f t="shared" ref="BL72" si="556">SUM(BL67:BL71)</f>
        <v>0</v>
      </c>
      <c r="BM72" s="262">
        <f>SUM(BM67:BM71)</f>
        <v>-1182</v>
      </c>
      <c r="BN72" s="261">
        <f t="shared" ref="BN72:BQ72" si="557">SUM(BN67:BN71)</f>
        <v>0</v>
      </c>
      <c r="BO72" s="262">
        <f t="shared" si="557"/>
        <v>1193</v>
      </c>
      <c r="BP72" s="261">
        <f t="shared" si="557"/>
        <v>0</v>
      </c>
      <c r="BQ72" s="262">
        <f t="shared" si="557"/>
        <v>169</v>
      </c>
      <c r="BR72" s="261">
        <f t="shared" si="43"/>
        <v>0</v>
      </c>
      <c r="BS72" s="262">
        <f t="shared" si="22"/>
        <v>1024</v>
      </c>
      <c r="BT72" s="261">
        <f t="shared" ref="BT72:BY72" si="558">SUM(BT67:BT71)</f>
        <v>0</v>
      </c>
      <c r="BU72" s="262">
        <f t="shared" si="558"/>
        <v>0</v>
      </c>
      <c r="BV72" s="262">
        <f t="shared" si="558"/>
        <v>0</v>
      </c>
      <c r="BW72" s="262">
        <f t="shared" si="558"/>
        <v>0</v>
      </c>
      <c r="BX72" s="262">
        <f t="shared" si="558"/>
        <v>0</v>
      </c>
      <c r="BY72" s="275">
        <f t="shared" si="558"/>
        <v>0</v>
      </c>
      <c r="BZ72" s="260">
        <f t="shared" si="25"/>
        <v>0</v>
      </c>
      <c r="CA72" s="338">
        <f t="shared" ref="CA72:CF72" si="559">SUM(CA67:CA71)</f>
        <v>0</v>
      </c>
      <c r="CB72" s="259">
        <f t="shared" si="559"/>
        <v>0</v>
      </c>
      <c r="CC72" s="259">
        <f t="shared" si="559"/>
        <v>0</v>
      </c>
      <c r="CD72" s="259">
        <f t="shared" si="559"/>
        <v>0</v>
      </c>
      <c r="CE72" s="259">
        <f t="shared" si="559"/>
        <v>0</v>
      </c>
      <c r="CF72" s="259">
        <f t="shared" si="559"/>
        <v>0</v>
      </c>
      <c r="CG72" s="260">
        <f t="shared" si="28"/>
        <v>0</v>
      </c>
      <c r="CH72" s="338">
        <f t="shared" ref="CH72:CM72" si="560">SUM(CH67:CH71)</f>
        <v>0</v>
      </c>
      <c r="CI72" s="259">
        <f t="shared" si="560"/>
        <v>0</v>
      </c>
      <c r="CJ72" s="259">
        <f t="shared" si="560"/>
        <v>0</v>
      </c>
      <c r="CK72" s="259">
        <f t="shared" si="560"/>
        <v>0</v>
      </c>
      <c r="CL72" s="259">
        <f t="shared" si="560"/>
        <v>0</v>
      </c>
      <c r="CM72" s="259">
        <f t="shared" si="560"/>
        <v>0</v>
      </c>
      <c r="CN72" s="260">
        <f t="shared" si="31"/>
        <v>0</v>
      </c>
      <c r="CO72" s="276">
        <f t="shared" si="46"/>
        <v>0</v>
      </c>
      <c r="CP72" s="277">
        <f t="shared" si="46"/>
        <v>0</v>
      </c>
      <c r="CQ72" s="260">
        <f t="shared" si="33"/>
        <v>0</v>
      </c>
      <c r="CR72" s="276">
        <f t="shared" si="44"/>
        <v>0</v>
      </c>
      <c r="CS72" s="277">
        <f t="shared" si="34"/>
        <v>0</v>
      </c>
      <c r="CT72" s="260">
        <f t="shared" si="47"/>
        <v>0</v>
      </c>
      <c r="CU72" s="44"/>
      <c r="CW72" s="100">
        <f>CW71</f>
        <v>0</v>
      </c>
      <c r="CX72" s="101">
        <f>CX71</f>
        <v>17466</v>
      </c>
      <c r="CY72" s="99">
        <f t="shared" si="36"/>
        <v>-1</v>
      </c>
      <c r="CZ72" s="278"/>
      <c r="DA72" s="279"/>
      <c r="DB72" s="279"/>
      <c r="DC72" s="280"/>
    </row>
    <row r="73" spans="2:107" x14ac:dyDescent="0.25">
      <c r="B73" s="44">
        <v>2018</v>
      </c>
      <c r="C73" s="88">
        <v>49</v>
      </c>
      <c r="D73" s="51">
        <f>G73*H73</f>
        <v>-3323722.998505</v>
      </c>
      <c r="E73" s="202">
        <f>IFERROR(D73*F73,0)</f>
        <v>-2908434.2291549998</v>
      </c>
      <c r="F73" s="182">
        <f t="shared" si="45"/>
        <v>0.87505313483199543</v>
      </c>
      <c r="G73" s="176">
        <f t="shared" ref="G73:I76" si="561">IFERROR(VLOOKUP($B73 &amp; $C73&amp;G$4&amp;$A73,tblForecast,G$2,FALSE),0)</f>
        <v>-155857</v>
      </c>
      <c r="H73" s="203">
        <f t="shared" si="561"/>
        <v>21.325465000000001</v>
      </c>
      <c r="I73" s="203">
        <f t="shared" si="561"/>
        <v>2.6645500000000002</v>
      </c>
      <c r="J73" s="176">
        <f>IFERROR(VLOOKUP($B73 &amp; $C73&amp;J$4&amp;$A73,tblForecast,J$2,FALSE),0)+IFERROR(VLOOKUP($B73 &amp; $C73 &amp; J$4 &amp; $A73,tblForecast,J$2+1,FALSE),0)</f>
        <v>219968</v>
      </c>
      <c r="K73" s="300">
        <f>IFERROR(VLOOKUP($B73 &amp; $C73&amp;K$4&amp;$A73,tblForecast,K$2,FALSE),0)+IFERROR(VLOOKUP($B73 &amp; $C73&amp;K$4&amp;$A73,tblForecast,K$2+1,FALSE),0)</f>
        <v>0</v>
      </c>
      <c r="L73" s="90">
        <f t="shared" ref="L73:O76" si="562">Q73*AM73</f>
        <v>60065</v>
      </c>
      <c r="M73" s="90">
        <f t="shared" si="562"/>
        <v>60065</v>
      </c>
      <c r="N73" s="46">
        <f t="shared" si="562"/>
        <v>0</v>
      </c>
      <c r="O73" s="46">
        <f t="shared" si="562"/>
        <v>5200.8975</v>
      </c>
      <c r="P73" s="47">
        <f t="shared" si="39"/>
        <v>10.548968230963983</v>
      </c>
      <c r="Q73" s="242">
        <f>ROUND(IF(BA71-(Q71*IF(W73=0,X73,W73))&lt;0,BA71,Q71*IF(W73=0,X73,W73)),0)</f>
        <v>12013</v>
      </c>
      <c r="R73" s="240">
        <f t="shared" ref="R73:S76" si="563">IFERROR(VLOOKUP($B73 &amp; $C73&amp;R$4,tblForecast,R$2,FALSE),0)</f>
        <v>12013</v>
      </c>
      <c r="S73" s="240">
        <f t="shared" si="563"/>
        <v>0</v>
      </c>
      <c r="T73" s="240">
        <f>IFERROR(VLOOKUP($B73-IF(CompareVer="LY",1,0) &amp; $C73 &amp;T$4,tblForecast,T$2,FALSE),0)</f>
        <v>2425</v>
      </c>
      <c r="U73" s="91">
        <f t="shared" si="7"/>
        <v>3.9538144329896907</v>
      </c>
      <c r="V73" s="249">
        <f>IFERROR(IF(Q71&gt;0,Q73/Q71,0),0)</f>
        <v>2.1280779450841454</v>
      </c>
      <c r="W73" s="334">
        <f>IFERROR(IF(R71&gt;0,R73/R71,0),0)</f>
        <v>2.1280779450841454</v>
      </c>
      <c r="X73" s="250">
        <f>IFERROR(IF(T71&gt;0,T73/T71,0),0)</f>
        <v>0.90485074626865669</v>
      </c>
      <c r="Y73" s="51">
        <f t="shared" ref="Y73:AB76" si="564">IFERROR(L73*AD73,0)</f>
        <v>10090.919999999996</v>
      </c>
      <c r="Z73" s="46">
        <f t="shared" si="564"/>
        <v>10090.919999999996</v>
      </c>
      <c r="AA73" s="46">
        <f t="shared" si="564"/>
        <v>0</v>
      </c>
      <c r="AB73" s="46">
        <f t="shared" si="564"/>
        <v>-4081.0324999999998</v>
      </c>
      <c r="AC73" s="91">
        <f t="shared" si="9"/>
        <v>-3.4726389706526466</v>
      </c>
      <c r="AD73" s="75">
        <f>IF(AM73&lt;&gt;0,1-AR73/AM73,0)</f>
        <v>0.16799999999999993</v>
      </c>
      <c r="AE73" s="93">
        <f t="shared" ref="AE73:AG76" si="565">IF(AN73&lt;&gt;0,1-AS73/AN73,0)</f>
        <v>0.16799999999999993</v>
      </c>
      <c r="AF73" s="93">
        <f t="shared" si="565"/>
        <v>0</v>
      </c>
      <c r="AG73" s="76">
        <f t="shared" si="565"/>
        <v>-0.78467850981489251</v>
      </c>
      <c r="AH73" s="73">
        <f>IF(IFERROR(VLOOKUP($B73 &amp; $C73&amp;AH$4,tblForecast,AH$2,FALSE),0)=0,DB73,IFERROR(VLOOKUP($B73 &amp; $C73&amp;AH$4,tblForecast,AH$2,FALSE),0))</f>
        <v>25.02</v>
      </c>
      <c r="AI73" s="94">
        <f t="shared" ref="AI73:AJ76" si="566">IFERROR(VLOOKUP($B73 &amp; $C73&amp;AI$4,tblForecast,AI$2,FALSE),0)</f>
        <v>25.02</v>
      </c>
      <c r="AJ73" s="94">
        <f t="shared" si="566"/>
        <v>0</v>
      </c>
      <c r="AK73" s="49">
        <f>IFERROR(VLOOKUP($B73-IF(CompareVer="LY",1,0) &amp; $C73 &amp;AK$4,tblForecast,AK$2,FALSE),0)</f>
        <v>22.100999999999999</v>
      </c>
      <c r="AL73" s="47">
        <f t="shared" si="492"/>
        <v>0.13207547169811318</v>
      </c>
      <c r="AM73" s="73">
        <f>IF(IFERROR(VLOOKUP($B73 &amp; $C73&amp;AM$4,tblForecast,AM$2,FALSE),0)=0,DA73,IFERROR(VLOOKUP($B73 &amp; $C73&amp;AM$4,tblForecast,AM$2,FALSE),0))</f>
        <v>5</v>
      </c>
      <c r="AN73" s="94">
        <f t="shared" ref="AN73:AO76" si="567">IFERROR(VLOOKUP($B73 &amp; $C73&amp;AN$4,tblForecast,AN$2,FALSE),0)</f>
        <v>5</v>
      </c>
      <c r="AO73" s="94">
        <f t="shared" si="567"/>
        <v>0</v>
      </c>
      <c r="AP73" s="49">
        <f>IFERROR(VLOOKUP($B73-IF(CompareVer="LY",1,0) &amp; $C73 &amp;AP$4,tblForecast,AP$2,FALSE),0)</f>
        <v>2.1446999999999998</v>
      </c>
      <c r="AQ73" s="47">
        <f t="shared" si="14"/>
        <v>1.3313283909171449</v>
      </c>
      <c r="AR73" s="73">
        <f>IF(IFERROR(VLOOKUP($B73 &amp; $C73&amp;AR$4,tblForecast,AR$2,FALSE),0)=0,DC73,IFERROR(VLOOKUP($B73 &amp; $C73&amp;AR$4,tblForecast,AR$2,FALSE),0))</f>
        <v>4.16</v>
      </c>
      <c r="AS73" s="94">
        <f t="shared" ref="AS73:AT76" si="568">IFERROR(VLOOKUP($B73 &amp; $C73&amp;AS$4,tblForecast,AS$2,FALSE),0)</f>
        <v>4.16</v>
      </c>
      <c r="AT73" s="94">
        <f t="shared" si="568"/>
        <v>0</v>
      </c>
      <c r="AU73" s="49">
        <f>IFERROR(VLOOKUP($B73-IF(CompareVer="LY",1,0) &amp; $C73 &amp;AU$4,tblForecast,AU$2,FALSE),0)</f>
        <v>3.8275999999999999</v>
      </c>
      <c r="AV73" s="47">
        <f t="shared" si="16"/>
        <v>8.6842930295746745E-2</v>
      </c>
      <c r="AW73" s="191">
        <f t="shared" ref="AW73:AZ76" si="569">IFERROR((AM73/AH73-1)*-1,0)</f>
        <v>0.8001598721023182</v>
      </c>
      <c r="AX73" s="192">
        <f t="shared" si="569"/>
        <v>0.8001598721023182</v>
      </c>
      <c r="AY73" s="192">
        <f t="shared" si="569"/>
        <v>0</v>
      </c>
      <c r="AZ73" s="192">
        <f t="shared" si="569"/>
        <v>0.90295914212026607</v>
      </c>
      <c r="BA73" s="235">
        <f>IF(BA72+BV73+BL73+BR73-Q73&lt;0,0,BA72+BV73+BL73+BR73-Q73)</f>
        <v>76844</v>
      </c>
      <c r="BB73" s="231">
        <f>IF(IFERROR(VLOOKUP($B73 &amp; $C73&amp;BB$4,tblForecast,BB$2,FALSE),0)=0,BA73,IFERROR(VLOOKUP($B73 &amp; $C73&amp;BB$4,tblForecast,BB$2,FALSE),0))</f>
        <v>76844</v>
      </c>
      <c r="BC73" s="231">
        <f>IFERROR(VLOOKUP($B73-IF(CompareVer="LY",1,0) &amp; $C73 &amp;BC$4,tblForecast,BC$2,FALSE),0)</f>
        <v>0</v>
      </c>
      <c r="BD73" s="231">
        <f t="shared" ref="BD73:BD76" si="570">CX73+BG73</f>
        <v>15946</v>
      </c>
      <c r="BE73" s="194">
        <f t="shared" si="19"/>
        <v>3.8190141728333122</v>
      </c>
      <c r="BF73" s="231">
        <f>IFERROR(VLOOKUP($B73 &amp; $C73&amp;IF($A73="a",BG$4,BF$4),tblForecast,BF$2,FALSE),0)</f>
        <v>0</v>
      </c>
      <c r="BG73" s="228">
        <f>IFERROR(VLOOKUP($B73-IF(CompareVer="LY",1,0) &amp; $C73 &amp;BG$4,tblForecast,BG$2,FALSE),0)</f>
        <v>898</v>
      </c>
      <c r="BH73" s="179">
        <f>IF(Q73&lt;&gt;0,BA73/Q73,0)</f>
        <v>6.3967368683925745</v>
      </c>
      <c r="BI73" s="183">
        <f>IF(T73&lt;&gt;0,BD73/T73,0)</f>
        <v>6.5756701030927838</v>
      </c>
      <c r="BJ73" s="195">
        <f t="shared" ref="BJ73:BJ76" si="571">IF(BA73&lt;&gt;0,Q73/BA73,0)</f>
        <v>0.15632970693873302</v>
      </c>
      <c r="BK73" s="50">
        <f t="shared" ref="BK73:BK76" si="572">IF(BD73&lt;&gt;0,T73/BD73,0)</f>
        <v>0.15207575567540449</v>
      </c>
      <c r="BL73" s="234">
        <f>IFERROR(VLOOKUP($B73 &amp; $C73&amp;IF($A73="a",BM$4,BL$4),tblForecast,BL$2,FALSE),0)</f>
        <v>0</v>
      </c>
      <c r="BM73" s="228">
        <f>IFERROR(VLOOKUP($B73-IF(CompareVer="LY",1,0) &amp; $C73 &amp;BM$4,tblForecast,BM$2,FALSE),0)</f>
        <v>-62</v>
      </c>
      <c r="BN73" s="234">
        <f>IFERROR(VLOOKUP($B73 &amp; $C73&amp;IF($A73="a",BO$4,BN$4),tblForecast,BN$2,FALSE),0)</f>
        <v>0</v>
      </c>
      <c r="BO73" s="228">
        <f>IFERROR(VLOOKUP($B73-IF(CompareVer="LY",1,0) &amp; $C73 &amp;BO$4,tblForecast,BO$2,FALSE),0)</f>
        <v>65</v>
      </c>
      <c r="BP73" s="234">
        <f>IFERROR(VLOOKUP($B73 &amp; $C73&amp;IF($A73="a",BQ$4,BP$4),tblForecast,BP$2,FALSE),0)</f>
        <v>0</v>
      </c>
      <c r="BQ73" s="228">
        <f>IFERROR(VLOOKUP($B73-IF(CompareVer="LY",1,0) &amp; $C73 &amp;BQ$4,tblForecast,BQ$2,FALSE),0)</f>
        <v>105</v>
      </c>
      <c r="BR73" s="227">
        <f t="shared" si="43"/>
        <v>0</v>
      </c>
      <c r="BS73" s="231">
        <f t="shared" si="22"/>
        <v>-40</v>
      </c>
      <c r="BT73" s="234">
        <f t="shared" ref="BT73:BU76" si="573">IFERROR(VLOOKUP($B73 &amp; $C73&amp;BT$4,tblForecast,BT$2,FALSE),0)</f>
        <v>0</v>
      </c>
      <c r="BU73" s="231">
        <f t="shared" si="573"/>
        <v>0</v>
      </c>
      <c r="BV73" s="231">
        <f>IF($A73="a",IFERROR(VLOOKUP($B73 &amp; $C73&amp;BV$4,tblForecast,BV$2,FALSE),0),BT73+BU73)</f>
        <v>0</v>
      </c>
      <c r="BW73" s="231">
        <f t="shared" ref="BW73:BX76" si="574">IFERROR(VLOOKUP($B73 &amp; $C73&amp;BW$4,tblForecast,BW$2,FALSE),0)</f>
        <v>0</v>
      </c>
      <c r="BX73" s="231">
        <f t="shared" si="574"/>
        <v>0</v>
      </c>
      <c r="BY73" s="193">
        <f>IFERROR(VLOOKUP($B73-IF(CompareVer="LY",1,0) &amp; $C73 &amp;BY$4,tblForecast,BY$2,FALSE),0)</f>
        <v>0</v>
      </c>
      <c r="BZ73" s="194">
        <f t="shared" si="25"/>
        <v>0</v>
      </c>
      <c r="CA73" s="337">
        <f t="shared" ref="CA73:CB76" si="575">IFERROR(VLOOKUP($B73 &amp; $C73&amp;CA$4,tblForecast,CA$2,FALSE),0)</f>
        <v>0</v>
      </c>
      <c r="CB73" s="46">
        <f t="shared" si="575"/>
        <v>0</v>
      </c>
      <c r="CC73" s="46">
        <f>IF($A73="a",IFERROR(VLOOKUP($B73 &amp; $C73&amp;CC$4,tblForecast,CC$2,FALSE),0),CA73+CB73)</f>
        <v>0</v>
      </c>
      <c r="CD73" s="46">
        <f t="shared" ref="CD73:CE76" si="576">IFERROR(VLOOKUP($B73 &amp; $C73&amp;CD$4,tblForecast,CD$2,FALSE),0)</f>
        <v>0</v>
      </c>
      <c r="CE73" s="46">
        <f t="shared" si="576"/>
        <v>0</v>
      </c>
      <c r="CF73" s="46">
        <f>IFERROR(VLOOKUP($B73-IF(CompareVer="LY",1,0) &amp; $C73 &amp;CF$4,tblForecast,CF$2,FALSE),0)</f>
        <v>0</v>
      </c>
      <c r="CG73" s="194">
        <f t="shared" si="28"/>
        <v>0</v>
      </c>
      <c r="CH73" s="337">
        <f t="shared" ref="CH73:CI76" si="577">IFERROR(VLOOKUP($B73 &amp; $C73&amp;CH$4,tblForecast,CH$2,FALSE),0)</f>
        <v>0</v>
      </c>
      <c r="CI73" s="46">
        <f t="shared" si="577"/>
        <v>0</v>
      </c>
      <c r="CJ73" s="46">
        <f>IF($A73="a",IFERROR(VLOOKUP($B73 &amp; $C73&amp;CJ$4,tblForecast,CJ$2,FALSE),0),CH73+CI73)</f>
        <v>0</v>
      </c>
      <c r="CK73" s="46">
        <f t="shared" ref="CK73:CL76" si="578">IFERROR(VLOOKUP($B73 &amp; $C73&amp;CK$4,tblForecast,CK$2,FALSE),0)</f>
        <v>0</v>
      </c>
      <c r="CL73" s="46">
        <f t="shared" si="578"/>
        <v>0</v>
      </c>
      <c r="CM73" s="46">
        <f>IFERROR(VLOOKUP($B73-IF(CompareVer="LY",1,0) &amp; $C73 &amp;CM$4,tblForecast,CM$2,FALSE),0)</f>
        <v>0</v>
      </c>
      <c r="CN73" s="194">
        <f t="shared" si="31"/>
        <v>0</v>
      </c>
      <c r="CO73" s="178">
        <f t="shared" si="46"/>
        <v>0</v>
      </c>
      <c r="CP73" s="223">
        <f t="shared" si="46"/>
        <v>0</v>
      </c>
      <c r="CQ73" s="194">
        <f t="shared" si="33"/>
        <v>0</v>
      </c>
      <c r="CR73" s="178">
        <f t="shared" si="44"/>
        <v>0</v>
      </c>
      <c r="CS73" s="223">
        <f t="shared" si="34"/>
        <v>0</v>
      </c>
      <c r="CT73" s="194">
        <f t="shared" si="47"/>
        <v>0</v>
      </c>
      <c r="CU73" s="44"/>
      <c r="CW73" s="102">
        <f>IF(CW72+BV73+BL73-Q73&lt;0,0,CW72+BV73+BL73-Q73)</f>
        <v>0</v>
      </c>
      <c r="CX73" s="48">
        <f>IFERROR(VLOOKUP($B73-IF(CompareVer="LY",1,0) &amp; $C73 &amp;CX$4,tblForecast,CX$2,FALSE),0)</f>
        <v>15048</v>
      </c>
      <c r="CY73" s="47">
        <f t="shared" si="36"/>
        <v>-1</v>
      </c>
      <c r="CZ73" s="278">
        <f>IFERROR(VLOOKUP(Brand&amp;Channel&amp;Country&amp;$C73,tblDiscount,6,FALSE),0)</f>
        <v>0.8</v>
      </c>
      <c r="DA73" s="279">
        <f>(1-CZ73)*DB73</f>
        <v>5.0039999999999987</v>
      </c>
      <c r="DB73" s="279">
        <f>IFERROR(VLOOKUP(Brand&amp;Country &amp; Channel &amp;FC,tblFCSettings,8,FALSE),0)</f>
        <v>25.02</v>
      </c>
      <c r="DC73" s="280">
        <f>IFERROR(VLOOKUP(Brand&amp;Country &amp; Channel &amp;FC,tblFCSettings,9,FALSE),0)</f>
        <v>4.16</v>
      </c>
    </row>
    <row r="74" spans="2:107" x14ac:dyDescent="0.25">
      <c r="B74" s="44">
        <v>2018</v>
      </c>
      <c r="C74" s="88">
        <v>50</v>
      </c>
      <c r="D74" s="51">
        <f t="shared" ref="D74:D76" si="579">G74*H74</f>
        <v>-3542836.3592179995</v>
      </c>
      <c r="E74" s="202">
        <f t="shared" ref="E74:E76" si="580">IFERROR(D74*F74,0)</f>
        <v>-3075141.5149379997</v>
      </c>
      <c r="F74" s="182">
        <f t="shared" si="45"/>
        <v>0.86798858404421675</v>
      </c>
      <c r="G74" s="176">
        <f t="shared" si="561"/>
        <v>-156071</v>
      </c>
      <c r="H74" s="203">
        <f t="shared" si="561"/>
        <v>22.700157999999998</v>
      </c>
      <c r="I74" s="203">
        <f t="shared" si="561"/>
        <v>2.99668</v>
      </c>
      <c r="J74" s="176">
        <f>IFERROR(VLOOKUP($B74 &amp; $C74&amp;J$4&amp;$A74,tblForecast,J$2,FALSE),0)+IFERROR(VLOOKUP($B74 &amp; $C74 &amp; J$4 &amp; $A74,tblForecast,J$2+1,FALSE),0)</f>
        <v>205931</v>
      </c>
      <c r="K74" s="300">
        <f>IFERROR(VLOOKUP($B74 &amp; $C74&amp;K$4&amp;$A74,tblForecast,K$2,FALSE),0)+IFERROR(VLOOKUP($B74 &amp; $C74&amp;K$4&amp;$A74,tblForecast,K$2+1,FALSE),0)</f>
        <v>0</v>
      </c>
      <c r="L74" s="90">
        <f t="shared" si="562"/>
        <v>15835</v>
      </c>
      <c r="M74" s="90">
        <f t="shared" si="562"/>
        <v>15835</v>
      </c>
      <c r="N74" s="46">
        <f t="shared" si="562"/>
        <v>0</v>
      </c>
      <c r="O74" s="46">
        <f t="shared" si="562"/>
        <v>800.0150000000001</v>
      </c>
      <c r="P74" s="47">
        <f t="shared" si="39"/>
        <v>18.793378874146107</v>
      </c>
      <c r="Q74" s="342">
        <f t="shared" ref="Q74:Q76" si="581">ROUND(IF(BA73-(Q73*IF(W74=0,X74,W74))&lt;0,BA73,Q73*IF(W74=0,X74,W74)),0)</f>
        <v>3167</v>
      </c>
      <c r="R74" s="240">
        <f t="shared" si="563"/>
        <v>3167</v>
      </c>
      <c r="S74" s="240">
        <f t="shared" si="563"/>
        <v>0</v>
      </c>
      <c r="T74" s="240">
        <f>IFERROR(VLOOKUP($B74-IF(CompareVer="LY",1,0) &amp; $C74 &amp;T$4,tblForecast,T$2,FALSE),0)</f>
        <v>305</v>
      </c>
      <c r="U74" s="91">
        <f t="shared" si="7"/>
        <v>9.3836065573770497</v>
      </c>
      <c r="V74" s="249">
        <f t="shared" ref="V74:V76" si="582">IFERROR(IF(Q73&lt;&gt;0,Q74/Q73,0),0)</f>
        <v>0.26363106634479316</v>
      </c>
      <c r="W74" s="334">
        <f t="shared" ref="W74:W76" si="583">IFERROR(IF(R73&lt;&gt;0,R74/R73,0),0)</f>
        <v>0.26363106634479316</v>
      </c>
      <c r="X74" s="250">
        <f t="shared" ref="X74:X76" si="584">IFERROR(IF(T73&lt;&gt;0,T74/T73,0),0)</f>
        <v>0.12577319587628866</v>
      </c>
      <c r="Y74" s="51">
        <f t="shared" si="564"/>
        <v>2660.2799999999988</v>
      </c>
      <c r="Z74" s="46">
        <f t="shared" si="564"/>
        <v>2660.2799999999988</v>
      </c>
      <c r="AA74" s="46">
        <f t="shared" si="564"/>
        <v>0</v>
      </c>
      <c r="AB74" s="46">
        <f t="shared" si="564"/>
        <v>-338.97699999999986</v>
      </c>
      <c r="AC74" s="91">
        <f t="shared" si="9"/>
        <v>-8.8479660861946385</v>
      </c>
      <c r="AD74" s="75">
        <f>IF(AM74&lt;&gt;0,1-AR74/AM74,0)</f>
        <v>0.16799999999999993</v>
      </c>
      <c r="AE74" s="93">
        <f t="shared" si="565"/>
        <v>0.16799999999999993</v>
      </c>
      <c r="AF74" s="93">
        <f t="shared" si="565"/>
        <v>0</v>
      </c>
      <c r="AG74" s="76">
        <f t="shared" si="565"/>
        <v>-0.42371330537552399</v>
      </c>
      <c r="AH74" s="73">
        <f>IF(IFERROR(VLOOKUP($B74 &amp; $C74&amp;AH$4,tblForecast,AH$2,FALSE),0)=0,DB74,IFERROR(VLOOKUP($B74 &amp; $C74&amp;AH$4,tblForecast,AH$2,FALSE),0))</f>
        <v>25.02</v>
      </c>
      <c r="AI74" s="94">
        <f t="shared" si="566"/>
        <v>25.02</v>
      </c>
      <c r="AJ74" s="94">
        <f t="shared" si="566"/>
        <v>0</v>
      </c>
      <c r="AK74" s="49">
        <f>IFERROR(VLOOKUP($B74-IF(CompareVer="LY",1,0) &amp; $C74 &amp;AK$4,tblForecast,AK$2,FALSE),0)</f>
        <v>21.7668</v>
      </c>
      <c r="AL74" s="47">
        <f t="shared" si="492"/>
        <v>0.14945697116709855</v>
      </c>
      <c r="AM74" s="73">
        <f>IF(IFERROR(VLOOKUP($B74 &amp; $C74&amp;AM$4,tblForecast,AM$2,FALSE),0)=0,DA74,IFERROR(VLOOKUP($B74 &amp; $C74&amp;AM$4,tblForecast,AM$2,FALSE),0))</f>
        <v>5</v>
      </c>
      <c r="AN74" s="94">
        <f t="shared" si="567"/>
        <v>5</v>
      </c>
      <c r="AO74" s="94">
        <f t="shared" si="567"/>
        <v>0</v>
      </c>
      <c r="AP74" s="49">
        <f>IFERROR(VLOOKUP($B74-IF(CompareVer="LY",1,0) &amp; $C74 &amp;AP$4,tblForecast,AP$2,FALSE),0)</f>
        <v>2.6230000000000002</v>
      </c>
      <c r="AQ74" s="47">
        <f t="shared" si="14"/>
        <v>0.90621425848265336</v>
      </c>
      <c r="AR74" s="73">
        <f>IF(IFERROR(VLOOKUP($B74 &amp; $C74&amp;AR$4,tblForecast,AR$2,FALSE),0)=0,DC74,IFERROR(VLOOKUP($B74 &amp; $C74&amp;AR$4,tblForecast,AR$2,FALSE),0))</f>
        <v>4.16</v>
      </c>
      <c r="AS74" s="94">
        <f t="shared" si="568"/>
        <v>4.16</v>
      </c>
      <c r="AT74" s="94">
        <f t="shared" si="568"/>
        <v>0</v>
      </c>
      <c r="AU74" s="49">
        <f>IFERROR(VLOOKUP($B74-IF(CompareVer="LY",1,0) &amp; $C74 &amp;AU$4,tblForecast,AU$2,FALSE),0)</f>
        <v>3.7343999999999999</v>
      </c>
      <c r="AV74" s="47">
        <f t="shared" si="16"/>
        <v>0.11396743787489294</v>
      </c>
      <c r="AW74" s="191">
        <f t="shared" si="569"/>
        <v>0.8001598721023182</v>
      </c>
      <c r="AX74" s="192">
        <f t="shared" si="569"/>
        <v>0.8001598721023182</v>
      </c>
      <c r="AY74" s="192">
        <f t="shared" si="569"/>
        <v>0</v>
      </c>
      <c r="AZ74" s="192">
        <f t="shared" si="569"/>
        <v>0.879495378282522</v>
      </c>
      <c r="BA74" s="235">
        <f>IF(BA73+BV74+BL74+BR74-Q74&lt;0,0,BA73+BV74+BL74+BR74-Q74)</f>
        <v>63177</v>
      </c>
      <c r="BB74" s="231">
        <f>IF(IFERROR(VLOOKUP($B74 &amp; $C74&amp;BB$4,tblForecast,BB$2,FALSE),0)=0,BA74,IFERROR(VLOOKUP($B74 &amp; $C74&amp;BB$4,tblForecast,BB$2,FALSE),0))</f>
        <v>63177</v>
      </c>
      <c r="BC74" s="231">
        <f>IFERROR(VLOOKUP($B74-IF(CompareVer="LY",1,0) &amp; $C74 &amp;BC$4,tblForecast,BC$2,FALSE),0)</f>
        <v>0</v>
      </c>
      <c r="BD74" s="231">
        <f t="shared" si="570"/>
        <v>15410</v>
      </c>
      <c r="BE74" s="194">
        <f t="shared" si="19"/>
        <v>3.0997404282933161</v>
      </c>
      <c r="BF74" s="231">
        <f>IFERROR(VLOOKUP($B74 &amp; $C74&amp;IF($A74="a",BG$4,BF$4),tblForecast,BF$2,FALSE),0)</f>
        <v>0</v>
      </c>
      <c r="BG74" s="228">
        <f>IFERROR(VLOOKUP($B74-IF(CompareVer="LY",1,0) &amp; $C74 &amp;BG$4,tblForecast,BG$2,FALSE),0)</f>
        <v>716</v>
      </c>
      <c r="BH74" s="179">
        <f>IF(Q74&lt;&gt;0,BA74/Q74,0)</f>
        <v>19.948531733501735</v>
      </c>
      <c r="BI74" s="183">
        <f>IF(T74&lt;&gt;0,BD74/T74,0)</f>
        <v>50.524590163934427</v>
      </c>
      <c r="BJ74" s="195">
        <f t="shared" si="571"/>
        <v>5.0129002643367046E-2</v>
      </c>
      <c r="BK74" s="50">
        <f t="shared" si="572"/>
        <v>1.9792342634652824E-2</v>
      </c>
      <c r="BL74" s="234">
        <f>IFERROR(VLOOKUP($B74 &amp; $C74&amp;IF($A74="a",BM$4,BL$4),tblForecast,BL$2,FALSE),0)</f>
        <v>-10500</v>
      </c>
      <c r="BM74" s="228">
        <f>IFERROR(VLOOKUP($B74-IF(CompareVer="LY",1,0) &amp; $C74 &amp;BM$4,tblForecast,BM$2,FALSE),0)</f>
        <v>-233</v>
      </c>
      <c r="BN74" s="234">
        <f>IFERROR(VLOOKUP($B74 &amp; $C74&amp;IF($A74="a",BO$4,BN$4),tblForecast,BN$2,FALSE),0)</f>
        <v>0</v>
      </c>
      <c r="BO74" s="228">
        <f>IFERROR(VLOOKUP($B74-IF(CompareVer="LY",1,0) &amp; $C74 &amp;BO$4,tblForecast,BO$2,FALSE),0)</f>
        <v>0</v>
      </c>
      <c r="BP74" s="234">
        <f>IFERROR(VLOOKUP($B74 &amp; $C74&amp;IF($A74="a",BQ$4,BP$4),tblForecast,BP$2,FALSE),0)</f>
        <v>0</v>
      </c>
      <c r="BQ74" s="228">
        <f>IFERROR(VLOOKUP($B74-IF(CompareVer="LY",1,0) &amp; $C74 &amp;BQ$4,tblForecast,BQ$2,FALSE),0)</f>
        <v>-2</v>
      </c>
      <c r="BR74" s="227">
        <f t="shared" si="43"/>
        <v>0</v>
      </c>
      <c r="BS74" s="231">
        <f t="shared" si="22"/>
        <v>2</v>
      </c>
      <c r="BT74" s="234">
        <f t="shared" si="573"/>
        <v>0</v>
      </c>
      <c r="BU74" s="231">
        <f t="shared" si="573"/>
        <v>0</v>
      </c>
      <c r="BV74" s="231">
        <f>IF($A74="a",IFERROR(VLOOKUP($B74 &amp; $C74&amp;BV$4,tblForecast,BV$2,FALSE),0),BT74+BU74)</f>
        <v>0</v>
      </c>
      <c r="BW74" s="231">
        <f t="shared" si="574"/>
        <v>0</v>
      </c>
      <c r="BX74" s="231">
        <f t="shared" si="574"/>
        <v>0</v>
      </c>
      <c r="BY74" s="193">
        <f>IFERROR(VLOOKUP($B74-IF(CompareVer="LY",1,0) &amp; $C74 &amp;BY$4,tblForecast,BY$2,FALSE),0)</f>
        <v>0</v>
      </c>
      <c r="BZ74" s="194">
        <f t="shared" si="25"/>
        <v>0</v>
      </c>
      <c r="CA74" s="337">
        <f t="shared" si="575"/>
        <v>0</v>
      </c>
      <c r="CB74" s="46">
        <f t="shared" si="575"/>
        <v>0</v>
      </c>
      <c r="CC74" s="46">
        <f>IF($A74="a",IFERROR(VLOOKUP($B74 &amp; $C74&amp;CC$4,tblForecast,CC$2,FALSE),0),CA74+CB74)</f>
        <v>0</v>
      </c>
      <c r="CD74" s="46">
        <f t="shared" si="576"/>
        <v>0</v>
      </c>
      <c r="CE74" s="46">
        <f t="shared" si="576"/>
        <v>0</v>
      </c>
      <c r="CF74" s="46">
        <f>IFERROR(VLOOKUP($B74-IF(CompareVer="LY",1,0) &amp; $C74 &amp;CF$4,tblForecast,CF$2,FALSE),0)</f>
        <v>0</v>
      </c>
      <c r="CG74" s="194">
        <f t="shared" si="28"/>
        <v>0</v>
      </c>
      <c r="CH74" s="337">
        <f t="shared" si="577"/>
        <v>0</v>
      </c>
      <c r="CI74" s="46">
        <f t="shared" si="577"/>
        <v>0</v>
      </c>
      <c r="CJ74" s="46">
        <f>IF($A74="a",IFERROR(VLOOKUP($B74 &amp; $C74&amp;CJ$4,tblForecast,CJ$2,FALSE),0),CH74+CI74)</f>
        <v>0</v>
      </c>
      <c r="CK74" s="46">
        <f t="shared" si="578"/>
        <v>0</v>
      </c>
      <c r="CL74" s="46">
        <f t="shared" si="578"/>
        <v>0</v>
      </c>
      <c r="CM74" s="46">
        <f>IFERROR(VLOOKUP($B74-IF(CompareVer="LY",1,0) &amp; $C74 &amp;CM$4,tblForecast,CM$2,FALSE),0)</f>
        <v>0</v>
      </c>
      <c r="CN74" s="194">
        <f t="shared" si="31"/>
        <v>0</v>
      </c>
      <c r="CO74" s="178">
        <f t="shared" si="46"/>
        <v>0</v>
      </c>
      <c r="CP74" s="223">
        <f t="shared" si="46"/>
        <v>0</v>
      </c>
      <c r="CQ74" s="194">
        <f t="shared" si="33"/>
        <v>0</v>
      </c>
      <c r="CR74" s="178">
        <f t="shared" si="44"/>
        <v>0</v>
      </c>
      <c r="CS74" s="223">
        <f t="shared" si="34"/>
        <v>0</v>
      </c>
      <c r="CT74" s="194">
        <f t="shared" si="47"/>
        <v>0</v>
      </c>
      <c r="CU74" s="44"/>
      <c r="CW74" s="102">
        <f>IF(CW73+BV74+BL74-Q74&lt;0,0,CW73+BV74+BL74-Q74)</f>
        <v>0</v>
      </c>
      <c r="CX74" s="48">
        <f>IFERROR(VLOOKUP($B74-IF(CompareVer="LY",1,0) &amp; $C74 &amp;CX$4,tblForecast,CX$2,FALSE),0)</f>
        <v>14694</v>
      </c>
      <c r="CY74" s="47">
        <f t="shared" si="36"/>
        <v>-1</v>
      </c>
      <c r="CZ74" s="278">
        <f>IFERROR(VLOOKUP(Brand&amp;Channel&amp;Country&amp;$C74,tblDiscount,6,FALSE),0)</f>
        <v>0.8</v>
      </c>
      <c r="DA74" s="279">
        <f>(1-CZ74)*DB74</f>
        <v>5.0039999999999987</v>
      </c>
      <c r="DB74" s="279">
        <f>IFERROR(VLOOKUP(Brand&amp;Country &amp; Channel &amp;FC,tblFCSettings,8,FALSE),0)</f>
        <v>25.02</v>
      </c>
      <c r="DC74" s="280">
        <f>IFERROR(VLOOKUP(Brand&amp;Country &amp; Channel &amp;FC,tblFCSettings,9,FALSE),0)</f>
        <v>4.16</v>
      </c>
    </row>
    <row r="75" spans="2:107" x14ac:dyDescent="0.25">
      <c r="B75" s="44">
        <v>2018</v>
      </c>
      <c r="C75" s="88">
        <v>51</v>
      </c>
      <c r="D75" s="51">
        <f t="shared" si="579"/>
        <v>-6431161.4561999999</v>
      </c>
      <c r="E75" s="202">
        <f t="shared" si="580"/>
        <v>-5471913.9932999993</v>
      </c>
      <c r="F75" s="182">
        <f t="shared" si="45"/>
        <v>0.85084382200119824</v>
      </c>
      <c r="G75" s="176">
        <f t="shared" si="561"/>
        <v>-279420</v>
      </c>
      <c r="H75" s="203">
        <f t="shared" si="561"/>
        <v>23.016110000000001</v>
      </c>
      <c r="I75" s="203">
        <f t="shared" si="561"/>
        <v>3.432995</v>
      </c>
      <c r="J75" s="176">
        <f>IFERROR(VLOOKUP($B75 &amp; $C75&amp;J$4&amp;$A75,tblForecast,J$2,FALSE),0)+IFERROR(VLOOKUP($B75 &amp; $C75 &amp; J$4 &amp; $A75,tblForecast,J$2+1,FALSE),0)</f>
        <v>195240</v>
      </c>
      <c r="K75" s="300">
        <f>IFERROR(VLOOKUP($B75 &amp; $C75&amp;K$4&amp;$A75,tblForecast,K$2,FALSE),0)+IFERROR(VLOOKUP($B75 &amp; $C75&amp;K$4&amp;$A75,tblForecast,K$2+1,FALSE),0)</f>
        <v>0</v>
      </c>
      <c r="L75" s="90">
        <f t="shared" si="562"/>
        <v>25515</v>
      </c>
      <c r="M75" s="90">
        <f t="shared" si="562"/>
        <v>25515</v>
      </c>
      <c r="N75" s="46">
        <f t="shared" si="562"/>
        <v>0</v>
      </c>
      <c r="O75" s="46">
        <f t="shared" si="562"/>
        <v>1021.994</v>
      </c>
      <c r="P75" s="47">
        <f t="shared" si="39"/>
        <v>23.965899995498994</v>
      </c>
      <c r="Q75" s="342">
        <f t="shared" si="581"/>
        <v>5103</v>
      </c>
      <c r="R75" s="240">
        <f t="shared" si="563"/>
        <v>5103</v>
      </c>
      <c r="S75" s="240">
        <f t="shared" si="563"/>
        <v>0</v>
      </c>
      <c r="T75" s="240">
        <f>IFERROR(VLOOKUP($B75-IF(CompareVer="LY",1,0) &amp; $C75 &amp;T$4,tblForecast,T$2,FALSE),0)</f>
        <v>305</v>
      </c>
      <c r="U75" s="91">
        <f t="shared" ref="U75:U96" si="585">IFERROR(Q75/T75-1,)</f>
        <v>15.731147540983606</v>
      </c>
      <c r="V75" s="249">
        <f t="shared" si="582"/>
        <v>1.6113040732554469</v>
      </c>
      <c r="W75" s="334">
        <f t="shared" si="583"/>
        <v>1.6113040732554469</v>
      </c>
      <c r="X75" s="250">
        <f t="shared" si="584"/>
        <v>1</v>
      </c>
      <c r="Y75" s="51">
        <f t="shared" si="564"/>
        <v>4286.5199999999977</v>
      </c>
      <c r="Z75" s="46">
        <f t="shared" si="564"/>
        <v>4286.5199999999977</v>
      </c>
      <c r="AA75" s="46">
        <f t="shared" si="564"/>
        <v>0</v>
      </c>
      <c r="AB75" s="46">
        <f t="shared" si="564"/>
        <v>-90.005499999999927</v>
      </c>
      <c r="AC75" s="91">
        <f t="shared" ref="AC75:AC96" si="586">IFERROR(Y75/AB75-1,)</f>
        <v>-48.625089577859143</v>
      </c>
      <c r="AD75" s="75">
        <f>IF(AM75&lt;&gt;0,1-AR75/AM75,0)</f>
        <v>0.16799999999999993</v>
      </c>
      <c r="AE75" s="93">
        <f t="shared" si="565"/>
        <v>0.16799999999999993</v>
      </c>
      <c r="AF75" s="93">
        <f t="shared" si="565"/>
        <v>0</v>
      </c>
      <c r="AG75" s="76">
        <f t="shared" si="565"/>
        <v>-8.8068520950220774E-2</v>
      </c>
      <c r="AH75" s="73">
        <f>IF(IFERROR(VLOOKUP($B75 &amp; $C75&amp;AH$4,tblForecast,AH$2,FALSE),0)=0,DB75,IFERROR(VLOOKUP($B75 &amp; $C75&amp;AH$4,tblForecast,AH$2,FALSE),0))</f>
        <v>25.02</v>
      </c>
      <c r="AI75" s="94">
        <f t="shared" si="566"/>
        <v>25.02</v>
      </c>
      <c r="AJ75" s="94">
        <f t="shared" si="566"/>
        <v>0</v>
      </c>
      <c r="AK75" s="49">
        <f>IFERROR(VLOOKUP($B75-IF(CompareVer="LY",1,0) &amp; $C75 &amp;AK$4,tblForecast,AK$2,FALSE),0)</f>
        <v>22.520399999999999</v>
      </c>
      <c r="AL75" s="47">
        <f t="shared" si="492"/>
        <v>0.11099269995204364</v>
      </c>
      <c r="AM75" s="73">
        <f>IF(IFERROR(VLOOKUP($B75 &amp; $C75&amp;AM$4,tblForecast,AM$2,FALSE),0)=0,DA75,IFERROR(VLOOKUP($B75 &amp; $C75&amp;AM$4,tblForecast,AM$2,FALSE),0))</f>
        <v>5</v>
      </c>
      <c r="AN75" s="94">
        <f t="shared" si="567"/>
        <v>5</v>
      </c>
      <c r="AO75" s="94">
        <f t="shared" si="567"/>
        <v>0</v>
      </c>
      <c r="AP75" s="49">
        <f>IFERROR(VLOOKUP($B75-IF(CompareVer="LY",1,0) &amp; $C75 &amp;AP$4,tblForecast,AP$2,FALSE),0)</f>
        <v>3.3508</v>
      </c>
      <c r="AQ75" s="47">
        <f t="shared" ref="AQ75:AQ96" si="587">IFERROR(AM75/AP75-1,)</f>
        <v>0.49218097170824882</v>
      </c>
      <c r="AR75" s="73">
        <f>IF(IFERROR(VLOOKUP($B75 &amp; $C75&amp;AR$4,tblForecast,AR$2,FALSE),0)=0,DC75,IFERROR(VLOOKUP($B75 &amp; $C75&amp;AR$4,tblForecast,AR$2,FALSE),0))</f>
        <v>4.16</v>
      </c>
      <c r="AS75" s="94">
        <f t="shared" si="568"/>
        <v>4.16</v>
      </c>
      <c r="AT75" s="94">
        <f t="shared" si="568"/>
        <v>0</v>
      </c>
      <c r="AU75" s="49">
        <f>IFERROR(VLOOKUP($B75-IF(CompareVer="LY",1,0) &amp; $C75 &amp;AU$4,tblForecast,AU$2,FALSE),0)</f>
        <v>3.6459000000000001</v>
      </c>
      <c r="AV75" s="47">
        <f t="shared" ref="AV75:AV96" si="588">IFERROR(AR75/AU75-1,)</f>
        <v>0.14100770728763812</v>
      </c>
      <c r="AW75" s="191">
        <f t="shared" si="569"/>
        <v>0.8001598721023182</v>
      </c>
      <c r="AX75" s="192">
        <f t="shared" si="569"/>
        <v>0.8001598721023182</v>
      </c>
      <c r="AY75" s="192">
        <f t="shared" si="569"/>
        <v>0</v>
      </c>
      <c r="AZ75" s="192">
        <f t="shared" si="569"/>
        <v>0.85121045807356888</v>
      </c>
      <c r="BA75" s="235">
        <f>IF(BA74+BV75+BL75+BR75-Q75&lt;0,0,BA74+BV75+BL75+BR75-Q75)</f>
        <v>58074</v>
      </c>
      <c r="BB75" s="231">
        <f>IF(IFERROR(VLOOKUP($B75 &amp; $C75&amp;BB$4,tblForecast,BB$2,FALSE),0)=0,BA75,IFERROR(VLOOKUP($B75 &amp; $C75&amp;BB$4,tblForecast,BB$2,FALSE),0))</f>
        <v>58074</v>
      </c>
      <c r="BC75" s="231">
        <f>IFERROR(VLOOKUP($B75-IF(CompareVer="LY",1,0) &amp; $C75 &amp;BC$4,tblForecast,BC$2,FALSE),0)</f>
        <v>0</v>
      </c>
      <c r="BD75" s="231">
        <f t="shared" si="570"/>
        <v>6774</v>
      </c>
      <c r="BE75" s="194">
        <f t="shared" ref="BE75:BE96" si="589">IFERROR(BA75/BD75-1,)</f>
        <v>7.5730735163861826</v>
      </c>
      <c r="BF75" s="231">
        <f>IFERROR(VLOOKUP($B75 &amp; $C75&amp;IF($A75="a",BG$4,BF$4),tblForecast,BF$2,FALSE),0)</f>
        <v>0</v>
      </c>
      <c r="BG75" s="228">
        <f>IFERROR(VLOOKUP($B75-IF(CompareVer="LY",1,0) &amp; $C75 &amp;BG$4,tblForecast,BG$2,FALSE),0)</f>
        <v>716</v>
      </c>
      <c r="BH75" s="179">
        <f>IF(Q75&lt;&gt;0,BA75/Q75,0)</f>
        <v>11.380364491475603</v>
      </c>
      <c r="BI75" s="183">
        <f>IF(T75&lt;&gt;0,BD75/T75,0)</f>
        <v>22.209836065573771</v>
      </c>
      <c r="BJ75" s="195">
        <f t="shared" si="571"/>
        <v>8.787064779419361E-2</v>
      </c>
      <c r="BK75" s="50">
        <f t="shared" si="572"/>
        <v>4.5025095955122531E-2</v>
      </c>
      <c r="BL75" s="234">
        <f>IFERROR(VLOOKUP($B75 &amp; $C75&amp;IF($A75="a",BM$4,BL$4),tblForecast,BL$2,FALSE),0)</f>
        <v>0</v>
      </c>
      <c r="BM75" s="228">
        <f>IFERROR(VLOOKUP($B75-IF(CompareVer="LY",1,0) &amp; $C75 &amp;BM$4,tblForecast,BM$2,FALSE),0)</f>
        <v>-8327</v>
      </c>
      <c r="BN75" s="234">
        <f>IFERROR(VLOOKUP($B75 &amp; $C75&amp;IF($A75="a",BO$4,BN$4),tblForecast,BN$2,FALSE),0)</f>
        <v>0</v>
      </c>
      <c r="BO75" s="228">
        <f>IFERROR(VLOOKUP($B75-IF(CompareVer="LY",1,0) &amp; $C75 &amp;BO$4,tblForecast,BO$2,FALSE),0)</f>
        <v>0</v>
      </c>
      <c r="BP75" s="234">
        <f>IFERROR(VLOOKUP($B75 &amp; $C75&amp;IF($A75="a",BQ$4,BP$4),tblForecast,BP$2,FALSE),0)</f>
        <v>0</v>
      </c>
      <c r="BQ75" s="228">
        <f>IFERROR(VLOOKUP($B75-IF(CompareVer="LY",1,0) &amp; $C75 &amp;BQ$4,tblForecast,BQ$2,FALSE),0)</f>
        <v>3</v>
      </c>
      <c r="BR75" s="227">
        <f t="shared" si="43"/>
        <v>0</v>
      </c>
      <c r="BS75" s="231">
        <f t="shared" si="43"/>
        <v>-3</v>
      </c>
      <c r="BT75" s="234">
        <f t="shared" si="573"/>
        <v>0</v>
      </c>
      <c r="BU75" s="231">
        <f t="shared" si="573"/>
        <v>0</v>
      </c>
      <c r="BV75" s="231">
        <f>IF($A75="a",IFERROR(VLOOKUP($B75 &amp; $C75&amp;BV$4,tblForecast,BV$2,FALSE),0),BT75+BU75)</f>
        <v>0</v>
      </c>
      <c r="BW75" s="231">
        <f t="shared" si="574"/>
        <v>0</v>
      </c>
      <c r="BX75" s="231">
        <f t="shared" si="574"/>
        <v>0</v>
      </c>
      <c r="BY75" s="193">
        <f>IFERROR(VLOOKUP($B75-IF(CompareVer="LY",1,0) &amp; $C75 &amp;BY$4,tblForecast,BY$2,FALSE),0)</f>
        <v>0</v>
      </c>
      <c r="BZ75" s="194">
        <f t="shared" ref="BZ75:BZ96" si="590">IFERROR(BV75/BY75-1,)</f>
        <v>0</v>
      </c>
      <c r="CA75" s="337">
        <f t="shared" si="575"/>
        <v>0</v>
      </c>
      <c r="CB75" s="46">
        <f t="shared" si="575"/>
        <v>0</v>
      </c>
      <c r="CC75" s="46">
        <f>IF($A75="a",IFERROR(VLOOKUP($B75 &amp; $C75&amp;CC$4,tblForecast,CC$2,FALSE),0),CA75+CB75)</f>
        <v>0</v>
      </c>
      <c r="CD75" s="46">
        <f t="shared" si="576"/>
        <v>0</v>
      </c>
      <c r="CE75" s="46">
        <f t="shared" si="576"/>
        <v>0</v>
      </c>
      <c r="CF75" s="46">
        <f>IFERROR(VLOOKUP($B75-IF(CompareVer="LY",1,0) &amp; $C75 &amp;CF$4,tblForecast,CF$2,FALSE),0)</f>
        <v>0</v>
      </c>
      <c r="CG75" s="194">
        <f t="shared" ref="CG75:CG96" si="591">IFERROR(CC75/CF75-1,)</f>
        <v>0</v>
      </c>
      <c r="CH75" s="337">
        <f t="shared" si="577"/>
        <v>0</v>
      </c>
      <c r="CI75" s="46">
        <f t="shared" si="577"/>
        <v>0</v>
      </c>
      <c r="CJ75" s="46">
        <f>IF($A75="a",IFERROR(VLOOKUP($B75 &amp; $C75&amp;CJ$4,tblForecast,CJ$2,FALSE),0),CH75+CI75)</f>
        <v>0</v>
      </c>
      <c r="CK75" s="46">
        <f t="shared" si="578"/>
        <v>0</v>
      </c>
      <c r="CL75" s="46">
        <f t="shared" si="578"/>
        <v>0</v>
      </c>
      <c r="CM75" s="46">
        <f>IFERROR(VLOOKUP($B75-IF(CompareVer="LY",1,0) &amp; $C75 &amp;CM$4,tblForecast,CM$2,FALSE),0)</f>
        <v>0</v>
      </c>
      <c r="CN75" s="194">
        <f t="shared" ref="CN75:CN96" si="592">IFERROR(CJ75/CM75-1,)</f>
        <v>0</v>
      </c>
      <c r="CO75" s="178">
        <f t="shared" si="46"/>
        <v>0</v>
      </c>
      <c r="CP75" s="223">
        <f t="shared" si="46"/>
        <v>0</v>
      </c>
      <c r="CQ75" s="194">
        <f t="shared" ref="CQ75:CQ96" si="593">IFERROR(CL75/CP75-1,)</f>
        <v>0</v>
      </c>
      <c r="CR75" s="178">
        <f t="shared" si="44"/>
        <v>0</v>
      </c>
      <c r="CS75" s="223">
        <f t="shared" si="44"/>
        <v>0</v>
      </c>
      <c r="CT75" s="194">
        <f t="shared" si="47"/>
        <v>0</v>
      </c>
      <c r="CU75" s="44"/>
      <c r="CW75" s="102">
        <f>IF(CW74+BV75+BL75-Q75&lt;0,0,CW74+BV75+BL75-Q75)</f>
        <v>0</v>
      </c>
      <c r="CX75" s="48">
        <f>IFERROR(VLOOKUP($B75-IF(CompareVer="LY",1,0) &amp; $C75 &amp;CX$4,tblForecast,CX$2,FALSE),0)</f>
        <v>6058</v>
      </c>
      <c r="CY75" s="47">
        <f>IFERROR(CW75/CX75-1,)</f>
        <v>-1</v>
      </c>
      <c r="CZ75" s="278">
        <f>IFERROR(VLOOKUP(Brand&amp;Channel&amp;Country&amp;$C75,tblDiscount,6,FALSE),0)</f>
        <v>0.8</v>
      </c>
      <c r="DA75" s="279">
        <f>(1-CZ75)*DB75</f>
        <v>5.0039999999999987</v>
      </c>
      <c r="DB75" s="279">
        <f>IFERROR(VLOOKUP(Brand&amp;Country &amp; Channel &amp;FC,tblFCSettings,8,FALSE),0)</f>
        <v>25.02</v>
      </c>
      <c r="DC75" s="280">
        <f>IFERROR(VLOOKUP(Brand&amp;Country &amp; Channel &amp;FC,tblFCSettings,9,FALSE),0)</f>
        <v>4.16</v>
      </c>
    </row>
    <row r="76" spans="2:107" ht="16.5" thickBot="1" x14ac:dyDescent="0.3">
      <c r="B76" s="44">
        <v>2018</v>
      </c>
      <c r="C76" s="88">
        <v>52</v>
      </c>
      <c r="D76" s="51">
        <f t="shared" si="579"/>
        <v>-4736840.738957</v>
      </c>
      <c r="E76" s="202">
        <f t="shared" si="580"/>
        <v>-4143096.3847849998</v>
      </c>
      <c r="F76" s="182">
        <f t="shared" si="45"/>
        <v>0.87465393351967835</v>
      </c>
      <c r="G76" s="176">
        <f t="shared" si="561"/>
        <v>-231997</v>
      </c>
      <c r="H76" s="203">
        <f t="shared" si="561"/>
        <v>20.417681000000002</v>
      </c>
      <c r="I76" s="203">
        <f t="shared" si="561"/>
        <v>2.5592760000000001</v>
      </c>
      <c r="J76" s="176">
        <f>IFERROR(VLOOKUP($B76 &amp; $C76&amp;J$4&amp;$A76,tblForecast,J$2,FALSE),0)+IFERROR(VLOOKUP($B76 &amp; $C76 &amp; J$4 &amp; $A76,tblForecast,J$2+1,FALSE),0)</f>
        <v>189867</v>
      </c>
      <c r="K76" s="300">
        <f>IFERROR(VLOOKUP($B76 &amp; $C76&amp;K$4&amp;$A76,tblForecast,K$2,FALSE),0)+IFERROR(VLOOKUP($B76 &amp; $C76&amp;K$4&amp;$A76,tblForecast,K$2+1,FALSE),0)</f>
        <v>0</v>
      </c>
      <c r="L76" s="90">
        <f t="shared" si="562"/>
        <v>6810</v>
      </c>
      <c r="M76" s="90">
        <f t="shared" si="562"/>
        <v>6810</v>
      </c>
      <c r="N76" s="46">
        <f t="shared" si="562"/>
        <v>0</v>
      </c>
      <c r="O76" s="46">
        <f t="shared" si="562"/>
        <v>740.00430000000006</v>
      </c>
      <c r="P76" s="47">
        <f t="shared" ref="P76:P96" si="594">IFERROR(L76/O76-1,)</f>
        <v>8.202649227849081</v>
      </c>
      <c r="Q76" s="342">
        <f t="shared" si="581"/>
        <v>1362</v>
      </c>
      <c r="R76" s="240">
        <f t="shared" si="563"/>
        <v>1362</v>
      </c>
      <c r="S76" s="240">
        <f t="shared" si="563"/>
        <v>0</v>
      </c>
      <c r="T76" s="240">
        <f>IFERROR(VLOOKUP($B76-IF(CompareVer="LY",1,0) &amp; $C76 &amp;T$4,tblForecast,T$2,FALSE),0)</f>
        <v>161</v>
      </c>
      <c r="U76" s="91">
        <f t="shared" si="585"/>
        <v>7.4596273291925463</v>
      </c>
      <c r="V76" s="249">
        <f t="shared" si="582"/>
        <v>0.26690182245737804</v>
      </c>
      <c r="W76" s="334">
        <f t="shared" si="583"/>
        <v>0.26690182245737804</v>
      </c>
      <c r="X76" s="250">
        <f t="shared" si="584"/>
        <v>0.52786885245901638</v>
      </c>
      <c r="Y76" s="51">
        <f t="shared" si="564"/>
        <v>1144.0799999999995</v>
      </c>
      <c r="Z76" s="46">
        <f t="shared" si="564"/>
        <v>1144.0799999999995</v>
      </c>
      <c r="AA76" s="46">
        <f t="shared" si="564"/>
        <v>0</v>
      </c>
      <c r="AB76" s="46">
        <f t="shared" si="564"/>
        <v>105.00420000000003</v>
      </c>
      <c r="AC76" s="91">
        <f t="shared" si="586"/>
        <v>9.8955641774328953</v>
      </c>
      <c r="AD76" s="75">
        <f>IF(AM76&lt;&gt;0,1-AR76/AM76,0)</f>
        <v>0.16799999999999993</v>
      </c>
      <c r="AE76" s="93">
        <f t="shared" si="565"/>
        <v>0.16799999999999993</v>
      </c>
      <c r="AF76" s="93">
        <f t="shared" si="565"/>
        <v>0</v>
      </c>
      <c r="AG76" s="76">
        <f t="shared" si="565"/>
        <v>0.14189674303243915</v>
      </c>
      <c r="AH76" s="73">
        <f>IF(IFERROR(VLOOKUP($B76 &amp; $C76&amp;AH$4,tblForecast,AH$2,FALSE),0)=0,DB76,IFERROR(VLOOKUP($B76 &amp; $C76&amp;AH$4,tblForecast,AH$2,FALSE),0))</f>
        <v>25.02</v>
      </c>
      <c r="AI76" s="94">
        <f t="shared" si="566"/>
        <v>25.02</v>
      </c>
      <c r="AJ76" s="94">
        <f t="shared" si="566"/>
        <v>0</v>
      </c>
      <c r="AK76" s="49">
        <f>IFERROR(VLOOKUP($B76-IF(CompareVer="LY",1,0) &amp; $C76 &amp;AK$4,tblForecast,AK$2,FALSE),0)</f>
        <v>24.236000000000001</v>
      </c>
      <c r="AL76" s="47">
        <f t="shared" si="492"/>
        <v>3.2348572371678541E-2</v>
      </c>
      <c r="AM76" s="73">
        <f>IF(IFERROR(VLOOKUP($B76 &amp; $C76&amp;AM$4,tblForecast,AM$2,FALSE),0)=0,DA76,IFERROR(VLOOKUP($B76 &amp; $C76&amp;AM$4,tblForecast,AM$2,FALSE),0))</f>
        <v>5</v>
      </c>
      <c r="AN76" s="94">
        <f t="shared" si="567"/>
        <v>5</v>
      </c>
      <c r="AO76" s="94">
        <f t="shared" si="567"/>
        <v>0</v>
      </c>
      <c r="AP76" s="49">
        <f>IFERROR(VLOOKUP($B76-IF(CompareVer="LY",1,0) &amp; $C76 &amp;AP$4,tblForecast,AP$2,FALSE),0)</f>
        <v>4.5963000000000003</v>
      </c>
      <c r="AQ76" s="47">
        <f t="shared" si="587"/>
        <v>8.7831516654700348E-2</v>
      </c>
      <c r="AR76" s="73">
        <f>IF(IFERROR(VLOOKUP($B76 &amp; $C76&amp;AR$4,tblForecast,AR$2,FALSE),0)=0,DC76,IFERROR(VLOOKUP($B76 &amp; $C76&amp;AR$4,tblForecast,AR$2,FALSE),0))</f>
        <v>4.16</v>
      </c>
      <c r="AS76" s="94">
        <f t="shared" si="568"/>
        <v>4.16</v>
      </c>
      <c r="AT76" s="94">
        <f t="shared" si="568"/>
        <v>0</v>
      </c>
      <c r="AU76" s="49">
        <f>IFERROR(VLOOKUP($B76-IF(CompareVer="LY",1,0) &amp; $C76 &amp;AU$4,tblForecast,AU$2,FALSE),0)</f>
        <v>3.9441000000000002</v>
      </c>
      <c r="AV76" s="47">
        <f t="shared" si="588"/>
        <v>5.4739991379529007E-2</v>
      </c>
      <c r="AW76" s="191">
        <f t="shared" si="569"/>
        <v>0.8001598721023182</v>
      </c>
      <c r="AX76" s="192">
        <f t="shared" si="569"/>
        <v>0.8001598721023182</v>
      </c>
      <c r="AY76" s="192">
        <f t="shared" si="569"/>
        <v>0</v>
      </c>
      <c r="AZ76" s="192">
        <f t="shared" si="569"/>
        <v>0.81035236837762004</v>
      </c>
      <c r="BA76" s="235">
        <f>IF(BA75+BV76+BL76+BR76-Q76&lt;0,0,BA75+BV76+BL76+BR76-Q76)</f>
        <v>56712</v>
      </c>
      <c r="BB76" s="231">
        <f>IF(IFERROR(VLOOKUP($B76 &amp; $C76&amp;BB$4,tblForecast,BB$2,FALSE),0)=0,BA76,IFERROR(VLOOKUP($B76 &amp; $C76&amp;BB$4,tblForecast,BB$2,FALSE),0))</f>
        <v>56712</v>
      </c>
      <c r="BC76" s="231">
        <f>IFERROR(VLOOKUP($B76-IF(CompareVer="LY",1,0) &amp; $C76 &amp;BC$4,tblForecast,BC$2,FALSE),0)</f>
        <v>0</v>
      </c>
      <c r="BD76" s="231">
        <f t="shared" si="570"/>
        <v>6455</v>
      </c>
      <c r="BE76" s="194">
        <f t="shared" si="589"/>
        <v>7.7857474825716491</v>
      </c>
      <c r="BF76" s="231">
        <f>IFERROR(VLOOKUP($B76 &amp; $C76&amp;IF($A76="a",BG$4,BF$4),tblForecast,BF$2,FALSE),0)</f>
        <v>0</v>
      </c>
      <c r="BG76" s="228">
        <f>IFERROR(VLOOKUP($B76-IF(CompareVer="LY",1,0) &amp; $C76 &amp;BG$4,tblForecast,BG$2,FALSE),0)</f>
        <v>716</v>
      </c>
      <c r="BH76" s="179">
        <f>IF(Q76&lt;&gt;0,BA76/Q76,0)</f>
        <v>41.63876651982379</v>
      </c>
      <c r="BI76" s="183">
        <f>IF(T76&lt;&gt;0,BD76/T76,0)</f>
        <v>40.093167701863351</v>
      </c>
      <c r="BJ76" s="195">
        <f t="shared" si="571"/>
        <v>2.4016081252644941E-2</v>
      </c>
      <c r="BK76" s="50">
        <f t="shared" si="572"/>
        <v>2.4941905499612702E-2</v>
      </c>
      <c r="BL76" s="234">
        <f>IFERROR(VLOOKUP($B76 &amp; $C76&amp;IF($A76="a",BM$4,BL$4),tblForecast,BL$2,FALSE),0)</f>
        <v>0</v>
      </c>
      <c r="BM76" s="228">
        <f>IFERROR(VLOOKUP($B76-IF(CompareVer="LY",1,0) &amp; $C76 &amp;BM$4,tblForecast,BM$2,FALSE),0)</f>
        <v>-159</v>
      </c>
      <c r="BN76" s="234">
        <f>IFERROR(VLOOKUP($B76 &amp; $C76&amp;IF($A76="a",BO$4,BN$4),tblForecast,BN$2,FALSE),0)</f>
        <v>0</v>
      </c>
      <c r="BO76" s="228">
        <f>IFERROR(VLOOKUP($B76-IF(CompareVer="LY",1,0) &amp; $C76 &amp;BO$4,tblForecast,BO$2,FALSE),0)</f>
        <v>0</v>
      </c>
      <c r="BP76" s="234">
        <f>IFERROR(VLOOKUP($B76 &amp; $C76&amp;IF($A76="a",BQ$4,BP$4),tblForecast,BP$2,FALSE),0)</f>
        <v>0</v>
      </c>
      <c r="BQ76" s="228">
        <f>IFERROR(VLOOKUP($B76-IF(CompareVer="LY",1,0) &amp; $C76 &amp;BQ$4,tblForecast,BQ$2,FALSE),0)</f>
        <v>0</v>
      </c>
      <c r="BR76" s="227">
        <f t="shared" ref="BR76:BS91" si="595">BN76-BP76</f>
        <v>0</v>
      </c>
      <c r="BS76" s="231">
        <f t="shared" si="595"/>
        <v>0</v>
      </c>
      <c r="BT76" s="234">
        <f t="shared" si="573"/>
        <v>0</v>
      </c>
      <c r="BU76" s="231">
        <f t="shared" si="573"/>
        <v>0</v>
      </c>
      <c r="BV76" s="231">
        <f>IF($A76="a",IFERROR(VLOOKUP($B76 &amp; $C76&amp;BV$4,tblForecast,BV$2,FALSE),0),BT76+BU76)</f>
        <v>0</v>
      </c>
      <c r="BW76" s="231">
        <f t="shared" si="574"/>
        <v>0</v>
      </c>
      <c r="BX76" s="231">
        <f t="shared" si="574"/>
        <v>0</v>
      </c>
      <c r="BY76" s="193">
        <f>IFERROR(VLOOKUP($B76-IF(CompareVer="LY",1,0) &amp; $C76 &amp;BY$4,tblForecast,BY$2,FALSE),0)</f>
        <v>0</v>
      </c>
      <c r="BZ76" s="194">
        <f t="shared" si="590"/>
        <v>0</v>
      </c>
      <c r="CA76" s="337">
        <f t="shared" si="575"/>
        <v>0</v>
      </c>
      <c r="CB76" s="46">
        <f t="shared" si="575"/>
        <v>0</v>
      </c>
      <c r="CC76" s="46">
        <f>IF($A76="a",IFERROR(VLOOKUP($B76 &amp; $C76&amp;CC$4,tblForecast,CC$2,FALSE),0),CA76+CB76)</f>
        <v>0</v>
      </c>
      <c r="CD76" s="46">
        <f t="shared" si="576"/>
        <v>0</v>
      </c>
      <c r="CE76" s="46">
        <f t="shared" si="576"/>
        <v>0</v>
      </c>
      <c r="CF76" s="46">
        <f>IFERROR(VLOOKUP($B76-IF(CompareVer="LY",1,0) &amp; $C76 &amp;CF$4,tblForecast,CF$2,FALSE),0)</f>
        <v>0</v>
      </c>
      <c r="CG76" s="194">
        <f t="shared" si="591"/>
        <v>0</v>
      </c>
      <c r="CH76" s="337">
        <f t="shared" si="577"/>
        <v>0</v>
      </c>
      <c r="CI76" s="46">
        <f t="shared" si="577"/>
        <v>0</v>
      </c>
      <c r="CJ76" s="46">
        <f>IF($A76="a",IFERROR(VLOOKUP($B76 &amp; $C76&amp;CJ$4,tblForecast,CJ$2,FALSE),0),CH76+CI76)</f>
        <v>0</v>
      </c>
      <c r="CK76" s="46">
        <f t="shared" si="578"/>
        <v>0</v>
      </c>
      <c r="CL76" s="46">
        <f t="shared" si="578"/>
        <v>0</v>
      </c>
      <c r="CM76" s="46">
        <f>IFERROR(VLOOKUP($B76-IF(CompareVer="LY",1,0) &amp; $C76 &amp;CM$4,tblForecast,CM$2,FALSE),0)</f>
        <v>0</v>
      </c>
      <c r="CN76" s="194">
        <f t="shared" si="592"/>
        <v>0</v>
      </c>
      <c r="CO76" s="178">
        <f t="shared" si="46"/>
        <v>0</v>
      </c>
      <c r="CP76" s="223">
        <f t="shared" si="46"/>
        <v>0</v>
      </c>
      <c r="CQ76" s="194">
        <f t="shared" si="593"/>
        <v>0</v>
      </c>
      <c r="CR76" s="178">
        <f t="shared" ref="CR76:CS96" si="596">IFERROR(CL76/BX76,0)</f>
        <v>0</v>
      </c>
      <c r="CS76" s="223">
        <f t="shared" si="596"/>
        <v>0</v>
      </c>
      <c r="CT76" s="194">
        <f t="shared" si="47"/>
        <v>0</v>
      </c>
      <c r="CU76" s="44"/>
      <c r="CW76" s="102">
        <f>IF(CW75+BV76+BL76-Q76&lt;0,0,CW75+BV76+BL76-Q76)</f>
        <v>0</v>
      </c>
      <c r="CX76" s="48">
        <f>IFERROR(VLOOKUP($B76-IF(CompareVer="LY",1,0) &amp; $C76 &amp;CX$4,tblForecast,CX$2,FALSE),0)</f>
        <v>5739</v>
      </c>
      <c r="CY76" s="47">
        <f>IFERROR(CW76/CX76-1,)</f>
        <v>-1</v>
      </c>
      <c r="CZ76" s="278">
        <f>IFERROR(VLOOKUP(Brand&amp;Channel&amp;Country&amp;$C76,tblDiscount,6,FALSE),0)</f>
        <v>0.8</v>
      </c>
      <c r="DA76" s="279">
        <f>(1-CZ76)*DB76</f>
        <v>5.0039999999999987</v>
      </c>
      <c r="DB76" s="279">
        <f>IFERROR(VLOOKUP(Brand&amp;Country &amp; Channel &amp;FC,tblFCSettings,8,FALSE),0)</f>
        <v>25.02</v>
      </c>
      <c r="DC76" s="280">
        <f>IFERROR(VLOOKUP(Brand&amp;Country &amp; Channel &amp;FC,tblFCSettings,9,FALSE),0)</f>
        <v>4.16</v>
      </c>
    </row>
    <row r="77" spans="2:107" ht="16.5" thickBot="1" x14ac:dyDescent="0.3">
      <c r="C77" s="253" t="s">
        <v>317</v>
      </c>
      <c r="D77" s="254">
        <f t="shared" ref="D77" si="597">SUM(D73:D76)</f>
        <v>-18034561.55288</v>
      </c>
      <c r="E77" s="255">
        <f t="shared" ref="E77" si="598">SUM(E73:E76)</f>
        <v>-15598586.122177999</v>
      </c>
      <c r="F77" s="256">
        <f t="shared" ref="F77:F96" si="599">IF(H77&lt;&gt;0,1-I77/H77,0)</f>
        <v>0.86492738270573644</v>
      </c>
      <c r="G77" s="257">
        <f>SUM(G73:G76)</f>
        <v>-823345</v>
      </c>
      <c r="H77" s="258">
        <f>IFERROR(D77/G77,0)</f>
        <v>21.90401539194384</v>
      </c>
      <c r="I77" s="258">
        <f>IFERROR(SUMPRODUCT(I73:I76,G73:G76)/G77,0)</f>
        <v>2.9586326882436893</v>
      </c>
      <c r="J77" s="257">
        <f>SUM(J73:J76)</f>
        <v>811006</v>
      </c>
      <c r="K77" s="301">
        <f>SUM(K73:K76)</f>
        <v>0</v>
      </c>
      <c r="L77" s="259">
        <f>SUM(L73:L76)</f>
        <v>108225</v>
      </c>
      <c r="M77" s="259">
        <f t="shared" ref="M77:O77" si="600">SUM(M73:M76)</f>
        <v>108225</v>
      </c>
      <c r="N77" s="259">
        <f t="shared" si="600"/>
        <v>0</v>
      </c>
      <c r="O77" s="259">
        <f t="shared" si="600"/>
        <v>7762.9107999999997</v>
      </c>
      <c r="P77" s="260">
        <f t="shared" si="594"/>
        <v>12.941291197111269</v>
      </c>
      <c r="Q77" s="261">
        <f>SUM(Q73:Q76)</f>
        <v>21645</v>
      </c>
      <c r="R77" s="262">
        <f t="shared" ref="R77:S77" si="601">SUM(R73:R76)</f>
        <v>21645</v>
      </c>
      <c r="S77" s="262">
        <f t="shared" si="601"/>
        <v>0</v>
      </c>
      <c r="T77" s="262">
        <f>SUM(T73:T76)</f>
        <v>3196</v>
      </c>
      <c r="U77" s="260">
        <f t="shared" si="585"/>
        <v>5.7725281602002507</v>
      </c>
      <c r="V77" s="263">
        <f t="shared" ref="V77:X77" si="602">V76</f>
        <v>0.26690182245737804</v>
      </c>
      <c r="W77" s="332">
        <f t="shared" si="602"/>
        <v>0.26690182245737804</v>
      </c>
      <c r="X77" s="264">
        <f t="shared" si="602"/>
        <v>0.52786885245901638</v>
      </c>
      <c r="Y77" s="254">
        <f>SUM(Y73:Y76)</f>
        <v>18181.799999999992</v>
      </c>
      <c r="Z77" s="259">
        <f t="shared" ref="Z77:AB77" si="603">SUM(Z73:Z76)</f>
        <v>18181.799999999992</v>
      </c>
      <c r="AA77" s="259">
        <f t="shared" si="603"/>
        <v>0</v>
      </c>
      <c r="AB77" s="259">
        <f t="shared" si="603"/>
        <v>-4405.0108</v>
      </c>
      <c r="AC77" s="260">
        <f t="shared" si="586"/>
        <v>-5.1275267701954315</v>
      </c>
      <c r="AD77" s="265">
        <f t="shared" ref="AD77:AG79" si="604">IFERROR(Y77/L77,0)</f>
        <v>0.16799999999999993</v>
      </c>
      <c r="AE77" s="266">
        <f t="shared" si="604"/>
        <v>0.16799999999999993</v>
      </c>
      <c r="AF77" s="266">
        <f t="shared" si="604"/>
        <v>0</v>
      </c>
      <c r="AG77" s="266">
        <f t="shared" si="604"/>
        <v>-0.56744318123557469</v>
      </c>
      <c r="AH77" s="267">
        <f>IFERROR(SUMPRODUCT(AH73:AH76,Q73:Q76)/Q77,0)</f>
        <v>25.02</v>
      </c>
      <c r="AI77" s="268">
        <f>IFERROR(SUMPRODUCT(AI73:AI76,R73:R76)/R77,0)</f>
        <v>25.02</v>
      </c>
      <c r="AJ77" s="268">
        <f t="shared" ref="AJ77:AK77" si="605">IFERROR(SUMPRODUCT(AJ73:AJ76,S73:S76)/S77,0)</f>
        <v>0</v>
      </c>
      <c r="AK77" s="268">
        <f t="shared" si="605"/>
        <v>22.216682415519397</v>
      </c>
      <c r="AL77" s="260">
        <f t="shared" si="492"/>
        <v>0.12618074706430304</v>
      </c>
      <c r="AM77" s="267">
        <f t="shared" ref="AM77:AP79" si="606">IF(Q77&lt;&gt;0,L77/Q77,0)</f>
        <v>5</v>
      </c>
      <c r="AN77" s="268">
        <f t="shared" si="606"/>
        <v>5</v>
      </c>
      <c r="AO77" s="268">
        <f t="shared" si="606"/>
        <v>0</v>
      </c>
      <c r="AP77" s="268">
        <f t="shared" si="606"/>
        <v>2.4289458072590739</v>
      </c>
      <c r="AQ77" s="260">
        <f t="shared" si="587"/>
        <v>1.0585061984739021</v>
      </c>
      <c r="AR77" s="267">
        <f t="shared" ref="AR77:AU79" si="607">IFERROR((L77*(1-AD77))/Q77,0)</f>
        <v>4.16</v>
      </c>
      <c r="AS77" s="268">
        <f t="shared" si="607"/>
        <v>4.16</v>
      </c>
      <c r="AT77" s="268">
        <f t="shared" si="607"/>
        <v>0</v>
      </c>
      <c r="AU77" s="268">
        <f t="shared" si="607"/>
        <v>3.8072345431789736</v>
      </c>
      <c r="AV77" s="260">
        <f t="shared" si="588"/>
        <v>9.2656612777649805E-2</v>
      </c>
      <c r="AW77" s="269">
        <f>IFERROR(SUMPRODUCT(AW73:AW76,V73:V76)/V77,0)</f>
        <v>12.801016248332061</v>
      </c>
      <c r="AX77" s="270">
        <f t="shared" ref="AX77:AZ77" si="608">IFERROR(SUMPRODUCT(AX73:AX76,X73:X76)/X77,0)</f>
        <v>3.8782422144597986</v>
      </c>
      <c r="AY77" s="270">
        <f t="shared" si="608"/>
        <v>0</v>
      </c>
      <c r="AZ77" s="270">
        <f t="shared" si="608"/>
        <v>0.88149858769190315</v>
      </c>
      <c r="BA77" s="261">
        <f>BA76</f>
        <v>56712</v>
      </c>
      <c r="BB77" s="262">
        <f t="shared" ref="BB77:BD79" si="609">BB76</f>
        <v>56712</v>
      </c>
      <c r="BC77" s="262">
        <f t="shared" si="609"/>
        <v>0</v>
      </c>
      <c r="BD77" s="262">
        <f t="shared" si="609"/>
        <v>6455</v>
      </c>
      <c r="BE77" s="260">
        <f t="shared" si="589"/>
        <v>7.7857474825716491</v>
      </c>
      <c r="BF77" s="262">
        <f t="shared" ref="BF77:BG79" si="610">BF76</f>
        <v>0</v>
      </c>
      <c r="BG77" s="262">
        <f t="shared" si="610"/>
        <v>716</v>
      </c>
      <c r="BH77" s="271">
        <f>IF(Q77&lt;&gt;0,(BA77*COUNTIF(BH73:BH76,"&lt;&gt;0")/Q77),0)</f>
        <v>10.48038808038808</v>
      </c>
      <c r="BI77" s="272">
        <f>IF(T77&lt;&gt;0,(BD77*COUNTIF(BI73:BI76,"&lt;&gt;0")/T77),0)</f>
        <v>8.0788485607008766</v>
      </c>
      <c r="BJ77" s="273">
        <f t="shared" ref="BJ77" si="611">IF(BA77&lt;&gt;0,(Q77/COUNTIF(BJ73:BJ76,"&lt;&gt;0"))/BA77,0)</f>
        <v>9.5416314007617437E-2</v>
      </c>
      <c r="BK77" s="274">
        <f t="shared" ref="BK77" si="612">IF(BD77&lt;&gt;0,(T77/COUNTIF(BK73:BK76,"&lt;&gt;0"))/BD77,0)</f>
        <v>0.12378001549186678</v>
      </c>
      <c r="BL77" s="261">
        <f>SUM(BL73:BL76)</f>
        <v>-10500</v>
      </c>
      <c r="BM77" s="262">
        <f>SUM(BM73:BM76)</f>
        <v>-8781</v>
      </c>
      <c r="BN77" s="261">
        <f>SUM(BN73:BN76)</f>
        <v>0</v>
      </c>
      <c r="BO77" s="262">
        <f t="shared" ref="BO77:BQ77" si="613">SUM(BO73:BO76)</f>
        <v>65</v>
      </c>
      <c r="BP77" s="261">
        <f>SUM(BP73:BP76)</f>
        <v>0</v>
      </c>
      <c r="BQ77" s="262">
        <f t="shared" si="613"/>
        <v>106</v>
      </c>
      <c r="BR77" s="261">
        <f t="shared" si="595"/>
        <v>0</v>
      </c>
      <c r="BS77" s="262">
        <f t="shared" si="595"/>
        <v>-41</v>
      </c>
      <c r="BT77" s="261">
        <f>SUM(BT74:BT76)</f>
        <v>0</v>
      </c>
      <c r="BU77" s="262">
        <f>SUM(BU74:BU76)</f>
        <v>0</v>
      </c>
      <c r="BV77" s="262">
        <f>SUM(BV73:BV76)</f>
        <v>0</v>
      </c>
      <c r="BW77" s="262">
        <f t="shared" ref="BW77:BX77" si="614">SUM(BW73:BW76)</f>
        <v>0</v>
      </c>
      <c r="BX77" s="262">
        <f t="shared" si="614"/>
        <v>0</v>
      </c>
      <c r="BY77" s="275">
        <f>SUM(BY73:BY76)</f>
        <v>0</v>
      </c>
      <c r="BZ77" s="260">
        <f t="shared" si="590"/>
        <v>0</v>
      </c>
      <c r="CA77" s="338">
        <f>SUM(CA74:CA76)</f>
        <v>0</v>
      </c>
      <c r="CB77" s="259">
        <f t="shared" ref="CB77" si="615">SUM(CB74:CB76)</f>
        <v>0</v>
      </c>
      <c r="CC77" s="259">
        <f t="shared" ref="CC77:CF77" si="616">SUM(CC73:CC76)</f>
        <v>0</v>
      </c>
      <c r="CD77" s="259">
        <f t="shared" si="616"/>
        <v>0</v>
      </c>
      <c r="CE77" s="259">
        <f t="shared" si="616"/>
        <v>0</v>
      </c>
      <c r="CF77" s="259">
        <f t="shared" si="616"/>
        <v>0</v>
      </c>
      <c r="CG77" s="260">
        <f t="shared" si="591"/>
        <v>0</v>
      </c>
      <c r="CH77" s="338">
        <f>SUM(CH74:CH76)</f>
        <v>0</v>
      </c>
      <c r="CI77" s="259">
        <f t="shared" ref="CI77" si="617">SUM(CI74:CI76)</f>
        <v>0</v>
      </c>
      <c r="CJ77" s="259">
        <f t="shared" ref="CJ77:CM77" si="618">SUM(CJ73:CJ76)</f>
        <v>0</v>
      </c>
      <c r="CK77" s="259">
        <f t="shared" si="618"/>
        <v>0</v>
      </c>
      <c r="CL77" s="259">
        <f t="shared" si="618"/>
        <v>0</v>
      </c>
      <c r="CM77" s="259">
        <f t="shared" si="618"/>
        <v>0</v>
      </c>
      <c r="CN77" s="260">
        <f t="shared" si="592"/>
        <v>0</v>
      </c>
      <c r="CO77" s="276">
        <f t="shared" si="46"/>
        <v>0</v>
      </c>
      <c r="CP77" s="277">
        <f t="shared" si="46"/>
        <v>0</v>
      </c>
      <c r="CQ77" s="260">
        <f t="shared" si="593"/>
        <v>0</v>
      </c>
      <c r="CR77" s="276">
        <f t="shared" si="596"/>
        <v>0</v>
      </c>
      <c r="CS77" s="277">
        <f t="shared" si="596"/>
        <v>0</v>
      </c>
      <c r="CT77" s="260">
        <f t="shared" si="47"/>
        <v>0</v>
      </c>
      <c r="CU77" s="44"/>
      <c r="CW77" s="100">
        <f t="shared" ref="CW77:CX79" si="619">CW76</f>
        <v>0</v>
      </c>
      <c r="CX77" s="101">
        <f t="shared" si="619"/>
        <v>5739</v>
      </c>
      <c r="CY77" s="99">
        <f>IFERROR(CW77/CX77-1,)</f>
        <v>-1</v>
      </c>
      <c r="CZ77" s="278"/>
      <c r="DA77" s="279"/>
      <c r="DB77" s="279"/>
      <c r="DC77" s="280"/>
    </row>
    <row r="78" spans="2:107" ht="16.5" thickBot="1" x14ac:dyDescent="0.3">
      <c r="C78" s="105" t="s">
        <v>43</v>
      </c>
      <c r="D78" s="52">
        <f t="shared" ref="D78" si="620">D66+D72+D77</f>
        <v>-61956371.059862003</v>
      </c>
      <c r="E78" s="205">
        <f t="shared" ref="E78" si="621">E66+E72+E77</f>
        <v>-48933515.457378</v>
      </c>
      <c r="F78" s="206">
        <f t="shared" si="599"/>
        <v>0.78980602995773641</v>
      </c>
      <c r="G78" s="204">
        <f>G66+G72+G77</f>
        <v>-2355860</v>
      </c>
      <c r="H78" s="207">
        <f>IFERROR(D78/G78,0)</f>
        <v>26.298833996868236</v>
      </c>
      <c r="I78" s="58">
        <f>IFERROR((I66*G66+I72*G72+I77*G77)/G78,0)</f>
        <v>5.5278563252841861</v>
      </c>
      <c r="J78" s="204">
        <f t="shared" ref="J78" si="622">J66+J72+J77</f>
        <v>4324116</v>
      </c>
      <c r="K78" s="302">
        <f t="shared" ref="K78" si="623">K66+K72+K77</f>
        <v>0</v>
      </c>
      <c r="L78" s="53">
        <f>L66+L72+L77</f>
        <v>406505</v>
      </c>
      <c r="M78" s="53">
        <f t="shared" ref="M78:O78" si="624">M66+M72+M77</f>
        <v>406505</v>
      </c>
      <c r="N78" s="53">
        <f t="shared" si="624"/>
        <v>0</v>
      </c>
      <c r="O78" s="53">
        <f t="shared" si="624"/>
        <v>56232.606899999999</v>
      </c>
      <c r="P78" s="54">
        <f t="shared" si="594"/>
        <v>6.2289908366314775</v>
      </c>
      <c r="Q78" s="229">
        <f>Q66+Q72+Q77</f>
        <v>81301</v>
      </c>
      <c r="R78" s="230">
        <f t="shared" ref="R78:S78" si="625">R66+R72+R77</f>
        <v>81301</v>
      </c>
      <c r="S78" s="230">
        <f t="shared" si="625"/>
        <v>0</v>
      </c>
      <c r="T78" s="230">
        <f>T66+T72+T77</f>
        <v>15871</v>
      </c>
      <c r="U78" s="54">
        <f t="shared" si="585"/>
        <v>4.1226135719236341</v>
      </c>
      <c r="V78" s="247">
        <f t="shared" ref="V78:X78" si="626">V77</f>
        <v>0.26690182245737804</v>
      </c>
      <c r="W78" s="333">
        <f t="shared" si="626"/>
        <v>0.26690182245737804</v>
      </c>
      <c r="X78" s="248">
        <f t="shared" si="626"/>
        <v>0.52786885245901638</v>
      </c>
      <c r="Y78" s="52">
        <f>Y66+Y72+Y77</f>
        <v>68292.839999999967</v>
      </c>
      <c r="Z78" s="53">
        <f t="shared" ref="Z78:AB78" si="627">Z66+Z72+Z77</f>
        <v>68292.839999999967</v>
      </c>
      <c r="AA78" s="53">
        <f t="shared" si="627"/>
        <v>0</v>
      </c>
      <c r="AB78" s="53">
        <f t="shared" si="627"/>
        <v>-4626.3193000000001</v>
      </c>
      <c r="AC78" s="54">
        <f t="shared" si="586"/>
        <v>-15.761808593712926</v>
      </c>
      <c r="AD78" s="77">
        <f t="shared" si="604"/>
        <v>0.16799999999999993</v>
      </c>
      <c r="AE78" s="78">
        <f t="shared" si="604"/>
        <v>0.16799999999999993</v>
      </c>
      <c r="AF78" s="78">
        <f t="shared" si="604"/>
        <v>0</v>
      </c>
      <c r="AG78" s="78">
        <f t="shared" si="604"/>
        <v>-8.2271115550931362E-2</v>
      </c>
      <c r="AH78" s="58">
        <f>IFERROR((AH66*Q66+AH72*Q72+AH77*Q77)/Q78,0)</f>
        <v>25.02</v>
      </c>
      <c r="AI78" s="58">
        <f t="shared" ref="AI78:AL78" si="628">IFERROR((AI66*R66+AI72*R72+AI77*R77)/R78,0)</f>
        <v>25.02</v>
      </c>
      <c r="AJ78" s="58">
        <f t="shared" si="628"/>
        <v>0</v>
      </c>
      <c r="AK78" s="58">
        <f t="shared" si="628"/>
        <v>23.277776334194442</v>
      </c>
      <c r="AL78" s="54">
        <f t="shared" si="628"/>
        <v>0.26984046218510865</v>
      </c>
      <c r="AM78" s="57">
        <f t="shared" si="606"/>
        <v>5</v>
      </c>
      <c r="AN78" s="58">
        <f t="shared" si="606"/>
        <v>5</v>
      </c>
      <c r="AO78" s="58">
        <f t="shared" si="606"/>
        <v>0</v>
      </c>
      <c r="AP78" s="58">
        <f t="shared" si="606"/>
        <v>3.5431042089345346</v>
      </c>
      <c r="AQ78" s="54">
        <f t="shared" si="587"/>
        <v>0.411191911147196</v>
      </c>
      <c r="AR78" s="57">
        <f t="shared" si="607"/>
        <v>4.16</v>
      </c>
      <c r="AS78" s="58">
        <f t="shared" si="607"/>
        <v>4.16</v>
      </c>
      <c r="AT78" s="58">
        <f t="shared" si="607"/>
        <v>0</v>
      </c>
      <c r="AU78" s="58">
        <f t="shared" si="607"/>
        <v>3.834599344716779</v>
      </c>
      <c r="AV78" s="54">
        <f t="shared" si="588"/>
        <v>8.4859101572515083E-2</v>
      </c>
      <c r="AW78" s="59">
        <f>IFERROR((AW66*V66+AW72*V72+AW77*V77)/V78,0)</f>
        <v>141.54931867321082</v>
      </c>
      <c r="AX78" s="60">
        <f t="shared" ref="AX78:AZ78" si="629">IFERROR((AX66*X66+AX72*X72+AX77*X77)/X78,0)</f>
        <v>19.886817737948242</v>
      </c>
      <c r="AY78" s="60">
        <f t="shared" si="629"/>
        <v>0</v>
      </c>
      <c r="AZ78" s="60">
        <f t="shared" si="629"/>
        <v>0.84722820057841264</v>
      </c>
      <c r="BA78" s="236">
        <f>BA77</f>
        <v>56712</v>
      </c>
      <c r="BB78" s="230">
        <f t="shared" si="609"/>
        <v>56712</v>
      </c>
      <c r="BC78" s="230">
        <f t="shared" si="609"/>
        <v>0</v>
      </c>
      <c r="BD78" s="230">
        <f t="shared" si="609"/>
        <v>6455</v>
      </c>
      <c r="BE78" s="54">
        <f t="shared" si="589"/>
        <v>7.7857474825716491</v>
      </c>
      <c r="BF78" s="230">
        <f t="shared" si="610"/>
        <v>0</v>
      </c>
      <c r="BG78" s="230">
        <f t="shared" si="610"/>
        <v>716</v>
      </c>
      <c r="BH78" s="62">
        <f>IF(Q76&lt;&gt;0,(BA78/(Q78/13)),0)</f>
        <v>9.0682279430757298</v>
      </c>
      <c r="BI78" s="133">
        <f>IF(T76&lt;&gt;0,(BD78/(T78/13)),0)</f>
        <v>5.2873164891941276</v>
      </c>
      <c r="BJ78" s="190">
        <f t="shared" ref="BJ78" si="630">IF(BA78&lt;&gt;0,(Q78/13)/BA78,0)</f>
        <v>0.11027512831363868</v>
      </c>
      <c r="BK78" s="61">
        <f t="shared" ref="BK78" si="631">IF(BD78&lt;&gt;0,(T78/13)/BD78,0)</f>
        <v>0.1891318596198534</v>
      </c>
      <c r="BL78" s="229">
        <f>BL66+BL72+BL77</f>
        <v>-10500</v>
      </c>
      <c r="BM78" s="230">
        <f t="shared" ref="BM78" si="632">BM66+BM72+BM77</f>
        <v>-10175</v>
      </c>
      <c r="BN78" s="229">
        <f>BN66+BN72+BN77</f>
        <v>0</v>
      </c>
      <c r="BO78" s="230">
        <f t="shared" ref="BO78:BQ78" si="633">BO66+BO72+BO77</f>
        <v>3513</v>
      </c>
      <c r="BP78" s="229">
        <f>BP66+BP72+BP77</f>
        <v>0</v>
      </c>
      <c r="BQ78" s="230">
        <f t="shared" si="633"/>
        <v>4064</v>
      </c>
      <c r="BR78" s="229">
        <f t="shared" si="595"/>
        <v>0</v>
      </c>
      <c r="BS78" s="230">
        <f t="shared" si="595"/>
        <v>-551</v>
      </c>
      <c r="BT78" s="229">
        <f t="shared" ref="BT78:BY78" si="634">BT66+BT72+BT77</f>
        <v>0</v>
      </c>
      <c r="BU78" s="230">
        <f t="shared" si="634"/>
        <v>0</v>
      </c>
      <c r="BV78" s="230">
        <f t="shared" si="634"/>
        <v>0</v>
      </c>
      <c r="BW78" s="230">
        <f t="shared" si="634"/>
        <v>0</v>
      </c>
      <c r="BX78" s="230">
        <f t="shared" si="634"/>
        <v>0</v>
      </c>
      <c r="BY78" s="56">
        <f t="shared" si="634"/>
        <v>0</v>
      </c>
      <c r="BZ78" s="54">
        <f t="shared" si="590"/>
        <v>0</v>
      </c>
      <c r="CA78" s="339">
        <f t="shared" ref="CA78:CF78" si="635">CA66+CA72+CA77</f>
        <v>0</v>
      </c>
      <c r="CB78" s="53">
        <f t="shared" si="635"/>
        <v>0</v>
      </c>
      <c r="CC78" s="53">
        <f t="shared" si="635"/>
        <v>0</v>
      </c>
      <c r="CD78" s="53">
        <f t="shared" si="635"/>
        <v>0</v>
      </c>
      <c r="CE78" s="53">
        <f t="shared" si="635"/>
        <v>0</v>
      </c>
      <c r="CF78" s="53">
        <f t="shared" si="635"/>
        <v>0</v>
      </c>
      <c r="CG78" s="54">
        <f t="shared" si="591"/>
        <v>0</v>
      </c>
      <c r="CH78" s="339">
        <f t="shared" ref="CH78:CM78" si="636">CH66+CH72+CH77</f>
        <v>0</v>
      </c>
      <c r="CI78" s="53">
        <f t="shared" si="636"/>
        <v>0</v>
      </c>
      <c r="CJ78" s="53">
        <f t="shared" si="636"/>
        <v>0</v>
      </c>
      <c r="CK78" s="53">
        <f t="shared" si="636"/>
        <v>0</v>
      </c>
      <c r="CL78" s="53">
        <f t="shared" si="636"/>
        <v>0</v>
      </c>
      <c r="CM78" s="53">
        <f t="shared" si="636"/>
        <v>0</v>
      </c>
      <c r="CN78" s="54">
        <f t="shared" si="592"/>
        <v>0</v>
      </c>
      <c r="CO78" s="55">
        <f t="shared" ref="CO78:CP96" si="637">IFERROR(CE78/BX78,0)</f>
        <v>0</v>
      </c>
      <c r="CP78" s="224">
        <f t="shared" si="637"/>
        <v>0</v>
      </c>
      <c r="CQ78" s="54">
        <f t="shared" si="593"/>
        <v>0</v>
      </c>
      <c r="CR78" s="55">
        <f t="shared" si="596"/>
        <v>0</v>
      </c>
      <c r="CS78" s="224">
        <f t="shared" si="596"/>
        <v>0</v>
      </c>
      <c r="CT78" s="54">
        <f t="shared" ref="CT78:CT96" si="638">IFERROR(CO78/CS78-1,)</f>
        <v>0</v>
      </c>
      <c r="CU78" s="44"/>
      <c r="CW78" s="55">
        <f t="shared" si="619"/>
        <v>0</v>
      </c>
      <c r="CX78" s="56">
        <f t="shared" si="619"/>
        <v>5739</v>
      </c>
      <c r="CY78" s="54">
        <f>IFERROR(CW78/CX78-1,)</f>
        <v>-1</v>
      </c>
      <c r="CZ78" s="281"/>
      <c r="DA78" s="282"/>
      <c r="DB78" s="282"/>
      <c r="DC78" s="283"/>
    </row>
    <row r="79" spans="2:107" ht="16.5" thickBot="1" x14ac:dyDescent="0.3">
      <c r="C79" s="284" t="s">
        <v>435</v>
      </c>
      <c r="D79" s="63">
        <f t="shared" ref="D79:K79" si="639">D27+D44+D61+D78</f>
        <v>228516289.60312158</v>
      </c>
      <c r="E79" s="209">
        <f t="shared" si="639"/>
        <v>154710199.88281673</v>
      </c>
      <c r="F79" s="210">
        <f t="shared" si="599"/>
        <v>1.0630142669631255</v>
      </c>
      <c r="G79" s="208">
        <f t="shared" si="639"/>
        <v>4768559</v>
      </c>
      <c r="H79" s="211">
        <f>IFERROR(D79/G79,0)</f>
        <v>47.921455853460465</v>
      </c>
      <c r="I79" s="69">
        <f>IFERROR((I67*G67+I73*G73+I78*G78)/G79,0)</f>
        <v>-3.0197354124115905</v>
      </c>
      <c r="J79" s="208">
        <f t="shared" si="639"/>
        <v>209396652</v>
      </c>
      <c r="K79" s="303">
        <f t="shared" si="639"/>
        <v>15141926</v>
      </c>
      <c r="L79" s="64">
        <f>L27+L44+L61+L78</f>
        <v>5475905.0540999938</v>
      </c>
      <c r="M79" s="64">
        <f t="shared" ref="M79:O79" si="640">M27+M44+M61+M78</f>
        <v>5028646.2799999993</v>
      </c>
      <c r="N79" s="64">
        <f t="shared" si="640"/>
        <v>0</v>
      </c>
      <c r="O79" s="64">
        <f t="shared" si="640"/>
        <v>4549087.3163000001</v>
      </c>
      <c r="P79" s="65">
        <f t="shared" si="594"/>
        <v>0.20373707369367899</v>
      </c>
      <c r="Q79" s="243">
        <f>Q27+Q44+Q61+Q78</f>
        <v>590088</v>
      </c>
      <c r="R79" s="244">
        <f t="shared" ref="R79:S79" si="641">R27+R44+R61+R78</f>
        <v>565859</v>
      </c>
      <c r="S79" s="244">
        <f t="shared" si="641"/>
        <v>0</v>
      </c>
      <c r="T79" s="244">
        <f>T27+T44+T61+T78</f>
        <v>510708</v>
      </c>
      <c r="U79" s="65">
        <f t="shared" si="585"/>
        <v>0.15543128362978464</v>
      </c>
      <c r="V79" s="251">
        <f t="shared" ref="V79:X79" si="642">V78</f>
        <v>0.26690182245737804</v>
      </c>
      <c r="W79" s="335">
        <f t="shared" si="642"/>
        <v>0.26690182245737804</v>
      </c>
      <c r="X79" s="252">
        <f t="shared" si="642"/>
        <v>0.52786885245901638</v>
      </c>
      <c r="Y79" s="63">
        <f>Y27+Y44+Y61+Y78</f>
        <v>3039207.7048999933</v>
      </c>
      <c r="Z79" s="64">
        <f t="shared" ref="Z79:AB79" si="643">Z27+Z44+Z61+Z78</f>
        <v>2674262.1899999995</v>
      </c>
      <c r="AA79" s="64">
        <f t="shared" si="643"/>
        <v>0</v>
      </c>
      <c r="AB79" s="64">
        <f t="shared" si="643"/>
        <v>2610788.0382999997</v>
      </c>
      <c r="AC79" s="65">
        <f t="shared" si="586"/>
        <v>0.16409592058609124</v>
      </c>
      <c r="AD79" s="79">
        <f t="shared" si="604"/>
        <v>0.55501468248147157</v>
      </c>
      <c r="AE79" s="80">
        <f t="shared" si="604"/>
        <v>0.53180558764614472</v>
      </c>
      <c r="AF79" s="80">
        <f t="shared" si="604"/>
        <v>0</v>
      </c>
      <c r="AG79" s="80">
        <f t="shared" si="604"/>
        <v>0.5739146903039628</v>
      </c>
      <c r="AH79" s="69">
        <f>IFERROR((AH27*Q27+AH44*Q44+AH61*Q61+AH78*Q78)/Q79,0)</f>
        <v>24.790775437222912</v>
      </c>
      <c r="AI79" s="69">
        <f t="shared" ref="AI79:AK79" si="644">IFERROR((AI27*R27+AI44*R44+AI61*R61+AI78*R78)/R79,0)</f>
        <v>24.985627567998389</v>
      </c>
      <c r="AJ79" s="69">
        <f t="shared" si="644"/>
        <v>0</v>
      </c>
      <c r="AK79" s="69">
        <f t="shared" si="644"/>
        <v>23.150656316916905</v>
      </c>
      <c r="AL79" s="65">
        <f t="shared" si="492"/>
        <v>7.0845469685778317E-2</v>
      </c>
      <c r="AM79" s="68">
        <f t="shared" si="606"/>
        <v>9.2798108995607329</v>
      </c>
      <c r="AN79" s="69">
        <f t="shared" si="606"/>
        <v>8.8867479000952514</v>
      </c>
      <c r="AO79" s="69">
        <f t="shared" si="606"/>
        <v>0</v>
      </c>
      <c r="AP79" s="69">
        <f t="shared" si="606"/>
        <v>8.9074134658160826</v>
      </c>
      <c r="AQ79" s="65">
        <f t="shared" si="587"/>
        <v>4.1807583668794335E-2</v>
      </c>
      <c r="AR79" s="68">
        <f t="shared" si="607"/>
        <v>4.1293795996529337</v>
      </c>
      <c r="AS79" s="69">
        <f t="shared" si="607"/>
        <v>4.1607257108219544</v>
      </c>
      <c r="AT79" s="69">
        <f t="shared" si="607"/>
        <v>0</v>
      </c>
      <c r="AU79" s="69">
        <f t="shared" si="607"/>
        <v>3.7953180251728975</v>
      </c>
      <c r="AV79" s="65">
        <f t="shared" si="588"/>
        <v>8.801938922228203E-2</v>
      </c>
      <c r="AW79" s="70">
        <f>IFERROR((AW27*V27+AW44*V44+AW61*V61+AW78*V78)/V79,0)</f>
        <v>168.60410734851271</v>
      </c>
      <c r="AX79" s="71">
        <f t="shared" ref="AX79:AZ79" si="645">IFERROR((AX27*X27+AX44*X44+AX61*X61+AX78*X78)/X79,0)</f>
        <v>36.630282091001284</v>
      </c>
      <c r="AY79" s="71">
        <f t="shared" si="645"/>
        <v>0</v>
      </c>
      <c r="AZ79" s="71">
        <f t="shared" si="645"/>
        <v>0.5977284469345292</v>
      </c>
      <c r="BA79" s="237">
        <f>BA78</f>
        <v>56712</v>
      </c>
      <c r="BB79" s="233">
        <f t="shared" si="609"/>
        <v>56712</v>
      </c>
      <c r="BC79" s="233">
        <f t="shared" si="609"/>
        <v>0</v>
      </c>
      <c r="BD79" s="233">
        <f t="shared" si="609"/>
        <v>6455</v>
      </c>
      <c r="BE79" s="135">
        <f t="shared" si="589"/>
        <v>7.7857474825716491</v>
      </c>
      <c r="BF79" s="233">
        <f t="shared" si="610"/>
        <v>0</v>
      </c>
      <c r="BG79" s="233">
        <f t="shared" si="610"/>
        <v>716</v>
      </c>
      <c r="BH79" s="137">
        <f>IF(Q77&lt;&gt;0,(BA79/(Q79/52)),0)</f>
        <v>4.9976003579127175</v>
      </c>
      <c r="BI79" s="138">
        <f>IF(T77&lt;&gt;0,(BD79/(T79/52)),0)</f>
        <v>0.65724445279885968</v>
      </c>
      <c r="BJ79" s="196">
        <f>IF(BA79&lt;&gt;0,(Q79/52)/BA79,0)</f>
        <v>0.20009603177186758</v>
      </c>
      <c r="BK79" s="72">
        <f>IF(BD79&lt;&gt;0,(T79/52)/BD79,0)</f>
        <v>1.5215039027587438</v>
      </c>
      <c r="BL79" s="232">
        <f>BL27+BL44+BL61+BL78</f>
        <v>-5568</v>
      </c>
      <c r="BM79" s="233">
        <f>BM27+BM44+BM61+BM78</f>
        <v>-17273</v>
      </c>
      <c r="BN79" s="232">
        <f>BN27+BN44+BN61+BN78</f>
        <v>526980</v>
      </c>
      <c r="BO79" s="233">
        <f t="shared" ref="BO79:BQ79" si="646">BO27+BO44+BO61+BO78</f>
        <v>689601</v>
      </c>
      <c r="BP79" s="232">
        <f>BP27+BP44+BP61+BP78</f>
        <v>769965</v>
      </c>
      <c r="BQ79" s="233">
        <f t="shared" si="646"/>
        <v>1267473</v>
      </c>
      <c r="BR79" s="232">
        <f t="shared" si="595"/>
        <v>-242985</v>
      </c>
      <c r="BS79" s="233">
        <f t="shared" si="595"/>
        <v>-577872</v>
      </c>
      <c r="BT79" s="232">
        <f t="shared" ref="BT79:BY79" si="647">BT27+BT44+BT61+BT78</f>
        <v>262311</v>
      </c>
      <c r="BU79" s="233">
        <f t="shared" si="647"/>
        <v>16165</v>
      </c>
      <c r="BV79" s="233">
        <f t="shared" si="647"/>
        <v>925313</v>
      </c>
      <c r="BW79" s="233">
        <f t="shared" si="647"/>
        <v>0</v>
      </c>
      <c r="BX79" s="233">
        <f t="shared" si="647"/>
        <v>0</v>
      </c>
      <c r="BY79" s="134">
        <f t="shared" si="647"/>
        <v>1112376</v>
      </c>
      <c r="BZ79" s="135">
        <f t="shared" si="590"/>
        <v>-0.16816526066725634</v>
      </c>
      <c r="CA79" s="340">
        <f t="shared" ref="CA79:CF79" si="648">CA27+CA44+CA61+CA78</f>
        <v>0</v>
      </c>
      <c r="CB79" s="64">
        <f t="shared" si="648"/>
        <v>0</v>
      </c>
      <c r="CC79" s="64">
        <f t="shared" si="648"/>
        <v>22534179.75</v>
      </c>
      <c r="CD79" s="64">
        <f t="shared" si="648"/>
        <v>0</v>
      </c>
      <c r="CE79" s="64">
        <f t="shared" si="648"/>
        <v>0</v>
      </c>
      <c r="CF79" s="64">
        <f t="shared" si="648"/>
        <v>25935422.200000003</v>
      </c>
      <c r="CG79" s="135">
        <f t="shared" si="591"/>
        <v>-0.13114274461280995</v>
      </c>
      <c r="CH79" s="340">
        <f t="shared" ref="CH79:CM79" si="649">CH27+CH44+CH61+CH78</f>
        <v>0</v>
      </c>
      <c r="CI79" s="64">
        <f t="shared" si="649"/>
        <v>27657.420000000107</v>
      </c>
      <c r="CJ79" s="64">
        <f t="shared" si="649"/>
        <v>3846851.7760999999</v>
      </c>
      <c r="CK79" s="64">
        <f t="shared" si="649"/>
        <v>0</v>
      </c>
      <c r="CL79" s="64">
        <f t="shared" si="649"/>
        <v>0</v>
      </c>
      <c r="CM79" s="64">
        <f t="shared" si="649"/>
        <v>4257218.6583000002</v>
      </c>
      <c r="CN79" s="135">
        <f t="shared" si="592"/>
        <v>-9.639318887225512E-2</v>
      </c>
      <c r="CO79" s="136">
        <f t="shared" si="637"/>
        <v>0</v>
      </c>
      <c r="CP79" s="225">
        <f t="shared" si="637"/>
        <v>23.315337799449111</v>
      </c>
      <c r="CQ79" s="135">
        <f t="shared" si="593"/>
        <v>-1</v>
      </c>
      <c r="CR79" s="136">
        <f t="shared" si="596"/>
        <v>0</v>
      </c>
      <c r="CS79" s="225">
        <f t="shared" si="596"/>
        <v>3.8271399763209564</v>
      </c>
      <c r="CT79" s="135">
        <f t="shared" si="638"/>
        <v>-1</v>
      </c>
      <c r="CU79" s="44"/>
      <c r="CW79" s="66">
        <f t="shared" si="619"/>
        <v>0</v>
      </c>
      <c r="CX79" s="67">
        <f t="shared" si="619"/>
        <v>5739</v>
      </c>
      <c r="CY79" s="65">
        <f>IFERROR(CW79/CX79-1,)</f>
        <v>-1</v>
      </c>
      <c r="CZ79" s="285"/>
      <c r="DA79" s="286"/>
      <c r="DB79" s="286"/>
      <c r="DC79" s="287"/>
    </row>
    <row r="80" spans="2:107" x14ac:dyDescent="0.25">
      <c r="B80" s="44">
        <v>2019</v>
      </c>
      <c r="C80" s="88">
        <v>1</v>
      </c>
      <c r="D80" s="51">
        <f>G80*H80</f>
        <v>-2457559442.1146522</v>
      </c>
      <c r="E80" s="202">
        <f>IFERROR(D80*F80,0)</f>
        <v>-1259387082.0373402</v>
      </c>
      <c r="F80" s="182">
        <f t="shared" si="599"/>
        <v>0.51245437260051685</v>
      </c>
      <c r="G80" s="176">
        <f t="shared" ref="G80:I83" si="650">IFERROR(VLOOKUP($B80 &amp; $C80&amp;G$4&amp;$A80,tblForecast,G$2,FALSE),0)</f>
        <v>-95838332</v>
      </c>
      <c r="H80" s="203">
        <f t="shared" si="650"/>
        <v>25.642761</v>
      </c>
      <c r="I80" s="203">
        <f t="shared" si="650"/>
        <v>12.502015999999999</v>
      </c>
      <c r="J80" s="176">
        <f>IFERROR(VLOOKUP($B80 &amp; $C80&amp;J$4&amp;$A80,tblForecast,J$2,FALSE),0)+IFERROR(VLOOKUP($B80 &amp; $C80 &amp; J$4 &amp; $A80,tblForecast,J$2+1,FALSE),0)</f>
        <v>188321</v>
      </c>
      <c r="K80" s="300">
        <f>IFERROR(VLOOKUP($B80 &amp; $C80&amp;K$4&amp;$A80,tblForecast,K$2,FALSE),0)+IFERROR(VLOOKUP($B80 &amp; $C80&amp;K$4&amp;$A80,tblForecast,K$2+1,FALSE),0)</f>
        <v>0</v>
      </c>
      <c r="L80" s="90">
        <f>Q80*AM80</f>
        <v>0</v>
      </c>
      <c r="M80" s="90">
        <f t="shared" ref="M80:O83" si="651">R80*AN80</f>
        <v>0</v>
      </c>
      <c r="N80" s="46">
        <f t="shared" si="651"/>
        <v>0</v>
      </c>
      <c r="O80" s="46">
        <f t="shared" si="651"/>
        <v>0</v>
      </c>
      <c r="P80" s="47">
        <f t="shared" si="594"/>
        <v>0</v>
      </c>
      <c r="Q80" s="242">
        <f>ROUND(IF(BA76-(Q76*IF(W80=0,X80,W80))&lt;0,BA76,Q76*IF(W80=0,X80,W80)),0)</f>
        <v>0</v>
      </c>
      <c r="R80" s="240">
        <f t="shared" ref="R80:S83" si="652">IFERROR(VLOOKUP($B80 &amp; $C80&amp;R$4,tblForecast,R$2,FALSE),0)</f>
        <v>0</v>
      </c>
      <c r="S80" s="240">
        <f t="shared" si="652"/>
        <v>0</v>
      </c>
      <c r="T80" s="240">
        <f>IFERROR(VLOOKUP($B80-IF(CompareVer="LY",1,0) &amp; $C80 &amp;T$4,tblForecast,T$2,FALSE),0)</f>
        <v>0</v>
      </c>
      <c r="U80" s="91">
        <f t="shared" si="585"/>
        <v>0</v>
      </c>
      <c r="V80" s="249">
        <f>IFERROR(IF(Q76&lt;&gt;0,Q80/Q76,0),0)</f>
        <v>0</v>
      </c>
      <c r="W80" s="334">
        <f>IFERROR(IF(R76&lt;&gt;0,R80/R76,0),0)</f>
        <v>0</v>
      </c>
      <c r="X80" s="250">
        <f>IFERROR(IF(T76&lt;&gt;0,T80/T76,0),0)</f>
        <v>0</v>
      </c>
      <c r="Y80" s="51">
        <f t="shared" ref="Y80:AB83" si="653">IFERROR(L80*AD80,0)</f>
        <v>0</v>
      </c>
      <c r="Z80" s="46">
        <f t="shared" si="653"/>
        <v>0</v>
      </c>
      <c r="AA80" s="46">
        <f t="shared" si="653"/>
        <v>0</v>
      </c>
      <c r="AB80" s="46">
        <f t="shared" si="653"/>
        <v>0</v>
      </c>
      <c r="AC80" s="91">
        <f t="shared" si="586"/>
        <v>0</v>
      </c>
      <c r="AD80" s="75">
        <f>IF(AM80&lt;&gt;0,1-AR80/AM80,0)</f>
        <v>0.76242147344374644</v>
      </c>
      <c r="AE80" s="93">
        <f t="shared" ref="AE80:AG83" si="654">IF(AN80&lt;&gt;0,1-AS80/AN80,0)</f>
        <v>0.76242147344374644</v>
      </c>
      <c r="AF80" s="93">
        <f t="shared" si="654"/>
        <v>0</v>
      </c>
      <c r="AG80" s="76">
        <f t="shared" si="654"/>
        <v>0</v>
      </c>
      <c r="AH80" s="73">
        <f>IF(IFERROR(VLOOKUP($B80 &amp; $C80&amp;AH$4,tblForecast,AH$2,FALSE),0)=0,DB80,IFERROR(VLOOKUP($B80 &amp; $C80&amp;AH$4,tblForecast,AH$2,FALSE),0))</f>
        <v>25.02</v>
      </c>
      <c r="AI80" s="94">
        <f t="shared" ref="AI80:AJ83" si="655">IFERROR(VLOOKUP($B80 &amp; $C80&amp;AI$4,tblForecast,AI$2,FALSE),0)</f>
        <v>25.02</v>
      </c>
      <c r="AJ80" s="94">
        <f t="shared" si="655"/>
        <v>0</v>
      </c>
      <c r="AK80" s="49">
        <f>IFERROR(VLOOKUP($B80-IF(CompareVer="LY",1,0) &amp; $C80 &amp;AK$4,tblForecast,AK$2,FALSE),0)</f>
        <v>0</v>
      </c>
      <c r="AL80" s="47">
        <f t="shared" si="492"/>
        <v>0</v>
      </c>
      <c r="AM80" s="73">
        <f>IF(IFERROR(VLOOKUP($B80 &amp; $C80&amp;AM$4,tblForecast,AM$2,FALSE),0)=0,DA80,IFERROR(VLOOKUP($B80 &amp; $C80&amp;AM$4,tblForecast,AM$2,FALSE),0))</f>
        <v>17.510000000000002</v>
      </c>
      <c r="AN80" s="94">
        <f t="shared" ref="AN80:AO83" si="656">IFERROR(VLOOKUP($B80 &amp; $C80&amp;AN$4,tblForecast,AN$2,FALSE),0)</f>
        <v>17.510000000000002</v>
      </c>
      <c r="AO80" s="94">
        <f t="shared" si="656"/>
        <v>0</v>
      </c>
      <c r="AP80" s="49">
        <f>IFERROR(VLOOKUP($B80-IF(CompareVer="LY",1,0) &amp; $C80 &amp;AP$4,tblForecast,AP$2,FALSE),0)</f>
        <v>0</v>
      </c>
      <c r="AQ80" s="47">
        <f t="shared" si="587"/>
        <v>0</v>
      </c>
      <c r="AR80" s="73">
        <f>IF(IFERROR(VLOOKUP($B80 &amp; $C80&amp;AR$4,tblForecast,AR$2,FALSE),0)=0,DC80,IFERROR(VLOOKUP($B80 &amp; $C80&amp;AR$4,tblForecast,AR$2,FALSE),0))</f>
        <v>4.16</v>
      </c>
      <c r="AS80" s="94">
        <f t="shared" ref="AS80:AT83" si="657">IFERROR(VLOOKUP($B80 &amp; $C80&amp;AS$4,tblForecast,AS$2,FALSE),0)</f>
        <v>4.16</v>
      </c>
      <c r="AT80" s="94">
        <f t="shared" si="657"/>
        <v>0</v>
      </c>
      <c r="AU80" s="49">
        <f>IFERROR(VLOOKUP($B80-IF(CompareVer="LY",1,0) &amp; $C80 &amp;AU$4,tblForecast,AU$2,FALSE),0)</f>
        <v>0</v>
      </c>
      <c r="AV80" s="47">
        <f t="shared" si="588"/>
        <v>0</v>
      </c>
      <c r="AW80" s="191">
        <f t="shared" ref="AW80:AZ83" si="658">IFERROR((AM80/AH80-1)*-1,0)</f>
        <v>0.30015987210231809</v>
      </c>
      <c r="AX80" s="192">
        <f t="shared" si="658"/>
        <v>0.30015987210231809</v>
      </c>
      <c r="AY80" s="192">
        <f t="shared" si="658"/>
        <v>0</v>
      </c>
      <c r="AZ80" s="192">
        <f t="shared" si="658"/>
        <v>0</v>
      </c>
      <c r="BA80" s="235">
        <f>IF(BA79+BV80+BL80+BR80-Q80&lt;0,0,BA79+BV80+BL80+BR80-Q80)</f>
        <v>56712</v>
      </c>
      <c r="BB80" s="231">
        <f>IF(IFERROR(VLOOKUP($B80 &amp; $C80&amp;BB$4,tblForecast,BB$2,FALSE),0)=0,BA80,IFERROR(VLOOKUP($B80 &amp; $C80&amp;BB$4,tblForecast,BB$2,FALSE),0))</f>
        <v>56712</v>
      </c>
      <c r="BC80" s="231">
        <f>IFERROR(VLOOKUP($B80-IF(CompareVer="LY",1,0) &amp; $C80 &amp;BC$4,tblForecast,BC$2,FALSE),0)</f>
        <v>0</v>
      </c>
      <c r="BD80" s="231">
        <f t="shared" ref="BD80:BD83" si="659">CX80+BG80</f>
        <v>0</v>
      </c>
      <c r="BE80" s="194">
        <f t="shared" si="589"/>
        <v>0</v>
      </c>
      <c r="BF80" s="231">
        <f>IFERROR(VLOOKUP($B80 &amp; $C80&amp;IF($A80="a",BG$4,BF$4),tblForecast,BF$2,FALSE),0)</f>
        <v>0</v>
      </c>
      <c r="BG80" s="228">
        <f>IFERROR(VLOOKUP($B80-IF(CompareVer="LY",1,0) &amp; $C80 &amp;BG$4,tblForecast,BG$2,FALSE),0)</f>
        <v>0</v>
      </c>
      <c r="BH80" s="179">
        <f>IF(Q80&lt;&gt;0,BA80/Q80,0)</f>
        <v>0</v>
      </c>
      <c r="BI80" s="183">
        <f>IF(T80&lt;&gt;0,BD80/T80,0)</f>
        <v>0</v>
      </c>
      <c r="BJ80" s="195">
        <f t="shared" ref="BJ80:BJ83" si="660">IF(BA80&lt;&gt;0,Q80/BA80,0)</f>
        <v>0</v>
      </c>
      <c r="BK80" s="50">
        <f t="shared" ref="BK80:BK83" si="661">IF(BD80&lt;&gt;0,T80/BD80,0)</f>
        <v>0</v>
      </c>
      <c r="BL80" s="234">
        <f>IFERROR(VLOOKUP($B80 &amp; $C80&amp;IF($A80="a",BM$4,BL$4),tblForecast,BL$2,FALSE),0)</f>
        <v>0</v>
      </c>
      <c r="BM80" s="228">
        <f>IFERROR(VLOOKUP($B80-IF(CompareVer="LY",1,0) &amp; $C80 &amp;BM$4,tblForecast,BM$2,FALSE),0)</f>
        <v>0</v>
      </c>
      <c r="BN80" s="234">
        <f>IFERROR(VLOOKUP($B80 &amp; $C80&amp;IF($A80="a",BO$4,BN$4),tblForecast,BN$2,FALSE),0)</f>
        <v>0</v>
      </c>
      <c r="BO80" s="228">
        <f>IFERROR(VLOOKUP($B80-IF(CompareVer="LY",1,0) &amp; $C80 &amp;BO$4,tblForecast,BO$2,FALSE),0)</f>
        <v>0</v>
      </c>
      <c r="BP80" s="234">
        <f>IFERROR(VLOOKUP($B80 &amp; $C80&amp;IF($A80="a",BQ$4,BP$4),tblForecast,BP$2,FALSE),0)</f>
        <v>0</v>
      </c>
      <c r="BQ80" s="228">
        <f>IFERROR(VLOOKUP($B80-IF(CompareVer="LY",1,0) &amp; $C80 &amp;BQ$4,tblForecast,BQ$2,FALSE),0)</f>
        <v>0</v>
      </c>
      <c r="BR80" s="227">
        <f t="shared" si="595"/>
        <v>0</v>
      </c>
      <c r="BS80" s="231">
        <f t="shared" si="595"/>
        <v>0</v>
      </c>
      <c r="BT80" s="234">
        <f t="shared" ref="BT80:BU83" si="662">IFERROR(VLOOKUP($B80 &amp; $C80&amp;BT$4,tblForecast,BT$2,FALSE),0)</f>
        <v>0</v>
      </c>
      <c r="BU80" s="231">
        <f t="shared" si="662"/>
        <v>0</v>
      </c>
      <c r="BV80" s="231">
        <f>IF($A80="a",IFERROR(VLOOKUP($B80 &amp; $C80&amp;BV$4,tblForecast,BV$2,FALSE),0),BT80+BU80)</f>
        <v>0</v>
      </c>
      <c r="BW80" s="231">
        <f t="shared" ref="BW80:BX83" si="663">IFERROR(VLOOKUP($B80 &amp; $C80&amp;BW$4,tblForecast,BW$2,FALSE),0)</f>
        <v>0</v>
      </c>
      <c r="BX80" s="231">
        <f t="shared" si="663"/>
        <v>0</v>
      </c>
      <c r="BY80" s="193">
        <f>IFERROR(VLOOKUP($B80-IF(CompareVer="LY",1,0) &amp; $C80 &amp;BY$4,tblForecast,BY$2,FALSE),0)</f>
        <v>0</v>
      </c>
      <c r="BZ80" s="194">
        <f t="shared" si="590"/>
        <v>0</v>
      </c>
      <c r="CA80" s="337">
        <f t="shared" ref="CA80:CB83" si="664">IFERROR(VLOOKUP($B80 &amp; $C80&amp;CA$4,tblForecast,CA$2,FALSE),0)</f>
        <v>0</v>
      </c>
      <c r="CB80" s="46">
        <f t="shared" si="664"/>
        <v>0</v>
      </c>
      <c r="CC80" s="46">
        <f>IF($A80="a",IFERROR(VLOOKUP($B80 &amp; $C80&amp;CC$4,tblForecast,CC$2,FALSE),0),CA80+CB80)</f>
        <v>0</v>
      </c>
      <c r="CD80" s="46">
        <f t="shared" ref="CD80:CE83" si="665">IFERROR(VLOOKUP($B80 &amp; $C80&amp;CD$4,tblForecast,CD$2,FALSE),0)</f>
        <v>0</v>
      </c>
      <c r="CE80" s="46">
        <f t="shared" si="665"/>
        <v>0</v>
      </c>
      <c r="CF80" s="46">
        <f>IFERROR(VLOOKUP($B80-IF(CompareVer="LY",1,0) &amp; $C80 &amp;CF$4,tblForecast,CF$2,FALSE),0)</f>
        <v>0</v>
      </c>
      <c r="CG80" s="194">
        <f t="shared" si="591"/>
        <v>0</v>
      </c>
      <c r="CH80" s="337">
        <f t="shared" ref="CH80:CI83" si="666">IFERROR(VLOOKUP($B80 &amp; $C80&amp;CH$4,tblForecast,CH$2,FALSE),0)</f>
        <v>0</v>
      </c>
      <c r="CI80" s="46">
        <f t="shared" si="666"/>
        <v>0</v>
      </c>
      <c r="CJ80" s="46">
        <f>IF($A80="a",IFERROR(VLOOKUP($B80 &amp; $C80&amp;CJ$4,tblForecast,CJ$2,FALSE),0),CH80+CI80)</f>
        <v>0</v>
      </c>
      <c r="CK80" s="46">
        <f t="shared" ref="CK80:CL83" si="667">IFERROR(VLOOKUP($B80 &amp; $C80&amp;CK$4,tblForecast,CK$2,FALSE),0)</f>
        <v>0</v>
      </c>
      <c r="CL80" s="46">
        <f t="shared" si="667"/>
        <v>0</v>
      </c>
      <c r="CM80" s="46">
        <f>IFERROR(VLOOKUP($B80-IF(CompareVer="LY",1,0) &amp; $C80 &amp;CM$4,tblForecast,CM$2,FALSE),0)</f>
        <v>0</v>
      </c>
      <c r="CN80" s="194">
        <f t="shared" si="592"/>
        <v>0</v>
      </c>
      <c r="CO80" s="178">
        <f t="shared" si="637"/>
        <v>0</v>
      </c>
      <c r="CP80" s="223">
        <f t="shared" si="637"/>
        <v>0</v>
      </c>
      <c r="CQ80" s="194">
        <f t="shared" si="593"/>
        <v>0</v>
      </c>
      <c r="CR80" s="178">
        <f t="shared" si="596"/>
        <v>0</v>
      </c>
      <c r="CS80" s="223">
        <f t="shared" si="596"/>
        <v>0</v>
      </c>
      <c r="CT80" s="194">
        <f t="shared" si="638"/>
        <v>0</v>
      </c>
      <c r="CU80" s="44"/>
      <c r="CW80" s="102">
        <f>IFERROR(VLOOKUP($B80 &amp; $C80&amp;CompareVer,tblForecast,CW$2,FALSE),0)</f>
        <v>0</v>
      </c>
      <c r="CX80" s="48">
        <f>IFERROR(VLOOKUP($B80-IF(CompareVer="LY",1,0) &amp; $C80 &amp;CX$4,tblForecast,CX$2,FALSE),0)</f>
        <v>0</v>
      </c>
      <c r="CY80" s="47">
        <f t="shared" ref="CY80:CY92" si="668">IFERROR(CW80/CX80-1,)</f>
        <v>0</v>
      </c>
      <c r="CZ80" s="278">
        <f>IFERROR(VLOOKUP(Brand&amp;Channel&amp;Country&amp;$C80,tblDiscount,6,FALSE),0)</f>
        <v>0.3</v>
      </c>
      <c r="DA80" s="279">
        <f>(1-CZ80)*DB80</f>
        <v>17.513999999999999</v>
      </c>
      <c r="DB80" s="279">
        <f>IFERROR(VLOOKUP(Brand&amp;Country &amp; Channel &amp;FC,tblFCSettings,8,FALSE),0)</f>
        <v>25.02</v>
      </c>
      <c r="DC80" s="280">
        <f>IFERROR(VLOOKUP(Brand&amp;Country &amp; Channel &amp;FC,tblFCSettings,9,FALSE),0)</f>
        <v>4.16</v>
      </c>
    </row>
    <row r="81" spans="2:107" x14ac:dyDescent="0.25">
      <c r="B81" s="44">
        <v>2019</v>
      </c>
      <c r="C81" s="88">
        <v>2</v>
      </c>
      <c r="D81" s="51">
        <f t="shared" ref="D81:D83" si="669">G81*H81</f>
        <v>-854671564.12482893</v>
      </c>
      <c r="E81" s="202">
        <f t="shared" ref="E81:E83" si="670">IFERROR(D81*F81,0)</f>
        <v>-467423262.33163798</v>
      </c>
      <c r="F81" s="182">
        <f t="shared" si="599"/>
        <v>0.54690395931245528</v>
      </c>
      <c r="G81" s="176">
        <f t="shared" si="650"/>
        <v>-32761367</v>
      </c>
      <c r="H81" s="203">
        <f t="shared" si="650"/>
        <v>26.087786999999999</v>
      </c>
      <c r="I81" s="203">
        <f t="shared" si="650"/>
        <v>11.820273</v>
      </c>
      <c r="J81" s="176">
        <f>IFERROR(VLOOKUP($B81 &amp; $C81&amp;J$4&amp;$A81,tblForecast,J$2,FALSE),0)+IFERROR(VLOOKUP($B81 &amp; $C81 &amp; J$4 &amp; $A81,tblForecast,J$2+1,FALSE),0)</f>
        <v>223728</v>
      </c>
      <c r="K81" s="300">
        <f>IFERROR(VLOOKUP($B81 &amp; $C81&amp;K$4&amp;$A81,tblForecast,K$2,FALSE),0)+IFERROR(VLOOKUP($B81 &amp; $C81&amp;K$4&amp;$A81,tblForecast,K$2+1,FALSE),0)</f>
        <v>0</v>
      </c>
      <c r="L81" s="90">
        <f>Q81*AM81</f>
        <v>0</v>
      </c>
      <c r="M81" s="90">
        <f t="shared" si="651"/>
        <v>0</v>
      </c>
      <c r="N81" s="46">
        <f t="shared" si="651"/>
        <v>0</v>
      </c>
      <c r="O81" s="46">
        <f t="shared" si="651"/>
        <v>0</v>
      </c>
      <c r="P81" s="47">
        <f t="shared" si="594"/>
        <v>0</v>
      </c>
      <c r="Q81" s="242">
        <f t="shared" ref="Q81:Q83" si="671">ROUND(IF(BA80-(Q80*IF(W81=0,X81,W81))&lt;0,BA80,Q80*IF(W81=0,X81,W81)),0)</f>
        <v>0</v>
      </c>
      <c r="R81" s="240">
        <f t="shared" si="652"/>
        <v>0</v>
      </c>
      <c r="S81" s="240">
        <f t="shared" si="652"/>
        <v>0</v>
      </c>
      <c r="T81" s="240">
        <f>IFERROR(VLOOKUP($B81-IF(CompareVer="LY",1,0) &amp; $C81 &amp;T$4,tblForecast,T$2,FALSE),0)</f>
        <v>0</v>
      </c>
      <c r="U81" s="91">
        <f t="shared" si="585"/>
        <v>0</v>
      </c>
      <c r="V81" s="249">
        <f t="shared" ref="V81:V83" si="672">IFERROR(IF(Q80&lt;&gt;0,Q81/Q80,0),0)</f>
        <v>0</v>
      </c>
      <c r="W81" s="334">
        <f t="shared" ref="W81:W83" si="673">IFERROR(IF(R80&lt;&gt;0,R81/R80,0),0)</f>
        <v>0</v>
      </c>
      <c r="X81" s="250">
        <f>IFERROR(IF(T80&lt;&gt;0,T81/T80,0),0)</f>
        <v>0</v>
      </c>
      <c r="Y81" s="51">
        <f t="shared" si="653"/>
        <v>0</v>
      </c>
      <c r="Z81" s="46">
        <f t="shared" si="653"/>
        <v>0</v>
      </c>
      <c r="AA81" s="46">
        <f t="shared" si="653"/>
        <v>0</v>
      </c>
      <c r="AB81" s="46">
        <f t="shared" si="653"/>
        <v>0</v>
      </c>
      <c r="AC81" s="91">
        <f t="shared" si="586"/>
        <v>0</v>
      </c>
      <c r="AD81" s="75">
        <f>IF(AM81&lt;&gt;0,1-AR81/AM81,0)</f>
        <v>0.76242147344374644</v>
      </c>
      <c r="AE81" s="93">
        <f t="shared" si="654"/>
        <v>0.76242147344374644</v>
      </c>
      <c r="AF81" s="93">
        <f t="shared" si="654"/>
        <v>0</v>
      </c>
      <c r="AG81" s="76">
        <f t="shared" si="654"/>
        <v>0</v>
      </c>
      <c r="AH81" s="73">
        <f>IF(IFERROR(VLOOKUP($B81 &amp; $C81&amp;AH$4,tblForecast,AH$2,FALSE),0)=0,DB81,IFERROR(VLOOKUP($B81 &amp; $C81&amp;AH$4,tblForecast,AH$2,FALSE),0))</f>
        <v>25.02</v>
      </c>
      <c r="AI81" s="94">
        <f t="shared" si="655"/>
        <v>25.02</v>
      </c>
      <c r="AJ81" s="94">
        <f t="shared" si="655"/>
        <v>0</v>
      </c>
      <c r="AK81" s="49">
        <f>IFERROR(VLOOKUP($B81-IF(CompareVer="LY",1,0) &amp; $C81 &amp;AK$4,tblForecast,AK$2,FALSE),0)</f>
        <v>0</v>
      </c>
      <c r="AL81" s="47">
        <f t="shared" si="492"/>
        <v>0</v>
      </c>
      <c r="AM81" s="73">
        <f>IF(IFERROR(VLOOKUP($B81 &amp; $C81&amp;AM$4,tblForecast,AM$2,FALSE),0)=0,DA81,IFERROR(VLOOKUP($B81 &amp; $C81&amp;AM$4,tblForecast,AM$2,FALSE),0))</f>
        <v>17.510000000000002</v>
      </c>
      <c r="AN81" s="94">
        <f t="shared" si="656"/>
        <v>17.510000000000002</v>
      </c>
      <c r="AO81" s="94">
        <f t="shared" si="656"/>
        <v>0</v>
      </c>
      <c r="AP81" s="49">
        <f>IFERROR(VLOOKUP($B81-IF(CompareVer="LY",1,0) &amp; $C81 &amp;AP$4,tblForecast,AP$2,FALSE),0)</f>
        <v>0</v>
      </c>
      <c r="AQ81" s="47">
        <f t="shared" si="587"/>
        <v>0</v>
      </c>
      <c r="AR81" s="73">
        <f>IF(IFERROR(VLOOKUP($B81 &amp; $C81&amp;AR$4,tblForecast,AR$2,FALSE),0)=0,DC81,IFERROR(VLOOKUP($B81 &amp; $C81&amp;AR$4,tblForecast,AR$2,FALSE),0))</f>
        <v>4.16</v>
      </c>
      <c r="AS81" s="94">
        <f t="shared" si="657"/>
        <v>4.16</v>
      </c>
      <c r="AT81" s="94">
        <f t="shared" si="657"/>
        <v>0</v>
      </c>
      <c r="AU81" s="49">
        <f>IFERROR(VLOOKUP($B81-IF(CompareVer="LY",1,0) &amp; $C81 &amp;AU$4,tblForecast,AU$2,FALSE),0)</f>
        <v>0</v>
      </c>
      <c r="AV81" s="47">
        <f t="shared" si="588"/>
        <v>0</v>
      </c>
      <c r="AW81" s="191">
        <f t="shared" si="658"/>
        <v>0.30015987210231809</v>
      </c>
      <c r="AX81" s="192">
        <f t="shared" si="658"/>
        <v>0.30015987210231809</v>
      </c>
      <c r="AY81" s="192">
        <f t="shared" si="658"/>
        <v>0</v>
      </c>
      <c r="AZ81" s="192">
        <f t="shared" si="658"/>
        <v>0</v>
      </c>
      <c r="BA81" s="235">
        <f>IF(BA80+BV81+BL81+BR81-Q81&lt;0,0,BA80+BV81+BL81+BR81-Q81)</f>
        <v>56712</v>
      </c>
      <c r="BB81" s="231">
        <f>IF(IFERROR(VLOOKUP($B81 &amp; $C81&amp;BB$4,tblForecast,BB$2,FALSE),0)=0,BA81,IFERROR(VLOOKUP($B81 &amp; $C81&amp;BB$4,tblForecast,BB$2,FALSE),0))</f>
        <v>56712</v>
      </c>
      <c r="BC81" s="231">
        <f>IFERROR(VLOOKUP($B81-IF(CompareVer="LY",1,0) &amp; $C81 &amp;BC$4,tblForecast,BC$2,FALSE),0)</f>
        <v>0</v>
      </c>
      <c r="BD81" s="231">
        <f t="shared" si="659"/>
        <v>0</v>
      </c>
      <c r="BE81" s="194">
        <f t="shared" si="589"/>
        <v>0</v>
      </c>
      <c r="BF81" s="231">
        <f>IFERROR(VLOOKUP($B81 &amp; $C81&amp;IF($A81="a",BG$4,BF$4),tblForecast,BF$2,FALSE),0)</f>
        <v>0</v>
      </c>
      <c r="BG81" s="228">
        <f>IFERROR(VLOOKUP($B81-IF(CompareVer="LY",1,0) &amp; $C81 &amp;BG$4,tblForecast,BG$2,FALSE),0)</f>
        <v>0</v>
      </c>
      <c r="BH81" s="179">
        <f>IF(Q81&lt;&gt;0,BA81/Q81,0)</f>
        <v>0</v>
      </c>
      <c r="BI81" s="183">
        <f>IF(T81&lt;&gt;0,BD81/T81,0)</f>
        <v>0</v>
      </c>
      <c r="BJ81" s="195">
        <f t="shared" si="660"/>
        <v>0</v>
      </c>
      <c r="BK81" s="50">
        <f t="shared" si="661"/>
        <v>0</v>
      </c>
      <c r="BL81" s="234">
        <f>IFERROR(VLOOKUP($B81 &amp; $C81&amp;IF($A81="a",BM$4,BL$4),tblForecast,BL$2,FALSE),0)</f>
        <v>0</v>
      </c>
      <c r="BM81" s="228">
        <f>IFERROR(VLOOKUP($B81-IF(CompareVer="LY",1,0) &amp; $C81 &amp;BM$4,tblForecast,BM$2,FALSE),0)</f>
        <v>0</v>
      </c>
      <c r="BN81" s="234">
        <f>IFERROR(VLOOKUP($B81 &amp; $C81&amp;IF($A81="a",BO$4,BN$4),tblForecast,BN$2,FALSE),0)</f>
        <v>0</v>
      </c>
      <c r="BO81" s="228">
        <f>IFERROR(VLOOKUP($B81-IF(CompareVer="LY",1,0) &amp; $C81 &amp;BO$4,tblForecast,BO$2,FALSE),0)</f>
        <v>0</v>
      </c>
      <c r="BP81" s="234">
        <f>IFERROR(VLOOKUP($B81 &amp; $C81&amp;IF($A81="a",BQ$4,BP$4),tblForecast,BP$2,FALSE),0)</f>
        <v>0</v>
      </c>
      <c r="BQ81" s="228">
        <f>IFERROR(VLOOKUP($B81-IF(CompareVer="LY",1,0) &amp; $C81 &amp;BQ$4,tblForecast,BQ$2,FALSE),0)</f>
        <v>0</v>
      </c>
      <c r="BR81" s="227">
        <f t="shared" si="595"/>
        <v>0</v>
      </c>
      <c r="BS81" s="231">
        <f t="shared" si="595"/>
        <v>0</v>
      </c>
      <c r="BT81" s="234">
        <f t="shared" si="662"/>
        <v>0</v>
      </c>
      <c r="BU81" s="231">
        <f t="shared" si="662"/>
        <v>0</v>
      </c>
      <c r="BV81" s="231">
        <f>IF($A81="a",IFERROR(VLOOKUP($B81 &amp; $C81&amp;BV$4,tblForecast,BV$2,FALSE),0),BT81+BU81)</f>
        <v>0</v>
      </c>
      <c r="BW81" s="231">
        <f t="shared" si="663"/>
        <v>0</v>
      </c>
      <c r="BX81" s="231">
        <f t="shared" si="663"/>
        <v>0</v>
      </c>
      <c r="BY81" s="193">
        <f>IFERROR(VLOOKUP($B81-IF(CompareVer="LY",1,0) &amp; $C81 &amp;BY$4,tblForecast,BY$2,FALSE),0)</f>
        <v>0</v>
      </c>
      <c r="BZ81" s="194">
        <f t="shared" si="590"/>
        <v>0</v>
      </c>
      <c r="CA81" s="337">
        <f t="shared" si="664"/>
        <v>0</v>
      </c>
      <c r="CB81" s="46">
        <f t="shared" si="664"/>
        <v>0</v>
      </c>
      <c r="CC81" s="46">
        <f>IF($A81="a",IFERROR(VLOOKUP($B81 &amp; $C81&amp;CC$4,tblForecast,CC$2,FALSE),0),CA81+CB81)</f>
        <v>0</v>
      </c>
      <c r="CD81" s="46">
        <f t="shared" si="665"/>
        <v>0</v>
      </c>
      <c r="CE81" s="46">
        <f t="shared" si="665"/>
        <v>0</v>
      </c>
      <c r="CF81" s="46">
        <f>IFERROR(VLOOKUP($B81-IF(CompareVer="LY",1,0) &amp; $C81 &amp;CF$4,tblForecast,CF$2,FALSE),0)</f>
        <v>0</v>
      </c>
      <c r="CG81" s="194">
        <f t="shared" si="591"/>
        <v>0</v>
      </c>
      <c r="CH81" s="337">
        <f t="shared" si="666"/>
        <v>0</v>
      </c>
      <c r="CI81" s="46">
        <f t="shared" si="666"/>
        <v>0</v>
      </c>
      <c r="CJ81" s="46">
        <f>IF($A81="a",IFERROR(VLOOKUP($B81 &amp; $C81&amp;CJ$4,tblForecast,CJ$2,FALSE),0),CH81+CI81)</f>
        <v>0</v>
      </c>
      <c r="CK81" s="46">
        <f t="shared" si="667"/>
        <v>0</v>
      </c>
      <c r="CL81" s="46">
        <f t="shared" si="667"/>
        <v>0</v>
      </c>
      <c r="CM81" s="46">
        <f>IFERROR(VLOOKUP($B81-IF(CompareVer="LY",1,0) &amp; $C81 &amp;CM$4,tblForecast,CM$2,FALSE),0)</f>
        <v>0</v>
      </c>
      <c r="CN81" s="194">
        <f t="shared" si="592"/>
        <v>0</v>
      </c>
      <c r="CO81" s="178">
        <f t="shared" si="637"/>
        <v>0</v>
      </c>
      <c r="CP81" s="223">
        <f t="shared" si="637"/>
        <v>0</v>
      </c>
      <c r="CQ81" s="194">
        <f t="shared" si="593"/>
        <v>0</v>
      </c>
      <c r="CR81" s="178">
        <f t="shared" si="596"/>
        <v>0</v>
      </c>
      <c r="CS81" s="223">
        <f t="shared" si="596"/>
        <v>0</v>
      </c>
      <c r="CT81" s="194">
        <f t="shared" si="638"/>
        <v>0</v>
      </c>
      <c r="CU81" s="44"/>
      <c r="CW81" s="102">
        <f>IFERROR(VLOOKUP($B81 &amp; $C81&amp;CompareVer,tblForecast,CW$2,FALSE),0)</f>
        <v>0</v>
      </c>
      <c r="CX81" s="48">
        <f>IFERROR(VLOOKUP($B81-IF(CompareVer="LY",1,0) &amp; $C81 &amp;CX$4,tblForecast,CX$2,FALSE),0)</f>
        <v>0</v>
      </c>
      <c r="CY81" s="47">
        <f t="shared" si="668"/>
        <v>0</v>
      </c>
      <c r="CZ81" s="278">
        <f>IFERROR(VLOOKUP(Brand&amp;Channel&amp;Country&amp;$C81,tblDiscount,6,FALSE),0)</f>
        <v>0.3</v>
      </c>
      <c r="DA81" s="279">
        <f>(1-CZ81)*DB81</f>
        <v>17.513999999999999</v>
      </c>
      <c r="DB81" s="279">
        <f>IFERROR(VLOOKUP(Brand&amp;Country &amp; Channel &amp;FC,tblFCSettings,8,FALSE),0)</f>
        <v>25.02</v>
      </c>
      <c r="DC81" s="280">
        <f>IFERROR(VLOOKUP(Brand&amp;Country &amp; Channel &amp;FC,tblFCSettings,9,FALSE),0)</f>
        <v>4.16</v>
      </c>
    </row>
    <row r="82" spans="2:107" x14ac:dyDescent="0.25">
      <c r="B82" s="44">
        <v>2019</v>
      </c>
      <c r="C82" s="88">
        <v>3</v>
      </c>
      <c r="D82" s="51">
        <f t="shared" si="669"/>
        <v>-201076826.68572798</v>
      </c>
      <c r="E82" s="202">
        <f t="shared" si="670"/>
        <v>-122473335.41206399</v>
      </c>
      <c r="F82" s="182">
        <f t="shared" si="599"/>
        <v>0.60908726992933437</v>
      </c>
      <c r="G82" s="176">
        <f t="shared" si="650"/>
        <v>-7600096</v>
      </c>
      <c r="H82" s="203">
        <f t="shared" si="650"/>
        <v>26.457142999999999</v>
      </c>
      <c r="I82" s="203">
        <f t="shared" si="650"/>
        <v>10.342434000000001</v>
      </c>
      <c r="J82" s="176">
        <f>IFERROR(VLOOKUP($B82 &amp; $C82&amp;J$4&amp;$A82,tblForecast,J$2,FALSE),0)+IFERROR(VLOOKUP($B82 &amp; $C82 &amp; J$4 &amp; $A82,tblForecast,J$2+1,FALSE),0)</f>
        <v>218652</v>
      </c>
      <c r="K82" s="300">
        <f>IFERROR(VLOOKUP($B82 &amp; $C82&amp;K$4&amp;$A82,tblForecast,K$2,FALSE),0)+IFERROR(VLOOKUP($B82 &amp; $C82&amp;K$4&amp;$A82,tblForecast,K$2+1,FALSE),0)</f>
        <v>0</v>
      </c>
      <c r="L82" s="90">
        <f>Q82*AM82</f>
        <v>0</v>
      </c>
      <c r="M82" s="90">
        <f t="shared" si="651"/>
        <v>0</v>
      </c>
      <c r="N82" s="46">
        <f t="shared" si="651"/>
        <v>0</v>
      </c>
      <c r="O82" s="46">
        <f t="shared" si="651"/>
        <v>0</v>
      </c>
      <c r="P82" s="47">
        <f t="shared" si="594"/>
        <v>0</v>
      </c>
      <c r="Q82" s="242">
        <f t="shared" si="671"/>
        <v>0</v>
      </c>
      <c r="R82" s="240">
        <f t="shared" si="652"/>
        <v>0</v>
      </c>
      <c r="S82" s="240">
        <f t="shared" si="652"/>
        <v>0</v>
      </c>
      <c r="T82" s="240">
        <f>IFERROR(VLOOKUP($B82-IF(CompareVer="LY",1,0) &amp; $C82 &amp;T$4,tblForecast,T$2,FALSE),0)</f>
        <v>0</v>
      </c>
      <c r="U82" s="91">
        <f t="shared" si="585"/>
        <v>0</v>
      </c>
      <c r="V82" s="249">
        <f t="shared" si="672"/>
        <v>0</v>
      </c>
      <c r="W82" s="334">
        <f t="shared" si="673"/>
        <v>0</v>
      </c>
      <c r="X82" s="250">
        <f>IFERROR(IF(T81&lt;&gt;0,T82/T81,0),0)</f>
        <v>0</v>
      </c>
      <c r="Y82" s="51">
        <f t="shared" si="653"/>
        <v>0</v>
      </c>
      <c r="Z82" s="46">
        <f t="shared" si="653"/>
        <v>0</v>
      </c>
      <c r="AA82" s="46">
        <f t="shared" si="653"/>
        <v>0</v>
      </c>
      <c r="AB82" s="46">
        <f t="shared" si="653"/>
        <v>0</v>
      </c>
      <c r="AC82" s="91">
        <f t="shared" si="586"/>
        <v>0</v>
      </c>
      <c r="AD82" s="75">
        <f>IF(AM82&lt;&gt;0,1-AR82/AM82,0)</f>
        <v>0.76242147344374644</v>
      </c>
      <c r="AE82" s="93">
        <f t="shared" si="654"/>
        <v>0.76242147344374644</v>
      </c>
      <c r="AF82" s="93">
        <f t="shared" si="654"/>
        <v>0</v>
      </c>
      <c r="AG82" s="76">
        <f t="shared" si="654"/>
        <v>0</v>
      </c>
      <c r="AH82" s="73">
        <f>IF(IFERROR(VLOOKUP($B82 &amp; $C82&amp;AH$4,tblForecast,AH$2,FALSE),0)=0,DB82,IFERROR(VLOOKUP($B82 &amp; $C82&amp;AH$4,tblForecast,AH$2,FALSE),0))</f>
        <v>25.02</v>
      </c>
      <c r="AI82" s="94">
        <f t="shared" si="655"/>
        <v>25.02</v>
      </c>
      <c r="AJ82" s="94">
        <f t="shared" si="655"/>
        <v>0</v>
      </c>
      <c r="AK82" s="49">
        <f>IFERROR(VLOOKUP($B82-IF(CompareVer="LY",1,0) &amp; $C82 &amp;AK$4,tblForecast,AK$2,FALSE),0)</f>
        <v>0</v>
      </c>
      <c r="AL82" s="47">
        <f t="shared" si="492"/>
        <v>0</v>
      </c>
      <c r="AM82" s="73">
        <f>IF(IFERROR(VLOOKUP($B82 &amp; $C82&amp;AM$4,tblForecast,AM$2,FALSE),0)=0,DA82,IFERROR(VLOOKUP($B82 &amp; $C82&amp;AM$4,tblForecast,AM$2,FALSE),0))</f>
        <v>17.510000000000002</v>
      </c>
      <c r="AN82" s="94">
        <f t="shared" si="656"/>
        <v>17.510000000000002</v>
      </c>
      <c r="AO82" s="94">
        <f t="shared" si="656"/>
        <v>0</v>
      </c>
      <c r="AP82" s="49">
        <f>IFERROR(VLOOKUP($B82-IF(CompareVer="LY",1,0) &amp; $C82 &amp;AP$4,tblForecast,AP$2,FALSE),0)</f>
        <v>0</v>
      </c>
      <c r="AQ82" s="47">
        <f t="shared" si="587"/>
        <v>0</v>
      </c>
      <c r="AR82" s="73">
        <f>IF(IFERROR(VLOOKUP($B82 &amp; $C82&amp;AR$4,tblForecast,AR$2,FALSE),0)=0,DC82,IFERROR(VLOOKUP($B82 &amp; $C82&amp;AR$4,tblForecast,AR$2,FALSE),0))</f>
        <v>4.16</v>
      </c>
      <c r="AS82" s="94">
        <f t="shared" si="657"/>
        <v>4.16</v>
      </c>
      <c r="AT82" s="94">
        <f t="shared" si="657"/>
        <v>0</v>
      </c>
      <c r="AU82" s="49">
        <f>IFERROR(VLOOKUP($B82-IF(CompareVer="LY",1,0) &amp; $C82 &amp;AU$4,tblForecast,AU$2,FALSE),0)</f>
        <v>0</v>
      </c>
      <c r="AV82" s="47">
        <f t="shared" si="588"/>
        <v>0</v>
      </c>
      <c r="AW82" s="191">
        <f t="shared" si="658"/>
        <v>0.30015987210231809</v>
      </c>
      <c r="AX82" s="192">
        <f t="shared" si="658"/>
        <v>0.30015987210231809</v>
      </c>
      <c r="AY82" s="192">
        <f t="shared" si="658"/>
        <v>0</v>
      </c>
      <c r="AZ82" s="192">
        <f t="shared" si="658"/>
        <v>0</v>
      </c>
      <c r="BA82" s="235">
        <f>IF(BA81+BV82+BL82+BR82-Q82&lt;0,0,BA81+BV82+BL82+BR82-Q82)</f>
        <v>56712</v>
      </c>
      <c r="BB82" s="231">
        <f>IF(IFERROR(VLOOKUP($B82 &amp; $C82&amp;BB$4,tblForecast,BB$2,FALSE),0)=0,BA82,IFERROR(VLOOKUP($B82 &amp; $C82&amp;BB$4,tblForecast,BB$2,FALSE),0))</f>
        <v>56712</v>
      </c>
      <c r="BC82" s="231">
        <f>IFERROR(VLOOKUP($B82-IF(CompareVer="LY",1,0) &amp; $C82 &amp;BC$4,tblForecast,BC$2,FALSE),0)</f>
        <v>0</v>
      </c>
      <c r="BD82" s="231">
        <f t="shared" si="659"/>
        <v>0</v>
      </c>
      <c r="BE82" s="194">
        <f t="shared" si="589"/>
        <v>0</v>
      </c>
      <c r="BF82" s="231">
        <f>IFERROR(VLOOKUP($B82 &amp; $C82&amp;IF($A82="a",BG$4,BF$4),tblForecast,BF$2,FALSE),0)</f>
        <v>0</v>
      </c>
      <c r="BG82" s="228">
        <f>IFERROR(VLOOKUP($B82-IF(CompareVer="LY",1,0) &amp; $C82 &amp;BG$4,tblForecast,BG$2,FALSE),0)</f>
        <v>0</v>
      </c>
      <c r="BH82" s="179">
        <f>IF(Q82&lt;&gt;0,BA82/Q82,0)</f>
        <v>0</v>
      </c>
      <c r="BI82" s="183">
        <f>IF(T82&lt;&gt;0,BD82/T82,0)</f>
        <v>0</v>
      </c>
      <c r="BJ82" s="195">
        <f t="shared" si="660"/>
        <v>0</v>
      </c>
      <c r="BK82" s="50">
        <f t="shared" si="661"/>
        <v>0</v>
      </c>
      <c r="BL82" s="234">
        <f>IFERROR(VLOOKUP($B82 &amp; $C82&amp;IF($A82="a",BM$4,BL$4),tblForecast,BL$2,FALSE),0)</f>
        <v>0</v>
      </c>
      <c r="BM82" s="228">
        <f>IFERROR(VLOOKUP($B82-IF(CompareVer="LY",1,0) &amp; $C82 &amp;BM$4,tblForecast,BM$2,FALSE),0)</f>
        <v>0</v>
      </c>
      <c r="BN82" s="234">
        <f>IFERROR(VLOOKUP($B82 &amp; $C82&amp;IF($A82="a",BO$4,BN$4),tblForecast,BN$2,FALSE),0)</f>
        <v>0</v>
      </c>
      <c r="BO82" s="228">
        <f>IFERROR(VLOOKUP($B82-IF(CompareVer="LY",1,0) &amp; $C82 &amp;BO$4,tblForecast,BO$2,FALSE),0)</f>
        <v>0</v>
      </c>
      <c r="BP82" s="234">
        <f>IFERROR(VLOOKUP($B82 &amp; $C82&amp;IF($A82="a",BQ$4,BP$4),tblForecast,BP$2,FALSE),0)</f>
        <v>0</v>
      </c>
      <c r="BQ82" s="228">
        <f>IFERROR(VLOOKUP($B82-IF(CompareVer="LY",1,0) &amp; $C82 &amp;BQ$4,tblForecast,BQ$2,FALSE),0)</f>
        <v>0</v>
      </c>
      <c r="BR82" s="227">
        <f t="shared" si="595"/>
        <v>0</v>
      </c>
      <c r="BS82" s="231">
        <f t="shared" si="595"/>
        <v>0</v>
      </c>
      <c r="BT82" s="234">
        <f t="shared" si="662"/>
        <v>0</v>
      </c>
      <c r="BU82" s="231">
        <f t="shared" si="662"/>
        <v>0</v>
      </c>
      <c r="BV82" s="231">
        <f>IF($A82="a",IFERROR(VLOOKUP($B82 &amp; $C82&amp;BV$4,tblForecast,BV$2,FALSE),0),BT82+BU82)</f>
        <v>0</v>
      </c>
      <c r="BW82" s="231">
        <f t="shared" si="663"/>
        <v>0</v>
      </c>
      <c r="BX82" s="231">
        <f t="shared" si="663"/>
        <v>0</v>
      </c>
      <c r="BY82" s="193">
        <f>IFERROR(VLOOKUP($B82-IF(CompareVer="LY",1,0) &amp; $C82 &amp;BY$4,tblForecast,BY$2,FALSE),0)</f>
        <v>0</v>
      </c>
      <c r="BZ82" s="194">
        <f t="shared" si="590"/>
        <v>0</v>
      </c>
      <c r="CA82" s="337">
        <f t="shared" si="664"/>
        <v>0</v>
      </c>
      <c r="CB82" s="46">
        <f t="shared" si="664"/>
        <v>0</v>
      </c>
      <c r="CC82" s="46">
        <f>IF($A82="a",IFERROR(VLOOKUP($B82 &amp; $C82&amp;CC$4,tblForecast,CC$2,FALSE),0),CA82+CB82)</f>
        <v>0</v>
      </c>
      <c r="CD82" s="46">
        <f t="shared" si="665"/>
        <v>0</v>
      </c>
      <c r="CE82" s="46">
        <f t="shared" si="665"/>
        <v>0</v>
      </c>
      <c r="CF82" s="46">
        <f>IFERROR(VLOOKUP($B82-IF(CompareVer="LY",1,0) &amp; $C82 &amp;CF$4,tblForecast,CF$2,FALSE),0)</f>
        <v>0</v>
      </c>
      <c r="CG82" s="194">
        <f t="shared" si="591"/>
        <v>0</v>
      </c>
      <c r="CH82" s="337">
        <f t="shared" si="666"/>
        <v>0</v>
      </c>
      <c r="CI82" s="46">
        <f t="shared" si="666"/>
        <v>0</v>
      </c>
      <c r="CJ82" s="46">
        <f>IF($A82="a",IFERROR(VLOOKUP($B82 &amp; $C82&amp;CJ$4,tblForecast,CJ$2,FALSE),0),CH82+CI82)</f>
        <v>0</v>
      </c>
      <c r="CK82" s="46">
        <f t="shared" si="667"/>
        <v>0</v>
      </c>
      <c r="CL82" s="46">
        <f t="shared" si="667"/>
        <v>0</v>
      </c>
      <c r="CM82" s="46">
        <f>IFERROR(VLOOKUP($B82-IF(CompareVer="LY",1,0) &amp; $C82 &amp;CM$4,tblForecast,CM$2,FALSE),0)</f>
        <v>0</v>
      </c>
      <c r="CN82" s="194">
        <f t="shared" si="592"/>
        <v>0</v>
      </c>
      <c r="CO82" s="178">
        <f t="shared" si="637"/>
        <v>0</v>
      </c>
      <c r="CP82" s="223">
        <f t="shared" si="637"/>
        <v>0</v>
      </c>
      <c r="CQ82" s="194">
        <f t="shared" si="593"/>
        <v>0</v>
      </c>
      <c r="CR82" s="178">
        <f t="shared" si="596"/>
        <v>0</v>
      </c>
      <c r="CS82" s="223">
        <f t="shared" si="596"/>
        <v>0</v>
      </c>
      <c r="CT82" s="194">
        <f t="shared" si="638"/>
        <v>0</v>
      </c>
      <c r="CU82" s="44"/>
      <c r="CW82" s="102">
        <f>IFERROR(VLOOKUP($B82 &amp; $C82&amp;CompareVer,tblForecast,CW$2,FALSE),0)</f>
        <v>0</v>
      </c>
      <c r="CX82" s="48">
        <f>IFERROR(VLOOKUP($B82-IF(CompareVer="LY",1,0) &amp; $C82 &amp;CX$4,tblForecast,CX$2,FALSE),0)</f>
        <v>0</v>
      </c>
      <c r="CY82" s="47">
        <f t="shared" si="668"/>
        <v>0</v>
      </c>
      <c r="CZ82" s="278">
        <f>IFERROR(VLOOKUP(Brand&amp;Channel&amp;Country&amp;$C82,tblDiscount,6,FALSE),0)</f>
        <v>0.3</v>
      </c>
      <c r="DA82" s="279">
        <f>(1-CZ82)*DB82</f>
        <v>17.513999999999999</v>
      </c>
      <c r="DB82" s="279">
        <f>IFERROR(VLOOKUP(Brand&amp;Country &amp; Channel &amp;FC,tblFCSettings,8,FALSE),0)</f>
        <v>25.02</v>
      </c>
      <c r="DC82" s="280">
        <f>IFERROR(VLOOKUP(Brand&amp;Country &amp; Channel &amp;FC,tblFCSettings,9,FALSE),0)</f>
        <v>4.16</v>
      </c>
    </row>
    <row r="83" spans="2:107" ht="16.5" thickBot="1" x14ac:dyDescent="0.3">
      <c r="B83" s="44">
        <v>2019</v>
      </c>
      <c r="C83" s="88">
        <v>4</v>
      </c>
      <c r="D83" s="51">
        <f t="shared" si="669"/>
        <v>-533587.49034499994</v>
      </c>
      <c r="E83" s="202">
        <f t="shared" si="670"/>
        <v>-318431.24194699991</v>
      </c>
      <c r="F83" s="182">
        <f t="shared" si="599"/>
        <v>0.59677418925453607</v>
      </c>
      <c r="G83" s="176">
        <f t="shared" si="650"/>
        <v>-20293</v>
      </c>
      <c r="H83" s="203">
        <f t="shared" si="650"/>
        <v>26.294165</v>
      </c>
      <c r="I83" s="203">
        <f t="shared" si="650"/>
        <v>10.602486000000001</v>
      </c>
      <c r="J83" s="176">
        <f>IFERROR(VLOOKUP($B83 &amp; $C83&amp;J$4&amp;$A83,tblForecast,J$2,FALSE),0)+IFERROR(VLOOKUP($B83 &amp; $C83 &amp; J$4 &amp; $A83,tblForecast,J$2+1,FALSE),0)</f>
        <v>67438</v>
      </c>
      <c r="K83" s="300">
        <f>IFERROR(VLOOKUP($B83 &amp; $C83&amp;K$4&amp;$A83,tblForecast,K$2,FALSE),0)+IFERROR(VLOOKUP($B83 &amp; $C83&amp;K$4&amp;$A83,tblForecast,K$2+1,FALSE),0)</f>
        <v>0</v>
      </c>
      <c r="L83" s="90">
        <f>Q83*AM83</f>
        <v>0</v>
      </c>
      <c r="M83" s="90">
        <f t="shared" si="651"/>
        <v>0</v>
      </c>
      <c r="N83" s="46">
        <f t="shared" si="651"/>
        <v>0</v>
      </c>
      <c r="O83" s="46">
        <f t="shared" si="651"/>
        <v>0</v>
      </c>
      <c r="P83" s="47">
        <f t="shared" si="594"/>
        <v>0</v>
      </c>
      <c r="Q83" s="242">
        <f t="shared" si="671"/>
        <v>0</v>
      </c>
      <c r="R83" s="240">
        <f t="shared" si="652"/>
        <v>0</v>
      </c>
      <c r="S83" s="240">
        <f t="shared" si="652"/>
        <v>0</v>
      </c>
      <c r="T83" s="240">
        <f>IFERROR(VLOOKUP($B83-IF(CompareVer="LY",1,0) &amp; $C83 &amp;T$4,tblForecast,T$2,FALSE),0)</f>
        <v>0</v>
      </c>
      <c r="U83" s="91">
        <f t="shared" si="585"/>
        <v>0</v>
      </c>
      <c r="V83" s="249">
        <f t="shared" si="672"/>
        <v>0</v>
      </c>
      <c r="W83" s="334">
        <f t="shared" si="673"/>
        <v>0</v>
      </c>
      <c r="X83" s="250">
        <f>IFERROR(IF(T82&lt;&gt;0,T83/T82,0),0)</f>
        <v>0</v>
      </c>
      <c r="Y83" s="51">
        <f t="shared" si="653"/>
        <v>0</v>
      </c>
      <c r="Z83" s="46">
        <f t="shared" si="653"/>
        <v>0</v>
      </c>
      <c r="AA83" s="46">
        <f t="shared" si="653"/>
        <v>0</v>
      </c>
      <c r="AB83" s="46">
        <f t="shared" si="653"/>
        <v>0</v>
      </c>
      <c r="AC83" s="91">
        <f t="shared" si="586"/>
        <v>0</v>
      </c>
      <c r="AD83" s="75">
        <f>IF(AM83&lt;&gt;0,1-AR83/AM83,0)</f>
        <v>0.76242147344374644</v>
      </c>
      <c r="AE83" s="93">
        <f t="shared" si="654"/>
        <v>0.76242147344374644</v>
      </c>
      <c r="AF83" s="93">
        <f t="shared" si="654"/>
        <v>0</v>
      </c>
      <c r="AG83" s="76">
        <f t="shared" si="654"/>
        <v>0</v>
      </c>
      <c r="AH83" s="73">
        <f>IF(IFERROR(VLOOKUP($B83 &amp; $C83&amp;AH$4,tblForecast,AH$2,FALSE),0)=0,DB83,IFERROR(VLOOKUP($B83 &amp; $C83&amp;AH$4,tblForecast,AH$2,FALSE),0))</f>
        <v>25.02</v>
      </c>
      <c r="AI83" s="94">
        <f t="shared" si="655"/>
        <v>25.02</v>
      </c>
      <c r="AJ83" s="94">
        <f t="shared" si="655"/>
        <v>0</v>
      </c>
      <c r="AK83" s="49">
        <f>IFERROR(VLOOKUP($B83-IF(CompareVer="LY",1,0) &amp; $C83 &amp;AK$4,tblForecast,AK$2,FALSE),0)</f>
        <v>0</v>
      </c>
      <c r="AL83" s="47">
        <f t="shared" si="492"/>
        <v>0</v>
      </c>
      <c r="AM83" s="73">
        <f>IF(IFERROR(VLOOKUP($B83 &amp; $C83&amp;AM$4,tblForecast,AM$2,FALSE),0)=0,DA83,IFERROR(VLOOKUP($B83 &amp; $C83&amp;AM$4,tblForecast,AM$2,FALSE),0))</f>
        <v>17.510000000000002</v>
      </c>
      <c r="AN83" s="94">
        <f t="shared" si="656"/>
        <v>17.510000000000002</v>
      </c>
      <c r="AO83" s="94">
        <f t="shared" si="656"/>
        <v>0</v>
      </c>
      <c r="AP83" s="49">
        <f>IFERROR(VLOOKUP($B83-IF(CompareVer="LY",1,0) &amp; $C83 &amp;AP$4,tblForecast,AP$2,FALSE),0)</f>
        <v>0</v>
      </c>
      <c r="AQ83" s="47">
        <f t="shared" si="587"/>
        <v>0</v>
      </c>
      <c r="AR83" s="73">
        <f>IF(IFERROR(VLOOKUP($B83 &amp; $C83&amp;AR$4,tblForecast,AR$2,FALSE),0)=0,DC83,IFERROR(VLOOKUP($B83 &amp; $C83&amp;AR$4,tblForecast,AR$2,FALSE),0))</f>
        <v>4.16</v>
      </c>
      <c r="AS83" s="94">
        <f t="shared" si="657"/>
        <v>4.16</v>
      </c>
      <c r="AT83" s="94">
        <f t="shared" si="657"/>
        <v>0</v>
      </c>
      <c r="AU83" s="49">
        <f>IFERROR(VLOOKUP($B83-IF(CompareVer="LY",1,0) &amp; $C83 &amp;AU$4,tblForecast,AU$2,FALSE),0)</f>
        <v>0</v>
      </c>
      <c r="AV83" s="47">
        <f t="shared" si="588"/>
        <v>0</v>
      </c>
      <c r="AW83" s="191">
        <f t="shared" si="658"/>
        <v>0.30015987210231809</v>
      </c>
      <c r="AX83" s="192">
        <f t="shared" si="658"/>
        <v>0.30015987210231809</v>
      </c>
      <c r="AY83" s="192">
        <f t="shared" si="658"/>
        <v>0</v>
      </c>
      <c r="AZ83" s="192">
        <f t="shared" si="658"/>
        <v>0</v>
      </c>
      <c r="BA83" s="235">
        <f>IF(BA82+BV83+BL83+BR83-Q83&lt;0,0,BA82+BV83+BL83+BR83-Q83)</f>
        <v>56712</v>
      </c>
      <c r="BB83" s="231">
        <f>IF(IFERROR(VLOOKUP($B83 &amp; $C83&amp;BB$4,tblForecast,BB$2,FALSE),0)=0,BA83,IFERROR(VLOOKUP($B83 &amp; $C83&amp;BB$4,tblForecast,BB$2,FALSE),0))</f>
        <v>56712</v>
      </c>
      <c r="BC83" s="231">
        <f>IFERROR(VLOOKUP($B83-IF(CompareVer="LY",1,0) &amp; $C83 &amp;BC$4,tblForecast,BC$2,FALSE),0)</f>
        <v>0</v>
      </c>
      <c r="BD83" s="231">
        <f t="shared" si="659"/>
        <v>0</v>
      </c>
      <c r="BE83" s="194">
        <f t="shared" si="589"/>
        <v>0</v>
      </c>
      <c r="BF83" s="231">
        <f>IFERROR(VLOOKUP($B83 &amp; $C83&amp;IF($A83="a",BG$4,BF$4),tblForecast,BF$2,FALSE),0)</f>
        <v>0</v>
      </c>
      <c r="BG83" s="228">
        <f>IFERROR(VLOOKUP($B83-IF(CompareVer="LY",1,0) &amp; $C83 &amp;BG$4,tblForecast,BG$2,FALSE),0)</f>
        <v>0</v>
      </c>
      <c r="BH83" s="179">
        <f>IF(Q83&lt;&gt;0,BA83/Q83,0)</f>
        <v>0</v>
      </c>
      <c r="BI83" s="183">
        <f>IF(T83&lt;&gt;0,BD83/T83,0)</f>
        <v>0</v>
      </c>
      <c r="BJ83" s="195">
        <f t="shared" si="660"/>
        <v>0</v>
      </c>
      <c r="BK83" s="50">
        <f t="shared" si="661"/>
        <v>0</v>
      </c>
      <c r="BL83" s="234">
        <f>IFERROR(VLOOKUP($B83 &amp; $C83&amp;IF($A83="a",BM$4,BL$4),tblForecast,BL$2,FALSE),0)</f>
        <v>0</v>
      </c>
      <c r="BM83" s="228">
        <f>IFERROR(VLOOKUP($B83-IF(CompareVer="LY",1,0) &amp; $C83 &amp;BM$4,tblForecast,BM$2,FALSE),0)</f>
        <v>0</v>
      </c>
      <c r="BN83" s="234">
        <f>IFERROR(VLOOKUP($B83 &amp; $C83&amp;IF($A83="a",BO$4,BN$4),tblForecast,BN$2,FALSE),0)</f>
        <v>0</v>
      </c>
      <c r="BO83" s="228">
        <f>IFERROR(VLOOKUP($B83-IF(CompareVer="LY",1,0) &amp; $C83 &amp;BO$4,tblForecast,BO$2,FALSE),0)</f>
        <v>0</v>
      </c>
      <c r="BP83" s="234">
        <f>IFERROR(VLOOKUP($B83 &amp; $C83&amp;IF($A83="a",BQ$4,BP$4),tblForecast,BP$2,FALSE),0)</f>
        <v>0</v>
      </c>
      <c r="BQ83" s="228">
        <f>IFERROR(VLOOKUP($B83-IF(CompareVer="LY",1,0) &amp; $C83 &amp;BQ$4,tblForecast,BQ$2,FALSE),0)</f>
        <v>0</v>
      </c>
      <c r="BR83" s="227">
        <f t="shared" si="595"/>
        <v>0</v>
      </c>
      <c r="BS83" s="231">
        <f t="shared" si="595"/>
        <v>0</v>
      </c>
      <c r="BT83" s="234">
        <f t="shared" si="662"/>
        <v>0</v>
      </c>
      <c r="BU83" s="231">
        <f t="shared" si="662"/>
        <v>0</v>
      </c>
      <c r="BV83" s="231">
        <f>IF($A83="a",IFERROR(VLOOKUP($B83 &amp; $C83&amp;BV$4,tblForecast,BV$2,FALSE),0),BT83+BU83)</f>
        <v>0</v>
      </c>
      <c r="BW83" s="231">
        <f t="shared" si="663"/>
        <v>0</v>
      </c>
      <c r="BX83" s="231">
        <f t="shared" si="663"/>
        <v>0</v>
      </c>
      <c r="BY83" s="193">
        <f>IFERROR(VLOOKUP($B83-IF(CompareVer="LY",1,0) &amp; $C83 &amp;BY$4,tblForecast,BY$2,FALSE),0)</f>
        <v>0</v>
      </c>
      <c r="BZ83" s="194">
        <f t="shared" si="590"/>
        <v>0</v>
      </c>
      <c r="CA83" s="337">
        <f t="shared" si="664"/>
        <v>0</v>
      </c>
      <c r="CB83" s="46">
        <f t="shared" si="664"/>
        <v>0</v>
      </c>
      <c r="CC83" s="46">
        <f>IF($A83="a",IFERROR(VLOOKUP($B83 &amp; $C83&amp;CC$4,tblForecast,CC$2,FALSE),0),CA83+CB83)</f>
        <v>0</v>
      </c>
      <c r="CD83" s="46">
        <f t="shared" si="665"/>
        <v>0</v>
      </c>
      <c r="CE83" s="46">
        <f t="shared" si="665"/>
        <v>0</v>
      </c>
      <c r="CF83" s="46">
        <f>IFERROR(VLOOKUP($B83-IF(CompareVer="LY",1,0) &amp; $C83 &amp;CF$4,tblForecast,CF$2,FALSE),0)</f>
        <v>0</v>
      </c>
      <c r="CG83" s="194">
        <f t="shared" si="591"/>
        <v>0</v>
      </c>
      <c r="CH83" s="337">
        <f t="shared" si="666"/>
        <v>0</v>
      </c>
      <c r="CI83" s="46">
        <f t="shared" si="666"/>
        <v>0</v>
      </c>
      <c r="CJ83" s="46">
        <f>IF($A83="a",IFERROR(VLOOKUP($B83 &amp; $C83&amp;CJ$4,tblForecast,CJ$2,FALSE),0),CH83+CI83)</f>
        <v>0</v>
      </c>
      <c r="CK83" s="46">
        <f t="shared" si="667"/>
        <v>0</v>
      </c>
      <c r="CL83" s="46">
        <f t="shared" si="667"/>
        <v>0</v>
      </c>
      <c r="CM83" s="46">
        <f>IFERROR(VLOOKUP($B83-IF(CompareVer="LY",1,0) &amp; $C83 &amp;CM$4,tblForecast,CM$2,FALSE),0)</f>
        <v>0</v>
      </c>
      <c r="CN83" s="194">
        <f t="shared" si="592"/>
        <v>0</v>
      </c>
      <c r="CO83" s="178">
        <f t="shared" si="637"/>
        <v>0</v>
      </c>
      <c r="CP83" s="223">
        <f t="shared" si="637"/>
        <v>0</v>
      </c>
      <c r="CQ83" s="194">
        <f t="shared" si="593"/>
        <v>0</v>
      </c>
      <c r="CR83" s="178">
        <f t="shared" si="596"/>
        <v>0</v>
      </c>
      <c r="CS83" s="223">
        <f t="shared" si="596"/>
        <v>0</v>
      </c>
      <c r="CT83" s="194">
        <f t="shared" si="638"/>
        <v>0</v>
      </c>
      <c r="CU83" s="44"/>
      <c r="CW83" s="102">
        <f>IFERROR(VLOOKUP($B83 &amp; $C83&amp;CompareVer,tblForecast,CW$2,FALSE),0)</f>
        <v>0</v>
      </c>
      <c r="CX83" s="48">
        <f>IFERROR(VLOOKUP($B83-IF(CompareVer="LY",1,0) &amp; $C83 &amp;CX$4,tblForecast,CX$2,FALSE),0)</f>
        <v>0</v>
      </c>
      <c r="CY83" s="47">
        <f t="shared" si="668"/>
        <v>0</v>
      </c>
      <c r="CZ83" s="278">
        <f>IFERROR(VLOOKUP(Brand&amp;Channel&amp;Country&amp;$C83,tblDiscount,6,FALSE),0)</f>
        <v>0.3</v>
      </c>
      <c r="DA83" s="279">
        <f>(1-CZ83)*DB83</f>
        <v>17.513999999999999</v>
      </c>
      <c r="DB83" s="279">
        <f>IFERROR(VLOOKUP(Brand&amp;Country &amp; Channel &amp;FC,tblFCSettings,8,FALSE),0)</f>
        <v>25.02</v>
      </c>
      <c r="DC83" s="280">
        <f>IFERROR(VLOOKUP(Brand&amp;Country &amp; Channel &amp;FC,tblFCSettings,9,FALSE),0)</f>
        <v>4.16</v>
      </c>
    </row>
    <row r="84" spans="2:107" ht="16.5" thickBot="1" x14ac:dyDescent="0.3">
      <c r="C84" s="253" t="s">
        <v>21</v>
      </c>
      <c r="D84" s="254">
        <f t="shared" ref="D84" si="674">SUM(D80:D83)</f>
        <v>-3513841420.415554</v>
      </c>
      <c r="E84" s="255">
        <f t="shared" ref="E84" si="675">SUM(E80:E83)</f>
        <v>-1849602111.022989</v>
      </c>
      <c r="F84" s="256">
        <f t="shared" si="599"/>
        <v>0.52637609092906967</v>
      </c>
      <c r="G84" s="257">
        <f>SUM(G80:G83)</f>
        <v>-136220088</v>
      </c>
      <c r="H84" s="258">
        <f>IFERROR(D84/G84,0)</f>
        <v>25.795324845301479</v>
      </c>
      <c r="I84" s="258">
        <f>IFERROR(SUMPRODUCT(I80:I83,G80:G83)/G84,0)</f>
        <v>12.217282588986178</v>
      </c>
      <c r="J84" s="257">
        <f>SUM(J80:J83)</f>
        <v>698139</v>
      </c>
      <c r="K84" s="301">
        <f>SUM(K80:K83)</f>
        <v>0</v>
      </c>
      <c r="L84" s="259">
        <f>SUM(L80:L83)</f>
        <v>0</v>
      </c>
      <c r="M84" s="259">
        <f t="shared" ref="M84:O84" si="676">SUM(M80:M83)</f>
        <v>0</v>
      </c>
      <c r="N84" s="259">
        <f t="shared" si="676"/>
        <v>0</v>
      </c>
      <c r="O84" s="259">
        <f t="shared" si="676"/>
        <v>0</v>
      </c>
      <c r="P84" s="260">
        <f t="shared" si="594"/>
        <v>0</v>
      </c>
      <c r="Q84" s="262">
        <f t="shared" ref="Q84" si="677">SUM(Q80:Q83)</f>
        <v>0</v>
      </c>
      <c r="R84" s="262">
        <f t="shared" ref="R84:S84" si="678">SUM(R80:R83)</f>
        <v>0</v>
      </c>
      <c r="S84" s="262">
        <f t="shared" si="678"/>
        <v>0</v>
      </c>
      <c r="T84" s="262">
        <f>SUM(T80:T83)</f>
        <v>0</v>
      </c>
      <c r="U84" s="260">
        <f t="shared" si="585"/>
        <v>0</v>
      </c>
      <c r="V84" s="263">
        <f>V83</f>
        <v>0</v>
      </c>
      <c r="W84" s="332">
        <f>W83</f>
        <v>0</v>
      </c>
      <c r="X84" s="264">
        <f>X83</f>
        <v>0</v>
      </c>
      <c r="Y84" s="254">
        <f>SUM(Y80:Y83)</f>
        <v>0</v>
      </c>
      <c r="Z84" s="259">
        <f t="shared" ref="Z84:AB84" si="679">SUM(Z80:Z83)</f>
        <v>0</v>
      </c>
      <c r="AA84" s="259">
        <f t="shared" si="679"/>
        <v>0</v>
      </c>
      <c r="AB84" s="259">
        <f t="shared" si="679"/>
        <v>0</v>
      </c>
      <c r="AC84" s="260">
        <f t="shared" si="586"/>
        <v>0</v>
      </c>
      <c r="AD84" s="265">
        <f>IFERROR(Y84/L84,0)</f>
        <v>0</v>
      </c>
      <c r="AE84" s="266">
        <f>IFERROR(Z84/M84,0)</f>
        <v>0</v>
      </c>
      <c r="AF84" s="266">
        <f>IFERROR(AA84/N84,0)</f>
        <v>0</v>
      </c>
      <c r="AG84" s="266">
        <f>IFERROR(AB84/O84,0)</f>
        <v>0</v>
      </c>
      <c r="AH84" s="267">
        <f>IFERROR(SUMPRODUCT(AH80:AH83,Q80:Q83)/Q84,0)</f>
        <v>0</v>
      </c>
      <c r="AI84" s="268">
        <f>IFERROR(SUMPRODUCT(AI80:AI83,R80:R83)/R84,0)</f>
        <v>0</v>
      </c>
      <c r="AJ84" s="268">
        <f t="shared" ref="AJ84:AK84" si="680">IFERROR(SUMPRODUCT(AJ80:AJ83,S80:S83)/S84,0)</f>
        <v>0</v>
      </c>
      <c r="AK84" s="268">
        <f t="shared" si="680"/>
        <v>0</v>
      </c>
      <c r="AL84" s="260">
        <f t="shared" si="492"/>
        <v>0</v>
      </c>
      <c r="AM84" s="267">
        <f>IF(Q84&lt;&gt;0,L84/Q84,0)</f>
        <v>0</v>
      </c>
      <c r="AN84" s="268">
        <f>IF(R84&lt;&gt;0,M84/R84,0)</f>
        <v>0</v>
      </c>
      <c r="AO84" s="268">
        <f>IF(S84&lt;&gt;0,N84/S84,0)</f>
        <v>0</v>
      </c>
      <c r="AP84" s="268">
        <f>IF(T84&lt;&gt;0,O84/T84,0)</f>
        <v>0</v>
      </c>
      <c r="AQ84" s="260">
        <f t="shared" si="587"/>
        <v>0</v>
      </c>
      <c r="AR84" s="267">
        <f>IFERROR((L84*(1-AD84))/Q84,0)</f>
        <v>0</v>
      </c>
      <c r="AS84" s="268">
        <f>IFERROR((M84*(1-AE84))/R84,0)</f>
        <v>0</v>
      </c>
      <c r="AT84" s="268">
        <f>IFERROR((N84*(1-AF84))/S84,0)</f>
        <v>0</v>
      </c>
      <c r="AU84" s="268">
        <f>IFERROR((O84*(1-AG84))/T84,0)</f>
        <v>0</v>
      </c>
      <c r="AV84" s="260">
        <f t="shared" si="588"/>
        <v>0</v>
      </c>
      <c r="AW84" s="269">
        <f>IFERROR(SUMPRODUCT(AW80:AW83,V80:V83)/V84,0)</f>
        <v>0</v>
      </c>
      <c r="AX84" s="270">
        <f t="shared" ref="AX84:AZ84" si="681">IFERROR(SUMPRODUCT(AX80:AX83,X80:X83)/X84,0)</f>
        <v>0</v>
      </c>
      <c r="AY84" s="270">
        <f t="shared" si="681"/>
        <v>0</v>
      </c>
      <c r="AZ84" s="270">
        <f t="shared" si="681"/>
        <v>0</v>
      </c>
      <c r="BA84" s="261">
        <f>BA83</f>
        <v>56712</v>
      </c>
      <c r="BB84" s="262">
        <f t="shared" ref="BB84:BD84" si="682">BB83</f>
        <v>56712</v>
      </c>
      <c r="BC84" s="262">
        <f t="shared" si="682"/>
        <v>0</v>
      </c>
      <c r="BD84" s="262">
        <f t="shared" si="682"/>
        <v>0</v>
      </c>
      <c r="BE84" s="260">
        <f t="shared" si="589"/>
        <v>0</v>
      </c>
      <c r="BF84" s="262">
        <f>BF83</f>
        <v>0</v>
      </c>
      <c r="BG84" s="262">
        <f>BG83</f>
        <v>0</v>
      </c>
      <c r="BH84" s="271">
        <f>IF(Q82&lt;&gt;0,(BA84/Q84),0)</f>
        <v>0</v>
      </c>
      <c r="BI84" s="272">
        <f>IF(T82&lt;&gt;0,(BD84/T82),0)</f>
        <v>0</v>
      </c>
      <c r="BJ84" s="273" t="e">
        <f>IF(BA84&lt;&gt;0,(Q84/COUNTIF(BJ80:BJ83,"&lt;&gt;0"))/BA84,0)</f>
        <v>#DIV/0!</v>
      </c>
      <c r="BK84" s="274">
        <f>IF(BD84&lt;&gt;0,(T84/COUNTIF(BK80:BK83,"&lt;&gt;0"))/BD84,0)</f>
        <v>0</v>
      </c>
      <c r="BL84" s="261">
        <f>SUM(BL80:BL83)</f>
        <v>0</v>
      </c>
      <c r="BM84" s="262">
        <f>SUM(BM80:BM83)</f>
        <v>0</v>
      </c>
      <c r="BN84" s="261">
        <f>SUM(BN80:BN83)</f>
        <v>0</v>
      </c>
      <c r="BO84" s="262">
        <f t="shared" ref="BO84" si="683">SUM(BO80:BO83)</f>
        <v>0</v>
      </c>
      <c r="BP84" s="261">
        <f>SUM(BP80:BP83)</f>
        <v>0</v>
      </c>
      <c r="BQ84" s="262">
        <f t="shared" ref="BQ84" si="684">SUM(BQ80:BQ83)</f>
        <v>0</v>
      </c>
      <c r="BR84" s="261">
        <f t="shared" si="595"/>
        <v>0</v>
      </c>
      <c r="BS84" s="262">
        <f t="shared" si="595"/>
        <v>0</v>
      </c>
      <c r="BT84" s="261">
        <f>SUM(BT80:BT83)</f>
        <v>0</v>
      </c>
      <c r="BU84" s="262">
        <f>SUM(BU80:BU83)</f>
        <v>0</v>
      </c>
      <c r="BV84" s="262">
        <f>SUM(BV80:BV83)</f>
        <v>0</v>
      </c>
      <c r="BW84" s="262">
        <f t="shared" ref="BW84:BX84" si="685">SUM(BW80:BW83)</f>
        <v>0</v>
      </c>
      <c r="BX84" s="262">
        <f t="shared" si="685"/>
        <v>0</v>
      </c>
      <c r="BY84" s="275">
        <f>SUM(BY80:BY83)</f>
        <v>0</v>
      </c>
      <c r="BZ84" s="260">
        <f t="shared" si="590"/>
        <v>0</v>
      </c>
      <c r="CA84" s="338">
        <f>SUM(CA80:CA83)</f>
        <v>0</v>
      </c>
      <c r="CB84" s="259">
        <f t="shared" ref="CB84:CF84" si="686">SUM(CB80:CB83)</f>
        <v>0</v>
      </c>
      <c r="CC84" s="259">
        <f t="shared" si="686"/>
        <v>0</v>
      </c>
      <c r="CD84" s="259">
        <f t="shared" si="686"/>
        <v>0</v>
      </c>
      <c r="CE84" s="259">
        <f t="shared" si="686"/>
        <v>0</v>
      </c>
      <c r="CF84" s="259">
        <f t="shared" si="686"/>
        <v>0</v>
      </c>
      <c r="CG84" s="260">
        <f t="shared" si="591"/>
        <v>0</v>
      </c>
      <c r="CH84" s="338">
        <f>SUM(CH80:CH83)</f>
        <v>0</v>
      </c>
      <c r="CI84" s="259">
        <f t="shared" ref="CI84:CM84" si="687">SUM(CI80:CI83)</f>
        <v>0</v>
      </c>
      <c r="CJ84" s="259">
        <f t="shared" si="687"/>
        <v>0</v>
      </c>
      <c r="CK84" s="259">
        <f t="shared" si="687"/>
        <v>0</v>
      </c>
      <c r="CL84" s="259">
        <f t="shared" si="687"/>
        <v>0</v>
      </c>
      <c r="CM84" s="259">
        <f t="shared" si="687"/>
        <v>0</v>
      </c>
      <c r="CN84" s="260">
        <f t="shared" si="592"/>
        <v>0</v>
      </c>
      <c r="CO84" s="276">
        <f t="shared" si="637"/>
        <v>0</v>
      </c>
      <c r="CP84" s="277">
        <f t="shared" si="637"/>
        <v>0</v>
      </c>
      <c r="CQ84" s="260">
        <f t="shared" si="593"/>
        <v>0</v>
      </c>
      <c r="CR84" s="276">
        <f t="shared" si="596"/>
        <v>0</v>
      </c>
      <c r="CS84" s="277">
        <f t="shared" si="596"/>
        <v>0</v>
      </c>
      <c r="CT84" s="260">
        <f t="shared" si="638"/>
        <v>0</v>
      </c>
      <c r="CU84" s="44"/>
      <c r="CW84" s="100">
        <f>CW83</f>
        <v>0</v>
      </c>
      <c r="CX84" s="101">
        <f>CX83</f>
        <v>0</v>
      </c>
      <c r="CY84" s="99">
        <f t="shared" si="668"/>
        <v>0</v>
      </c>
      <c r="CZ84" s="278"/>
      <c r="DA84" s="279"/>
      <c r="DB84" s="279"/>
      <c r="DC84" s="280"/>
    </row>
    <row r="85" spans="2:107" x14ac:dyDescent="0.25">
      <c r="B85" s="44">
        <v>2019</v>
      </c>
      <c r="C85" s="88">
        <v>5</v>
      </c>
      <c r="D85" s="51">
        <f>G85*H85</f>
        <v>0</v>
      </c>
      <c r="E85" s="202">
        <f>IFERROR(D85*F85,0)</f>
        <v>0</v>
      </c>
      <c r="F85" s="182">
        <f t="shared" si="599"/>
        <v>0</v>
      </c>
      <c r="G85" s="176">
        <f t="shared" ref="G85:I89" si="688">IFERROR(VLOOKUP($B85 &amp; $C85&amp;G$4&amp;$A85,tblForecast,G$2,FALSE),0)</f>
        <v>9920</v>
      </c>
      <c r="H85" s="203">
        <f t="shared" si="688"/>
        <v>0</v>
      </c>
      <c r="I85" s="203">
        <f t="shared" si="688"/>
        <v>0</v>
      </c>
      <c r="J85" s="176">
        <f>IFERROR(VLOOKUP($B85 &amp; $C85&amp;J$4&amp;$A85,tblForecast,J$2,FALSE),0)+IFERROR(VLOOKUP($B85 &amp; $C85 &amp; J$4 &amp; $A85,tblForecast,J$2+1,FALSE),0)</f>
        <v>53068</v>
      </c>
      <c r="K85" s="300">
        <f>IFERROR(VLOOKUP($B85 &amp; $C85&amp;K$4&amp;$A85,tblForecast,K$2,FALSE),0)+IFERROR(VLOOKUP($B85 &amp; $C85&amp;K$4&amp;$A85,tblForecast,K$2+1,FALSE),0)</f>
        <v>0</v>
      </c>
      <c r="L85" s="90">
        <f>Q85*AM85</f>
        <v>0</v>
      </c>
      <c r="M85" s="90">
        <f t="shared" ref="M85:O89" si="689">R85*AN85</f>
        <v>0</v>
      </c>
      <c r="N85" s="46">
        <f t="shared" si="689"/>
        <v>0</v>
      </c>
      <c r="O85" s="46">
        <f t="shared" si="689"/>
        <v>0</v>
      </c>
      <c r="P85" s="47">
        <f t="shared" si="594"/>
        <v>0</v>
      </c>
      <c r="Q85" s="242">
        <f>ROUND(IF(BA83-(Q83*IF(W85=0,X85,W85))&lt;0,BA83,Q83*IF(W85=0,X85,W85)),0)</f>
        <v>0</v>
      </c>
      <c r="R85" s="240">
        <f t="shared" ref="R85:S89" si="690">IFERROR(VLOOKUP($B85 &amp; $C85&amp;R$4,tblForecast,R$2,FALSE),0)</f>
        <v>0</v>
      </c>
      <c r="S85" s="240">
        <f t="shared" si="690"/>
        <v>0</v>
      </c>
      <c r="T85" s="240">
        <f>IFERROR(VLOOKUP($B85-IF(CompareVer="LY",1,0) &amp; $C85 &amp;T$4,tblForecast,T$2,FALSE),0)</f>
        <v>0</v>
      </c>
      <c r="U85" s="91">
        <f t="shared" si="585"/>
        <v>0</v>
      </c>
      <c r="V85" s="249">
        <f>IFERROR(IF(Q83&gt;0,Q85/Q83,0),0)</f>
        <v>0</v>
      </c>
      <c r="W85" s="334">
        <f>IFERROR(IF(R83&gt;0,R85/R83,0),0)</f>
        <v>0</v>
      </c>
      <c r="X85" s="250">
        <f>IFERROR(IF(T83&gt;0,T85/T83,0),0)</f>
        <v>0</v>
      </c>
      <c r="Y85" s="51">
        <f t="shared" ref="Y85:AB89" si="691">IFERROR(L85*AD85,0)</f>
        <v>0</v>
      </c>
      <c r="Z85" s="46">
        <f t="shared" si="691"/>
        <v>0</v>
      </c>
      <c r="AA85" s="46">
        <f t="shared" si="691"/>
        <v>0</v>
      </c>
      <c r="AB85" s="46">
        <f t="shared" si="691"/>
        <v>0</v>
      </c>
      <c r="AC85" s="91">
        <f t="shared" si="586"/>
        <v>0</v>
      </c>
      <c r="AD85" s="75">
        <f>IF(AM85&lt;&gt;0,1-AR85/AM85,0)</f>
        <v>0.74415744157441577</v>
      </c>
      <c r="AE85" s="93">
        <f t="shared" ref="AE85:AG89" si="692">IF(AN85&lt;&gt;0,1-AS85/AN85,0)</f>
        <v>0.74415744157441577</v>
      </c>
      <c r="AF85" s="93">
        <f t="shared" si="692"/>
        <v>0</v>
      </c>
      <c r="AG85" s="76">
        <f t="shared" si="692"/>
        <v>0</v>
      </c>
      <c r="AH85" s="73">
        <f>IF(IFERROR(VLOOKUP($B85 &amp; $C85&amp;AH$4,tblForecast,AH$2,FALSE),0)=0,DB85,IFERROR(VLOOKUP($B85 &amp; $C85&amp;AH$4,tblForecast,AH$2,FALSE),0))</f>
        <v>25.02</v>
      </c>
      <c r="AI85" s="94">
        <f t="shared" ref="AI85:AJ89" si="693">IFERROR(VLOOKUP($B85 &amp; $C85&amp;AI$4,tblForecast,AI$2,FALSE),0)</f>
        <v>25.02</v>
      </c>
      <c r="AJ85" s="94">
        <f t="shared" si="693"/>
        <v>0</v>
      </c>
      <c r="AK85" s="49">
        <f>IFERROR(VLOOKUP($B85-IF(CompareVer="LY",1,0) &amp; $C85 &amp;AK$4,tblForecast,AK$2,FALSE),0)</f>
        <v>0</v>
      </c>
      <c r="AL85" s="47">
        <f t="shared" si="492"/>
        <v>0</v>
      </c>
      <c r="AM85" s="73">
        <f>IF(IFERROR(VLOOKUP($B85 &amp; $C85&amp;AM$4,tblForecast,AM$2,FALSE),0)=0,DA85,IFERROR(VLOOKUP($B85 &amp; $C85&amp;AM$4,tblForecast,AM$2,FALSE),0))</f>
        <v>16.260000000000002</v>
      </c>
      <c r="AN85" s="94">
        <f t="shared" ref="AN85:AO89" si="694">IFERROR(VLOOKUP($B85 &amp; $C85&amp;AN$4,tblForecast,AN$2,FALSE),0)</f>
        <v>16.260000000000002</v>
      </c>
      <c r="AO85" s="94">
        <f t="shared" si="694"/>
        <v>0</v>
      </c>
      <c r="AP85" s="49">
        <f>IFERROR(VLOOKUP($B85-IF(CompareVer="LY",1,0) &amp; $C85 &amp;AP$4,tblForecast,AP$2,FALSE),0)</f>
        <v>0</v>
      </c>
      <c r="AQ85" s="47">
        <f t="shared" si="587"/>
        <v>0</v>
      </c>
      <c r="AR85" s="73">
        <f>IF(IFERROR(VLOOKUP($B85 &amp; $C85&amp;AR$4,tblForecast,AR$2,FALSE),0)=0,DC85,IFERROR(VLOOKUP($B85 &amp; $C85&amp;AR$4,tblForecast,AR$2,FALSE),0))</f>
        <v>4.16</v>
      </c>
      <c r="AS85" s="94">
        <f t="shared" ref="AS85:AT89" si="695">IFERROR(VLOOKUP($B85 &amp; $C85&amp;AS$4,tblForecast,AS$2,FALSE),0)</f>
        <v>4.16</v>
      </c>
      <c r="AT85" s="94">
        <f t="shared" si="695"/>
        <v>0</v>
      </c>
      <c r="AU85" s="49">
        <f>IFERROR(VLOOKUP($B85-IF(CompareVer="LY",1,0) &amp; $C85 &amp;AU$4,tblForecast,AU$2,FALSE),0)</f>
        <v>0</v>
      </c>
      <c r="AV85" s="47">
        <f t="shared" si="588"/>
        <v>0</v>
      </c>
      <c r="AW85" s="191">
        <f t="shared" ref="AW85:AZ89" si="696">IFERROR((AM85/AH85-1)*-1,0)</f>
        <v>0.35011990407673854</v>
      </c>
      <c r="AX85" s="192">
        <f t="shared" si="696"/>
        <v>0.35011990407673854</v>
      </c>
      <c r="AY85" s="192">
        <f t="shared" si="696"/>
        <v>0</v>
      </c>
      <c r="AZ85" s="192">
        <f t="shared" si="696"/>
        <v>0</v>
      </c>
      <c r="BA85" s="235">
        <f>IF(BA84+BV85+BL85+BR85-Q85&lt;0,0,BA84+BV85+BL85+BR85-Q85)</f>
        <v>56712</v>
      </c>
      <c r="BB85" s="231">
        <f>IF(IFERROR(VLOOKUP($B85 &amp; $C85&amp;BB$4,tblForecast,BB$2,FALSE),0)=0,BA85,IFERROR(VLOOKUP($B85 &amp; $C85&amp;BB$4,tblForecast,BB$2,FALSE),0))</f>
        <v>56712</v>
      </c>
      <c r="BC85" s="231">
        <f>IFERROR(VLOOKUP($B85-IF(CompareVer="LY",1,0) &amp; $C85 &amp;BC$4,tblForecast,BC$2,FALSE),0)</f>
        <v>0</v>
      </c>
      <c r="BD85" s="231">
        <f t="shared" ref="BD85:BD89" si="697">CX85+BG85</f>
        <v>0</v>
      </c>
      <c r="BE85" s="194">
        <f t="shared" si="589"/>
        <v>0</v>
      </c>
      <c r="BF85" s="231">
        <f>IFERROR(VLOOKUP($B85 &amp; $C85&amp;IF($A85="a",BG$4,BF$4),tblForecast,BF$2,FALSE),0)</f>
        <v>0</v>
      </c>
      <c r="BG85" s="228">
        <f>IFERROR(VLOOKUP($B85-IF(CompareVer="LY",1,0) &amp; $C85 &amp;BG$4,tblForecast,BG$2,FALSE),0)</f>
        <v>0</v>
      </c>
      <c r="BH85" s="179">
        <f>IF(Q85&lt;&gt;0,BA85/Q85,0)</f>
        <v>0</v>
      </c>
      <c r="BI85" s="183">
        <f>IF(T85&lt;&gt;0,BD85/T85,0)</f>
        <v>0</v>
      </c>
      <c r="BJ85" s="195">
        <f t="shared" ref="BJ85:BJ89" si="698">IF(BA85&lt;&gt;0,Q85/BA85,0)</f>
        <v>0</v>
      </c>
      <c r="BK85" s="50">
        <f t="shared" ref="BK85:BK89" si="699">IF(BD85&lt;&gt;0,T85/BD85,0)</f>
        <v>0</v>
      </c>
      <c r="BL85" s="234">
        <f>IFERROR(VLOOKUP($B85 &amp; $C85&amp;IF($A85="a",BM$4,BL$4),tblForecast,BL$2,FALSE),0)</f>
        <v>0</v>
      </c>
      <c r="BM85" s="228">
        <f>IFERROR(VLOOKUP($B85-IF(CompareVer="LY",1,0) &amp; $C85 &amp;BM$4,tblForecast,BM$2,FALSE),0)</f>
        <v>0</v>
      </c>
      <c r="BN85" s="234">
        <f>IFERROR(VLOOKUP($B85 &amp; $C85&amp;IF($A85="a",BO$4,BN$4),tblForecast,BN$2,FALSE),0)</f>
        <v>0</v>
      </c>
      <c r="BO85" s="228">
        <f>IFERROR(VLOOKUP($B85-IF(CompareVer="LY",1,0) &amp; $C85 &amp;BO$4,tblForecast,BO$2,FALSE),0)</f>
        <v>0</v>
      </c>
      <c r="BP85" s="234">
        <f>IFERROR(VLOOKUP($B85 &amp; $C85&amp;IF($A85="a",BQ$4,BP$4),tblForecast,BP$2,FALSE),0)</f>
        <v>0</v>
      </c>
      <c r="BQ85" s="228">
        <f>IFERROR(VLOOKUP($B85-IF(CompareVer="LY",1,0) &amp; $C85 &amp;BQ$4,tblForecast,BQ$2,FALSE),0)</f>
        <v>0</v>
      </c>
      <c r="BR85" s="227">
        <f t="shared" si="595"/>
        <v>0</v>
      </c>
      <c r="BS85" s="231">
        <f t="shared" si="595"/>
        <v>0</v>
      </c>
      <c r="BT85" s="234">
        <f t="shared" ref="BT85:BU89" si="700">IFERROR(VLOOKUP($B85 &amp; $C85&amp;BT$4,tblForecast,BT$2,FALSE),0)</f>
        <v>0</v>
      </c>
      <c r="BU85" s="231">
        <f t="shared" si="700"/>
        <v>0</v>
      </c>
      <c r="BV85" s="231">
        <f>IF($A85="a",IFERROR(VLOOKUP($B85 &amp; $C85&amp;BV$4,tblForecast,BV$2,FALSE),0),BT85+BU85)</f>
        <v>0</v>
      </c>
      <c r="BW85" s="231">
        <f t="shared" ref="BW85:BX89" si="701">IFERROR(VLOOKUP($B85 &amp; $C85&amp;BW$4,tblForecast,BW$2,FALSE),0)</f>
        <v>0</v>
      </c>
      <c r="BX85" s="231">
        <f t="shared" si="701"/>
        <v>0</v>
      </c>
      <c r="BY85" s="193">
        <f>IFERROR(VLOOKUP($B85-IF(CompareVer="LY",1,0) &amp; $C85 &amp;BY$4,tblForecast,BY$2,FALSE),0)</f>
        <v>0</v>
      </c>
      <c r="BZ85" s="194">
        <f t="shared" si="590"/>
        <v>0</v>
      </c>
      <c r="CA85" s="337">
        <f t="shared" ref="CA85:CB89" si="702">IFERROR(VLOOKUP($B85 &amp; $C85&amp;CA$4,tblForecast,CA$2,FALSE),0)</f>
        <v>0</v>
      </c>
      <c r="CB85" s="46">
        <f t="shared" si="702"/>
        <v>0</v>
      </c>
      <c r="CC85" s="46">
        <f>IF($A85="a",IFERROR(VLOOKUP($B85 &amp; $C85&amp;CC$4,tblForecast,CC$2,FALSE),0),CA85+CB85)</f>
        <v>0</v>
      </c>
      <c r="CD85" s="46">
        <f t="shared" ref="CD85:CE89" si="703">IFERROR(VLOOKUP($B85 &amp; $C85&amp;CD$4,tblForecast,CD$2,FALSE),0)</f>
        <v>0</v>
      </c>
      <c r="CE85" s="46">
        <f t="shared" si="703"/>
        <v>0</v>
      </c>
      <c r="CF85" s="46">
        <f>IFERROR(VLOOKUP($B85-IF(CompareVer="LY",1,0) &amp; $C85 &amp;CF$4,tblForecast,CF$2,FALSE),0)</f>
        <v>0</v>
      </c>
      <c r="CG85" s="194">
        <f t="shared" si="591"/>
        <v>0</v>
      </c>
      <c r="CH85" s="337">
        <f t="shared" ref="CH85:CI89" si="704">IFERROR(VLOOKUP($B85 &amp; $C85&amp;CH$4,tblForecast,CH$2,FALSE),0)</f>
        <v>0</v>
      </c>
      <c r="CI85" s="46">
        <f t="shared" si="704"/>
        <v>0</v>
      </c>
      <c r="CJ85" s="46">
        <f>IF($A85="a",IFERROR(VLOOKUP($B85 &amp; $C85&amp;CJ$4,tblForecast,CJ$2,FALSE),0),CH85+CI85)</f>
        <v>0</v>
      </c>
      <c r="CK85" s="46">
        <f t="shared" ref="CK85:CL89" si="705">IFERROR(VLOOKUP($B85 &amp; $C85&amp;CK$4,tblForecast,CK$2,FALSE),0)</f>
        <v>0</v>
      </c>
      <c r="CL85" s="46">
        <f t="shared" si="705"/>
        <v>0</v>
      </c>
      <c r="CM85" s="46">
        <f>IFERROR(VLOOKUP($B85-IF(CompareVer="LY",1,0) &amp; $C85 &amp;CM$4,tblForecast,CM$2,FALSE),0)</f>
        <v>0</v>
      </c>
      <c r="CN85" s="194">
        <f t="shared" si="592"/>
        <v>0</v>
      </c>
      <c r="CO85" s="178">
        <f t="shared" si="637"/>
        <v>0</v>
      </c>
      <c r="CP85" s="223">
        <f t="shared" si="637"/>
        <v>0</v>
      </c>
      <c r="CQ85" s="194">
        <f t="shared" si="593"/>
        <v>0</v>
      </c>
      <c r="CR85" s="178">
        <f t="shared" si="596"/>
        <v>0</v>
      </c>
      <c r="CS85" s="223">
        <f t="shared" si="596"/>
        <v>0</v>
      </c>
      <c r="CT85" s="194">
        <f t="shared" si="638"/>
        <v>0</v>
      </c>
      <c r="CU85" s="44"/>
      <c r="CW85" s="102">
        <f>IFERROR(VLOOKUP($B85 &amp; $C85&amp;CompareVer,tblForecast,CW$2,FALSE),0)</f>
        <v>0</v>
      </c>
      <c r="CX85" s="48">
        <f>IFERROR(VLOOKUP($B85-IF(CompareVer="LY",1,0) &amp; $C85 &amp;CX$4,tblForecast,CX$2,FALSE),0)</f>
        <v>0</v>
      </c>
      <c r="CY85" s="47">
        <f t="shared" si="668"/>
        <v>0</v>
      </c>
      <c r="CZ85" s="278">
        <f>IFERROR(VLOOKUP(Brand&amp;Channel&amp;Country&amp;$C85,tblDiscount,6,FALSE),0)</f>
        <v>0.35</v>
      </c>
      <c r="DA85" s="279">
        <f>(1-CZ85)*DB85</f>
        <v>16.263000000000002</v>
      </c>
      <c r="DB85" s="279">
        <f>IFERROR(VLOOKUP(Brand&amp;Country &amp; Channel &amp;FC,tblFCSettings,8,FALSE),0)</f>
        <v>25.02</v>
      </c>
      <c r="DC85" s="280">
        <f>IFERROR(VLOOKUP(Brand&amp;Country &amp; Channel &amp;FC,tblFCSettings,9,FALSE),0)</f>
        <v>4.16</v>
      </c>
    </row>
    <row r="86" spans="2:107" x14ac:dyDescent="0.25">
      <c r="B86" s="44">
        <v>2019</v>
      </c>
      <c r="C86" s="88">
        <v>6</v>
      </c>
      <c r="D86" s="51">
        <f t="shared" ref="D86:D89" si="706">G86*H86</f>
        <v>0</v>
      </c>
      <c r="E86" s="202">
        <f t="shared" ref="E86:E89" si="707">IFERROR(D86*F86,0)</f>
        <v>0</v>
      </c>
      <c r="F86" s="182">
        <f t="shared" si="599"/>
        <v>0</v>
      </c>
      <c r="G86" s="176">
        <f t="shared" si="688"/>
        <v>13687</v>
      </c>
      <c r="H86" s="203">
        <f t="shared" si="688"/>
        <v>0</v>
      </c>
      <c r="I86" s="203">
        <f t="shared" si="688"/>
        <v>0</v>
      </c>
      <c r="J86" s="176">
        <f>IFERROR(VLOOKUP($B86 &amp; $C86&amp;J$4&amp;$A86,tblForecast,J$2,FALSE),0)+IFERROR(VLOOKUP($B86 &amp; $C86 &amp; J$4 &amp; $A86,tblForecast,J$2+1,FALSE),0)</f>
        <v>44131</v>
      </c>
      <c r="K86" s="300">
        <f>IFERROR(VLOOKUP($B86 &amp; $C86&amp;K$4&amp;$A86,tblForecast,K$2,FALSE),0)+IFERROR(VLOOKUP($B86 &amp; $C86&amp;K$4&amp;$A86,tblForecast,K$2+1,FALSE),0)</f>
        <v>0</v>
      </c>
      <c r="L86" s="90">
        <f>Q86*AM86</f>
        <v>0</v>
      </c>
      <c r="M86" s="90">
        <f t="shared" si="689"/>
        <v>0</v>
      </c>
      <c r="N86" s="46">
        <f t="shared" si="689"/>
        <v>0</v>
      </c>
      <c r="O86" s="46">
        <f t="shared" si="689"/>
        <v>0</v>
      </c>
      <c r="P86" s="47">
        <f t="shared" si="594"/>
        <v>0</v>
      </c>
      <c r="Q86" s="242">
        <f t="shared" ref="Q86:Q89" si="708">ROUND(IF(BA85-(Q85*IF(W86=0,X86,W86))&lt;0,BA85,Q85*IF(W86=0,X86,W86)),0)</f>
        <v>0</v>
      </c>
      <c r="R86" s="240">
        <f t="shared" si="690"/>
        <v>0</v>
      </c>
      <c r="S86" s="240">
        <f t="shared" si="690"/>
        <v>0</v>
      </c>
      <c r="T86" s="240">
        <f>IFERROR(VLOOKUP($B86-IF(CompareVer="LY",1,0) &amp; $C86 &amp;T$4,tblForecast,T$2,FALSE),0)</f>
        <v>0</v>
      </c>
      <c r="U86" s="91">
        <f t="shared" si="585"/>
        <v>0</v>
      </c>
      <c r="V86" s="249">
        <f t="shared" ref="V86:V89" si="709">IFERROR(IF(Q85&lt;&gt;0,Q86/Q85,0),0)</f>
        <v>0</v>
      </c>
      <c r="W86" s="334">
        <f t="shared" ref="W86:W89" si="710">IFERROR(IF(R85&lt;&gt;0,R86/R85,0),0)</f>
        <v>0</v>
      </c>
      <c r="X86" s="250">
        <f t="shared" ref="X86:X89" si="711">IFERROR(IF(T85&lt;&gt;0,T86/T85,0),0)</f>
        <v>0</v>
      </c>
      <c r="Y86" s="51">
        <f t="shared" si="691"/>
        <v>0</v>
      </c>
      <c r="Z86" s="46">
        <f t="shared" si="691"/>
        <v>0</v>
      </c>
      <c r="AA86" s="46">
        <f t="shared" si="691"/>
        <v>0</v>
      </c>
      <c r="AB86" s="46">
        <f t="shared" si="691"/>
        <v>0</v>
      </c>
      <c r="AC86" s="91">
        <f t="shared" si="586"/>
        <v>0</v>
      </c>
      <c r="AD86" s="75">
        <f>IF(AM86&lt;&gt;0,1-AR86/AM86,0)</f>
        <v>0.74415744157441577</v>
      </c>
      <c r="AE86" s="93">
        <f t="shared" si="692"/>
        <v>0.74415744157441577</v>
      </c>
      <c r="AF86" s="93">
        <f t="shared" si="692"/>
        <v>0</v>
      </c>
      <c r="AG86" s="76">
        <f t="shared" si="692"/>
        <v>0</v>
      </c>
      <c r="AH86" s="73">
        <f>IF(IFERROR(VLOOKUP($B86 &amp; $C86&amp;AH$4,tblForecast,AH$2,FALSE),0)=0,DB86,IFERROR(VLOOKUP($B86 &amp; $C86&amp;AH$4,tblForecast,AH$2,FALSE),0))</f>
        <v>25.02</v>
      </c>
      <c r="AI86" s="94">
        <f t="shared" si="693"/>
        <v>25.02</v>
      </c>
      <c r="AJ86" s="94">
        <f t="shared" si="693"/>
        <v>0</v>
      </c>
      <c r="AK86" s="49">
        <f>IFERROR(VLOOKUP($B86-IF(CompareVer="LY",1,0) &amp; $C86 &amp;AK$4,tblForecast,AK$2,FALSE),0)</f>
        <v>0</v>
      </c>
      <c r="AL86" s="47">
        <f t="shared" si="492"/>
        <v>0</v>
      </c>
      <c r="AM86" s="73">
        <f>IF(IFERROR(VLOOKUP($B86 &amp; $C86&amp;AM$4,tblForecast,AM$2,FALSE),0)=0,DA86,IFERROR(VLOOKUP($B86 &amp; $C86&amp;AM$4,tblForecast,AM$2,FALSE),0))</f>
        <v>16.260000000000002</v>
      </c>
      <c r="AN86" s="94">
        <f t="shared" si="694"/>
        <v>16.260000000000002</v>
      </c>
      <c r="AO86" s="94">
        <f t="shared" si="694"/>
        <v>0</v>
      </c>
      <c r="AP86" s="49">
        <f>IFERROR(VLOOKUP($B86-IF(CompareVer="LY",1,0) &amp; $C86 &amp;AP$4,tblForecast,AP$2,FALSE),0)</f>
        <v>0</v>
      </c>
      <c r="AQ86" s="47">
        <f t="shared" si="587"/>
        <v>0</v>
      </c>
      <c r="AR86" s="73">
        <f>IF(IFERROR(VLOOKUP($B86 &amp; $C86&amp;AR$4,tblForecast,AR$2,FALSE),0)=0,DC86,IFERROR(VLOOKUP($B86 &amp; $C86&amp;AR$4,tblForecast,AR$2,FALSE),0))</f>
        <v>4.16</v>
      </c>
      <c r="AS86" s="94">
        <f t="shared" si="695"/>
        <v>4.16</v>
      </c>
      <c r="AT86" s="94">
        <f t="shared" si="695"/>
        <v>0</v>
      </c>
      <c r="AU86" s="49">
        <f>IFERROR(VLOOKUP($B86-IF(CompareVer="LY",1,0) &amp; $C86 &amp;AU$4,tblForecast,AU$2,FALSE),0)</f>
        <v>0</v>
      </c>
      <c r="AV86" s="47">
        <f t="shared" si="588"/>
        <v>0</v>
      </c>
      <c r="AW86" s="191">
        <f t="shared" si="696"/>
        <v>0.35011990407673854</v>
      </c>
      <c r="AX86" s="192">
        <f t="shared" si="696"/>
        <v>0.35011990407673854</v>
      </c>
      <c r="AY86" s="192">
        <f t="shared" si="696"/>
        <v>0</v>
      </c>
      <c r="AZ86" s="192">
        <f t="shared" si="696"/>
        <v>0</v>
      </c>
      <c r="BA86" s="235">
        <f>IF(BA85+BV86+BL86+BR86-Q86&lt;0,0,BA85+BV86+BL86+BR86-Q86)</f>
        <v>56712</v>
      </c>
      <c r="BB86" s="231">
        <f>IF(IFERROR(VLOOKUP($B86 &amp; $C86&amp;BB$4,tblForecast,BB$2,FALSE),0)=0,BA86,IFERROR(VLOOKUP($B86 &amp; $C86&amp;BB$4,tblForecast,BB$2,FALSE),0))</f>
        <v>56712</v>
      </c>
      <c r="BC86" s="231">
        <f>IFERROR(VLOOKUP($B86-IF(CompareVer="LY",1,0) &amp; $C86 &amp;BC$4,tblForecast,BC$2,FALSE),0)</f>
        <v>0</v>
      </c>
      <c r="BD86" s="231">
        <f t="shared" si="697"/>
        <v>0</v>
      </c>
      <c r="BE86" s="194">
        <f t="shared" si="589"/>
        <v>0</v>
      </c>
      <c r="BF86" s="231">
        <f>IFERROR(VLOOKUP($B86 &amp; $C86&amp;IF($A86="a",BG$4,BF$4),tblForecast,BF$2,FALSE),0)</f>
        <v>0</v>
      </c>
      <c r="BG86" s="228">
        <f>IFERROR(VLOOKUP($B86-IF(CompareVer="LY",1,0) &amp; $C86 &amp;BG$4,tblForecast,BG$2,FALSE),0)</f>
        <v>0</v>
      </c>
      <c r="BH86" s="179">
        <f>IF(Q86&lt;&gt;0,BA86/Q86,0)</f>
        <v>0</v>
      </c>
      <c r="BI86" s="183">
        <f>IF(T86&lt;&gt;0,BD86/T86,0)</f>
        <v>0</v>
      </c>
      <c r="BJ86" s="195">
        <f t="shared" si="698"/>
        <v>0</v>
      </c>
      <c r="BK86" s="50">
        <f t="shared" si="699"/>
        <v>0</v>
      </c>
      <c r="BL86" s="234">
        <f>IFERROR(VLOOKUP($B86 &amp; $C86&amp;IF($A86="a",BM$4,BL$4),tblForecast,BL$2,FALSE),0)</f>
        <v>0</v>
      </c>
      <c r="BM86" s="228">
        <f>IFERROR(VLOOKUP($B86-IF(CompareVer="LY",1,0) &amp; $C86 &amp;BM$4,tblForecast,BM$2,FALSE),0)</f>
        <v>0</v>
      </c>
      <c r="BN86" s="234">
        <f>IFERROR(VLOOKUP($B86 &amp; $C86&amp;IF($A86="a",BO$4,BN$4),tblForecast,BN$2,FALSE),0)</f>
        <v>0</v>
      </c>
      <c r="BO86" s="228">
        <f>IFERROR(VLOOKUP($B86-IF(CompareVer="LY",1,0) &amp; $C86 &amp;BO$4,tblForecast,BO$2,FALSE),0)</f>
        <v>0</v>
      </c>
      <c r="BP86" s="234">
        <f>IFERROR(VLOOKUP($B86 &amp; $C86&amp;IF($A86="a",BQ$4,BP$4),tblForecast,BP$2,FALSE),0)</f>
        <v>0</v>
      </c>
      <c r="BQ86" s="228">
        <f>IFERROR(VLOOKUP($B86-IF(CompareVer="LY",1,0) &amp; $C86 &amp;BQ$4,tblForecast,BQ$2,FALSE),0)</f>
        <v>0</v>
      </c>
      <c r="BR86" s="227">
        <f t="shared" si="595"/>
        <v>0</v>
      </c>
      <c r="BS86" s="231">
        <f t="shared" si="595"/>
        <v>0</v>
      </c>
      <c r="BT86" s="234">
        <f t="shared" si="700"/>
        <v>0</v>
      </c>
      <c r="BU86" s="231">
        <f t="shared" si="700"/>
        <v>0</v>
      </c>
      <c r="BV86" s="231">
        <f>IF($A86="a",IFERROR(VLOOKUP($B86 &amp; $C86&amp;BV$4,tblForecast,BV$2,FALSE),0),BT86+BU86)</f>
        <v>0</v>
      </c>
      <c r="BW86" s="231">
        <f t="shared" si="701"/>
        <v>0</v>
      </c>
      <c r="BX86" s="231">
        <f t="shared" si="701"/>
        <v>0</v>
      </c>
      <c r="BY86" s="193">
        <f>IFERROR(VLOOKUP($B86-IF(CompareVer="LY",1,0) &amp; $C86 &amp;BY$4,tblForecast,BY$2,FALSE),0)</f>
        <v>0</v>
      </c>
      <c r="BZ86" s="194">
        <f t="shared" si="590"/>
        <v>0</v>
      </c>
      <c r="CA86" s="337">
        <f t="shared" si="702"/>
        <v>0</v>
      </c>
      <c r="CB86" s="46">
        <f t="shared" si="702"/>
        <v>0</v>
      </c>
      <c r="CC86" s="46">
        <f>IF($A86="a",IFERROR(VLOOKUP($B86 &amp; $C86&amp;CC$4,tblForecast,CC$2,FALSE),0),CA86+CB86)</f>
        <v>0</v>
      </c>
      <c r="CD86" s="46">
        <f t="shared" si="703"/>
        <v>0</v>
      </c>
      <c r="CE86" s="46">
        <f t="shared" si="703"/>
        <v>0</v>
      </c>
      <c r="CF86" s="46">
        <f>IFERROR(VLOOKUP($B86-IF(CompareVer="LY",1,0) &amp; $C86 &amp;CF$4,tblForecast,CF$2,FALSE),0)</f>
        <v>0</v>
      </c>
      <c r="CG86" s="194">
        <f t="shared" si="591"/>
        <v>0</v>
      </c>
      <c r="CH86" s="337">
        <f t="shared" si="704"/>
        <v>0</v>
      </c>
      <c r="CI86" s="46">
        <f t="shared" si="704"/>
        <v>0</v>
      </c>
      <c r="CJ86" s="46">
        <f>IF($A86="a",IFERROR(VLOOKUP($B86 &amp; $C86&amp;CJ$4,tblForecast,CJ$2,FALSE),0),CH86+CI86)</f>
        <v>0</v>
      </c>
      <c r="CK86" s="46">
        <f t="shared" si="705"/>
        <v>0</v>
      </c>
      <c r="CL86" s="46">
        <f t="shared" si="705"/>
        <v>0</v>
      </c>
      <c r="CM86" s="46">
        <f>IFERROR(VLOOKUP($B86-IF(CompareVer="LY",1,0) &amp; $C86 &amp;CM$4,tblForecast,CM$2,FALSE),0)</f>
        <v>0</v>
      </c>
      <c r="CN86" s="194">
        <f t="shared" si="592"/>
        <v>0</v>
      </c>
      <c r="CO86" s="178">
        <f t="shared" si="637"/>
        <v>0</v>
      </c>
      <c r="CP86" s="223">
        <f t="shared" si="637"/>
        <v>0</v>
      </c>
      <c r="CQ86" s="194">
        <f t="shared" si="593"/>
        <v>0</v>
      </c>
      <c r="CR86" s="178">
        <f t="shared" si="596"/>
        <v>0</v>
      </c>
      <c r="CS86" s="223">
        <f t="shared" si="596"/>
        <v>0</v>
      </c>
      <c r="CT86" s="194">
        <f t="shared" si="638"/>
        <v>0</v>
      </c>
      <c r="CU86" s="44"/>
      <c r="CW86" s="102">
        <f>IFERROR(VLOOKUP($B86 &amp; $C86&amp;CompareVer,tblForecast,CW$2,FALSE),0)</f>
        <v>0</v>
      </c>
      <c r="CX86" s="48">
        <f>IFERROR(VLOOKUP($B86-IF(CompareVer="LY",1,0) &amp; $C86 &amp;CX$4,tblForecast,CX$2,FALSE),0)</f>
        <v>0</v>
      </c>
      <c r="CY86" s="47">
        <f t="shared" si="668"/>
        <v>0</v>
      </c>
      <c r="CZ86" s="278">
        <f>IFERROR(VLOOKUP(Brand&amp;Channel&amp;Country&amp;$C86,tblDiscount,6,FALSE),0)</f>
        <v>0.35</v>
      </c>
      <c r="DA86" s="279">
        <f>(1-CZ86)*DB86</f>
        <v>16.263000000000002</v>
      </c>
      <c r="DB86" s="279">
        <f>IFERROR(VLOOKUP(Brand&amp;Country &amp; Channel &amp;FC,tblFCSettings,8,FALSE),0)</f>
        <v>25.02</v>
      </c>
      <c r="DC86" s="280">
        <f>IFERROR(VLOOKUP(Brand&amp;Country &amp; Channel &amp;FC,tblFCSettings,9,FALSE),0)</f>
        <v>4.16</v>
      </c>
    </row>
    <row r="87" spans="2:107" x14ac:dyDescent="0.25">
      <c r="B87" s="44">
        <v>2019</v>
      </c>
      <c r="C87" s="88">
        <v>7</v>
      </c>
      <c r="D87" s="51">
        <f t="shared" si="706"/>
        <v>-9395780.4207930006</v>
      </c>
      <c r="E87" s="202">
        <f t="shared" si="707"/>
        <v>-3290205.7006680002</v>
      </c>
      <c r="F87" s="182">
        <f t="shared" si="599"/>
        <v>0.35017907542695725</v>
      </c>
      <c r="G87" s="176">
        <f t="shared" si="688"/>
        <v>-363273</v>
      </c>
      <c r="H87" s="203">
        <f t="shared" si="688"/>
        <v>25.864241</v>
      </c>
      <c r="I87" s="203">
        <f t="shared" si="688"/>
        <v>16.807124999999999</v>
      </c>
      <c r="J87" s="176">
        <f>IFERROR(VLOOKUP($B87 &amp; $C87&amp;J$4&amp;$A87,tblForecast,J$2,FALSE),0)+IFERROR(VLOOKUP($B87 &amp; $C87 &amp; J$4 &amp; $A87,tblForecast,J$2+1,FALSE),0)</f>
        <v>29687</v>
      </c>
      <c r="K87" s="300">
        <f>IFERROR(VLOOKUP($B87 &amp; $C87&amp;K$4&amp;$A87,tblForecast,K$2,FALSE),0)+IFERROR(VLOOKUP($B87 &amp; $C87&amp;K$4&amp;$A87,tblForecast,K$2+1,FALSE),0)</f>
        <v>0</v>
      </c>
      <c r="L87" s="90">
        <f>Q87*AM87</f>
        <v>0</v>
      </c>
      <c r="M87" s="90">
        <f t="shared" si="689"/>
        <v>0</v>
      </c>
      <c r="N87" s="46">
        <f t="shared" si="689"/>
        <v>0</v>
      </c>
      <c r="O87" s="46">
        <f t="shared" si="689"/>
        <v>0</v>
      </c>
      <c r="P87" s="47">
        <f t="shared" si="594"/>
        <v>0</v>
      </c>
      <c r="Q87" s="242">
        <f t="shared" si="708"/>
        <v>0</v>
      </c>
      <c r="R87" s="240">
        <f t="shared" si="690"/>
        <v>0</v>
      </c>
      <c r="S87" s="240">
        <f t="shared" si="690"/>
        <v>0</v>
      </c>
      <c r="T87" s="240">
        <f>IFERROR(VLOOKUP($B87-IF(CompareVer="LY",1,0) &amp; $C87 &amp;T$4,tblForecast,T$2,FALSE),0)</f>
        <v>0</v>
      </c>
      <c r="U87" s="91">
        <f t="shared" si="585"/>
        <v>0</v>
      </c>
      <c r="V87" s="249">
        <f t="shared" si="709"/>
        <v>0</v>
      </c>
      <c r="W87" s="334">
        <f t="shared" si="710"/>
        <v>0</v>
      </c>
      <c r="X87" s="250">
        <f t="shared" si="711"/>
        <v>0</v>
      </c>
      <c r="Y87" s="51">
        <f t="shared" si="691"/>
        <v>0</v>
      </c>
      <c r="Z87" s="46">
        <f t="shared" si="691"/>
        <v>0</v>
      </c>
      <c r="AA87" s="46">
        <f t="shared" si="691"/>
        <v>0</v>
      </c>
      <c r="AB87" s="46">
        <f t="shared" si="691"/>
        <v>0</v>
      </c>
      <c r="AC87" s="91">
        <f t="shared" si="586"/>
        <v>0</v>
      </c>
      <c r="AD87" s="75">
        <f>IF(AM87&lt;&gt;0,1-AR87/AM87,0)</f>
        <v>0.74415744157441577</v>
      </c>
      <c r="AE87" s="93">
        <f t="shared" si="692"/>
        <v>0.74415744157441577</v>
      </c>
      <c r="AF87" s="93">
        <f t="shared" si="692"/>
        <v>0</v>
      </c>
      <c r="AG87" s="76">
        <f t="shared" si="692"/>
        <v>0</v>
      </c>
      <c r="AH87" s="73">
        <f>IF(IFERROR(VLOOKUP($B87 &amp; $C87&amp;AH$4,tblForecast,AH$2,FALSE),0)=0,DB87,IFERROR(VLOOKUP($B87 &amp; $C87&amp;AH$4,tblForecast,AH$2,FALSE),0))</f>
        <v>25.02</v>
      </c>
      <c r="AI87" s="94">
        <f t="shared" si="693"/>
        <v>25.02</v>
      </c>
      <c r="AJ87" s="94">
        <f t="shared" si="693"/>
        <v>0</v>
      </c>
      <c r="AK87" s="49">
        <f>IFERROR(VLOOKUP($B87-IF(CompareVer="LY",1,0) &amp; $C87 &amp;AK$4,tblForecast,AK$2,FALSE),0)</f>
        <v>0</v>
      </c>
      <c r="AL87" s="47">
        <f t="shared" si="492"/>
        <v>0</v>
      </c>
      <c r="AM87" s="73">
        <f>IF(IFERROR(VLOOKUP($B87 &amp; $C87&amp;AM$4,tblForecast,AM$2,FALSE),0)=0,DA87,IFERROR(VLOOKUP($B87 &amp; $C87&amp;AM$4,tblForecast,AM$2,FALSE),0))</f>
        <v>16.260000000000002</v>
      </c>
      <c r="AN87" s="94">
        <f t="shared" si="694"/>
        <v>16.260000000000002</v>
      </c>
      <c r="AO87" s="94">
        <f t="shared" si="694"/>
        <v>0</v>
      </c>
      <c r="AP87" s="49">
        <f>IFERROR(VLOOKUP($B87-IF(CompareVer="LY",1,0) &amp; $C87 &amp;AP$4,tblForecast,AP$2,FALSE),0)</f>
        <v>0</v>
      </c>
      <c r="AQ87" s="47">
        <f t="shared" si="587"/>
        <v>0</v>
      </c>
      <c r="AR87" s="73">
        <f>IF(IFERROR(VLOOKUP($B87 &amp; $C87&amp;AR$4,tblForecast,AR$2,FALSE),0)=0,DC87,IFERROR(VLOOKUP($B87 &amp; $C87&amp;AR$4,tblForecast,AR$2,FALSE),0))</f>
        <v>4.16</v>
      </c>
      <c r="AS87" s="94">
        <f t="shared" si="695"/>
        <v>4.16</v>
      </c>
      <c r="AT87" s="94">
        <f t="shared" si="695"/>
        <v>0</v>
      </c>
      <c r="AU87" s="49">
        <f>IFERROR(VLOOKUP($B87-IF(CompareVer="LY",1,0) &amp; $C87 &amp;AU$4,tblForecast,AU$2,FALSE),0)</f>
        <v>0</v>
      </c>
      <c r="AV87" s="47">
        <f t="shared" si="588"/>
        <v>0</v>
      </c>
      <c r="AW87" s="191">
        <f t="shared" si="696"/>
        <v>0.35011990407673854</v>
      </c>
      <c r="AX87" s="192">
        <f t="shared" si="696"/>
        <v>0.35011990407673854</v>
      </c>
      <c r="AY87" s="192">
        <f t="shared" si="696"/>
        <v>0</v>
      </c>
      <c r="AZ87" s="192">
        <f t="shared" si="696"/>
        <v>0</v>
      </c>
      <c r="BA87" s="235">
        <f>IF(BA86+BV87+BL87+BR87-Q87&lt;0,0,BA86+BV87+BL87+BR87-Q87)</f>
        <v>56712</v>
      </c>
      <c r="BB87" s="231">
        <f>IF(IFERROR(VLOOKUP($B87 &amp; $C87&amp;BB$4,tblForecast,BB$2,FALSE),0)=0,BA87,IFERROR(VLOOKUP($B87 &amp; $C87&amp;BB$4,tblForecast,BB$2,FALSE),0))</f>
        <v>56712</v>
      </c>
      <c r="BC87" s="231">
        <f>IFERROR(VLOOKUP($B87-IF(CompareVer="LY",1,0) &amp; $C87 &amp;BC$4,tblForecast,BC$2,FALSE),0)</f>
        <v>0</v>
      </c>
      <c r="BD87" s="231">
        <f t="shared" si="697"/>
        <v>-1</v>
      </c>
      <c r="BE87" s="194">
        <f t="shared" si="589"/>
        <v>-56713</v>
      </c>
      <c r="BF87" s="231">
        <f>IFERROR(VLOOKUP($B87 &amp; $C87&amp;IF($A87="a",BG$4,BF$4),tblForecast,BF$2,FALSE),0)</f>
        <v>0</v>
      </c>
      <c r="BG87" s="228">
        <f>IFERROR(VLOOKUP($B87-IF(CompareVer="LY",1,0) &amp; $C87 &amp;BG$4,tblForecast,BG$2,FALSE),0)</f>
        <v>0</v>
      </c>
      <c r="BH87" s="179">
        <f>IF(Q87&lt;&gt;0,BA87/Q87,0)</f>
        <v>0</v>
      </c>
      <c r="BI87" s="183">
        <f>IF(T87&lt;&gt;0,BD87/T87,0)</f>
        <v>0</v>
      </c>
      <c r="BJ87" s="195">
        <f t="shared" si="698"/>
        <v>0</v>
      </c>
      <c r="BK87" s="50">
        <f t="shared" si="699"/>
        <v>0</v>
      </c>
      <c r="BL87" s="234">
        <f>IFERROR(VLOOKUP($B87 &amp; $C87&amp;IF($A87="a",BM$4,BL$4),tblForecast,BL$2,FALSE),0)</f>
        <v>0</v>
      </c>
      <c r="BM87" s="228">
        <f>IFERROR(VLOOKUP($B87-IF(CompareVer="LY",1,0) &amp; $C87 &amp;BM$4,tblForecast,BM$2,FALSE),0)</f>
        <v>-1</v>
      </c>
      <c r="BN87" s="234">
        <f>IFERROR(VLOOKUP($B87 &amp; $C87&amp;IF($A87="a",BO$4,BN$4),tblForecast,BN$2,FALSE),0)</f>
        <v>0</v>
      </c>
      <c r="BO87" s="228">
        <f>IFERROR(VLOOKUP($B87-IF(CompareVer="LY",1,0) &amp; $C87 &amp;BO$4,tblForecast,BO$2,FALSE),0)</f>
        <v>0</v>
      </c>
      <c r="BP87" s="234">
        <f>IFERROR(VLOOKUP($B87 &amp; $C87&amp;IF($A87="a",BQ$4,BP$4),tblForecast,BP$2,FALSE),0)</f>
        <v>0</v>
      </c>
      <c r="BQ87" s="228">
        <f>IFERROR(VLOOKUP($B87-IF(CompareVer="LY",1,0) &amp; $C87 &amp;BQ$4,tblForecast,BQ$2,FALSE),0)</f>
        <v>0</v>
      </c>
      <c r="BR87" s="227">
        <f t="shared" si="595"/>
        <v>0</v>
      </c>
      <c r="BS87" s="231">
        <f t="shared" si="595"/>
        <v>0</v>
      </c>
      <c r="BT87" s="234">
        <f t="shared" si="700"/>
        <v>0</v>
      </c>
      <c r="BU87" s="231">
        <f t="shared" si="700"/>
        <v>0</v>
      </c>
      <c r="BV87" s="231">
        <f>IF($A87="a",IFERROR(VLOOKUP($B87 &amp; $C87&amp;BV$4,tblForecast,BV$2,FALSE),0),BT87+BU87)</f>
        <v>0</v>
      </c>
      <c r="BW87" s="231">
        <f t="shared" si="701"/>
        <v>0</v>
      </c>
      <c r="BX87" s="231">
        <f t="shared" si="701"/>
        <v>0</v>
      </c>
      <c r="BY87" s="193">
        <f>IFERROR(VLOOKUP($B87-IF(CompareVer="LY",1,0) &amp; $C87 &amp;BY$4,tblForecast,BY$2,FALSE),0)</f>
        <v>0</v>
      </c>
      <c r="BZ87" s="194">
        <f t="shared" si="590"/>
        <v>0</v>
      </c>
      <c r="CA87" s="337">
        <f t="shared" si="702"/>
        <v>0</v>
      </c>
      <c r="CB87" s="46">
        <f t="shared" si="702"/>
        <v>0</v>
      </c>
      <c r="CC87" s="46">
        <f>IF($A87="a",IFERROR(VLOOKUP($B87 &amp; $C87&amp;CC$4,tblForecast,CC$2,FALSE),0),CA87+CB87)</f>
        <v>0</v>
      </c>
      <c r="CD87" s="46">
        <f t="shared" si="703"/>
        <v>0</v>
      </c>
      <c r="CE87" s="46">
        <f t="shared" si="703"/>
        <v>0</v>
      </c>
      <c r="CF87" s="46">
        <f>IFERROR(VLOOKUP($B87-IF(CompareVer="LY",1,0) &amp; $C87 &amp;CF$4,tblForecast,CF$2,FALSE),0)</f>
        <v>0</v>
      </c>
      <c r="CG87" s="194">
        <f t="shared" si="591"/>
        <v>0</v>
      </c>
      <c r="CH87" s="337">
        <f t="shared" si="704"/>
        <v>0</v>
      </c>
      <c r="CI87" s="46">
        <f t="shared" si="704"/>
        <v>0</v>
      </c>
      <c r="CJ87" s="46">
        <f>IF($A87="a",IFERROR(VLOOKUP($B87 &amp; $C87&amp;CJ$4,tblForecast,CJ$2,FALSE),0),CH87+CI87)</f>
        <v>0</v>
      </c>
      <c r="CK87" s="46">
        <f t="shared" si="705"/>
        <v>0</v>
      </c>
      <c r="CL87" s="46">
        <f t="shared" si="705"/>
        <v>0</v>
      </c>
      <c r="CM87" s="46">
        <f>IFERROR(VLOOKUP($B87-IF(CompareVer="LY",1,0) &amp; $C87 &amp;CM$4,tblForecast,CM$2,FALSE),0)</f>
        <v>0</v>
      </c>
      <c r="CN87" s="194">
        <f t="shared" si="592"/>
        <v>0</v>
      </c>
      <c r="CO87" s="178">
        <f t="shared" si="637"/>
        <v>0</v>
      </c>
      <c r="CP87" s="223">
        <f t="shared" si="637"/>
        <v>0</v>
      </c>
      <c r="CQ87" s="194">
        <f t="shared" si="593"/>
        <v>0</v>
      </c>
      <c r="CR87" s="178">
        <f t="shared" si="596"/>
        <v>0</v>
      </c>
      <c r="CS87" s="223">
        <f t="shared" si="596"/>
        <v>0</v>
      </c>
      <c r="CT87" s="194">
        <f t="shared" si="638"/>
        <v>0</v>
      </c>
      <c r="CU87" s="44"/>
      <c r="CW87" s="102">
        <f>IFERROR(VLOOKUP($B87 &amp; $C87&amp;27,tblForecast,CW$2,FALSE),0)</f>
        <v>0</v>
      </c>
      <c r="CX87" s="48">
        <f>IFERROR(VLOOKUP($B87-IF(CompareVer="LY",1,0) &amp; $C87 &amp;CX$4,tblForecast,CX$2,FALSE),0)</f>
        <v>-1</v>
      </c>
      <c r="CY87" s="47">
        <f t="shared" si="668"/>
        <v>-1</v>
      </c>
      <c r="CZ87" s="278">
        <f>IFERROR(VLOOKUP(Brand&amp;Channel&amp;Country&amp;$C87,tblDiscount,6,FALSE),0)</f>
        <v>0.35</v>
      </c>
      <c r="DA87" s="279">
        <f>(1-CZ87)*DB87</f>
        <v>16.263000000000002</v>
      </c>
      <c r="DB87" s="279">
        <f>IFERROR(VLOOKUP(Brand&amp;Country &amp; Channel &amp;FC,tblFCSettings,8,FALSE),0)</f>
        <v>25.02</v>
      </c>
      <c r="DC87" s="280">
        <f>IFERROR(VLOOKUP(Brand&amp;Country &amp; Channel &amp;FC,tblFCSettings,9,FALSE),0)</f>
        <v>4.16</v>
      </c>
    </row>
    <row r="88" spans="2:107" x14ac:dyDescent="0.25">
      <c r="B88" s="44">
        <v>2019</v>
      </c>
      <c r="C88" s="88">
        <v>8</v>
      </c>
      <c r="D88" s="51">
        <f t="shared" si="706"/>
        <v>-510490.82165999996</v>
      </c>
      <c r="E88" s="202">
        <f t="shared" si="707"/>
        <v>-204155.70315599997</v>
      </c>
      <c r="F88" s="182">
        <f t="shared" si="599"/>
        <v>0.39992041872982576</v>
      </c>
      <c r="G88" s="176">
        <f t="shared" si="688"/>
        <v>-3426</v>
      </c>
      <c r="H88" s="203">
        <f t="shared" si="688"/>
        <v>149.00491</v>
      </c>
      <c r="I88" s="203">
        <f t="shared" si="688"/>
        <v>89.414804000000004</v>
      </c>
      <c r="J88" s="176">
        <f>IFERROR(VLOOKUP($B88 &amp; $C88&amp;J$4&amp;$A88,tblForecast,J$2,FALSE),0)+IFERROR(VLOOKUP($B88 &amp; $C88 &amp; J$4 &amp; $A88,tblForecast,J$2+1,FALSE),0)</f>
        <v>28113</v>
      </c>
      <c r="K88" s="300">
        <f>IFERROR(VLOOKUP($B88 &amp; $C88&amp;K$4&amp;$A88,tblForecast,K$2,FALSE),0)+IFERROR(VLOOKUP($B88 &amp; $C88&amp;K$4&amp;$A88,tblForecast,K$2+1,FALSE),0)</f>
        <v>0</v>
      </c>
      <c r="L88" s="90">
        <f>Q88*AM88</f>
        <v>0</v>
      </c>
      <c r="M88" s="90">
        <f t="shared" si="689"/>
        <v>0</v>
      </c>
      <c r="N88" s="46">
        <f t="shared" si="689"/>
        <v>0</v>
      </c>
      <c r="O88" s="46">
        <f t="shared" si="689"/>
        <v>0</v>
      </c>
      <c r="P88" s="47">
        <f t="shared" si="594"/>
        <v>0</v>
      </c>
      <c r="Q88" s="242">
        <f t="shared" si="708"/>
        <v>0</v>
      </c>
      <c r="R88" s="240">
        <f t="shared" si="690"/>
        <v>0</v>
      </c>
      <c r="S88" s="240">
        <f t="shared" si="690"/>
        <v>0</v>
      </c>
      <c r="T88" s="240">
        <f>IFERROR(VLOOKUP($B88-IF(CompareVer="LY",1,0) &amp; $C88 &amp;T$4,tblForecast,T$2,FALSE),0)</f>
        <v>0</v>
      </c>
      <c r="U88" s="91">
        <f t="shared" si="585"/>
        <v>0</v>
      </c>
      <c r="V88" s="249">
        <f t="shared" si="709"/>
        <v>0</v>
      </c>
      <c r="W88" s="334">
        <f t="shared" si="710"/>
        <v>0</v>
      </c>
      <c r="X88" s="250">
        <f t="shared" si="711"/>
        <v>0</v>
      </c>
      <c r="Y88" s="51">
        <f t="shared" si="691"/>
        <v>0</v>
      </c>
      <c r="Z88" s="46">
        <f t="shared" si="691"/>
        <v>0</v>
      </c>
      <c r="AA88" s="46">
        <f t="shared" si="691"/>
        <v>0</v>
      </c>
      <c r="AB88" s="46">
        <f t="shared" si="691"/>
        <v>0</v>
      </c>
      <c r="AC88" s="91">
        <f t="shared" si="586"/>
        <v>0</v>
      </c>
      <c r="AD88" s="75">
        <f>IF(AM88&lt;&gt;0,1-AR88/AM88,0)</f>
        <v>0.72285143237841432</v>
      </c>
      <c r="AE88" s="93">
        <f t="shared" si="692"/>
        <v>0.72285143237841432</v>
      </c>
      <c r="AF88" s="93">
        <f t="shared" si="692"/>
        <v>0</v>
      </c>
      <c r="AG88" s="76">
        <f t="shared" si="692"/>
        <v>0</v>
      </c>
      <c r="AH88" s="73">
        <f>IF(IFERROR(VLOOKUP($B88 &amp; $C88&amp;AH$4,tblForecast,AH$2,FALSE),0)=0,DB88,IFERROR(VLOOKUP($B88 &amp; $C88&amp;AH$4,tblForecast,AH$2,FALSE),0))</f>
        <v>25.02</v>
      </c>
      <c r="AI88" s="94">
        <f t="shared" si="693"/>
        <v>25.02</v>
      </c>
      <c r="AJ88" s="94">
        <f t="shared" si="693"/>
        <v>0</v>
      </c>
      <c r="AK88" s="49">
        <f>IFERROR(VLOOKUP($B88-IF(CompareVer="LY",1,0) &amp; $C88 &amp;AK$4,tblForecast,AK$2,FALSE),0)</f>
        <v>0</v>
      </c>
      <c r="AL88" s="47">
        <f t="shared" si="492"/>
        <v>0</v>
      </c>
      <c r="AM88" s="73">
        <f>IF(IFERROR(VLOOKUP($B88 &amp; $C88&amp;AM$4,tblForecast,AM$2,FALSE),0)=0,DA88,IFERROR(VLOOKUP($B88 &amp; $C88&amp;AM$4,tblForecast,AM$2,FALSE),0))</f>
        <v>15.01</v>
      </c>
      <c r="AN88" s="94">
        <f t="shared" si="694"/>
        <v>15.01</v>
      </c>
      <c r="AO88" s="94">
        <f t="shared" si="694"/>
        <v>0</v>
      </c>
      <c r="AP88" s="49">
        <f>IFERROR(VLOOKUP($B88-IF(CompareVer="LY",1,0) &amp; $C88 &amp;AP$4,tblForecast,AP$2,FALSE),0)</f>
        <v>0</v>
      </c>
      <c r="AQ88" s="47">
        <f t="shared" si="587"/>
        <v>0</v>
      </c>
      <c r="AR88" s="73">
        <f>IF(IFERROR(VLOOKUP($B88 &amp; $C88&amp;AR$4,tblForecast,AR$2,FALSE),0)=0,DC88,IFERROR(VLOOKUP($B88 &amp; $C88&amp;AR$4,tblForecast,AR$2,FALSE),0))</f>
        <v>4.16</v>
      </c>
      <c r="AS88" s="94">
        <f t="shared" si="695"/>
        <v>4.16</v>
      </c>
      <c r="AT88" s="94">
        <f t="shared" si="695"/>
        <v>0</v>
      </c>
      <c r="AU88" s="49">
        <f>IFERROR(VLOOKUP($B88-IF(CompareVer="LY",1,0) &amp; $C88 &amp;AU$4,tblForecast,AU$2,FALSE),0)</f>
        <v>0</v>
      </c>
      <c r="AV88" s="47">
        <f t="shared" si="588"/>
        <v>0</v>
      </c>
      <c r="AW88" s="191">
        <f t="shared" si="696"/>
        <v>0.4000799360511591</v>
      </c>
      <c r="AX88" s="192">
        <f t="shared" si="696"/>
        <v>0.4000799360511591</v>
      </c>
      <c r="AY88" s="192">
        <f t="shared" si="696"/>
        <v>0</v>
      </c>
      <c r="AZ88" s="192">
        <f t="shared" si="696"/>
        <v>0</v>
      </c>
      <c r="BA88" s="235">
        <f>IF(BA87+BV88+BL88+BR88-Q88&lt;0,0,BA87+BV88+BL88+BR88-Q88)</f>
        <v>56712</v>
      </c>
      <c r="BB88" s="231">
        <f>IF(IFERROR(VLOOKUP($B88 &amp; $C88&amp;BB$4,tblForecast,BB$2,FALSE),0)=0,BA88,IFERROR(VLOOKUP($B88 &amp; $C88&amp;BB$4,tblForecast,BB$2,FALSE),0))</f>
        <v>56712</v>
      </c>
      <c r="BC88" s="231">
        <f>IFERROR(VLOOKUP($B88-IF(CompareVer="LY",1,0) &amp; $C88 &amp;BC$4,tblForecast,BC$2,FALSE),0)</f>
        <v>0</v>
      </c>
      <c r="BD88" s="231">
        <f t="shared" si="697"/>
        <v>-1</v>
      </c>
      <c r="BE88" s="194">
        <f t="shared" si="589"/>
        <v>-56713</v>
      </c>
      <c r="BF88" s="231">
        <f>IFERROR(VLOOKUP($B88 &amp; $C88&amp;IF($A88="a",BG$4,BF$4),tblForecast,BF$2,FALSE),0)</f>
        <v>0</v>
      </c>
      <c r="BG88" s="228">
        <f>IFERROR(VLOOKUP($B88-IF(CompareVer="LY",1,0) &amp; $C88 &amp;BG$4,tblForecast,BG$2,FALSE),0)</f>
        <v>0</v>
      </c>
      <c r="BH88" s="179">
        <f>IF(Q88&lt;&gt;0,BA88/Q88,0)</f>
        <v>0</v>
      </c>
      <c r="BI88" s="183">
        <f>IF(T88&lt;&gt;0,BD88/T88,0)</f>
        <v>0</v>
      </c>
      <c r="BJ88" s="195">
        <f t="shared" si="698"/>
        <v>0</v>
      </c>
      <c r="BK88" s="50">
        <f t="shared" si="699"/>
        <v>0</v>
      </c>
      <c r="BL88" s="234">
        <f>IFERROR(VLOOKUP($B88 &amp; $C88&amp;IF($A88="a",BM$4,BL$4),tblForecast,BL$2,FALSE),0)</f>
        <v>0</v>
      </c>
      <c r="BM88" s="228">
        <f>IFERROR(VLOOKUP($B88-IF(CompareVer="LY",1,0) &amp; $C88 &amp;BM$4,tblForecast,BM$2,FALSE),0)</f>
        <v>0</v>
      </c>
      <c r="BN88" s="234">
        <f>IFERROR(VLOOKUP($B88 &amp; $C88&amp;IF($A88="a",BO$4,BN$4),tblForecast,BN$2,FALSE),0)</f>
        <v>0</v>
      </c>
      <c r="BO88" s="228">
        <f>IFERROR(VLOOKUP($B88-IF(CompareVer="LY",1,0) &amp; $C88 &amp;BO$4,tblForecast,BO$2,FALSE),0)</f>
        <v>0</v>
      </c>
      <c r="BP88" s="234">
        <f>IFERROR(VLOOKUP($B88 &amp; $C88&amp;IF($A88="a",BQ$4,BP$4),tblForecast,BP$2,FALSE),0)</f>
        <v>0</v>
      </c>
      <c r="BQ88" s="228">
        <f>IFERROR(VLOOKUP($B88-IF(CompareVer="LY",1,0) &amp; $C88 &amp;BQ$4,tblForecast,BQ$2,FALSE),0)</f>
        <v>0</v>
      </c>
      <c r="BR88" s="227">
        <f t="shared" si="595"/>
        <v>0</v>
      </c>
      <c r="BS88" s="231">
        <f t="shared" si="595"/>
        <v>0</v>
      </c>
      <c r="BT88" s="234">
        <f t="shared" si="700"/>
        <v>0</v>
      </c>
      <c r="BU88" s="231">
        <f t="shared" si="700"/>
        <v>0</v>
      </c>
      <c r="BV88" s="231">
        <f>IF($A88="a",IFERROR(VLOOKUP($B88 &amp; $C88&amp;BV$4,tblForecast,BV$2,FALSE),0),BT88+BU88)</f>
        <v>0</v>
      </c>
      <c r="BW88" s="231">
        <f t="shared" si="701"/>
        <v>0</v>
      </c>
      <c r="BX88" s="231">
        <f t="shared" si="701"/>
        <v>0</v>
      </c>
      <c r="BY88" s="193">
        <f>IFERROR(VLOOKUP($B88-IF(CompareVer="LY",1,0) &amp; $C88 &amp;BY$4,tblForecast,BY$2,FALSE),0)</f>
        <v>0</v>
      </c>
      <c r="BZ88" s="194">
        <f t="shared" si="590"/>
        <v>0</v>
      </c>
      <c r="CA88" s="337">
        <f t="shared" si="702"/>
        <v>0</v>
      </c>
      <c r="CB88" s="46">
        <f t="shared" si="702"/>
        <v>0</v>
      </c>
      <c r="CC88" s="46">
        <f>IF($A88="a",IFERROR(VLOOKUP($B88 &amp; $C88&amp;CC$4,tblForecast,CC$2,FALSE),0),CA88+CB88)</f>
        <v>0</v>
      </c>
      <c r="CD88" s="46">
        <f t="shared" si="703"/>
        <v>0</v>
      </c>
      <c r="CE88" s="46">
        <f t="shared" si="703"/>
        <v>0</v>
      </c>
      <c r="CF88" s="46">
        <f>IFERROR(VLOOKUP($B88-IF(CompareVer="LY",1,0) &amp; $C88 &amp;CF$4,tblForecast,CF$2,FALSE),0)</f>
        <v>0</v>
      </c>
      <c r="CG88" s="194">
        <f t="shared" si="591"/>
        <v>0</v>
      </c>
      <c r="CH88" s="337">
        <f t="shared" si="704"/>
        <v>0</v>
      </c>
      <c r="CI88" s="46">
        <f t="shared" si="704"/>
        <v>0</v>
      </c>
      <c r="CJ88" s="46">
        <f>IF($A88="a",IFERROR(VLOOKUP($B88 &amp; $C88&amp;CJ$4,tblForecast,CJ$2,FALSE),0),CH88+CI88)</f>
        <v>0</v>
      </c>
      <c r="CK88" s="46">
        <f t="shared" si="705"/>
        <v>0</v>
      </c>
      <c r="CL88" s="46">
        <f t="shared" si="705"/>
        <v>0</v>
      </c>
      <c r="CM88" s="46">
        <f>IFERROR(VLOOKUP($B88-IF(CompareVer="LY",1,0) &amp; $C88 &amp;CM$4,tblForecast,CM$2,FALSE),0)</f>
        <v>0</v>
      </c>
      <c r="CN88" s="194">
        <f t="shared" si="592"/>
        <v>0</v>
      </c>
      <c r="CO88" s="178">
        <f t="shared" si="637"/>
        <v>0</v>
      </c>
      <c r="CP88" s="223">
        <f t="shared" si="637"/>
        <v>0</v>
      </c>
      <c r="CQ88" s="194">
        <f t="shared" si="593"/>
        <v>0</v>
      </c>
      <c r="CR88" s="178">
        <f t="shared" si="596"/>
        <v>0</v>
      </c>
      <c r="CS88" s="223">
        <f t="shared" si="596"/>
        <v>0</v>
      </c>
      <c r="CT88" s="194">
        <f t="shared" si="638"/>
        <v>0</v>
      </c>
      <c r="CU88" s="44"/>
      <c r="CW88" s="102">
        <f>IFERROR(VLOOKUP($B88 &amp; $C88&amp;27,tblForecast,CW$2,FALSE),0)</f>
        <v>0</v>
      </c>
      <c r="CX88" s="48">
        <f>IFERROR(VLOOKUP($B88-IF(CompareVer="LY",1,0) &amp; $C88 &amp;CX$4,tblForecast,CX$2,FALSE),0)</f>
        <v>-1</v>
      </c>
      <c r="CY88" s="47">
        <f t="shared" si="668"/>
        <v>-1</v>
      </c>
      <c r="CZ88" s="278">
        <f>IFERROR(VLOOKUP(Brand&amp;Channel&amp;Country&amp;$C88,tblDiscount,6,FALSE),0)</f>
        <v>0.4</v>
      </c>
      <c r="DA88" s="279">
        <f>(1-CZ88)*DB88</f>
        <v>15.011999999999999</v>
      </c>
      <c r="DB88" s="279">
        <f>IFERROR(VLOOKUP(Brand&amp;Country &amp; Channel &amp;FC,tblFCSettings,8,FALSE),0)</f>
        <v>25.02</v>
      </c>
      <c r="DC88" s="280">
        <f>IFERROR(VLOOKUP(Brand&amp;Country &amp; Channel &amp;FC,tblFCSettings,9,FALSE),0)</f>
        <v>4.16</v>
      </c>
    </row>
    <row r="89" spans="2:107" ht="16.5" thickBot="1" x14ac:dyDescent="0.3">
      <c r="B89" s="44">
        <v>2019</v>
      </c>
      <c r="C89" s="88">
        <v>9</v>
      </c>
      <c r="D89" s="51">
        <f t="shared" si="706"/>
        <v>-447615.55963999999</v>
      </c>
      <c r="E89" s="202">
        <f t="shared" si="707"/>
        <v>-179010.60172000001</v>
      </c>
      <c r="F89" s="182">
        <f t="shared" si="599"/>
        <v>0.39992041801221423</v>
      </c>
      <c r="G89" s="176">
        <f t="shared" si="688"/>
        <v>-5630</v>
      </c>
      <c r="H89" s="203">
        <f t="shared" si="688"/>
        <v>79.505427999999995</v>
      </c>
      <c r="I89" s="203">
        <f t="shared" si="688"/>
        <v>47.709584</v>
      </c>
      <c r="J89" s="176">
        <f>IFERROR(VLOOKUP($B89 &amp; $C89&amp;J$4&amp;$A89,tblForecast,J$2,FALSE),0)+IFERROR(VLOOKUP($B89 &amp; $C89 &amp; J$4 &amp; $A89,tblForecast,J$2+1,FALSE),0)</f>
        <v>26562</v>
      </c>
      <c r="K89" s="300">
        <f>IFERROR(VLOOKUP($B89 &amp; $C89&amp;K$4&amp;$A89,tblForecast,K$2,FALSE),0)+IFERROR(VLOOKUP($B89 &amp; $C89&amp;K$4&amp;$A89,tblForecast,K$2+1,FALSE),0)</f>
        <v>0</v>
      </c>
      <c r="L89" s="90">
        <f>Q89*AM89</f>
        <v>0</v>
      </c>
      <c r="M89" s="90">
        <f t="shared" si="689"/>
        <v>0</v>
      </c>
      <c r="N89" s="46">
        <f t="shared" si="689"/>
        <v>0</v>
      </c>
      <c r="O89" s="46">
        <f t="shared" si="689"/>
        <v>0</v>
      </c>
      <c r="P89" s="47">
        <f t="shared" si="594"/>
        <v>0</v>
      </c>
      <c r="Q89" s="242">
        <f t="shared" si="708"/>
        <v>0</v>
      </c>
      <c r="R89" s="240">
        <f t="shared" si="690"/>
        <v>0</v>
      </c>
      <c r="S89" s="240">
        <f t="shared" si="690"/>
        <v>0</v>
      </c>
      <c r="T89" s="240">
        <f>IFERROR(VLOOKUP($B89-IF(CompareVer="LY",1,0) &amp; $C89 &amp;T$4,tblForecast,T$2,FALSE),0)</f>
        <v>0</v>
      </c>
      <c r="U89" s="91">
        <f t="shared" si="585"/>
        <v>0</v>
      </c>
      <c r="V89" s="249">
        <f t="shared" si="709"/>
        <v>0</v>
      </c>
      <c r="W89" s="334">
        <f t="shared" si="710"/>
        <v>0</v>
      </c>
      <c r="X89" s="250">
        <f t="shared" si="711"/>
        <v>0</v>
      </c>
      <c r="Y89" s="51">
        <f t="shared" si="691"/>
        <v>0</v>
      </c>
      <c r="Z89" s="46">
        <f t="shared" si="691"/>
        <v>0</v>
      </c>
      <c r="AA89" s="46">
        <f t="shared" si="691"/>
        <v>0</v>
      </c>
      <c r="AB89" s="46">
        <f t="shared" si="691"/>
        <v>0</v>
      </c>
      <c r="AC89" s="91">
        <f t="shared" si="586"/>
        <v>0</v>
      </c>
      <c r="AD89" s="75">
        <f>IF(AM89&lt;&gt;0,1-AR89/AM89,0)</f>
        <v>0.72285143237841432</v>
      </c>
      <c r="AE89" s="93">
        <f t="shared" si="692"/>
        <v>0.72285143237841432</v>
      </c>
      <c r="AF89" s="93">
        <f t="shared" si="692"/>
        <v>0</v>
      </c>
      <c r="AG89" s="76">
        <f t="shared" si="692"/>
        <v>0</v>
      </c>
      <c r="AH89" s="73">
        <f>IF(IFERROR(VLOOKUP($B89 &amp; $C89&amp;AH$4,tblForecast,AH$2,FALSE),0)=0,DB89,IFERROR(VLOOKUP($B89 &amp; $C89&amp;AH$4,tblForecast,AH$2,FALSE),0))</f>
        <v>25.02</v>
      </c>
      <c r="AI89" s="94">
        <f t="shared" si="693"/>
        <v>25.02</v>
      </c>
      <c r="AJ89" s="94">
        <f t="shared" si="693"/>
        <v>0</v>
      </c>
      <c r="AK89" s="49">
        <f>IFERROR(VLOOKUP($B89-IF(CompareVer="LY",1,0) &amp; $C89 &amp;AK$4,tblForecast,AK$2,FALSE),0)</f>
        <v>0</v>
      </c>
      <c r="AL89" s="47">
        <f t="shared" si="492"/>
        <v>0</v>
      </c>
      <c r="AM89" s="73">
        <f>IF(IFERROR(VLOOKUP($B89 &amp; $C89&amp;AM$4,tblForecast,AM$2,FALSE),0)=0,DA89,IFERROR(VLOOKUP($B89 &amp; $C89&amp;AM$4,tblForecast,AM$2,FALSE),0))</f>
        <v>15.01</v>
      </c>
      <c r="AN89" s="94">
        <f t="shared" si="694"/>
        <v>15.01</v>
      </c>
      <c r="AO89" s="94">
        <f t="shared" si="694"/>
        <v>0</v>
      </c>
      <c r="AP89" s="49">
        <f>IFERROR(VLOOKUP($B89-IF(CompareVer="LY",1,0) &amp; $C89 &amp;AP$4,tblForecast,AP$2,FALSE),0)</f>
        <v>0</v>
      </c>
      <c r="AQ89" s="47">
        <f t="shared" si="587"/>
        <v>0</v>
      </c>
      <c r="AR89" s="73">
        <f>IF(IFERROR(VLOOKUP($B89 &amp; $C89&amp;AR$4,tblForecast,AR$2,FALSE),0)=0,DC89,IFERROR(VLOOKUP($B89 &amp; $C89&amp;AR$4,tblForecast,AR$2,FALSE),0))</f>
        <v>4.16</v>
      </c>
      <c r="AS89" s="94">
        <f t="shared" si="695"/>
        <v>4.16</v>
      </c>
      <c r="AT89" s="94">
        <f t="shared" si="695"/>
        <v>0</v>
      </c>
      <c r="AU89" s="49">
        <f>IFERROR(VLOOKUP($B89-IF(CompareVer="LY",1,0) &amp; $C89 &amp;AU$4,tblForecast,AU$2,FALSE),0)</f>
        <v>0</v>
      </c>
      <c r="AV89" s="47">
        <f t="shared" si="588"/>
        <v>0</v>
      </c>
      <c r="AW89" s="191">
        <f t="shared" si="696"/>
        <v>0.4000799360511591</v>
      </c>
      <c r="AX89" s="192">
        <f t="shared" si="696"/>
        <v>0.4000799360511591</v>
      </c>
      <c r="AY89" s="192">
        <f t="shared" si="696"/>
        <v>0</v>
      </c>
      <c r="AZ89" s="192">
        <f t="shared" si="696"/>
        <v>0</v>
      </c>
      <c r="BA89" s="235">
        <f>IF(BA88+BV89+BL89+BR89-Q89&lt;0,0,BA88+BV89+BL89+BR89-Q89)</f>
        <v>56712</v>
      </c>
      <c r="BB89" s="231">
        <f>IF(IFERROR(VLOOKUP($B89 &amp; $C89&amp;BB$4,tblForecast,BB$2,FALSE),0)=0,BA89,IFERROR(VLOOKUP($B89 &amp; $C89&amp;BB$4,tblForecast,BB$2,FALSE),0))</f>
        <v>56712</v>
      </c>
      <c r="BC89" s="231">
        <f>IFERROR(VLOOKUP($B89-IF(CompareVer="LY",1,0) &amp; $C89 &amp;BC$4,tblForecast,BC$2,FALSE),0)</f>
        <v>0</v>
      </c>
      <c r="BD89" s="231">
        <f t="shared" si="697"/>
        <v>-1</v>
      </c>
      <c r="BE89" s="194">
        <f t="shared" si="589"/>
        <v>-56713</v>
      </c>
      <c r="BF89" s="231">
        <f>IFERROR(VLOOKUP($B89 &amp; $C89&amp;IF($A89="a",BG$4,BF$4),tblForecast,BF$2,FALSE),0)</f>
        <v>0</v>
      </c>
      <c r="BG89" s="228">
        <f>IFERROR(VLOOKUP($B89-IF(CompareVer="LY",1,0) &amp; $C89 &amp;BG$4,tblForecast,BG$2,FALSE),0)</f>
        <v>0</v>
      </c>
      <c r="BH89" s="179">
        <f>IF(Q89&lt;&gt;0,BA89/Q89,0)</f>
        <v>0</v>
      </c>
      <c r="BI89" s="183">
        <f>IF(T89&lt;&gt;0,BD89/T89,0)</f>
        <v>0</v>
      </c>
      <c r="BJ89" s="195">
        <f t="shared" si="698"/>
        <v>0</v>
      </c>
      <c r="BK89" s="50">
        <f t="shared" si="699"/>
        <v>0</v>
      </c>
      <c r="BL89" s="234">
        <f>IFERROR(VLOOKUP($B89 &amp; $C89&amp;IF($A89="a",BM$4,BL$4),tblForecast,BL$2,FALSE),0)</f>
        <v>0</v>
      </c>
      <c r="BM89" s="228">
        <f>IFERROR(VLOOKUP($B89-IF(CompareVer="LY",1,0) &amp; $C89 &amp;BM$4,tblForecast,BM$2,FALSE),0)</f>
        <v>0</v>
      </c>
      <c r="BN89" s="234">
        <f>IFERROR(VLOOKUP($B89 &amp; $C89&amp;IF($A89="a",BO$4,BN$4),tblForecast,BN$2,FALSE),0)</f>
        <v>0</v>
      </c>
      <c r="BO89" s="228">
        <f>IFERROR(VLOOKUP($B89-IF(CompareVer="LY",1,0) &amp; $C89 &amp;BO$4,tblForecast,BO$2,FALSE),0)</f>
        <v>0</v>
      </c>
      <c r="BP89" s="234">
        <f>IFERROR(VLOOKUP($B89 &amp; $C89&amp;IF($A89="a",BQ$4,BP$4),tblForecast,BP$2,FALSE),0)</f>
        <v>0</v>
      </c>
      <c r="BQ89" s="228">
        <f>IFERROR(VLOOKUP($B89-IF(CompareVer="LY",1,0) &amp; $C89 &amp;BQ$4,tblForecast,BQ$2,FALSE),0)</f>
        <v>0</v>
      </c>
      <c r="BR89" s="227">
        <f t="shared" si="595"/>
        <v>0</v>
      </c>
      <c r="BS89" s="231">
        <f t="shared" si="595"/>
        <v>0</v>
      </c>
      <c r="BT89" s="234">
        <f t="shared" si="700"/>
        <v>0</v>
      </c>
      <c r="BU89" s="231">
        <f t="shared" si="700"/>
        <v>0</v>
      </c>
      <c r="BV89" s="231">
        <f>IF($A89="a",IFERROR(VLOOKUP($B89 &amp; $C89&amp;BV$4,tblForecast,BV$2,FALSE),0),BT89+BU89)</f>
        <v>0</v>
      </c>
      <c r="BW89" s="231">
        <f t="shared" si="701"/>
        <v>0</v>
      </c>
      <c r="BX89" s="231">
        <f t="shared" si="701"/>
        <v>0</v>
      </c>
      <c r="BY89" s="193">
        <f>IFERROR(VLOOKUP($B89-IF(CompareVer="LY",1,0) &amp; $C89 &amp;BY$4,tblForecast,BY$2,FALSE),0)</f>
        <v>0</v>
      </c>
      <c r="BZ89" s="194">
        <f t="shared" si="590"/>
        <v>0</v>
      </c>
      <c r="CA89" s="337">
        <f t="shared" si="702"/>
        <v>0</v>
      </c>
      <c r="CB89" s="46">
        <f t="shared" si="702"/>
        <v>0</v>
      </c>
      <c r="CC89" s="46">
        <f>IF($A89="a",IFERROR(VLOOKUP($B89 &amp; $C89&amp;CC$4,tblForecast,CC$2,FALSE),0),CA89+CB89)</f>
        <v>0</v>
      </c>
      <c r="CD89" s="46">
        <f t="shared" si="703"/>
        <v>0</v>
      </c>
      <c r="CE89" s="46">
        <f t="shared" si="703"/>
        <v>0</v>
      </c>
      <c r="CF89" s="46">
        <f>IFERROR(VLOOKUP($B89-IF(CompareVer="LY",1,0) &amp; $C89 &amp;CF$4,tblForecast,CF$2,FALSE),0)</f>
        <v>0</v>
      </c>
      <c r="CG89" s="194">
        <f t="shared" si="591"/>
        <v>0</v>
      </c>
      <c r="CH89" s="337">
        <f t="shared" si="704"/>
        <v>0</v>
      </c>
      <c r="CI89" s="46">
        <f t="shared" si="704"/>
        <v>0</v>
      </c>
      <c r="CJ89" s="46">
        <f>IF($A89="a",IFERROR(VLOOKUP($B89 &amp; $C89&amp;CJ$4,tblForecast,CJ$2,FALSE),0),CH89+CI89)</f>
        <v>0</v>
      </c>
      <c r="CK89" s="46">
        <f t="shared" si="705"/>
        <v>0</v>
      </c>
      <c r="CL89" s="46">
        <f t="shared" si="705"/>
        <v>0</v>
      </c>
      <c r="CM89" s="46">
        <f>IFERROR(VLOOKUP($B89-IF(CompareVer="LY",1,0) &amp; $C89 &amp;CM$4,tblForecast,CM$2,FALSE),0)</f>
        <v>0</v>
      </c>
      <c r="CN89" s="194">
        <f t="shared" si="592"/>
        <v>0</v>
      </c>
      <c r="CO89" s="178">
        <f t="shared" si="637"/>
        <v>0</v>
      </c>
      <c r="CP89" s="223">
        <f t="shared" si="637"/>
        <v>0</v>
      </c>
      <c r="CQ89" s="194">
        <f t="shared" si="593"/>
        <v>0</v>
      </c>
      <c r="CR89" s="178">
        <f t="shared" si="596"/>
        <v>0</v>
      </c>
      <c r="CS89" s="223">
        <f t="shared" si="596"/>
        <v>0</v>
      </c>
      <c r="CT89" s="194">
        <f t="shared" si="638"/>
        <v>0</v>
      </c>
      <c r="CU89" s="44"/>
      <c r="CW89" s="102">
        <f>IFERROR(VLOOKUP($B89 &amp; $C89&amp;27,tblForecast,CW$2,FALSE),0)</f>
        <v>0</v>
      </c>
      <c r="CX89" s="48">
        <f>IFERROR(VLOOKUP($B89-IF(CompareVer="LY",1,0) &amp; $C89 &amp;CX$4,tblForecast,CX$2,FALSE),0)</f>
        <v>-1</v>
      </c>
      <c r="CY89" s="47">
        <f t="shared" si="668"/>
        <v>-1</v>
      </c>
      <c r="CZ89" s="278">
        <f>IFERROR(VLOOKUP(Brand&amp;Channel&amp;Country&amp;$C89,tblDiscount,6,FALSE),0)</f>
        <v>0.4</v>
      </c>
      <c r="DA89" s="279">
        <f>(1-CZ89)*DB89</f>
        <v>15.011999999999999</v>
      </c>
      <c r="DB89" s="279">
        <f>IFERROR(VLOOKUP(Brand&amp;Country &amp; Channel &amp;FC,tblFCSettings,8,FALSE),0)</f>
        <v>25.02</v>
      </c>
      <c r="DC89" s="280">
        <f>IFERROR(VLOOKUP(Brand&amp;Country &amp; Channel &amp;FC,tblFCSettings,9,FALSE),0)</f>
        <v>4.16</v>
      </c>
    </row>
    <row r="90" spans="2:107" ht="16.5" thickBot="1" x14ac:dyDescent="0.3">
      <c r="C90" s="253" t="s">
        <v>22</v>
      </c>
      <c r="D90" s="254">
        <f>SUM(D85:D89)</f>
        <v>-10353886.802093001</v>
      </c>
      <c r="E90" s="255">
        <f>SUM(E85:E89)</f>
        <v>-3673372.0055440003</v>
      </c>
      <c r="F90" s="256">
        <f t="shared" si="599"/>
        <v>0.35478193607461916</v>
      </c>
      <c r="G90" s="257">
        <f>SUM(G85:G89)</f>
        <v>-348722</v>
      </c>
      <c r="H90" s="258">
        <f>IFERROR(D90/G90,0)</f>
        <v>29.690948096457927</v>
      </c>
      <c r="I90" s="258">
        <f>IFERROR(SUMPRODUCT(I85:I89,G85:G89)/G90,0)</f>
        <v>19.157136046905556</v>
      </c>
      <c r="J90" s="257">
        <f>SUM(J85:J89)</f>
        <v>181561</v>
      </c>
      <c r="K90" s="301">
        <f>SUM(K85:K89)</f>
        <v>0</v>
      </c>
      <c r="L90" s="259">
        <f>SUM(L85:L89)</f>
        <v>0</v>
      </c>
      <c r="M90" s="259">
        <f t="shared" ref="M90:O90" si="712">SUM(M85:M89)</f>
        <v>0</v>
      </c>
      <c r="N90" s="259">
        <f t="shared" si="712"/>
        <v>0</v>
      </c>
      <c r="O90" s="259">
        <f t="shared" si="712"/>
        <v>0</v>
      </c>
      <c r="P90" s="260">
        <f t="shared" si="594"/>
        <v>0</v>
      </c>
      <c r="Q90" s="261">
        <f>SUM(Q85:Q89)</f>
        <v>0</v>
      </c>
      <c r="R90" s="262">
        <f t="shared" ref="R90:S90" si="713">SUM(R85:R89)</f>
        <v>0</v>
      </c>
      <c r="S90" s="262">
        <f t="shared" si="713"/>
        <v>0</v>
      </c>
      <c r="T90" s="262">
        <f>SUM(T85:T89)</f>
        <v>0</v>
      </c>
      <c r="U90" s="260">
        <f t="shared" si="585"/>
        <v>0</v>
      </c>
      <c r="V90" s="263">
        <f>V89</f>
        <v>0</v>
      </c>
      <c r="W90" s="332">
        <f>W89</f>
        <v>0</v>
      </c>
      <c r="X90" s="264">
        <f>X89</f>
        <v>0</v>
      </c>
      <c r="Y90" s="254">
        <f>SUM(Y85:Y89)</f>
        <v>0</v>
      </c>
      <c r="Z90" s="259">
        <f t="shared" ref="Z90:AB90" si="714">SUM(Z85:Z89)</f>
        <v>0</v>
      </c>
      <c r="AA90" s="259">
        <f t="shared" si="714"/>
        <v>0</v>
      </c>
      <c r="AB90" s="259">
        <f t="shared" si="714"/>
        <v>0</v>
      </c>
      <c r="AC90" s="260">
        <f t="shared" si="586"/>
        <v>0</v>
      </c>
      <c r="AD90" s="265">
        <f>IFERROR(Y90/L90,0)</f>
        <v>0</v>
      </c>
      <c r="AE90" s="266">
        <f>IFERROR(Z90/M90,0)</f>
        <v>0</v>
      </c>
      <c r="AF90" s="266">
        <f>IFERROR(AA90/N90,0)</f>
        <v>0</v>
      </c>
      <c r="AG90" s="266">
        <f>IFERROR(AB90/O90,0)</f>
        <v>0</v>
      </c>
      <c r="AH90" s="267">
        <f>IFERROR(SUMPRODUCT(AH85:AH89,Q85:Q89)/Q90,0)</f>
        <v>0</v>
      </c>
      <c r="AI90" s="268">
        <f>IFERROR(SUMPRODUCT(AI85:AI89,R85:R89)/R90,0)</f>
        <v>0</v>
      </c>
      <c r="AJ90" s="268">
        <f>IFERROR(SUMPRODUCT(AJ85:AJ89,S85:S89)/S90,0)</f>
        <v>0</v>
      </c>
      <c r="AK90" s="268">
        <f>IFERROR(SUMPRODUCT(AK85:AK89,T85:T89)/T90,0)</f>
        <v>0</v>
      </c>
      <c r="AL90" s="260">
        <f t="shared" si="492"/>
        <v>0</v>
      </c>
      <c r="AM90" s="267">
        <f>IF(Q90&lt;&gt;0,L90/Q90,0)</f>
        <v>0</v>
      </c>
      <c r="AN90" s="268">
        <f>IF(R90&lt;&gt;0,M90/R90,0)</f>
        <v>0</v>
      </c>
      <c r="AO90" s="268">
        <f>IF(S90&lt;&gt;0,N90/S90,0)</f>
        <v>0</v>
      </c>
      <c r="AP90" s="268">
        <f>IF(T90&lt;&gt;0,O90/T90,0)</f>
        <v>0</v>
      </c>
      <c r="AQ90" s="260">
        <f t="shared" si="587"/>
        <v>0</v>
      </c>
      <c r="AR90" s="267">
        <f>IFERROR((L90*(1-AD90))/Q90,0)</f>
        <v>0</v>
      </c>
      <c r="AS90" s="268">
        <f>IFERROR((M90*(1-AE90))/R90,0)</f>
        <v>0</v>
      </c>
      <c r="AT90" s="268">
        <f>IFERROR((N90*(1-AF90))/S90,0)</f>
        <v>0</v>
      </c>
      <c r="AU90" s="268">
        <f>IFERROR((O90*(1-AG90))/T90,0)</f>
        <v>0</v>
      </c>
      <c r="AV90" s="260">
        <f t="shared" si="588"/>
        <v>0</v>
      </c>
      <c r="AW90" s="269">
        <f>IFERROR(SUMPRODUCT(AW85:AW89,V85:V89)/V90,0)</f>
        <v>0</v>
      </c>
      <c r="AX90" s="270">
        <f t="shared" ref="AX90:AZ90" si="715">IFERROR(SUMPRODUCT(AX85:AX89,X85:X89)/X90,0)</f>
        <v>0</v>
      </c>
      <c r="AY90" s="270">
        <f t="shared" si="715"/>
        <v>0</v>
      </c>
      <c r="AZ90" s="270">
        <f t="shared" si="715"/>
        <v>0</v>
      </c>
      <c r="BA90" s="261">
        <f>BA89</f>
        <v>56712</v>
      </c>
      <c r="BB90" s="262">
        <f t="shared" ref="BB90:BD90" si="716">BB89</f>
        <v>56712</v>
      </c>
      <c r="BC90" s="262">
        <f t="shared" si="716"/>
        <v>0</v>
      </c>
      <c r="BD90" s="262">
        <f t="shared" si="716"/>
        <v>-1</v>
      </c>
      <c r="BE90" s="260">
        <f t="shared" si="589"/>
        <v>-56713</v>
      </c>
      <c r="BF90" s="262">
        <f>BF89</f>
        <v>0</v>
      </c>
      <c r="BG90" s="262">
        <f>BG89</f>
        <v>0</v>
      </c>
      <c r="BH90" s="271">
        <f>IF(Q88&lt;&gt;0,(BA90/Q90),0)</f>
        <v>0</v>
      </c>
      <c r="BI90" s="272">
        <f>IF(T88&lt;&gt;0,(BD90/T88),0)</f>
        <v>0</v>
      </c>
      <c r="BJ90" s="273" t="e">
        <f>IF(BA90&lt;&gt;0,(Q90/COUNTIF(BJ85:BJ89,"&lt;&gt;0"))/BA90,0)</f>
        <v>#DIV/0!</v>
      </c>
      <c r="BK90" s="274" t="e">
        <f>IF(BD90&lt;&gt;0,(T90/COUNTIF(BK85:BK89,"&lt;&gt;0"))/BD90,0)</f>
        <v>#DIV/0!</v>
      </c>
      <c r="BL90" s="261">
        <f t="shared" ref="BL90" si="717">SUM(BL85:BL89)</f>
        <v>0</v>
      </c>
      <c r="BM90" s="262">
        <f>SUM(BM85:BM89)</f>
        <v>-1</v>
      </c>
      <c r="BN90" s="261">
        <f t="shared" ref="BN90:BQ90" si="718">SUM(BN85:BN89)</f>
        <v>0</v>
      </c>
      <c r="BO90" s="262">
        <f t="shared" si="718"/>
        <v>0</v>
      </c>
      <c r="BP90" s="261">
        <f t="shared" si="718"/>
        <v>0</v>
      </c>
      <c r="BQ90" s="262">
        <f t="shared" si="718"/>
        <v>0</v>
      </c>
      <c r="BR90" s="261">
        <f t="shared" si="595"/>
        <v>0</v>
      </c>
      <c r="BS90" s="262">
        <f t="shared" si="595"/>
        <v>0</v>
      </c>
      <c r="BT90" s="261">
        <f t="shared" ref="BT90:BY90" si="719">SUM(BT85:BT89)</f>
        <v>0</v>
      </c>
      <c r="BU90" s="262">
        <f t="shared" si="719"/>
        <v>0</v>
      </c>
      <c r="BV90" s="262">
        <f t="shared" si="719"/>
        <v>0</v>
      </c>
      <c r="BW90" s="262">
        <f t="shared" si="719"/>
        <v>0</v>
      </c>
      <c r="BX90" s="262">
        <f t="shared" si="719"/>
        <v>0</v>
      </c>
      <c r="BY90" s="275">
        <f t="shared" si="719"/>
        <v>0</v>
      </c>
      <c r="BZ90" s="260">
        <f t="shared" si="590"/>
        <v>0</v>
      </c>
      <c r="CA90" s="338">
        <f t="shared" ref="CA90:CF90" si="720">SUM(CA85:CA89)</f>
        <v>0</v>
      </c>
      <c r="CB90" s="259">
        <f t="shared" si="720"/>
        <v>0</v>
      </c>
      <c r="CC90" s="259">
        <f t="shared" si="720"/>
        <v>0</v>
      </c>
      <c r="CD90" s="259">
        <f t="shared" si="720"/>
        <v>0</v>
      </c>
      <c r="CE90" s="259">
        <f t="shared" si="720"/>
        <v>0</v>
      </c>
      <c r="CF90" s="259">
        <f t="shared" si="720"/>
        <v>0</v>
      </c>
      <c r="CG90" s="260">
        <f t="shared" si="591"/>
        <v>0</v>
      </c>
      <c r="CH90" s="338">
        <f t="shared" ref="CH90:CM90" si="721">SUM(CH85:CH89)</f>
        <v>0</v>
      </c>
      <c r="CI90" s="259">
        <f t="shared" si="721"/>
        <v>0</v>
      </c>
      <c r="CJ90" s="259">
        <f t="shared" si="721"/>
        <v>0</v>
      </c>
      <c r="CK90" s="259">
        <f t="shared" si="721"/>
        <v>0</v>
      </c>
      <c r="CL90" s="259">
        <f t="shared" si="721"/>
        <v>0</v>
      </c>
      <c r="CM90" s="259">
        <f t="shared" si="721"/>
        <v>0</v>
      </c>
      <c r="CN90" s="260">
        <f t="shared" si="592"/>
        <v>0</v>
      </c>
      <c r="CO90" s="276">
        <f t="shared" si="637"/>
        <v>0</v>
      </c>
      <c r="CP90" s="277">
        <f t="shared" si="637"/>
        <v>0</v>
      </c>
      <c r="CQ90" s="260">
        <f t="shared" si="593"/>
        <v>0</v>
      </c>
      <c r="CR90" s="276">
        <f t="shared" si="596"/>
        <v>0</v>
      </c>
      <c r="CS90" s="277">
        <f t="shared" si="596"/>
        <v>0</v>
      </c>
      <c r="CT90" s="260">
        <f t="shared" si="638"/>
        <v>0</v>
      </c>
      <c r="CU90" s="44"/>
      <c r="CW90" s="100">
        <f>CW89</f>
        <v>0</v>
      </c>
      <c r="CX90" s="101">
        <f>CX89</f>
        <v>-1</v>
      </c>
      <c r="CY90" s="99">
        <f t="shared" si="668"/>
        <v>-1</v>
      </c>
      <c r="CZ90" s="278"/>
      <c r="DA90" s="279"/>
      <c r="DB90" s="279"/>
      <c r="DC90" s="280"/>
    </row>
    <row r="91" spans="2:107" x14ac:dyDescent="0.25">
      <c r="B91" s="44">
        <v>2019</v>
      </c>
      <c r="C91" s="88">
        <v>10</v>
      </c>
      <c r="D91" s="51">
        <f>G91*H91</f>
        <v>-760132.23734700005</v>
      </c>
      <c r="E91" s="202">
        <f>IFERROR(D91*F91,0)</f>
        <v>-303992.39952899999</v>
      </c>
      <c r="F91" s="182">
        <f t="shared" si="599"/>
        <v>0.39992041462415651</v>
      </c>
      <c r="G91" s="176">
        <f t="shared" ref="G91:I94" si="722">IFERROR(VLOOKUP($B91 &amp; $C91&amp;G$4&amp;$A91,tblForecast,G$2,FALSE),0)</f>
        <v>-18081</v>
      </c>
      <c r="H91" s="203">
        <f t="shared" si="722"/>
        <v>42.040387000000003</v>
      </c>
      <c r="I91" s="203">
        <f t="shared" si="722"/>
        <v>25.227578000000001</v>
      </c>
      <c r="J91" s="176">
        <f>IFERROR(VLOOKUP($B91 &amp; $C91&amp;J$4&amp;$A91,tblForecast,J$2,FALSE),0)+IFERROR(VLOOKUP($B91 &amp; $C91 &amp; J$4 &amp; $A91,tblForecast,J$2+1,FALSE),0)</f>
        <v>24029</v>
      </c>
      <c r="K91" s="300">
        <f>IFERROR(VLOOKUP($B91 &amp; $C91&amp;K$4&amp;$A91,tblForecast,K$2,FALSE),0)+IFERROR(VLOOKUP($B91 &amp; $C91&amp;K$4&amp;$A91,tblForecast,K$2+1,FALSE),0)</f>
        <v>0</v>
      </c>
      <c r="L91" s="90">
        <f>Q91*AM91</f>
        <v>0</v>
      </c>
      <c r="M91" s="90">
        <f t="shared" ref="M91:O94" si="723">R91*AN91</f>
        <v>0</v>
      </c>
      <c r="N91" s="46">
        <f t="shared" si="723"/>
        <v>0</v>
      </c>
      <c r="O91" s="46">
        <f t="shared" si="723"/>
        <v>0</v>
      </c>
      <c r="P91" s="47">
        <f t="shared" si="594"/>
        <v>0</v>
      </c>
      <c r="Q91" s="242">
        <f>ROUND(IF(BA89-(Q89*IF(W91=0,X91,W91))&lt;0,BA89,Q89*IF(W91=0,X91,W91)),0)</f>
        <v>0</v>
      </c>
      <c r="R91" s="240">
        <f t="shared" ref="R91:S94" si="724">IFERROR(VLOOKUP($B91 &amp; $C91&amp;R$4,tblForecast,R$2,FALSE),0)</f>
        <v>0</v>
      </c>
      <c r="S91" s="240">
        <f t="shared" si="724"/>
        <v>0</v>
      </c>
      <c r="T91" s="240">
        <f>IFERROR(VLOOKUP($B91-IF(CompareVer="LY",1,0) &amp; $C91 &amp;T$4,tblForecast,T$2,FALSE),0)</f>
        <v>0</v>
      </c>
      <c r="U91" s="91">
        <f t="shared" si="585"/>
        <v>0</v>
      </c>
      <c r="V91" s="249">
        <f>IFERROR(IF(Q89&gt;0,Q91/Q89,0),0)</f>
        <v>0</v>
      </c>
      <c r="W91" s="334">
        <f>IFERROR(IF(R89&gt;0,R91/R89,0),0)</f>
        <v>0</v>
      </c>
      <c r="X91" s="250">
        <f>IFERROR(IF(T89&gt;0,T91/T89,0),0)</f>
        <v>0</v>
      </c>
      <c r="Y91" s="51">
        <f t="shared" ref="Y91:AB94" si="725">IFERROR(L91*AD91,0)</f>
        <v>0</v>
      </c>
      <c r="Z91" s="46">
        <f t="shared" si="725"/>
        <v>0</v>
      </c>
      <c r="AA91" s="46">
        <f t="shared" si="725"/>
        <v>0</v>
      </c>
      <c r="AB91" s="46">
        <f t="shared" si="725"/>
        <v>0</v>
      </c>
      <c r="AC91" s="91">
        <f t="shared" si="586"/>
        <v>0</v>
      </c>
      <c r="AD91" s="75">
        <f>IF(AM91&lt;&gt;0,1-AR91/AM91,0)</f>
        <v>0.72285143237841432</v>
      </c>
      <c r="AE91" s="93">
        <f t="shared" ref="AE91:AG94" si="726">IF(AN91&lt;&gt;0,1-AS91/AN91,0)</f>
        <v>0.72285143237841432</v>
      </c>
      <c r="AF91" s="93">
        <f t="shared" si="726"/>
        <v>0</v>
      </c>
      <c r="AG91" s="76">
        <f t="shared" si="726"/>
        <v>0</v>
      </c>
      <c r="AH91" s="73">
        <f>IF(IFERROR(VLOOKUP($B91 &amp; $C91&amp;AH$4,tblForecast,AH$2,FALSE),0)=0,DB91,IFERROR(VLOOKUP($B91 &amp; $C91&amp;AH$4,tblForecast,AH$2,FALSE),0))</f>
        <v>25.02</v>
      </c>
      <c r="AI91" s="94">
        <f t="shared" ref="AI91:AJ94" si="727">IFERROR(VLOOKUP($B91 &amp; $C91&amp;AI$4,tblForecast,AI$2,FALSE),0)</f>
        <v>25.02</v>
      </c>
      <c r="AJ91" s="94">
        <f t="shared" si="727"/>
        <v>0</v>
      </c>
      <c r="AK91" s="49">
        <f>IFERROR(VLOOKUP($B91-IF(CompareVer="LY",1,0) &amp; $C91 &amp;AK$4,tblForecast,AK$2,FALSE),0)</f>
        <v>0</v>
      </c>
      <c r="AL91" s="47">
        <f t="shared" si="492"/>
        <v>0</v>
      </c>
      <c r="AM91" s="73">
        <f>IF(IFERROR(VLOOKUP($B91 &amp; $C91&amp;AM$4,tblForecast,AM$2,FALSE),0)=0,DA91,IFERROR(VLOOKUP($B91 &amp; $C91&amp;AM$4,tblForecast,AM$2,FALSE),0))</f>
        <v>15.01</v>
      </c>
      <c r="AN91" s="94">
        <f t="shared" ref="AN91:AO94" si="728">IFERROR(VLOOKUP($B91 &amp; $C91&amp;AN$4,tblForecast,AN$2,FALSE),0)</f>
        <v>15.01</v>
      </c>
      <c r="AO91" s="94">
        <f t="shared" si="728"/>
        <v>0</v>
      </c>
      <c r="AP91" s="49">
        <f>IFERROR(VLOOKUP($B91-IF(CompareVer="LY",1,0) &amp; $C91 &amp;AP$4,tblForecast,AP$2,FALSE),0)</f>
        <v>0</v>
      </c>
      <c r="AQ91" s="47">
        <f t="shared" si="587"/>
        <v>0</v>
      </c>
      <c r="AR91" s="73">
        <f>IF(IFERROR(VLOOKUP($B91 &amp; $C91&amp;AR$4,tblForecast,AR$2,FALSE),0)=0,DC91,IFERROR(VLOOKUP($B91 &amp; $C91&amp;AR$4,tblForecast,AR$2,FALSE),0))</f>
        <v>4.16</v>
      </c>
      <c r="AS91" s="94">
        <f t="shared" ref="AS91:AT94" si="729">IFERROR(VLOOKUP($B91 &amp; $C91&amp;AS$4,tblForecast,AS$2,FALSE),0)</f>
        <v>4.16</v>
      </c>
      <c r="AT91" s="94">
        <f t="shared" si="729"/>
        <v>0</v>
      </c>
      <c r="AU91" s="49">
        <f>IFERROR(VLOOKUP($B91-IF(CompareVer="LY",1,0) &amp; $C91 &amp;AU$4,tblForecast,AU$2,FALSE),0)</f>
        <v>0</v>
      </c>
      <c r="AV91" s="47">
        <f t="shared" si="588"/>
        <v>0</v>
      </c>
      <c r="AW91" s="191">
        <f t="shared" ref="AW91:AZ94" si="730">IFERROR((AM91/AH91-1)*-1,0)</f>
        <v>0.4000799360511591</v>
      </c>
      <c r="AX91" s="192">
        <f t="shared" si="730"/>
        <v>0.4000799360511591</v>
      </c>
      <c r="AY91" s="192">
        <f t="shared" si="730"/>
        <v>0</v>
      </c>
      <c r="AZ91" s="192">
        <f t="shared" si="730"/>
        <v>0</v>
      </c>
      <c r="BA91" s="235">
        <f>IF(BA90+BV91+BL91+BR91-Q91&lt;0,0,BA90+BV91+BL91+BR91-Q91)</f>
        <v>56712</v>
      </c>
      <c r="BB91" s="231">
        <f>IF(IFERROR(VLOOKUP($B91 &amp; $C91&amp;BB$4,tblForecast,BB$2,FALSE),0)=0,BA91,IFERROR(VLOOKUP($B91 &amp; $C91&amp;BB$4,tblForecast,BB$2,FALSE),0))</f>
        <v>56712</v>
      </c>
      <c r="BC91" s="231">
        <f>IFERROR(VLOOKUP($B91-IF(CompareVer="LY",1,0) &amp; $C91 &amp;BC$4,tblForecast,BC$2,FALSE),0)</f>
        <v>0</v>
      </c>
      <c r="BD91" s="231">
        <f t="shared" ref="BD91:BD94" si="731">CX91+BG91</f>
        <v>-1</v>
      </c>
      <c r="BE91" s="194">
        <f t="shared" si="589"/>
        <v>-56713</v>
      </c>
      <c r="BF91" s="231">
        <f>IFERROR(VLOOKUP($B91 &amp; $C91&amp;IF($A91="a",BG$4,BF$4),tblForecast,BF$2,FALSE),0)</f>
        <v>0</v>
      </c>
      <c r="BG91" s="228">
        <f>IFERROR(VLOOKUP($B91-IF(CompareVer="LY",1,0) &amp; $C91 &amp;BG$4,tblForecast,BG$2,FALSE),0)</f>
        <v>0</v>
      </c>
      <c r="BH91" s="179">
        <f>IF(Q91&lt;&gt;0,BA91/Q91,0)</f>
        <v>0</v>
      </c>
      <c r="BI91" s="183">
        <f>IF(T91&lt;&gt;0,BD91/T91,0)</f>
        <v>0</v>
      </c>
      <c r="BJ91" s="195">
        <f t="shared" ref="BJ91:BJ94" si="732">IF(BA91&lt;&gt;0,Q91/BA91,0)</f>
        <v>0</v>
      </c>
      <c r="BK91" s="50">
        <f t="shared" ref="BK91:BK94" si="733">IF(BD91&lt;&gt;0,T91/BD91,0)</f>
        <v>0</v>
      </c>
      <c r="BL91" s="234">
        <f>IFERROR(VLOOKUP($B91 &amp; $C91&amp;IF($A91="a",BM$4,BL$4),tblForecast,BL$2,FALSE),0)</f>
        <v>0</v>
      </c>
      <c r="BM91" s="228">
        <f>IFERROR(VLOOKUP($B91-IF(CompareVer="LY",1,0) &amp; $C91 &amp;BM$4,tblForecast,BM$2,FALSE),0)</f>
        <v>0</v>
      </c>
      <c r="BN91" s="234">
        <f>IFERROR(VLOOKUP($B91 &amp; $C91&amp;IF($A91="a",BO$4,BN$4),tblForecast,BN$2,FALSE),0)</f>
        <v>0</v>
      </c>
      <c r="BO91" s="228">
        <f>IFERROR(VLOOKUP($B91-IF(CompareVer="LY",1,0) &amp; $C91 &amp;BO$4,tblForecast,BO$2,FALSE),0)</f>
        <v>0</v>
      </c>
      <c r="BP91" s="234">
        <f>IFERROR(VLOOKUP($B91 &amp; $C91&amp;IF($A91="a",BQ$4,BP$4),tblForecast,BP$2,FALSE),0)</f>
        <v>0</v>
      </c>
      <c r="BQ91" s="228">
        <f>IFERROR(VLOOKUP($B91-IF(CompareVer="LY",1,0) &amp; $C91 &amp;BQ$4,tblForecast,BQ$2,FALSE),0)</f>
        <v>0</v>
      </c>
      <c r="BR91" s="227">
        <f t="shared" si="595"/>
        <v>0</v>
      </c>
      <c r="BS91" s="231">
        <f t="shared" si="595"/>
        <v>0</v>
      </c>
      <c r="BT91" s="234">
        <f t="shared" ref="BT91:BU94" si="734">IFERROR(VLOOKUP($B91 &amp; $C91&amp;BT$4,tblForecast,BT$2,FALSE),0)</f>
        <v>0</v>
      </c>
      <c r="BU91" s="231">
        <f t="shared" si="734"/>
        <v>0</v>
      </c>
      <c r="BV91" s="231">
        <f>IF($A91="a",IFERROR(VLOOKUP($B91 &amp; $C91&amp;BV$4,tblForecast,BV$2,FALSE),0),BT91+BU91)</f>
        <v>0</v>
      </c>
      <c r="BW91" s="231">
        <f t="shared" ref="BW91:BX94" si="735">IFERROR(VLOOKUP($B91 &amp; $C91&amp;BW$4,tblForecast,BW$2,FALSE),0)</f>
        <v>0</v>
      </c>
      <c r="BX91" s="231">
        <f t="shared" si="735"/>
        <v>0</v>
      </c>
      <c r="BY91" s="193">
        <f>IFERROR(VLOOKUP($B91-IF(CompareVer="LY",1,0) &amp; $C91 &amp;BY$4,tblForecast,BY$2,FALSE),0)</f>
        <v>0</v>
      </c>
      <c r="BZ91" s="194">
        <f t="shared" si="590"/>
        <v>0</v>
      </c>
      <c r="CA91" s="337">
        <f t="shared" ref="CA91:CB94" si="736">IFERROR(VLOOKUP($B91 &amp; $C91&amp;CA$4,tblForecast,CA$2,FALSE),0)</f>
        <v>0</v>
      </c>
      <c r="CB91" s="46">
        <f t="shared" si="736"/>
        <v>0</v>
      </c>
      <c r="CC91" s="46">
        <f>IF($A91="a",IFERROR(VLOOKUP($B91 &amp; $C91&amp;CC$4,tblForecast,CC$2,FALSE),0),CA91+CB91)</f>
        <v>0</v>
      </c>
      <c r="CD91" s="46">
        <f t="shared" ref="CD91:CE94" si="737">IFERROR(VLOOKUP($B91 &amp; $C91&amp;CD$4,tblForecast,CD$2,FALSE),0)</f>
        <v>0</v>
      </c>
      <c r="CE91" s="46">
        <f t="shared" si="737"/>
        <v>0</v>
      </c>
      <c r="CF91" s="46">
        <f>IFERROR(VLOOKUP($B91-IF(CompareVer="LY",1,0) &amp; $C91 &amp;CF$4,tblForecast,CF$2,FALSE),0)</f>
        <v>0</v>
      </c>
      <c r="CG91" s="194">
        <f t="shared" si="591"/>
        <v>0</v>
      </c>
      <c r="CH91" s="337">
        <f t="shared" ref="CH91:CI94" si="738">IFERROR(VLOOKUP($B91 &amp; $C91&amp;CH$4,tblForecast,CH$2,FALSE),0)</f>
        <v>0</v>
      </c>
      <c r="CI91" s="46">
        <f t="shared" si="738"/>
        <v>0</v>
      </c>
      <c r="CJ91" s="46">
        <f>IF($A91="a",IFERROR(VLOOKUP($B91 &amp; $C91&amp;CJ$4,tblForecast,CJ$2,FALSE),0),CH91+CI91)</f>
        <v>0</v>
      </c>
      <c r="CK91" s="46">
        <f t="shared" ref="CK91:CL94" si="739">IFERROR(VLOOKUP($B91 &amp; $C91&amp;CK$4,tblForecast,CK$2,FALSE),0)</f>
        <v>0</v>
      </c>
      <c r="CL91" s="46">
        <f t="shared" si="739"/>
        <v>0</v>
      </c>
      <c r="CM91" s="46">
        <f>IFERROR(VLOOKUP($B91-IF(CompareVer="LY",1,0) &amp; $C91 &amp;CM$4,tblForecast,CM$2,FALSE),0)</f>
        <v>0</v>
      </c>
      <c r="CN91" s="194">
        <f t="shared" si="592"/>
        <v>0</v>
      </c>
      <c r="CO91" s="178">
        <f t="shared" si="637"/>
        <v>0</v>
      </c>
      <c r="CP91" s="223">
        <f t="shared" si="637"/>
        <v>0</v>
      </c>
      <c r="CQ91" s="194">
        <f t="shared" si="593"/>
        <v>0</v>
      </c>
      <c r="CR91" s="178">
        <f t="shared" si="596"/>
        <v>0</v>
      </c>
      <c r="CS91" s="223">
        <f t="shared" si="596"/>
        <v>0</v>
      </c>
      <c r="CT91" s="194">
        <f t="shared" si="638"/>
        <v>0</v>
      </c>
      <c r="CU91" s="44"/>
      <c r="CW91" s="102">
        <f>IF(CW90+BV91+BL91-Q91&lt;0,0,CW90+BV91+BL91-Q91)</f>
        <v>0</v>
      </c>
      <c r="CX91" s="48">
        <f>IFERROR(VLOOKUP($B91-IF(CompareVer="LY",1,0) &amp; $C91 &amp;CX$4,tblForecast,CX$2,FALSE),0)</f>
        <v>-1</v>
      </c>
      <c r="CY91" s="47">
        <f t="shared" si="668"/>
        <v>-1</v>
      </c>
      <c r="CZ91" s="278">
        <f>IFERROR(VLOOKUP(Brand&amp;Channel&amp;Country&amp;$C91,tblDiscount,6,FALSE),0)</f>
        <v>0.4</v>
      </c>
      <c r="DA91" s="279">
        <f>(1-CZ91)*DB91</f>
        <v>15.011999999999999</v>
      </c>
      <c r="DB91" s="279">
        <f>IFERROR(VLOOKUP(Brand&amp;Country &amp; Channel &amp;FC,tblFCSettings,8,FALSE),0)</f>
        <v>25.02</v>
      </c>
      <c r="DC91" s="280">
        <f>IFERROR(VLOOKUP(Brand&amp;Country &amp; Channel &amp;FC,tblFCSettings,9,FALSE),0)</f>
        <v>4.16</v>
      </c>
    </row>
    <row r="92" spans="2:107" x14ac:dyDescent="0.25">
      <c r="B92" s="44">
        <v>2019</v>
      </c>
      <c r="C92" s="88">
        <v>11</v>
      </c>
      <c r="D92" s="51">
        <f t="shared" ref="D92:D94" si="740">G92*H92</f>
        <v>-428516.76</v>
      </c>
      <c r="E92" s="202">
        <f t="shared" ref="E92:E94" si="741">IFERROR(D92*F92,0)</f>
        <v>-192858.12000000002</v>
      </c>
      <c r="F92" s="182">
        <f t="shared" si="599"/>
        <v>0.45005968961400722</v>
      </c>
      <c r="G92" s="176">
        <f t="shared" si="722"/>
        <v>-420</v>
      </c>
      <c r="H92" s="203">
        <f t="shared" si="722"/>
        <v>1020.278</v>
      </c>
      <c r="I92" s="203">
        <f t="shared" si="722"/>
        <v>561.09199999999998</v>
      </c>
      <c r="J92" s="176">
        <f>IFERROR(VLOOKUP($B92 &amp; $C92&amp;J$4&amp;$A92,tblForecast,J$2,FALSE),0)+IFERROR(VLOOKUP($B92 &amp; $C92 &amp; J$4 &amp; $A92,tblForecast,J$2+1,FALSE),0)</f>
        <v>24029</v>
      </c>
      <c r="K92" s="300">
        <f>IFERROR(VLOOKUP($B92 &amp; $C92&amp;K$4&amp;$A92,tblForecast,K$2,FALSE),0)+IFERROR(VLOOKUP($B92 &amp; $C92&amp;K$4&amp;$A92,tblForecast,K$2+1,FALSE),0)</f>
        <v>0</v>
      </c>
      <c r="L92" s="90">
        <f>Q92*AM92</f>
        <v>0</v>
      </c>
      <c r="M92" s="90">
        <f t="shared" si="723"/>
        <v>0</v>
      </c>
      <c r="N92" s="46">
        <f t="shared" si="723"/>
        <v>0</v>
      </c>
      <c r="O92" s="46">
        <f t="shared" si="723"/>
        <v>0</v>
      </c>
      <c r="P92" s="47">
        <f t="shared" si="594"/>
        <v>0</v>
      </c>
      <c r="Q92" s="342">
        <f t="shared" ref="Q92:Q94" si="742">ROUND(IF(BA91-(Q91*IF(W92=0,X92,W92))&lt;0,BA91,Q91*IF(W92=0,X92,W92)),0)</f>
        <v>0</v>
      </c>
      <c r="R92" s="240">
        <f t="shared" si="724"/>
        <v>0</v>
      </c>
      <c r="S92" s="240">
        <f t="shared" si="724"/>
        <v>0</v>
      </c>
      <c r="T92" s="240">
        <f>IFERROR(VLOOKUP($B92-IF(CompareVer="LY",1,0) &amp; $C92 &amp;T$4,tblForecast,T$2,FALSE),0)</f>
        <v>0</v>
      </c>
      <c r="U92" s="91">
        <f t="shared" si="585"/>
        <v>0</v>
      </c>
      <c r="V92" s="249">
        <f t="shared" ref="V92:V94" si="743">IFERROR(IF(Q91&lt;&gt;0,Q92/Q91,0),0)</f>
        <v>0</v>
      </c>
      <c r="W92" s="334">
        <f t="shared" ref="W92:W94" si="744">IFERROR(IF(R91&lt;&gt;0,R92/R91,0),0)</f>
        <v>0</v>
      </c>
      <c r="X92" s="250">
        <f t="shared" ref="X92:X94" si="745">IFERROR(IF(T91&lt;&gt;0,T92/T91,0),0)</f>
        <v>0</v>
      </c>
      <c r="Y92" s="51">
        <f t="shared" si="725"/>
        <v>0</v>
      </c>
      <c r="Z92" s="46">
        <f t="shared" si="725"/>
        <v>0</v>
      </c>
      <c r="AA92" s="46">
        <f t="shared" si="725"/>
        <v>0</v>
      </c>
      <c r="AB92" s="46">
        <f t="shared" si="725"/>
        <v>0</v>
      </c>
      <c r="AC92" s="91">
        <f t="shared" si="586"/>
        <v>0</v>
      </c>
      <c r="AD92" s="75">
        <f>IF(AM92&lt;&gt;0,1-AR92/AM92,0)</f>
        <v>0.69767441860465107</v>
      </c>
      <c r="AE92" s="93">
        <f t="shared" si="726"/>
        <v>0.69767441860465107</v>
      </c>
      <c r="AF92" s="93">
        <f t="shared" si="726"/>
        <v>0</v>
      </c>
      <c r="AG92" s="76">
        <f t="shared" si="726"/>
        <v>0</v>
      </c>
      <c r="AH92" s="73">
        <f>IF(IFERROR(VLOOKUP($B92 &amp; $C92&amp;AH$4,tblForecast,AH$2,FALSE),0)=0,DB92,IFERROR(VLOOKUP($B92 &amp; $C92&amp;AH$4,tblForecast,AH$2,FALSE),0))</f>
        <v>25.02</v>
      </c>
      <c r="AI92" s="94">
        <f t="shared" si="727"/>
        <v>25.02</v>
      </c>
      <c r="AJ92" s="94">
        <f t="shared" si="727"/>
        <v>0</v>
      </c>
      <c r="AK92" s="49">
        <f>IFERROR(VLOOKUP($B92-IF(CompareVer="LY",1,0) &amp; $C92 &amp;AK$4,tblForecast,AK$2,FALSE),0)</f>
        <v>0</v>
      </c>
      <c r="AL92" s="47">
        <f t="shared" si="492"/>
        <v>0</v>
      </c>
      <c r="AM92" s="73">
        <f>IF(IFERROR(VLOOKUP($B92 &amp; $C92&amp;AM$4,tblForecast,AM$2,FALSE),0)=0,DA92,IFERROR(VLOOKUP($B92 &amp; $C92&amp;AM$4,tblForecast,AM$2,FALSE),0))</f>
        <v>13.76</v>
      </c>
      <c r="AN92" s="94">
        <f t="shared" si="728"/>
        <v>13.76</v>
      </c>
      <c r="AO92" s="94">
        <f t="shared" si="728"/>
        <v>0</v>
      </c>
      <c r="AP92" s="49">
        <f>IFERROR(VLOOKUP($B92-IF(CompareVer="LY",1,0) &amp; $C92 &amp;AP$4,tblForecast,AP$2,FALSE),0)</f>
        <v>0</v>
      </c>
      <c r="AQ92" s="47">
        <f t="shared" si="587"/>
        <v>0</v>
      </c>
      <c r="AR92" s="73">
        <f>IF(IFERROR(VLOOKUP($B92 &amp; $C92&amp;AR$4,tblForecast,AR$2,FALSE),0)=0,DC92,IFERROR(VLOOKUP($B92 &amp; $C92&amp;AR$4,tblForecast,AR$2,FALSE),0))</f>
        <v>4.16</v>
      </c>
      <c r="AS92" s="94">
        <f t="shared" si="729"/>
        <v>4.16</v>
      </c>
      <c r="AT92" s="94">
        <f t="shared" si="729"/>
        <v>0</v>
      </c>
      <c r="AU92" s="49">
        <f>IFERROR(VLOOKUP($B92-IF(CompareVer="LY",1,0) &amp; $C92 &amp;AU$4,tblForecast,AU$2,FALSE),0)</f>
        <v>0</v>
      </c>
      <c r="AV92" s="47">
        <f t="shared" si="588"/>
        <v>0</v>
      </c>
      <c r="AW92" s="191">
        <f t="shared" si="730"/>
        <v>0.45003996802557955</v>
      </c>
      <c r="AX92" s="192">
        <f t="shared" si="730"/>
        <v>0.45003996802557955</v>
      </c>
      <c r="AY92" s="192">
        <f t="shared" si="730"/>
        <v>0</v>
      </c>
      <c r="AZ92" s="192">
        <f t="shared" si="730"/>
        <v>0</v>
      </c>
      <c r="BA92" s="235">
        <f>IF(BA91+BV92+BL92+BR92-Q92&lt;0,0,BA91+BV92+BL92+BR92-Q92)</f>
        <v>56712</v>
      </c>
      <c r="BB92" s="231">
        <f>IF(IFERROR(VLOOKUP($B92 &amp; $C92&amp;BB$4,tblForecast,BB$2,FALSE),0)=0,BA92,IFERROR(VLOOKUP($B92 &amp; $C92&amp;BB$4,tblForecast,BB$2,FALSE),0))</f>
        <v>56712</v>
      </c>
      <c r="BC92" s="231">
        <f>IFERROR(VLOOKUP($B92-IF(CompareVer="LY",1,0) &amp; $C92 &amp;BC$4,tblForecast,BC$2,FALSE),0)</f>
        <v>0</v>
      </c>
      <c r="BD92" s="231">
        <f t="shared" si="731"/>
        <v>2619</v>
      </c>
      <c r="BE92" s="194">
        <f t="shared" si="589"/>
        <v>20.654066437571593</v>
      </c>
      <c r="BF92" s="231">
        <f>IFERROR(VLOOKUP($B92 &amp; $C92&amp;IF($A92="a",BG$4,BF$4),tblForecast,BF$2,FALSE),0)</f>
        <v>0</v>
      </c>
      <c r="BG92" s="228">
        <f>IFERROR(VLOOKUP($B92-IF(CompareVer="LY",1,0) &amp; $C92 &amp;BG$4,tblForecast,BG$2,FALSE),0)</f>
        <v>2620</v>
      </c>
      <c r="BH92" s="179">
        <f>IF(Q92&lt;&gt;0,BA92/Q92,0)</f>
        <v>0</v>
      </c>
      <c r="BI92" s="183">
        <f>IF(T92&lt;&gt;0,BD92/T92,0)</f>
        <v>0</v>
      </c>
      <c r="BJ92" s="195">
        <f t="shared" si="732"/>
        <v>0</v>
      </c>
      <c r="BK92" s="50">
        <f t="shared" si="733"/>
        <v>0</v>
      </c>
      <c r="BL92" s="234">
        <f>IFERROR(VLOOKUP($B92 &amp; $C92&amp;IF($A92="a",BM$4,BL$4),tblForecast,BL$2,FALSE),0)</f>
        <v>0</v>
      </c>
      <c r="BM92" s="228">
        <f>IFERROR(VLOOKUP($B92-IF(CompareVer="LY",1,0) &amp; $C92 &amp;BM$4,tblForecast,BM$2,FALSE),0)</f>
        <v>0</v>
      </c>
      <c r="BN92" s="234">
        <f>IFERROR(VLOOKUP($B92 &amp; $C92&amp;IF($A92="a",BO$4,BN$4),tblForecast,BN$2,FALSE),0)</f>
        <v>0</v>
      </c>
      <c r="BO92" s="228">
        <f>IFERROR(VLOOKUP($B92-IF(CompareVer="LY",1,0) &amp; $C92 &amp;BO$4,tblForecast,BO$2,FALSE),0)</f>
        <v>0</v>
      </c>
      <c r="BP92" s="234">
        <f>IFERROR(VLOOKUP($B92 &amp; $C92&amp;IF($A92="a",BQ$4,BP$4),tblForecast,BP$2,FALSE),0)</f>
        <v>0</v>
      </c>
      <c r="BQ92" s="228">
        <f>IFERROR(VLOOKUP($B92-IF(CompareVer="LY",1,0) &amp; $C92 &amp;BQ$4,tblForecast,BQ$2,FALSE),0)</f>
        <v>0</v>
      </c>
      <c r="BR92" s="227">
        <f t="shared" ref="BR92:BS96" si="746">BN92-BP92</f>
        <v>0</v>
      </c>
      <c r="BS92" s="231">
        <f t="shared" si="746"/>
        <v>0</v>
      </c>
      <c r="BT92" s="234">
        <f t="shared" si="734"/>
        <v>0</v>
      </c>
      <c r="BU92" s="231">
        <f t="shared" si="734"/>
        <v>0</v>
      </c>
      <c r="BV92" s="231">
        <f>IF($A92="a",IFERROR(VLOOKUP($B92 &amp; $C92&amp;BV$4,tblForecast,BV$2,FALSE),0),BT92+BU92)</f>
        <v>0</v>
      </c>
      <c r="BW92" s="231">
        <f t="shared" si="735"/>
        <v>0</v>
      </c>
      <c r="BX92" s="231">
        <f t="shared" si="735"/>
        <v>0</v>
      </c>
      <c r="BY92" s="193">
        <f>IFERROR(VLOOKUP($B92-IF(CompareVer="LY",1,0) &amp; $C92 &amp;BY$4,tblForecast,BY$2,FALSE),0)</f>
        <v>2620</v>
      </c>
      <c r="BZ92" s="194">
        <f t="shared" si="590"/>
        <v>-1</v>
      </c>
      <c r="CA92" s="337">
        <f t="shared" si="736"/>
        <v>0</v>
      </c>
      <c r="CB92" s="46">
        <f t="shared" si="736"/>
        <v>0</v>
      </c>
      <c r="CC92" s="46">
        <f>IF($A92="a",IFERROR(VLOOKUP($B92 &amp; $C92&amp;CC$4,tblForecast,CC$2,FALSE),0),CA92+CB92)</f>
        <v>0</v>
      </c>
      <c r="CD92" s="46">
        <f t="shared" si="737"/>
        <v>0</v>
      </c>
      <c r="CE92" s="46">
        <f t="shared" si="737"/>
        <v>0</v>
      </c>
      <c r="CF92" s="46">
        <f>IFERROR(VLOOKUP($B92-IF(CompareVer="LY",1,0) &amp; $C92 &amp;CF$4,tblForecast,CF$2,FALSE),0)</f>
        <v>33929</v>
      </c>
      <c r="CG92" s="194">
        <f t="shared" si="591"/>
        <v>-1</v>
      </c>
      <c r="CH92" s="337">
        <f t="shared" si="738"/>
        <v>0</v>
      </c>
      <c r="CI92" s="46">
        <f t="shared" si="738"/>
        <v>0</v>
      </c>
      <c r="CJ92" s="46">
        <f>IF($A92="a",IFERROR(VLOOKUP($B92 &amp; $C92&amp;CJ$4,tblForecast,CJ$2,FALSE),0),CH92+CI92)</f>
        <v>0</v>
      </c>
      <c r="CK92" s="46">
        <f t="shared" si="739"/>
        <v>0</v>
      </c>
      <c r="CL92" s="46">
        <f t="shared" si="739"/>
        <v>0</v>
      </c>
      <c r="CM92" s="46">
        <f>IFERROR(VLOOKUP($B92-IF(CompareVer="LY",1,0) &amp; $C92 &amp;CM$4,tblForecast,CM$2,FALSE),0)</f>
        <v>9088.7800000000007</v>
      </c>
      <c r="CN92" s="194">
        <f t="shared" si="592"/>
        <v>-1</v>
      </c>
      <c r="CO92" s="178">
        <f t="shared" si="637"/>
        <v>0</v>
      </c>
      <c r="CP92" s="223">
        <f t="shared" si="637"/>
        <v>12.95</v>
      </c>
      <c r="CQ92" s="194">
        <f t="shared" si="593"/>
        <v>-1</v>
      </c>
      <c r="CR92" s="178">
        <f t="shared" si="596"/>
        <v>0</v>
      </c>
      <c r="CS92" s="223">
        <f t="shared" si="596"/>
        <v>3.4690000000000003</v>
      </c>
      <c r="CT92" s="194">
        <f t="shared" si="638"/>
        <v>-1</v>
      </c>
      <c r="CU92" s="44"/>
      <c r="CW92" s="102">
        <f>IF(CW91+BV92+BL92-Q92&lt;0,0,CW91+BV92+BL92-Q92)</f>
        <v>0</v>
      </c>
      <c r="CX92" s="48">
        <f>IFERROR(VLOOKUP($B92-IF(CompareVer="LY",1,0) &amp; $C92 &amp;CX$4,tblForecast,CX$2,FALSE),0)</f>
        <v>-1</v>
      </c>
      <c r="CY92" s="47">
        <f t="shared" si="668"/>
        <v>-1</v>
      </c>
      <c r="CZ92" s="278">
        <f>IFERROR(VLOOKUP(Brand&amp;Channel&amp;Country&amp;$C92,tblDiscount,6,FALSE),0)</f>
        <v>0.45</v>
      </c>
      <c r="DA92" s="279">
        <f>(1-CZ92)*DB92</f>
        <v>13.761000000000001</v>
      </c>
      <c r="DB92" s="279">
        <f>IFERROR(VLOOKUP(Brand&amp;Country &amp; Channel &amp;FC,tblFCSettings,8,FALSE),0)</f>
        <v>25.02</v>
      </c>
      <c r="DC92" s="280">
        <f>IFERROR(VLOOKUP(Brand&amp;Country &amp; Channel &amp;FC,tblFCSettings,9,FALSE),0)</f>
        <v>4.16</v>
      </c>
    </row>
    <row r="93" spans="2:107" x14ac:dyDescent="0.25">
      <c r="B93" s="44">
        <v>2019</v>
      </c>
      <c r="C93" s="88">
        <v>12</v>
      </c>
      <c r="D93" s="51">
        <f t="shared" si="740"/>
        <v>-2261.6924680000002</v>
      </c>
      <c r="E93" s="202">
        <f t="shared" si="741"/>
        <v>-1017.886244</v>
      </c>
      <c r="F93" s="182">
        <f t="shared" si="599"/>
        <v>0.45005510625417178</v>
      </c>
      <c r="G93" s="176">
        <f t="shared" si="722"/>
        <v>17554</v>
      </c>
      <c r="H93" s="203">
        <f t="shared" si="722"/>
        <v>-0.12884200000000001</v>
      </c>
      <c r="I93" s="203">
        <f t="shared" si="722"/>
        <v>-7.0856000000000002E-2</v>
      </c>
      <c r="J93" s="176">
        <f>IFERROR(VLOOKUP($B93 &amp; $C93&amp;J$4&amp;$A93,tblForecast,J$2,FALSE),0)+IFERROR(VLOOKUP($B93 &amp; $C93 &amp; J$4 &amp; $A93,tblForecast,J$2+1,FALSE),0)</f>
        <v>23460</v>
      </c>
      <c r="K93" s="300">
        <f>IFERROR(VLOOKUP($B93 &amp; $C93&amp;K$4&amp;$A93,tblForecast,K$2,FALSE),0)+IFERROR(VLOOKUP($B93 &amp; $C93&amp;K$4&amp;$A93,tblForecast,K$2+1,FALSE),0)</f>
        <v>0</v>
      </c>
      <c r="L93" s="90">
        <f>Q93*AM93</f>
        <v>0</v>
      </c>
      <c r="M93" s="90">
        <f t="shared" si="723"/>
        <v>0</v>
      </c>
      <c r="N93" s="46">
        <f t="shared" si="723"/>
        <v>0</v>
      </c>
      <c r="O93" s="46">
        <f t="shared" si="723"/>
        <v>0</v>
      </c>
      <c r="P93" s="47">
        <f t="shared" si="594"/>
        <v>0</v>
      </c>
      <c r="Q93" s="342">
        <f t="shared" si="742"/>
        <v>0</v>
      </c>
      <c r="R93" s="240">
        <f t="shared" si="724"/>
        <v>0</v>
      </c>
      <c r="S93" s="240">
        <f t="shared" si="724"/>
        <v>0</v>
      </c>
      <c r="T93" s="240">
        <f>IFERROR(VLOOKUP($B93-IF(CompareVer="LY",1,0) &amp; $C93 &amp;T$4,tblForecast,T$2,FALSE),0)</f>
        <v>0</v>
      </c>
      <c r="U93" s="91">
        <f t="shared" si="585"/>
        <v>0</v>
      </c>
      <c r="V93" s="249">
        <f t="shared" si="743"/>
        <v>0</v>
      </c>
      <c r="W93" s="334">
        <f t="shared" si="744"/>
        <v>0</v>
      </c>
      <c r="X93" s="250">
        <f t="shared" si="745"/>
        <v>0</v>
      </c>
      <c r="Y93" s="51">
        <f t="shared" si="725"/>
        <v>0</v>
      </c>
      <c r="Z93" s="46">
        <f t="shared" si="725"/>
        <v>0</v>
      </c>
      <c r="AA93" s="46">
        <f t="shared" si="725"/>
        <v>0</v>
      </c>
      <c r="AB93" s="46">
        <f t="shared" si="725"/>
        <v>0</v>
      </c>
      <c r="AC93" s="91">
        <f t="shared" si="586"/>
        <v>0</v>
      </c>
      <c r="AD93" s="75">
        <f>IF(AM93&lt;&gt;0,1-AR93/AM93,0)</f>
        <v>0.69767441860465107</v>
      </c>
      <c r="AE93" s="93">
        <f t="shared" si="726"/>
        <v>0.69767441860465107</v>
      </c>
      <c r="AF93" s="93">
        <f t="shared" si="726"/>
        <v>0</v>
      </c>
      <c r="AG93" s="76">
        <f t="shared" si="726"/>
        <v>0</v>
      </c>
      <c r="AH93" s="73">
        <f>IF(IFERROR(VLOOKUP($B93 &amp; $C93&amp;AH$4,tblForecast,AH$2,FALSE),0)=0,DB93,IFERROR(VLOOKUP($B93 &amp; $C93&amp;AH$4,tblForecast,AH$2,FALSE),0))</f>
        <v>25.02</v>
      </c>
      <c r="AI93" s="94">
        <f t="shared" si="727"/>
        <v>25.02</v>
      </c>
      <c r="AJ93" s="94">
        <f t="shared" si="727"/>
        <v>0</v>
      </c>
      <c r="AK93" s="49">
        <f>IFERROR(VLOOKUP($B93-IF(CompareVer="LY",1,0) &amp; $C93 &amp;AK$4,tblForecast,AK$2,FALSE),0)</f>
        <v>0</v>
      </c>
      <c r="AL93" s="47">
        <f t="shared" si="492"/>
        <v>0</v>
      </c>
      <c r="AM93" s="73">
        <f>IF(IFERROR(VLOOKUP($B93 &amp; $C93&amp;AM$4,tblForecast,AM$2,FALSE),0)=0,DA93,IFERROR(VLOOKUP($B93 &amp; $C93&amp;AM$4,tblForecast,AM$2,FALSE),0))</f>
        <v>13.76</v>
      </c>
      <c r="AN93" s="94">
        <f t="shared" si="728"/>
        <v>13.76</v>
      </c>
      <c r="AO93" s="94">
        <f t="shared" si="728"/>
        <v>0</v>
      </c>
      <c r="AP93" s="49">
        <f>IFERROR(VLOOKUP($B93-IF(CompareVer="LY",1,0) &amp; $C93 &amp;AP$4,tblForecast,AP$2,FALSE),0)</f>
        <v>0</v>
      </c>
      <c r="AQ93" s="47">
        <f t="shared" si="587"/>
        <v>0</v>
      </c>
      <c r="AR93" s="73">
        <f>IF(IFERROR(VLOOKUP($B93 &amp; $C93&amp;AR$4,tblForecast,AR$2,FALSE),0)=0,DC93,IFERROR(VLOOKUP($B93 &amp; $C93&amp;AR$4,tblForecast,AR$2,FALSE),0))</f>
        <v>4.16</v>
      </c>
      <c r="AS93" s="94">
        <f t="shared" si="729"/>
        <v>4.16</v>
      </c>
      <c r="AT93" s="94">
        <f t="shared" si="729"/>
        <v>0</v>
      </c>
      <c r="AU93" s="49">
        <f>IFERROR(VLOOKUP($B93-IF(CompareVer="LY",1,0) &amp; $C93 &amp;AU$4,tblForecast,AU$2,FALSE),0)</f>
        <v>0</v>
      </c>
      <c r="AV93" s="47">
        <f t="shared" si="588"/>
        <v>0</v>
      </c>
      <c r="AW93" s="191">
        <f t="shared" si="730"/>
        <v>0.45003996802557955</v>
      </c>
      <c r="AX93" s="192">
        <f t="shared" si="730"/>
        <v>0.45003996802557955</v>
      </c>
      <c r="AY93" s="192">
        <f t="shared" si="730"/>
        <v>0</v>
      </c>
      <c r="AZ93" s="192">
        <f t="shared" si="730"/>
        <v>0</v>
      </c>
      <c r="BA93" s="235">
        <f>IF(BA92+BV93+BL93+BR93-Q93&lt;0,0,BA92+BV93+BL93+BR93-Q93)</f>
        <v>56712</v>
      </c>
      <c r="BB93" s="231">
        <f>IF(IFERROR(VLOOKUP($B93 &amp; $C93&amp;BB$4,tblForecast,BB$2,FALSE),0)=0,BA93,IFERROR(VLOOKUP($B93 &amp; $C93&amp;BB$4,tblForecast,BB$2,FALSE),0))</f>
        <v>56712</v>
      </c>
      <c r="BC93" s="231">
        <f>IFERROR(VLOOKUP($B93-IF(CompareVer="LY",1,0) &amp; $C93 &amp;BC$4,tblForecast,BC$2,FALSE),0)</f>
        <v>0</v>
      </c>
      <c r="BD93" s="231">
        <f t="shared" si="731"/>
        <v>48093</v>
      </c>
      <c r="BE93" s="194">
        <f t="shared" si="589"/>
        <v>0.17921527041357366</v>
      </c>
      <c r="BF93" s="231">
        <f>IFERROR(VLOOKUP($B93 &amp; $C93&amp;IF($A93="a",BG$4,BF$4),tblForecast,BF$2,FALSE),0)</f>
        <v>0</v>
      </c>
      <c r="BG93" s="228">
        <f>IFERROR(VLOOKUP($B93-IF(CompareVer="LY",1,0) &amp; $C93 &amp;BG$4,tblForecast,BG$2,FALSE),0)</f>
        <v>48094</v>
      </c>
      <c r="BH93" s="179">
        <f>IF(Q93&lt;&gt;0,BA93/Q93,0)</f>
        <v>0</v>
      </c>
      <c r="BI93" s="183">
        <f>IF(T93&lt;&gt;0,BD93/T93,0)</f>
        <v>0</v>
      </c>
      <c r="BJ93" s="195">
        <f t="shared" si="732"/>
        <v>0</v>
      </c>
      <c r="BK93" s="50">
        <f t="shared" si="733"/>
        <v>0</v>
      </c>
      <c r="BL93" s="234">
        <f>IFERROR(VLOOKUP($B93 &amp; $C93&amp;IF($A93="a",BM$4,BL$4),tblForecast,BL$2,FALSE),0)</f>
        <v>0</v>
      </c>
      <c r="BM93" s="228">
        <f>IFERROR(VLOOKUP($B93-IF(CompareVer="LY",1,0) &amp; $C93 &amp;BM$4,tblForecast,BM$2,FALSE),0)</f>
        <v>0</v>
      </c>
      <c r="BN93" s="234">
        <f>IFERROR(VLOOKUP($B93 &amp; $C93&amp;IF($A93="a",BO$4,BN$4),tblForecast,BN$2,FALSE),0)</f>
        <v>0</v>
      </c>
      <c r="BO93" s="228">
        <f>IFERROR(VLOOKUP($B93-IF(CompareVer="LY",1,0) &amp; $C93 &amp;BO$4,tblForecast,BO$2,FALSE),0)</f>
        <v>0</v>
      </c>
      <c r="BP93" s="234">
        <f>IFERROR(VLOOKUP($B93 &amp; $C93&amp;IF($A93="a",BQ$4,BP$4),tblForecast,BP$2,FALSE),0)</f>
        <v>0</v>
      </c>
      <c r="BQ93" s="228">
        <f>IFERROR(VLOOKUP($B93-IF(CompareVer="LY",1,0) &amp; $C93 &amp;BQ$4,tblForecast,BQ$2,FALSE),0)</f>
        <v>0</v>
      </c>
      <c r="BR93" s="227">
        <f t="shared" si="746"/>
        <v>0</v>
      </c>
      <c r="BS93" s="231">
        <f t="shared" si="746"/>
        <v>0</v>
      </c>
      <c r="BT93" s="234">
        <f t="shared" si="734"/>
        <v>0</v>
      </c>
      <c r="BU93" s="231">
        <f t="shared" si="734"/>
        <v>0</v>
      </c>
      <c r="BV93" s="231">
        <f>IF($A93="a",IFERROR(VLOOKUP($B93 &amp; $C93&amp;BV$4,tblForecast,BV$2,FALSE),0),BT93+BU93)</f>
        <v>0</v>
      </c>
      <c r="BW93" s="231">
        <f t="shared" si="735"/>
        <v>0</v>
      </c>
      <c r="BX93" s="231">
        <f t="shared" si="735"/>
        <v>0</v>
      </c>
      <c r="BY93" s="193">
        <f>IFERROR(VLOOKUP($B93-IF(CompareVer="LY",1,0) &amp; $C93 &amp;BY$4,tblForecast,BY$2,FALSE),0)</f>
        <v>45474</v>
      </c>
      <c r="BZ93" s="194">
        <f t="shared" si="590"/>
        <v>-1</v>
      </c>
      <c r="CA93" s="337">
        <f t="shared" si="736"/>
        <v>0</v>
      </c>
      <c r="CB93" s="46">
        <f t="shared" si="736"/>
        <v>0</v>
      </c>
      <c r="CC93" s="46">
        <f>IF($A93="a",IFERROR(VLOOKUP($B93 &amp; $C93&amp;CC$4,tblForecast,CC$2,FALSE),0),CA93+CB93)</f>
        <v>0</v>
      </c>
      <c r="CD93" s="46">
        <f t="shared" si="737"/>
        <v>0</v>
      </c>
      <c r="CE93" s="46">
        <f t="shared" si="737"/>
        <v>0</v>
      </c>
      <c r="CF93" s="46">
        <f>IFERROR(VLOOKUP($B93-IF(CompareVer="LY",1,0) &amp; $C93 &amp;CF$4,tblForecast,CF$2,FALSE),0)</f>
        <v>1252533.3</v>
      </c>
      <c r="CG93" s="194">
        <f t="shared" si="591"/>
        <v>-1</v>
      </c>
      <c r="CH93" s="337">
        <f t="shared" si="738"/>
        <v>0</v>
      </c>
      <c r="CI93" s="46">
        <f t="shared" si="738"/>
        <v>0</v>
      </c>
      <c r="CJ93" s="46">
        <f>IF($A93="a",IFERROR(VLOOKUP($B93 &amp; $C93&amp;CJ$4,tblForecast,CJ$2,FALSE),0),CH93+CI93)</f>
        <v>0</v>
      </c>
      <c r="CK93" s="46">
        <f t="shared" si="739"/>
        <v>0</v>
      </c>
      <c r="CL93" s="46">
        <f t="shared" si="739"/>
        <v>0</v>
      </c>
      <c r="CM93" s="46">
        <f>IFERROR(VLOOKUP($B93-IF(CompareVer="LY",1,0) &amp; $C93 &amp;CM$4,tblForecast,CM$2,FALSE),0)</f>
        <v>211543.75719999999</v>
      </c>
      <c r="CN93" s="194">
        <f t="shared" si="592"/>
        <v>-1</v>
      </c>
      <c r="CO93" s="178">
        <f t="shared" si="637"/>
        <v>0</v>
      </c>
      <c r="CP93" s="223">
        <f t="shared" si="637"/>
        <v>27.543943792057</v>
      </c>
      <c r="CQ93" s="194">
        <f t="shared" si="593"/>
        <v>-1</v>
      </c>
      <c r="CR93" s="178">
        <f t="shared" si="596"/>
        <v>0</v>
      </c>
      <c r="CS93" s="223">
        <f t="shared" si="596"/>
        <v>4.6519716145489731</v>
      </c>
      <c r="CT93" s="194">
        <f t="shared" si="638"/>
        <v>-1</v>
      </c>
      <c r="CU93" s="44"/>
      <c r="CW93" s="102">
        <f>IF(CW92+BV93+BL93-Q93&lt;0,0,CW92+BV93+BL93-Q93)</f>
        <v>0</v>
      </c>
      <c r="CX93" s="48">
        <f>IFERROR(VLOOKUP($B93-IF(CompareVer="LY",1,0) &amp; $C93 &amp;CX$4,tblForecast,CX$2,FALSE),0)</f>
        <v>-1</v>
      </c>
      <c r="CY93" s="47">
        <f>IFERROR(CW93/CX93-1,)</f>
        <v>-1</v>
      </c>
      <c r="CZ93" s="278">
        <f>IFERROR(VLOOKUP(Brand&amp;Channel&amp;Country&amp;$C93,tblDiscount,6,FALSE),0)</f>
        <v>0.45</v>
      </c>
      <c r="DA93" s="279">
        <f>(1-CZ93)*DB93</f>
        <v>13.761000000000001</v>
      </c>
      <c r="DB93" s="279">
        <f>IFERROR(VLOOKUP(Brand&amp;Country &amp; Channel &amp;FC,tblFCSettings,8,FALSE),0)</f>
        <v>25.02</v>
      </c>
      <c r="DC93" s="280">
        <f>IFERROR(VLOOKUP(Brand&amp;Country &amp; Channel &amp;FC,tblFCSettings,9,FALSE),0)</f>
        <v>4.16</v>
      </c>
    </row>
    <row r="94" spans="2:107" ht="16.5" thickBot="1" x14ac:dyDescent="0.3">
      <c r="B94" s="44">
        <v>2019</v>
      </c>
      <c r="C94" s="88">
        <v>13</v>
      </c>
      <c r="D94" s="51">
        <f t="shared" si="740"/>
        <v>-14776.445801</v>
      </c>
      <c r="E94" s="202">
        <f t="shared" si="741"/>
        <v>-6650.2813950000009</v>
      </c>
      <c r="F94" s="182">
        <f t="shared" si="599"/>
        <v>0.45005960733466377</v>
      </c>
      <c r="G94" s="176">
        <f t="shared" si="722"/>
        <v>15913</v>
      </c>
      <c r="H94" s="203">
        <f t="shared" si="722"/>
        <v>-0.92857699999999999</v>
      </c>
      <c r="I94" s="203">
        <f t="shared" si="722"/>
        <v>-0.51066199999999995</v>
      </c>
      <c r="J94" s="176">
        <f>IFERROR(VLOOKUP($B94 &amp; $C94&amp;J$4&amp;$A94,tblForecast,J$2,FALSE),0)+IFERROR(VLOOKUP($B94 &amp; $C94 &amp; J$4 &amp; $A94,tblForecast,J$2+1,FALSE),0)</f>
        <v>23303</v>
      </c>
      <c r="K94" s="300">
        <f>IFERROR(VLOOKUP($B94 &amp; $C94&amp;K$4&amp;$A94,tblForecast,K$2,FALSE),0)+IFERROR(VLOOKUP($B94 &amp; $C94&amp;K$4&amp;$A94,tblForecast,K$2+1,FALSE),0)</f>
        <v>0</v>
      </c>
      <c r="L94" s="90">
        <f>Q94*AM94</f>
        <v>0</v>
      </c>
      <c r="M94" s="90">
        <f t="shared" si="723"/>
        <v>0</v>
      </c>
      <c r="N94" s="46">
        <f t="shared" si="723"/>
        <v>0</v>
      </c>
      <c r="O94" s="46">
        <f t="shared" si="723"/>
        <v>18</v>
      </c>
      <c r="P94" s="47">
        <f t="shared" si="594"/>
        <v>-1</v>
      </c>
      <c r="Q94" s="342">
        <f t="shared" si="742"/>
        <v>0</v>
      </c>
      <c r="R94" s="240">
        <f t="shared" si="724"/>
        <v>0</v>
      </c>
      <c r="S94" s="240">
        <f t="shared" si="724"/>
        <v>0</v>
      </c>
      <c r="T94" s="240">
        <f>IFERROR(VLOOKUP($B94-IF(CompareVer="LY",1,0) &amp; $C94 &amp;T$4,tblForecast,T$2,FALSE),0)</f>
        <v>1</v>
      </c>
      <c r="U94" s="91">
        <f t="shared" si="585"/>
        <v>-1</v>
      </c>
      <c r="V94" s="249">
        <f t="shared" si="743"/>
        <v>0</v>
      </c>
      <c r="W94" s="334">
        <f t="shared" si="744"/>
        <v>0</v>
      </c>
      <c r="X94" s="250">
        <f t="shared" si="745"/>
        <v>0</v>
      </c>
      <c r="Y94" s="51">
        <f t="shared" si="725"/>
        <v>0</v>
      </c>
      <c r="Z94" s="46">
        <f t="shared" si="725"/>
        <v>0</v>
      </c>
      <c r="AA94" s="46">
        <f t="shared" si="725"/>
        <v>0</v>
      </c>
      <c r="AB94" s="46">
        <f t="shared" si="725"/>
        <v>9</v>
      </c>
      <c r="AC94" s="91">
        <f t="shared" si="586"/>
        <v>-1</v>
      </c>
      <c r="AD94" s="75">
        <f>IF(AM94&lt;&gt;0,1-AR94/AM94,0)</f>
        <v>0.69767441860465107</v>
      </c>
      <c r="AE94" s="93">
        <f t="shared" si="726"/>
        <v>0.69767441860465107</v>
      </c>
      <c r="AF94" s="93">
        <f t="shared" si="726"/>
        <v>0</v>
      </c>
      <c r="AG94" s="76">
        <f t="shared" si="726"/>
        <v>0.5</v>
      </c>
      <c r="AH94" s="73">
        <f>IF(IFERROR(VLOOKUP($B94 &amp; $C94&amp;AH$4,tblForecast,AH$2,FALSE),0)=0,DB94,IFERROR(VLOOKUP($B94 &amp; $C94&amp;AH$4,tblForecast,AH$2,FALSE),0))</f>
        <v>25.02</v>
      </c>
      <c r="AI94" s="94">
        <f t="shared" si="727"/>
        <v>25.02</v>
      </c>
      <c r="AJ94" s="94">
        <f t="shared" si="727"/>
        <v>0</v>
      </c>
      <c r="AK94" s="49">
        <f>IFERROR(VLOOKUP($B94-IF(CompareVer="LY",1,0) &amp; $C94 &amp;AK$4,tblForecast,AK$2,FALSE),0)</f>
        <v>29.95</v>
      </c>
      <c r="AL94" s="47">
        <f t="shared" si="492"/>
        <v>-0.16460767946577626</v>
      </c>
      <c r="AM94" s="73">
        <f>IF(IFERROR(VLOOKUP($B94 &amp; $C94&amp;AM$4,tblForecast,AM$2,FALSE),0)=0,DA94,IFERROR(VLOOKUP($B94 &amp; $C94&amp;AM$4,tblForecast,AM$2,FALSE),0))</f>
        <v>13.76</v>
      </c>
      <c r="AN94" s="94">
        <f t="shared" si="728"/>
        <v>13.76</v>
      </c>
      <c r="AO94" s="94">
        <f t="shared" si="728"/>
        <v>0</v>
      </c>
      <c r="AP94" s="49">
        <f>IFERROR(VLOOKUP($B94-IF(CompareVer="LY",1,0) &amp; $C94 &amp;AP$4,tblForecast,AP$2,FALSE),0)</f>
        <v>18</v>
      </c>
      <c r="AQ94" s="47">
        <f t="shared" si="587"/>
        <v>-0.23555555555555552</v>
      </c>
      <c r="AR94" s="73">
        <f>IF(IFERROR(VLOOKUP($B94 &amp; $C94&amp;AR$4,tblForecast,AR$2,FALSE),0)=0,DC94,IFERROR(VLOOKUP($B94 &amp; $C94&amp;AR$4,tblForecast,AR$2,FALSE),0))</f>
        <v>4.16</v>
      </c>
      <c r="AS94" s="94">
        <f t="shared" si="729"/>
        <v>4.16</v>
      </c>
      <c r="AT94" s="94">
        <f t="shared" si="729"/>
        <v>0</v>
      </c>
      <c r="AU94" s="49">
        <f>IFERROR(VLOOKUP($B94-IF(CompareVer="LY",1,0) &amp; $C94 &amp;AU$4,tblForecast,AU$2,FALSE),0)</f>
        <v>9</v>
      </c>
      <c r="AV94" s="47">
        <f t="shared" si="588"/>
        <v>-0.53777777777777769</v>
      </c>
      <c r="AW94" s="191">
        <f t="shared" si="730"/>
        <v>0.45003996802557955</v>
      </c>
      <c r="AX94" s="192">
        <f t="shared" si="730"/>
        <v>0.45003996802557955</v>
      </c>
      <c r="AY94" s="192">
        <f t="shared" si="730"/>
        <v>0</v>
      </c>
      <c r="AZ94" s="192">
        <f t="shared" si="730"/>
        <v>0.39899833055091816</v>
      </c>
      <c r="BA94" s="235">
        <f>IF(BA93+BV94+BL94+BR94-Q94&lt;0,0,BA93+BV94+BL94+BR94-Q94)</f>
        <v>56712</v>
      </c>
      <c r="BB94" s="231">
        <f>IF(IFERROR(VLOOKUP($B94 &amp; $C94&amp;BB$4,tblForecast,BB$2,FALSE),0)=0,BA94,IFERROR(VLOOKUP($B94 &amp; $C94&amp;BB$4,tblForecast,BB$2,FALSE),0))</f>
        <v>56712</v>
      </c>
      <c r="BC94" s="231">
        <f>IFERROR(VLOOKUP($B94-IF(CompareVer="LY",1,0) &amp; $C94 &amp;BC$4,tblForecast,BC$2,FALSE),0)</f>
        <v>0</v>
      </c>
      <c r="BD94" s="231">
        <f t="shared" si="731"/>
        <v>525557</v>
      </c>
      <c r="BE94" s="194">
        <f t="shared" si="589"/>
        <v>-0.89209162850080959</v>
      </c>
      <c r="BF94" s="231">
        <f>IFERROR(VLOOKUP($B94 &amp; $C94&amp;IF($A94="a",BG$4,BF$4),tblForecast,BF$2,FALSE),0)</f>
        <v>0</v>
      </c>
      <c r="BG94" s="228">
        <f>IFERROR(VLOOKUP($B94-IF(CompareVer="LY",1,0) &amp; $C94 &amp;BG$4,tblForecast,BG$2,FALSE),0)</f>
        <v>525559</v>
      </c>
      <c r="BH94" s="179">
        <f>IF(Q94&lt;&gt;0,BA94/Q94,0)</f>
        <v>0</v>
      </c>
      <c r="BI94" s="183">
        <f>IF(T94&lt;&gt;0,BD94/T94,0)</f>
        <v>525557</v>
      </c>
      <c r="BJ94" s="195">
        <f t="shared" si="732"/>
        <v>0</v>
      </c>
      <c r="BK94" s="50">
        <f t="shared" si="733"/>
        <v>1.9027431848495977E-6</v>
      </c>
      <c r="BL94" s="234">
        <f>IFERROR(VLOOKUP($B94 &amp; $C94&amp;IF($A94="a",BM$4,BL$4),tblForecast,BL$2,FALSE),0)</f>
        <v>0</v>
      </c>
      <c r="BM94" s="228">
        <f>IFERROR(VLOOKUP($B94-IF(CompareVer="LY",1,0) &amp; $C94 &amp;BM$4,tblForecast,BM$2,FALSE),0)</f>
        <v>3125</v>
      </c>
      <c r="BN94" s="234">
        <f>IFERROR(VLOOKUP($B94 &amp; $C94&amp;IF($A94="a",BO$4,BN$4),tblForecast,BN$2,FALSE),0)</f>
        <v>0</v>
      </c>
      <c r="BO94" s="228">
        <f>IFERROR(VLOOKUP($B94-IF(CompareVer="LY",1,0) &amp; $C94 &amp;BO$4,tblForecast,BO$2,FALSE),0)</f>
        <v>0</v>
      </c>
      <c r="BP94" s="234">
        <f>IFERROR(VLOOKUP($B94 &amp; $C94&amp;IF($A94="a",BQ$4,BP$4),tblForecast,BP$2,FALSE),0)</f>
        <v>0</v>
      </c>
      <c r="BQ94" s="228">
        <f>IFERROR(VLOOKUP($B94-IF(CompareVer="LY",1,0) &amp; $C94 &amp;BQ$4,tblForecast,BQ$2,FALSE),0)</f>
        <v>0</v>
      </c>
      <c r="BR94" s="227">
        <f t="shared" si="746"/>
        <v>0</v>
      </c>
      <c r="BS94" s="231">
        <f t="shared" si="746"/>
        <v>0</v>
      </c>
      <c r="BT94" s="234">
        <f t="shared" si="734"/>
        <v>0</v>
      </c>
      <c r="BU94" s="231">
        <f t="shared" si="734"/>
        <v>0</v>
      </c>
      <c r="BV94" s="231">
        <f>IF($A94="a",IFERROR(VLOOKUP($B94 &amp; $C94&amp;BV$4,tblForecast,BV$2,FALSE),0),BT94+BU94)</f>
        <v>0</v>
      </c>
      <c r="BW94" s="231">
        <f t="shared" si="735"/>
        <v>0</v>
      </c>
      <c r="BX94" s="231">
        <f t="shared" si="735"/>
        <v>0</v>
      </c>
      <c r="BY94" s="193">
        <f>IFERROR(VLOOKUP($B94-IF(CompareVer="LY",1,0) &amp; $C94 &amp;BY$4,tblForecast,BY$2,FALSE),0)</f>
        <v>474340</v>
      </c>
      <c r="BZ94" s="194">
        <f t="shared" si="590"/>
        <v>-1</v>
      </c>
      <c r="CA94" s="337">
        <f t="shared" si="736"/>
        <v>0</v>
      </c>
      <c r="CB94" s="46">
        <f t="shared" si="736"/>
        <v>0</v>
      </c>
      <c r="CC94" s="46">
        <f>IF($A94="a",IFERROR(VLOOKUP($B94 &amp; $C94&amp;CC$4,tblForecast,CC$2,FALSE),0),CA94+CB94)</f>
        <v>0</v>
      </c>
      <c r="CD94" s="46">
        <f t="shared" si="737"/>
        <v>0</v>
      </c>
      <c r="CE94" s="46">
        <f t="shared" si="737"/>
        <v>0</v>
      </c>
      <c r="CF94" s="46">
        <f>IFERROR(VLOOKUP($B94-IF(CompareVer="LY",1,0) &amp; $C94 &amp;CF$4,tblForecast,CF$2,FALSE),0)</f>
        <v>11734366</v>
      </c>
      <c r="CG94" s="194">
        <f t="shared" si="591"/>
        <v>-1</v>
      </c>
      <c r="CH94" s="337">
        <f t="shared" si="738"/>
        <v>0</v>
      </c>
      <c r="CI94" s="46">
        <f t="shared" si="738"/>
        <v>0</v>
      </c>
      <c r="CJ94" s="46">
        <f>IF($A94="a",IFERROR(VLOOKUP($B94 &amp; $C94&amp;CJ$4,tblForecast,CJ$2,FALSE),0),CH94+CI94)</f>
        <v>0</v>
      </c>
      <c r="CK94" s="46">
        <f t="shared" si="739"/>
        <v>0</v>
      </c>
      <c r="CL94" s="46">
        <f t="shared" si="739"/>
        <v>0</v>
      </c>
      <c r="CM94" s="46">
        <f>IFERROR(VLOOKUP($B94-IF(CompareVer="LY",1,0) &amp; $C94 &amp;CM$4,tblForecast,CM$2,FALSE),0)</f>
        <v>1959649.2675999999</v>
      </c>
      <c r="CN94" s="194">
        <f t="shared" si="592"/>
        <v>-1</v>
      </c>
      <c r="CO94" s="178">
        <f t="shared" si="637"/>
        <v>0</v>
      </c>
      <c r="CP94" s="223">
        <f t="shared" si="637"/>
        <v>24.738301640173717</v>
      </c>
      <c r="CQ94" s="194">
        <f t="shared" si="593"/>
        <v>-1</v>
      </c>
      <c r="CR94" s="178">
        <f t="shared" si="596"/>
        <v>0</v>
      </c>
      <c r="CS94" s="223">
        <f t="shared" si="596"/>
        <v>4.1313177627861872</v>
      </c>
      <c r="CT94" s="194">
        <f t="shared" si="638"/>
        <v>-1</v>
      </c>
      <c r="CU94" s="44"/>
      <c r="CW94" s="102">
        <f>IF(CW93+BV94+BL94-Q94&lt;0,0,CW93+BV94+BL94-Q94)</f>
        <v>0</v>
      </c>
      <c r="CX94" s="48">
        <f>IFERROR(VLOOKUP($B94-IF(CompareVer="LY",1,0) &amp; $C94 &amp;CX$4,tblForecast,CX$2,FALSE),0)</f>
        <v>-2</v>
      </c>
      <c r="CY94" s="47">
        <f>IFERROR(CW94/CX94-1,)</f>
        <v>-1</v>
      </c>
      <c r="CZ94" s="278">
        <f>IFERROR(VLOOKUP(Brand&amp;Channel&amp;Country&amp;$C94,tblDiscount,6,FALSE),0)</f>
        <v>0.45</v>
      </c>
      <c r="DA94" s="279">
        <f>(1-CZ94)*DB94</f>
        <v>13.761000000000001</v>
      </c>
      <c r="DB94" s="279">
        <f>IFERROR(VLOOKUP(Brand&amp;Country &amp; Channel &amp;FC,tblFCSettings,8,FALSE),0)</f>
        <v>25.02</v>
      </c>
      <c r="DC94" s="280">
        <f>IFERROR(VLOOKUP(Brand&amp;Country &amp; Channel &amp;FC,tblFCSettings,9,FALSE),0)</f>
        <v>4.16</v>
      </c>
    </row>
    <row r="95" spans="2:107" ht="16.5" thickBot="1" x14ac:dyDescent="0.3">
      <c r="C95" s="253" t="s">
        <v>23</v>
      </c>
      <c r="D95" s="254">
        <f t="shared" ref="D95" si="747">SUM(D91:D94)</f>
        <v>-1205687.1356160003</v>
      </c>
      <c r="E95" s="255">
        <f t="shared" ref="E95" si="748">SUM(E91:E94)</f>
        <v>-504518.68716800003</v>
      </c>
      <c r="F95" s="256">
        <f t="shared" si="599"/>
        <v>0.4184490920277053</v>
      </c>
      <c r="G95" s="257">
        <f>SUM(G91:G94)</f>
        <v>14966</v>
      </c>
      <c r="H95" s="258">
        <f>IFERROR(D95/G95,0)</f>
        <v>-80.561749005479101</v>
      </c>
      <c r="I95" s="258">
        <f>IFERROR(SUMPRODUCT(I91:I94,G91:G94)/G95,0)</f>
        <v>-46.850758281972482</v>
      </c>
      <c r="J95" s="257">
        <f>SUM(J91:J94)</f>
        <v>94821</v>
      </c>
      <c r="K95" s="301">
        <f>IFERROR(VLOOKUP($B95 &amp; $C95&amp;K$4&amp;$A95,tblForecast,K$2,FALSE),0)+IFERROR(VLOOKUP($B95 &amp; $C95&amp;K$4&amp;$A95,tblForecast,K$2+1,FALSE),0)</f>
        <v>0</v>
      </c>
      <c r="L95" s="259">
        <f>SUM(L91:L94)</f>
        <v>0</v>
      </c>
      <c r="M95" s="259">
        <f t="shared" ref="M95:O95" si="749">SUM(M91:M94)</f>
        <v>0</v>
      </c>
      <c r="N95" s="259">
        <f t="shared" si="749"/>
        <v>0</v>
      </c>
      <c r="O95" s="259">
        <f t="shared" si="749"/>
        <v>18</v>
      </c>
      <c r="P95" s="260">
        <f t="shared" si="594"/>
        <v>-1</v>
      </c>
      <c r="Q95" s="261">
        <f>SUM(Q91:Q94)</f>
        <v>0</v>
      </c>
      <c r="R95" s="262">
        <f t="shared" ref="R95:S95" si="750">SUM(R91:R94)</f>
        <v>0</v>
      </c>
      <c r="S95" s="262">
        <f t="shared" si="750"/>
        <v>0</v>
      </c>
      <c r="T95" s="262">
        <f>SUM(T91:T94)</f>
        <v>1</v>
      </c>
      <c r="U95" s="260">
        <f t="shared" si="585"/>
        <v>-1</v>
      </c>
      <c r="V95" s="263">
        <f t="shared" ref="V95:X95" si="751">V94</f>
        <v>0</v>
      </c>
      <c r="W95" s="332">
        <f t="shared" si="751"/>
        <v>0</v>
      </c>
      <c r="X95" s="264">
        <f t="shared" si="751"/>
        <v>0</v>
      </c>
      <c r="Y95" s="254">
        <f>SUM(Y91:Y94)</f>
        <v>0</v>
      </c>
      <c r="Z95" s="259">
        <f t="shared" ref="Z95:AB95" si="752">SUM(Z91:Z94)</f>
        <v>0</v>
      </c>
      <c r="AA95" s="259">
        <f t="shared" si="752"/>
        <v>0</v>
      </c>
      <c r="AB95" s="259">
        <f t="shared" si="752"/>
        <v>9</v>
      </c>
      <c r="AC95" s="260">
        <f t="shared" si="586"/>
        <v>-1</v>
      </c>
      <c r="AD95" s="265">
        <f t="shared" ref="AD95:AG96" si="753">IFERROR(Y95/L95,0)</f>
        <v>0</v>
      </c>
      <c r="AE95" s="266">
        <f t="shared" si="753"/>
        <v>0</v>
      </c>
      <c r="AF95" s="266">
        <f t="shared" si="753"/>
        <v>0</v>
      </c>
      <c r="AG95" s="266">
        <f t="shared" si="753"/>
        <v>0.5</v>
      </c>
      <c r="AH95" s="58">
        <f>IFERROR(SUMPRODUCT(AH91:AH94,Q91:Q94)/Q95,0)</f>
        <v>0</v>
      </c>
      <c r="AI95" s="58">
        <f>IFERROR(SUMPRODUCT(AI91:AI94,R91:R94)/R95,0)</f>
        <v>0</v>
      </c>
      <c r="AJ95" s="58">
        <f t="shared" ref="AJ95:AK95" si="754">IFERROR(SUMPRODUCT(AJ91:AJ94,S91:S94)/S95,0)</f>
        <v>0</v>
      </c>
      <c r="AK95" s="58">
        <f t="shared" si="754"/>
        <v>29.95</v>
      </c>
      <c r="AL95" s="54">
        <f t="shared" ref="AL95" si="755">IFERROR((AL83*U83+AL89*U89+AL94*U94)/U95,0)</f>
        <v>-0.16460767946577626</v>
      </c>
      <c r="AM95" s="267">
        <f t="shared" ref="AM95:AP96" si="756">IF(Q95&lt;&gt;0,L95/Q95,0)</f>
        <v>0</v>
      </c>
      <c r="AN95" s="268">
        <f t="shared" si="756"/>
        <v>0</v>
      </c>
      <c r="AO95" s="268">
        <f t="shared" si="756"/>
        <v>0</v>
      </c>
      <c r="AP95" s="268">
        <f t="shared" si="756"/>
        <v>18</v>
      </c>
      <c r="AQ95" s="260">
        <f t="shared" si="587"/>
        <v>-1</v>
      </c>
      <c r="AR95" s="267">
        <f t="shared" ref="AR95:AU96" si="757">IFERROR((L95*(1-AD95))/Q95,0)</f>
        <v>0</v>
      </c>
      <c r="AS95" s="268">
        <f t="shared" si="757"/>
        <v>0</v>
      </c>
      <c r="AT95" s="268">
        <f t="shared" si="757"/>
        <v>0</v>
      </c>
      <c r="AU95" s="268">
        <f t="shared" si="757"/>
        <v>9</v>
      </c>
      <c r="AV95" s="260">
        <f t="shared" si="588"/>
        <v>-1</v>
      </c>
      <c r="AW95" s="269">
        <f>IFERROR(SUMPRODUCT(AW91:AW94,V91:V94)/V95,0)</f>
        <v>0</v>
      </c>
      <c r="AX95" s="270">
        <f t="shared" ref="AX95:AZ95" si="758">IFERROR(SUMPRODUCT(AX91:AX94,X91:X94)/X95,0)</f>
        <v>0</v>
      </c>
      <c r="AY95" s="270">
        <f t="shared" si="758"/>
        <v>0</v>
      </c>
      <c r="AZ95" s="270">
        <f t="shared" si="758"/>
        <v>0</v>
      </c>
      <c r="BA95" s="261">
        <f>BA94</f>
        <v>56712</v>
      </c>
      <c r="BB95" s="262">
        <f t="shared" ref="BB95:BD96" si="759">BB94</f>
        <v>56712</v>
      </c>
      <c r="BC95" s="262">
        <f t="shared" si="759"/>
        <v>0</v>
      </c>
      <c r="BD95" s="262">
        <f t="shared" si="759"/>
        <v>525557</v>
      </c>
      <c r="BE95" s="260">
        <f t="shared" si="589"/>
        <v>-0.89209162850080959</v>
      </c>
      <c r="BF95" s="262">
        <f>BF94</f>
        <v>0</v>
      </c>
      <c r="BG95" s="262">
        <f>BG94</f>
        <v>525559</v>
      </c>
      <c r="BH95" s="271">
        <f>IF(Q95&lt;&gt;0,(BA95*COUNTIF(BH91:BH94,"&lt;&gt;0")/Q95),0)</f>
        <v>0</v>
      </c>
      <c r="BI95" s="272">
        <f>IF(T95&lt;&gt;0,(BD95*COUNTIF(BI91:BI94,"&lt;&gt;0")/T95),0)</f>
        <v>525557</v>
      </c>
      <c r="BJ95" s="273" t="e">
        <f>IF(BA95&lt;&gt;0,(Q95/COUNTIF(BJ91:BJ94,"&lt;&gt;0"))/BA95,0)</f>
        <v>#DIV/0!</v>
      </c>
      <c r="BK95" s="274">
        <f>IF(BD95&lt;&gt;0,(T95/COUNTIF(BK91:BK94,"&lt;&gt;0"))/BD95,0)</f>
        <v>1.9027431848495977E-6</v>
      </c>
      <c r="BL95" s="261">
        <f>SUM(BL91:BL94)</f>
        <v>0</v>
      </c>
      <c r="BM95" s="262">
        <f>SUM(BM91:BM94)</f>
        <v>3125</v>
      </c>
      <c r="BN95" s="261">
        <f>SUM(BN91:BN94)</f>
        <v>0</v>
      </c>
      <c r="BO95" s="262">
        <f t="shared" ref="BO95" si="760">SUM(BO91:BO94)</f>
        <v>0</v>
      </c>
      <c r="BP95" s="261">
        <f>SUM(BP91:BP94)</f>
        <v>0</v>
      </c>
      <c r="BQ95" s="262">
        <f t="shared" ref="BQ95" si="761">SUM(BQ91:BQ94)</f>
        <v>0</v>
      </c>
      <c r="BR95" s="261">
        <f t="shared" si="746"/>
        <v>0</v>
      </c>
      <c r="BS95" s="262">
        <f t="shared" si="746"/>
        <v>0</v>
      </c>
      <c r="BT95" s="261">
        <f>SUM(BT92:BT94)</f>
        <v>0</v>
      </c>
      <c r="BU95" s="262">
        <f>SUM(BU92:BU94)</f>
        <v>0</v>
      </c>
      <c r="BV95" s="262">
        <f>SUM(BV91:BV94)</f>
        <v>0</v>
      </c>
      <c r="BW95" s="262">
        <f t="shared" ref="BW95:BX95" si="762">SUM(BW91:BW94)</f>
        <v>0</v>
      </c>
      <c r="BX95" s="262">
        <f t="shared" si="762"/>
        <v>0</v>
      </c>
      <c r="BY95" s="275">
        <f>SUM(BY91:BY94)</f>
        <v>522434</v>
      </c>
      <c r="BZ95" s="260">
        <f t="shared" si="590"/>
        <v>-1</v>
      </c>
      <c r="CA95" s="338">
        <f>SUM(CA92:CA94)</f>
        <v>0</v>
      </c>
      <c r="CB95" s="259">
        <f t="shared" ref="CB95" si="763">SUM(CB92:CB94)</f>
        <v>0</v>
      </c>
      <c r="CC95" s="259">
        <f t="shared" ref="CC95:CF95" si="764">SUM(CC91:CC94)</f>
        <v>0</v>
      </c>
      <c r="CD95" s="259">
        <f t="shared" si="764"/>
        <v>0</v>
      </c>
      <c r="CE95" s="259">
        <f t="shared" si="764"/>
        <v>0</v>
      </c>
      <c r="CF95" s="259">
        <f t="shared" si="764"/>
        <v>13020828.300000001</v>
      </c>
      <c r="CG95" s="260">
        <f t="shared" si="591"/>
        <v>-1</v>
      </c>
      <c r="CH95" s="338">
        <f>SUM(CH92:CH94)</f>
        <v>0</v>
      </c>
      <c r="CI95" s="259">
        <f t="shared" ref="CI95" si="765">SUM(CI92:CI94)</f>
        <v>0</v>
      </c>
      <c r="CJ95" s="259">
        <f t="shared" ref="CJ95:CM95" si="766">SUM(CJ91:CJ94)</f>
        <v>0</v>
      </c>
      <c r="CK95" s="259">
        <f t="shared" si="766"/>
        <v>0</v>
      </c>
      <c r="CL95" s="259">
        <f t="shared" si="766"/>
        <v>0</v>
      </c>
      <c r="CM95" s="259">
        <f t="shared" si="766"/>
        <v>2180281.8048</v>
      </c>
      <c r="CN95" s="260">
        <f t="shared" si="592"/>
        <v>-1</v>
      </c>
      <c r="CO95" s="276">
        <f t="shared" si="637"/>
        <v>0</v>
      </c>
      <c r="CP95" s="277">
        <f t="shared" si="637"/>
        <v>24.923393768399453</v>
      </c>
      <c r="CQ95" s="260">
        <f t="shared" si="593"/>
        <v>-1</v>
      </c>
      <c r="CR95" s="276">
        <f t="shared" si="596"/>
        <v>0</v>
      </c>
      <c r="CS95" s="277">
        <f t="shared" si="596"/>
        <v>4.1733152987745825</v>
      </c>
      <c r="CT95" s="260">
        <f t="shared" si="638"/>
        <v>-1</v>
      </c>
      <c r="CU95" s="44"/>
      <c r="CW95" s="100">
        <f>CW94</f>
        <v>0</v>
      </c>
      <c r="CX95" s="101">
        <f>CX94</f>
        <v>-2</v>
      </c>
      <c r="CY95" s="99">
        <f>IFERROR(CW95/CX95-1,)</f>
        <v>-1</v>
      </c>
      <c r="CZ95" s="278"/>
      <c r="DA95" s="279"/>
      <c r="DB95" s="279"/>
      <c r="DC95" s="280"/>
    </row>
    <row r="96" spans="2:107" ht="16.5" thickBot="1" x14ac:dyDescent="0.3">
      <c r="C96" s="105" t="s">
        <v>24</v>
      </c>
      <c r="D96" s="52">
        <f t="shared" ref="D96:E96" si="767">D84+D90+D95</f>
        <v>-3525400994.3532629</v>
      </c>
      <c r="E96" s="205">
        <f t="shared" si="767"/>
        <v>-1853780001.7157009</v>
      </c>
      <c r="F96" s="206">
        <f t="shared" si="599"/>
        <v>0.52583521837230829</v>
      </c>
      <c r="G96" s="204">
        <f>G84+G90+G95</f>
        <v>-136553844</v>
      </c>
      <c r="H96" s="207">
        <f>IFERROR(D96/G96,0)</f>
        <v>25.816929725927473</v>
      </c>
      <c r="I96" s="58">
        <f>IFERROR((I84*G84+I90*G90+I95*G95)/G96,0)</f>
        <v>12.241478845791862</v>
      </c>
      <c r="J96" s="204">
        <f t="shared" ref="J96:K96" si="768">J84+J90+J95</f>
        <v>974521</v>
      </c>
      <c r="K96" s="302">
        <f t="shared" si="768"/>
        <v>0</v>
      </c>
      <c r="L96" s="53">
        <f>L84+L90+L95</f>
        <v>0</v>
      </c>
      <c r="M96" s="53">
        <f t="shared" ref="M96:O96" si="769">M84+M90+M95</f>
        <v>0</v>
      </c>
      <c r="N96" s="53">
        <f t="shared" si="769"/>
        <v>0</v>
      </c>
      <c r="O96" s="53">
        <f t="shared" si="769"/>
        <v>18</v>
      </c>
      <c r="P96" s="54">
        <f t="shared" si="594"/>
        <v>-1</v>
      </c>
      <c r="Q96" s="229">
        <f>Q84+Q90+Q95</f>
        <v>0</v>
      </c>
      <c r="R96" s="230">
        <f t="shared" ref="R96:S96" si="770">R84+R90+R95</f>
        <v>0</v>
      </c>
      <c r="S96" s="230">
        <f t="shared" si="770"/>
        <v>0</v>
      </c>
      <c r="T96" s="230">
        <f>T84+T90+T95</f>
        <v>1</v>
      </c>
      <c r="U96" s="54">
        <f t="shared" si="585"/>
        <v>-1</v>
      </c>
      <c r="V96" s="247">
        <f t="shared" ref="V96:X96" si="771">V95</f>
        <v>0</v>
      </c>
      <c r="W96" s="333">
        <f t="shared" si="771"/>
        <v>0</v>
      </c>
      <c r="X96" s="248">
        <f t="shared" si="771"/>
        <v>0</v>
      </c>
      <c r="Y96" s="52">
        <f>Y84+Y90+Y95</f>
        <v>0</v>
      </c>
      <c r="Z96" s="53">
        <f t="shared" ref="Z96:AB96" si="772">Z84+Z90+Z95</f>
        <v>0</v>
      </c>
      <c r="AA96" s="53">
        <f t="shared" si="772"/>
        <v>0</v>
      </c>
      <c r="AB96" s="53">
        <f t="shared" si="772"/>
        <v>9</v>
      </c>
      <c r="AC96" s="54">
        <f t="shared" si="586"/>
        <v>-1</v>
      </c>
      <c r="AD96" s="77">
        <f t="shared" si="753"/>
        <v>0</v>
      </c>
      <c r="AE96" s="78">
        <f t="shared" si="753"/>
        <v>0</v>
      </c>
      <c r="AF96" s="78">
        <f t="shared" si="753"/>
        <v>0</v>
      </c>
      <c r="AG96" s="78">
        <f t="shared" si="753"/>
        <v>0.5</v>
      </c>
      <c r="AH96" s="57">
        <f>IFERROR((AH84*Q84+AH90*Q90+AH95*Q95)/Q96,0)</f>
        <v>0</v>
      </c>
      <c r="AI96" s="58">
        <f t="shared" ref="AI96:AK96" si="773">IFERROR((AI84*R84+AI90*R90+AI95*R95)/R96,0)</f>
        <v>0</v>
      </c>
      <c r="AJ96" s="58">
        <f t="shared" si="773"/>
        <v>0</v>
      </c>
      <c r="AK96" s="58">
        <f t="shared" si="773"/>
        <v>29.95</v>
      </c>
      <c r="AL96" s="54">
        <f t="shared" ref="AL96" si="774">IFERROR(AH96/AK96-1,)</f>
        <v>-1</v>
      </c>
      <c r="AM96" s="57">
        <f t="shared" si="756"/>
        <v>0</v>
      </c>
      <c r="AN96" s="58">
        <f t="shared" si="756"/>
        <v>0</v>
      </c>
      <c r="AO96" s="58">
        <f t="shared" si="756"/>
        <v>0</v>
      </c>
      <c r="AP96" s="58">
        <f t="shared" si="756"/>
        <v>18</v>
      </c>
      <c r="AQ96" s="54">
        <f t="shared" si="587"/>
        <v>-1</v>
      </c>
      <c r="AR96" s="57">
        <f t="shared" si="757"/>
        <v>0</v>
      </c>
      <c r="AS96" s="58">
        <f t="shared" si="757"/>
        <v>0</v>
      </c>
      <c r="AT96" s="58">
        <f t="shared" si="757"/>
        <v>0</v>
      </c>
      <c r="AU96" s="58">
        <f t="shared" si="757"/>
        <v>9</v>
      </c>
      <c r="AV96" s="54">
        <f t="shared" si="588"/>
        <v>-1</v>
      </c>
      <c r="AW96" s="59">
        <f>IFERROR((AW84*V84+AW90*V90+AW95*V95)/V96,0)</f>
        <v>0</v>
      </c>
      <c r="AX96" s="60">
        <f t="shared" ref="AX96:AZ96" si="775">IFERROR((AX84*X84+AX90*X90+AX95*X95)/X96,0)</f>
        <v>0</v>
      </c>
      <c r="AY96" s="60">
        <f t="shared" si="775"/>
        <v>0</v>
      </c>
      <c r="AZ96" s="60">
        <f t="shared" si="775"/>
        <v>0</v>
      </c>
      <c r="BA96" s="236">
        <f>BA95</f>
        <v>56712</v>
      </c>
      <c r="BB96" s="230">
        <f t="shared" si="759"/>
        <v>56712</v>
      </c>
      <c r="BC96" s="230">
        <f t="shared" si="759"/>
        <v>0</v>
      </c>
      <c r="BD96" s="230">
        <f t="shared" si="759"/>
        <v>525557</v>
      </c>
      <c r="BE96" s="54">
        <f t="shared" si="589"/>
        <v>-0.89209162850080959</v>
      </c>
      <c r="BF96" s="230">
        <f>BF95</f>
        <v>0</v>
      </c>
      <c r="BG96" s="230">
        <f>BG95</f>
        <v>525559</v>
      </c>
      <c r="BH96" s="62">
        <f>IF(Q94&lt;&gt;0,(BA96/(Q96/13)),0)</f>
        <v>0</v>
      </c>
      <c r="BI96" s="133">
        <f>IF(T94&lt;&gt;0,(BD96/(T96/13)),0)</f>
        <v>6832241</v>
      </c>
      <c r="BJ96" s="190">
        <f>IF(BA96&lt;&gt;0,(Q96/13)/BA96,0)</f>
        <v>0</v>
      </c>
      <c r="BK96" s="61">
        <f>IF(BD96&lt;&gt;0,(T96/13)/BD96,0)</f>
        <v>1.4636486037304598E-7</v>
      </c>
      <c r="BL96" s="229">
        <f>BL84+BL90+BL95</f>
        <v>0</v>
      </c>
      <c r="BM96" s="230">
        <f t="shared" ref="BM96" si="776">BM84+BM90+BM95</f>
        <v>3124</v>
      </c>
      <c r="BN96" s="229">
        <f>BN84+BN90+BN95</f>
        <v>0</v>
      </c>
      <c r="BO96" s="230">
        <f t="shared" ref="BO96" si="777">BO84+BO90+BO95</f>
        <v>0</v>
      </c>
      <c r="BP96" s="229">
        <f>BP84+BP90+BP95</f>
        <v>0</v>
      </c>
      <c r="BQ96" s="230">
        <f t="shared" ref="BQ96" si="778">BQ84+BQ90+BQ95</f>
        <v>0</v>
      </c>
      <c r="BR96" s="229">
        <f t="shared" si="746"/>
        <v>0</v>
      </c>
      <c r="BS96" s="230">
        <f t="shared" si="746"/>
        <v>0</v>
      </c>
      <c r="BT96" s="229">
        <f t="shared" ref="BT96:BY96" si="779">BT84+BT90+BT95</f>
        <v>0</v>
      </c>
      <c r="BU96" s="230">
        <f t="shared" si="779"/>
        <v>0</v>
      </c>
      <c r="BV96" s="230">
        <f t="shared" si="779"/>
        <v>0</v>
      </c>
      <c r="BW96" s="230">
        <f t="shared" si="779"/>
        <v>0</v>
      </c>
      <c r="BX96" s="230">
        <f t="shared" si="779"/>
        <v>0</v>
      </c>
      <c r="BY96" s="56">
        <f t="shared" si="779"/>
        <v>522434</v>
      </c>
      <c r="BZ96" s="54">
        <f t="shared" si="590"/>
        <v>-1</v>
      </c>
      <c r="CA96" s="339">
        <f t="shared" ref="CA96:CF96" si="780">CA84+CA90+CA95</f>
        <v>0</v>
      </c>
      <c r="CB96" s="53">
        <f t="shared" si="780"/>
        <v>0</v>
      </c>
      <c r="CC96" s="53">
        <f t="shared" si="780"/>
        <v>0</v>
      </c>
      <c r="CD96" s="53">
        <f t="shared" si="780"/>
        <v>0</v>
      </c>
      <c r="CE96" s="53">
        <f t="shared" si="780"/>
        <v>0</v>
      </c>
      <c r="CF96" s="53">
        <f t="shared" si="780"/>
        <v>13020828.300000001</v>
      </c>
      <c r="CG96" s="54">
        <f t="shared" si="591"/>
        <v>-1</v>
      </c>
      <c r="CH96" s="339">
        <f t="shared" ref="CH96:CM96" si="781">CH84+CH90+CH95</f>
        <v>0</v>
      </c>
      <c r="CI96" s="53">
        <f t="shared" si="781"/>
        <v>0</v>
      </c>
      <c r="CJ96" s="53">
        <f t="shared" si="781"/>
        <v>0</v>
      </c>
      <c r="CK96" s="53">
        <f t="shared" si="781"/>
        <v>0</v>
      </c>
      <c r="CL96" s="53">
        <f t="shared" si="781"/>
        <v>0</v>
      </c>
      <c r="CM96" s="53">
        <f t="shared" si="781"/>
        <v>2180281.8048</v>
      </c>
      <c r="CN96" s="54">
        <f t="shared" si="592"/>
        <v>-1</v>
      </c>
      <c r="CO96" s="55">
        <f t="shared" si="637"/>
        <v>0</v>
      </c>
      <c r="CP96" s="224">
        <f t="shared" si="637"/>
        <v>24.923393768399453</v>
      </c>
      <c r="CQ96" s="54">
        <f t="shared" si="593"/>
        <v>-1</v>
      </c>
      <c r="CR96" s="55">
        <f t="shared" si="596"/>
        <v>0</v>
      </c>
      <c r="CS96" s="224">
        <f t="shared" si="596"/>
        <v>4.1733152987745825</v>
      </c>
      <c r="CT96" s="54">
        <f t="shared" si="638"/>
        <v>-1</v>
      </c>
      <c r="CU96" s="44"/>
      <c r="CW96" s="55">
        <f>CW95</f>
        <v>0</v>
      </c>
      <c r="CX96" s="56">
        <f>CX95</f>
        <v>-2</v>
      </c>
      <c r="CY96" s="54">
        <f>IFERROR(CW96/CX96-1,)</f>
        <v>-1</v>
      </c>
      <c r="CZ96" s="281"/>
      <c r="DA96" s="282"/>
      <c r="DB96" s="282"/>
      <c r="DC96" s="283"/>
    </row>
  </sheetData>
  <mergeCells count="28">
    <mergeCell ref="D8:K8"/>
    <mergeCell ref="BA9:BE9"/>
    <mergeCell ref="L9:P9"/>
    <mergeCell ref="Q9:U9"/>
    <mergeCell ref="CW9:CY9"/>
    <mergeCell ref="BT9:BZ9"/>
    <mergeCell ref="BL9:BM9"/>
    <mergeCell ref="BH9:BI9"/>
    <mergeCell ref="V9:X9"/>
    <mergeCell ref="Y9:AC9"/>
    <mergeCell ref="AD9:AG9"/>
    <mergeCell ref="BT8:CT8"/>
    <mergeCell ref="BA8:BS8"/>
    <mergeCell ref="L8:AZ8"/>
    <mergeCell ref="AH9:AL9"/>
    <mergeCell ref="AM9:AQ9"/>
    <mergeCell ref="CZ9:DC9"/>
    <mergeCell ref="AR9:AV9"/>
    <mergeCell ref="BP9:BQ9"/>
    <mergeCell ref="BR9:BS9"/>
    <mergeCell ref="CA9:CG9"/>
    <mergeCell ref="CH9:CN9"/>
    <mergeCell ref="CO9:CQ9"/>
    <mergeCell ref="CR9:CT9"/>
    <mergeCell ref="AW9:AZ9"/>
    <mergeCell ref="BJ9:BK9"/>
    <mergeCell ref="BF9:BG9"/>
    <mergeCell ref="BN9:BO9"/>
  </mergeCells>
  <conditionalFormatting sqref="C11:C14">
    <cfRule type="expression" dxfId="39" priority="36">
      <formula>$A11="A"</formula>
    </cfRule>
  </conditionalFormatting>
  <conditionalFormatting sqref="C16:C20">
    <cfRule type="expression" dxfId="38" priority="35">
      <formula>$A16="A"</formula>
    </cfRule>
  </conditionalFormatting>
  <conditionalFormatting sqref="C22:C25">
    <cfRule type="expression" dxfId="37" priority="34">
      <formula>$A22="A"</formula>
    </cfRule>
  </conditionalFormatting>
  <conditionalFormatting sqref="C28">
    <cfRule type="expression" dxfId="36" priority="27">
      <formula>$A28="A"</formula>
    </cfRule>
  </conditionalFormatting>
  <conditionalFormatting sqref="C29:C31">
    <cfRule type="expression" dxfId="35" priority="17">
      <formula>$A29="A"</formula>
    </cfRule>
  </conditionalFormatting>
  <conditionalFormatting sqref="C33">
    <cfRule type="expression" dxfId="34" priority="16">
      <formula>$A33="A"</formula>
    </cfRule>
  </conditionalFormatting>
  <conditionalFormatting sqref="C91:C94">
    <cfRule type="expression" dxfId="33" priority="4">
      <formula>$A91="A"</formula>
    </cfRule>
  </conditionalFormatting>
  <conditionalFormatting sqref="C39">
    <cfRule type="expression" dxfId="32" priority="14">
      <formula>$A39="A"</formula>
    </cfRule>
  </conditionalFormatting>
  <conditionalFormatting sqref="C40:C42">
    <cfRule type="expression" dxfId="31" priority="13">
      <formula>$A40="A"</formula>
    </cfRule>
  </conditionalFormatting>
  <conditionalFormatting sqref="C45:C48">
    <cfRule type="expression" dxfId="30" priority="12">
      <formula>$A45="A"</formula>
    </cfRule>
  </conditionalFormatting>
  <conditionalFormatting sqref="C50:C54">
    <cfRule type="expression" dxfId="29" priority="11">
      <formula>$A50="A"</formula>
    </cfRule>
  </conditionalFormatting>
  <conditionalFormatting sqref="C56:C59">
    <cfRule type="expression" dxfId="28" priority="10">
      <formula>$A56="A"</formula>
    </cfRule>
  </conditionalFormatting>
  <conditionalFormatting sqref="C62:C65">
    <cfRule type="expression" dxfId="27" priority="9">
      <formula>$A62="A"</formula>
    </cfRule>
  </conditionalFormatting>
  <conditionalFormatting sqref="C67:C71">
    <cfRule type="expression" dxfId="26" priority="8">
      <formula>$A67="A"</formula>
    </cfRule>
  </conditionalFormatting>
  <conditionalFormatting sqref="C73:C76">
    <cfRule type="expression" dxfId="25" priority="7">
      <formula>$A73="A"</formula>
    </cfRule>
  </conditionalFormatting>
  <conditionalFormatting sqref="C80:C83">
    <cfRule type="expression" dxfId="24" priority="6">
      <formula>$A80="A"</formula>
    </cfRule>
  </conditionalFormatting>
  <conditionalFormatting sqref="C85:C89">
    <cfRule type="expression" dxfId="23" priority="5">
      <formula>$A85="A"</formula>
    </cfRule>
  </conditionalFormatting>
  <conditionalFormatting sqref="C34">
    <cfRule type="expression" dxfId="22" priority="3">
      <formula>$A34="A"</formula>
    </cfRule>
  </conditionalFormatting>
  <conditionalFormatting sqref="C35">
    <cfRule type="expression" dxfId="21" priority="2">
      <formula>$A35="A"</formula>
    </cfRule>
  </conditionalFormatting>
  <conditionalFormatting sqref="C36:C37">
    <cfRule type="expression" dxfId="20" priority="1">
      <formula>$A36="A"</formula>
    </cfRule>
  </conditionalFormatting>
  <pageMargins left="0.7" right="0.7" top="0.75" bottom="0.75" header="0.3" footer="0.3"/>
  <pageSetup scale="10" orientation="portrait" verticalDpi="24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ourceData" enableFormatConditionsCalculation="0">
    <tabColor theme="9" tint="0.59999389629810485"/>
    <pageSetUpPr fitToPage="1"/>
  </sheetPr>
  <dimension ref="A1:AA228"/>
  <sheetViews>
    <sheetView showGridLines="0" zoomScale="90" zoomScaleNormal="90" zoomScalePageLayoutView="80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F19" sqref="F19"/>
    </sheetView>
  </sheetViews>
  <sheetFormatPr defaultColWidth="11" defaultRowHeight="12.75" x14ac:dyDescent="0.2"/>
  <cols>
    <col min="1" max="1" width="11.375" style="307" bestFit="1" customWidth="1"/>
    <col min="2" max="2" width="6.25" style="329" bestFit="1" customWidth="1"/>
    <col min="3" max="3" width="7.25" style="329" bestFit="1" customWidth="1"/>
    <col min="4" max="4" width="9.875" style="329" bestFit="1" customWidth="1"/>
    <col min="5" max="5" width="9.125" style="307" bestFit="1" customWidth="1"/>
    <col min="6" max="8" width="8.75" style="307" bestFit="1" customWidth="1"/>
    <col min="9" max="9" width="8" style="307" bestFit="1" customWidth="1"/>
    <col min="10" max="10" width="7.25" style="307" bestFit="1" customWidth="1"/>
    <col min="11" max="11" width="10.5" style="307" bestFit="1" customWidth="1"/>
    <col min="12" max="12" width="11.375" style="307" bestFit="1" customWidth="1"/>
    <col min="13" max="13" width="12.625" style="307" bestFit="1" customWidth="1"/>
    <col min="14" max="14" width="11.375" style="307" bestFit="1" customWidth="1"/>
    <col min="15" max="15" width="8" style="307" bestFit="1" customWidth="1"/>
    <col min="16" max="16" width="9" style="307" bestFit="1" customWidth="1"/>
    <col min="17" max="17" width="10.125" style="307" bestFit="1" customWidth="1"/>
    <col min="18" max="18" width="10.875" style="307" bestFit="1" customWidth="1"/>
    <col min="19" max="19" width="10.25" style="307" bestFit="1" customWidth="1"/>
    <col min="20" max="20" width="11.125" style="307" bestFit="1" customWidth="1"/>
    <col min="21" max="21" width="11.75" style="307" bestFit="1" customWidth="1"/>
    <col min="22" max="22" width="11.25" style="307" bestFit="1" customWidth="1"/>
    <col min="23" max="23" width="7.25" style="307" bestFit="1" customWidth="1"/>
    <col min="24" max="24" width="12.125" style="307" bestFit="1" customWidth="1"/>
    <col min="25" max="25" width="11.875" style="308" bestFit="1" customWidth="1"/>
    <col min="26" max="26" width="11.875" style="308" customWidth="1"/>
    <col min="27" max="16384" width="11" style="307"/>
  </cols>
  <sheetData>
    <row r="1" spans="1:27" s="306" customFormat="1" x14ac:dyDescent="0.2">
      <c r="B1" s="306" t="s">
        <v>329</v>
      </c>
      <c r="C1" s="306" t="s">
        <v>330</v>
      </c>
      <c r="E1" s="306" t="s">
        <v>450</v>
      </c>
      <c r="F1" s="306" t="s">
        <v>331</v>
      </c>
      <c r="G1" s="306" t="s">
        <v>332</v>
      </c>
      <c r="H1" s="306" t="s">
        <v>333</v>
      </c>
      <c r="I1" s="306" t="s">
        <v>436</v>
      </c>
      <c r="J1" s="306" t="s">
        <v>437</v>
      </c>
      <c r="K1" s="306" t="s">
        <v>438</v>
      </c>
      <c r="L1" s="306" t="s">
        <v>444</v>
      </c>
      <c r="M1" s="306" t="s">
        <v>445</v>
      </c>
      <c r="N1" s="306" t="s">
        <v>439</v>
      </c>
      <c r="O1" s="306" t="s">
        <v>447</v>
      </c>
      <c r="P1" s="306" t="s">
        <v>446</v>
      </c>
      <c r="Q1" s="306" t="s">
        <v>440</v>
      </c>
      <c r="R1" s="306" t="s">
        <v>442</v>
      </c>
      <c r="S1" s="306" t="s">
        <v>448</v>
      </c>
      <c r="T1" s="306" t="s">
        <v>441</v>
      </c>
      <c r="U1" s="306" t="s">
        <v>443</v>
      </c>
      <c r="V1" s="306" t="s">
        <v>449</v>
      </c>
      <c r="Z1" s="306" t="s">
        <v>457</v>
      </c>
      <c r="AA1" s="306" t="s">
        <v>451</v>
      </c>
    </row>
    <row r="2" spans="1:27" s="306" customFormat="1" x14ac:dyDescent="0.2">
      <c r="D2" s="306">
        <v>4</v>
      </c>
      <c r="E2" s="306">
        <f>D2+1</f>
        <v>5</v>
      </c>
      <c r="F2" s="306">
        <f t="shared" ref="F2:V2" si="0">E2+1</f>
        <v>6</v>
      </c>
      <c r="G2" s="306">
        <f t="shared" si="0"/>
        <v>7</v>
      </c>
      <c r="H2" s="306">
        <f t="shared" si="0"/>
        <v>8</v>
      </c>
      <c r="I2" s="306">
        <f t="shared" si="0"/>
        <v>9</v>
      </c>
      <c r="J2" s="306">
        <f t="shared" si="0"/>
        <v>10</v>
      </c>
      <c r="K2" s="306">
        <f t="shared" si="0"/>
        <v>11</v>
      </c>
      <c r="L2" s="306">
        <f t="shared" si="0"/>
        <v>12</v>
      </c>
      <c r="M2" s="306">
        <f t="shared" si="0"/>
        <v>13</v>
      </c>
      <c r="N2" s="306">
        <f t="shared" si="0"/>
        <v>14</v>
      </c>
      <c r="O2" s="306">
        <f t="shared" si="0"/>
        <v>15</v>
      </c>
      <c r="P2" s="306">
        <f t="shared" si="0"/>
        <v>16</v>
      </c>
      <c r="Q2" s="306">
        <f t="shared" si="0"/>
        <v>17</v>
      </c>
      <c r="R2" s="306">
        <f t="shared" si="0"/>
        <v>18</v>
      </c>
      <c r="S2" s="306">
        <f t="shared" si="0"/>
        <v>19</v>
      </c>
      <c r="T2" s="306">
        <f t="shared" si="0"/>
        <v>20</v>
      </c>
      <c r="U2" s="306">
        <f t="shared" si="0"/>
        <v>21</v>
      </c>
      <c r="V2" s="306">
        <f t="shared" si="0"/>
        <v>22</v>
      </c>
      <c r="W2" s="306">
        <f t="shared" ref="W2" si="1">V2+1</f>
        <v>23</v>
      </c>
      <c r="X2" s="306">
        <f t="shared" ref="X2" si="2">W2+1</f>
        <v>24</v>
      </c>
      <c r="Y2" s="306">
        <f t="shared" ref="Y2" si="3">X2+1</f>
        <v>25</v>
      </c>
      <c r="Z2" s="306">
        <f t="shared" ref="Z2:AA2" si="4">Y2+1</f>
        <v>26</v>
      </c>
      <c r="AA2" s="306">
        <f t="shared" si="4"/>
        <v>27</v>
      </c>
    </row>
    <row r="3" spans="1:27" x14ac:dyDescent="0.2">
      <c r="B3" s="424" t="s">
        <v>31</v>
      </c>
      <c r="C3" s="424"/>
      <c r="D3" s="341"/>
      <c r="E3" s="289"/>
    </row>
    <row r="4" spans="1:27" x14ac:dyDescent="0.2">
      <c r="A4" s="309"/>
      <c r="B4" s="310"/>
      <c r="C4" s="311"/>
      <c r="D4" s="310"/>
      <c r="E4" s="312"/>
      <c r="F4" s="313"/>
      <c r="G4" s="313"/>
      <c r="H4" s="313"/>
      <c r="I4" s="313"/>
      <c r="J4" s="313"/>
      <c r="K4" s="313"/>
      <c r="L4" s="314"/>
      <c r="M4" s="314"/>
      <c r="N4" s="312"/>
      <c r="O4" s="313"/>
      <c r="P4" s="315"/>
      <c r="Q4" s="312"/>
      <c r="R4" s="313"/>
      <c r="S4" s="316"/>
      <c r="T4" s="317"/>
      <c r="U4" s="314"/>
      <c r="V4" s="316"/>
      <c r="W4" s="314"/>
      <c r="X4" s="313"/>
      <c r="Y4" s="313"/>
      <c r="Z4" s="315"/>
    </row>
    <row r="5" spans="1:27" s="328" customFormat="1" x14ac:dyDescent="0.25">
      <c r="A5" s="318" t="s">
        <v>52</v>
      </c>
      <c r="B5" s="319" t="s">
        <v>20</v>
      </c>
      <c r="C5" s="319" t="s">
        <v>0</v>
      </c>
      <c r="D5" s="319" t="s">
        <v>337</v>
      </c>
      <c r="E5" s="320" t="s">
        <v>8</v>
      </c>
      <c r="F5" s="321" t="s">
        <v>1</v>
      </c>
      <c r="G5" s="322" t="s">
        <v>2</v>
      </c>
      <c r="H5" s="321" t="s">
        <v>3</v>
      </c>
      <c r="I5" s="323" t="s">
        <v>326</v>
      </c>
      <c r="J5" s="324" t="s">
        <v>401</v>
      </c>
      <c r="K5" s="323" t="s">
        <v>318</v>
      </c>
      <c r="L5" s="323" t="s">
        <v>399</v>
      </c>
      <c r="M5" s="323" t="s">
        <v>400</v>
      </c>
      <c r="N5" s="325" t="s">
        <v>325</v>
      </c>
      <c r="O5" s="323" t="s">
        <v>44</v>
      </c>
      <c r="P5" s="326" t="s">
        <v>9</v>
      </c>
      <c r="Q5" s="325" t="s">
        <v>415</v>
      </c>
      <c r="R5" s="323" t="s">
        <v>417</v>
      </c>
      <c r="S5" s="326" t="s">
        <v>398</v>
      </c>
      <c r="T5" s="325" t="s">
        <v>416</v>
      </c>
      <c r="U5" s="323" t="s">
        <v>418</v>
      </c>
      <c r="V5" s="326" t="s">
        <v>397</v>
      </c>
      <c r="W5" s="327" t="s">
        <v>305</v>
      </c>
      <c r="X5" s="323" t="s">
        <v>327</v>
      </c>
      <c r="Y5" s="323" t="s">
        <v>328</v>
      </c>
      <c r="Z5" s="326" t="s">
        <v>458</v>
      </c>
      <c r="AA5" s="326" t="s">
        <v>459</v>
      </c>
    </row>
    <row r="6" spans="1:27" ht="15.75" x14ac:dyDescent="0.25">
      <c r="A6" t="str">
        <f>$B6&amp;$C6&amp;$D6&amp;IF(AND(D6="Brand",Y6="a"),Y6,"")</f>
        <v>20181MBR</v>
      </c>
      <c r="B6">
        <v>2018</v>
      </c>
      <c r="C6">
        <v>1</v>
      </c>
      <c r="D6" t="s">
        <v>39</v>
      </c>
      <c r="E6">
        <v>0</v>
      </c>
      <c r="F6">
        <v>0</v>
      </c>
      <c r="G6">
        <v>0</v>
      </c>
      <c r="H6">
        <v>0</v>
      </c>
      <c r="I6">
        <v>4</v>
      </c>
      <c r="J6"/>
      <c r="K6">
        <v>0</v>
      </c>
      <c r="L6"/>
      <c r="M6"/>
      <c r="N6">
        <v>0</v>
      </c>
      <c r="O6"/>
      <c r="P6">
        <v>0</v>
      </c>
      <c r="Q6"/>
      <c r="R6"/>
      <c r="S6"/>
      <c r="T6"/>
      <c r="U6"/>
      <c r="V6"/>
      <c r="W6"/>
      <c r="X6"/>
      <c r="Y6" t="s">
        <v>484</v>
      </c>
      <c r="Z6"/>
      <c r="AA6"/>
    </row>
    <row r="7" spans="1:27" ht="15.75" x14ac:dyDescent="0.25">
      <c r="A7" t="str">
        <f>$B7&amp;$C7&amp;$D7&amp;IF(AND(D7="Brand",Y7="a"),Y7,"")</f>
        <v>20182MBR</v>
      </c>
      <c r="B7">
        <v>2018</v>
      </c>
      <c r="C7">
        <v>2</v>
      </c>
      <c r="D7" t="s">
        <v>39</v>
      </c>
      <c r="E7">
        <v>0</v>
      </c>
      <c r="F7">
        <v>0</v>
      </c>
      <c r="G7">
        <v>0</v>
      </c>
      <c r="H7">
        <v>0</v>
      </c>
      <c r="I7">
        <v>4</v>
      </c>
      <c r="J7"/>
      <c r="K7">
        <v>0</v>
      </c>
      <c r="L7"/>
      <c r="M7"/>
      <c r="N7">
        <v>0</v>
      </c>
      <c r="O7"/>
      <c r="P7">
        <v>0</v>
      </c>
      <c r="Q7"/>
      <c r="R7"/>
      <c r="S7"/>
      <c r="T7"/>
      <c r="U7"/>
      <c r="V7"/>
      <c r="W7"/>
      <c r="X7"/>
      <c r="Y7" t="s">
        <v>484</v>
      </c>
      <c r="Z7"/>
      <c r="AA7"/>
    </row>
    <row r="8" spans="1:27" ht="15.75" x14ac:dyDescent="0.25">
      <c r="A8" t="str">
        <f>$B8&amp;$C8&amp;$D8&amp;IF(AND(D8="Brand",Y8="a"),Y8,"")</f>
        <v>20183MBR</v>
      </c>
      <c r="B8">
        <v>2018</v>
      </c>
      <c r="C8">
        <v>3</v>
      </c>
      <c r="D8" t="s">
        <v>39</v>
      </c>
      <c r="E8">
        <v>0</v>
      </c>
      <c r="F8">
        <v>0</v>
      </c>
      <c r="G8">
        <v>0</v>
      </c>
      <c r="H8">
        <v>0</v>
      </c>
      <c r="I8">
        <v>4</v>
      </c>
      <c r="J8"/>
      <c r="K8">
        <v>0</v>
      </c>
      <c r="L8"/>
      <c r="M8"/>
      <c r="N8">
        <v>0</v>
      </c>
      <c r="O8"/>
      <c r="P8">
        <v>0</v>
      </c>
      <c r="Q8"/>
      <c r="R8"/>
      <c r="S8"/>
      <c r="T8"/>
      <c r="U8"/>
      <c r="V8"/>
      <c r="W8"/>
      <c r="X8"/>
      <c r="Y8" t="s">
        <v>484</v>
      </c>
      <c r="Z8"/>
      <c r="AA8"/>
    </row>
    <row r="9" spans="1:27" ht="15.75" x14ac:dyDescent="0.25">
      <c r="A9" t="str">
        <f>$B9&amp;$C9&amp;$D9&amp;IF(AND(D9="Brand",Y9="a"),Y9,"")</f>
        <v>20184MBR</v>
      </c>
      <c r="B9">
        <v>2018</v>
      </c>
      <c r="C9">
        <v>4</v>
      </c>
      <c r="D9" t="s">
        <v>39</v>
      </c>
      <c r="E9">
        <v>0</v>
      </c>
      <c r="F9">
        <v>0</v>
      </c>
      <c r="G9">
        <v>0</v>
      </c>
      <c r="H9">
        <v>0</v>
      </c>
      <c r="I9">
        <v>4</v>
      </c>
      <c r="J9"/>
      <c r="K9">
        <v>0</v>
      </c>
      <c r="L9"/>
      <c r="M9"/>
      <c r="N9">
        <v>0</v>
      </c>
      <c r="O9"/>
      <c r="P9">
        <v>0</v>
      </c>
      <c r="Q9"/>
      <c r="R9"/>
      <c r="S9"/>
      <c r="T9"/>
      <c r="U9"/>
      <c r="V9"/>
      <c r="W9"/>
      <c r="X9"/>
      <c r="Y9" t="s">
        <v>484</v>
      </c>
      <c r="Z9"/>
      <c r="AA9"/>
    </row>
    <row r="10" spans="1:27" ht="15.75" x14ac:dyDescent="0.25">
      <c r="A10" t="str">
        <f>$B10&amp;$C10&amp;$D10&amp;IF(AND(D10="Brand",Y10="a"),Y10,"")</f>
        <v>20185MBR</v>
      </c>
      <c r="B10">
        <v>2018</v>
      </c>
      <c r="C10">
        <v>5</v>
      </c>
      <c r="D10" t="s">
        <v>39</v>
      </c>
      <c r="E10">
        <v>0</v>
      </c>
      <c r="F10">
        <v>0</v>
      </c>
      <c r="G10">
        <v>0</v>
      </c>
      <c r="H10">
        <v>0</v>
      </c>
      <c r="I10">
        <v>4</v>
      </c>
      <c r="J10"/>
      <c r="K10">
        <v>0</v>
      </c>
      <c r="L10"/>
      <c r="M10"/>
      <c r="N10">
        <v>0</v>
      </c>
      <c r="O10"/>
      <c r="P10">
        <v>0</v>
      </c>
      <c r="Q10"/>
      <c r="R10"/>
      <c r="S10"/>
      <c r="T10"/>
      <c r="U10"/>
      <c r="V10"/>
      <c r="W10"/>
      <c r="X10"/>
      <c r="Y10" t="s">
        <v>484</v>
      </c>
      <c r="Z10"/>
      <c r="AA10"/>
    </row>
    <row r="11" spans="1:27" ht="15.75" x14ac:dyDescent="0.25">
      <c r="A11" t="str">
        <f>$B11&amp;$C11&amp;$D11&amp;IF(AND(D11="Brand",Y11="a"),Y11,"")</f>
        <v>20186MBR</v>
      </c>
      <c r="B11">
        <v>2018</v>
      </c>
      <c r="C11">
        <v>6</v>
      </c>
      <c r="D11" t="s">
        <v>39</v>
      </c>
      <c r="E11">
        <v>0</v>
      </c>
      <c r="F11">
        <v>0</v>
      </c>
      <c r="G11">
        <v>0</v>
      </c>
      <c r="H11">
        <v>0</v>
      </c>
      <c r="I11">
        <v>4</v>
      </c>
      <c r="J11"/>
      <c r="K11">
        <v>0</v>
      </c>
      <c r="L11"/>
      <c r="M11"/>
      <c r="N11">
        <v>0</v>
      </c>
      <c r="O11"/>
      <c r="P11">
        <v>0</v>
      </c>
      <c r="Q11"/>
      <c r="R11"/>
      <c r="S11"/>
      <c r="T11"/>
      <c r="U11"/>
      <c r="V11"/>
      <c r="W11"/>
      <c r="X11"/>
      <c r="Y11" t="s">
        <v>484</v>
      </c>
      <c r="Z11"/>
      <c r="AA11"/>
    </row>
    <row r="12" spans="1:27" ht="15.75" x14ac:dyDescent="0.25">
      <c r="A12" t="str">
        <f>$B12&amp;$C12&amp;$D12&amp;IF(AND(D12="Brand",Y12="a"),Y12,"")</f>
        <v>20187MBR</v>
      </c>
      <c r="B12">
        <v>2018</v>
      </c>
      <c r="C12">
        <v>7</v>
      </c>
      <c r="D12" t="s">
        <v>39</v>
      </c>
      <c r="E12">
        <v>0</v>
      </c>
      <c r="F12">
        <v>0</v>
      </c>
      <c r="G12">
        <v>0</v>
      </c>
      <c r="H12">
        <v>0</v>
      </c>
      <c r="I12">
        <v>3</v>
      </c>
      <c r="J12"/>
      <c r="K12">
        <v>-1</v>
      </c>
      <c r="L12"/>
      <c r="M12"/>
      <c r="N12">
        <v>0</v>
      </c>
      <c r="O12"/>
      <c r="P12">
        <v>0</v>
      </c>
      <c r="Q12"/>
      <c r="R12"/>
      <c r="S12"/>
      <c r="T12"/>
      <c r="U12"/>
      <c r="V12"/>
      <c r="W12"/>
      <c r="X12"/>
      <c r="Y12" t="s">
        <v>484</v>
      </c>
      <c r="Z12"/>
      <c r="AA12"/>
    </row>
    <row r="13" spans="1:27" ht="15.75" x14ac:dyDescent="0.25">
      <c r="A13" t="str">
        <f>$B13&amp;$C13&amp;$D13&amp;IF(AND(D13="Brand",Y13="a"),Y13,"")</f>
        <v>20188MBR</v>
      </c>
      <c r="B13">
        <v>2018</v>
      </c>
      <c r="C13">
        <v>8</v>
      </c>
      <c r="D13" t="s">
        <v>39</v>
      </c>
      <c r="E13">
        <v>0</v>
      </c>
      <c r="F13">
        <v>0</v>
      </c>
      <c r="G13">
        <v>0</v>
      </c>
      <c r="H13">
        <v>0</v>
      </c>
      <c r="I13">
        <v>3</v>
      </c>
      <c r="J13"/>
      <c r="K13">
        <v>0</v>
      </c>
      <c r="L13"/>
      <c r="M13"/>
      <c r="N13">
        <v>0</v>
      </c>
      <c r="O13"/>
      <c r="P13">
        <v>0</v>
      </c>
      <c r="Q13"/>
      <c r="R13"/>
      <c r="S13"/>
      <c r="T13"/>
      <c r="U13"/>
      <c r="V13"/>
      <c r="W13"/>
      <c r="X13"/>
      <c r="Y13" t="s">
        <v>484</v>
      </c>
      <c r="Z13"/>
      <c r="AA13"/>
    </row>
    <row r="14" spans="1:27" ht="15.75" x14ac:dyDescent="0.25">
      <c r="A14" t="str">
        <f>$B14&amp;$C14&amp;$D14&amp;IF(AND(D14="Brand",Y14="a"),Y14,"")</f>
        <v>20189MBR</v>
      </c>
      <c r="B14">
        <v>2018</v>
      </c>
      <c r="C14">
        <v>9</v>
      </c>
      <c r="D14" t="s">
        <v>39</v>
      </c>
      <c r="E14">
        <v>1</v>
      </c>
      <c r="F14">
        <v>14.95</v>
      </c>
      <c r="G14">
        <v>8.9700000000000006</v>
      </c>
      <c r="H14">
        <v>2.06</v>
      </c>
      <c r="I14">
        <v>2</v>
      </c>
      <c r="J14"/>
      <c r="K14">
        <v>0</v>
      </c>
      <c r="L14"/>
      <c r="M14"/>
      <c r="N14">
        <v>0</v>
      </c>
      <c r="O14"/>
      <c r="P14">
        <v>0</v>
      </c>
      <c r="Q14"/>
      <c r="R14"/>
      <c r="S14"/>
      <c r="T14"/>
      <c r="U14"/>
      <c r="V14"/>
      <c r="W14"/>
      <c r="X14"/>
      <c r="Y14" t="s">
        <v>484</v>
      </c>
      <c r="Z14"/>
      <c r="AA14"/>
    </row>
    <row r="15" spans="1:27" ht="15.75" x14ac:dyDescent="0.25">
      <c r="A15" t="str">
        <f>$B15&amp;$C15&amp;$D15&amp;IF(AND(D15="Brand",Y15="a"),Y15,"")</f>
        <v>201810MBR</v>
      </c>
      <c r="B15">
        <v>2018</v>
      </c>
      <c r="C15">
        <v>10</v>
      </c>
      <c r="D15" t="s">
        <v>39</v>
      </c>
      <c r="E15">
        <v>0</v>
      </c>
      <c r="F15">
        <v>0</v>
      </c>
      <c r="G15">
        <v>0</v>
      </c>
      <c r="H15">
        <v>0</v>
      </c>
      <c r="I15">
        <v>2</v>
      </c>
      <c r="J15"/>
      <c r="K15">
        <v>0</v>
      </c>
      <c r="L15"/>
      <c r="M15"/>
      <c r="N15">
        <v>0</v>
      </c>
      <c r="O15"/>
      <c r="P15">
        <v>0</v>
      </c>
      <c r="Q15"/>
      <c r="R15"/>
      <c r="S15"/>
      <c r="T15"/>
      <c r="U15"/>
      <c r="V15"/>
      <c r="W15"/>
      <c r="X15"/>
      <c r="Y15" t="s">
        <v>484</v>
      </c>
      <c r="Z15"/>
      <c r="AA15"/>
    </row>
    <row r="16" spans="1:27" ht="15.75" x14ac:dyDescent="0.25">
      <c r="A16" t="str">
        <f>$B16&amp;$C16&amp;$D16&amp;IF(AND(D16="Brand",Y16="a"),Y16,"")</f>
        <v>201811MBR</v>
      </c>
      <c r="B16">
        <v>2018</v>
      </c>
      <c r="C16">
        <v>11</v>
      </c>
      <c r="D16" t="s">
        <v>39</v>
      </c>
      <c r="E16">
        <v>0</v>
      </c>
      <c r="F16">
        <v>0</v>
      </c>
      <c r="G16">
        <v>0</v>
      </c>
      <c r="H16">
        <v>0</v>
      </c>
      <c r="I16">
        <v>2622</v>
      </c>
      <c r="J16"/>
      <c r="K16">
        <v>0</v>
      </c>
      <c r="L16"/>
      <c r="M16"/>
      <c r="N16">
        <v>0</v>
      </c>
      <c r="O16"/>
      <c r="P16">
        <v>0</v>
      </c>
      <c r="Q16"/>
      <c r="R16"/>
      <c r="S16"/>
      <c r="T16"/>
      <c r="U16"/>
      <c r="V16"/>
      <c r="W16"/>
      <c r="X16"/>
      <c r="Y16" t="s">
        <v>484</v>
      </c>
      <c r="Z16"/>
      <c r="AA16"/>
    </row>
    <row r="17" spans="1:27" ht="15.75" x14ac:dyDescent="0.25">
      <c r="A17" t="str">
        <f>$B17&amp;$C17&amp;$D17&amp;IF(AND(D17="Brand",Y17="a"),Y17,"")</f>
        <v>201812MBR</v>
      </c>
      <c r="B17">
        <v>2018</v>
      </c>
      <c r="C17">
        <v>12</v>
      </c>
      <c r="D17" t="s">
        <v>39</v>
      </c>
      <c r="E17">
        <v>0</v>
      </c>
      <c r="F17">
        <v>0</v>
      </c>
      <c r="G17">
        <v>0</v>
      </c>
      <c r="H17">
        <v>0</v>
      </c>
      <c r="I17">
        <v>48096</v>
      </c>
      <c r="J17"/>
      <c r="K17">
        <v>0</v>
      </c>
      <c r="L17"/>
      <c r="M17"/>
      <c r="N17">
        <v>0</v>
      </c>
      <c r="O17">
        <v>-1503</v>
      </c>
      <c r="P17">
        <v>0</v>
      </c>
      <c r="Q17"/>
      <c r="R17"/>
      <c r="S17"/>
      <c r="T17"/>
      <c r="U17">
        <v>-3289.51</v>
      </c>
      <c r="V17"/>
      <c r="W17"/>
      <c r="X17"/>
      <c r="Y17" t="s">
        <v>484</v>
      </c>
      <c r="Z17"/>
      <c r="AA17"/>
    </row>
    <row r="18" spans="1:27" ht="15.75" x14ac:dyDescent="0.25">
      <c r="A18" t="str">
        <f>$B18&amp;$C18&amp;$D18&amp;IF(AND(D18="Brand",Y18="a"),Y18,"")</f>
        <v>201813MBR</v>
      </c>
      <c r="B18">
        <v>2018</v>
      </c>
      <c r="C18">
        <v>13</v>
      </c>
      <c r="D18" t="s">
        <v>39</v>
      </c>
      <c r="E18">
        <v>1</v>
      </c>
      <c r="F18">
        <v>29.95</v>
      </c>
      <c r="G18">
        <v>17.97</v>
      </c>
      <c r="H18">
        <v>9.49</v>
      </c>
      <c r="I18">
        <v>525560</v>
      </c>
      <c r="J18"/>
      <c r="K18">
        <v>3125</v>
      </c>
      <c r="L18"/>
      <c r="M18"/>
      <c r="N18">
        <v>0</v>
      </c>
      <c r="O18">
        <v>-5695</v>
      </c>
      <c r="P18">
        <v>0</v>
      </c>
      <c r="Q18"/>
      <c r="R18"/>
      <c r="S18"/>
      <c r="T18"/>
      <c r="U18">
        <v>-19898.2</v>
      </c>
      <c r="V18"/>
      <c r="W18"/>
      <c r="X18"/>
      <c r="Y18" t="s">
        <v>484</v>
      </c>
      <c r="Z18"/>
      <c r="AA18"/>
    </row>
    <row r="19" spans="1:27" ht="15.75" x14ac:dyDescent="0.25">
      <c r="A19" t="str">
        <f>$B19&amp;$C19&amp;$D19&amp;IF(AND(D19="Brand",Y19="a"),Y19,"")</f>
        <v>201814MBR</v>
      </c>
      <c r="B19">
        <v>2018</v>
      </c>
      <c r="C19">
        <v>14</v>
      </c>
      <c r="D19" t="s">
        <v>39</v>
      </c>
      <c r="E19">
        <v>2</v>
      </c>
      <c r="F19">
        <v>22.95</v>
      </c>
      <c r="G19">
        <v>13.77</v>
      </c>
      <c r="H19">
        <v>3.11</v>
      </c>
      <c r="I19">
        <v>528265</v>
      </c>
      <c r="J19"/>
      <c r="K19">
        <v>2707</v>
      </c>
      <c r="L19"/>
      <c r="M19"/>
      <c r="N19">
        <v>0</v>
      </c>
      <c r="O19">
        <v>-6692</v>
      </c>
      <c r="P19">
        <v>0</v>
      </c>
      <c r="Q19"/>
      <c r="R19"/>
      <c r="S19"/>
      <c r="T19"/>
      <c r="U19">
        <v>-32379.0099999999</v>
      </c>
      <c r="V19"/>
      <c r="W19"/>
      <c r="X19"/>
      <c r="Y19" t="s">
        <v>484</v>
      </c>
      <c r="Z19"/>
      <c r="AA19"/>
    </row>
    <row r="20" spans="1:27" ht="15.75" x14ac:dyDescent="0.25">
      <c r="A20" t="str">
        <f>$B20&amp;$C20&amp;$D20&amp;IF(AND(D20="Brand",Y20="a"),Y20,"")</f>
        <v>201815MBR</v>
      </c>
      <c r="B20">
        <v>2018</v>
      </c>
      <c r="C20">
        <v>15</v>
      </c>
      <c r="D20" t="s">
        <v>39</v>
      </c>
      <c r="E20">
        <v>0</v>
      </c>
      <c r="F20">
        <v>25.02</v>
      </c>
      <c r="G20">
        <v>12.51</v>
      </c>
      <c r="H20">
        <v>4.16</v>
      </c>
      <c r="I20">
        <v>773297</v>
      </c>
      <c r="J20"/>
      <c r="K20">
        <v>32</v>
      </c>
      <c r="L20"/>
      <c r="M20"/>
      <c r="N20">
        <v>245000</v>
      </c>
      <c r="O20">
        <v>1326</v>
      </c>
      <c r="P20">
        <v>0</v>
      </c>
      <c r="Q20"/>
      <c r="R20"/>
      <c r="S20"/>
      <c r="T20"/>
      <c r="U20">
        <v>5671.11</v>
      </c>
      <c r="V20"/>
      <c r="W20"/>
      <c r="X20"/>
      <c r="Y20" t="s">
        <v>484</v>
      </c>
      <c r="Z20"/>
      <c r="AA20"/>
    </row>
    <row r="21" spans="1:27" ht="15.75" x14ac:dyDescent="0.25">
      <c r="A21" t="str">
        <f>$B21&amp;$C21&amp;$D21&amp;IF(AND(D21="Brand",Y21="a"),Y21,"")</f>
        <v>201816MBR</v>
      </c>
      <c r="B21">
        <v>2018</v>
      </c>
      <c r="C21">
        <v>16</v>
      </c>
      <c r="D21" t="s">
        <v>39</v>
      </c>
      <c r="E21">
        <v>25000</v>
      </c>
      <c r="F21">
        <v>25.02</v>
      </c>
      <c r="G21">
        <v>12.51</v>
      </c>
      <c r="H21">
        <v>4.16</v>
      </c>
      <c r="I21">
        <v>665608</v>
      </c>
      <c r="J21"/>
      <c r="K21">
        <v>-100000</v>
      </c>
      <c r="L21"/>
      <c r="M21"/>
      <c r="N21">
        <v>17311</v>
      </c>
      <c r="O21"/>
      <c r="P21">
        <v>0</v>
      </c>
      <c r="Q21"/>
      <c r="R21"/>
      <c r="S21"/>
      <c r="T21"/>
      <c r="U21"/>
      <c r="V21"/>
      <c r="W21"/>
      <c r="X21"/>
      <c r="Y21" t="s">
        <v>484</v>
      </c>
      <c r="Z21"/>
      <c r="AA21"/>
    </row>
    <row r="22" spans="1:27" ht="15.75" x14ac:dyDescent="0.25">
      <c r="A22" t="str">
        <f>$B22&amp;$C22&amp;$D22&amp;IF(AND(D22="Brand",Y22="a"),Y22,"")</f>
        <v>201817MBR</v>
      </c>
      <c r="B22">
        <v>2018</v>
      </c>
      <c r="C22">
        <v>17</v>
      </c>
      <c r="D22" t="s">
        <v>39</v>
      </c>
      <c r="E22">
        <v>39329</v>
      </c>
      <c r="F22">
        <v>25.02</v>
      </c>
      <c r="G22">
        <v>11.26</v>
      </c>
      <c r="H22">
        <v>4.16</v>
      </c>
      <c r="I22">
        <v>626185</v>
      </c>
      <c r="J22"/>
      <c r="K22">
        <v>-94</v>
      </c>
      <c r="L22"/>
      <c r="M22"/>
      <c r="N22">
        <v>0</v>
      </c>
      <c r="O22">
        <v>2</v>
      </c>
      <c r="P22">
        <v>0</v>
      </c>
      <c r="Q22"/>
      <c r="R22"/>
      <c r="S22"/>
      <c r="T22"/>
      <c r="U22">
        <v>7.37</v>
      </c>
      <c r="V22"/>
      <c r="W22"/>
      <c r="X22"/>
      <c r="Y22" t="s">
        <v>484</v>
      </c>
      <c r="Z22"/>
      <c r="AA22"/>
    </row>
    <row r="23" spans="1:27" ht="15.75" x14ac:dyDescent="0.25">
      <c r="A23" t="str">
        <f>$B23&amp;$C23&amp;$D23&amp;IF(AND(D23="Brand",Y23="a"),Y23,"")</f>
        <v>201818MBR</v>
      </c>
      <c r="B23">
        <v>2018</v>
      </c>
      <c r="C23">
        <v>18</v>
      </c>
      <c r="D23" t="s">
        <v>39</v>
      </c>
      <c r="E23">
        <v>33410</v>
      </c>
      <c r="F23">
        <v>25.02</v>
      </c>
      <c r="G23">
        <v>11.26</v>
      </c>
      <c r="H23">
        <v>4.16</v>
      </c>
      <c r="I23">
        <v>567775</v>
      </c>
      <c r="J23"/>
      <c r="K23">
        <v>-25000</v>
      </c>
      <c r="L23"/>
      <c r="M23"/>
      <c r="N23">
        <v>0</v>
      </c>
      <c r="O23"/>
      <c r="P23">
        <v>0</v>
      </c>
      <c r="Q23"/>
      <c r="R23"/>
      <c r="S23"/>
      <c r="T23"/>
      <c r="U23"/>
      <c r="V23"/>
      <c r="W23"/>
      <c r="X23"/>
      <c r="Y23" t="s">
        <v>484</v>
      </c>
      <c r="Z23"/>
      <c r="AA23"/>
    </row>
    <row r="24" spans="1:27" ht="15.75" x14ac:dyDescent="0.25">
      <c r="A24" t="str">
        <f>$B24&amp;$C24&amp;$D24&amp;IF(AND(D24="Brand",Y24="a"),Y24,"")</f>
        <v>201819MBR</v>
      </c>
      <c r="B24">
        <v>2018</v>
      </c>
      <c r="C24">
        <v>19</v>
      </c>
      <c r="D24" t="s">
        <v>39</v>
      </c>
      <c r="E24">
        <v>36825</v>
      </c>
      <c r="F24">
        <v>25.02</v>
      </c>
      <c r="G24">
        <v>11.26</v>
      </c>
      <c r="H24">
        <v>4.16</v>
      </c>
      <c r="I24">
        <v>405950</v>
      </c>
      <c r="J24"/>
      <c r="K24">
        <v>-125000</v>
      </c>
      <c r="L24"/>
      <c r="M24"/>
      <c r="N24">
        <v>0</v>
      </c>
      <c r="O24"/>
      <c r="P24">
        <v>0</v>
      </c>
      <c r="Q24"/>
      <c r="R24"/>
      <c r="S24"/>
      <c r="T24"/>
      <c r="U24"/>
      <c r="V24"/>
      <c r="W24"/>
      <c r="X24"/>
      <c r="Y24" t="s">
        <v>484</v>
      </c>
      <c r="Z24"/>
      <c r="AA24"/>
    </row>
    <row r="25" spans="1:27" ht="15.75" x14ac:dyDescent="0.25">
      <c r="A25" t="str">
        <f>$B25&amp;$C25&amp;$D25&amp;IF(AND(D25="Brand",Y25="a"),Y25,"")</f>
        <v>201820MBR</v>
      </c>
      <c r="B25">
        <v>2018</v>
      </c>
      <c r="C25">
        <v>20</v>
      </c>
      <c r="D25" t="s">
        <v>39</v>
      </c>
      <c r="E25">
        <v>26989</v>
      </c>
      <c r="F25">
        <v>24.69</v>
      </c>
      <c r="G25">
        <v>14.72</v>
      </c>
      <c r="H25">
        <v>4.1399999999999997</v>
      </c>
      <c r="I25">
        <v>344790</v>
      </c>
      <c r="J25">
        <v>240802</v>
      </c>
      <c r="K25">
        <v>-257</v>
      </c>
      <c r="L25">
        <v>10465</v>
      </c>
      <c r="M25">
        <v>10311</v>
      </c>
      <c r="N25">
        <v>0</v>
      </c>
      <c r="O25"/>
      <c r="P25"/>
      <c r="Q25">
        <v>0</v>
      </c>
      <c r="R25"/>
      <c r="S25"/>
      <c r="T25">
        <v>0</v>
      </c>
      <c r="U25"/>
      <c r="V25"/>
      <c r="W25"/>
      <c r="X25"/>
      <c r="Y25" t="s">
        <v>484</v>
      </c>
      <c r="Z25"/>
      <c r="AA25">
        <v>585592</v>
      </c>
    </row>
    <row r="26" spans="1:27" ht="15.75" x14ac:dyDescent="0.25">
      <c r="A26" t="str">
        <f>$B26&amp;$C26&amp;$D26&amp;IF(AND(D26="Brand",Y26="a"),Y26,"")</f>
        <v>201821MBR</v>
      </c>
      <c r="B26">
        <v>2018</v>
      </c>
      <c r="C26">
        <v>21</v>
      </c>
      <c r="D26" t="s">
        <v>39</v>
      </c>
      <c r="E26">
        <v>26625</v>
      </c>
      <c r="F26">
        <v>24.68</v>
      </c>
      <c r="G26">
        <v>13.85</v>
      </c>
      <c r="H26">
        <v>4.1399999999999997</v>
      </c>
      <c r="I26">
        <v>356134</v>
      </c>
      <c r="J26">
        <v>197550</v>
      </c>
      <c r="K26">
        <v>-182</v>
      </c>
      <c r="L26">
        <v>1170</v>
      </c>
      <c r="M26">
        <v>497</v>
      </c>
      <c r="N26">
        <v>0</v>
      </c>
      <c r="O26"/>
      <c r="P26"/>
      <c r="Q26">
        <v>0</v>
      </c>
      <c r="R26"/>
      <c r="S26"/>
      <c r="T26">
        <v>0</v>
      </c>
      <c r="U26"/>
      <c r="V26"/>
      <c r="W26"/>
      <c r="X26"/>
      <c r="Y26" t="s">
        <v>484</v>
      </c>
      <c r="Z26">
        <v>1</v>
      </c>
      <c r="AA26">
        <v>553684</v>
      </c>
    </row>
    <row r="27" spans="1:27" ht="15.75" x14ac:dyDescent="0.25">
      <c r="A27" t="str">
        <f>$B27&amp;$C27&amp;$D27&amp;IF(AND(D27="Brand",Y27="a"),Y27,"")</f>
        <v>201822MBR</v>
      </c>
      <c r="B27">
        <v>2018</v>
      </c>
      <c r="C27">
        <v>22</v>
      </c>
      <c r="D27" t="s">
        <v>39</v>
      </c>
      <c r="E27">
        <v>29636</v>
      </c>
      <c r="F27">
        <v>24.97</v>
      </c>
      <c r="G27">
        <v>12.03</v>
      </c>
      <c r="H27">
        <v>4.21</v>
      </c>
      <c r="I27">
        <v>351891</v>
      </c>
      <c r="J27">
        <v>159635</v>
      </c>
      <c r="K27">
        <v>-271</v>
      </c>
      <c r="L27">
        <v>1364</v>
      </c>
      <c r="M27">
        <v>5601</v>
      </c>
      <c r="N27">
        <v>0</v>
      </c>
      <c r="O27"/>
      <c r="P27"/>
      <c r="Q27">
        <v>0</v>
      </c>
      <c r="R27"/>
      <c r="S27"/>
      <c r="T27">
        <v>0</v>
      </c>
      <c r="U27"/>
      <c r="V27"/>
      <c r="W27"/>
      <c r="X27"/>
      <c r="Y27" t="s">
        <v>484</v>
      </c>
      <c r="Z27"/>
      <c r="AA27">
        <v>511526</v>
      </c>
    </row>
    <row r="28" spans="1:27" ht="15.75" x14ac:dyDescent="0.25">
      <c r="A28" t="str">
        <f>$B28&amp;$C28&amp;$D28&amp;IF(AND(D28="Brand",Y28="a"),Y28,"")</f>
        <v>201823MBR</v>
      </c>
      <c r="B28">
        <v>2018</v>
      </c>
      <c r="C28">
        <v>23</v>
      </c>
      <c r="D28" t="s">
        <v>39</v>
      </c>
      <c r="E28">
        <v>23708</v>
      </c>
      <c r="F28">
        <v>25.02</v>
      </c>
      <c r="G28">
        <v>12</v>
      </c>
      <c r="H28">
        <v>4.16</v>
      </c>
      <c r="I28"/>
      <c r="J28">
        <v>0</v>
      </c>
      <c r="K28">
        <v>0</v>
      </c>
      <c r="L28">
        <v>0</v>
      </c>
      <c r="M28">
        <v>125000</v>
      </c>
      <c r="N28">
        <v>0</v>
      </c>
      <c r="O28"/>
      <c r="P28"/>
      <c r="Q28">
        <v>0</v>
      </c>
      <c r="R28"/>
      <c r="S28"/>
      <c r="T28">
        <v>0</v>
      </c>
      <c r="U28"/>
      <c r="V28"/>
      <c r="W28"/>
      <c r="X28"/>
      <c r="Y28" t="s">
        <v>484</v>
      </c>
      <c r="Z28">
        <v>0</v>
      </c>
      <c r="AA28">
        <v>362818</v>
      </c>
    </row>
    <row r="29" spans="1:27" ht="15.75" x14ac:dyDescent="0.25">
      <c r="A29" t="str">
        <f>$B29&amp;$C29&amp;$D29&amp;IF(AND(D29="Brand",Y29="a"),Y29,"")</f>
        <v>201824MBR</v>
      </c>
      <c r="B29">
        <v>2018</v>
      </c>
      <c r="C29">
        <v>24</v>
      </c>
      <c r="D29" t="s">
        <v>39</v>
      </c>
      <c r="E29">
        <v>20151</v>
      </c>
      <c r="F29">
        <v>25.02</v>
      </c>
      <c r="G29">
        <v>9</v>
      </c>
      <c r="H29">
        <v>4.16</v>
      </c>
      <c r="I29"/>
      <c r="J29">
        <v>0</v>
      </c>
      <c r="K29">
        <v>0</v>
      </c>
      <c r="L29">
        <v>0</v>
      </c>
      <c r="M29">
        <v>0</v>
      </c>
      <c r="N29">
        <v>0</v>
      </c>
      <c r="O29">
        <v>28727</v>
      </c>
      <c r="P29"/>
      <c r="Q29">
        <v>0</v>
      </c>
      <c r="R29"/>
      <c r="S29"/>
      <c r="T29">
        <v>0</v>
      </c>
      <c r="U29">
        <v>77545.66</v>
      </c>
      <c r="V29"/>
      <c r="W29"/>
      <c r="X29"/>
      <c r="Y29" t="s">
        <v>484</v>
      </c>
      <c r="Z29">
        <v>0</v>
      </c>
      <c r="AA29">
        <v>371394</v>
      </c>
    </row>
    <row r="30" spans="1:27" ht="15.75" x14ac:dyDescent="0.25">
      <c r="A30" t="str">
        <f>$B30&amp;$C30&amp;$D30&amp;IF(AND(D30="Brand",Y30="a"),Y30,"")</f>
        <v>201825MBR</v>
      </c>
      <c r="B30">
        <v>2018</v>
      </c>
      <c r="C30">
        <v>25</v>
      </c>
      <c r="D30" t="s">
        <v>39</v>
      </c>
      <c r="E30">
        <v>25189</v>
      </c>
      <c r="F30">
        <v>25.02</v>
      </c>
      <c r="G30">
        <v>8.4</v>
      </c>
      <c r="H30">
        <v>4.16</v>
      </c>
      <c r="I30"/>
      <c r="J30">
        <v>0</v>
      </c>
      <c r="K30">
        <v>0</v>
      </c>
      <c r="L30">
        <v>0</v>
      </c>
      <c r="M30">
        <v>0</v>
      </c>
      <c r="N30">
        <v>0</v>
      </c>
      <c r="O30"/>
      <c r="P30"/>
      <c r="Q30">
        <v>0</v>
      </c>
      <c r="R30"/>
      <c r="S30"/>
      <c r="T30">
        <v>0</v>
      </c>
      <c r="U30"/>
      <c r="V30"/>
      <c r="W30"/>
      <c r="X30"/>
      <c r="Y30" t="s">
        <v>484</v>
      </c>
      <c r="Z30">
        <v>0</v>
      </c>
      <c r="AA30">
        <v>346205</v>
      </c>
    </row>
    <row r="31" spans="1:27" ht="15.75" x14ac:dyDescent="0.25">
      <c r="A31" t="str">
        <f>$B31&amp;$C31&amp;$D31&amp;IF(AND(D31="Brand",Y31="a"),Y31,"")</f>
        <v>201826MBR</v>
      </c>
      <c r="B31">
        <v>2018</v>
      </c>
      <c r="C31">
        <v>26</v>
      </c>
      <c r="D31" t="s">
        <v>39</v>
      </c>
      <c r="E31">
        <v>26448</v>
      </c>
      <c r="F31">
        <v>25.02</v>
      </c>
      <c r="G31">
        <v>8</v>
      </c>
      <c r="H31">
        <v>4.16</v>
      </c>
      <c r="I31"/>
      <c r="J31">
        <v>0</v>
      </c>
      <c r="K31">
        <v>0</v>
      </c>
      <c r="L31">
        <v>0</v>
      </c>
      <c r="M31">
        <v>0</v>
      </c>
      <c r="N31">
        <v>0</v>
      </c>
      <c r="O31"/>
      <c r="P31"/>
      <c r="Q31">
        <v>0</v>
      </c>
      <c r="R31"/>
      <c r="S31"/>
      <c r="T31">
        <v>0</v>
      </c>
      <c r="U31"/>
      <c r="V31"/>
      <c r="W31"/>
      <c r="X31"/>
      <c r="Y31" t="s">
        <v>484</v>
      </c>
      <c r="Z31">
        <v>0</v>
      </c>
      <c r="AA31">
        <v>319757</v>
      </c>
    </row>
    <row r="32" spans="1:27" ht="15.75" x14ac:dyDescent="0.25">
      <c r="A32" t="str">
        <f>$B32&amp;$C32&amp;$D32&amp;IF(AND(D32="Brand",Y32="a"),Y32,"")</f>
        <v>201827MBR</v>
      </c>
      <c r="B32">
        <v>2018</v>
      </c>
      <c r="C32">
        <v>27</v>
      </c>
      <c r="D32" t="s">
        <v>39</v>
      </c>
      <c r="E32">
        <v>26448</v>
      </c>
      <c r="F32">
        <v>25.02</v>
      </c>
      <c r="G32">
        <v>7.51</v>
      </c>
      <c r="H32">
        <v>4.16</v>
      </c>
      <c r="I32"/>
      <c r="J32">
        <v>0</v>
      </c>
      <c r="K32">
        <v>0</v>
      </c>
      <c r="L32">
        <v>0</v>
      </c>
      <c r="M32">
        <v>0</v>
      </c>
      <c r="N32">
        <v>0</v>
      </c>
      <c r="O32"/>
      <c r="P32"/>
      <c r="Q32">
        <v>0</v>
      </c>
      <c r="R32"/>
      <c r="S32"/>
      <c r="T32">
        <v>0</v>
      </c>
      <c r="U32"/>
      <c r="V32"/>
      <c r="W32"/>
      <c r="X32"/>
      <c r="Y32" t="s">
        <v>484</v>
      </c>
      <c r="Z32">
        <v>0</v>
      </c>
      <c r="AA32">
        <v>293309</v>
      </c>
    </row>
    <row r="33" spans="1:27" ht="15.75" x14ac:dyDescent="0.25">
      <c r="A33" t="str">
        <f>$B33&amp;$C33&amp;$D33&amp;IF(AND(D33="Brand",Y33="a"),Y33,"")</f>
        <v>201828MBR</v>
      </c>
      <c r="B33">
        <v>2018</v>
      </c>
      <c r="C33">
        <v>28</v>
      </c>
      <c r="D33" t="s">
        <v>39</v>
      </c>
      <c r="E33">
        <v>22481</v>
      </c>
      <c r="F33">
        <v>25.02</v>
      </c>
      <c r="G33">
        <v>7.51</v>
      </c>
      <c r="H33">
        <v>4.16</v>
      </c>
      <c r="I33"/>
      <c r="J33">
        <v>0</v>
      </c>
      <c r="K33">
        <v>0</v>
      </c>
      <c r="L33">
        <v>0</v>
      </c>
      <c r="M33">
        <v>0</v>
      </c>
      <c r="N33">
        <v>0</v>
      </c>
      <c r="O33"/>
      <c r="P33"/>
      <c r="Q33">
        <v>0</v>
      </c>
      <c r="R33"/>
      <c r="S33"/>
      <c r="T33">
        <v>0</v>
      </c>
      <c r="U33"/>
      <c r="V33"/>
      <c r="W33"/>
      <c r="X33"/>
      <c r="Y33" t="s">
        <v>484</v>
      </c>
      <c r="Z33">
        <v>0</v>
      </c>
      <c r="AA33">
        <v>270828</v>
      </c>
    </row>
    <row r="34" spans="1:27" ht="15.75" x14ac:dyDescent="0.25">
      <c r="A34" t="str">
        <f>$B34&amp;$C34&amp;$D34&amp;IF(AND(D34="Brand",Y34="a"),Y34,"")</f>
        <v>201829MBR</v>
      </c>
      <c r="B34">
        <v>2018</v>
      </c>
      <c r="C34">
        <v>29</v>
      </c>
      <c r="D34" t="s">
        <v>39</v>
      </c>
      <c r="E34">
        <v>19108</v>
      </c>
      <c r="F34">
        <v>25.02</v>
      </c>
      <c r="G34">
        <v>6.26</v>
      </c>
      <c r="H34">
        <v>4.16</v>
      </c>
      <c r="I34"/>
      <c r="J34">
        <v>0</v>
      </c>
      <c r="K34">
        <v>0</v>
      </c>
      <c r="L34">
        <v>0</v>
      </c>
      <c r="M34">
        <v>0</v>
      </c>
      <c r="N34">
        <v>0</v>
      </c>
      <c r="O34"/>
      <c r="P34"/>
      <c r="Q34">
        <v>0</v>
      </c>
      <c r="R34"/>
      <c r="S34"/>
      <c r="T34">
        <v>0</v>
      </c>
      <c r="U34"/>
      <c r="V34"/>
      <c r="W34"/>
      <c r="X34"/>
      <c r="Y34" t="s">
        <v>484</v>
      </c>
      <c r="Z34">
        <v>0</v>
      </c>
      <c r="AA34">
        <v>251720</v>
      </c>
    </row>
    <row r="35" spans="1:27" ht="15.75" x14ac:dyDescent="0.25">
      <c r="A35" t="str">
        <f>$B35&amp;$C35&amp;$D35&amp;IF(AND(D35="Brand",Y35="a"),Y35,"")</f>
        <v>201830MBR</v>
      </c>
      <c r="B35">
        <v>2018</v>
      </c>
      <c r="C35">
        <v>30</v>
      </c>
      <c r="D35" t="s">
        <v>39</v>
      </c>
      <c r="E35">
        <v>18153</v>
      </c>
      <c r="F35">
        <v>25.02</v>
      </c>
      <c r="G35">
        <v>6.26</v>
      </c>
      <c r="H35">
        <v>4.16</v>
      </c>
      <c r="I35"/>
      <c r="J35">
        <v>0</v>
      </c>
      <c r="K35">
        <v>0</v>
      </c>
      <c r="L35">
        <v>0</v>
      </c>
      <c r="M35">
        <v>0</v>
      </c>
      <c r="N35">
        <v>0</v>
      </c>
      <c r="O35"/>
      <c r="P35"/>
      <c r="Q35">
        <v>0</v>
      </c>
      <c r="R35"/>
      <c r="S35"/>
      <c r="T35">
        <v>0</v>
      </c>
      <c r="U35"/>
      <c r="V35"/>
      <c r="W35"/>
      <c r="X35"/>
      <c r="Y35" t="s">
        <v>484</v>
      </c>
      <c r="Z35">
        <v>0</v>
      </c>
      <c r="AA35">
        <v>233567</v>
      </c>
    </row>
    <row r="36" spans="1:27" ht="15.75" x14ac:dyDescent="0.25">
      <c r="A36" t="str">
        <f>$B36&amp;$C36&amp;$D36&amp;IF(AND(D36="Brand",Y36="a"),Y36,"")</f>
        <v>201831MBR</v>
      </c>
      <c r="B36">
        <v>2018</v>
      </c>
      <c r="C36">
        <v>31</v>
      </c>
      <c r="D36" t="s">
        <v>39</v>
      </c>
      <c r="E36">
        <v>16338</v>
      </c>
      <c r="F36">
        <v>25.02</v>
      </c>
      <c r="G36">
        <v>6.26</v>
      </c>
      <c r="H36">
        <v>4.16</v>
      </c>
      <c r="I36"/>
      <c r="J36">
        <v>0</v>
      </c>
      <c r="K36">
        <v>0</v>
      </c>
      <c r="L36">
        <v>0</v>
      </c>
      <c r="M36">
        <v>0</v>
      </c>
      <c r="N36">
        <v>0</v>
      </c>
      <c r="O36"/>
      <c r="P36"/>
      <c r="Q36">
        <v>0</v>
      </c>
      <c r="R36"/>
      <c r="S36"/>
      <c r="T36">
        <v>0</v>
      </c>
      <c r="U36"/>
      <c r="V36"/>
      <c r="W36"/>
      <c r="X36"/>
      <c r="Y36" t="s">
        <v>484</v>
      </c>
      <c r="Z36">
        <v>0</v>
      </c>
      <c r="AA36">
        <v>217229</v>
      </c>
    </row>
    <row r="37" spans="1:27" ht="15.75" x14ac:dyDescent="0.25">
      <c r="A37" t="str">
        <f>$B37&amp;$C37&amp;$D37&amp;IF(AND(D37="Brand",Y37="a"),Y37,"")</f>
        <v>201832MBR</v>
      </c>
      <c r="B37">
        <v>2018</v>
      </c>
      <c r="C37">
        <v>32</v>
      </c>
      <c r="D37" t="s">
        <v>39</v>
      </c>
      <c r="E37">
        <v>13887</v>
      </c>
      <c r="F37">
        <v>25.02</v>
      </c>
      <c r="G37">
        <v>6.26</v>
      </c>
      <c r="H37">
        <v>4.16</v>
      </c>
      <c r="I37"/>
      <c r="J37">
        <v>0</v>
      </c>
      <c r="K37">
        <v>0</v>
      </c>
      <c r="L37">
        <v>0</v>
      </c>
      <c r="M37">
        <v>0</v>
      </c>
      <c r="N37">
        <v>0</v>
      </c>
      <c r="O37"/>
      <c r="P37"/>
      <c r="Q37">
        <v>0</v>
      </c>
      <c r="R37"/>
      <c r="S37"/>
      <c r="T37">
        <v>0</v>
      </c>
      <c r="U37"/>
      <c r="V37"/>
      <c r="W37"/>
      <c r="X37"/>
      <c r="Y37" t="s">
        <v>484</v>
      </c>
      <c r="Z37">
        <v>0</v>
      </c>
      <c r="AA37">
        <v>203342</v>
      </c>
    </row>
    <row r="38" spans="1:27" ht="15.75" x14ac:dyDescent="0.25">
      <c r="A38" t="str">
        <f>$B38&amp;$C38&amp;$D38&amp;IF(AND(D38="Brand",Y38="a"),Y38,"")</f>
        <v>201833MBR</v>
      </c>
      <c r="B38">
        <v>2018</v>
      </c>
      <c r="C38">
        <v>33</v>
      </c>
      <c r="D38" t="s">
        <v>39</v>
      </c>
      <c r="E38">
        <v>11805</v>
      </c>
      <c r="F38">
        <v>25.02</v>
      </c>
      <c r="G38">
        <v>5</v>
      </c>
      <c r="H38">
        <v>4.16</v>
      </c>
      <c r="I38"/>
      <c r="J38">
        <v>0</v>
      </c>
      <c r="K38">
        <v>0</v>
      </c>
      <c r="L38">
        <v>0</v>
      </c>
      <c r="M38">
        <v>0</v>
      </c>
      <c r="N38">
        <v>0</v>
      </c>
      <c r="O38"/>
      <c r="P38"/>
      <c r="Q38">
        <v>0</v>
      </c>
      <c r="R38"/>
      <c r="S38"/>
      <c r="T38">
        <v>0</v>
      </c>
      <c r="U38"/>
      <c r="V38"/>
      <c r="W38"/>
      <c r="X38"/>
      <c r="Y38" t="s">
        <v>484</v>
      </c>
      <c r="Z38">
        <v>0</v>
      </c>
      <c r="AA38">
        <v>191537</v>
      </c>
    </row>
    <row r="39" spans="1:27" ht="15.75" x14ac:dyDescent="0.25">
      <c r="A39" t="str">
        <f>$B39&amp;$C39&amp;$D39&amp;IF(AND(D39="Brand",Y39="a"),Y39,"")</f>
        <v>201834MBR</v>
      </c>
      <c r="B39">
        <v>2018</v>
      </c>
      <c r="C39">
        <v>34</v>
      </c>
      <c r="D39" t="s">
        <v>39</v>
      </c>
      <c r="E39">
        <v>10034</v>
      </c>
      <c r="F39">
        <v>25.02</v>
      </c>
      <c r="G39">
        <v>5</v>
      </c>
      <c r="H39">
        <v>4.16</v>
      </c>
      <c r="I39"/>
      <c r="J39">
        <v>0</v>
      </c>
      <c r="K39">
        <v>0</v>
      </c>
      <c r="L39">
        <v>0</v>
      </c>
      <c r="M39">
        <v>0</v>
      </c>
      <c r="N39">
        <v>0</v>
      </c>
      <c r="O39"/>
      <c r="P39"/>
      <c r="Q39">
        <v>0</v>
      </c>
      <c r="R39"/>
      <c r="S39"/>
      <c r="T39">
        <v>0</v>
      </c>
      <c r="U39"/>
      <c r="V39"/>
      <c r="W39"/>
      <c r="X39"/>
      <c r="Y39" t="s">
        <v>484</v>
      </c>
      <c r="Z39">
        <v>0</v>
      </c>
      <c r="AA39">
        <v>181503</v>
      </c>
    </row>
    <row r="40" spans="1:27" ht="15.75" x14ac:dyDescent="0.25">
      <c r="A40" t="str">
        <f>$B40&amp;$C40&amp;$D40&amp;IF(AND(D40="Brand",Y40="a"),Y40,"")</f>
        <v>201835MBR</v>
      </c>
      <c r="B40">
        <v>2018</v>
      </c>
      <c r="C40">
        <v>35</v>
      </c>
      <c r="D40" t="s">
        <v>39</v>
      </c>
      <c r="E40">
        <v>8529</v>
      </c>
      <c r="F40">
        <v>25.02</v>
      </c>
      <c r="G40">
        <v>5</v>
      </c>
      <c r="H40">
        <v>4.16</v>
      </c>
      <c r="I40"/>
      <c r="J40">
        <v>0</v>
      </c>
      <c r="K40">
        <v>0</v>
      </c>
      <c r="L40">
        <v>0</v>
      </c>
      <c r="M40">
        <v>0</v>
      </c>
      <c r="N40">
        <v>0</v>
      </c>
      <c r="O40"/>
      <c r="P40"/>
      <c r="Q40">
        <v>0</v>
      </c>
      <c r="R40"/>
      <c r="S40"/>
      <c r="T40">
        <v>0</v>
      </c>
      <c r="U40"/>
      <c r="V40"/>
      <c r="W40"/>
      <c r="X40"/>
      <c r="Y40" t="s">
        <v>484</v>
      </c>
      <c r="Z40">
        <v>0</v>
      </c>
      <c r="AA40">
        <v>172974</v>
      </c>
    </row>
    <row r="41" spans="1:27" ht="15.75" x14ac:dyDescent="0.25">
      <c r="A41" t="str">
        <f>$B41&amp;$C41&amp;$D41&amp;IF(AND(D41="Brand",Y41="a"),Y41,"")</f>
        <v>201836MBR</v>
      </c>
      <c r="B41">
        <v>2018</v>
      </c>
      <c r="C41">
        <v>36</v>
      </c>
      <c r="D41" t="s">
        <v>39</v>
      </c>
      <c r="E41">
        <v>7676</v>
      </c>
      <c r="F41">
        <v>25.02</v>
      </c>
      <c r="G41">
        <v>5</v>
      </c>
      <c r="H41">
        <v>4.16</v>
      </c>
      <c r="I41"/>
      <c r="J41">
        <v>0</v>
      </c>
      <c r="K41">
        <v>0</v>
      </c>
      <c r="L41">
        <v>0</v>
      </c>
      <c r="M41">
        <v>0</v>
      </c>
      <c r="N41">
        <v>0</v>
      </c>
      <c r="O41"/>
      <c r="P41"/>
      <c r="Q41">
        <v>0</v>
      </c>
      <c r="R41"/>
      <c r="S41"/>
      <c r="T41">
        <v>0</v>
      </c>
      <c r="U41"/>
      <c r="V41"/>
      <c r="W41"/>
      <c r="X41"/>
      <c r="Y41" t="s">
        <v>484</v>
      </c>
      <c r="Z41">
        <v>0</v>
      </c>
      <c r="AA41">
        <v>165298</v>
      </c>
    </row>
    <row r="42" spans="1:27" ht="15.75" x14ac:dyDescent="0.25">
      <c r="A42" t="str">
        <f>$B42&amp;$C42&amp;$D42&amp;IF(AND(D42="Brand",Y42="a"),Y42,"")</f>
        <v>201837MBR</v>
      </c>
      <c r="B42">
        <v>2018</v>
      </c>
      <c r="C42">
        <v>37</v>
      </c>
      <c r="D42" t="s">
        <v>39</v>
      </c>
      <c r="E42">
        <v>6525</v>
      </c>
      <c r="F42">
        <v>25.02</v>
      </c>
      <c r="G42">
        <v>5</v>
      </c>
      <c r="H42">
        <v>4.16</v>
      </c>
      <c r="I42"/>
      <c r="J42">
        <v>0</v>
      </c>
      <c r="K42">
        <v>0</v>
      </c>
      <c r="L42">
        <v>0</v>
      </c>
      <c r="M42">
        <v>0</v>
      </c>
      <c r="N42">
        <v>0</v>
      </c>
      <c r="O42"/>
      <c r="P42"/>
      <c r="Q42">
        <v>0</v>
      </c>
      <c r="R42"/>
      <c r="S42"/>
      <c r="T42">
        <v>0</v>
      </c>
      <c r="U42"/>
      <c r="V42"/>
      <c r="W42"/>
      <c r="X42"/>
      <c r="Y42" t="s">
        <v>484</v>
      </c>
      <c r="Z42">
        <v>0</v>
      </c>
      <c r="AA42">
        <v>158773</v>
      </c>
    </row>
    <row r="43" spans="1:27" ht="15.75" x14ac:dyDescent="0.25">
      <c r="A43" t="str">
        <f>$B43&amp;$C43&amp;$D43&amp;IF(AND(D43="Brand",Y43="a"),Y43,"")</f>
        <v>201838MBR</v>
      </c>
      <c r="B43">
        <v>2018</v>
      </c>
      <c r="C43">
        <v>38</v>
      </c>
      <c r="D43" t="s">
        <v>39</v>
      </c>
      <c r="E43">
        <v>5546</v>
      </c>
      <c r="F43">
        <v>25.02</v>
      </c>
      <c r="G43">
        <v>5</v>
      </c>
      <c r="H43">
        <v>4.16</v>
      </c>
      <c r="I43"/>
      <c r="J43">
        <v>0</v>
      </c>
      <c r="K43">
        <v>0</v>
      </c>
      <c r="L43">
        <v>0</v>
      </c>
      <c r="M43">
        <v>0</v>
      </c>
      <c r="N43">
        <v>0</v>
      </c>
      <c r="O43"/>
      <c r="P43"/>
      <c r="Q43">
        <v>0</v>
      </c>
      <c r="R43"/>
      <c r="S43"/>
      <c r="T43">
        <v>0</v>
      </c>
      <c r="U43"/>
      <c r="V43"/>
      <c r="W43"/>
      <c r="X43"/>
      <c r="Y43" t="s">
        <v>484</v>
      </c>
      <c r="Z43">
        <v>0</v>
      </c>
      <c r="AA43">
        <v>153227</v>
      </c>
    </row>
    <row r="44" spans="1:27" ht="15.75" x14ac:dyDescent="0.25">
      <c r="A44" t="str">
        <f>$B44&amp;$C44&amp;$D44&amp;IF(AND(D44="Brand",Y44="a"),Y44,"")</f>
        <v>201839MBR</v>
      </c>
      <c r="B44">
        <v>2018</v>
      </c>
      <c r="C44">
        <v>39</v>
      </c>
      <c r="D44" t="s">
        <v>39</v>
      </c>
      <c r="E44">
        <v>4714</v>
      </c>
      <c r="F44">
        <v>25.02</v>
      </c>
      <c r="G44">
        <v>5</v>
      </c>
      <c r="H44">
        <v>4.16</v>
      </c>
      <c r="I44"/>
      <c r="J44">
        <v>0</v>
      </c>
      <c r="K44">
        <v>0</v>
      </c>
      <c r="L44">
        <v>0</v>
      </c>
      <c r="M44">
        <v>0</v>
      </c>
      <c r="N44">
        <v>0</v>
      </c>
      <c r="O44"/>
      <c r="P44"/>
      <c r="Q44">
        <v>0</v>
      </c>
      <c r="R44"/>
      <c r="S44"/>
      <c r="T44">
        <v>0</v>
      </c>
      <c r="U44"/>
      <c r="V44"/>
      <c r="W44"/>
      <c r="X44"/>
      <c r="Y44" t="s">
        <v>484</v>
      </c>
      <c r="Z44">
        <v>0</v>
      </c>
      <c r="AA44">
        <v>148513</v>
      </c>
    </row>
    <row r="45" spans="1:27" ht="15.75" x14ac:dyDescent="0.25">
      <c r="A45" t="str">
        <f>$B45&amp;$C45&amp;$D45&amp;IF(AND(D45="Brand",Y45="a"),Y45,"")</f>
        <v>201840MBR</v>
      </c>
      <c r="B45">
        <v>2018</v>
      </c>
      <c r="C45">
        <v>40</v>
      </c>
      <c r="D45" t="s">
        <v>39</v>
      </c>
      <c r="E45">
        <v>2875</v>
      </c>
      <c r="F45">
        <v>25.02</v>
      </c>
      <c r="G45">
        <v>5</v>
      </c>
      <c r="H45">
        <v>4.16</v>
      </c>
      <c r="I45"/>
      <c r="J45">
        <v>0</v>
      </c>
      <c r="K45">
        <v>0</v>
      </c>
      <c r="L45">
        <v>0</v>
      </c>
      <c r="M45">
        <v>0</v>
      </c>
      <c r="N45">
        <v>0</v>
      </c>
      <c r="O45"/>
      <c r="P45"/>
      <c r="Q45">
        <v>0</v>
      </c>
      <c r="R45"/>
      <c r="S45"/>
      <c r="T45">
        <v>0</v>
      </c>
      <c r="U45"/>
      <c r="V45"/>
      <c r="W45"/>
      <c r="X45"/>
      <c r="Y45" t="s">
        <v>484</v>
      </c>
      <c r="Z45">
        <v>0</v>
      </c>
      <c r="AA45">
        <v>145638</v>
      </c>
    </row>
    <row r="46" spans="1:27" ht="15.75" x14ac:dyDescent="0.25">
      <c r="A46" t="str">
        <f>$B46&amp;$C46&amp;$D46&amp;IF(AND(D46="Brand",Y46="a"),Y46,"")</f>
        <v>201841MBR</v>
      </c>
      <c r="B46">
        <v>2018</v>
      </c>
      <c r="C46">
        <v>41</v>
      </c>
      <c r="D46" t="s">
        <v>39</v>
      </c>
      <c r="E46">
        <v>1725</v>
      </c>
      <c r="F46">
        <v>25.02</v>
      </c>
      <c r="G46">
        <v>5</v>
      </c>
      <c r="H46">
        <v>4.16</v>
      </c>
      <c r="I46"/>
      <c r="J46">
        <v>0</v>
      </c>
      <c r="K46">
        <v>0</v>
      </c>
      <c r="L46">
        <v>0</v>
      </c>
      <c r="M46">
        <v>0</v>
      </c>
      <c r="N46">
        <v>0</v>
      </c>
      <c r="O46"/>
      <c r="P46"/>
      <c r="Q46">
        <v>0</v>
      </c>
      <c r="R46"/>
      <c r="S46"/>
      <c r="T46">
        <v>0</v>
      </c>
      <c r="U46"/>
      <c r="V46"/>
      <c r="W46"/>
      <c r="X46"/>
      <c r="Y46" t="s">
        <v>484</v>
      </c>
      <c r="Z46">
        <v>0</v>
      </c>
      <c r="AA46">
        <v>143913</v>
      </c>
    </row>
    <row r="47" spans="1:27" ht="15.75" x14ac:dyDescent="0.25">
      <c r="A47" t="str">
        <f>$B47&amp;$C47&amp;$D47&amp;IF(AND(D47="Brand",Y47="a"),Y47,"")</f>
        <v>201842MBR</v>
      </c>
      <c r="B47">
        <v>2018</v>
      </c>
      <c r="C47">
        <v>42</v>
      </c>
      <c r="D47" t="s">
        <v>39</v>
      </c>
      <c r="E47">
        <v>8822</v>
      </c>
      <c r="F47">
        <v>25.02</v>
      </c>
      <c r="G47">
        <v>5</v>
      </c>
      <c r="H47">
        <v>4.16</v>
      </c>
      <c r="I47"/>
      <c r="J47">
        <v>0</v>
      </c>
      <c r="K47">
        <v>0</v>
      </c>
      <c r="L47">
        <v>0</v>
      </c>
      <c r="M47">
        <v>0</v>
      </c>
      <c r="N47">
        <v>0</v>
      </c>
      <c r="O47"/>
      <c r="P47"/>
      <c r="Q47">
        <v>0</v>
      </c>
      <c r="R47"/>
      <c r="S47"/>
      <c r="T47">
        <v>0</v>
      </c>
      <c r="U47"/>
      <c r="V47"/>
      <c r="W47"/>
      <c r="X47"/>
      <c r="Y47" t="s">
        <v>484</v>
      </c>
      <c r="Z47">
        <v>0</v>
      </c>
      <c r="AA47">
        <v>135091</v>
      </c>
    </row>
    <row r="48" spans="1:27" ht="15.75" x14ac:dyDescent="0.25">
      <c r="A48" t="str">
        <f>$B48&amp;$C48&amp;$D48&amp;IF(AND(D48="Brand",Y48="a"),Y48,"")</f>
        <v>201843MBR</v>
      </c>
      <c r="B48">
        <v>2018</v>
      </c>
      <c r="C48">
        <v>43</v>
      </c>
      <c r="D48" t="s">
        <v>39</v>
      </c>
      <c r="E48">
        <v>361</v>
      </c>
      <c r="F48">
        <v>25.02</v>
      </c>
      <c r="G48">
        <v>5</v>
      </c>
      <c r="H48">
        <v>4.16</v>
      </c>
      <c r="I48"/>
      <c r="J48">
        <v>0</v>
      </c>
      <c r="K48">
        <v>0</v>
      </c>
      <c r="L48">
        <v>0</v>
      </c>
      <c r="M48">
        <v>0</v>
      </c>
      <c r="N48">
        <v>0</v>
      </c>
      <c r="O48"/>
      <c r="P48"/>
      <c r="Q48">
        <v>0</v>
      </c>
      <c r="R48"/>
      <c r="S48"/>
      <c r="T48">
        <v>0</v>
      </c>
      <c r="U48"/>
      <c r="V48"/>
      <c r="W48"/>
      <c r="X48"/>
      <c r="Y48" t="s">
        <v>484</v>
      </c>
      <c r="Z48">
        <v>0</v>
      </c>
      <c r="AA48">
        <v>134730</v>
      </c>
    </row>
    <row r="49" spans="1:27" ht="15.75" x14ac:dyDescent="0.25">
      <c r="A49" t="str">
        <f>$B49&amp;$C49&amp;$D49&amp;IF(AND(D49="Brand",Y49="a"),Y49,"")</f>
        <v>201844MBR</v>
      </c>
      <c r="B49">
        <v>2018</v>
      </c>
      <c r="C49">
        <v>44</v>
      </c>
      <c r="D49" t="s">
        <v>39</v>
      </c>
      <c r="E49">
        <v>591</v>
      </c>
      <c r="F49">
        <v>25.02</v>
      </c>
      <c r="G49">
        <v>5</v>
      </c>
      <c r="H49">
        <v>4.16</v>
      </c>
      <c r="I49"/>
      <c r="J49">
        <v>0</v>
      </c>
      <c r="K49">
        <v>0</v>
      </c>
      <c r="L49">
        <v>0</v>
      </c>
      <c r="M49">
        <v>0</v>
      </c>
      <c r="N49">
        <v>0</v>
      </c>
      <c r="O49"/>
      <c r="P49"/>
      <c r="Q49">
        <v>0</v>
      </c>
      <c r="R49"/>
      <c r="S49"/>
      <c r="T49">
        <v>0</v>
      </c>
      <c r="U49"/>
      <c r="V49"/>
      <c r="W49"/>
      <c r="X49"/>
      <c r="Y49" t="s">
        <v>484</v>
      </c>
      <c r="Z49">
        <v>0</v>
      </c>
      <c r="AA49">
        <v>134139</v>
      </c>
    </row>
    <row r="50" spans="1:27" ht="15.75" x14ac:dyDescent="0.25">
      <c r="A50" t="str">
        <f>$B50&amp;$C50&amp;$D50&amp;IF(AND(D50="Brand",Y50="a"),Y50,"")</f>
        <v>201845MBR</v>
      </c>
      <c r="B50">
        <v>2018</v>
      </c>
      <c r="C50">
        <v>45</v>
      </c>
      <c r="D50" t="s">
        <v>39</v>
      </c>
      <c r="E50">
        <v>1100</v>
      </c>
      <c r="F50">
        <v>25.02</v>
      </c>
      <c r="G50">
        <v>5</v>
      </c>
      <c r="H50">
        <v>4.16</v>
      </c>
      <c r="I50"/>
      <c r="J50">
        <v>0</v>
      </c>
      <c r="K50">
        <v>0</v>
      </c>
      <c r="L50">
        <v>0</v>
      </c>
      <c r="M50">
        <v>0</v>
      </c>
      <c r="N50">
        <v>0</v>
      </c>
      <c r="O50"/>
      <c r="P50"/>
      <c r="Q50">
        <v>0</v>
      </c>
      <c r="R50"/>
      <c r="S50"/>
      <c r="T50">
        <v>0</v>
      </c>
      <c r="U50"/>
      <c r="V50"/>
      <c r="W50"/>
      <c r="X50"/>
      <c r="Y50" t="s">
        <v>484</v>
      </c>
      <c r="Z50">
        <v>0</v>
      </c>
      <c r="AA50">
        <v>133039</v>
      </c>
    </row>
    <row r="51" spans="1:27" ht="15.75" x14ac:dyDescent="0.25">
      <c r="A51" t="str">
        <f>$B51&amp;$C51&amp;$D51&amp;IF(AND(D51="Brand",Y51="a"),Y51,"")</f>
        <v>201846MBR</v>
      </c>
      <c r="B51">
        <v>2018</v>
      </c>
      <c r="C51">
        <v>46</v>
      </c>
      <c r="D51" t="s">
        <v>39</v>
      </c>
      <c r="E51">
        <v>34664</v>
      </c>
      <c r="F51">
        <v>25.02</v>
      </c>
      <c r="G51">
        <v>5</v>
      </c>
      <c r="H51">
        <v>4.16</v>
      </c>
      <c r="I51"/>
      <c r="J51">
        <v>0</v>
      </c>
      <c r="K51">
        <v>0</v>
      </c>
      <c r="L51">
        <v>0</v>
      </c>
      <c r="M51">
        <v>0</v>
      </c>
      <c r="N51">
        <v>0</v>
      </c>
      <c r="O51"/>
      <c r="P51"/>
      <c r="Q51">
        <v>0</v>
      </c>
      <c r="R51"/>
      <c r="S51"/>
      <c r="T51">
        <v>0</v>
      </c>
      <c r="U51"/>
      <c r="V51"/>
      <c r="W51"/>
      <c r="X51"/>
      <c r="Y51" t="s">
        <v>484</v>
      </c>
      <c r="Z51">
        <v>0</v>
      </c>
      <c r="AA51">
        <v>98375</v>
      </c>
    </row>
    <row r="52" spans="1:27" ht="15.75" x14ac:dyDescent="0.25">
      <c r="A52" t="str">
        <f>$B52&amp;$C52&amp;$D52&amp;IF(AND(D52="Brand",Y52="a"),Y52,"")</f>
        <v>201847MBR</v>
      </c>
      <c r="B52">
        <v>2018</v>
      </c>
      <c r="C52">
        <v>47</v>
      </c>
      <c r="D52" t="s">
        <v>39</v>
      </c>
      <c r="E52">
        <v>3873</v>
      </c>
      <c r="F52">
        <v>25.02</v>
      </c>
      <c r="G52">
        <v>5</v>
      </c>
      <c r="H52">
        <v>4.16</v>
      </c>
      <c r="I52"/>
      <c r="J52">
        <v>0</v>
      </c>
      <c r="K52">
        <v>0</v>
      </c>
      <c r="L52">
        <v>0</v>
      </c>
      <c r="M52">
        <v>0</v>
      </c>
      <c r="N52">
        <v>0</v>
      </c>
      <c r="O52"/>
      <c r="P52"/>
      <c r="Q52">
        <v>0</v>
      </c>
      <c r="R52"/>
      <c r="S52"/>
      <c r="T52">
        <v>0</v>
      </c>
      <c r="U52"/>
      <c r="V52"/>
      <c r="W52"/>
      <c r="X52"/>
      <c r="Y52" t="s">
        <v>484</v>
      </c>
      <c r="Z52">
        <v>0</v>
      </c>
      <c r="AA52">
        <v>94502</v>
      </c>
    </row>
    <row r="53" spans="1:27" ht="15.75" x14ac:dyDescent="0.25">
      <c r="A53" t="str">
        <f>$B53&amp;$C53&amp;$D53&amp;IF(AND(D53="Brand",Y53="a"),Y53,"")</f>
        <v>201848MBR</v>
      </c>
      <c r="B53">
        <v>2018</v>
      </c>
      <c r="C53">
        <v>48</v>
      </c>
      <c r="D53" t="s">
        <v>39</v>
      </c>
      <c r="E53">
        <v>5645</v>
      </c>
      <c r="F53">
        <v>25.02</v>
      </c>
      <c r="G53">
        <v>5</v>
      </c>
      <c r="H53">
        <v>4.16</v>
      </c>
      <c r="I53"/>
      <c r="J53">
        <v>0</v>
      </c>
      <c r="K53">
        <v>0</v>
      </c>
      <c r="L53">
        <v>0</v>
      </c>
      <c r="M53">
        <v>0</v>
      </c>
      <c r="N53">
        <v>0</v>
      </c>
      <c r="O53"/>
      <c r="P53"/>
      <c r="Q53">
        <v>0</v>
      </c>
      <c r="R53"/>
      <c r="S53"/>
      <c r="T53">
        <v>0</v>
      </c>
      <c r="U53"/>
      <c r="V53"/>
      <c r="W53"/>
      <c r="X53"/>
      <c r="Y53" t="s">
        <v>484</v>
      </c>
      <c r="Z53">
        <v>0</v>
      </c>
      <c r="AA53">
        <v>88857</v>
      </c>
    </row>
    <row r="54" spans="1:27" ht="15.75" x14ac:dyDescent="0.25">
      <c r="A54" t="str">
        <f>$B54&amp;$C54&amp;$D54&amp;IF(AND(D54="Brand",Y54="a"),Y54,"")</f>
        <v>201849MBR</v>
      </c>
      <c r="B54">
        <v>2018</v>
      </c>
      <c r="C54">
        <v>49</v>
      </c>
      <c r="D54" t="s">
        <v>39</v>
      </c>
      <c r="E54">
        <v>12013</v>
      </c>
      <c r="F54">
        <v>25.02</v>
      </c>
      <c r="G54">
        <v>5</v>
      </c>
      <c r="H54">
        <v>4.16</v>
      </c>
      <c r="I54"/>
      <c r="J54">
        <v>0</v>
      </c>
      <c r="K54">
        <v>0</v>
      </c>
      <c r="L54">
        <v>0</v>
      </c>
      <c r="M54">
        <v>0</v>
      </c>
      <c r="N54">
        <v>0</v>
      </c>
      <c r="O54"/>
      <c r="P54"/>
      <c r="Q54">
        <v>0</v>
      </c>
      <c r="R54"/>
      <c r="S54"/>
      <c r="T54">
        <v>0</v>
      </c>
      <c r="U54"/>
      <c r="V54"/>
      <c r="W54"/>
      <c r="X54"/>
      <c r="Y54" t="s">
        <v>484</v>
      </c>
      <c r="Z54">
        <v>0</v>
      </c>
      <c r="AA54">
        <v>76844</v>
      </c>
    </row>
    <row r="55" spans="1:27" ht="15.75" x14ac:dyDescent="0.25">
      <c r="A55" t="str">
        <f>$B55&amp;$C55&amp;$D55&amp;IF(AND(D55="Brand",Y55="a"),Y55,"")</f>
        <v>201850MBR</v>
      </c>
      <c r="B55">
        <v>2018</v>
      </c>
      <c r="C55">
        <v>50</v>
      </c>
      <c r="D55" t="s">
        <v>39</v>
      </c>
      <c r="E55">
        <v>3167</v>
      </c>
      <c r="F55">
        <v>25.02</v>
      </c>
      <c r="G55">
        <v>5</v>
      </c>
      <c r="H55">
        <v>4.16</v>
      </c>
      <c r="I55"/>
      <c r="J55">
        <v>0</v>
      </c>
      <c r="K55">
        <v>-10500</v>
      </c>
      <c r="L55">
        <v>0</v>
      </c>
      <c r="M55">
        <v>0</v>
      </c>
      <c r="N55">
        <v>0</v>
      </c>
      <c r="O55"/>
      <c r="P55"/>
      <c r="Q55">
        <v>0</v>
      </c>
      <c r="R55"/>
      <c r="S55"/>
      <c r="T55">
        <v>0</v>
      </c>
      <c r="U55"/>
      <c r="V55"/>
      <c r="W55"/>
      <c r="X55"/>
      <c r="Y55" t="s">
        <v>484</v>
      </c>
      <c r="Z55">
        <v>0</v>
      </c>
      <c r="AA55">
        <v>63177</v>
      </c>
    </row>
    <row r="56" spans="1:27" ht="15.75" x14ac:dyDescent="0.25">
      <c r="A56" t="str">
        <f>$B56&amp;$C56&amp;$D56&amp;IF(AND(D56="Brand",Y56="a"),Y56,"")</f>
        <v>201851MBR</v>
      </c>
      <c r="B56">
        <v>2018</v>
      </c>
      <c r="C56">
        <v>51</v>
      </c>
      <c r="D56" t="s">
        <v>39</v>
      </c>
      <c r="E56">
        <v>5103</v>
      </c>
      <c r="F56">
        <v>25.02</v>
      </c>
      <c r="G56">
        <v>5</v>
      </c>
      <c r="H56">
        <v>4.16</v>
      </c>
      <c r="I56"/>
      <c r="J56">
        <v>0</v>
      </c>
      <c r="K56">
        <v>0</v>
      </c>
      <c r="L56">
        <v>0</v>
      </c>
      <c r="M56">
        <v>0</v>
      </c>
      <c r="N56">
        <v>0</v>
      </c>
      <c r="O56"/>
      <c r="P56"/>
      <c r="Q56">
        <v>0</v>
      </c>
      <c r="R56"/>
      <c r="S56"/>
      <c r="T56">
        <v>0</v>
      </c>
      <c r="U56"/>
      <c r="V56"/>
      <c r="W56"/>
      <c r="X56"/>
      <c r="Y56" t="s">
        <v>484</v>
      </c>
      <c r="Z56">
        <v>0</v>
      </c>
      <c r="AA56">
        <v>58074</v>
      </c>
    </row>
    <row r="57" spans="1:27" ht="15.75" x14ac:dyDescent="0.25">
      <c r="A57" t="str">
        <f>$B57&amp;$C57&amp;$D57&amp;IF(AND(D57="Brand",Y57="a"),Y57,"")</f>
        <v>201852MBR</v>
      </c>
      <c r="B57">
        <v>2018</v>
      </c>
      <c r="C57">
        <v>52</v>
      </c>
      <c r="D57" t="s">
        <v>39</v>
      </c>
      <c r="E57">
        <v>1362</v>
      </c>
      <c r="F57">
        <v>25.02</v>
      </c>
      <c r="G57">
        <v>5</v>
      </c>
      <c r="H57">
        <v>4.16</v>
      </c>
      <c r="I57"/>
      <c r="J57">
        <v>0</v>
      </c>
      <c r="K57">
        <v>0</v>
      </c>
      <c r="L57">
        <v>0</v>
      </c>
      <c r="M57">
        <v>0</v>
      </c>
      <c r="N57">
        <v>0</v>
      </c>
      <c r="O57"/>
      <c r="P57"/>
      <c r="Q57">
        <v>0</v>
      </c>
      <c r="R57"/>
      <c r="S57"/>
      <c r="T57">
        <v>0</v>
      </c>
      <c r="U57"/>
      <c r="V57"/>
      <c r="W57"/>
      <c r="X57"/>
      <c r="Y57" t="s">
        <v>484</v>
      </c>
      <c r="Z57">
        <v>0</v>
      </c>
      <c r="AA57">
        <v>56712</v>
      </c>
    </row>
    <row r="58" spans="1:27" ht="15.75" x14ac:dyDescent="0.25">
      <c r="A58" t="str">
        <f>$B58&amp;$C58&amp;$D58&amp;IF(AND(D58="Brand",Y58="a"),Y58,"")</f>
        <v>20191MBR</v>
      </c>
      <c r="B58">
        <v>2019</v>
      </c>
      <c r="C58">
        <v>1</v>
      </c>
      <c r="D58" t="s">
        <v>39</v>
      </c>
      <c r="E58">
        <v>0</v>
      </c>
      <c r="F58">
        <v>25.02</v>
      </c>
      <c r="G58">
        <v>17.510000000000002</v>
      </c>
      <c r="H58">
        <v>4.16</v>
      </c>
      <c r="I58"/>
      <c r="J58">
        <v>0</v>
      </c>
      <c r="K58">
        <v>0</v>
      </c>
      <c r="L58">
        <v>0</v>
      </c>
      <c r="M58">
        <v>0</v>
      </c>
      <c r="N58">
        <v>0</v>
      </c>
      <c r="O58"/>
      <c r="P58"/>
      <c r="Q58">
        <v>0</v>
      </c>
      <c r="R58"/>
      <c r="S58"/>
      <c r="T58">
        <v>0</v>
      </c>
      <c r="U58"/>
      <c r="V58"/>
      <c r="W58"/>
      <c r="X58"/>
      <c r="Y58" t="s">
        <v>484</v>
      </c>
      <c r="Z58">
        <v>0</v>
      </c>
      <c r="AA58">
        <v>56712</v>
      </c>
    </row>
    <row r="59" spans="1:27" ht="15.75" x14ac:dyDescent="0.25">
      <c r="A59" t="str">
        <f>$B59&amp;$C59&amp;$D59&amp;IF(AND(D59="Brand",Y59="a"),Y59,"")</f>
        <v>20192MBR</v>
      </c>
      <c r="B59">
        <v>2019</v>
      </c>
      <c r="C59">
        <v>2</v>
      </c>
      <c r="D59" t="s">
        <v>39</v>
      </c>
      <c r="E59">
        <v>0</v>
      </c>
      <c r="F59">
        <v>25.02</v>
      </c>
      <c r="G59">
        <v>17.510000000000002</v>
      </c>
      <c r="H59">
        <v>4.16</v>
      </c>
      <c r="I59"/>
      <c r="J59">
        <v>0</v>
      </c>
      <c r="K59">
        <v>0</v>
      </c>
      <c r="L59">
        <v>0</v>
      </c>
      <c r="M59">
        <v>0</v>
      </c>
      <c r="N59">
        <v>0</v>
      </c>
      <c r="O59"/>
      <c r="P59"/>
      <c r="Q59">
        <v>0</v>
      </c>
      <c r="R59"/>
      <c r="S59"/>
      <c r="T59">
        <v>0</v>
      </c>
      <c r="U59"/>
      <c r="V59"/>
      <c r="W59"/>
      <c r="X59"/>
      <c r="Y59" t="s">
        <v>484</v>
      </c>
      <c r="Z59">
        <v>0</v>
      </c>
      <c r="AA59">
        <v>56712</v>
      </c>
    </row>
    <row r="60" spans="1:27" ht="15.75" x14ac:dyDescent="0.25">
      <c r="A60" t="str">
        <f>$B60&amp;$C60&amp;$D60&amp;IF(AND(D60="Brand",Y60="a"),Y60,"")</f>
        <v>20193MBR</v>
      </c>
      <c r="B60">
        <v>2019</v>
      </c>
      <c r="C60">
        <v>3</v>
      </c>
      <c r="D60" t="s">
        <v>39</v>
      </c>
      <c r="E60">
        <v>0</v>
      </c>
      <c r="F60">
        <v>25.02</v>
      </c>
      <c r="G60">
        <v>17.510000000000002</v>
      </c>
      <c r="H60">
        <v>4.16</v>
      </c>
      <c r="I60"/>
      <c r="J60">
        <v>0</v>
      </c>
      <c r="K60">
        <v>0</v>
      </c>
      <c r="L60">
        <v>0</v>
      </c>
      <c r="M60">
        <v>0</v>
      </c>
      <c r="N60">
        <v>0</v>
      </c>
      <c r="O60"/>
      <c r="P60"/>
      <c r="Q60">
        <v>0</v>
      </c>
      <c r="R60"/>
      <c r="S60"/>
      <c r="T60">
        <v>0</v>
      </c>
      <c r="U60"/>
      <c r="V60"/>
      <c r="W60"/>
      <c r="X60"/>
      <c r="Y60" t="s">
        <v>484</v>
      </c>
      <c r="Z60">
        <v>0</v>
      </c>
      <c r="AA60">
        <v>56712</v>
      </c>
    </row>
    <row r="61" spans="1:27" ht="15.75" x14ac:dyDescent="0.25">
      <c r="A61" t="str">
        <f>$B61&amp;$C61&amp;$D61&amp;IF(AND(D61="Brand",Y61="a"),Y61,"")</f>
        <v>20194MBR</v>
      </c>
      <c r="B61">
        <v>2019</v>
      </c>
      <c r="C61">
        <v>4</v>
      </c>
      <c r="D61" t="s">
        <v>39</v>
      </c>
      <c r="E61">
        <v>0</v>
      </c>
      <c r="F61">
        <v>25.02</v>
      </c>
      <c r="G61">
        <v>17.510000000000002</v>
      </c>
      <c r="H61">
        <v>4.16</v>
      </c>
      <c r="I61"/>
      <c r="J61">
        <v>0</v>
      </c>
      <c r="K61">
        <v>0</v>
      </c>
      <c r="L61">
        <v>0</v>
      </c>
      <c r="M61">
        <v>0</v>
      </c>
      <c r="N61">
        <v>0</v>
      </c>
      <c r="O61"/>
      <c r="P61"/>
      <c r="Q61">
        <v>0</v>
      </c>
      <c r="R61"/>
      <c r="S61"/>
      <c r="T61">
        <v>0</v>
      </c>
      <c r="U61"/>
      <c r="V61"/>
      <c r="W61"/>
      <c r="X61"/>
      <c r="Y61" t="s">
        <v>484</v>
      </c>
      <c r="Z61">
        <v>0</v>
      </c>
      <c r="AA61">
        <v>56712</v>
      </c>
    </row>
    <row r="62" spans="1:27" ht="15.75" x14ac:dyDescent="0.25">
      <c r="A62" t="str">
        <f>$B62&amp;$C62&amp;$D62&amp;IF(AND(D62="Brand",Y62="a"),Y62,"")</f>
        <v>20195MBR</v>
      </c>
      <c r="B62">
        <v>2019</v>
      </c>
      <c r="C62">
        <v>5</v>
      </c>
      <c r="D62" t="s">
        <v>39</v>
      </c>
      <c r="E62">
        <v>0</v>
      </c>
      <c r="F62">
        <v>25.02</v>
      </c>
      <c r="G62">
        <v>16.260000000000002</v>
      </c>
      <c r="H62">
        <v>4.16</v>
      </c>
      <c r="I62"/>
      <c r="J62">
        <v>0</v>
      </c>
      <c r="K62">
        <v>0</v>
      </c>
      <c r="L62">
        <v>0</v>
      </c>
      <c r="M62">
        <v>0</v>
      </c>
      <c r="N62">
        <v>0</v>
      </c>
      <c r="O62"/>
      <c r="P62"/>
      <c r="Q62">
        <v>0</v>
      </c>
      <c r="R62"/>
      <c r="S62"/>
      <c r="T62">
        <v>0</v>
      </c>
      <c r="U62"/>
      <c r="V62"/>
      <c r="W62"/>
      <c r="X62"/>
      <c r="Y62" t="s">
        <v>484</v>
      </c>
      <c r="Z62">
        <v>0</v>
      </c>
      <c r="AA62">
        <v>56712</v>
      </c>
    </row>
    <row r="63" spans="1:27" ht="15.75" x14ac:dyDescent="0.25">
      <c r="A63" t="str">
        <f>$B63&amp;$C63&amp;$D63&amp;IF(AND(D63="Brand",Y63="a"),Y63,"")</f>
        <v>20196MBR</v>
      </c>
      <c r="B63">
        <v>2019</v>
      </c>
      <c r="C63">
        <v>6</v>
      </c>
      <c r="D63" t="s">
        <v>39</v>
      </c>
      <c r="E63">
        <v>0</v>
      </c>
      <c r="F63">
        <v>25.02</v>
      </c>
      <c r="G63">
        <v>16.260000000000002</v>
      </c>
      <c r="H63">
        <v>4.16</v>
      </c>
      <c r="I63"/>
      <c r="J63">
        <v>0</v>
      </c>
      <c r="K63">
        <v>0</v>
      </c>
      <c r="L63">
        <v>0</v>
      </c>
      <c r="M63">
        <v>0</v>
      </c>
      <c r="N63">
        <v>0</v>
      </c>
      <c r="O63"/>
      <c r="P63"/>
      <c r="Q63">
        <v>0</v>
      </c>
      <c r="R63"/>
      <c r="S63"/>
      <c r="T63">
        <v>0</v>
      </c>
      <c r="U63"/>
      <c r="V63"/>
      <c r="W63"/>
      <c r="X63"/>
      <c r="Y63" t="s">
        <v>484</v>
      </c>
      <c r="Z63">
        <v>0</v>
      </c>
      <c r="AA63">
        <v>56712</v>
      </c>
    </row>
    <row r="64" spans="1:27" ht="15.75" x14ac:dyDescent="0.25">
      <c r="A64" t="str">
        <f>$B64&amp;$C64&amp;$D64&amp;IF(AND(D64="Brand",Y64="a"),Y64,"")</f>
        <v>20197MBR</v>
      </c>
      <c r="B64">
        <v>2019</v>
      </c>
      <c r="C64">
        <v>7</v>
      </c>
      <c r="D64" t="s">
        <v>39</v>
      </c>
      <c r="E64">
        <v>0</v>
      </c>
      <c r="F64">
        <v>25.02</v>
      </c>
      <c r="G64">
        <v>16.260000000000002</v>
      </c>
      <c r="H64">
        <v>4.16</v>
      </c>
      <c r="I64"/>
      <c r="J64">
        <v>0</v>
      </c>
      <c r="K64">
        <v>0</v>
      </c>
      <c r="L64">
        <v>0</v>
      </c>
      <c r="M64">
        <v>0</v>
      </c>
      <c r="N64">
        <v>0</v>
      </c>
      <c r="O64"/>
      <c r="P64"/>
      <c r="Q64">
        <v>0</v>
      </c>
      <c r="R64"/>
      <c r="S64"/>
      <c r="T64">
        <v>0</v>
      </c>
      <c r="U64"/>
      <c r="V64"/>
      <c r="W64"/>
      <c r="X64"/>
      <c r="Y64" t="s">
        <v>484</v>
      </c>
      <c r="Z64">
        <v>0</v>
      </c>
      <c r="AA64">
        <v>56712</v>
      </c>
    </row>
    <row r="65" spans="1:27" ht="15.75" x14ac:dyDescent="0.25">
      <c r="A65" t="str">
        <f>$B65&amp;$C65&amp;$D65&amp;IF(AND(D65="Brand",Y65="a"),Y65,"")</f>
        <v>20198MBR</v>
      </c>
      <c r="B65">
        <v>2019</v>
      </c>
      <c r="C65">
        <v>8</v>
      </c>
      <c r="D65" t="s">
        <v>39</v>
      </c>
      <c r="E65">
        <v>0</v>
      </c>
      <c r="F65">
        <v>25.02</v>
      </c>
      <c r="G65">
        <v>15.01</v>
      </c>
      <c r="H65">
        <v>4.16</v>
      </c>
      <c r="I65"/>
      <c r="J65">
        <v>0</v>
      </c>
      <c r="K65">
        <v>0</v>
      </c>
      <c r="L65">
        <v>0</v>
      </c>
      <c r="M65">
        <v>0</v>
      </c>
      <c r="N65">
        <v>0</v>
      </c>
      <c r="O65"/>
      <c r="P65"/>
      <c r="Q65">
        <v>0</v>
      </c>
      <c r="R65"/>
      <c r="S65"/>
      <c r="T65">
        <v>0</v>
      </c>
      <c r="U65"/>
      <c r="V65"/>
      <c r="W65"/>
      <c r="X65"/>
      <c r="Y65" t="s">
        <v>484</v>
      </c>
      <c r="Z65">
        <v>0</v>
      </c>
      <c r="AA65">
        <v>56712</v>
      </c>
    </row>
    <row r="66" spans="1:27" ht="15.75" x14ac:dyDescent="0.25">
      <c r="A66" t="str">
        <f>$B66&amp;$C66&amp;$D66&amp;IF(AND(D66="Brand",Y66="a"),Y66,"")</f>
        <v>20199MBR</v>
      </c>
      <c r="B66">
        <v>2019</v>
      </c>
      <c r="C66">
        <v>9</v>
      </c>
      <c r="D66" t="s">
        <v>39</v>
      </c>
      <c r="E66">
        <v>0</v>
      </c>
      <c r="F66">
        <v>25.02</v>
      </c>
      <c r="G66">
        <v>15.01</v>
      </c>
      <c r="H66">
        <v>4.16</v>
      </c>
      <c r="I66"/>
      <c r="J66">
        <v>0</v>
      </c>
      <c r="K66">
        <v>0</v>
      </c>
      <c r="L66">
        <v>0</v>
      </c>
      <c r="M66">
        <v>0</v>
      </c>
      <c r="N66">
        <v>0</v>
      </c>
      <c r="O66"/>
      <c r="P66"/>
      <c r="Q66">
        <v>0</v>
      </c>
      <c r="R66"/>
      <c r="S66"/>
      <c r="T66">
        <v>0</v>
      </c>
      <c r="U66"/>
      <c r="V66"/>
      <c r="W66"/>
      <c r="X66"/>
      <c r="Y66" t="s">
        <v>484</v>
      </c>
      <c r="Z66">
        <v>0</v>
      </c>
      <c r="AA66">
        <v>56712</v>
      </c>
    </row>
    <row r="67" spans="1:27" ht="15.75" x14ac:dyDescent="0.25">
      <c r="A67" t="str">
        <f>$B67&amp;$C67&amp;$D67&amp;IF(AND(D67="Brand",Y67="a"),Y67,"")</f>
        <v>201910MBR</v>
      </c>
      <c r="B67">
        <v>2019</v>
      </c>
      <c r="C67">
        <v>10</v>
      </c>
      <c r="D67" t="s">
        <v>39</v>
      </c>
      <c r="E67">
        <v>0</v>
      </c>
      <c r="F67">
        <v>25.02</v>
      </c>
      <c r="G67">
        <v>15.01</v>
      </c>
      <c r="H67">
        <v>4.16</v>
      </c>
      <c r="I67"/>
      <c r="J67">
        <v>0</v>
      </c>
      <c r="K67">
        <v>0</v>
      </c>
      <c r="L67">
        <v>0</v>
      </c>
      <c r="M67">
        <v>0</v>
      </c>
      <c r="N67">
        <v>0</v>
      </c>
      <c r="O67"/>
      <c r="P67"/>
      <c r="Q67">
        <v>0</v>
      </c>
      <c r="R67"/>
      <c r="S67"/>
      <c r="T67">
        <v>0</v>
      </c>
      <c r="U67"/>
      <c r="V67"/>
      <c r="W67"/>
      <c r="X67"/>
      <c r="Y67" t="s">
        <v>484</v>
      </c>
      <c r="Z67">
        <v>0</v>
      </c>
      <c r="AA67">
        <v>56712</v>
      </c>
    </row>
    <row r="68" spans="1:27" ht="15.75" x14ac:dyDescent="0.25">
      <c r="A68" t="str">
        <f>$B68&amp;$C68&amp;$D68&amp;IF(AND(D68="Brand",Y68="a"),Y68,"")</f>
        <v>201911MBR</v>
      </c>
      <c r="B68">
        <v>2019</v>
      </c>
      <c r="C68">
        <v>11</v>
      </c>
      <c r="D68" t="s">
        <v>39</v>
      </c>
      <c r="E68">
        <v>0</v>
      </c>
      <c r="F68">
        <v>25.02</v>
      </c>
      <c r="G68">
        <v>13.76</v>
      </c>
      <c r="H68">
        <v>4.16</v>
      </c>
      <c r="I68"/>
      <c r="J68">
        <v>0</v>
      </c>
      <c r="K68">
        <v>0</v>
      </c>
      <c r="L68">
        <v>0</v>
      </c>
      <c r="M68">
        <v>0</v>
      </c>
      <c r="N68">
        <v>0</v>
      </c>
      <c r="O68"/>
      <c r="P68"/>
      <c r="Q68">
        <v>0</v>
      </c>
      <c r="R68"/>
      <c r="S68"/>
      <c r="T68">
        <v>0</v>
      </c>
      <c r="U68"/>
      <c r="V68"/>
      <c r="W68"/>
      <c r="X68"/>
      <c r="Y68" t="s">
        <v>484</v>
      </c>
      <c r="Z68">
        <v>0</v>
      </c>
      <c r="AA68">
        <v>56712</v>
      </c>
    </row>
    <row r="69" spans="1:27" ht="15.75" x14ac:dyDescent="0.25">
      <c r="A69" t="str">
        <f>$B69&amp;$C69&amp;$D69&amp;IF(AND(D69="Brand",Y69="a"),Y69,"")</f>
        <v>201912MBR</v>
      </c>
      <c r="B69">
        <v>2019</v>
      </c>
      <c r="C69">
        <v>12</v>
      </c>
      <c r="D69" t="s">
        <v>39</v>
      </c>
      <c r="E69">
        <v>0</v>
      </c>
      <c r="F69">
        <v>25.02</v>
      </c>
      <c r="G69">
        <v>13.76</v>
      </c>
      <c r="H69">
        <v>4.16</v>
      </c>
      <c r="I69"/>
      <c r="J69">
        <v>0</v>
      </c>
      <c r="K69">
        <v>0</v>
      </c>
      <c r="L69">
        <v>0</v>
      </c>
      <c r="M69">
        <v>0</v>
      </c>
      <c r="N69">
        <v>0</v>
      </c>
      <c r="O69"/>
      <c r="P69"/>
      <c r="Q69">
        <v>0</v>
      </c>
      <c r="R69"/>
      <c r="S69"/>
      <c r="T69">
        <v>0</v>
      </c>
      <c r="U69"/>
      <c r="V69"/>
      <c r="W69"/>
      <c r="X69"/>
      <c r="Y69" t="s">
        <v>484</v>
      </c>
      <c r="Z69">
        <v>0</v>
      </c>
      <c r="AA69">
        <v>56712</v>
      </c>
    </row>
    <row r="70" spans="1:27" ht="15.75" x14ac:dyDescent="0.25">
      <c r="A70" t="str">
        <f>$B70&amp;$C70&amp;$D70&amp;IF(AND(D70="Brand",Y70="a"),Y70,"")</f>
        <v>201913MBR</v>
      </c>
      <c r="B70">
        <v>2019</v>
      </c>
      <c r="C70">
        <v>13</v>
      </c>
      <c r="D70" t="s">
        <v>39</v>
      </c>
      <c r="E70">
        <v>0</v>
      </c>
      <c r="F70">
        <v>25.02</v>
      </c>
      <c r="G70">
        <v>13.76</v>
      </c>
      <c r="H70">
        <v>4.16</v>
      </c>
      <c r="I70"/>
      <c r="J70">
        <v>0</v>
      </c>
      <c r="K70">
        <v>0</v>
      </c>
      <c r="L70">
        <v>0</v>
      </c>
      <c r="M70">
        <v>0</v>
      </c>
      <c r="N70">
        <v>0</v>
      </c>
      <c r="O70"/>
      <c r="P70"/>
      <c r="Q70">
        <v>0</v>
      </c>
      <c r="R70"/>
      <c r="S70"/>
      <c r="T70">
        <v>0</v>
      </c>
      <c r="U70"/>
      <c r="V70"/>
      <c r="W70"/>
      <c r="X70"/>
      <c r="Y70" t="s">
        <v>484</v>
      </c>
      <c r="Z70">
        <v>0</v>
      </c>
      <c r="AA70">
        <v>56712</v>
      </c>
    </row>
    <row r="71" spans="1:27" ht="15.75" x14ac:dyDescent="0.25">
      <c r="A71" t="str">
        <f>$B71&amp;$C71&amp;$D71&amp;IF(AND(D71="Brand",Y71="a"),Y71,"")</f>
        <v>20171LY</v>
      </c>
      <c r="B71">
        <v>2017</v>
      </c>
      <c r="C71">
        <v>1</v>
      </c>
      <c r="D71" t="s">
        <v>19</v>
      </c>
      <c r="E71"/>
      <c r="F71">
        <v>0</v>
      </c>
      <c r="G71">
        <v>0</v>
      </c>
      <c r="H71">
        <v>0</v>
      </c>
      <c r="I71">
        <v>-2</v>
      </c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 t="s">
        <v>335</v>
      </c>
      <c r="Z71"/>
      <c r="AA71"/>
    </row>
    <row r="72" spans="1:27" ht="15.75" x14ac:dyDescent="0.25">
      <c r="A72" t="str">
        <f>$B72&amp;$C72&amp;$D72&amp;IF(AND(D72="Brand",Y72="a"),Y72,"")</f>
        <v>20172LY</v>
      </c>
      <c r="B72">
        <v>2017</v>
      </c>
      <c r="C72">
        <v>2</v>
      </c>
      <c r="D72" t="s">
        <v>19</v>
      </c>
      <c r="E72"/>
      <c r="F72">
        <v>0</v>
      </c>
      <c r="G72">
        <v>0</v>
      </c>
      <c r="H72">
        <v>0</v>
      </c>
      <c r="I72">
        <v>-2</v>
      </c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 t="s">
        <v>335</v>
      </c>
      <c r="Z72"/>
      <c r="AA72"/>
    </row>
    <row r="73" spans="1:27" ht="15.75" x14ac:dyDescent="0.25">
      <c r="A73" t="str">
        <f>$B73&amp;$C73&amp;$D73&amp;IF(AND(D73="Brand",Y73="a"),Y73,"")</f>
        <v>20173LY</v>
      </c>
      <c r="B73">
        <v>2017</v>
      </c>
      <c r="C73">
        <v>3</v>
      </c>
      <c r="D73" t="s">
        <v>19</v>
      </c>
      <c r="E73"/>
      <c r="F73">
        <v>0</v>
      </c>
      <c r="G73">
        <v>0</v>
      </c>
      <c r="H73">
        <v>0</v>
      </c>
      <c r="I73">
        <v>-2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 t="s">
        <v>335</v>
      </c>
      <c r="Z73"/>
      <c r="AA73"/>
    </row>
    <row r="74" spans="1:27" ht="15.75" x14ac:dyDescent="0.25">
      <c r="A74" t="str">
        <f>$B74&amp;$C74&amp;$D74&amp;IF(AND(D74="Brand",Y74="a"),Y74,"")</f>
        <v>20174LY</v>
      </c>
      <c r="B74">
        <v>2017</v>
      </c>
      <c r="C74">
        <v>4</v>
      </c>
      <c r="D74" t="s">
        <v>19</v>
      </c>
      <c r="E74"/>
      <c r="F74">
        <v>0</v>
      </c>
      <c r="G74">
        <v>0</v>
      </c>
      <c r="H74">
        <v>0</v>
      </c>
      <c r="I74">
        <v>-2</v>
      </c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 t="s">
        <v>335</v>
      </c>
      <c r="Z74"/>
      <c r="AA74"/>
    </row>
    <row r="75" spans="1:27" ht="15.75" x14ac:dyDescent="0.25">
      <c r="A75" t="str">
        <f>$B75&amp;$C75&amp;$D75&amp;IF(AND(D75="Brand",Y75="a"),Y75,"")</f>
        <v>20175LY</v>
      </c>
      <c r="B75">
        <v>2017</v>
      </c>
      <c r="C75">
        <v>5</v>
      </c>
      <c r="D75" t="s">
        <v>19</v>
      </c>
      <c r="E75"/>
      <c r="F75">
        <v>0</v>
      </c>
      <c r="G75">
        <v>0</v>
      </c>
      <c r="H75">
        <v>0</v>
      </c>
      <c r="I75">
        <v>-2</v>
      </c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 t="s">
        <v>335</v>
      </c>
      <c r="Z75"/>
      <c r="AA75"/>
    </row>
    <row r="76" spans="1:27" ht="15.75" x14ac:dyDescent="0.25">
      <c r="A76" t="str">
        <f>$B76&amp;$C76&amp;$D76&amp;IF(AND(D76="Brand",Y76="a"),Y76,"")</f>
        <v>20176LY</v>
      </c>
      <c r="B76">
        <v>2017</v>
      </c>
      <c r="C76">
        <v>6</v>
      </c>
      <c r="D76" t="s">
        <v>19</v>
      </c>
      <c r="E76"/>
      <c r="F76">
        <v>0</v>
      </c>
      <c r="G76">
        <v>0</v>
      </c>
      <c r="H76">
        <v>0</v>
      </c>
      <c r="I76">
        <v>-2</v>
      </c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 t="s">
        <v>335</v>
      </c>
      <c r="Z76"/>
      <c r="AA76"/>
    </row>
    <row r="77" spans="1:27" ht="15.75" x14ac:dyDescent="0.25">
      <c r="A77" t="str">
        <f>$B77&amp;$C77&amp;$D77&amp;IF(AND(D77="Brand",Y77="a"),Y77,"")</f>
        <v>20177LY</v>
      </c>
      <c r="B77">
        <v>2017</v>
      </c>
      <c r="C77">
        <v>7</v>
      </c>
      <c r="D77" t="s">
        <v>19</v>
      </c>
      <c r="E77"/>
      <c r="F77">
        <v>0</v>
      </c>
      <c r="G77">
        <v>0</v>
      </c>
      <c r="H77">
        <v>0</v>
      </c>
      <c r="I77">
        <v>-2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 t="s">
        <v>335</v>
      </c>
      <c r="Z77"/>
      <c r="AA77"/>
    </row>
    <row r="78" spans="1:27" ht="15.75" x14ac:dyDescent="0.25">
      <c r="A78" t="str">
        <f>$B78&amp;$C78&amp;$D78&amp;IF(AND(D78="Brand",Y78="a"),Y78,"")</f>
        <v>20178LY</v>
      </c>
      <c r="B78">
        <v>2017</v>
      </c>
      <c r="C78">
        <v>8</v>
      </c>
      <c r="D78" t="s">
        <v>19</v>
      </c>
      <c r="E78"/>
      <c r="F78">
        <v>0</v>
      </c>
      <c r="G78">
        <v>0</v>
      </c>
      <c r="H78">
        <v>0</v>
      </c>
      <c r="I78">
        <v>-2</v>
      </c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 t="s">
        <v>335</v>
      </c>
      <c r="Z78"/>
      <c r="AA78"/>
    </row>
    <row r="79" spans="1:27" ht="15.75" x14ac:dyDescent="0.25">
      <c r="A79" t="str">
        <f>$B79&amp;$C79&amp;$D79&amp;IF(AND(D79="Brand",Y79="a"),Y79,"")</f>
        <v>20179LY</v>
      </c>
      <c r="B79">
        <v>2017</v>
      </c>
      <c r="C79">
        <v>9</v>
      </c>
      <c r="D79" t="s">
        <v>19</v>
      </c>
      <c r="E79"/>
      <c r="F79">
        <v>0</v>
      </c>
      <c r="G79">
        <v>0</v>
      </c>
      <c r="H79">
        <v>0</v>
      </c>
      <c r="I79">
        <v>-2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 t="s">
        <v>335</v>
      </c>
      <c r="Z79"/>
      <c r="AA79"/>
    </row>
    <row r="80" spans="1:27" ht="15.75" x14ac:dyDescent="0.25">
      <c r="A80" t="str">
        <f>$B80&amp;$C80&amp;$D80&amp;IF(AND(D80="Brand",Y80="a"),Y80,"")</f>
        <v>201710LY</v>
      </c>
      <c r="B80">
        <v>2017</v>
      </c>
      <c r="C80">
        <v>10</v>
      </c>
      <c r="D80" t="s">
        <v>19</v>
      </c>
      <c r="E80"/>
      <c r="F80">
        <v>0</v>
      </c>
      <c r="G80">
        <v>0</v>
      </c>
      <c r="H80">
        <v>0</v>
      </c>
      <c r="I80">
        <v>-2</v>
      </c>
      <c r="J80"/>
      <c r="K80">
        <v>0</v>
      </c>
      <c r="L80"/>
      <c r="M80"/>
      <c r="N80"/>
      <c r="O80"/>
      <c r="P80"/>
      <c r="Q80"/>
      <c r="R80"/>
      <c r="S80"/>
      <c r="T80"/>
      <c r="U80"/>
      <c r="V80"/>
      <c r="W80"/>
      <c r="X80"/>
      <c r="Y80" t="s">
        <v>335</v>
      </c>
      <c r="Z80"/>
      <c r="AA80"/>
    </row>
    <row r="81" spans="1:27" ht="15.75" x14ac:dyDescent="0.25">
      <c r="A81" t="str">
        <f>$B81&amp;$C81&amp;$D81&amp;IF(AND(D81="Brand",Y81="a"),Y81,"")</f>
        <v>201711LY</v>
      </c>
      <c r="B81">
        <v>2017</v>
      </c>
      <c r="C81">
        <v>11</v>
      </c>
      <c r="D81" t="s">
        <v>19</v>
      </c>
      <c r="E81"/>
      <c r="F81">
        <v>0</v>
      </c>
      <c r="G81">
        <v>0</v>
      </c>
      <c r="H81">
        <v>0</v>
      </c>
      <c r="I81">
        <v>-2</v>
      </c>
      <c r="J81">
        <v>25641</v>
      </c>
      <c r="K81">
        <v>-2</v>
      </c>
      <c r="L81"/>
      <c r="M81"/>
      <c r="N81"/>
      <c r="O81"/>
      <c r="P81">
        <v>25643</v>
      </c>
      <c r="Q81"/>
      <c r="R81"/>
      <c r="S81">
        <v>691078.85</v>
      </c>
      <c r="T81"/>
      <c r="U81"/>
      <c r="V81">
        <v>115106.8376</v>
      </c>
      <c r="W81"/>
      <c r="X81"/>
      <c r="Y81" t="s">
        <v>335</v>
      </c>
      <c r="Z81"/>
      <c r="AA81"/>
    </row>
    <row r="82" spans="1:27" ht="15.75" x14ac:dyDescent="0.25">
      <c r="A82" t="str">
        <f>$B82&amp;$C82&amp;$D82&amp;IF(AND(D82="Brand",Y82="a"),Y82,"")</f>
        <v>201712LY</v>
      </c>
      <c r="B82">
        <v>2017</v>
      </c>
      <c r="C82">
        <v>12</v>
      </c>
      <c r="D82" t="s">
        <v>19</v>
      </c>
      <c r="E82"/>
      <c r="F82">
        <v>0</v>
      </c>
      <c r="G82">
        <v>0</v>
      </c>
      <c r="H82">
        <v>0</v>
      </c>
      <c r="I82">
        <v>-2</v>
      </c>
      <c r="J82">
        <v>881521</v>
      </c>
      <c r="K82">
        <v>-109</v>
      </c>
      <c r="L82"/>
      <c r="M82"/>
      <c r="N82"/>
      <c r="O82"/>
      <c r="P82">
        <v>855989</v>
      </c>
      <c r="Q82"/>
      <c r="R82"/>
      <c r="S82">
        <v>19913825.550000001</v>
      </c>
      <c r="T82"/>
      <c r="U82"/>
      <c r="V82">
        <v>3309227.8248999999</v>
      </c>
      <c r="W82"/>
      <c r="X82"/>
      <c r="Y82" t="s">
        <v>335</v>
      </c>
      <c r="Z82"/>
      <c r="AA82"/>
    </row>
    <row r="83" spans="1:27" ht="15.75" x14ac:dyDescent="0.25">
      <c r="A83" t="str">
        <f>$B83&amp;$C83&amp;$D83&amp;IF(AND(D83="Brand",Y83="a"),Y83,"")</f>
        <v>201713LY</v>
      </c>
      <c r="B83">
        <v>2017</v>
      </c>
      <c r="C83">
        <v>13</v>
      </c>
      <c r="D83" t="s">
        <v>19</v>
      </c>
      <c r="E83">
        <v>2</v>
      </c>
      <c r="F83">
        <v>18.45</v>
      </c>
      <c r="G83">
        <v>10</v>
      </c>
      <c r="H83">
        <v>3.5</v>
      </c>
      <c r="I83">
        <v>-4</v>
      </c>
      <c r="J83">
        <v>1112283</v>
      </c>
      <c r="K83">
        <v>18</v>
      </c>
      <c r="L83"/>
      <c r="M83"/>
      <c r="N83"/>
      <c r="O83"/>
      <c r="P83">
        <v>230744</v>
      </c>
      <c r="Q83"/>
      <c r="R83"/>
      <c r="S83">
        <v>5330517.8</v>
      </c>
      <c r="T83"/>
      <c r="U83"/>
      <c r="V83">
        <v>832883.99580000003</v>
      </c>
      <c r="W83"/>
      <c r="X83"/>
      <c r="Y83" t="s">
        <v>335</v>
      </c>
      <c r="Z83"/>
      <c r="AA83"/>
    </row>
    <row r="84" spans="1:27" ht="15.75" x14ac:dyDescent="0.25">
      <c r="A84" t="str">
        <f>$B84&amp;$C84&amp;$D84&amp;IF(AND(D84="Brand",Y84="a"),Y84,"")</f>
        <v>201714LY</v>
      </c>
      <c r="B84">
        <v>2017</v>
      </c>
      <c r="C84">
        <v>14</v>
      </c>
      <c r="D84" t="s">
        <v>19</v>
      </c>
      <c r="E84">
        <v>2</v>
      </c>
      <c r="F84">
        <v>22.45</v>
      </c>
      <c r="G84">
        <v>14</v>
      </c>
      <c r="H84">
        <v>4</v>
      </c>
      <c r="I84">
        <v>-6</v>
      </c>
      <c r="J84">
        <v>1112457</v>
      </c>
      <c r="K84">
        <v>174</v>
      </c>
      <c r="L84">
        <v>16</v>
      </c>
      <c r="M84">
        <v>16</v>
      </c>
      <c r="N84"/>
      <c r="O84"/>
      <c r="P84"/>
      <c r="Q84"/>
      <c r="R84"/>
      <c r="S84"/>
      <c r="T84"/>
      <c r="U84"/>
      <c r="V84"/>
      <c r="W84"/>
      <c r="X84"/>
      <c r="Y84" t="s">
        <v>335</v>
      </c>
      <c r="Z84"/>
      <c r="AA84"/>
    </row>
    <row r="85" spans="1:27" ht="15.75" x14ac:dyDescent="0.25">
      <c r="A85" t="str">
        <f>$B85&amp;$C85&amp;$D85&amp;IF(AND(D85="Brand",Y85="a"),Y85,"")</f>
        <v>201715LY</v>
      </c>
      <c r="B85">
        <v>2017</v>
      </c>
      <c r="C85">
        <v>15</v>
      </c>
      <c r="D85" t="s">
        <v>19</v>
      </c>
      <c r="E85">
        <v>22913</v>
      </c>
      <c r="F85">
        <v>24.668099999999999</v>
      </c>
      <c r="G85">
        <v>11.215299999999999</v>
      </c>
      <c r="H85">
        <v>4.0412999999999997</v>
      </c>
      <c r="I85">
        <v>339418</v>
      </c>
      <c r="J85">
        <v>528427</v>
      </c>
      <c r="K85">
        <v>32</v>
      </c>
      <c r="L85">
        <v>621247</v>
      </c>
      <c r="M85">
        <v>941887</v>
      </c>
      <c r="N85"/>
      <c r="O85"/>
      <c r="P85"/>
      <c r="Q85"/>
      <c r="R85"/>
      <c r="S85"/>
      <c r="T85"/>
      <c r="U85"/>
      <c r="V85"/>
      <c r="W85"/>
      <c r="X85"/>
      <c r="Y85" t="s">
        <v>335</v>
      </c>
      <c r="Z85"/>
      <c r="AA85"/>
    </row>
    <row r="86" spans="1:27" ht="15.75" x14ac:dyDescent="0.25">
      <c r="A86" t="str">
        <f>$B86&amp;$C86&amp;$D86&amp;IF(AND(D86="Brand",Y86="a"),Y86,"")</f>
        <v>201716LY</v>
      </c>
      <c r="B86">
        <v>2017</v>
      </c>
      <c r="C86">
        <v>16</v>
      </c>
      <c r="D86" t="s">
        <v>19</v>
      </c>
      <c r="E86">
        <v>48108</v>
      </c>
      <c r="F86">
        <v>24.388300000000001</v>
      </c>
      <c r="G86">
        <v>10.619199999999999</v>
      </c>
      <c r="H86">
        <v>4.0133000000000001</v>
      </c>
      <c r="I86">
        <v>570604</v>
      </c>
      <c r="J86">
        <v>94879</v>
      </c>
      <c r="K86">
        <v>-113</v>
      </c>
      <c r="L86">
        <v>20480</v>
      </c>
      <c r="M86">
        <v>75728</v>
      </c>
      <c r="N86"/>
      <c r="O86"/>
      <c r="P86"/>
      <c r="Q86"/>
      <c r="R86"/>
      <c r="S86"/>
      <c r="T86"/>
      <c r="U86"/>
      <c r="V86"/>
      <c r="W86"/>
      <c r="X86"/>
      <c r="Y86" t="s">
        <v>335</v>
      </c>
      <c r="Z86"/>
      <c r="AA86"/>
    </row>
    <row r="87" spans="1:27" ht="15.75" x14ac:dyDescent="0.25">
      <c r="A87" t="str">
        <f>$B87&amp;$C87&amp;$D87&amp;IF(AND(D87="Brand",Y87="a"),Y87,"")</f>
        <v>201717LY</v>
      </c>
      <c r="B87">
        <v>2017</v>
      </c>
      <c r="C87">
        <v>17</v>
      </c>
      <c r="D87" t="s">
        <v>19</v>
      </c>
      <c r="E87">
        <v>45542</v>
      </c>
      <c r="F87">
        <v>23.103400000000001</v>
      </c>
      <c r="G87">
        <v>10.499499999999999</v>
      </c>
      <c r="H87">
        <v>3.8285</v>
      </c>
      <c r="I87">
        <v>529199</v>
      </c>
      <c r="J87">
        <v>85811</v>
      </c>
      <c r="K87">
        <v>-94</v>
      </c>
      <c r="L87">
        <v>4221</v>
      </c>
      <c r="M87">
        <v>9042</v>
      </c>
      <c r="N87"/>
      <c r="O87"/>
      <c r="P87"/>
      <c r="Q87"/>
      <c r="R87"/>
      <c r="S87"/>
      <c r="T87"/>
      <c r="U87"/>
      <c r="V87"/>
      <c r="W87"/>
      <c r="X87"/>
      <c r="Y87" t="s">
        <v>335</v>
      </c>
      <c r="Z87"/>
      <c r="AA87"/>
    </row>
    <row r="88" spans="1:27" ht="15.75" x14ac:dyDescent="0.25">
      <c r="A88" t="str">
        <f>$B88&amp;$C88&amp;$D88&amp;IF(AND(D88="Brand",Y88="a"),Y88,"")</f>
        <v>201718LY</v>
      </c>
      <c r="B88">
        <v>2017</v>
      </c>
      <c r="C88">
        <v>18</v>
      </c>
      <c r="D88" t="s">
        <v>19</v>
      </c>
      <c r="E88">
        <v>38773</v>
      </c>
      <c r="F88">
        <v>23.0061</v>
      </c>
      <c r="G88">
        <v>10.6999</v>
      </c>
      <c r="H88">
        <v>3.8149999999999999</v>
      </c>
      <c r="I88">
        <v>498664</v>
      </c>
      <c r="J88">
        <v>70703</v>
      </c>
      <c r="K88">
        <v>-50</v>
      </c>
      <c r="L88">
        <v>8314</v>
      </c>
      <c r="M88">
        <v>15126</v>
      </c>
      <c r="N88"/>
      <c r="O88"/>
      <c r="P88"/>
      <c r="Q88"/>
      <c r="R88"/>
      <c r="S88"/>
      <c r="T88"/>
      <c r="U88"/>
      <c r="V88"/>
      <c r="W88"/>
      <c r="X88"/>
      <c r="Y88" t="s">
        <v>335</v>
      </c>
      <c r="Z88"/>
      <c r="AA88"/>
    </row>
    <row r="89" spans="1:27" ht="15.75" x14ac:dyDescent="0.25">
      <c r="A89" t="str">
        <f>$B89&amp;$C89&amp;$D89&amp;IF(AND(D89="Brand",Y89="a"),Y89,"")</f>
        <v>201719LY</v>
      </c>
      <c r="B89">
        <v>2017</v>
      </c>
      <c r="C89">
        <v>19</v>
      </c>
      <c r="D89" t="s">
        <v>19</v>
      </c>
      <c r="E89">
        <v>40783</v>
      </c>
      <c r="F89">
        <v>24.142299999999999</v>
      </c>
      <c r="G89">
        <v>10.6966</v>
      </c>
      <c r="H89">
        <v>3.9666999999999999</v>
      </c>
      <c r="I89">
        <v>473742</v>
      </c>
      <c r="J89">
        <v>38393</v>
      </c>
      <c r="K89">
        <v>129</v>
      </c>
      <c r="L89">
        <v>15948</v>
      </c>
      <c r="M89">
        <v>32541</v>
      </c>
      <c r="N89"/>
      <c r="O89"/>
      <c r="P89"/>
      <c r="Q89"/>
      <c r="R89"/>
      <c r="S89"/>
      <c r="T89"/>
      <c r="U89"/>
      <c r="V89"/>
      <c r="W89"/>
      <c r="X89"/>
      <c r="Y89" t="s">
        <v>335</v>
      </c>
      <c r="Z89"/>
      <c r="AA89"/>
    </row>
    <row r="90" spans="1:27" ht="15.75" x14ac:dyDescent="0.25">
      <c r="A90" t="str">
        <f>$B90&amp;$C90&amp;$D90&amp;IF(AND(D90="Brand",Y90="a"),Y90,"")</f>
        <v>201720LY</v>
      </c>
      <c r="B90">
        <v>2017</v>
      </c>
      <c r="C90">
        <v>20</v>
      </c>
      <c r="D90" t="s">
        <v>19</v>
      </c>
      <c r="E90">
        <v>34017</v>
      </c>
      <c r="F90">
        <v>24.081399999999999</v>
      </c>
      <c r="G90">
        <v>10.8088</v>
      </c>
      <c r="H90">
        <v>3.9477000000000002</v>
      </c>
      <c r="I90">
        <v>442124</v>
      </c>
      <c r="J90">
        <v>32193</v>
      </c>
      <c r="K90">
        <v>-117</v>
      </c>
      <c r="L90">
        <v>2578</v>
      </c>
      <c r="M90">
        <v>6255</v>
      </c>
      <c r="N90"/>
      <c r="O90"/>
      <c r="P90"/>
      <c r="Q90"/>
      <c r="R90"/>
      <c r="S90"/>
      <c r="T90"/>
      <c r="U90"/>
      <c r="V90"/>
      <c r="W90"/>
      <c r="X90"/>
      <c r="Y90" t="s">
        <v>335</v>
      </c>
      <c r="Z90"/>
      <c r="AA90"/>
    </row>
    <row r="91" spans="1:27" ht="15.75" x14ac:dyDescent="0.25">
      <c r="A91" t="str">
        <f>$B91&amp;$C91&amp;$D91&amp;IF(AND(D91="Brand",Y91="a"),Y91,"")</f>
        <v>201721LY</v>
      </c>
      <c r="B91">
        <v>2017</v>
      </c>
      <c r="C91">
        <v>21</v>
      </c>
      <c r="D91" t="s">
        <v>19</v>
      </c>
      <c r="E91">
        <v>25732</v>
      </c>
      <c r="F91">
        <v>23.244299999999999</v>
      </c>
      <c r="G91">
        <v>9.7781000000000002</v>
      </c>
      <c r="H91">
        <v>3.8197999999999999</v>
      </c>
      <c r="I91">
        <v>418862</v>
      </c>
      <c r="J91">
        <v>27404</v>
      </c>
      <c r="K91">
        <v>-13</v>
      </c>
      <c r="L91">
        <v>2511</v>
      </c>
      <c r="M91">
        <v>4816</v>
      </c>
      <c r="N91"/>
      <c r="O91"/>
      <c r="P91"/>
      <c r="Q91"/>
      <c r="R91"/>
      <c r="S91"/>
      <c r="T91"/>
      <c r="U91"/>
      <c r="V91"/>
      <c r="W91"/>
      <c r="X91"/>
      <c r="Y91" t="s">
        <v>335</v>
      </c>
      <c r="Z91"/>
      <c r="AA91"/>
    </row>
    <row r="92" spans="1:27" ht="15.75" x14ac:dyDescent="0.25">
      <c r="A92" t="str">
        <f>$B92&amp;$C92&amp;$D92&amp;IF(AND(D92="Brand",Y92="a"),Y92,"")</f>
        <v>201722LY</v>
      </c>
      <c r="B92">
        <v>2017</v>
      </c>
      <c r="C92">
        <v>22</v>
      </c>
      <c r="D92" t="s">
        <v>19</v>
      </c>
      <c r="E92">
        <v>27292</v>
      </c>
      <c r="F92">
        <v>22.851299999999998</v>
      </c>
      <c r="G92">
        <v>8.3396000000000008</v>
      </c>
      <c r="H92">
        <v>3.7543000000000002</v>
      </c>
      <c r="I92">
        <v>393334</v>
      </c>
      <c r="J92">
        <v>24572</v>
      </c>
      <c r="K92">
        <v>-128</v>
      </c>
      <c r="L92">
        <v>1870</v>
      </c>
      <c r="M92">
        <v>2828</v>
      </c>
      <c r="N92"/>
      <c r="O92"/>
      <c r="P92"/>
      <c r="Q92"/>
      <c r="R92"/>
      <c r="S92"/>
      <c r="T92"/>
      <c r="U92"/>
      <c r="V92"/>
      <c r="W92"/>
      <c r="X92"/>
      <c r="Y92" t="s">
        <v>335</v>
      </c>
      <c r="Z92"/>
      <c r="AA92"/>
    </row>
    <row r="93" spans="1:27" ht="15.75" x14ac:dyDescent="0.25">
      <c r="A93" t="str">
        <f>$B93&amp;$C93&amp;$D93&amp;IF(AND(D93="Brand",Y93="a"),Y93,"")</f>
        <v>201723LY</v>
      </c>
      <c r="B93">
        <v>2017</v>
      </c>
      <c r="C93">
        <v>23</v>
      </c>
      <c r="D93" t="s">
        <v>19</v>
      </c>
      <c r="E93">
        <v>28887</v>
      </c>
      <c r="F93">
        <v>22.1861</v>
      </c>
      <c r="G93">
        <v>8.1417999999999999</v>
      </c>
      <c r="H93">
        <v>3.6467000000000001</v>
      </c>
      <c r="I93">
        <v>361438</v>
      </c>
      <c r="J93">
        <v>21604</v>
      </c>
      <c r="K93">
        <v>-4967</v>
      </c>
      <c r="L93"/>
      <c r="M93">
        <v>1005</v>
      </c>
      <c r="N93"/>
      <c r="O93"/>
      <c r="P93"/>
      <c r="Q93"/>
      <c r="R93"/>
      <c r="S93"/>
      <c r="T93"/>
      <c r="U93"/>
      <c r="V93"/>
      <c r="W93"/>
      <c r="X93"/>
      <c r="Y93" t="s">
        <v>335</v>
      </c>
      <c r="Z93"/>
      <c r="AA93"/>
    </row>
    <row r="94" spans="1:27" ht="15.75" x14ac:dyDescent="0.25">
      <c r="A94" t="str">
        <f>$B94&amp;$C94&amp;$D94&amp;IF(AND(D94="Brand",Y94="a"),Y94,"")</f>
        <v>201724LY</v>
      </c>
      <c r="B94">
        <v>2017</v>
      </c>
      <c r="C94">
        <v>24</v>
      </c>
      <c r="D94" t="s">
        <v>19</v>
      </c>
      <c r="E94">
        <v>17799</v>
      </c>
      <c r="F94">
        <v>22.349599999999999</v>
      </c>
      <c r="G94">
        <v>10.7798</v>
      </c>
      <c r="H94">
        <v>3.6594000000000002</v>
      </c>
      <c r="I94">
        <v>343605</v>
      </c>
      <c r="J94">
        <v>21568</v>
      </c>
      <c r="K94">
        <v>-40</v>
      </c>
      <c r="L94">
        <v>9</v>
      </c>
      <c r="M94">
        <v>28</v>
      </c>
      <c r="N94"/>
      <c r="O94"/>
      <c r="P94"/>
      <c r="Q94"/>
      <c r="R94"/>
      <c r="S94"/>
      <c r="T94"/>
      <c r="U94"/>
      <c r="V94"/>
      <c r="W94"/>
      <c r="X94"/>
      <c r="Y94" t="s">
        <v>335</v>
      </c>
      <c r="Z94"/>
      <c r="AA94"/>
    </row>
    <row r="95" spans="1:27" ht="15.75" x14ac:dyDescent="0.25">
      <c r="A95" t="str">
        <f>$B95&amp;$C95&amp;$D95&amp;IF(AND(D95="Brand",Y95="a"),Y95,"")</f>
        <v>201725LY</v>
      </c>
      <c r="B95">
        <v>2017</v>
      </c>
      <c r="C95">
        <v>25</v>
      </c>
      <c r="D95" t="s">
        <v>19</v>
      </c>
      <c r="E95">
        <v>22785</v>
      </c>
      <c r="F95">
        <v>22.181799999999999</v>
      </c>
      <c r="G95">
        <v>9.6172000000000004</v>
      </c>
      <c r="H95">
        <v>3.6173999999999999</v>
      </c>
      <c r="I95">
        <v>320658</v>
      </c>
      <c r="J95">
        <v>21567</v>
      </c>
      <c r="K95">
        <v>-83</v>
      </c>
      <c r="L95">
        <v>96</v>
      </c>
      <c r="M95">
        <v>181</v>
      </c>
      <c r="N95"/>
      <c r="O95"/>
      <c r="P95"/>
      <c r="Q95"/>
      <c r="R95"/>
      <c r="S95"/>
      <c r="T95"/>
      <c r="U95"/>
      <c r="V95"/>
      <c r="W95"/>
      <c r="X95"/>
      <c r="Y95" t="s">
        <v>335</v>
      </c>
      <c r="Z95"/>
      <c r="AA95"/>
    </row>
    <row r="96" spans="1:27" ht="15.75" x14ac:dyDescent="0.25">
      <c r="A96" t="str">
        <f>$B96&amp;$C96&amp;$D96&amp;IF(AND(D96="Brand",Y96="a"),Y96,"")</f>
        <v>201726LY</v>
      </c>
      <c r="B96">
        <v>2017</v>
      </c>
      <c r="C96">
        <v>26</v>
      </c>
      <c r="D96" t="s">
        <v>19</v>
      </c>
      <c r="E96">
        <v>23730</v>
      </c>
      <c r="F96">
        <v>22.8047</v>
      </c>
      <c r="G96">
        <v>8.3214000000000006</v>
      </c>
      <c r="H96">
        <v>3.7141999999999999</v>
      </c>
      <c r="I96">
        <v>296864</v>
      </c>
      <c r="J96">
        <v>21638</v>
      </c>
      <c r="K96">
        <v>24</v>
      </c>
      <c r="L96">
        <v>18</v>
      </c>
      <c r="M96">
        <v>35</v>
      </c>
      <c r="N96"/>
      <c r="O96"/>
      <c r="P96"/>
      <c r="Q96"/>
      <c r="R96"/>
      <c r="S96"/>
      <c r="T96"/>
      <c r="U96"/>
      <c r="V96"/>
      <c r="W96"/>
      <c r="X96"/>
      <c r="Y96" t="s">
        <v>335</v>
      </c>
      <c r="Z96"/>
      <c r="AA96"/>
    </row>
    <row r="97" spans="1:27" ht="15.75" x14ac:dyDescent="0.25">
      <c r="A97" t="str">
        <f>$B97&amp;$C97&amp;$D97&amp;IF(AND(D97="Brand",Y97="a"),Y97,"")</f>
        <v>201727LY</v>
      </c>
      <c r="B97">
        <v>2017</v>
      </c>
      <c r="C97">
        <v>27</v>
      </c>
      <c r="D97" t="s">
        <v>19</v>
      </c>
      <c r="E97">
        <v>29470</v>
      </c>
      <c r="F97">
        <v>23.263300000000001</v>
      </c>
      <c r="G97">
        <v>6.2778</v>
      </c>
      <c r="H97">
        <v>3.7604000000000002</v>
      </c>
      <c r="I97">
        <v>266907</v>
      </c>
      <c r="J97">
        <v>21603</v>
      </c>
      <c r="K97">
        <v>-99</v>
      </c>
      <c r="L97">
        <v>1</v>
      </c>
      <c r="M97">
        <v>419</v>
      </c>
      <c r="N97"/>
      <c r="O97"/>
      <c r="P97"/>
      <c r="Q97"/>
      <c r="R97"/>
      <c r="S97"/>
      <c r="T97"/>
      <c r="U97"/>
      <c r="V97"/>
      <c r="W97"/>
      <c r="X97"/>
      <c r="Y97" t="s">
        <v>335</v>
      </c>
      <c r="Z97"/>
      <c r="AA97"/>
    </row>
    <row r="98" spans="1:27" ht="15.75" x14ac:dyDescent="0.25">
      <c r="A98" t="str">
        <f>$B98&amp;$C98&amp;$D98&amp;IF(AND(D98="Brand",Y98="a"),Y98,"")</f>
        <v>201728LY</v>
      </c>
      <c r="B98">
        <v>2017</v>
      </c>
      <c r="C98">
        <v>28</v>
      </c>
      <c r="D98" t="s">
        <v>19</v>
      </c>
      <c r="E98">
        <v>21892</v>
      </c>
      <c r="F98">
        <v>22.901599999999998</v>
      </c>
      <c r="G98">
        <v>6.5670000000000002</v>
      </c>
      <c r="H98">
        <v>3.7109999999999999</v>
      </c>
      <c r="I98">
        <v>244126</v>
      </c>
      <c r="J98">
        <v>21636</v>
      </c>
      <c r="K98">
        <v>-41</v>
      </c>
      <c r="L98"/>
      <c r="M98">
        <v>745</v>
      </c>
      <c r="N98"/>
      <c r="O98"/>
      <c r="P98"/>
      <c r="Q98"/>
      <c r="R98"/>
      <c r="S98"/>
      <c r="T98"/>
      <c r="U98"/>
      <c r="V98"/>
      <c r="W98"/>
      <c r="X98"/>
      <c r="Y98" t="s">
        <v>335</v>
      </c>
      <c r="Z98"/>
      <c r="AA98"/>
    </row>
    <row r="99" spans="1:27" ht="15.75" x14ac:dyDescent="0.25">
      <c r="A99" t="str">
        <f>$B99&amp;$C99&amp;$D99&amp;IF(AND(D99="Brand",Y99="a"),Y99,"")</f>
        <v>201729LY</v>
      </c>
      <c r="B99">
        <v>2017</v>
      </c>
      <c r="C99">
        <v>29</v>
      </c>
      <c r="D99" t="s">
        <v>19</v>
      </c>
      <c r="E99">
        <v>11820</v>
      </c>
      <c r="F99">
        <v>22.803799999999999</v>
      </c>
      <c r="G99">
        <v>7.2638999999999996</v>
      </c>
      <c r="H99">
        <v>3.6978</v>
      </c>
      <c r="I99">
        <v>230604</v>
      </c>
      <c r="J99">
        <v>21623</v>
      </c>
      <c r="K99">
        <v>-91</v>
      </c>
      <c r="L99">
        <v>334</v>
      </c>
      <c r="M99">
        <v>1967</v>
      </c>
      <c r="N99"/>
      <c r="O99"/>
      <c r="P99"/>
      <c r="Q99"/>
      <c r="R99"/>
      <c r="S99"/>
      <c r="T99"/>
      <c r="U99"/>
      <c r="V99"/>
      <c r="W99"/>
      <c r="X99"/>
      <c r="Y99" t="s">
        <v>335</v>
      </c>
      <c r="Z99"/>
      <c r="AA99"/>
    </row>
    <row r="100" spans="1:27" ht="15.75" x14ac:dyDescent="0.25">
      <c r="A100" t="str">
        <f>$B100&amp;$C100&amp;$D100&amp;IF(AND(D100="Brand",Y100="a"),Y100,"")</f>
        <v>201730LY</v>
      </c>
      <c r="B100">
        <v>2017</v>
      </c>
      <c r="C100">
        <v>30</v>
      </c>
      <c r="D100" t="s">
        <v>19</v>
      </c>
      <c r="E100">
        <v>12694</v>
      </c>
      <c r="F100">
        <v>22.216699999999999</v>
      </c>
      <c r="G100">
        <v>6.4827000000000004</v>
      </c>
      <c r="H100">
        <v>3.6067</v>
      </c>
      <c r="I100">
        <v>216921</v>
      </c>
      <c r="J100">
        <v>20378</v>
      </c>
      <c r="K100">
        <v>-103</v>
      </c>
      <c r="L100">
        <v>147</v>
      </c>
      <c r="M100">
        <v>2268</v>
      </c>
      <c r="N100"/>
      <c r="O100"/>
      <c r="P100"/>
      <c r="Q100"/>
      <c r="R100"/>
      <c r="S100"/>
      <c r="T100"/>
      <c r="U100"/>
      <c r="V100"/>
      <c r="W100"/>
      <c r="X100"/>
      <c r="Y100" t="s">
        <v>335</v>
      </c>
      <c r="Z100"/>
      <c r="AA100"/>
    </row>
    <row r="101" spans="1:27" ht="15.75" x14ac:dyDescent="0.25">
      <c r="A101" t="str">
        <f>$B101&amp;$C101&amp;$D101&amp;IF(AND(D101="Brand",Y101="a"),Y101,"")</f>
        <v>201731LY</v>
      </c>
      <c r="B101">
        <v>2017</v>
      </c>
      <c r="C101">
        <v>31</v>
      </c>
      <c r="D101" t="s">
        <v>19</v>
      </c>
      <c r="E101">
        <v>10590</v>
      </c>
      <c r="F101">
        <v>22.009799999999998</v>
      </c>
      <c r="G101">
        <v>6.3688000000000002</v>
      </c>
      <c r="H101">
        <v>3.5743999999999998</v>
      </c>
      <c r="I101">
        <v>205978</v>
      </c>
      <c r="J101">
        <v>20356</v>
      </c>
      <c r="K101">
        <v>-82</v>
      </c>
      <c r="L101">
        <v>164</v>
      </c>
      <c r="M101">
        <v>459</v>
      </c>
      <c r="N101"/>
      <c r="O101"/>
      <c r="P101"/>
      <c r="Q101"/>
      <c r="R101"/>
      <c r="S101"/>
      <c r="T101"/>
      <c r="U101"/>
      <c r="V101"/>
      <c r="W101"/>
      <c r="X101"/>
      <c r="Y101" t="s">
        <v>335</v>
      </c>
      <c r="Z101"/>
      <c r="AA101"/>
    </row>
    <row r="102" spans="1:27" ht="15.75" x14ac:dyDescent="0.25">
      <c r="A102" t="str">
        <f>$B102&amp;$C102&amp;$D102&amp;IF(AND(D102="Brand",Y102="a"),Y102,"")</f>
        <v>201732LY</v>
      </c>
      <c r="B102">
        <v>2017</v>
      </c>
      <c r="C102">
        <v>32</v>
      </c>
      <c r="D102" t="s">
        <v>19</v>
      </c>
      <c r="E102">
        <v>12517</v>
      </c>
      <c r="F102">
        <v>22.372499999999999</v>
      </c>
      <c r="G102">
        <v>4.8865999999999996</v>
      </c>
      <c r="H102">
        <v>3.6402000000000001</v>
      </c>
      <c r="I102">
        <v>191641</v>
      </c>
      <c r="J102">
        <v>20360</v>
      </c>
      <c r="K102">
        <v>-635</v>
      </c>
      <c r="L102">
        <v>77</v>
      </c>
      <c r="M102">
        <v>1262</v>
      </c>
      <c r="N102"/>
      <c r="O102"/>
      <c r="P102"/>
      <c r="Q102"/>
      <c r="R102"/>
      <c r="S102"/>
      <c r="T102"/>
      <c r="U102"/>
      <c r="V102"/>
      <c r="W102"/>
      <c r="X102"/>
      <c r="Y102" t="s">
        <v>335</v>
      </c>
      <c r="Z102"/>
      <c r="AA102"/>
    </row>
    <row r="103" spans="1:27" ht="15.75" x14ac:dyDescent="0.25">
      <c r="A103" t="str">
        <f>$B103&amp;$C103&amp;$D103&amp;IF(AND(D103="Brand",Y103="a"),Y103,"")</f>
        <v>201733LY</v>
      </c>
      <c r="B103">
        <v>2017</v>
      </c>
      <c r="C103">
        <v>33</v>
      </c>
      <c r="D103" t="s">
        <v>19</v>
      </c>
      <c r="E103">
        <v>8171</v>
      </c>
      <c r="F103">
        <v>21.906500000000001</v>
      </c>
      <c r="G103">
        <v>4.7458</v>
      </c>
      <c r="H103">
        <v>3.5811999999999999</v>
      </c>
      <c r="I103">
        <v>174091</v>
      </c>
      <c r="J103">
        <v>20366</v>
      </c>
      <c r="K103">
        <v>-63</v>
      </c>
      <c r="L103">
        <v>18</v>
      </c>
      <c r="M103">
        <v>9410</v>
      </c>
      <c r="N103"/>
      <c r="O103"/>
      <c r="P103"/>
      <c r="Q103"/>
      <c r="R103"/>
      <c r="S103"/>
      <c r="T103"/>
      <c r="U103"/>
      <c r="V103"/>
      <c r="W103"/>
      <c r="X103"/>
      <c r="Y103" t="s">
        <v>335</v>
      </c>
      <c r="Z103"/>
      <c r="AA103"/>
    </row>
    <row r="104" spans="1:27" ht="15.75" x14ac:dyDescent="0.25">
      <c r="A104" t="str">
        <f>$B104&amp;$C104&amp;$D104&amp;IF(AND(D104="Brand",Y104="a"),Y104,"")</f>
        <v>201734LY</v>
      </c>
      <c r="B104">
        <v>2017</v>
      </c>
      <c r="C104">
        <v>34</v>
      </c>
      <c r="D104" t="s">
        <v>19</v>
      </c>
      <c r="E104">
        <v>2397</v>
      </c>
      <c r="F104">
        <v>20.2684</v>
      </c>
      <c r="G104">
        <v>5.0350000000000001</v>
      </c>
      <c r="H104">
        <v>3.2683</v>
      </c>
      <c r="I104">
        <v>81936</v>
      </c>
      <c r="J104">
        <v>18508</v>
      </c>
      <c r="K104">
        <v>-216</v>
      </c>
      <c r="L104">
        <v>2005</v>
      </c>
      <c r="M104">
        <v>93314</v>
      </c>
      <c r="N104"/>
      <c r="O104"/>
      <c r="P104"/>
      <c r="Q104"/>
      <c r="R104"/>
      <c r="S104"/>
      <c r="T104"/>
      <c r="U104"/>
      <c r="V104"/>
      <c r="W104"/>
      <c r="X104"/>
      <c r="Y104" t="s">
        <v>335</v>
      </c>
      <c r="Z104"/>
      <c r="AA104"/>
    </row>
    <row r="105" spans="1:27" ht="15.75" x14ac:dyDescent="0.25">
      <c r="A105" t="str">
        <f>$B105&amp;$C105&amp;$D105&amp;IF(AND(D105="Brand",Y105="a"),Y105,"")</f>
        <v>201735LY</v>
      </c>
      <c r="B105">
        <v>2017</v>
      </c>
      <c r="C105">
        <v>35</v>
      </c>
      <c r="D105" t="s">
        <v>19</v>
      </c>
      <c r="E105">
        <v>2165</v>
      </c>
      <c r="F105">
        <v>20.108000000000001</v>
      </c>
      <c r="G105">
        <v>3.3515000000000001</v>
      </c>
      <c r="H105">
        <v>3.2854999999999999</v>
      </c>
      <c r="I105">
        <v>73814</v>
      </c>
      <c r="J105">
        <v>6091</v>
      </c>
      <c r="K105">
        <v>-212</v>
      </c>
      <c r="L105">
        <v>3486</v>
      </c>
      <c r="M105">
        <v>21637</v>
      </c>
      <c r="N105"/>
      <c r="O105"/>
      <c r="P105"/>
      <c r="Q105"/>
      <c r="R105"/>
      <c r="S105"/>
      <c r="T105"/>
      <c r="U105"/>
      <c r="V105"/>
      <c r="W105"/>
      <c r="X105"/>
      <c r="Y105" t="s">
        <v>335</v>
      </c>
      <c r="Z105"/>
      <c r="AA105"/>
    </row>
    <row r="106" spans="1:27" ht="15.75" x14ac:dyDescent="0.25">
      <c r="A106" t="str">
        <f>$B106&amp;$C106&amp;$D106&amp;IF(AND(D106="Brand",Y106="a"),Y106,"")</f>
        <v>201736LY</v>
      </c>
      <c r="B106">
        <v>2017</v>
      </c>
      <c r="C106">
        <v>36</v>
      </c>
      <c r="D106" t="s">
        <v>19</v>
      </c>
      <c r="E106">
        <v>2449</v>
      </c>
      <c r="F106">
        <v>20.429400000000001</v>
      </c>
      <c r="G106">
        <v>3.3855</v>
      </c>
      <c r="H106">
        <v>3.3283</v>
      </c>
      <c r="I106">
        <v>69927</v>
      </c>
      <c r="J106">
        <v>6092</v>
      </c>
      <c r="K106">
        <v>-108</v>
      </c>
      <c r="L106">
        <v>48</v>
      </c>
      <c r="M106">
        <v>1377</v>
      </c>
      <c r="N106"/>
      <c r="O106"/>
      <c r="P106"/>
      <c r="Q106"/>
      <c r="R106"/>
      <c r="S106"/>
      <c r="T106"/>
      <c r="U106"/>
      <c r="V106"/>
      <c r="W106"/>
      <c r="X106"/>
      <c r="Y106" t="s">
        <v>335</v>
      </c>
      <c r="Z106"/>
      <c r="AA106"/>
    </row>
    <row r="107" spans="1:27" ht="15.75" x14ac:dyDescent="0.25">
      <c r="A107" t="str">
        <f>$B107&amp;$C107&amp;$D107&amp;IF(AND(D107="Brand",Y107="a"),Y107,"")</f>
        <v>201737LY</v>
      </c>
      <c r="B107">
        <v>2017</v>
      </c>
      <c r="C107">
        <v>37</v>
      </c>
      <c r="D107" t="s">
        <v>19</v>
      </c>
      <c r="E107">
        <v>2100</v>
      </c>
      <c r="F107">
        <v>20.017099999999999</v>
      </c>
      <c r="G107">
        <v>3.0076000000000001</v>
      </c>
      <c r="H107">
        <v>3.2871000000000001</v>
      </c>
      <c r="I107">
        <v>49385</v>
      </c>
      <c r="J107">
        <v>6118</v>
      </c>
      <c r="K107">
        <v>-70</v>
      </c>
      <c r="L107">
        <v>187</v>
      </c>
      <c r="M107">
        <v>18534</v>
      </c>
      <c r="N107"/>
      <c r="O107"/>
      <c r="P107"/>
      <c r="Q107"/>
      <c r="R107"/>
      <c r="S107"/>
      <c r="T107"/>
      <c r="U107"/>
      <c r="V107"/>
      <c r="W107"/>
      <c r="X107"/>
      <c r="Y107" t="s">
        <v>335</v>
      </c>
      <c r="Z107"/>
      <c r="AA107"/>
    </row>
    <row r="108" spans="1:27" ht="15.75" x14ac:dyDescent="0.25">
      <c r="A108" t="str">
        <f>$B108&amp;$C108&amp;$D108&amp;IF(AND(D108="Brand",Y108="a"),Y108,"")</f>
        <v>201738LY</v>
      </c>
      <c r="B108">
        <v>2017</v>
      </c>
      <c r="C108">
        <v>38</v>
      </c>
      <c r="D108" t="s">
        <v>19</v>
      </c>
      <c r="E108">
        <v>1250</v>
      </c>
      <c r="F108">
        <v>20.668199999999999</v>
      </c>
      <c r="G108">
        <v>3.1720000000000002</v>
      </c>
      <c r="H108">
        <v>3.3464</v>
      </c>
      <c r="I108">
        <v>46158</v>
      </c>
      <c r="J108">
        <v>5181</v>
      </c>
      <c r="K108">
        <v>-55</v>
      </c>
      <c r="L108">
        <v>1758</v>
      </c>
      <c r="M108">
        <v>4626</v>
      </c>
      <c r="N108"/>
      <c r="O108"/>
      <c r="P108"/>
      <c r="Q108"/>
      <c r="R108"/>
      <c r="S108"/>
      <c r="T108"/>
      <c r="U108"/>
      <c r="V108"/>
      <c r="W108"/>
      <c r="X108"/>
      <c r="Y108" t="s">
        <v>335</v>
      </c>
      <c r="Z108"/>
      <c r="AA108"/>
    </row>
    <row r="109" spans="1:27" ht="15.75" x14ac:dyDescent="0.25">
      <c r="A109" t="str">
        <f>$B109&amp;$C109&amp;$D109&amp;IF(AND(D109="Brand",Y109="a"),Y109,"")</f>
        <v>201739LY</v>
      </c>
      <c r="B109">
        <v>2017</v>
      </c>
      <c r="C109">
        <v>39</v>
      </c>
      <c r="D109" t="s">
        <v>19</v>
      </c>
      <c r="E109">
        <v>957</v>
      </c>
      <c r="F109">
        <v>20.4587</v>
      </c>
      <c r="G109">
        <v>3.0564</v>
      </c>
      <c r="H109">
        <v>3.3553000000000002</v>
      </c>
      <c r="I109">
        <v>31872</v>
      </c>
      <c r="J109">
        <v>1142</v>
      </c>
      <c r="K109">
        <v>16</v>
      </c>
      <c r="L109">
        <v>555</v>
      </c>
      <c r="M109">
        <v>17903</v>
      </c>
      <c r="N109"/>
      <c r="O109"/>
      <c r="P109"/>
      <c r="Q109"/>
      <c r="R109"/>
      <c r="S109"/>
      <c r="T109"/>
      <c r="U109"/>
      <c r="V109"/>
      <c r="W109"/>
      <c r="X109"/>
      <c r="Y109" t="s">
        <v>335</v>
      </c>
      <c r="Z109"/>
      <c r="AA109"/>
    </row>
    <row r="110" spans="1:27" ht="15.75" x14ac:dyDescent="0.25">
      <c r="A110" t="str">
        <f>$B110&amp;$C110&amp;$D110&amp;IF(AND(D110="Brand",Y110="a"),Y110,"")</f>
        <v>201740LY</v>
      </c>
      <c r="B110">
        <v>2017</v>
      </c>
      <c r="C110">
        <v>40</v>
      </c>
      <c r="D110" t="s">
        <v>19</v>
      </c>
      <c r="E110">
        <v>1029</v>
      </c>
      <c r="F110">
        <v>21.565999999999999</v>
      </c>
      <c r="G110">
        <v>3.8134000000000001</v>
      </c>
      <c r="H110">
        <v>3.5684999999999998</v>
      </c>
      <c r="I110">
        <v>27929</v>
      </c>
      <c r="J110">
        <v>1142</v>
      </c>
      <c r="K110">
        <v>-36</v>
      </c>
      <c r="L110">
        <v>387</v>
      </c>
      <c r="M110">
        <v>3267</v>
      </c>
      <c r="N110"/>
      <c r="O110"/>
      <c r="P110"/>
      <c r="Q110"/>
      <c r="R110"/>
      <c r="S110"/>
      <c r="T110"/>
      <c r="U110"/>
      <c r="V110"/>
      <c r="W110"/>
      <c r="X110"/>
      <c r="Y110" t="s">
        <v>335</v>
      </c>
      <c r="Z110"/>
      <c r="AA110"/>
    </row>
    <row r="111" spans="1:27" ht="15.75" x14ac:dyDescent="0.25">
      <c r="A111" t="str">
        <f>$B111&amp;$C111&amp;$D111&amp;IF(AND(D111="Brand",Y111="a"),Y111,"")</f>
        <v>201741LY</v>
      </c>
      <c r="B111">
        <v>2017</v>
      </c>
      <c r="C111">
        <v>41</v>
      </c>
      <c r="D111" t="s">
        <v>19</v>
      </c>
      <c r="E111">
        <v>1031</v>
      </c>
      <c r="F111">
        <v>23.5763</v>
      </c>
      <c r="G111">
        <v>3.8243999999999998</v>
      </c>
      <c r="H111">
        <v>3.8321999999999998</v>
      </c>
      <c r="I111">
        <v>27888</v>
      </c>
      <c r="J111">
        <v>1142</v>
      </c>
      <c r="K111">
        <v>-42</v>
      </c>
      <c r="L111">
        <v>1236</v>
      </c>
      <c r="M111">
        <v>239</v>
      </c>
      <c r="N111"/>
      <c r="O111"/>
      <c r="P111"/>
      <c r="Q111"/>
      <c r="R111"/>
      <c r="S111"/>
      <c r="T111"/>
      <c r="U111"/>
      <c r="V111"/>
      <c r="W111"/>
      <c r="X111"/>
      <c r="Y111" t="s">
        <v>335</v>
      </c>
      <c r="Z111"/>
      <c r="AA111"/>
    </row>
    <row r="112" spans="1:27" ht="15.75" x14ac:dyDescent="0.25">
      <c r="A112" t="str">
        <f>$B112&amp;$C112&amp;$D112&amp;IF(AND(D112="Brand",Y112="a"),Y112,"")</f>
        <v>201742LY</v>
      </c>
      <c r="B112">
        <v>2017</v>
      </c>
      <c r="C112">
        <v>42</v>
      </c>
      <c r="D112" t="s">
        <v>19</v>
      </c>
      <c r="E112">
        <v>1621</v>
      </c>
      <c r="F112">
        <v>23.2319</v>
      </c>
      <c r="G112">
        <v>4.4355000000000002</v>
      </c>
      <c r="H112">
        <v>3.7946</v>
      </c>
      <c r="I112">
        <v>26227</v>
      </c>
      <c r="J112">
        <v>1142</v>
      </c>
      <c r="K112">
        <v>-39</v>
      </c>
      <c r="L112"/>
      <c r="M112">
        <v>1</v>
      </c>
      <c r="N112"/>
      <c r="O112"/>
      <c r="P112"/>
      <c r="Q112"/>
      <c r="R112"/>
      <c r="S112"/>
      <c r="T112"/>
      <c r="U112"/>
      <c r="V112"/>
      <c r="W112"/>
      <c r="X112"/>
      <c r="Y112" t="s">
        <v>335</v>
      </c>
      <c r="Z112"/>
      <c r="AA112"/>
    </row>
    <row r="113" spans="1:27" ht="15.75" x14ac:dyDescent="0.25">
      <c r="A113" t="str">
        <f>$B113&amp;$C113&amp;$D113&amp;IF(AND(D113="Brand",Y113="a"),Y113,"")</f>
        <v>201743LY</v>
      </c>
      <c r="B113">
        <v>2017</v>
      </c>
      <c r="C113">
        <v>43</v>
      </c>
      <c r="D113" t="s">
        <v>19</v>
      </c>
      <c r="E113">
        <v>1104</v>
      </c>
      <c r="F113">
        <v>22.080100000000002</v>
      </c>
      <c r="G113">
        <v>4.1947000000000001</v>
      </c>
      <c r="H113">
        <v>3.6232000000000002</v>
      </c>
      <c r="I113">
        <v>25391</v>
      </c>
      <c r="J113">
        <v>1142</v>
      </c>
      <c r="K113">
        <v>-95</v>
      </c>
      <c r="L113">
        <v>632</v>
      </c>
      <c r="M113">
        <v>282</v>
      </c>
      <c r="N113"/>
      <c r="O113"/>
      <c r="P113"/>
      <c r="Q113"/>
      <c r="R113"/>
      <c r="S113"/>
      <c r="T113"/>
      <c r="U113"/>
      <c r="V113"/>
      <c r="W113"/>
      <c r="X113"/>
      <c r="Y113" t="s">
        <v>335</v>
      </c>
      <c r="Z113"/>
      <c r="AA113"/>
    </row>
    <row r="114" spans="1:27" ht="15.75" x14ac:dyDescent="0.25">
      <c r="A114" t="str">
        <f>$B114&amp;$C114&amp;$D114&amp;IF(AND(D114="Brand",Y114="a"),Y114,"")</f>
        <v>201744LY</v>
      </c>
      <c r="B114">
        <v>2017</v>
      </c>
      <c r="C114">
        <v>44</v>
      </c>
      <c r="D114" t="s">
        <v>19</v>
      </c>
      <c r="E114">
        <v>881</v>
      </c>
      <c r="F114">
        <v>23.376899999999999</v>
      </c>
      <c r="G114">
        <v>4.3654999999999999</v>
      </c>
      <c r="H114">
        <v>3.8172999999999999</v>
      </c>
      <c r="I114">
        <v>25630</v>
      </c>
      <c r="J114">
        <v>1085</v>
      </c>
      <c r="K114">
        <v>-17</v>
      </c>
      <c r="L114">
        <v>1100</v>
      </c>
      <c r="M114">
        <v>21</v>
      </c>
      <c r="N114"/>
      <c r="O114"/>
      <c r="P114"/>
      <c r="Q114"/>
      <c r="R114"/>
      <c r="S114"/>
      <c r="T114"/>
      <c r="U114"/>
      <c r="V114"/>
      <c r="W114"/>
      <c r="X114"/>
      <c r="Y114" t="s">
        <v>335</v>
      </c>
      <c r="Z114"/>
      <c r="AA114"/>
    </row>
    <row r="115" spans="1:27" ht="15.75" x14ac:dyDescent="0.25">
      <c r="A115" t="str">
        <f>$B115&amp;$C115&amp;$D115&amp;IF(AND(D115="Brand",Y115="a"),Y115,"")</f>
        <v>201745LY</v>
      </c>
      <c r="B115">
        <v>2017</v>
      </c>
      <c r="C115">
        <v>45</v>
      </c>
      <c r="D115" t="s">
        <v>19</v>
      </c>
      <c r="E115">
        <v>1130</v>
      </c>
      <c r="F115">
        <v>23.428000000000001</v>
      </c>
      <c r="G115">
        <v>4.3867000000000003</v>
      </c>
      <c r="H115">
        <v>3.7814000000000001</v>
      </c>
      <c r="I115">
        <v>24438</v>
      </c>
      <c r="J115">
        <v>1007</v>
      </c>
      <c r="K115">
        <v>-92</v>
      </c>
      <c r="L115">
        <v>31</v>
      </c>
      <c r="M115">
        <v>79</v>
      </c>
      <c r="N115"/>
      <c r="O115"/>
      <c r="P115"/>
      <c r="Q115"/>
      <c r="R115"/>
      <c r="S115"/>
      <c r="T115"/>
      <c r="U115"/>
      <c r="V115"/>
      <c r="W115"/>
      <c r="X115"/>
      <c r="Y115" t="s">
        <v>335</v>
      </c>
      <c r="Z115"/>
      <c r="AA115"/>
    </row>
    <row r="116" spans="1:27" ht="15.75" x14ac:dyDescent="0.25">
      <c r="A116" t="str">
        <f>$B116&amp;$C116&amp;$D116&amp;IF(AND(D116="Brand",Y116="a"),Y116,"")</f>
        <v>201746LY</v>
      </c>
      <c r="B116">
        <v>2017</v>
      </c>
      <c r="C116">
        <v>46</v>
      </c>
      <c r="D116" t="s">
        <v>19</v>
      </c>
      <c r="E116">
        <v>1674</v>
      </c>
      <c r="F116">
        <v>23.0823</v>
      </c>
      <c r="G116">
        <v>3.8142</v>
      </c>
      <c r="H116">
        <v>3.7747999999999999</v>
      </c>
      <c r="I116">
        <v>22439</v>
      </c>
      <c r="J116">
        <v>1007</v>
      </c>
      <c r="K116">
        <v>-298</v>
      </c>
      <c r="L116">
        <v>6</v>
      </c>
      <c r="M116">
        <v>20</v>
      </c>
      <c r="N116"/>
      <c r="O116"/>
      <c r="P116"/>
      <c r="Q116"/>
      <c r="R116"/>
      <c r="S116"/>
      <c r="T116"/>
      <c r="U116"/>
      <c r="V116"/>
      <c r="W116"/>
      <c r="X116"/>
      <c r="Y116" t="s">
        <v>335</v>
      </c>
      <c r="Z116"/>
      <c r="AA116"/>
    </row>
    <row r="117" spans="1:27" ht="15.75" x14ac:dyDescent="0.25">
      <c r="A117" t="str">
        <f>$B117&amp;$C117&amp;$D117&amp;IF(AND(D117="Brand",Y117="a"),Y117,"")</f>
        <v>201747LY</v>
      </c>
      <c r="B117">
        <v>2017</v>
      </c>
      <c r="C117">
        <v>47</v>
      </c>
      <c r="D117" t="s">
        <v>19</v>
      </c>
      <c r="E117">
        <v>1525</v>
      </c>
      <c r="F117">
        <v>23.2257</v>
      </c>
      <c r="G117">
        <v>3.7115</v>
      </c>
      <c r="H117">
        <v>3.798</v>
      </c>
      <c r="I117">
        <v>20305</v>
      </c>
      <c r="J117">
        <v>1007</v>
      </c>
      <c r="K117">
        <v>-579</v>
      </c>
      <c r="L117">
        <v>19</v>
      </c>
      <c r="M117">
        <v>49</v>
      </c>
      <c r="N117"/>
      <c r="O117"/>
      <c r="P117"/>
      <c r="Q117"/>
      <c r="R117"/>
      <c r="S117"/>
      <c r="T117"/>
      <c r="U117"/>
      <c r="V117"/>
      <c r="W117"/>
      <c r="X117"/>
      <c r="Y117" t="s">
        <v>335</v>
      </c>
      <c r="Z117"/>
      <c r="AA117"/>
    </row>
    <row r="118" spans="1:27" ht="15.75" x14ac:dyDescent="0.25">
      <c r="A118" t="str">
        <f>$B118&amp;$C118&amp;$D118&amp;IF(AND(D118="Brand",Y118="a"),Y118,"")</f>
        <v>201748LY</v>
      </c>
      <c r="B118">
        <v>2017</v>
      </c>
      <c r="C118">
        <v>48</v>
      </c>
      <c r="D118" t="s">
        <v>19</v>
      </c>
      <c r="E118">
        <v>2680</v>
      </c>
      <c r="F118">
        <v>25.662500000000001</v>
      </c>
      <c r="G118">
        <v>2.9603999999999999</v>
      </c>
      <c r="H118">
        <v>4.1679000000000004</v>
      </c>
      <c r="I118">
        <v>17466</v>
      </c>
      <c r="J118">
        <v>1007</v>
      </c>
      <c r="K118">
        <v>-196</v>
      </c>
      <c r="L118">
        <v>37</v>
      </c>
      <c r="M118"/>
      <c r="N118"/>
      <c r="O118"/>
      <c r="P118"/>
      <c r="Q118"/>
      <c r="R118"/>
      <c r="S118"/>
      <c r="T118"/>
      <c r="U118"/>
      <c r="V118"/>
      <c r="W118"/>
      <c r="X118"/>
      <c r="Y118" t="s">
        <v>335</v>
      </c>
      <c r="Z118"/>
      <c r="AA118"/>
    </row>
    <row r="119" spans="1:27" ht="15.75" x14ac:dyDescent="0.25">
      <c r="A119" t="str">
        <f>$B119&amp;$C119&amp;$D119&amp;IF(AND(D119="Brand",Y119="a"),Y119,"")</f>
        <v>201749LY</v>
      </c>
      <c r="B119">
        <v>2017</v>
      </c>
      <c r="C119">
        <v>49</v>
      </c>
      <c r="D119" t="s">
        <v>19</v>
      </c>
      <c r="E119">
        <v>2425</v>
      </c>
      <c r="F119">
        <v>22.100999999999999</v>
      </c>
      <c r="G119">
        <v>2.1446999999999998</v>
      </c>
      <c r="H119">
        <v>3.8275999999999999</v>
      </c>
      <c r="I119">
        <v>15048</v>
      </c>
      <c r="J119">
        <v>898</v>
      </c>
      <c r="K119">
        <v>-62</v>
      </c>
      <c r="L119">
        <v>65</v>
      </c>
      <c r="M119">
        <v>105</v>
      </c>
      <c r="N119"/>
      <c r="O119"/>
      <c r="P119"/>
      <c r="Q119"/>
      <c r="R119"/>
      <c r="S119"/>
      <c r="T119"/>
      <c r="U119"/>
      <c r="V119"/>
      <c r="W119"/>
      <c r="X119"/>
      <c r="Y119" t="s">
        <v>335</v>
      </c>
      <c r="Z119"/>
      <c r="AA119"/>
    </row>
    <row r="120" spans="1:27" ht="15.75" x14ac:dyDescent="0.25">
      <c r="A120" t="str">
        <f>$B120&amp;$C120&amp;$D120&amp;IF(AND(D120="Brand",Y120="a"),Y120,"")</f>
        <v>201750LY</v>
      </c>
      <c r="B120">
        <v>2017</v>
      </c>
      <c r="C120">
        <v>50</v>
      </c>
      <c r="D120" t="s">
        <v>19</v>
      </c>
      <c r="E120">
        <v>305</v>
      </c>
      <c r="F120">
        <v>21.7668</v>
      </c>
      <c r="G120">
        <v>2.6230000000000002</v>
      </c>
      <c r="H120">
        <v>3.7343999999999999</v>
      </c>
      <c r="I120">
        <v>14694</v>
      </c>
      <c r="J120">
        <v>716</v>
      </c>
      <c r="K120">
        <v>-233</v>
      </c>
      <c r="L120"/>
      <c r="M120">
        <v>-2</v>
      </c>
      <c r="N120"/>
      <c r="O120"/>
      <c r="P120"/>
      <c r="Q120"/>
      <c r="R120"/>
      <c r="S120"/>
      <c r="T120"/>
      <c r="U120"/>
      <c r="V120"/>
      <c r="W120"/>
      <c r="X120"/>
      <c r="Y120" t="s">
        <v>335</v>
      </c>
      <c r="Z120"/>
      <c r="AA120"/>
    </row>
    <row r="121" spans="1:27" ht="15.75" x14ac:dyDescent="0.25">
      <c r="A121" t="str">
        <f>$B121&amp;$C121&amp;$D121&amp;IF(AND(D121="Brand",Y121="a"),Y121,"")</f>
        <v>201751LY</v>
      </c>
      <c r="B121">
        <v>2017</v>
      </c>
      <c r="C121">
        <v>51</v>
      </c>
      <c r="D121" t="s">
        <v>19</v>
      </c>
      <c r="E121">
        <v>305</v>
      </c>
      <c r="F121">
        <v>22.520399999999999</v>
      </c>
      <c r="G121">
        <v>3.3508</v>
      </c>
      <c r="H121">
        <v>3.6459000000000001</v>
      </c>
      <c r="I121">
        <v>6058</v>
      </c>
      <c r="J121">
        <v>716</v>
      </c>
      <c r="K121">
        <v>-8327</v>
      </c>
      <c r="L121"/>
      <c r="M121">
        <v>3</v>
      </c>
      <c r="N121"/>
      <c r="O121"/>
      <c r="P121"/>
      <c r="Q121"/>
      <c r="R121"/>
      <c r="S121"/>
      <c r="T121"/>
      <c r="U121"/>
      <c r="V121"/>
      <c r="W121"/>
      <c r="X121"/>
      <c r="Y121" t="s">
        <v>335</v>
      </c>
      <c r="Z121"/>
      <c r="AA121"/>
    </row>
    <row r="122" spans="1:27" ht="15.75" x14ac:dyDescent="0.25">
      <c r="A122" t="str">
        <f>$B122&amp;$C122&amp;$D122&amp;IF(AND(D122="Brand",Y122="a"),Y122,"")</f>
        <v>201752LY</v>
      </c>
      <c r="B122">
        <v>2017</v>
      </c>
      <c r="C122">
        <v>52</v>
      </c>
      <c r="D122" t="s">
        <v>19</v>
      </c>
      <c r="E122">
        <v>161</v>
      </c>
      <c r="F122">
        <v>24.236000000000001</v>
      </c>
      <c r="G122">
        <v>4.5963000000000003</v>
      </c>
      <c r="H122">
        <v>3.9441000000000002</v>
      </c>
      <c r="I122">
        <v>5739</v>
      </c>
      <c r="J122">
        <v>716</v>
      </c>
      <c r="K122">
        <v>-159</v>
      </c>
      <c r="L122"/>
      <c r="M122"/>
      <c r="N122"/>
      <c r="O122"/>
      <c r="P122"/>
      <c r="Q122"/>
      <c r="R122"/>
      <c r="S122"/>
      <c r="T122"/>
      <c r="U122"/>
      <c r="V122"/>
      <c r="W122"/>
      <c r="X122"/>
      <c r="Y122" t="s">
        <v>335</v>
      </c>
      <c r="Z122"/>
      <c r="AA122"/>
    </row>
    <row r="123" spans="1:27" ht="15.75" x14ac:dyDescent="0.25">
      <c r="A123" t="str">
        <f>$B123&amp;$C123&amp;$D123&amp;IF(AND(D123="Brand",Y123="a"),Y123,"")</f>
        <v>20187LY</v>
      </c>
      <c r="B123">
        <v>2018</v>
      </c>
      <c r="C123">
        <v>7</v>
      </c>
      <c r="D123" t="s">
        <v>19</v>
      </c>
      <c r="E123"/>
      <c r="F123">
        <v>0</v>
      </c>
      <c r="G123">
        <v>0</v>
      </c>
      <c r="H123">
        <v>0</v>
      </c>
      <c r="I123">
        <v>-1</v>
      </c>
      <c r="J123"/>
      <c r="K123">
        <v>-1</v>
      </c>
      <c r="L123"/>
      <c r="M123"/>
      <c r="N123"/>
      <c r="O123"/>
      <c r="P123"/>
      <c r="Q123"/>
      <c r="R123"/>
      <c r="S123"/>
      <c r="T123"/>
      <c r="U123"/>
      <c r="V123"/>
      <c r="W123"/>
      <c r="X123"/>
      <c r="Y123" t="s">
        <v>335</v>
      </c>
      <c r="Z123"/>
      <c r="AA123"/>
    </row>
    <row r="124" spans="1:27" ht="15.75" x14ac:dyDescent="0.25">
      <c r="A124" t="str">
        <f>$B124&amp;$C124&amp;$D124&amp;IF(AND(D124="Brand",Y124="a"),Y124,"")</f>
        <v>20188LY</v>
      </c>
      <c r="B124">
        <v>2018</v>
      </c>
      <c r="C124">
        <v>8</v>
      </c>
      <c r="D124" t="s">
        <v>19</v>
      </c>
      <c r="E124"/>
      <c r="F124">
        <v>0</v>
      </c>
      <c r="G124">
        <v>0</v>
      </c>
      <c r="H124">
        <v>0</v>
      </c>
      <c r="I124">
        <v>-1</v>
      </c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 t="s">
        <v>335</v>
      </c>
      <c r="Z124"/>
      <c r="AA124"/>
    </row>
    <row r="125" spans="1:27" ht="15.75" x14ac:dyDescent="0.25">
      <c r="A125" t="str">
        <f>$B125&amp;$C125&amp;$D125&amp;IF(AND(D125="Brand",Y125="a"),Y125,"")</f>
        <v>20189LY</v>
      </c>
      <c r="B125">
        <v>2018</v>
      </c>
      <c r="C125">
        <v>9</v>
      </c>
      <c r="D125" t="s">
        <v>19</v>
      </c>
      <c r="E125"/>
      <c r="F125">
        <v>0</v>
      </c>
      <c r="G125">
        <v>0</v>
      </c>
      <c r="H125">
        <v>0</v>
      </c>
      <c r="I125">
        <v>-1</v>
      </c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 t="s">
        <v>335</v>
      </c>
      <c r="Z125"/>
      <c r="AA125"/>
    </row>
    <row r="126" spans="1:27" ht="15.75" x14ac:dyDescent="0.25">
      <c r="A126" t="str">
        <f>$B126&amp;$C126&amp;$D126&amp;IF(AND(D126="Brand",Y126="a"),Y126,"")</f>
        <v>201810LY</v>
      </c>
      <c r="B126">
        <v>2018</v>
      </c>
      <c r="C126">
        <v>10</v>
      </c>
      <c r="D126" t="s">
        <v>19</v>
      </c>
      <c r="E126"/>
      <c r="F126">
        <v>0</v>
      </c>
      <c r="G126">
        <v>0</v>
      </c>
      <c r="H126">
        <v>0</v>
      </c>
      <c r="I126">
        <v>-1</v>
      </c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 t="s">
        <v>335</v>
      </c>
      <c r="Z126"/>
      <c r="AA126"/>
    </row>
    <row r="127" spans="1:27" ht="15.75" x14ac:dyDescent="0.25">
      <c r="A127" t="str">
        <f>$B127&amp;$C127&amp;$D127&amp;IF(AND(D127="Brand",Y127="a"),Y127,"")</f>
        <v>201811LY</v>
      </c>
      <c r="B127">
        <v>2018</v>
      </c>
      <c r="C127">
        <v>11</v>
      </c>
      <c r="D127" t="s">
        <v>19</v>
      </c>
      <c r="E127"/>
      <c r="F127">
        <v>0</v>
      </c>
      <c r="G127">
        <v>0</v>
      </c>
      <c r="H127">
        <v>0</v>
      </c>
      <c r="I127">
        <v>-1</v>
      </c>
      <c r="J127">
        <v>2620</v>
      </c>
      <c r="K127"/>
      <c r="L127"/>
      <c r="M127"/>
      <c r="N127"/>
      <c r="O127"/>
      <c r="P127">
        <v>2620</v>
      </c>
      <c r="Q127"/>
      <c r="R127"/>
      <c r="S127">
        <v>33929</v>
      </c>
      <c r="T127"/>
      <c r="U127"/>
      <c r="V127">
        <v>9088.7800000000007</v>
      </c>
      <c r="W127"/>
      <c r="X127"/>
      <c r="Y127" t="s">
        <v>335</v>
      </c>
      <c r="Z127"/>
      <c r="AA127"/>
    </row>
    <row r="128" spans="1:27" ht="15.75" x14ac:dyDescent="0.25">
      <c r="A128" t="str">
        <f>$B128&amp;$C128&amp;$D128&amp;IF(AND(D128="Brand",Y128="a"),Y128,"")</f>
        <v>201812LY</v>
      </c>
      <c r="B128">
        <v>2018</v>
      </c>
      <c r="C128">
        <v>12</v>
      </c>
      <c r="D128" t="s">
        <v>19</v>
      </c>
      <c r="E128"/>
      <c r="F128">
        <v>0</v>
      </c>
      <c r="G128">
        <v>0</v>
      </c>
      <c r="H128">
        <v>0</v>
      </c>
      <c r="I128">
        <v>-1</v>
      </c>
      <c r="J128">
        <v>48094</v>
      </c>
      <c r="K128"/>
      <c r="L128"/>
      <c r="M128"/>
      <c r="N128"/>
      <c r="O128"/>
      <c r="P128">
        <v>45474</v>
      </c>
      <c r="Q128"/>
      <c r="R128"/>
      <c r="S128">
        <v>1252533.3</v>
      </c>
      <c r="T128"/>
      <c r="U128"/>
      <c r="V128">
        <v>211543.75719999999</v>
      </c>
      <c r="W128"/>
      <c r="X128"/>
      <c r="Y128" t="s">
        <v>335</v>
      </c>
      <c r="Z128"/>
      <c r="AA128"/>
    </row>
    <row r="129" spans="1:27" ht="15.75" x14ac:dyDescent="0.25">
      <c r="A129" t="str">
        <f>$B129&amp;$C129&amp;$D129&amp;IF(AND(D129="Brand",Y129="a"),Y129,"")</f>
        <v>201813LY</v>
      </c>
      <c r="B129">
        <v>2018</v>
      </c>
      <c r="C129">
        <v>13</v>
      </c>
      <c r="D129" t="s">
        <v>19</v>
      </c>
      <c r="E129">
        <v>1</v>
      </c>
      <c r="F129">
        <v>29.95</v>
      </c>
      <c r="G129">
        <v>18</v>
      </c>
      <c r="H129">
        <v>9</v>
      </c>
      <c r="I129">
        <v>-2</v>
      </c>
      <c r="J129">
        <v>525559</v>
      </c>
      <c r="K129">
        <v>3125</v>
      </c>
      <c r="L129"/>
      <c r="M129"/>
      <c r="N129"/>
      <c r="O129"/>
      <c r="P129">
        <v>474340</v>
      </c>
      <c r="Q129"/>
      <c r="R129"/>
      <c r="S129">
        <v>11734366</v>
      </c>
      <c r="T129"/>
      <c r="U129"/>
      <c r="V129">
        <v>1959649.2675999999</v>
      </c>
      <c r="W129"/>
      <c r="X129"/>
      <c r="Y129" t="s">
        <v>335</v>
      </c>
      <c r="Z129"/>
      <c r="AA129"/>
    </row>
    <row r="130" spans="1:27" ht="15.75" x14ac:dyDescent="0.25">
      <c r="A130" t="str">
        <f>$B130&amp;$C130&amp;$D130&amp;IF(AND(D130="Brand",Y130="a"),Y130,"")</f>
        <v>201814LY</v>
      </c>
      <c r="B130">
        <v>2018</v>
      </c>
      <c r="C130">
        <v>14</v>
      </c>
      <c r="D130" t="s">
        <v>19</v>
      </c>
      <c r="E130">
        <v>2</v>
      </c>
      <c r="F130">
        <v>22.95</v>
      </c>
      <c r="G130">
        <v>14</v>
      </c>
      <c r="H130">
        <v>3</v>
      </c>
      <c r="I130">
        <v>-4</v>
      </c>
      <c r="J130">
        <v>884950</v>
      </c>
      <c r="K130">
        <v>2703</v>
      </c>
      <c r="L130"/>
      <c r="M130"/>
      <c r="N130"/>
      <c r="O130"/>
      <c r="P130">
        <v>356688</v>
      </c>
      <c r="Q130"/>
      <c r="R130"/>
      <c r="S130">
        <v>9172275.5999999996</v>
      </c>
      <c r="T130"/>
      <c r="U130"/>
      <c r="V130">
        <v>1502866.8104000001</v>
      </c>
      <c r="W130"/>
      <c r="X130"/>
      <c r="Y130" t="s">
        <v>335</v>
      </c>
      <c r="Z130"/>
      <c r="AA130"/>
    </row>
    <row r="131" spans="1:27" ht="15.75" x14ac:dyDescent="0.25">
      <c r="A131" t="str">
        <f>$B131&amp;$C131&amp;$D131&amp;IF(AND(D131="Brand",Y131="a"),Y131,"")</f>
        <v>201815LY</v>
      </c>
      <c r="B131">
        <v>2018</v>
      </c>
      <c r="C131">
        <v>15</v>
      </c>
      <c r="D131" t="s">
        <v>19</v>
      </c>
      <c r="E131">
        <v>-1</v>
      </c>
      <c r="F131">
        <v>54.95</v>
      </c>
      <c r="G131">
        <v>65</v>
      </c>
      <c r="H131">
        <v>10</v>
      </c>
      <c r="I131">
        <v>-3</v>
      </c>
      <c r="J131">
        <v>885040</v>
      </c>
      <c r="K131">
        <v>90</v>
      </c>
      <c r="L131"/>
      <c r="M131"/>
      <c r="N131"/>
      <c r="O131"/>
      <c r="P131"/>
      <c r="Q131"/>
      <c r="R131"/>
      <c r="S131"/>
      <c r="T131"/>
      <c r="U131"/>
      <c r="V131"/>
      <c r="W131"/>
      <c r="X131"/>
      <c r="Y131" t="s">
        <v>335</v>
      </c>
      <c r="Z131"/>
      <c r="AA131"/>
    </row>
    <row r="132" spans="1:27" ht="15.75" x14ac:dyDescent="0.25">
      <c r="A132" t="str">
        <f>$B132&amp;$C132&amp;$D132&amp;IF(AND(D132="Brand",Y132="a"),Y132,"")</f>
        <v>201816LY</v>
      </c>
      <c r="B132">
        <v>2018</v>
      </c>
      <c r="C132">
        <v>16</v>
      </c>
      <c r="D132" t="s">
        <v>19</v>
      </c>
      <c r="E132">
        <v>38411</v>
      </c>
      <c r="F132">
        <v>23.994399999999999</v>
      </c>
      <c r="G132">
        <v>10.266299999999999</v>
      </c>
      <c r="H132">
        <v>3.9895999999999998</v>
      </c>
      <c r="I132">
        <v>378800</v>
      </c>
      <c r="J132">
        <v>408466</v>
      </c>
      <c r="K132">
        <v>9</v>
      </c>
      <c r="L132">
        <v>418124</v>
      </c>
      <c r="M132">
        <v>489743</v>
      </c>
      <c r="N132"/>
      <c r="O132"/>
      <c r="P132">
        <v>10591</v>
      </c>
      <c r="Q132"/>
      <c r="R132"/>
      <c r="S132">
        <v>206524.5</v>
      </c>
      <c r="T132"/>
      <c r="U132"/>
      <c r="V132">
        <v>52414.858999999997</v>
      </c>
      <c r="W132"/>
      <c r="X132"/>
      <c r="Y132" t="s">
        <v>335</v>
      </c>
      <c r="Z132"/>
      <c r="AA132"/>
    </row>
    <row r="133" spans="1:27" ht="15.75" x14ac:dyDescent="0.25">
      <c r="A133" t="str">
        <f>$B133&amp;$C133&amp;$D133&amp;IF(AND(D133="Brand",Y133="a"),Y133,"")</f>
        <v>201817LY</v>
      </c>
      <c r="B133">
        <v>2018</v>
      </c>
      <c r="C133">
        <v>17</v>
      </c>
      <c r="D133" t="s">
        <v>19</v>
      </c>
      <c r="E133">
        <v>51840</v>
      </c>
      <c r="F133">
        <v>24.217199999999998</v>
      </c>
      <c r="G133">
        <v>12.0685</v>
      </c>
      <c r="H133">
        <v>4.0228999999999999</v>
      </c>
      <c r="I133">
        <v>327887</v>
      </c>
      <c r="J133">
        <v>408162</v>
      </c>
      <c r="K133">
        <v>-74</v>
      </c>
      <c r="L133">
        <v>979</v>
      </c>
      <c r="M133">
        <v>5513</v>
      </c>
      <c r="N133"/>
      <c r="O133"/>
      <c r="P133">
        <v>6873</v>
      </c>
      <c r="Q133"/>
      <c r="R133"/>
      <c r="S133">
        <v>134551.35</v>
      </c>
      <c r="T133"/>
      <c r="U133"/>
      <c r="V133">
        <v>33742.641900000002</v>
      </c>
      <c r="W133"/>
      <c r="X133"/>
      <c r="Y133" t="s">
        <v>335</v>
      </c>
      <c r="Z133"/>
      <c r="AA133"/>
    </row>
    <row r="134" spans="1:27" ht="15.75" x14ac:dyDescent="0.25">
      <c r="A134" t="str">
        <f>$B134&amp;$C134&amp;$D134&amp;IF(AND(D134="Brand",Y134="a"),Y134,"")</f>
        <v>201818LY</v>
      </c>
      <c r="B134">
        <v>2018</v>
      </c>
      <c r="C134">
        <v>18</v>
      </c>
      <c r="D134" t="s">
        <v>19</v>
      </c>
      <c r="E134">
        <v>35414</v>
      </c>
      <c r="F134">
        <v>24.376000000000001</v>
      </c>
      <c r="G134">
        <v>14.023199999999999</v>
      </c>
      <c r="H134">
        <v>4.0621999999999998</v>
      </c>
      <c r="I134">
        <v>335885</v>
      </c>
      <c r="J134">
        <v>333682</v>
      </c>
      <c r="K134">
        <v>1</v>
      </c>
      <c r="L134">
        <v>77667</v>
      </c>
      <c r="M134">
        <v>112409</v>
      </c>
      <c r="N134"/>
      <c r="O134"/>
      <c r="P134"/>
      <c r="Q134"/>
      <c r="R134"/>
      <c r="S134"/>
      <c r="T134"/>
      <c r="U134"/>
      <c r="V134"/>
      <c r="W134"/>
      <c r="X134"/>
      <c r="Y134" t="s">
        <v>335</v>
      </c>
      <c r="Z134"/>
      <c r="AA134"/>
    </row>
    <row r="135" spans="1:27" ht="15.75" x14ac:dyDescent="0.25">
      <c r="A135" t="str">
        <f>$B135&amp;$C135&amp;$D135&amp;IF(AND(D135="Brand",Y135="a"),Y135,"")</f>
        <v>201819LY</v>
      </c>
      <c r="B135">
        <v>2018</v>
      </c>
      <c r="C135">
        <v>19</v>
      </c>
      <c r="D135" t="s">
        <v>19</v>
      </c>
      <c r="E135">
        <v>33130</v>
      </c>
      <c r="F135">
        <v>24.650472487171701</v>
      </c>
      <c r="G135">
        <v>14.3985430123754</v>
      </c>
      <c r="H135">
        <v>4.1059216027769301</v>
      </c>
      <c r="I135">
        <v>352782</v>
      </c>
      <c r="J135">
        <v>276369</v>
      </c>
      <c r="K135">
        <v>-211</v>
      </c>
      <c r="L135">
        <v>17211</v>
      </c>
      <c r="M135">
        <v>20891</v>
      </c>
      <c r="N135"/>
      <c r="O135"/>
      <c r="P135"/>
      <c r="Q135"/>
      <c r="R135"/>
      <c r="S135"/>
      <c r="T135"/>
      <c r="U135"/>
      <c r="V135"/>
      <c r="W135"/>
      <c r="X135"/>
      <c r="Y135" t="s">
        <v>335</v>
      </c>
      <c r="Z135"/>
      <c r="AA135"/>
    </row>
    <row r="136" spans="1:27" ht="15.75" x14ac:dyDescent="0.25">
      <c r="A136" t="str">
        <f>$B136&amp;$C136&amp;$D136&amp;IF(AND(D136="Brand",Y136="a"),Y136,"")</f>
        <v>201820LY</v>
      </c>
      <c r="B136">
        <v>2018</v>
      </c>
      <c r="C136">
        <v>20</v>
      </c>
      <c r="D136" t="s">
        <v>19</v>
      </c>
      <c r="E136">
        <v>26989</v>
      </c>
      <c r="F136">
        <v>24.6946533550705</v>
      </c>
      <c r="G136">
        <v>14.721060061506501</v>
      </c>
      <c r="H136">
        <v>4.1400041609544598</v>
      </c>
      <c r="I136">
        <v>344790</v>
      </c>
      <c r="J136">
        <v>240802</v>
      </c>
      <c r="K136">
        <v>-257</v>
      </c>
      <c r="L136">
        <v>10465</v>
      </c>
      <c r="M136">
        <v>10311</v>
      </c>
      <c r="N136"/>
      <c r="O136"/>
      <c r="P136"/>
      <c r="Q136"/>
      <c r="R136"/>
      <c r="S136"/>
      <c r="T136"/>
      <c r="U136"/>
      <c r="V136"/>
      <c r="W136"/>
      <c r="X136"/>
      <c r="Y136" t="s">
        <v>335</v>
      </c>
      <c r="Z136"/>
      <c r="AA136"/>
    </row>
    <row r="137" spans="1:27" ht="15.75" x14ac:dyDescent="0.25">
      <c r="A137" t="str">
        <f>$B137&amp;$C137&amp;$D137&amp;IF(AND(D137="Brand",Y137="a"),Y137,"")</f>
        <v>201821LY</v>
      </c>
      <c r="B137">
        <v>2018</v>
      </c>
      <c r="C137">
        <v>21</v>
      </c>
      <c r="D137" t="s">
        <v>19</v>
      </c>
      <c r="E137">
        <v>26625</v>
      </c>
      <c r="F137">
        <v>24.681786617840299</v>
      </c>
      <c r="G137">
        <v>13.8509829107981</v>
      </c>
      <c r="H137">
        <v>4.1471811830985903</v>
      </c>
      <c r="I137">
        <v>356134</v>
      </c>
      <c r="J137">
        <v>197550</v>
      </c>
      <c r="K137">
        <v>-182</v>
      </c>
      <c r="L137">
        <v>1170</v>
      </c>
      <c r="M137">
        <v>497</v>
      </c>
      <c r="N137"/>
      <c r="O137"/>
      <c r="P137"/>
      <c r="Q137"/>
      <c r="R137"/>
      <c r="S137"/>
      <c r="T137"/>
      <c r="U137"/>
      <c r="V137"/>
      <c r="W137"/>
      <c r="X137"/>
      <c r="Y137" t="s">
        <v>335</v>
      </c>
      <c r="Z137"/>
      <c r="AA137"/>
    </row>
    <row r="138" spans="1:27" ht="15.75" x14ac:dyDescent="0.25">
      <c r="A138" t="str">
        <f>$B138&amp;$C138&amp;$D138&amp;IF(AND(D138="Brand",Y138="a"),Y138,"")</f>
        <v>201822LY</v>
      </c>
      <c r="B138">
        <v>2018</v>
      </c>
      <c r="C138">
        <v>22</v>
      </c>
      <c r="D138" t="s">
        <v>19</v>
      </c>
      <c r="E138">
        <v>29636</v>
      </c>
      <c r="F138">
        <v>24.9731895060062</v>
      </c>
      <c r="G138">
        <v>12.0336067620461</v>
      </c>
      <c r="H138">
        <v>4.2181442434876502</v>
      </c>
      <c r="I138">
        <v>351891</v>
      </c>
      <c r="J138">
        <v>159635</v>
      </c>
      <c r="K138">
        <v>-271</v>
      </c>
      <c r="L138">
        <v>1364</v>
      </c>
      <c r="M138">
        <v>5601</v>
      </c>
      <c r="N138"/>
      <c r="O138"/>
      <c r="P138"/>
      <c r="Q138"/>
      <c r="R138"/>
      <c r="S138"/>
      <c r="T138"/>
      <c r="U138"/>
      <c r="V138"/>
      <c r="W138"/>
      <c r="X138"/>
      <c r="Y138" t="s">
        <v>335</v>
      </c>
      <c r="Z138"/>
      <c r="AA138"/>
    </row>
    <row r="139" spans="1:27" ht="15.75" x14ac:dyDescent="0.25">
      <c r="A139" t="str">
        <f>$B139&amp;$C139&amp;$D139&amp;IF(AND(D139="Brand",Y139="a"),Y139,"")</f>
        <v>20181Brand</v>
      </c>
      <c r="B139">
        <v>2018</v>
      </c>
      <c r="C139">
        <v>1</v>
      </c>
      <c r="D139" t="s">
        <v>10</v>
      </c>
      <c r="E139">
        <v>280891</v>
      </c>
      <c r="F139">
        <v>24.622512</v>
      </c>
      <c r="G139">
        <v>9.3819839999999992</v>
      </c>
      <c r="H139">
        <v>9.3819839999999992</v>
      </c>
      <c r="I139">
        <v>8994301</v>
      </c>
      <c r="J139">
        <v>188322</v>
      </c>
      <c r="K139">
        <v>-5524</v>
      </c>
      <c r="L139">
        <v>29747</v>
      </c>
      <c r="M139">
        <v>34067</v>
      </c>
      <c r="N139">
        <v>0</v>
      </c>
      <c r="O139"/>
      <c r="P139">
        <v>0</v>
      </c>
      <c r="Q139">
        <v>0</v>
      </c>
      <c r="R139"/>
      <c r="S139"/>
      <c r="T139">
        <v>0</v>
      </c>
      <c r="U139"/>
      <c r="V139"/>
      <c r="W139"/>
      <c r="X139"/>
      <c r="Y139" t="s">
        <v>484</v>
      </c>
      <c r="Z139"/>
      <c r="AA139">
        <v>749876</v>
      </c>
    </row>
    <row r="140" spans="1:27" ht="15.75" x14ac:dyDescent="0.25">
      <c r="A140" t="str">
        <f>$B140&amp;$C140&amp;$D140&amp;IF(AND(D140="Brand",Y140="a"),Y140,"")</f>
        <v>20182Brand</v>
      </c>
      <c r="B140">
        <v>2018</v>
      </c>
      <c r="C140">
        <v>2</v>
      </c>
      <c r="D140" t="s">
        <v>10</v>
      </c>
      <c r="E140">
        <v>380516</v>
      </c>
      <c r="F140">
        <v>24.890422999999998</v>
      </c>
      <c r="G140">
        <v>8.2753519999999998</v>
      </c>
      <c r="H140">
        <v>8.2753519999999998</v>
      </c>
      <c r="I140">
        <v>9499818</v>
      </c>
      <c r="J140">
        <v>223729</v>
      </c>
      <c r="K140">
        <v>-2631</v>
      </c>
      <c r="L140">
        <v>41363</v>
      </c>
      <c r="M140">
        <v>41401</v>
      </c>
      <c r="N140">
        <v>0</v>
      </c>
      <c r="O140"/>
      <c r="P140">
        <v>0</v>
      </c>
      <c r="Q140">
        <v>0</v>
      </c>
      <c r="R140"/>
      <c r="S140"/>
      <c r="T140">
        <v>0</v>
      </c>
      <c r="U140"/>
      <c r="V140"/>
      <c r="W140"/>
      <c r="X140"/>
      <c r="Y140" t="s">
        <v>484</v>
      </c>
      <c r="Z140"/>
      <c r="AA140">
        <v>784946</v>
      </c>
    </row>
    <row r="141" spans="1:27" ht="15.75" x14ac:dyDescent="0.25">
      <c r="A141" t="str">
        <f>$B141&amp;$C141&amp;$D141&amp;IF(AND(D141="Brand",Y141="a"),Y141,"")</f>
        <v>20183Brand</v>
      </c>
      <c r="B141">
        <v>2018</v>
      </c>
      <c r="C141">
        <v>3</v>
      </c>
      <c r="D141" t="s">
        <v>10</v>
      </c>
      <c r="E141">
        <v>482585</v>
      </c>
      <c r="F141">
        <v>26.49042</v>
      </c>
      <c r="G141">
        <v>7.5488330000000001</v>
      </c>
      <c r="H141">
        <v>7.5488330000000001</v>
      </c>
      <c r="I141">
        <v>9031271</v>
      </c>
      <c r="J141">
        <v>218652</v>
      </c>
      <c r="K141">
        <v>-20408</v>
      </c>
      <c r="L141">
        <v>8623</v>
      </c>
      <c r="M141">
        <v>8875</v>
      </c>
      <c r="N141">
        <v>0</v>
      </c>
      <c r="O141"/>
      <c r="P141">
        <v>0</v>
      </c>
      <c r="Q141">
        <v>0</v>
      </c>
      <c r="R141"/>
      <c r="S141"/>
      <c r="T141">
        <v>0</v>
      </c>
      <c r="U141"/>
      <c r="V141"/>
      <c r="W141"/>
      <c r="X141"/>
      <c r="Y141" t="s">
        <v>484</v>
      </c>
      <c r="Z141"/>
      <c r="AA141">
        <v>742051</v>
      </c>
    </row>
    <row r="142" spans="1:27" ht="15.75" x14ac:dyDescent="0.25">
      <c r="A142" t="str">
        <f>$B142&amp;$C142&amp;$D142&amp;IF(AND(D142="Brand",Y142="a"),Y142,"")</f>
        <v>20184Brand</v>
      </c>
      <c r="B142">
        <v>2018</v>
      </c>
      <c r="C142">
        <v>4</v>
      </c>
      <c r="D142" t="s">
        <v>10</v>
      </c>
      <c r="E142">
        <v>597288</v>
      </c>
      <c r="F142">
        <v>27.945132999999998</v>
      </c>
      <c r="G142">
        <v>6.2472349999999999</v>
      </c>
      <c r="H142">
        <v>6.2472349999999999</v>
      </c>
      <c r="I142">
        <v>9316588</v>
      </c>
      <c r="J142">
        <v>67439</v>
      </c>
      <c r="K142">
        <v>-82735</v>
      </c>
      <c r="L142">
        <v>127361</v>
      </c>
      <c r="M142">
        <v>155429</v>
      </c>
      <c r="N142">
        <v>0</v>
      </c>
      <c r="O142"/>
      <c r="P142">
        <v>0</v>
      </c>
      <c r="Q142">
        <v>0</v>
      </c>
      <c r="R142"/>
      <c r="S142"/>
      <c r="T142">
        <v>0</v>
      </c>
      <c r="U142"/>
      <c r="V142"/>
      <c r="W142"/>
      <c r="X142"/>
      <c r="Y142" t="s">
        <v>484</v>
      </c>
      <c r="Z142"/>
      <c r="AA142">
        <v>676306</v>
      </c>
    </row>
    <row r="143" spans="1:27" ht="15.75" x14ac:dyDescent="0.25">
      <c r="A143" t="str">
        <f>$B143&amp;$C143&amp;$D143&amp;IF(AND(D143="Brand",Y143="a"),Y143,"")</f>
        <v>20185Brand</v>
      </c>
      <c r="B143">
        <v>2018</v>
      </c>
      <c r="C143">
        <v>5</v>
      </c>
      <c r="D143" t="s">
        <v>10</v>
      </c>
      <c r="E143">
        <v>371910</v>
      </c>
      <c r="F143">
        <v>26.036662</v>
      </c>
      <c r="G143">
        <v>8.4906020000000009</v>
      </c>
      <c r="H143">
        <v>8.4906020000000009</v>
      </c>
      <c r="I143">
        <v>9471527</v>
      </c>
      <c r="J143">
        <v>53069</v>
      </c>
      <c r="K143">
        <v>-1848</v>
      </c>
      <c r="L143">
        <v>10294</v>
      </c>
      <c r="M143">
        <v>14327</v>
      </c>
      <c r="N143">
        <v>0</v>
      </c>
      <c r="O143"/>
      <c r="P143">
        <v>0</v>
      </c>
      <c r="Q143">
        <v>0</v>
      </c>
      <c r="R143"/>
      <c r="S143"/>
      <c r="T143">
        <v>0</v>
      </c>
      <c r="U143"/>
      <c r="V143"/>
      <c r="W143"/>
      <c r="X143"/>
      <c r="Y143" t="s">
        <v>484</v>
      </c>
      <c r="Z143"/>
      <c r="AA143">
        <v>636818</v>
      </c>
    </row>
    <row r="144" spans="1:27" ht="15.75" x14ac:dyDescent="0.25">
      <c r="A144" t="str">
        <f>$B144&amp;$C144&amp;$D144&amp;IF(AND(D144="Brand",Y144="a"),Y144,"")</f>
        <v>20186Brand</v>
      </c>
      <c r="B144">
        <v>2018</v>
      </c>
      <c r="C144">
        <v>6</v>
      </c>
      <c r="D144" t="s">
        <v>10</v>
      </c>
      <c r="E144">
        <v>528543</v>
      </c>
      <c r="F144">
        <v>25.551743999999999</v>
      </c>
      <c r="G144">
        <v>7.3473090000000001</v>
      </c>
      <c r="H144">
        <v>7.3473090000000001</v>
      </c>
      <c r="I144">
        <v>9488286</v>
      </c>
      <c r="J144">
        <v>44132</v>
      </c>
      <c r="K144">
        <v>-1414</v>
      </c>
      <c r="L144">
        <v>8226</v>
      </c>
      <c r="M144">
        <v>8943</v>
      </c>
      <c r="N144">
        <v>0</v>
      </c>
      <c r="O144"/>
      <c r="P144">
        <v>0</v>
      </c>
      <c r="Q144">
        <v>0</v>
      </c>
      <c r="R144"/>
      <c r="S144"/>
      <c r="T144">
        <v>0</v>
      </c>
      <c r="U144"/>
      <c r="V144"/>
      <c r="W144"/>
      <c r="X144"/>
      <c r="Y144" t="s">
        <v>484</v>
      </c>
      <c r="Z144"/>
      <c r="AA144">
        <v>595156</v>
      </c>
    </row>
    <row r="145" spans="1:27" ht="15.75" x14ac:dyDescent="0.25">
      <c r="A145" t="str">
        <f>$B145&amp;$C145&amp;$D145&amp;IF(AND(D145="Brand",Y145="a"),Y145,"")</f>
        <v>20187Brand</v>
      </c>
      <c r="B145">
        <v>2018</v>
      </c>
      <c r="C145">
        <v>7</v>
      </c>
      <c r="D145" t="s">
        <v>10</v>
      </c>
      <c r="E145">
        <v>489403</v>
      </c>
      <c r="F145">
        <v>24.737787999999998</v>
      </c>
      <c r="G145">
        <v>7.4898920000000002</v>
      </c>
      <c r="H145">
        <v>7.4898920000000002</v>
      </c>
      <c r="I145">
        <v>9374598</v>
      </c>
      <c r="J145">
        <v>29688</v>
      </c>
      <c r="K145">
        <v>-1811</v>
      </c>
      <c r="L145">
        <v>5238</v>
      </c>
      <c r="M145">
        <v>14785</v>
      </c>
      <c r="N145">
        <v>0</v>
      </c>
      <c r="O145"/>
      <c r="P145">
        <v>0</v>
      </c>
      <c r="Q145">
        <v>0</v>
      </c>
      <c r="R145"/>
      <c r="S145"/>
      <c r="T145">
        <v>0</v>
      </c>
      <c r="U145"/>
      <c r="V145"/>
      <c r="W145"/>
      <c r="X145"/>
      <c r="Y145" t="s">
        <v>484</v>
      </c>
      <c r="Z145"/>
      <c r="AA145">
        <v>557646</v>
      </c>
    </row>
    <row r="146" spans="1:27" ht="15.75" x14ac:dyDescent="0.25">
      <c r="A146" t="str">
        <f>$B146&amp;$C146&amp;$D146&amp;IF(AND(D146="Brand",Y146="a"),Y146,"")</f>
        <v>20188Brand</v>
      </c>
      <c r="B146">
        <v>2018</v>
      </c>
      <c r="C146">
        <v>8</v>
      </c>
      <c r="D146" t="s">
        <v>10</v>
      </c>
      <c r="E146">
        <v>526487</v>
      </c>
      <c r="F146">
        <v>24.349931000000002</v>
      </c>
      <c r="G146">
        <v>8.2635349999999992</v>
      </c>
      <c r="H146">
        <v>8.2635349999999992</v>
      </c>
      <c r="I146">
        <v>9341149</v>
      </c>
      <c r="J146">
        <v>28114</v>
      </c>
      <c r="K146">
        <v>904</v>
      </c>
      <c r="L146">
        <v>2461</v>
      </c>
      <c r="M146">
        <v>2885</v>
      </c>
      <c r="N146">
        <v>0</v>
      </c>
      <c r="O146"/>
      <c r="P146">
        <v>0</v>
      </c>
      <c r="Q146">
        <v>0</v>
      </c>
      <c r="R146"/>
      <c r="S146"/>
      <c r="T146">
        <v>0</v>
      </c>
      <c r="U146"/>
      <c r="V146"/>
      <c r="W146"/>
      <c r="X146"/>
      <c r="Y146" t="s">
        <v>484</v>
      </c>
      <c r="Z146"/>
      <c r="AA146">
        <v>525393</v>
      </c>
    </row>
    <row r="147" spans="1:27" ht="15.75" x14ac:dyDescent="0.25">
      <c r="A147" t="str">
        <f>$B147&amp;$C147&amp;$D147&amp;IF(AND(D147="Brand",Y147="a"),Y147,"")</f>
        <v>20189Brand</v>
      </c>
      <c r="B147">
        <v>2018</v>
      </c>
      <c r="C147">
        <v>9</v>
      </c>
      <c r="D147" t="s">
        <v>10</v>
      </c>
      <c r="E147">
        <v>328359</v>
      </c>
      <c r="F147">
        <v>24.158142000000002</v>
      </c>
      <c r="G147">
        <v>7.7980219999999996</v>
      </c>
      <c r="H147">
        <v>7.7980219999999996</v>
      </c>
      <c r="I147">
        <v>9096303</v>
      </c>
      <c r="J147">
        <v>26563</v>
      </c>
      <c r="K147">
        <v>1598</v>
      </c>
      <c r="L147">
        <v>1793</v>
      </c>
      <c r="M147">
        <v>1641</v>
      </c>
      <c r="N147">
        <v>0</v>
      </c>
      <c r="O147"/>
      <c r="P147">
        <v>0</v>
      </c>
      <c r="Q147">
        <v>0</v>
      </c>
      <c r="R147"/>
      <c r="S147"/>
      <c r="T147">
        <v>0</v>
      </c>
      <c r="U147"/>
      <c r="V147"/>
      <c r="W147"/>
      <c r="X147"/>
      <c r="Y147" t="s">
        <v>484</v>
      </c>
      <c r="Z147"/>
      <c r="AA147">
        <v>502921</v>
      </c>
    </row>
    <row r="148" spans="1:27" ht="15.75" x14ac:dyDescent="0.25">
      <c r="A148" t="str">
        <f>$B148&amp;$C148&amp;$D148&amp;IF(AND(D148="Brand",Y148="a"),Y148,"")</f>
        <v>201810Brand</v>
      </c>
      <c r="B148">
        <v>2018</v>
      </c>
      <c r="C148">
        <v>10</v>
      </c>
      <c r="D148" t="s">
        <v>10</v>
      </c>
      <c r="E148">
        <v>281975</v>
      </c>
      <c r="F148">
        <v>23.976495</v>
      </c>
      <c r="G148">
        <v>8.9860959999999999</v>
      </c>
      <c r="H148">
        <v>8.9860959999999999</v>
      </c>
      <c r="I148">
        <v>8874897</v>
      </c>
      <c r="J148">
        <v>24030</v>
      </c>
      <c r="K148">
        <v>-31958</v>
      </c>
      <c r="L148">
        <v>1299</v>
      </c>
      <c r="M148">
        <v>3474</v>
      </c>
      <c r="N148">
        <v>0</v>
      </c>
      <c r="O148"/>
      <c r="P148">
        <v>0</v>
      </c>
      <c r="Q148">
        <v>0</v>
      </c>
      <c r="R148"/>
      <c r="S148"/>
      <c r="T148">
        <v>0</v>
      </c>
      <c r="U148"/>
      <c r="V148"/>
      <c r="W148"/>
      <c r="X148"/>
      <c r="Y148" t="s">
        <v>484</v>
      </c>
      <c r="Z148"/>
      <c r="AA148">
        <v>480834</v>
      </c>
    </row>
    <row r="149" spans="1:27" ht="15.75" x14ac:dyDescent="0.25">
      <c r="A149" t="str">
        <f>$B149&amp;$C149&amp;$D149&amp;IF(AND(D149="Brand",Y149="a"),Y149,"")</f>
        <v>201811Brand</v>
      </c>
      <c r="B149">
        <v>2018</v>
      </c>
      <c r="C149">
        <v>11</v>
      </c>
      <c r="D149" t="s">
        <v>10</v>
      </c>
      <c r="E149">
        <v>409243</v>
      </c>
      <c r="F149">
        <v>24.127368000000001</v>
      </c>
      <c r="G149">
        <v>8.7969310000000007</v>
      </c>
      <c r="H149">
        <v>8.7969310000000007</v>
      </c>
      <c r="I149">
        <v>8793750</v>
      </c>
      <c r="J149">
        <v>24030</v>
      </c>
      <c r="K149">
        <v>617</v>
      </c>
      <c r="L149">
        <v>381</v>
      </c>
      <c r="M149">
        <v>1711</v>
      </c>
      <c r="N149">
        <v>0</v>
      </c>
      <c r="O149"/>
      <c r="P149">
        <v>0</v>
      </c>
      <c r="Q149">
        <v>0</v>
      </c>
      <c r="R149"/>
      <c r="S149"/>
      <c r="T149">
        <v>0</v>
      </c>
      <c r="U149"/>
      <c r="V149"/>
      <c r="W149"/>
      <c r="X149"/>
      <c r="Y149" t="s">
        <v>484</v>
      </c>
      <c r="Z149"/>
      <c r="AA149">
        <v>456545</v>
      </c>
    </row>
    <row r="150" spans="1:27" ht="15.75" x14ac:dyDescent="0.25">
      <c r="A150" t="str">
        <f>$B150&amp;$C150&amp;$D150&amp;IF(AND(D150="Brand",Y150="a"),Y150,"")</f>
        <v>201812Brand</v>
      </c>
      <c r="B150">
        <v>2018</v>
      </c>
      <c r="C150">
        <v>12</v>
      </c>
      <c r="D150" t="s">
        <v>10</v>
      </c>
      <c r="E150">
        <v>415559</v>
      </c>
      <c r="F150">
        <v>23.875349</v>
      </c>
      <c r="G150">
        <v>8.9039769999999994</v>
      </c>
      <c r="H150">
        <v>8.9039769999999994</v>
      </c>
      <c r="I150">
        <v>8423747</v>
      </c>
      <c r="J150">
        <v>23461</v>
      </c>
      <c r="K150">
        <v>-8949</v>
      </c>
      <c r="L150">
        <v>496</v>
      </c>
      <c r="M150">
        <v>1809</v>
      </c>
      <c r="N150">
        <v>0</v>
      </c>
      <c r="O150">
        <v>-1516</v>
      </c>
      <c r="P150">
        <v>0</v>
      </c>
      <c r="Q150">
        <v>0</v>
      </c>
      <c r="R150">
        <v>-14912.6</v>
      </c>
      <c r="S150"/>
      <c r="T150">
        <v>0</v>
      </c>
      <c r="U150">
        <v>-3286.02</v>
      </c>
      <c r="V150"/>
      <c r="W150"/>
      <c r="X150"/>
      <c r="Y150" t="s">
        <v>484</v>
      </c>
      <c r="Z150"/>
      <c r="AA150">
        <v>430191</v>
      </c>
    </row>
    <row r="151" spans="1:27" ht="15.75" x14ac:dyDescent="0.25">
      <c r="A151" t="str">
        <f>$B151&amp;$C151&amp;$D151&amp;IF(AND(D151="Brand",Y151="a"),Y151,"")</f>
        <v>201813Brand</v>
      </c>
      <c r="B151">
        <v>2018</v>
      </c>
      <c r="C151">
        <v>13</v>
      </c>
      <c r="D151" t="s">
        <v>10</v>
      </c>
      <c r="E151">
        <v>329462</v>
      </c>
      <c r="F151">
        <v>23.671036000000001</v>
      </c>
      <c r="G151">
        <v>9.7733220000000003</v>
      </c>
      <c r="H151">
        <v>9.7733220000000003</v>
      </c>
      <c r="I151">
        <v>8463072</v>
      </c>
      <c r="J151">
        <v>23304</v>
      </c>
      <c r="K151">
        <v>-62817</v>
      </c>
      <c r="L151">
        <v>102</v>
      </c>
      <c r="M151">
        <v>117</v>
      </c>
      <c r="N151">
        <v>0</v>
      </c>
      <c r="O151">
        <v>-5694</v>
      </c>
      <c r="P151">
        <v>0</v>
      </c>
      <c r="Q151">
        <v>0</v>
      </c>
      <c r="R151">
        <v>-118273.83</v>
      </c>
      <c r="S151"/>
      <c r="T151">
        <v>0</v>
      </c>
      <c r="U151">
        <v>-19896.46</v>
      </c>
      <c r="V151"/>
      <c r="W151"/>
      <c r="X151"/>
      <c r="Y151" t="s">
        <v>484</v>
      </c>
      <c r="Z151"/>
      <c r="AA151">
        <v>408867</v>
      </c>
    </row>
    <row r="152" spans="1:27" ht="15.75" x14ac:dyDescent="0.25">
      <c r="A152" t="str">
        <f>$B152&amp;$C152&amp;$D152&amp;IF(AND(D152="Brand",Y152="a"),Y152,"")</f>
        <v>201814Brand</v>
      </c>
      <c r="B152">
        <v>2018</v>
      </c>
      <c r="C152">
        <v>14</v>
      </c>
      <c r="D152" t="s">
        <v>10</v>
      </c>
      <c r="E152">
        <v>327122</v>
      </c>
      <c r="F152">
        <v>25.091446999999999</v>
      </c>
      <c r="G152">
        <v>9.5129970000000004</v>
      </c>
      <c r="H152">
        <v>9.5129970000000004</v>
      </c>
      <c r="I152">
        <v>8192205</v>
      </c>
      <c r="J152">
        <v>23308</v>
      </c>
      <c r="K152">
        <v>388</v>
      </c>
      <c r="L152">
        <v>257</v>
      </c>
      <c r="M152">
        <v>653</v>
      </c>
      <c r="N152">
        <v>0</v>
      </c>
      <c r="O152">
        <v>552</v>
      </c>
      <c r="P152">
        <v>0</v>
      </c>
      <c r="Q152">
        <v>0</v>
      </c>
      <c r="R152">
        <v>-839.68000000002201</v>
      </c>
      <c r="S152"/>
      <c r="T152">
        <v>0</v>
      </c>
      <c r="U152">
        <v>5503.9500000000198</v>
      </c>
      <c r="V152"/>
      <c r="W152"/>
      <c r="X152"/>
      <c r="Y152" t="s">
        <v>484</v>
      </c>
      <c r="Z152"/>
      <c r="AA152">
        <v>524761</v>
      </c>
    </row>
    <row r="153" spans="1:27" ht="15.75" x14ac:dyDescent="0.25">
      <c r="A153" t="str">
        <f>$B153&amp;$C153&amp;$D153&amp;IF(AND(D153="Brand",Y153="a"),Y153,"")</f>
        <v>201815Brand</v>
      </c>
      <c r="B153">
        <v>2018</v>
      </c>
      <c r="C153">
        <v>15</v>
      </c>
      <c r="D153" t="s">
        <v>10</v>
      </c>
      <c r="E153">
        <v>374438</v>
      </c>
      <c r="F153">
        <v>23.383614999999999</v>
      </c>
      <c r="G153">
        <v>8.7337559999999996</v>
      </c>
      <c r="H153">
        <v>8.7337559999999996</v>
      </c>
      <c r="I153">
        <v>9122332</v>
      </c>
      <c r="J153">
        <v>23308</v>
      </c>
      <c r="K153">
        <v>537455</v>
      </c>
      <c r="L153">
        <v>282</v>
      </c>
      <c r="M153">
        <v>1547</v>
      </c>
      <c r="N153">
        <v>717587</v>
      </c>
      <c r="O153">
        <v>17850</v>
      </c>
      <c r="P153">
        <v>0</v>
      </c>
      <c r="Q153">
        <v>0</v>
      </c>
      <c r="R153">
        <v>381872.63</v>
      </c>
      <c r="S153"/>
      <c r="T153">
        <v>0</v>
      </c>
      <c r="U153">
        <v>92907.819999999905</v>
      </c>
      <c r="V153"/>
      <c r="W153"/>
      <c r="X153"/>
      <c r="Y153" t="s">
        <v>484</v>
      </c>
      <c r="Z153"/>
      <c r="AA153">
        <v>473991</v>
      </c>
    </row>
    <row r="154" spans="1:27" ht="15.75" x14ac:dyDescent="0.25">
      <c r="A154" t="str">
        <f>$B154&amp;$C154&amp;$D154&amp;IF(AND(D154="Brand",Y154="a"),Y154,"")</f>
        <v>201816Brand</v>
      </c>
      <c r="B154">
        <v>2018</v>
      </c>
      <c r="C154">
        <v>16</v>
      </c>
      <c r="D154" t="s">
        <v>10</v>
      </c>
      <c r="E154">
        <v>401145</v>
      </c>
      <c r="F154">
        <v>23.061713000000001</v>
      </c>
      <c r="G154">
        <v>9.2332370000000008</v>
      </c>
      <c r="H154">
        <v>9.2332370000000008</v>
      </c>
      <c r="I154">
        <v>8802387</v>
      </c>
      <c r="J154">
        <v>23298</v>
      </c>
      <c r="K154">
        <v>-120804</v>
      </c>
      <c r="L154">
        <v>87</v>
      </c>
      <c r="M154">
        <v>304</v>
      </c>
      <c r="N154">
        <v>157067</v>
      </c>
      <c r="O154">
        <v>16093</v>
      </c>
      <c r="P154">
        <v>0</v>
      </c>
      <c r="Q154">
        <v>0</v>
      </c>
      <c r="R154">
        <v>395145.94</v>
      </c>
      <c r="S154"/>
      <c r="T154">
        <v>0</v>
      </c>
      <c r="U154">
        <v>83845.809999999896</v>
      </c>
      <c r="V154"/>
      <c r="W154"/>
      <c r="X154"/>
      <c r="Y154" t="s">
        <v>484</v>
      </c>
      <c r="Z154"/>
      <c r="AA154">
        <v>429037</v>
      </c>
    </row>
    <row r="155" spans="1:27" ht="15.75" x14ac:dyDescent="0.25">
      <c r="A155" t="str">
        <f>$B155&amp;$C155&amp;$D155&amp;IF(AND(D155="Brand",Y155="a"),Y155,"")</f>
        <v>201817Brand</v>
      </c>
      <c r="B155">
        <v>2018</v>
      </c>
      <c r="C155">
        <v>17</v>
      </c>
      <c r="D155" t="s">
        <v>10</v>
      </c>
      <c r="E155">
        <v>396004</v>
      </c>
      <c r="F155">
        <v>22.978259999999999</v>
      </c>
      <c r="G155">
        <v>8.5028089999999992</v>
      </c>
      <c r="H155">
        <v>8.5028089999999992</v>
      </c>
      <c r="I155">
        <v>8465230</v>
      </c>
      <c r="J155">
        <v>23298</v>
      </c>
      <c r="K155">
        <v>-2531</v>
      </c>
      <c r="L155">
        <v>250</v>
      </c>
      <c r="M155">
        <v>162</v>
      </c>
      <c r="N155">
        <v>19038</v>
      </c>
      <c r="O155">
        <v>17728</v>
      </c>
      <c r="P155">
        <v>0</v>
      </c>
      <c r="Q155">
        <v>0</v>
      </c>
      <c r="R155">
        <v>489440.36</v>
      </c>
      <c r="S155"/>
      <c r="T155">
        <v>0</v>
      </c>
      <c r="U155">
        <v>107295.16</v>
      </c>
      <c r="V155"/>
      <c r="W155"/>
      <c r="X155"/>
      <c r="Y155" t="s">
        <v>484</v>
      </c>
      <c r="Z155"/>
      <c r="AA155">
        <v>386955</v>
      </c>
    </row>
    <row r="156" spans="1:27" ht="15.75" x14ac:dyDescent="0.25">
      <c r="A156" t="str">
        <f>$B156&amp;$C156&amp;$D156&amp;IF(AND(D156="Brand",Y156="a"),Y156,"")</f>
        <v>201818Brand</v>
      </c>
      <c r="B156">
        <v>2018</v>
      </c>
      <c r="C156">
        <v>18</v>
      </c>
      <c r="D156" t="s">
        <v>10</v>
      </c>
      <c r="E156">
        <v>358916</v>
      </c>
      <c r="F156">
        <v>22.918291</v>
      </c>
      <c r="G156">
        <v>8.5358529999999995</v>
      </c>
      <c r="H156">
        <v>8.5358529999999995</v>
      </c>
      <c r="I156">
        <v>8930940</v>
      </c>
      <c r="J156">
        <v>1987</v>
      </c>
      <c r="K156">
        <v>-122602</v>
      </c>
      <c r="L156">
        <v>339</v>
      </c>
      <c r="M156">
        <v>23359</v>
      </c>
      <c r="N156">
        <v>907601</v>
      </c>
      <c r="O156">
        <v>15396</v>
      </c>
      <c r="P156">
        <v>0</v>
      </c>
      <c r="Q156">
        <v>0</v>
      </c>
      <c r="R156">
        <v>369778.74</v>
      </c>
      <c r="S156"/>
      <c r="T156">
        <v>0</v>
      </c>
      <c r="U156">
        <v>130234.15</v>
      </c>
      <c r="V156"/>
      <c r="W156"/>
      <c r="X156"/>
      <c r="Y156" t="s">
        <v>484</v>
      </c>
      <c r="Z156"/>
      <c r="AA156">
        <v>324302</v>
      </c>
    </row>
    <row r="157" spans="1:27" ht="15.75" x14ac:dyDescent="0.25">
      <c r="A157" t="str">
        <f>$B157&amp;$C157&amp;$D157&amp;IF(AND(D157="Brand",Y157="a"),Y157,"")</f>
        <v>201819Brand</v>
      </c>
      <c r="B157">
        <v>2018</v>
      </c>
      <c r="C157">
        <v>19</v>
      </c>
      <c r="D157" t="s">
        <v>10</v>
      </c>
      <c r="E157">
        <v>446313</v>
      </c>
      <c r="F157">
        <v>23.558897999999999</v>
      </c>
      <c r="G157">
        <v>8.1198289999999993</v>
      </c>
      <c r="H157">
        <v>8.1198289999999993</v>
      </c>
      <c r="I157">
        <v>7890738</v>
      </c>
      <c r="J157">
        <v>0</v>
      </c>
      <c r="K157">
        <v>-699311</v>
      </c>
      <c r="L157">
        <v>0</v>
      </c>
      <c r="M157">
        <v>0</v>
      </c>
      <c r="N157">
        <v>271689</v>
      </c>
      <c r="O157">
        <v>572091</v>
      </c>
      <c r="P157">
        <v>0</v>
      </c>
      <c r="Q157">
        <v>0</v>
      </c>
      <c r="R157">
        <v>10686891.85</v>
      </c>
      <c r="S157"/>
      <c r="T157">
        <v>0</v>
      </c>
      <c r="U157">
        <v>2073505.16</v>
      </c>
      <c r="V157"/>
      <c r="W157"/>
      <c r="X157"/>
      <c r="Y157" t="s">
        <v>484</v>
      </c>
      <c r="Z157"/>
      <c r="AA157">
        <v>473335</v>
      </c>
    </row>
    <row r="158" spans="1:27" ht="15.75" x14ac:dyDescent="0.25">
      <c r="A158" t="str">
        <f>$B158&amp;$C158&amp;$D158&amp;IF(AND(D158="Brand",Y158="a"),Y158,"")</f>
        <v>201820Brand</v>
      </c>
      <c r="B158">
        <v>2018</v>
      </c>
      <c r="C158">
        <v>20</v>
      </c>
      <c r="D158" t="s">
        <v>10</v>
      </c>
      <c r="E158">
        <v>349968</v>
      </c>
      <c r="F158">
        <v>38.453093000000003</v>
      </c>
      <c r="G158">
        <v>8.3672229999999992</v>
      </c>
      <c r="H158">
        <v>8.3672229999999992</v>
      </c>
      <c r="I158">
        <v>4837037</v>
      </c>
      <c r="J158">
        <v>5158304</v>
      </c>
      <c r="K158">
        <v>-913</v>
      </c>
      <c r="L158">
        <v>44084</v>
      </c>
      <c r="M158">
        <v>24029</v>
      </c>
      <c r="N158">
        <v>206866</v>
      </c>
      <c r="O158">
        <v>999159</v>
      </c>
      <c r="P158">
        <v>1395389</v>
      </c>
      <c r="Q158">
        <v>8427696</v>
      </c>
      <c r="R158">
        <v>23702499.690000001</v>
      </c>
      <c r="S158">
        <v>32916503.460000001</v>
      </c>
      <c r="T158">
        <v>716706</v>
      </c>
      <c r="U158">
        <v>4609470.98999999</v>
      </c>
      <c r="V158">
        <v>6595733.2800000003</v>
      </c>
      <c r="W158"/>
      <c r="X158"/>
      <c r="Y158" t="s">
        <v>484</v>
      </c>
      <c r="Z158"/>
      <c r="AA158">
        <v>8778858</v>
      </c>
    </row>
    <row r="159" spans="1:27" ht="15.75" x14ac:dyDescent="0.25">
      <c r="A159" t="str">
        <f>$B159&amp;$C159&amp;$D159&amp;IF(AND(D159="Brand",Y159="a"),Y159,"")</f>
        <v>201821Brand</v>
      </c>
      <c r="B159">
        <v>2018</v>
      </c>
      <c r="C159">
        <v>21</v>
      </c>
      <c r="D159" t="s">
        <v>10</v>
      </c>
      <c r="E159">
        <v>399847</v>
      </c>
      <c r="F159">
        <v>38.438504000000002</v>
      </c>
      <c r="G159">
        <v>7.5035699999999999</v>
      </c>
      <c r="H159">
        <v>7.5035699999999999</v>
      </c>
      <c r="I159">
        <v>4088338</v>
      </c>
      <c r="J159">
        <v>5676689</v>
      </c>
      <c r="K159">
        <v>-961079</v>
      </c>
      <c r="L159">
        <v>16779</v>
      </c>
      <c r="M159">
        <v>191437</v>
      </c>
      <c r="N159">
        <v>541614</v>
      </c>
      <c r="O159">
        <v>1261771</v>
      </c>
      <c r="P159">
        <v>706008</v>
      </c>
      <c r="Q159">
        <v>11002227</v>
      </c>
      <c r="R159">
        <v>33589616.060000002</v>
      </c>
      <c r="S159">
        <v>18944636.449999999</v>
      </c>
      <c r="T159">
        <v>0</v>
      </c>
      <c r="U159">
        <v>7455404.1299999999</v>
      </c>
      <c r="V159">
        <v>4351324.96</v>
      </c>
      <c r="W159"/>
      <c r="X159"/>
      <c r="Y159" t="s">
        <v>484</v>
      </c>
      <c r="Z159"/>
      <c r="AA159">
        <v>9406587</v>
      </c>
    </row>
    <row r="160" spans="1:27" ht="15.75" x14ac:dyDescent="0.25">
      <c r="A160" t="str">
        <f>$B160&amp;$C160&amp;$D160&amp;IF(AND(D160="Brand",Y160="a"),Y160,"")</f>
        <v>201822Brand</v>
      </c>
      <c r="B160">
        <v>2018</v>
      </c>
      <c r="C160">
        <v>22</v>
      </c>
      <c r="D160" t="s">
        <v>10</v>
      </c>
      <c r="E160">
        <v>469767</v>
      </c>
      <c r="F160">
        <v>36.942599000000001</v>
      </c>
      <c r="G160">
        <v>6.2995369999999999</v>
      </c>
      <c r="H160">
        <v>6.2995369999999999</v>
      </c>
      <c r="I160">
        <v>3886955</v>
      </c>
      <c r="J160">
        <v>5752624</v>
      </c>
      <c r="K160">
        <v>-9078</v>
      </c>
      <c r="L160">
        <v>44074</v>
      </c>
      <c r="M160">
        <v>78387</v>
      </c>
      <c r="N160">
        <v>138539</v>
      </c>
      <c r="O160">
        <v>346193</v>
      </c>
      <c r="P160">
        <v>286910</v>
      </c>
      <c r="Q160">
        <v>3106120</v>
      </c>
      <c r="R160">
        <v>7561074.7699999996</v>
      </c>
      <c r="S160">
        <v>7619633.8799999999</v>
      </c>
      <c r="T160">
        <v>0</v>
      </c>
      <c r="U160">
        <v>1716830.38</v>
      </c>
      <c r="V160">
        <v>1696196.55</v>
      </c>
      <c r="W160"/>
      <c r="X160"/>
      <c r="Y160" t="s">
        <v>484</v>
      </c>
      <c r="Z160"/>
      <c r="AA160">
        <v>9307213</v>
      </c>
    </row>
    <row r="161" spans="1:27" ht="15.75" x14ac:dyDescent="0.25">
      <c r="A161" t="str">
        <f>$B161&amp;$C161&amp;$D161&amp;IF(AND(D161="Brand",Y161="a"),Y161,"")</f>
        <v>201823Brand</v>
      </c>
      <c r="B161">
        <v>2018</v>
      </c>
      <c r="C161">
        <v>23</v>
      </c>
      <c r="D161" t="s">
        <v>10</v>
      </c>
      <c r="E161">
        <v>363764</v>
      </c>
      <c r="F161">
        <v>23.230554000000001</v>
      </c>
      <c r="G161">
        <v>7.9287010000000002</v>
      </c>
      <c r="H161">
        <v>7.9287010000000002</v>
      </c>
      <c r="I161">
        <v>1388779</v>
      </c>
      <c r="J161">
        <v>0</v>
      </c>
      <c r="K161">
        <v>-8066</v>
      </c>
      <c r="L161">
        <v>0</v>
      </c>
      <c r="M161">
        <v>405000</v>
      </c>
      <c r="N161">
        <v>49189</v>
      </c>
      <c r="O161">
        <v>283664</v>
      </c>
      <c r="P161">
        <v>0</v>
      </c>
      <c r="Q161">
        <v>1146677</v>
      </c>
      <c r="R161">
        <v>7762893.6499999901</v>
      </c>
      <c r="S161"/>
      <c r="T161">
        <v>0</v>
      </c>
      <c r="U161">
        <v>1820610.69</v>
      </c>
      <c r="V161"/>
      <c r="W161"/>
      <c r="X161"/>
      <c r="Y161" t="s">
        <v>484</v>
      </c>
      <c r="Z161"/>
      <c r="AA161">
        <v>9960724</v>
      </c>
    </row>
    <row r="162" spans="1:27" ht="15.75" x14ac:dyDescent="0.25">
      <c r="A162" t="str">
        <f>$B162&amp;$C162&amp;$D162&amp;IF(AND(D162="Brand",Y162="a"),Y162,"")</f>
        <v>201824Brand</v>
      </c>
      <c r="B162">
        <v>2018</v>
      </c>
      <c r="C162">
        <v>24</v>
      </c>
      <c r="D162" t="s">
        <v>10</v>
      </c>
      <c r="E162">
        <v>421986</v>
      </c>
      <c r="F162">
        <v>23.139237999999999</v>
      </c>
      <c r="G162">
        <v>8.1022639999999999</v>
      </c>
      <c r="H162">
        <v>8.1022639999999999</v>
      </c>
      <c r="I162">
        <v>1584336</v>
      </c>
      <c r="J162">
        <v>0</v>
      </c>
      <c r="K162">
        <v>-138641</v>
      </c>
      <c r="L162">
        <v>0</v>
      </c>
      <c r="M162">
        <v>74500</v>
      </c>
      <c r="N162">
        <v>230548</v>
      </c>
      <c r="O162">
        <v>1122206</v>
      </c>
      <c r="P162">
        <v>0</v>
      </c>
      <c r="Q162">
        <v>6389204</v>
      </c>
      <c r="R162">
        <v>30023333.129999898</v>
      </c>
      <c r="S162"/>
      <c r="T162">
        <v>0</v>
      </c>
      <c r="U162">
        <v>6267945.0699999901</v>
      </c>
      <c r="V162"/>
      <c r="W162"/>
      <c r="X162"/>
      <c r="Y162" t="s">
        <v>484</v>
      </c>
      <c r="Z162"/>
      <c r="AA162">
        <v>16837006</v>
      </c>
    </row>
    <row r="163" spans="1:27" ht="15.75" x14ac:dyDescent="0.25">
      <c r="A163" t="str">
        <f>$B163&amp;$C163&amp;$D163&amp;IF(AND(D163="Brand",Y163="a"),Y163,"")</f>
        <v>201825Brand</v>
      </c>
      <c r="B163">
        <v>2018</v>
      </c>
      <c r="C163">
        <v>25</v>
      </c>
      <c r="D163" t="s">
        <v>10</v>
      </c>
      <c r="E163">
        <v>518479</v>
      </c>
      <c r="F163">
        <v>22.959924999999998</v>
      </c>
      <c r="G163">
        <v>9.1060099999999995</v>
      </c>
      <c r="H163">
        <v>9.1060099999999995</v>
      </c>
      <c r="I163">
        <v>1557011</v>
      </c>
      <c r="J163">
        <v>0</v>
      </c>
      <c r="K163">
        <v>-3186</v>
      </c>
      <c r="L163">
        <v>0</v>
      </c>
      <c r="M163">
        <v>26000</v>
      </c>
      <c r="N163">
        <v>0</v>
      </c>
      <c r="O163">
        <v>85959</v>
      </c>
      <c r="P163">
        <v>0</v>
      </c>
      <c r="Q163">
        <v>1289371</v>
      </c>
      <c r="R163">
        <v>2165306.2200000002</v>
      </c>
      <c r="S163"/>
      <c r="T163">
        <v>0</v>
      </c>
      <c r="U163">
        <v>455252.179999999</v>
      </c>
      <c r="V163"/>
      <c r="W163"/>
      <c r="X163"/>
      <c r="Y163" t="s">
        <v>484</v>
      </c>
      <c r="Z163"/>
      <c r="AA163">
        <v>17664671</v>
      </c>
    </row>
    <row r="164" spans="1:27" ht="15.75" x14ac:dyDescent="0.25">
      <c r="A164" t="str">
        <f>$B164&amp;$C164&amp;$D164&amp;IF(AND(D164="Brand",Y164="a"),Y164,"")</f>
        <v>201826Brand</v>
      </c>
      <c r="B164">
        <v>2018</v>
      </c>
      <c r="C164">
        <v>26</v>
      </c>
      <c r="D164" t="s">
        <v>10</v>
      </c>
      <c r="E164">
        <v>486319</v>
      </c>
      <c r="F164">
        <v>23.022879</v>
      </c>
      <c r="G164">
        <v>10.035629</v>
      </c>
      <c r="H164">
        <v>10.035629</v>
      </c>
      <c r="I164">
        <v>1090791</v>
      </c>
      <c r="J164">
        <v>-1</v>
      </c>
      <c r="K164">
        <v>-434869</v>
      </c>
      <c r="L164">
        <v>0</v>
      </c>
      <c r="M164">
        <v>1208000</v>
      </c>
      <c r="N164">
        <v>302458</v>
      </c>
      <c r="O164">
        <v>31288</v>
      </c>
      <c r="P164">
        <v>0</v>
      </c>
      <c r="Q164">
        <v>10161675</v>
      </c>
      <c r="R164">
        <v>944117.05</v>
      </c>
      <c r="S164"/>
      <c r="T164">
        <v>1521449</v>
      </c>
      <c r="U164">
        <v>170306.71</v>
      </c>
      <c r="V164"/>
      <c r="W164"/>
      <c r="X164"/>
      <c r="Y164" t="s">
        <v>484</v>
      </c>
      <c r="Z164"/>
      <c r="AA164">
        <v>25728446</v>
      </c>
    </row>
    <row r="165" spans="1:27" ht="15.75" x14ac:dyDescent="0.25">
      <c r="A165" t="str">
        <f>$B165&amp;$C165&amp;$D165&amp;IF(AND(D165="Brand",Y165="a"),Y165,"")</f>
        <v>201827Brand</v>
      </c>
      <c r="B165">
        <v>2018</v>
      </c>
      <c r="C165">
        <v>27</v>
      </c>
      <c r="D165" t="s">
        <v>10</v>
      </c>
      <c r="E165">
        <v>147163</v>
      </c>
      <c r="F165">
        <v>9.0305599999999995</v>
      </c>
      <c r="G165">
        <v>24.856798000000001</v>
      </c>
      <c r="H165">
        <v>24.856798000000001</v>
      </c>
      <c r="I165">
        <v>1332493</v>
      </c>
      <c r="J165">
        <v>-1</v>
      </c>
      <c r="K165">
        <v>-39637</v>
      </c>
      <c r="L165">
        <v>0</v>
      </c>
      <c r="M165">
        <v>20000</v>
      </c>
      <c r="N165">
        <v>-123374</v>
      </c>
      <c r="O165">
        <v>1334443</v>
      </c>
      <c r="P165">
        <v>0</v>
      </c>
      <c r="Q165">
        <v>558920</v>
      </c>
      <c r="R165">
        <v>36794700</v>
      </c>
      <c r="S165"/>
      <c r="T165">
        <v>-2282173</v>
      </c>
      <c r="U165">
        <v>7620847.0099999998</v>
      </c>
      <c r="V165"/>
      <c r="W165"/>
      <c r="X165"/>
      <c r="Y165" t="s">
        <v>484</v>
      </c>
      <c r="Z165"/>
      <c r="AA165">
        <v>27415009</v>
      </c>
    </row>
    <row r="166" spans="1:27" ht="15.75" x14ac:dyDescent="0.25">
      <c r="A166" t="str">
        <f>$B166&amp;$C166&amp;$D166&amp;IF(AND(D166="Brand",Y166="a"),Y166,"")</f>
        <v>201828Brand</v>
      </c>
      <c r="B166">
        <v>2018</v>
      </c>
      <c r="C166">
        <v>28</v>
      </c>
      <c r="D166" t="s">
        <v>10</v>
      </c>
      <c r="E166">
        <v>101040</v>
      </c>
      <c r="F166">
        <v>4.5376810000000001</v>
      </c>
      <c r="G166">
        <v>31.245253999999999</v>
      </c>
      <c r="H166">
        <v>31.245253999999999</v>
      </c>
      <c r="I166">
        <v>1302293</v>
      </c>
      <c r="J166">
        <v>-1</v>
      </c>
      <c r="K166">
        <v>-2575</v>
      </c>
      <c r="L166">
        <v>0</v>
      </c>
      <c r="M166">
        <v>19000</v>
      </c>
      <c r="N166">
        <v>21462</v>
      </c>
      <c r="O166">
        <v>55216</v>
      </c>
      <c r="P166">
        <v>0</v>
      </c>
      <c r="Q166">
        <v>834107</v>
      </c>
      <c r="R166">
        <v>1778914.14</v>
      </c>
      <c r="S166"/>
      <c r="T166">
        <v>0</v>
      </c>
      <c r="U166">
        <v>402468.82</v>
      </c>
      <c r="V166"/>
      <c r="W166"/>
      <c r="X166"/>
      <c r="Y166" t="s">
        <v>484</v>
      </c>
      <c r="Z166"/>
      <c r="AA166">
        <v>28181717</v>
      </c>
    </row>
    <row r="167" spans="1:27" ht="15.75" x14ac:dyDescent="0.25">
      <c r="A167" t="str">
        <f>$B167&amp;$C167&amp;$D167&amp;IF(AND(D167="Brand",Y167="a"),Y167,"")</f>
        <v>201829Brand</v>
      </c>
      <c r="B167">
        <v>2018</v>
      </c>
      <c r="C167">
        <v>29</v>
      </c>
      <c r="D167" t="s">
        <v>10</v>
      </c>
      <c r="E167">
        <v>-129297</v>
      </c>
      <c r="F167">
        <v>34.134999999999998</v>
      </c>
      <c r="G167">
        <v>-4.8580389999999998</v>
      </c>
      <c r="H167">
        <v>-4.8580389999999998</v>
      </c>
      <c r="I167">
        <v>1267334</v>
      </c>
      <c r="J167">
        <v>-1</v>
      </c>
      <c r="K167">
        <v>-1482</v>
      </c>
      <c r="L167">
        <v>0</v>
      </c>
      <c r="M167">
        <v>23000</v>
      </c>
      <c r="N167">
        <v>12347</v>
      </c>
      <c r="O167">
        <v>29561</v>
      </c>
      <c r="P167">
        <v>0</v>
      </c>
      <c r="Q167">
        <v>1543815</v>
      </c>
      <c r="R167">
        <v>1084029.5</v>
      </c>
      <c r="S167"/>
      <c r="T167">
        <v>0</v>
      </c>
      <c r="U167">
        <v>314260.81</v>
      </c>
      <c r="V167"/>
      <c r="W167"/>
      <c r="X167"/>
      <c r="Y167" t="s">
        <v>484</v>
      </c>
      <c r="Z167"/>
      <c r="AA167">
        <v>29859908</v>
      </c>
    </row>
    <row r="168" spans="1:27" ht="15.75" x14ac:dyDescent="0.25">
      <c r="A168" t="str">
        <f>$B168&amp;$C168&amp;$D168&amp;IF(AND(D168="Brand",Y168="a"),Y168,"")</f>
        <v>201830Brand</v>
      </c>
      <c r="B168">
        <v>2018</v>
      </c>
      <c r="C168">
        <v>30</v>
      </c>
      <c r="D168" t="s">
        <v>10</v>
      </c>
      <c r="E168">
        <v>-120219</v>
      </c>
      <c r="F168">
        <v>35.048426999999997</v>
      </c>
      <c r="G168">
        <v>-5.8642700000000003</v>
      </c>
      <c r="H168">
        <v>-5.8642700000000003</v>
      </c>
      <c r="I168">
        <v>1235669</v>
      </c>
      <c r="J168">
        <v>0</v>
      </c>
      <c r="K168">
        <v>-3843</v>
      </c>
      <c r="L168">
        <v>0</v>
      </c>
      <c r="M168">
        <v>17000</v>
      </c>
      <c r="N168">
        <v>32029</v>
      </c>
      <c r="O168">
        <v>42010</v>
      </c>
      <c r="P168">
        <v>0</v>
      </c>
      <c r="Q168">
        <v>0</v>
      </c>
      <c r="R168">
        <v>2082789</v>
      </c>
      <c r="S168"/>
      <c r="T168">
        <v>0</v>
      </c>
      <c r="U168">
        <v>447904.04</v>
      </c>
      <c r="V168"/>
      <c r="W168"/>
      <c r="X168"/>
      <c r="Y168" t="s">
        <v>484</v>
      </c>
      <c r="Z168"/>
      <c r="AA168">
        <v>30001294</v>
      </c>
    </row>
    <row r="169" spans="1:27" ht="15.75" x14ac:dyDescent="0.25">
      <c r="A169" t="str">
        <f>$B169&amp;$C169&amp;$D169&amp;IF(AND(D169="Brand",Y169="a"),Y169,"")</f>
        <v>201831Brand</v>
      </c>
      <c r="B169">
        <v>2018</v>
      </c>
      <c r="C169">
        <v>31</v>
      </c>
      <c r="D169" t="s">
        <v>10</v>
      </c>
      <c r="E169">
        <v>-193394</v>
      </c>
      <c r="F169">
        <v>32.549883999999999</v>
      </c>
      <c r="G169">
        <v>0.57586999999999999</v>
      </c>
      <c r="H169">
        <v>0.57586999999999999</v>
      </c>
      <c r="I169">
        <v>1177112</v>
      </c>
      <c r="J169">
        <v>0</v>
      </c>
      <c r="K169">
        <v>0</v>
      </c>
      <c r="L169">
        <v>0</v>
      </c>
      <c r="M169">
        <v>11000</v>
      </c>
      <c r="N169">
        <v>0</v>
      </c>
      <c r="O169"/>
      <c r="P169">
        <v>0</v>
      </c>
      <c r="Q169">
        <v>0</v>
      </c>
      <c r="R169"/>
      <c r="S169"/>
      <c r="T169">
        <v>0</v>
      </c>
      <c r="U169"/>
      <c r="V169"/>
      <c r="W169"/>
      <c r="X169"/>
      <c r="Y169" t="s">
        <v>484</v>
      </c>
      <c r="Z169"/>
      <c r="AA169">
        <v>30183688</v>
      </c>
    </row>
    <row r="170" spans="1:27" ht="15.75" x14ac:dyDescent="0.25">
      <c r="A170" t="str">
        <f>$B170&amp;$C170&amp;$D170&amp;IF(AND(D170="Brand",Y170="a"),Y170,"")</f>
        <v>201832Brand</v>
      </c>
      <c r="B170">
        <v>2018</v>
      </c>
      <c r="C170">
        <v>32</v>
      </c>
      <c r="D170" t="s">
        <v>10</v>
      </c>
      <c r="E170">
        <v>-217342</v>
      </c>
      <c r="F170">
        <v>30.617276</v>
      </c>
      <c r="G170">
        <v>0.47640399999999999</v>
      </c>
      <c r="H170">
        <v>0.47640399999999999</v>
      </c>
      <c r="I170">
        <v>1134502</v>
      </c>
      <c r="J170">
        <v>0</v>
      </c>
      <c r="K170">
        <v>0</v>
      </c>
      <c r="L170">
        <v>0</v>
      </c>
      <c r="M170">
        <v>18000</v>
      </c>
      <c r="N170">
        <v>0</v>
      </c>
      <c r="O170"/>
      <c r="P170">
        <v>0</v>
      </c>
      <c r="Q170">
        <v>0</v>
      </c>
      <c r="R170"/>
      <c r="S170"/>
      <c r="T170">
        <v>0</v>
      </c>
      <c r="U170"/>
      <c r="V170"/>
      <c r="W170"/>
      <c r="X170"/>
      <c r="Y170" t="s">
        <v>484</v>
      </c>
      <c r="Z170"/>
      <c r="AA170">
        <v>30383030</v>
      </c>
    </row>
    <row r="171" spans="1:27" ht="15.75" x14ac:dyDescent="0.25">
      <c r="A171" t="str">
        <f>$B171&amp;$C171&amp;$D171&amp;IF(AND(D171="Brand",Y171="a"),Y171,"")</f>
        <v>201833Brand</v>
      </c>
      <c r="B171">
        <v>2018</v>
      </c>
      <c r="C171">
        <v>33</v>
      </c>
      <c r="D171" t="s">
        <v>10</v>
      </c>
      <c r="E171">
        <v>-238859</v>
      </c>
      <c r="F171">
        <v>30.044971</v>
      </c>
      <c r="G171">
        <v>1.528146</v>
      </c>
      <c r="H171">
        <v>1.528146</v>
      </c>
      <c r="I171">
        <v>1161762</v>
      </c>
      <c r="J171">
        <v>0</v>
      </c>
      <c r="K171">
        <v>-9107</v>
      </c>
      <c r="L171">
        <v>0</v>
      </c>
      <c r="M171">
        <v>12000</v>
      </c>
      <c r="N171">
        <v>75895</v>
      </c>
      <c r="O171">
        <v>75895</v>
      </c>
      <c r="P171">
        <v>0</v>
      </c>
      <c r="Q171">
        <v>2011218</v>
      </c>
      <c r="R171">
        <v>2011217.5</v>
      </c>
      <c r="S171"/>
      <c r="T171">
        <v>0</v>
      </c>
      <c r="U171">
        <v>253108.08</v>
      </c>
      <c r="V171"/>
      <c r="W171"/>
      <c r="X171"/>
      <c r="Y171" t="s">
        <v>484</v>
      </c>
      <c r="Z171"/>
      <c r="AA171">
        <v>32687895</v>
      </c>
    </row>
    <row r="172" spans="1:27" ht="15.75" x14ac:dyDescent="0.25">
      <c r="A172" t="str">
        <f>$B172&amp;$C172&amp;$D172&amp;IF(AND(D172="Brand",Y172="a"),Y172,"")</f>
        <v>201834Brand</v>
      </c>
      <c r="B172">
        <v>2018</v>
      </c>
      <c r="C172">
        <v>34</v>
      </c>
      <c r="D172" t="s">
        <v>10</v>
      </c>
      <c r="E172">
        <v>-265010</v>
      </c>
      <c r="F172">
        <v>28.650296999999998</v>
      </c>
      <c r="G172">
        <v>1.9496450000000001</v>
      </c>
      <c r="H172">
        <v>1.9496450000000001</v>
      </c>
      <c r="I172">
        <v>1119506</v>
      </c>
      <c r="J172">
        <v>-1</v>
      </c>
      <c r="K172">
        <v>0</v>
      </c>
      <c r="L172">
        <v>0</v>
      </c>
      <c r="M172">
        <v>12000</v>
      </c>
      <c r="N172">
        <v>0</v>
      </c>
      <c r="O172">
        <v>7200</v>
      </c>
      <c r="P172">
        <v>0</v>
      </c>
      <c r="Q172">
        <v>0</v>
      </c>
      <c r="R172">
        <v>262800</v>
      </c>
      <c r="S172"/>
      <c r="T172">
        <v>0</v>
      </c>
      <c r="U172">
        <v>68644.800000000003</v>
      </c>
      <c r="V172"/>
      <c r="W172"/>
      <c r="X172"/>
      <c r="Y172" t="s">
        <v>484</v>
      </c>
      <c r="Z172"/>
      <c r="AA172">
        <v>32948105</v>
      </c>
    </row>
    <row r="173" spans="1:27" ht="15.75" x14ac:dyDescent="0.25">
      <c r="A173" t="str">
        <f>$B173&amp;$C173&amp;$D173&amp;IF(AND(D173="Brand",Y173="a"),Y173,"")</f>
        <v>201835Brand</v>
      </c>
      <c r="B173">
        <v>2018</v>
      </c>
      <c r="C173">
        <v>35</v>
      </c>
      <c r="D173" t="s">
        <v>10</v>
      </c>
      <c r="E173">
        <v>-309664</v>
      </c>
      <c r="F173">
        <v>27.142845000000001</v>
      </c>
      <c r="G173">
        <v>2.8858229999999998</v>
      </c>
      <c r="H173">
        <v>2.8858229999999998</v>
      </c>
      <c r="I173">
        <v>1071072</v>
      </c>
      <c r="J173">
        <v>-1</v>
      </c>
      <c r="K173">
        <v>0</v>
      </c>
      <c r="L173">
        <v>0</v>
      </c>
      <c r="M173">
        <v>12000</v>
      </c>
      <c r="N173">
        <v>0</v>
      </c>
      <c r="O173">
        <v>7434</v>
      </c>
      <c r="P173">
        <v>0</v>
      </c>
      <c r="Q173">
        <v>0</v>
      </c>
      <c r="R173">
        <v>330813</v>
      </c>
      <c r="S173"/>
      <c r="T173">
        <v>0</v>
      </c>
      <c r="U173">
        <v>87032.81</v>
      </c>
      <c r="V173"/>
      <c r="W173"/>
      <c r="X173"/>
      <c r="Y173" t="s">
        <v>484</v>
      </c>
      <c r="Z173"/>
      <c r="AA173">
        <v>33253203</v>
      </c>
    </row>
    <row r="174" spans="1:27" ht="15.75" x14ac:dyDescent="0.25">
      <c r="A174" t="str">
        <f>$B174&amp;$C174&amp;$D174&amp;IF(AND(D174="Brand",Y174="a"),Y174,"")</f>
        <v>201836Brand</v>
      </c>
      <c r="B174">
        <v>2018</v>
      </c>
      <c r="C174">
        <v>36</v>
      </c>
      <c r="D174" t="s">
        <v>10</v>
      </c>
      <c r="E174">
        <v>-339704</v>
      </c>
      <c r="F174">
        <v>25.945855000000002</v>
      </c>
      <c r="G174">
        <v>3.9104999999999999</v>
      </c>
      <c r="H174">
        <v>3.9104999999999999</v>
      </c>
      <c r="I174">
        <v>1009683</v>
      </c>
      <c r="J174">
        <v>-1</v>
      </c>
      <c r="K174">
        <v>0</v>
      </c>
      <c r="L174">
        <v>0</v>
      </c>
      <c r="M174">
        <v>11000</v>
      </c>
      <c r="N174">
        <v>0</v>
      </c>
      <c r="O174">
        <v>129642</v>
      </c>
      <c r="P174">
        <v>0</v>
      </c>
      <c r="Q174">
        <v>0</v>
      </c>
      <c r="R174">
        <v>5096474</v>
      </c>
      <c r="S174"/>
      <c r="T174">
        <v>0</v>
      </c>
      <c r="U174">
        <v>1192916.55</v>
      </c>
      <c r="V174"/>
      <c r="W174"/>
      <c r="X174"/>
      <c r="Y174" t="s">
        <v>484</v>
      </c>
      <c r="Z174"/>
      <c r="AA174">
        <v>33711549</v>
      </c>
    </row>
    <row r="175" spans="1:27" ht="15.75" x14ac:dyDescent="0.25">
      <c r="A175" t="str">
        <f>$B175&amp;$C175&amp;$D175&amp;IF(AND(D175="Brand",Y175="a"),Y175,"")</f>
        <v>201837Brand</v>
      </c>
      <c r="B175">
        <v>2018</v>
      </c>
      <c r="C175">
        <v>37</v>
      </c>
      <c r="D175" t="s">
        <v>10</v>
      </c>
      <c r="E175">
        <v>-349508</v>
      </c>
      <c r="F175">
        <v>24.625053000000001</v>
      </c>
      <c r="G175">
        <v>4.4803879999999996</v>
      </c>
      <c r="H175">
        <v>4.4803879999999996</v>
      </c>
      <c r="I175">
        <v>924203</v>
      </c>
      <c r="J175">
        <v>-1</v>
      </c>
      <c r="K175">
        <v>0</v>
      </c>
      <c r="L175">
        <v>0</v>
      </c>
      <c r="M175">
        <v>11000</v>
      </c>
      <c r="N175">
        <v>0</v>
      </c>
      <c r="O175"/>
      <c r="P175">
        <v>0</v>
      </c>
      <c r="Q175">
        <v>0</v>
      </c>
      <c r="R175"/>
      <c r="S175"/>
      <c r="T175">
        <v>0</v>
      </c>
      <c r="U175"/>
      <c r="V175"/>
      <c r="W175"/>
      <c r="X175"/>
      <c r="Y175" t="s">
        <v>484</v>
      </c>
      <c r="Z175"/>
      <c r="AA175">
        <v>34050057</v>
      </c>
    </row>
    <row r="176" spans="1:27" ht="15.75" x14ac:dyDescent="0.25">
      <c r="A176" t="str">
        <f>$B176&amp;$C176&amp;$D176&amp;IF(AND(D176="Brand",Y176="a"),Y176,"")</f>
        <v>201838Brand</v>
      </c>
      <c r="B176">
        <v>2018</v>
      </c>
      <c r="C176">
        <v>38</v>
      </c>
      <c r="D176" t="s">
        <v>10</v>
      </c>
      <c r="E176">
        <v>-386399</v>
      </c>
      <c r="F176">
        <v>25.382952</v>
      </c>
      <c r="G176">
        <v>4.6586530000000002</v>
      </c>
      <c r="H176">
        <v>4.6586530000000002</v>
      </c>
      <c r="I176">
        <v>847510</v>
      </c>
      <c r="J176">
        <v>-1</v>
      </c>
      <c r="K176">
        <v>0</v>
      </c>
      <c r="L176">
        <v>0</v>
      </c>
      <c r="M176">
        <v>11000</v>
      </c>
      <c r="N176">
        <v>0</v>
      </c>
      <c r="O176"/>
      <c r="P176">
        <v>0</v>
      </c>
      <c r="Q176">
        <v>0</v>
      </c>
      <c r="R176"/>
      <c r="S176"/>
      <c r="T176">
        <v>0</v>
      </c>
      <c r="U176"/>
      <c r="V176"/>
      <c r="W176"/>
      <c r="X176"/>
      <c r="Y176" t="s">
        <v>484</v>
      </c>
      <c r="Z176"/>
      <c r="AA176">
        <v>34425456</v>
      </c>
    </row>
    <row r="177" spans="1:27" ht="15.75" x14ac:dyDescent="0.25">
      <c r="A177" t="str">
        <f>$B177&amp;$C177&amp;$D177&amp;IF(AND(D177="Brand",Y177="a"),Y177,"")</f>
        <v>201839Brand</v>
      </c>
      <c r="B177">
        <v>2018</v>
      </c>
      <c r="C177">
        <v>39</v>
      </c>
      <c r="D177" t="s">
        <v>10</v>
      </c>
      <c r="E177">
        <v>-424872</v>
      </c>
      <c r="F177">
        <v>25.145657</v>
      </c>
      <c r="G177">
        <v>5.1109059999999999</v>
      </c>
      <c r="H177">
        <v>5.1109059999999999</v>
      </c>
      <c r="I177">
        <v>744391</v>
      </c>
      <c r="J177">
        <v>-1</v>
      </c>
      <c r="K177">
        <v>0</v>
      </c>
      <c r="L177">
        <v>0</v>
      </c>
      <c r="M177">
        <v>336000</v>
      </c>
      <c r="N177">
        <v>0</v>
      </c>
      <c r="O177"/>
      <c r="P177">
        <v>0</v>
      </c>
      <c r="Q177">
        <v>0</v>
      </c>
      <c r="R177"/>
      <c r="S177"/>
      <c r="T177">
        <v>0</v>
      </c>
      <c r="U177"/>
      <c r="V177"/>
      <c r="W177"/>
      <c r="X177"/>
      <c r="Y177" t="s">
        <v>484</v>
      </c>
      <c r="Z177"/>
      <c r="AA177">
        <v>34514328</v>
      </c>
    </row>
    <row r="178" spans="1:27" ht="15.75" x14ac:dyDescent="0.25">
      <c r="A178" t="str">
        <f>$B178&amp;$C178&amp;$D178&amp;IF(AND(D178="Brand",Y178="a"),Y178,"")</f>
        <v>201840Brand</v>
      </c>
      <c r="B178">
        <v>2018</v>
      </c>
      <c r="C178">
        <v>40</v>
      </c>
      <c r="D178" t="s">
        <v>10</v>
      </c>
      <c r="E178">
        <v>-221153</v>
      </c>
      <c r="F178">
        <v>26.280314000000001</v>
      </c>
      <c r="G178">
        <v>9.216526</v>
      </c>
      <c r="H178">
        <v>9.216526</v>
      </c>
      <c r="I178">
        <v>627913</v>
      </c>
      <c r="J178">
        <v>-1</v>
      </c>
      <c r="K178">
        <v>0</v>
      </c>
      <c r="L178">
        <v>0</v>
      </c>
      <c r="M178">
        <v>5000</v>
      </c>
      <c r="N178">
        <v>0</v>
      </c>
      <c r="O178"/>
      <c r="P178">
        <v>0</v>
      </c>
      <c r="Q178">
        <v>0</v>
      </c>
      <c r="R178"/>
      <c r="S178"/>
      <c r="T178">
        <v>0</v>
      </c>
      <c r="U178"/>
      <c r="V178"/>
      <c r="W178"/>
      <c r="X178"/>
      <c r="Y178" t="s">
        <v>484</v>
      </c>
      <c r="Z178"/>
      <c r="AA178">
        <v>34730481</v>
      </c>
    </row>
    <row r="179" spans="1:27" ht="15.75" x14ac:dyDescent="0.25">
      <c r="A179" t="str">
        <f>$B179&amp;$C179&amp;$D179&amp;IF(AND(D179="Brand",Y179="a"),Y179,"")</f>
        <v>201841Brand</v>
      </c>
      <c r="B179">
        <v>2018</v>
      </c>
      <c r="C179">
        <v>41</v>
      </c>
      <c r="D179" t="s">
        <v>10</v>
      </c>
      <c r="E179">
        <v>-214817</v>
      </c>
      <c r="F179">
        <v>26.945088999999999</v>
      </c>
      <c r="G179">
        <v>7.462923</v>
      </c>
      <c r="H179">
        <v>7.462923</v>
      </c>
      <c r="I179">
        <v>554782</v>
      </c>
      <c r="J179">
        <v>-1</v>
      </c>
      <c r="K179">
        <v>0</v>
      </c>
      <c r="L179">
        <v>0</v>
      </c>
      <c r="M179">
        <v>5000</v>
      </c>
      <c r="N179">
        <v>0</v>
      </c>
      <c r="O179"/>
      <c r="P179">
        <v>0</v>
      </c>
      <c r="Q179">
        <v>0</v>
      </c>
      <c r="R179"/>
      <c r="S179"/>
      <c r="T179">
        <v>0</v>
      </c>
      <c r="U179"/>
      <c r="V179"/>
      <c r="W179"/>
      <c r="X179"/>
      <c r="Y179" t="s">
        <v>484</v>
      </c>
      <c r="Z179"/>
      <c r="AA179">
        <v>34940298</v>
      </c>
    </row>
    <row r="180" spans="1:27" ht="15.75" x14ac:dyDescent="0.25">
      <c r="A180" t="str">
        <f>$B180&amp;$C180&amp;$D180&amp;IF(AND(D180="Brand",Y180="a"),Y180,"")</f>
        <v>201842Brand</v>
      </c>
      <c r="B180">
        <v>2018</v>
      </c>
      <c r="C180">
        <v>42</v>
      </c>
      <c r="D180" t="s">
        <v>10</v>
      </c>
      <c r="E180">
        <v>-127996</v>
      </c>
      <c r="F180">
        <v>40.080858999999997</v>
      </c>
      <c r="G180">
        <v>12.674249</v>
      </c>
      <c r="H180">
        <v>12.674249</v>
      </c>
      <c r="I180">
        <v>466480</v>
      </c>
      <c r="J180">
        <v>-1</v>
      </c>
      <c r="K180">
        <v>0</v>
      </c>
      <c r="L180">
        <v>0</v>
      </c>
      <c r="M180">
        <v>5000</v>
      </c>
      <c r="N180">
        <v>0</v>
      </c>
      <c r="O180"/>
      <c r="P180">
        <v>0</v>
      </c>
      <c r="Q180">
        <v>0</v>
      </c>
      <c r="R180"/>
      <c r="S180"/>
      <c r="T180">
        <v>0</v>
      </c>
      <c r="U180"/>
      <c r="V180"/>
      <c r="W180"/>
      <c r="X180"/>
      <c r="Y180" t="s">
        <v>484</v>
      </c>
      <c r="Z180"/>
      <c r="AA180">
        <v>35063294</v>
      </c>
    </row>
    <row r="181" spans="1:27" ht="15.75" x14ac:dyDescent="0.25">
      <c r="A181" t="str">
        <f>$B181&amp;$C181&amp;$D181&amp;IF(AND(D181="Brand",Y181="a"),Y181,"")</f>
        <v>201843Brand</v>
      </c>
      <c r="B181">
        <v>2018</v>
      </c>
      <c r="C181">
        <v>43</v>
      </c>
      <c r="D181" t="s">
        <v>10</v>
      </c>
      <c r="E181">
        <v>-170976</v>
      </c>
      <c r="F181">
        <v>31.026347000000001</v>
      </c>
      <c r="G181">
        <v>5.8872030000000004</v>
      </c>
      <c r="H181">
        <v>5.8872030000000004</v>
      </c>
      <c r="I181">
        <v>418927</v>
      </c>
      <c r="J181">
        <v>-1</v>
      </c>
      <c r="K181">
        <v>0</v>
      </c>
      <c r="L181">
        <v>0</v>
      </c>
      <c r="M181">
        <v>5000</v>
      </c>
      <c r="N181">
        <v>0</v>
      </c>
      <c r="O181"/>
      <c r="P181">
        <v>0</v>
      </c>
      <c r="Q181">
        <v>0</v>
      </c>
      <c r="R181"/>
      <c r="S181"/>
      <c r="T181">
        <v>0</v>
      </c>
      <c r="U181"/>
      <c r="V181"/>
      <c r="W181"/>
      <c r="X181"/>
      <c r="Y181" t="s">
        <v>484</v>
      </c>
      <c r="Z181"/>
      <c r="AA181">
        <v>35229270</v>
      </c>
    </row>
    <row r="182" spans="1:27" ht="15.75" x14ac:dyDescent="0.25">
      <c r="A182" t="str">
        <f>$B182&amp;$C182&amp;$D182&amp;IF(AND(D182="Brand",Y182="a"),Y182,"")</f>
        <v>201844Brand</v>
      </c>
      <c r="B182">
        <v>2018</v>
      </c>
      <c r="C182">
        <v>44</v>
      </c>
      <c r="D182" t="s">
        <v>10</v>
      </c>
      <c r="E182">
        <v>-164667</v>
      </c>
      <c r="F182">
        <v>31.076495999999999</v>
      </c>
      <c r="G182">
        <v>5.8399200000000002</v>
      </c>
      <c r="H182">
        <v>5.8399200000000002</v>
      </c>
      <c r="I182">
        <v>373703</v>
      </c>
      <c r="J182">
        <v>-1</v>
      </c>
      <c r="K182">
        <v>0</v>
      </c>
      <c r="L182">
        <v>0</v>
      </c>
      <c r="M182">
        <v>5000</v>
      </c>
      <c r="N182">
        <v>0</v>
      </c>
      <c r="O182"/>
      <c r="P182">
        <v>0</v>
      </c>
      <c r="Q182">
        <v>0</v>
      </c>
      <c r="R182"/>
      <c r="S182"/>
      <c r="T182">
        <v>0</v>
      </c>
      <c r="U182"/>
      <c r="V182"/>
      <c r="W182"/>
      <c r="X182"/>
      <c r="Y182" t="s">
        <v>484</v>
      </c>
      <c r="Z182"/>
      <c r="AA182">
        <v>35388937</v>
      </c>
    </row>
    <row r="183" spans="1:27" ht="15.75" x14ac:dyDescent="0.25">
      <c r="A183" t="str">
        <f>$B183&amp;$C183&amp;$D183&amp;IF(AND(D183="Brand",Y183="a"),Y183,"")</f>
        <v>201845Brand</v>
      </c>
      <c r="B183">
        <v>2018</v>
      </c>
      <c r="C183">
        <v>45</v>
      </c>
      <c r="D183" t="s">
        <v>10</v>
      </c>
      <c r="E183">
        <v>-148285</v>
      </c>
      <c r="F183">
        <v>33.887782999999999</v>
      </c>
      <c r="G183">
        <v>7.1550099999999999</v>
      </c>
      <c r="H183">
        <v>7.1550099999999999</v>
      </c>
      <c r="I183">
        <v>327047</v>
      </c>
      <c r="J183">
        <v>-1</v>
      </c>
      <c r="K183">
        <v>0</v>
      </c>
      <c r="L183">
        <v>0</v>
      </c>
      <c r="M183">
        <v>5000</v>
      </c>
      <c r="N183">
        <v>0</v>
      </c>
      <c r="O183"/>
      <c r="P183">
        <v>0</v>
      </c>
      <c r="Q183">
        <v>0</v>
      </c>
      <c r="R183"/>
      <c r="S183"/>
      <c r="T183">
        <v>0</v>
      </c>
      <c r="U183"/>
      <c r="V183"/>
      <c r="W183"/>
      <c r="X183"/>
      <c r="Y183" t="s">
        <v>484</v>
      </c>
      <c r="Z183"/>
      <c r="AA183">
        <v>35532222</v>
      </c>
    </row>
    <row r="184" spans="1:27" ht="15.75" x14ac:dyDescent="0.25">
      <c r="A184" t="str">
        <f>$B184&amp;$C184&amp;$D184&amp;IF(AND(D184="Brand",Y184="a"),Y184,"")</f>
        <v>201846Brand</v>
      </c>
      <c r="B184">
        <v>2018</v>
      </c>
      <c r="C184">
        <v>46</v>
      </c>
      <c r="D184" t="s">
        <v>10</v>
      </c>
      <c r="E184">
        <v>-139061</v>
      </c>
      <c r="F184">
        <v>27.583459999999999</v>
      </c>
      <c r="G184">
        <v>6.6541509999999997</v>
      </c>
      <c r="H184">
        <v>6.6541509999999997</v>
      </c>
      <c r="I184">
        <v>270080</v>
      </c>
      <c r="J184">
        <v>-1</v>
      </c>
      <c r="K184">
        <v>0</v>
      </c>
      <c r="L184">
        <v>0</v>
      </c>
      <c r="M184">
        <v>5000</v>
      </c>
      <c r="N184">
        <v>0</v>
      </c>
      <c r="O184"/>
      <c r="P184">
        <v>0</v>
      </c>
      <c r="Q184">
        <v>0</v>
      </c>
      <c r="R184"/>
      <c r="S184"/>
      <c r="T184">
        <v>0</v>
      </c>
      <c r="U184"/>
      <c r="V184"/>
      <c r="W184"/>
      <c r="X184"/>
      <c r="Y184" t="s">
        <v>484</v>
      </c>
      <c r="Z184"/>
      <c r="AA184">
        <v>35666283</v>
      </c>
    </row>
    <row r="185" spans="1:27" ht="15.75" x14ac:dyDescent="0.25">
      <c r="A185" t="str">
        <f>$B185&amp;$C185&amp;$D185&amp;IF(AND(D185="Brand",Y185="a"),Y185,"")</f>
        <v>201847Brand</v>
      </c>
      <c r="B185">
        <v>2018</v>
      </c>
      <c r="C185">
        <v>47</v>
      </c>
      <c r="D185" t="s">
        <v>10</v>
      </c>
      <c r="E185">
        <v>-179986</v>
      </c>
      <c r="F185">
        <v>22.918831999999998</v>
      </c>
      <c r="G185">
        <v>4.4662519999999999</v>
      </c>
      <c r="H185">
        <v>4.4662519999999999</v>
      </c>
      <c r="I185">
        <v>245287</v>
      </c>
      <c r="J185">
        <v>-1</v>
      </c>
      <c r="K185">
        <v>0</v>
      </c>
      <c r="L185">
        <v>0</v>
      </c>
      <c r="M185">
        <v>0</v>
      </c>
      <c r="N185">
        <v>0</v>
      </c>
      <c r="O185"/>
      <c r="P185">
        <v>0</v>
      </c>
      <c r="Q185">
        <v>0</v>
      </c>
      <c r="R185"/>
      <c r="S185"/>
      <c r="T185">
        <v>0</v>
      </c>
      <c r="U185"/>
      <c r="V185"/>
      <c r="W185"/>
      <c r="X185"/>
      <c r="Y185" t="s">
        <v>484</v>
      </c>
      <c r="Z185"/>
      <c r="AA185">
        <v>35846269</v>
      </c>
    </row>
    <row r="186" spans="1:27" ht="15.75" x14ac:dyDescent="0.25">
      <c r="A186" t="str">
        <f>$B186&amp;$C186&amp;$D186&amp;IF(AND(D186="Brand",Y186="a"),Y186,"")</f>
        <v>201848Brand</v>
      </c>
      <c r="B186">
        <v>2018</v>
      </c>
      <c r="C186">
        <v>48</v>
      </c>
      <c r="D186" t="s">
        <v>10</v>
      </c>
      <c r="E186">
        <v>-165574</v>
      </c>
      <c r="F186">
        <v>22.850508000000001</v>
      </c>
      <c r="G186">
        <v>3.4112420000000001</v>
      </c>
      <c r="H186">
        <v>3.4112420000000001</v>
      </c>
      <c r="I186">
        <v>228900</v>
      </c>
      <c r="J186">
        <v>-1</v>
      </c>
      <c r="K186">
        <v>0</v>
      </c>
      <c r="L186">
        <v>0</v>
      </c>
      <c r="M186">
        <v>0</v>
      </c>
      <c r="N186">
        <v>0</v>
      </c>
      <c r="O186"/>
      <c r="P186">
        <v>0</v>
      </c>
      <c r="Q186">
        <v>0</v>
      </c>
      <c r="R186"/>
      <c r="S186"/>
      <c r="T186">
        <v>0</v>
      </c>
      <c r="U186"/>
      <c r="V186"/>
      <c r="W186"/>
      <c r="X186"/>
      <c r="Y186" t="s">
        <v>484</v>
      </c>
      <c r="Z186"/>
      <c r="AA186">
        <v>36011843</v>
      </c>
    </row>
    <row r="187" spans="1:27" ht="15.75" x14ac:dyDescent="0.25">
      <c r="A187" t="str">
        <f>$B187&amp;$C187&amp;$D187&amp;IF(AND(D187="Brand",Y187="a"),Y187,"")</f>
        <v>201849Brand</v>
      </c>
      <c r="B187">
        <v>2018</v>
      </c>
      <c r="C187">
        <v>49</v>
      </c>
      <c r="D187" t="s">
        <v>10</v>
      </c>
      <c r="E187">
        <v>-155857</v>
      </c>
      <c r="F187">
        <v>21.325465000000001</v>
      </c>
      <c r="G187">
        <v>2.6645500000000002</v>
      </c>
      <c r="H187">
        <v>2.6645500000000002</v>
      </c>
      <c r="I187">
        <v>219969</v>
      </c>
      <c r="J187">
        <v>-1</v>
      </c>
      <c r="K187">
        <v>0</v>
      </c>
      <c r="L187">
        <v>0</v>
      </c>
      <c r="M187">
        <v>0</v>
      </c>
      <c r="N187">
        <v>0</v>
      </c>
      <c r="O187"/>
      <c r="P187">
        <v>0</v>
      </c>
      <c r="Q187">
        <v>0</v>
      </c>
      <c r="R187"/>
      <c r="S187"/>
      <c r="T187">
        <v>0</v>
      </c>
      <c r="U187"/>
      <c r="V187"/>
      <c r="W187"/>
      <c r="X187"/>
      <c r="Y187" t="s">
        <v>484</v>
      </c>
      <c r="Z187"/>
      <c r="AA187">
        <v>36167699</v>
      </c>
    </row>
    <row r="188" spans="1:27" ht="15.75" x14ac:dyDescent="0.25">
      <c r="A188" t="str">
        <f>$B188&amp;$C188&amp;$D188&amp;IF(AND(D188="Brand",Y188="a"),Y188,"")</f>
        <v>201850Brand</v>
      </c>
      <c r="B188">
        <v>2018</v>
      </c>
      <c r="C188">
        <v>50</v>
      </c>
      <c r="D188" t="s">
        <v>10</v>
      </c>
      <c r="E188">
        <v>-156071</v>
      </c>
      <c r="F188">
        <v>22.700157999999998</v>
      </c>
      <c r="G188">
        <v>2.99668</v>
      </c>
      <c r="H188">
        <v>2.99668</v>
      </c>
      <c r="I188">
        <v>205932</v>
      </c>
      <c r="J188">
        <v>-1</v>
      </c>
      <c r="K188">
        <v>-263283</v>
      </c>
      <c r="L188">
        <v>0</v>
      </c>
      <c r="M188">
        <v>0</v>
      </c>
      <c r="N188">
        <v>0</v>
      </c>
      <c r="O188"/>
      <c r="P188">
        <v>0</v>
      </c>
      <c r="Q188">
        <v>0</v>
      </c>
      <c r="R188"/>
      <c r="S188"/>
      <c r="T188">
        <v>0</v>
      </c>
      <c r="U188"/>
      <c r="V188"/>
      <c r="W188"/>
      <c r="X188"/>
      <c r="Y188" t="s">
        <v>484</v>
      </c>
      <c r="Z188"/>
      <c r="AA188">
        <v>36060487</v>
      </c>
    </row>
    <row r="189" spans="1:27" ht="15.75" x14ac:dyDescent="0.25">
      <c r="A189" t="str">
        <f>$B189&amp;$C189&amp;$D189&amp;IF(AND(D189="Brand",Y189="a"),Y189,"")</f>
        <v>201851Brand</v>
      </c>
      <c r="B189">
        <v>2018</v>
      </c>
      <c r="C189">
        <v>51</v>
      </c>
      <c r="D189" t="s">
        <v>10</v>
      </c>
      <c r="E189">
        <v>-279420</v>
      </c>
      <c r="F189">
        <v>23.016110000000001</v>
      </c>
      <c r="G189">
        <v>3.432995</v>
      </c>
      <c r="H189">
        <v>3.432995</v>
      </c>
      <c r="I189">
        <v>195241</v>
      </c>
      <c r="J189">
        <v>-1</v>
      </c>
      <c r="K189">
        <v>0</v>
      </c>
      <c r="L189">
        <v>0</v>
      </c>
      <c r="M189">
        <v>0</v>
      </c>
      <c r="N189">
        <v>0</v>
      </c>
      <c r="O189"/>
      <c r="P189">
        <v>0</v>
      </c>
      <c r="Q189">
        <v>0</v>
      </c>
      <c r="R189"/>
      <c r="S189"/>
      <c r="T189">
        <v>0</v>
      </c>
      <c r="U189"/>
      <c r="V189"/>
      <c r="W189"/>
      <c r="X189"/>
      <c r="Y189" t="s">
        <v>484</v>
      </c>
      <c r="Z189"/>
      <c r="AA189">
        <v>36339907</v>
      </c>
    </row>
    <row r="190" spans="1:27" ht="15.75" x14ac:dyDescent="0.25">
      <c r="A190" t="str">
        <f>$B190&amp;$C190&amp;$D190&amp;IF(AND(D190="Brand",Y190="a"),Y190,"")</f>
        <v>201852Brand</v>
      </c>
      <c r="B190">
        <v>2018</v>
      </c>
      <c r="C190">
        <v>52</v>
      </c>
      <c r="D190" t="s">
        <v>10</v>
      </c>
      <c r="E190">
        <v>-231997</v>
      </c>
      <c r="F190">
        <v>20.417681000000002</v>
      </c>
      <c r="G190">
        <v>2.5592760000000001</v>
      </c>
      <c r="H190">
        <v>2.5592760000000001</v>
      </c>
      <c r="I190">
        <v>189868</v>
      </c>
      <c r="J190">
        <v>-1</v>
      </c>
      <c r="K190">
        <v>0</v>
      </c>
      <c r="L190">
        <v>0</v>
      </c>
      <c r="M190">
        <v>0</v>
      </c>
      <c r="N190">
        <v>0</v>
      </c>
      <c r="O190"/>
      <c r="P190">
        <v>0</v>
      </c>
      <c r="Q190">
        <v>0</v>
      </c>
      <c r="R190"/>
      <c r="S190"/>
      <c r="T190">
        <v>0</v>
      </c>
      <c r="U190"/>
      <c r="V190"/>
      <c r="W190"/>
      <c r="X190"/>
      <c r="Y190" t="s">
        <v>484</v>
      </c>
      <c r="Z190"/>
      <c r="AA190">
        <v>36571904</v>
      </c>
    </row>
    <row r="191" spans="1:27" ht="15.75" x14ac:dyDescent="0.25">
      <c r="A191" t="str">
        <f>$B191&amp;$C191&amp;$D191&amp;IF(AND(D191="Brand",Y191="a"),Y191,"")</f>
        <v>20191Brand</v>
      </c>
      <c r="B191">
        <v>2019</v>
      </c>
      <c r="C191">
        <v>1</v>
      </c>
      <c r="D191" t="s">
        <v>10</v>
      </c>
      <c r="E191">
        <v>-95838332</v>
      </c>
      <c r="F191">
        <v>25.642761</v>
      </c>
      <c r="G191">
        <v>12.502015999999999</v>
      </c>
      <c r="H191">
        <v>12.502015999999999</v>
      </c>
      <c r="I191"/>
      <c r="J191">
        <v>188321</v>
      </c>
      <c r="K191">
        <v>-155</v>
      </c>
      <c r="L191">
        <v>29747</v>
      </c>
      <c r="M191">
        <v>34067</v>
      </c>
      <c r="N191">
        <v>0</v>
      </c>
      <c r="O191"/>
      <c r="P191"/>
      <c r="Q191">
        <v>0</v>
      </c>
      <c r="R191"/>
      <c r="S191"/>
      <c r="T191">
        <v>0</v>
      </c>
      <c r="U191"/>
      <c r="V191"/>
      <c r="W191"/>
      <c r="X191"/>
      <c r="Y191" t="s">
        <v>484</v>
      </c>
      <c r="Z191"/>
      <c r="AA191">
        <v>123855591</v>
      </c>
    </row>
    <row r="192" spans="1:27" ht="15.75" x14ac:dyDescent="0.25">
      <c r="A192" t="str">
        <f>$B192&amp;$C192&amp;$D192&amp;IF(AND(D192="Brand",Y192="a"),Y192,"")</f>
        <v>20192Brand</v>
      </c>
      <c r="B192">
        <v>2019</v>
      </c>
      <c r="C192">
        <v>2</v>
      </c>
      <c r="D192" t="s">
        <v>10</v>
      </c>
      <c r="E192">
        <v>-32761367</v>
      </c>
      <c r="F192">
        <v>26.087786999999999</v>
      </c>
      <c r="G192">
        <v>11.820273</v>
      </c>
      <c r="H192">
        <v>11.820273</v>
      </c>
      <c r="I192"/>
      <c r="J192">
        <v>223728</v>
      </c>
      <c r="K192">
        <v>-180</v>
      </c>
      <c r="L192">
        <v>41363</v>
      </c>
      <c r="M192">
        <v>41401</v>
      </c>
      <c r="N192">
        <v>0</v>
      </c>
      <c r="O192"/>
      <c r="P192"/>
      <c r="Q192">
        <v>0</v>
      </c>
      <c r="R192"/>
      <c r="S192"/>
      <c r="T192">
        <v>0</v>
      </c>
      <c r="U192"/>
      <c r="V192"/>
      <c r="W192"/>
      <c r="X192"/>
      <c r="Y192" t="s">
        <v>484</v>
      </c>
      <c r="Z192"/>
      <c r="AA192">
        <v>156616740</v>
      </c>
    </row>
    <row r="193" spans="1:27" ht="15.75" x14ac:dyDescent="0.25">
      <c r="A193" t="str">
        <f>$B193&amp;$C193&amp;$D193&amp;IF(AND(D193="Brand",Y193="a"),Y193,"")</f>
        <v>20193Brand</v>
      </c>
      <c r="B193">
        <v>2019</v>
      </c>
      <c r="C193">
        <v>3</v>
      </c>
      <c r="D193" t="s">
        <v>10</v>
      </c>
      <c r="E193">
        <v>-7600096</v>
      </c>
      <c r="F193">
        <v>26.457142999999999</v>
      </c>
      <c r="G193">
        <v>10.342434000000001</v>
      </c>
      <c r="H193">
        <v>10.342434000000001</v>
      </c>
      <c r="I193"/>
      <c r="J193">
        <v>218652</v>
      </c>
      <c r="K193">
        <v>-188</v>
      </c>
      <c r="L193">
        <v>8623</v>
      </c>
      <c r="M193">
        <v>8875</v>
      </c>
      <c r="N193">
        <v>0</v>
      </c>
      <c r="O193"/>
      <c r="P193"/>
      <c r="Q193">
        <v>0</v>
      </c>
      <c r="R193"/>
      <c r="S193"/>
      <c r="T193">
        <v>0</v>
      </c>
      <c r="U193"/>
      <c r="V193"/>
      <c r="W193"/>
      <c r="X193"/>
      <c r="Y193" t="s">
        <v>484</v>
      </c>
      <c r="Z193"/>
      <c r="AA193">
        <v>164216396</v>
      </c>
    </row>
    <row r="194" spans="1:27" ht="15.75" x14ac:dyDescent="0.25">
      <c r="A194" t="str">
        <f>$B194&amp;$C194&amp;$D194&amp;IF(AND(D194="Brand",Y194="a"),Y194,"")</f>
        <v>20194Brand</v>
      </c>
      <c r="B194">
        <v>2019</v>
      </c>
      <c r="C194">
        <v>4</v>
      </c>
      <c r="D194" t="s">
        <v>10</v>
      </c>
      <c r="E194">
        <v>-20293</v>
      </c>
      <c r="F194">
        <v>26.294165</v>
      </c>
      <c r="G194">
        <v>10.602486000000001</v>
      </c>
      <c r="H194">
        <v>10.602486000000001</v>
      </c>
      <c r="I194"/>
      <c r="J194">
        <v>67438</v>
      </c>
      <c r="K194">
        <v>-160</v>
      </c>
      <c r="L194">
        <v>127265</v>
      </c>
      <c r="M194">
        <v>155429</v>
      </c>
      <c r="N194">
        <v>0</v>
      </c>
      <c r="O194"/>
      <c r="P194"/>
      <c r="Q194">
        <v>0</v>
      </c>
      <c r="R194"/>
      <c r="S194"/>
      <c r="T194">
        <v>0</v>
      </c>
      <c r="U194"/>
      <c r="V194"/>
      <c r="W194"/>
      <c r="X194"/>
      <c r="Y194" t="s">
        <v>484</v>
      </c>
      <c r="Z194"/>
      <c r="AA194">
        <v>164208365</v>
      </c>
    </row>
    <row r="195" spans="1:27" ht="15.75" x14ac:dyDescent="0.25">
      <c r="A195" t="str">
        <f>$B195&amp;$C195&amp;$D195&amp;IF(AND(D195="Brand",Y195="a"),Y195,"")</f>
        <v>20195Brand</v>
      </c>
      <c r="B195">
        <v>2019</v>
      </c>
      <c r="C195">
        <v>5</v>
      </c>
      <c r="D195" t="s">
        <v>10</v>
      </c>
      <c r="E195">
        <v>9920</v>
      </c>
      <c r="F195">
        <v>0</v>
      </c>
      <c r="G195">
        <v>0</v>
      </c>
      <c r="H195">
        <v>0</v>
      </c>
      <c r="I195"/>
      <c r="J195">
        <v>53068</v>
      </c>
      <c r="K195">
        <v>-282</v>
      </c>
      <c r="L195">
        <v>10262</v>
      </c>
      <c r="M195">
        <v>14327</v>
      </c>
      <c r="N195">
        <v>0</v>
      </c>
      <c r="O195"/>
      <c r="P195"/>
      <c r="Q195">
        <v>0</v>
      </c>
      <c r="R195"/>
      <c r="S195"/>
      <c r="T195">
        <v>0</v>
      </c>
      <c r="U195"/>
      <c r="V195"/>
      <c r="W195"/>
      <c r="X195"/>
      <c r="Y195" t="s">
        <v>484</v>
      </c>
      <c r="Z195"/>
      <c r="AA195">
        <v>164194098</v>
      </c>
    </row>
    <row r="196" spans="1:27" ht="15.75" x14ac:dyDescent="0.25">
      <c r="A196" t="str">
        <f>$B196&amp;$C196&amp;$D196&amp;IF(AND(D196="Brand",Y196="a"),Y196,"")</f>
        <v>20196Brand</v>
      </c>
      <c r="B196">
        <v>2019</v>
      </c>
      <c r="C196">
        <v>6</v>
      </c>
      <c r="D196" t="s">
        <v>10</v>
      </c>
      <c r="E196">
        <v>13687</v>
      </c>
      <c r="F196">
        <v>0</v>
      </c>
      <c r="G196">
        <v>0</v>
      </c>
      <c r="H196">
        <v>0</v>
      </c>
      <c r="I196"/>
      <c r="J196">
        <v>44131</v>
      </c>
      <c r="K196">
        <v>-82</v>
      </c>
      <c r="L196">
        <v>8149</v>
      </c>
      <c r="M196">
        <v>386931</v>
      </c>
      <c r="N196">
        <v>0</v>
      </c>
      <c r="O196"/>
      <c r="P196"/>
      <c r="Q196">
        <v>0</v>
      </c>
      <c r="R196"/>
      <c r="S196"/>
      <c r="T196">
        <v>0</v>
      </c>
      <c r="U196"/>
      <c r="V196"/>
      <c r="W196"/>
      <c r="X196"/>
      <c r="Y196" t="s">
        <v>484</v>
      </c>
      <c r="Z196"/>
      <c r="AA196">
        <v>163801547</v>
      </c>
    </row>
    <row r="197" spans="1:27" ht="15.75" x14ac:dyDescent="0.25">
      <c r="A197" t="str">
        <f>$B197&amp;$C197&amp;$D197&amp;IF(AND(D197="Brand",Y197="a"),Y197,"")</f>
        <v>20197Brand</v>
      </c>
      <c r="B197">
        <v>2019</v>
      </c>
      <c r="C197">
        <v>7</v>
      </c>
      <c r="D197" t="s">
        <v>10</v>
      </c>
      <c r="E197">
        <v>-363273</v>
      </c>
      <c r="F197">
        <v>25.864241</v>
      </c>
      <c r="G197">
        <v>16.807124999999999</v>
      </c>
      <c r="H197">
        <v>16.807124999999999</v>
      </c>
      <c r="I197"/>
      <c r="J197">
        <v>29687</v>
      </c>
      <c r="K197">
        <v>-137</v>
      </c>
      <c r="L197">
        <v>5223</v>
      </c>
      <c r="M197">
        <v>35084</v>
      </c>
      <c r="N197">
        <v>0</v>
      </c>
      <c r="O197"/>
      <c r="P197"/>
      <c r="Q197">
        <v>0</v>
      </c>
      <c r="R197"/>
      <c r="S197"/>
      <c r="T197">
        <v>0</v>
      </c>
      <c r="U197"/>
      <c r="V197"/>
      <c r="W197"/>
      <c r="X197"/>
      <c r="Y197" t="s">
        <v>484</v>
      </c>
      <c r="Z197"/>
      <c r="AA197">
        <v>164134822</v>
      </c>
    </row>
    <row r="198" spans="1:27" ht="15.75" x14ac:dyDescent="0.25">
      <c r="A198" t="str">
        <f>$B198&amp;$C198&amp;$D198&amp;IF(AND(D198="Brand",Y198="a"),Y198,"")</f>
        <v>20198Brand</v>
      </c>
      <c r="B198">
        <v>2019</v>
      </c>
      <c r="C198">
        <v>8</v>
      </c>
      <c r="D198" t="s">
        <v>10</v>
      </c>
      <c r="E198">
        <v>-3426</v>
      </c>
      <c r="F198">
        <v>149.00491</v>
      </c>
      <c r="G198">
        <v>89.414804000000004</v>
      </c>
      <c r="H198">
        <v>89.414804000000004</v>
      </c>
      <c r="I198"/>
      <c r="J198">
        <v>28113</v>
      </c>
      <c r="K198">
        <v>-220</v>
      </c>
      <c r="L198">
        <v>2550</v>
      </c>
      <c r="M198">
        <v>20786</v>
      </c>
      <c r="N198">
        <v>0</v>
      </c>
      <c r="O198"/>
      <c r="P198"/>
      <c r="Q198">
        <v>0</v>
      </c>
      <c r="R198"/>
      <c r="S198"/>
      <c r="T198">
        <v>0</v>
      </c>
      <c r="U198"/>
      <c r="V198"/>
      <c r="W198"/>
      <c r="X198"/>
      <c r="Y198" t="s">
        <v>484</v>
      </c>
      <c r="Z198"/>
      <c r="AA198">
        <v>164119792</v>
      </c>
    </row>
    <row r="199" spans="1:27" ht="15.75" x14ac:dyDescent="0.25">
      <c r="A199" t="str">
        <f>$B199&amp;$C199&amp;$D199&amp;IF(AND(D199="Brand",Y199="a"),Y199,"")</f>
        <v>20199Brand</v>
      </c>
      <c r="B199">
        <v>2019</v>
      </c>
      <c r="C199">
        <v>9</v>
      </c>
      <c r="D199" t="s">
        <v>10</v>
      </c>
      <c r="E199">
        <v>-5630</v>
      </c>
      <c r="F199">
        <v>79.505427999999995</v>
      </c>
      <c r="G199">
        <v>47.709584</v>
      </c>
      <c r="H199">
        <v>47.709584</v>
      </c>
      <c r="I199"/>
      <c r="J199">
        <v>26562</v>
      </c>
      <c r="K199">
        <v>-65</v>
      </c>
      <c r="L199">
        <v>1595</v>
      </c>
      <c r="M199">
        <v>31691</v>
      </c>
      <c r="N199">
        <v>0</v>
      </c>
      <c r="O199"/>
      <c r="P199"/>
      <c r="Q199">
        <v>0</v>
      </c>
      <c r="R199"/>
      <c r="S199"/>
      <c r="T199">
        <v>0</v>
      </c>
      <c r="U199"/>
      <c r="V199"/>
      <c r="W199"/>
      <c r="X199"/>
      <c r="Y199" t="s">
        <v>484</v>
      </c>
      <c r="Z199"/>
      <c r="AA199">
        <v>164095261</v>
      </c>
    </row>
    <row r="200" spans="1:27" ht="15.75" x14ac:dyDescent="0.25">
      <c r="A200" t="str">
        <f>$B200&amp;$C200&amp;$D200&amp;IF(AND(D200="Brand",Y200="a"),Y200,"")</f>
        <v>201910Brand</v>
      </c>
      <c r="B200">
        <v>2019</v>
      </c>
      <c r="C200">
        <v>10</v>
      </c>
      <c r="D200" t="s">
        <v>10</v>
      </c>
      <c r="E200">
        <v>-18081</v>
      </c>
      <c r="F200">
        <v>42.040387000000003</v>
      </c>
      <c r="G200">
        <v>25.227578000000001</v>
      </c>
      <c r="H200">
        <v>25.227578000000001</v>
      </c>
      <c r="I200"/>
      <c r="J200">
        <v>24029</v>
      </c>
      <c r="K200">
        <v>-130</v>
      </c>
      <c r="L200">
        <v>1260</v>
      </c>
      <c r="M200">
        <v>20487</v>
      </c>
      <c r="N200">
        <v>0</v>
      </c>
      <c r="O200"/>
      <c r="P200"/>
      <c r="Q200">
        <v>0</v>
      </c>
      <c r="R200"/>
      <c r="S200"/>
      <c r="T200">
        <v>0</v>
      </c>
      <c r="U200"/>
      <c r="V200"/>
      <c r="W200"/>
      <c r="X200"/>
      <c r="Y200" t="s">
        <v>484</v>
      </c>
      <c r="Z200"/>
      <c r="AA200">
        <v>164093985</v>
      </c>
    </row>
    <row r="201" spans="1:27" ht="15.75" x14ac:dyDescent="0.25">
      <c r="A201" t="str">
        <f>$B201&amp;$C201&amp;$D201&amp;IF(AND(D201="Brand",Y201="a"),Y201,"")</f>
        <v>201911Brand</v>
      </c>
      <c r="B201">
        <v>2019</v>
      </c>
      <c r="C201">
        <v>11</v>
      </c>
      <c r="D201" t="s">
        <v>10</v>
      </c>
      <c r="E201">
        <v>-420</v>
      </c>
      <c r="F201">
        <v>1020.278</v>
      </c>
      <c r="G201">
        <v>561.09199999999998</v>
      </c>
      <c r="H201">
        <v>561.09199999999998</v>
      </c>
      <c r="I201"/>
      <c r="J201">
        <v>24029</v>
      </c>
      <c r="K201">
        <v>-118</v>
      </c>
      <c r="L201">
        <v>291</v>
      </c>
      <c r="M201">
        <v>1711</v>
      </c>
      <c r="N201">
        <v>0</v>
      </c>
      <c r="O201"/>
      <c r="P201"/>
      <c r="Q201">
        <v>0</v>
      </c>
      <c r="R201"/>
      <c r="S201"/>
      <c r="T201">
        <v>0</v>
      </c>
      <c r="U201"/>
      <c r="V201"/>
      <c r="W201"/>
      <c r="X201"/>
      <c r="Y201" t="s">
        <v>484</v>
      </c>
      <c r="Z201"/>
      <c r="AA201">
        <v>164092867</v>
      </c>
    </row>
    <row r="202" spans="1:27" ht="15.75" x14ac:dyDescent="0.25">
      <c r="A202" t="str">
        <f>$B202&amp;$C202&amp;$D202&amp;IF(AND(D202="Brand",Y202="a"),Y202,"")</f>
        <v>201912Brand</v>
      </c>
      <c r="B202">
        <v>2019</v>
      </c>
      <c r="C202">
        <v>12</v>
      </c>
      <c r="D202" t="s">
        <v>10</v>
      </c>
      <c r="E202">
        <v>17554</v>
      </c>
      <c r="F202">
        <v>-0.12884200000000001</v>
      </c>
      <c r="G202">
        <v>-7.0856000000000002E-2</v>
      </c>
      <c r="H202">
        <v>-7.0856000000000002E-2</v>
      </c>
      <c r="I202"/>
      <c r="J202">
        <v>23460</v>
      </c>
      <c r="K202">
        <v>-1839</v>
      </c>
      <c r="L202">
        <v>115</v>
      </c>
      <c r="M202">
        <v>2016</v>
      </c>
      <c r="N202">
        <v>0</v>
      </c>
      <c r="O202"/>
      <c r="P202"/>
      <c r="Q202">
        <v>0</v>
      </c>
      <c r="R202"/>
      <c r="S202"/>
      <c r="T202">
        <v>0</v>
      </c>
      <c r="U202"/>
      <c r="V202"/>
      <c r="W202"/>
      <c r="X202"/>
      <c r="Y202" t="s">
        <v>484</v>
      </c>
      <c r="Z202"/>
      <c r="AA202">
        <v>164071573</v>
      </c>
    </row>
    <row r="203" spans="1:27" ht="15.75" x14ac:dyDescent="0.25">
      <c r="A203" t="str">
        <f>$B203&amp;$C203&amp;$D203&amp;IF(AND(D203="Brand",Y203="a"),Y203,"")</f>
        <v>201913Brand</v>
      </c>
      <c r="B203">
        <v>2019</v>
      </c>
      <c r="C203">
        <v>13</v>
      </c>
      <c r="D203" t="s">
        <v>10</v>
      </c>
      <c r="E203">
        <v>15913</v>
      </c>
      <c r="F203">
        <v>-0.92857699999999999</v>
      </c>
      <c r="G203">
        <v>-0.51066199999999995</v>
      </c>
      <c r="H203">
        <v>-0.51066199999999995</v>
      </c>
      <c r="I203"/>
      <c r="J203">
        <v>23303</v>
      </c>
      <c r="K203">
        <v>-232</v>
      </c>
      <c r="L203">
        <v>75</v>
      </c>
      <c r="M203">
        <v>202</v>
      </c>
      <c r="N203">
        <v>0</v>
      </c>
      <c r="O203"/>
      <c r="P203"/>
      <c r="Q203">
        <v>0</v>
      </c>
      <c r="R203"/>
      <c r="S203"/>
      <c r="T203">
        <v>0</v>
      </c>
      <c r="U203"/>
      <c r="V203"/>
      <c r="W203"/>
      <c r="X203"/>
      <c r="Y203" t="s">
        <v>484</v>
      </c>
      <c r="Z203"/>
      <c r="AA203">
        <v>164055301</v>
      </c>
    </row>
    <row r="204" spans="1:27" ht="15.75" x14ac:dyDescent="0.25">
      <c r="A204" t="str">
        <f>$B204&amp;$C204&amp;$D204&amp;IF(AND(D204="Brand",Y204="a"),Y204,"")</f>
        <v>20181Branda</v>
      </c>
      <c r="B204">
        <v>2018</v>
      </c>
      <c r="C204">
        <v>1</v>
      </c>
      <c r="D204" t="s">
        <v>10</v>
      </c>
      <c r="E204">
        <v>229725</v>
      </c>
      <c r="F204">
        <v>31.319039230384099</v>
      </c>
      <c r="G204">
        <v>10.721449433453</v>
      </c>
      <c r="H204">
        <v>4.0962962981826099</v>
      </c>
      <c r="I204">
        <v>4965078</v>
      </c>
      <c r="J204">
        <v>3193045</v>
      </c>
      <c r="K204">
        <v>-4099</v>
      </c>
      <c r="L204">
        <v>215873</v>
      </c>
      <c r="M204">
        <v>348105</v>
      </c>
      <c r="N204"/>
      <c r="O204"/>
      <c r="P204">
        <v>829879</v>
      </c>
      <c r="Q204"/>
      <c r="R204"/>
      <c r="S204">
        <v>20566380.050000001</v>
      </c>
      <c r="T204"/>
      <c r="U204"/>
      <c r="V204">
        <v>3662577.9687000001</v>
      </c>
      <c r="W204"/>
      <c r="X204"/>
      <c r="Y204" t="s">
        <v>335</v>
      </c>
      <c r="Z204"/>
      <c r="AA204"/>
    </row>
    <row r="205" spans="1:27" ht="15.75" x14ac:dyDescent="0.25">
      <c r="A205" t="str">
        <f>$B205&amp;$C205&amp;$D205&amp;IF(AND(D205="Brand",Y205="a"),Y205,"")</f>
        <v>20182Branda</v>
      </c>
      <c r="B205">
        <v>2018</v>
      </c>
      <c r="C205">
        <v>2</v>
      </c>
      <c r="D205" t="s">
        <v>10</v>
      </c>
      <c r="E205">
        <v>293123</v>
      </c>
      <c r="F205">
        <v>31.6824622537296</v>
      </c>
      <c r="G205">
        <v>9.9057868771812494</v>
      </c>
      <c r="H205">
        <v>4.1599988179023804</v>
      </c>
      <c r="I205">
        <v>4809845</v>
      </c>
      <c r="J205">
        <v>3925165</v>
      </c>
      <c r="K205">
        <v>-2683</v>
      </c>
      <c r="L205">
        <v>146594</v>
      </c>
      <c r="M205">
        <v>248039</v>
      </c>
      <c r="N205"/>
      <c r="O205"/>
      <c r="P205">
        <v>930840</v>
      </c>
      <c r="Q205"/>
      <c r="R205"/>
      <c r="S205">
        <v>22659440</v>
      </c>
      <c r="T205"/>
      <c r="U205"/>
      <c r="V205">
        <v>3968044.4227999998</v>
      </c>
      <c r="W205"/>
      <c r="X205"/>
      <c r="Y205" t="s">
        <v>335</v>
      </c>
      <c r="Z205"/>
      <c r="AA205"/>
    </row>
    <row r="206" spans="1:27" ht="15.75" x14ac:dyDescent="0.25">
      <c r="A206" t="str">
        <f>$B206&amp;$C206&amp;$D206&amp;IF(AND(D206="Brand",Y206="a"),Y206,"")</f>
        <v>20183Branda</v>
      </c>
      <c r="B206">
        <v>2018</v>
      </c>
      <c r="C206">
        <v>3</v>
      </c>
      <c r="D206" t="s">
        <v>10</v>
      </c>
      <c r="E206">
        <v>370224</v>
      </c>
      <c r="F206">
        <v>47.791583253381702</v>
      </c>
      <c r="G206">
        <v>9.1617604833830306</v>
      </c>
      <c r="H206">
        <v>4.3924534695211497</v>
      </c>
      <c r="I206">
        <v>4498138</v>
      </c>
      <c r="J206">
        <v>3948322</v>
      </c>
      <c r="K206">
        <v>-15676</v>
      </c>
      <c r="L206">
        <v>74313</v>
      </c>
      <c r="M206">
        <v>74619</v>
      </c>
      <c r="N206"/>
      <c r="O206"/>
      <c r="P206">
        <v>107688</v>
      </c>
      <c r="Q206"/>
      <c r="R206"/>
      <c r="S206">
        <v>3007734.6</v>
      </c>
      <c r="T206"/>
      <c r="U206"/>
      <c r="V206">
        <v>544332.34909999999</v>
      </c>
      <c r="W206"/>
      <c r="X206"/>
      <c r="Y206" t="s">
        <v>335</v>
      </c>
      <c r="Z206"/>
      <c r="AA206"/>
    </row>
    <row r="207" spans="1:27" ht="15.75" x14ac:dyDescent="0.25">
      <c r="A207" t="str">
        <f>$B207&amp;$C207&amp;$D207&amp;IF(AND(D207="Brand",Y207="a"),Y207,"")</f>
        <v>20184Branda</v>
      </c>
      <c r="B207">
        <v>2018</v>
      </c>
      <c r="C207">
        <v>4</v>
      </c>
      <c r="D207" t="s">
        <v>10</v>
      </c>
      <c r="E207">
        <v>444649</v>
      </c>
      <c r="F207">
        <v>53.573929412188001</v>
      </c>
      <c r="G207">
        <v>7.8541472590740096</v>
      </c>
      <c r="H207">
        <v>4.55938052373895</v>
      </c>
      <c r="I207">
        <v>5399948</v>
      </c>
      <c r="J207">
        <v>3730611</v>
      </c>
      <c r="K207">
        <v>-43192</v>
      </c>
      <c r="L207">
        <v>1347335</v>
      </c>
      <c r="M207">
        <v>1589266</v>
      </c>
      <c r="N207"/>
      <c r="O207"/>
      <c r="P207">
        <v>1403720</v>
      </c>
      <c r="Q207"/>
      <c r="R207"/>
      <c r="S207">
        <v>27331991.999999899</v>
      </c>
      <c r="T207"/>
      <c r="U207"/>
      <c r="V207">
        <v>4735220.2408999996</v>
      </c>
      <c r="W207"/>
      <c r="X207"/>
      <c r="Y207" t="s">
        <v>335</v>
      </c>
      <c r="Z207"/>
      <c r="AA207"/>
    </row>
    <row r="208" spans="1:27" ht="15.75" x14ac:dyDescent="0.25">
      <c r="A208" t="str">
        <f>$B208&amp;$C208&amp;$D208&amp;IF(AND(D208="Brand",Y208="a"),Y208,"")</f>
        <v>20185Branda</v>
      </c>
      <c r="B208">
        <v>2018</v>
      </c>
      <c r="C208">
        <v>5</v>
      </c>
      <c r="D208" t="s">
        <v>10</v>
      </c>
      <c r="E208">
        <v>315448</v>
      </c>
      <c r="F208">
        <v>39.9897260635667</v>
      </c>
      <c r="G208">
        <v>10.506700860997601</v>
      </c>
      <c r="H208">
        <v>4.35418819012959</v>
      </c>
      <c r="I208">
        <v>5218788</v>
      </c>
      <c r="J208">
        <v>4098234</v>
      </c>
      <c r="K208">
        <v>-1620</v>
      </c>
      <c r="L208">
        <v>136297</v>
      </c>
      <c r="M208">
        <v>201686</v>
      </c>
      <c r="N208"/>
      <c r="O208"/>
      <c r="P208">
        <v>579735</v>
      </c>
      <c r="Q208"/>
      <c r="R208"/>
      <c r="S208">
        <v>15509270.249999899</v>
      </c>
      <c r="T208"/>
      <c r="U208"/>
      <c r="V208">
        <v>2854574.1431999998</v>
      </c>
      <c r="W208"/>
      <c r="X208"/>
      <c r="Y208" t="s">
        <v>335</v>
      </c>
      <c r="Z208"/>
      <c r="AA208"/>
    </row>
    <row r="209" spans="1:27" ht="15.75" x14ac:dyDescent="0.25">
      <c r="A209" t="str">
        <f>$B209&amp;$C209&amp;$D209&amp;IF(AND(D209="Brand",Y209="a"),Y209,"")</f>
        <v>20186Branda</v>
      </c>
      <c r="B209">
        <v>2018</v>
      </c>
      <c r="C209">
        <v>6</v>
      </c>
      <c r="D209" t="s">
        <v>10</v>
      </c>
      <c r="E209">
        <v>443601</v>
      </c>
      <c r="F209">
        <v>42.097427532850404</v>
      </c>
      <c r="G209">
        <v>9.0599439311453303</v>
      </c>
      <c r="H209">
        <v>4.3561202668614296</v>
      </c>
      <c r="I209">
        <v>5454093</v>
      </c>
      <c r="J209">
        <v>3922091</v>
      </c>
      <c r="K209">
        <v>-1440</v>
      </c>
      <c r="L209">
        <v>679852</v>
      </c>
      <c r="M209">
        <v>781250</v>
      </c>
      <c r="N209"/>
      <c r="O209"/>
      <c r="P209">
        <v>627170</v>
      </c>
      <c r="Q209"/>
      <c r="R209"/>
      <c r="S209">
        <v>14418248.5</v>
      </c>
      <c r="T209"/>
      <c r="U209"/>
      <c r="V209">
        <v>2561394.4542999999</v>
      </c>
      <c r="W209"/>
      <c r="X209"/>
      <c r="Y209" t="s">
        <v>335</v>
      </c>
      <c r="Z209"/>
      <c r="AA209"/>
    </row>
    <row r="210" spans="1:27" ht="15.75" x14ac:dyDescent="0.25">
      <c r="A210" t="str">
        <f>$B210&amp;$C210&amp;$D210&amp;IF(AND(D210="Brand",Y210="a"),Y210,"")</f>
        <v>20187Branda</v>
      </c>
      <c r="B210">
        <v>2018</v>
      </c>
      <c r="C210">
        <v>7</v>
      </c>
      <c r="D210" t="s">
        <v>10</v>
      </c>
      <c r="E210">
        <v>418976</v>
      </c>
      <c r="F210">
        <v>39.233180505565898</v>
      </c>
      <c r="G210">
        <v>9.1635141363705799</v>
      </c>
      <c r="H210">
        <v>4.25416749980905</v>
      </c>
      <c r="I210">
        <v>5085315</v>
      </c>
      <c r="J210">
        <v>4190140</v>
      </c>
      <c r="K210">
        <v>-1568</v>
      </c>
      <c r="L210">
        <v>57946</v>
      </c>
      <c r="M210">
        <v>229523</v>
      </c>
      <c r="N210"/>
      <c r="O210"/>
      <c r="P210">
        <v>480444</v>
      </c>
      <c r="Q210"/>
      <c r="R210"/>
      <c r="S210">
        <v>12765914.800000001</v>
      </c>
      <c r="T210"/>
      <c r="U210"/>
      <c r="V210">
        <v>2236445.9024</v>
      </c>
      <c r="W210"/>
      <c r="X210"/>
      <c r="Y210" t="s">
        <v>335</v>
      </c>
      <c r="Z210"/>
      <c r="AA210"/>
    </row>
    <row r="211" spans="1:27" ht="15.75" x14ac:dyDescent="0.25">
      <c r="A211" t="str">
        <f>$B211&amp;$C211&amp;$D211&amp;IF(AND(D211="Brand",Y211="a"),Y211,"")</f>
        <v>20188Branda</v>
      </c>
      <c r="B211">
        <v>2018</v>
      </c>
      <c r="C211">
        <v>8</v>
      </c>
      <c r="D211" t="s">
        <v>10</v>
      </c>
      <c r="E211">
        <v>495798</v>
      </c>
      <c r="F211">
        <v>37.749004237814503</v>
      </c>
      <c r="G211">
        <v>9.9145890366641201</v>
      </c>
      <c r="H211">
        <v>4.2784584052376102</v>
      </c>
      <c r="I211">
        <v>4638555</v>
      </c>
      <c r="J211">
        <v>4599437</v>
      </c>
      <c r="K211">
        <v>1541</v>
      </c>
      <c r="L211">
        <v>63336</v>
      </c>
      <c r="M211">
        <v>86822</v>
      </c>
      <c r="N211"/>
      <c r="O211"/>
      <c r="P211">
        <v>458994</v>
      </c>
      <c r="Q211"/>
      <c r="R211"/>
      <c r="S211">
        <v>10853565.2999999</v>
      </c>
      <c r="T211"/>
      <c r="U211"/>
      <c r="V211">
        <v>1980162.8003</v>
      </c>
      <c r="W211"/>
      <c r="X211"/>
      <c r="Y211" t="s">
        <v>335</v>
      </c>
      <c r="Z211"/>
      <c r="AA211"/>
    </row>
    <row r="212" spans="1:27" ht="15.75" x14ac:dyDescent="0.25">
      <c r="A212" t="str">
        <f>$B212&amp;$C212&amp;$D212&amp;IF(AND(D212="Brand",Y212="a"),Y212,"")</f>
        <v>20189Branda</v>
      </c>
      <c r="B212">
        <v>2018</v>
      </c>
      <c r="C212">
        <v>9</v>
      </c>
      <c r="D212" t="s">
        <v>10</v>
      </c>
      <c r="E212">
        <v>277837</v>
      </c>
      <c r="F212">
        <v>44.277382795667897</v>
      </c>
      <c r="G212">
        <v>8.7960655758592292</v>
      </c>
      <c r="H212">
        <v>4.1286579397272396</v>
      </c>
      <c r="I212">
        <v>4431317</v>
      </c>
      <c r="J212">
        <v>4583341</v>
      </c>
      <c r="K212">
        <v>811</v>
      </c>
      <c r="L212">
        <v>73881</v>
      </c>
      <c r="M212">
        <v>88898</v>
      </c>
      <c r="N212"/>
      <c r="O212"/>
      <c r="P212">
        <v>68662</v>
      </c>
      <c r="Q212"/>
      <c r="R212"/>
      <c r="S212">
        <v>2029288.9</v>
      </c>
      <c r="T212"/>
      <c r="U212"/>
      <c r="V212">
        <v>430933.76429999998</v>
      </c>
      <c r="W212"/>
      <c r="X212"/>
      <c r="Y212" t="s">
        <v>335</v>
      </c>
      <c r="Z212"/>
      <c r="AA212"/>
    </row>
    <row r="213" spans="1:27" ht="15.75" x14ac:dyDescent="0.25">
      <c r="A213" t="str">
        <f>$B213&amp;$C213&amp;$D213&amp;IF(AND(D213="Brand",Y213="a"),Y213,"")</f>
        <v>201810Branda</v>
      </c>
      <c r="B213">
        <v>2018</v>
      </c>
      <c r="C213">
        <v>10</v>
      </c>
      <c r="D213" t="s">
        <v>10</v>
      </c>
      <c r="E213">
        <v>249127</v>
      </c>
      <c r="F213">
        <v>43.637930433072199</v>
      </c>
      <c r="G213">
        <v>10.0641451889999</v>
      </c>
      <c r="H213">
        <v>4.1553206416807402</v>
      </c>
      <c r="I213">
        <v>5519339</v>
      </c>
      <c r="J213">
        <v>3256644</v>
      </c>
      <c r="K213">
        <v>-16803</v>
      </c>
      <c r="L213">
        <v>1390502</v>
      </c>
      <c r="M213">
        <v>1668439</v>
      </c>
      <c r="N213"/>
      <c r="O213"/>
      <c r="P213">
        <v>358578</v>
      </c>
      <c r="Q213"/>
      <c r="R213"/>
      <c r="S213">
        <v>8821992.0999999996</v>
      </c>
      <c r="T213"/>
      <c r="U213"/>
      <c r="V213">
        <v>1590832.0257999999</v>
      </c>
      <c r="W213"/>
      <c r="X213"/>
      <c r="Y213" t="s">
        <v>335</v>
      </c>
      <c r="Z213"/>
      <c r="AA213"/>
    </row>
    <row r="214" spans="1:27" ht="15.75" x14ac:dyDescent="0.25">
      <c r="A214" t="str">
        <f>$B214&amp;$C214&amp;$D214&amp;IF(AND(D214="Brand",Y214="a"),Y214,"")</f>
        <v>201811Branda</v>
      </c>
      <c r="B214">
        <v>2018</v>
      </c>
      <c r="C214">
        <v>11</v>
      </c>
      <c r="D214" t="s">
        <v>10</v>
      </c>
      <c r="E214">
        <v>371806</v>
      </c>
      <c r="F214">
        <v>38.800022808131096</v>
      </c>
      <c r="G214">
        <v>9.6366038955799507</v>
      </c>
      <c r="H214">
        <v>4.2022322071187599</v>
      </c>
      <c r="I214">
        <v>5063981</v>
      </c>
      <c r="J214">
        <v>3628706</v>
      </c>
      <c r="K214">
        <v>923</v>
      </c>
      <c r="L214">
        <v>26391</v>
      </c>
      <c r="M214">
        <v>249960</v>
      </c>
      <c r="N214"/>
      <c r="O214"/>
      <c r="P214">
        <v>457219</v>
      </c>
      <c r="Q214"/>
      <c r="R214"/>
      <c r="S214">
        <v>11532439.050000001</v>
      </c>
      <c r="T214"/>
      <c r="U214"/>
      <c r="V214">
        <v>2025477.4531999901</v>
      </c>
      <c r="W214"/>
      <c r="X214"/>
      <c r="Y214" t="s">
        <v>335</v>
      </c>
      <c r="Z214"/>
      <c r="AA214"/>
    </row>
    <row r="215" spans="1:27" ht="15.75" x14ac:dyDescent="0.25">
      <c r="A215" t="str">
        <f>$B215&amp;$C215&amp;$D215&amp;IF(AND(D215="Brand",Y215="a"),Y215,"")</f>
        <v>201812Branda</v>
      </c>
      <c r="B215">
        <v>2018</v>
      </c>
      <c r="C215">
        <v>12</v>
      </c>
      <c r="D215" t="s">
        <v>10</v>
      </c>
      <c r="E215">
        <v>386907</v>
      </c>
      <c r="F215">
        <v>38.088619691036797</v>
      </c>
      <c r="G215">
        <v>9.5955002457955008</v>
      </c>
      <c r="H215">
        <v>4.1752775439575904</v>
      </c>
      <c r="I215">
        <v>4706539</v>
      </c>
      <c r="J215">
        <v>3615177</v>
      </c>
      <c r="K215">
        <v>-8527</v>
      </c>
      <c r="L215">
        <v>49756</v>
      </c>
      <c r="M215">
        <v>75630</v>
      </c>
      <c r="N215"/>
      <c r="O215"/>
      <c r="P215">
        <v>50668</v>
      </c>
      <c r="Q215"/>
      <c r="R215"/>
      <c r="S215">
        <v>1365496.6</v>
      </c>
      <c r="T215"/>
      <c r="U215"/>
      <c r="V215">
        <v>236326.7917</v>
      </c>
      <c r="W215"/>
      <c r="X215"/>
      <c r="Y215" t="s">
        <v>335</v>
      </c>
      <c r="Z215"/>
      <c r="AA215"/>
    </row>
    <row r="216" spans="1:27" ht="15.75" x14ac:dyDescent="0.25">
      <c r="A216" t="str">
        <f>$B216&amp;$C216&amp;$D216&amp;IF(AND(D216="Brand",Y216="a"),Y216,"")</f>
        <v>201813Branda</v>
      </c>
      <c r="B216">
        <v>2018</v>
      </c>
      <c r="C216">
        <v>13</v>
      </c>
      <c r="D216" t="s">
        <v>10</v>
      </c>
      <c r="E216">
        <v>320543</v>
      </c>
      <c r="F216">
        <v>37.164753136396598</v>
      </c>
      <c r="G216">
        <v>10.262582657552899</v>
      </c>
      <c r="H216">
        <v>4.1668345020792801</v>
      </c>
      <c r="I216">
        <v>4827592</v>
      </c>
      <c r="J216">
        <v>3550128</v>
      </c>
      <c r="K216">
        <v>-33507</v>
      </c>
      <c r="L216">
        <v>444511</v>
      </c>
      <c r="M216">
        <v>508580</v>
      </c>
      <c r="N216"/>
      <c r="O216"/>
      <c r="P216">
        <v>474340</v>
      </c>
      <c r="Q216"/>
      <c r="R216"/>
      <c r="S216">
        <v>11734366</v>
      </c>
      <c r="T216"/>
      <c r="U216"/>
      <c r="V216">
        <v>1959649.2675999999</v>
      </c>
      <c r="W216"/>
      <c r="X216"/>
      <c r="Y216" t="s">
        <v>335</v>
      </c>
      <c r="Z216"/>
      <c r="AA216"/>
    </row>
    <row r="217" spans="1:27" ht="15.75" x14ac:dyDescent="0.25">
      <c r="A217" t="str">
        <f>$B217&amp;$C217&amp;$D217&amp;IF(AND(D217="Brand",Y217="a"),Y217,"")</f>
        <v>201814Branda</v>
      </c>
      <c r="B217">
        <v>2018</v>
      </c>
      <c r="C217">
        <v>14</v>
      </c>
      <c r="D217" t="s">
        <v>10</v>
      </c>
      <c r="E217">
        <v>343897</v>
      </c>
      <c r="F217">
        <v>52.075757090349697</v>
      </c>
      <c r="G217">
        <v>9.1156631508852897</v>
      </c>
      <c r="H217">
        <v>4.1429058401207302</v>
      </c>
      <c r="I217">
        <v>4550119</v>
      </c>
      <c r="J217">
        <v>3796000</v>
      </c>
      <c r="K217">
        <v>783</v>
      </c>
      <c r="L217">
        <v>79477</v>
      </c>
      <c r="M217">
        <v>131309</v>
      </c>
      <c r="N217"/>
      <c r="O217"/>
      <c r="P217">
        <v>363627</v>
      </c>
      <c r="Q217"/>
      <c r="R217"/>
      <c r="S217">
        <v>9335005.5999999996</v>
      </c>
      <c r="T217"/>
      <c r="U217"/>
      <c r="V217">
        <v>1538209.6963</v>
      </c>
      <c r="W217"/>
      <c r="X217"/>
      <c r="Y217" t="s">
        <v>335</v>
      </c>
      <c r="Z217"/>
      <c r="AA217"/>
    </row>
    <row r="218" spans="1:27" ht="15.75" x14ac:dyDescent="0.25">
      <c r="A218" t="str">
        <f>$B218&amp;$C218&amp;$D218&amp;IF(AND(D218="Brand",Y218="a"),Y218,"")</f>
        <v>201815Branda</v>
      </c>
      <c r="B218">
        <v>2018</v>
      </c>
      <c r="C218">
        <v>15</v>
      </c>
      <c r="D218" t="s">
        <v>10</v>
      </c>
      <c r="E218">
        <v>348808</v>
      </c>
      <c r="F218">
        <v>49.870728470963897</v>
      </c>
      <c r="G218">
        <v>8.5255490100570999</v>
      </c>
      <c r="H218">
        <v>4.0908221207655702</v>
      </c>
      <c r="I218">
        <v>4016025</v>
      </c>
      <c r="J218">
        <v>3697635</v>
      </c>
      <c r="K218">
        <v>-1652</v>
      </c>
      <c r="L218">
        <v>104557</v>
      </c>
      <c r="M218">
        <v>425122</v>
      </c>
      <c r="N218"/>
      <c r="O218"/>
      <c r="P218">
        <v>38390</v>
      </c>
      <c r="Q218"/>
      <c r="R218"/>
      <c r="S218">
        <v>794686.55</v>
      </c>
      <c r="T218"/>
      <c r="U218"/>
      <c r="V218">
        <v>159376.10699999999</v>
      </c>
      <c r="W218"/>
      <c r="X218"/>
      <c r="Y218" t="s">
        <v>335</v>
      </c>
      <c r="Z218"/>
      <c r="AA218"/>
    </row>
    <row r="219" spans="1:27" ht="15.75" x14ac:dyDescent="0.25">
      <c r="A219" t="str">
        <f>$B219&amp;$C219&amp;$D219&amp;IF(AND(D219="Brand",Y219="a"),Y219,"")</f>
        <v>201816Branda</v>
      </c>
      <c r="B219">
        <v>2018</v>
      </c>
      <c r="C219">
        <v>16</v>
      </c>
      <c r="D219" t="s">
        <v>10</v>
      </c>
      <c r="E219">
        <v>394037</v>
      </c>
      <c r="F219">
        <v>42.805392588766999</v>
      </c>
      <c r="G219">
        <v>8.1157813913414198</v>
      </c>
      <c r="H219">
        <v>4.0453607544469099</v>
      </c>
      <c r="I219">
        <v>4129028</v>
      </c>
      <c r="J219">
        <v>3154419</v>
      </c>
      <c r="K219">
        <v>-10536</v>
      </c>
      <c r="L219">
        <v>560147</v>
      </c>
      <c r="M219">
        <v>681682</v>
      </c>
      <c r="N219"/>
      <c r="O219"/>
      <c r="P219">
        <v>87175</v>
      </c>
      <c r="Q219"/>
      <c r="R219"/>
      <c r="S219">
        <v>2616959</v>
      </c>
      <c r="T219"/>
      <c r="U219"/>
      <c r="V219">
        <v>540814.15500000003</v>
      </c>
      <c r="W219"/>
      <c r="X219"/>
      <c r="Y219" t="s">
        <v>335</v>
      </c>
      <c r="Z219"/>
      <c r="AA219"/>
    </row>
    <row r="220" spans="1:27" ht="15.75" x14ac:dyDescent="0.25">
      <c r="A220" t="str">
        <f>$B220&amp;$C220&amp;$D220&amp;IF(AND(D220="Brand",Y220="a"),Y220,"")</f>
        <v>201817Branda</v>
      </c>
      <c r="B220">
        <v>2018</v>
      </c>
      <c r="C220">
        <v>17</v>
      </c>
      <c r="D220" t="s">
        <v>10</v>
      </c>
      <c r="E220">
        <v>383492</v>
      </c>
      <c r="F220">
        <v>39.818008154016198</v>
      </c>
      <c r="G220">
        <v>8.43733203639189</v>
      </c>
      <c r="H220">
        <v>4.0640388863392101</v>
      </c>
      <c r="I220">
        <v>3787373</v>
      </c>
      <c r="J220">
        <v>3392222</v>
      </c>
      <c r="K220">
        <v>-11312</v>
      </c>
      <c r="L220">
        <v>3147</v>
      </c>
      <c r="M220">
        <v>6082</v>
      </c>
      <c r="N220"/>
      <c r="O220"/>
      <c r="P220">
        <v>302390</v>
      </c>
      <c r="Q220"/>
      <c r="R220"/>
      <c r="S220">
        <v>7485629.0899999999</v>
      </c>
      <c r="T220"/>
      <c r="U220"/>
      <c r="V220">
        <v>1429323.2868999999</v>
      </c>
      <c r="W220"/>
      <c r="X220"/>
      <c r="Y220" t="s">
        <v>335</v>
      </c>
      <c r="Z220"/>
      <c r="AA220"/>
    </row>
    <row r="221" spans="1:27" ht="15.75" x14ac:dyDescent="0.25">
      <c r="A221" t="str">
        <f>$B221&amp;$C221&amp;$D221&amp;IF(AND(D221="Brand",Y221="a"),Y221,"")</f>
        <v>201818Branda</v>
      </c>
      <c r="B221">
        <v>2018</v>
      </c>
      <c r="C221">
        <v>18</v>
      </c>
      <c r="D221" t="s">
        <v>10</v>
      </c>
      <c r="E221">
        <v>381450</v>
      </c>
      <c r="F221">
        <v>36.778017956744002</v>
      </c>
      <c r="G221">
        <v>8.3359303405426601</v>
      </c>
      <c r="H221">
        <v>4.0994200288373301</v>
      </c>
      <c r="I221">
        <v>3520896</v>
      </c>
      <c r="J221">
        <v>3534797</v>
      </c>
      <c r="K221">
        <v>9539</v>
      </c>
      <c r="L221">
        <v>222856</v>
      </c>
      <c r="M221">
        <v>518933</v>
      </c>
      <c r="N221"/>
      <c r="O221"/>
      <c r="P221">
        <v>520087</v>
      </c>
      <c r="Q221"/>
      <c r="R221"/>
      <c r="S221">
        <v>14100371.2999999</v>
      </c>
      <c r="T221"/>
      <c r="U221"/>
      <c r="V221">
        <v>2546881.5178</v>
      </c>
      <c r="W221"/>
      <c r="X221"/>
      <c r="Y221" t="s">
        <v>335</v>
      </c>
      <c r="Z221"/>
      <c r="AA221"/>
    </row>
    <row r="222" spans="1:27" ht="15.75" x14ac:dyDescent="0.25">
      <c r="A222" t="str">
        <f>$B222&amp;$C222&amp;$D222&amp;IF(AND(D222="Brand",Y222="a"),Y222,"")</f>
        <v>201819Branda</v>
      </c>
      <c r="B222">
        <v>2018</v>
      </c>
      <c r="C222">
        <v>19</v>
      </c>
      <c r="D222" t="s">
        <v>10</v>
      </c>
      <c r="E222">
        <v>380320</v>
      </c>
      <c r="F222">
        <v>36.648240621581799</v>
      </c>
      <c r="G222">
        <v>8.3993601177955401</v>
      </c>
      <c r="H222">
        <v>4.0973584134413104</v>
      </c>
      <c r="I222">
        <v>3506157</v>
      </c>
      <c r="J222">
        <v>3884999</v>
      </c>
      <c r="K222">
        <v>-538</v>
      </c>
      <c r="L222">
        <v>323208</v>
      </c>
      <c r="M222">
        <v>393078</v>
      </c>
      <c r="N222"/>
      <c r="O222"/>
      <c r="P222">
        <v>808941</v>
      </c>
      <c r="Q222"/>
      <c r="R222"/>
      <c r="S222">
        <v>16465226.92</v>
      </c>
      <c r="T222"/>
      <c r="U222"/>
      <c r="V222">
        <v>3332885.3739999998</v>
      </c>
      <c r="W222"/>
      <c r="X222"/>
      <c r="Y222" t="s">
        <v>335</v>
      </c>
      <c r="Z222"/>
      <c r="AA222"/>
    </row>
    <row r="223" spans="1:27" ht="15.75" x14ac:dyDescent="0.25">
      <c r="A223" t="str">
        <f>$B223&amp;$C223&amp;$D223&amp;IF(AND(D223="Brand",Y223="a"),Y223,"")</f>
        <v>201820Branda</v>
      </c>
      <c r="B223">
        <v>2018</v>
      </c>
      <c r="C223">
        <v>20</v>
      </c>
      <c r="D223" t="s">
        <v>10</v>
      </c>
      <c r="E223">
        <v>345537</v>
      </c>
      <c r="F223">
        <v>38.607875359512803</v>
      </c>
      <c r="G223">
        <v>8.4102119888752807</v>
      </c>
      <c r="H223">
        <v>4.1315690091075599</v>
      </c>
      <c r="I223">
        <v>3214236</v>
      </c>
      <c r="J223">
        <v>5158461</v>
      </c>
      <c r="K223">
        <v>6513</v>
      </c>
      <c r="L223">
        <v>44084</v>
      </c>
      <c r="M223">
        <v>24029</v>
      </c>
      <c r="N223"/>
      <c r="O223"/>
      <c r="P223">
        <v>1395389</v>
      </c>
      <c r="Q223"/>
      <c r="R223"/>
      <c r="S223">
        <v>32916503.4599999</v>
      </c>
      <c r="T223"/>
      <c r="U223"/>
      <c r="V223">
        <v>6595733.2932000002</v>
      </c>
      <c r="W223"/>
      <c r="X223"/>
      <c r="Y223" t="s">
        <v>335</v>
      </c>
      <c r="Z223"/>
      <c r="AA223"/>
    </row>
    <row r="224" spans="1:27" ht="15.75" x14ac:dyDescent="0.25">
      <c r="A224" t="str">
        <f>$B224&amp;$C224&amp;$D224&amp;IF(AND(D224="Brand",Y224="a"),Y224,"")</f>
        <v>201821Branda</v>
      </c>
      <c r="B224">
        <v>2018</v>
      </c>
      <c r="C224">
        <v>21</v>
      </c>
      <c r="D224" t="s">
        <v>10</v>
      </c>
      <c r="E224">
        <v>397441</v>
      </c>
      <c r="F224">
        <v>38.514836984105798</v>
      </c>
      <c r="G224">
        <v>7.5204489471393199</v>
      </c>
      <c r="H224">
        <v>4.1955626065252396</v>
      </c>
      <c r="I224">
        <v>2906711</v>
      </c>
      <c r="J224">
        <v>5676846</v>
      </c>
      <c r="K224">
        <v>19415</v>
      </c>
      <c r="L224">
        <v>16780</v>
      </c>
      <c r="M224">
        <v>191439</v>
      </c>
      <c r="N224"/>
      <c r="O224"/>
      <c r="P224">
        <v>706008</v>
      </c>
      <c r="Q224"/>
      <c r="R224"/>
      <c r="S224">
        <v>18944636.449999999</v>
      </c>
      <c r="T224"/>
      <c r="U224"/>
      <c r="V224">
        <v>4351324.9963999996</v>
      </c>
      <c r="W224"/>
      <c r="X224"/>
      <c r="Y224" t="s">
        <v>335</v>
      </c>
      <c r="Z224"/>
      <c r="AA224"/>
    </row>
    <row r="225" spans="1:27" ht="15.75" x14ac:dyDescent="0.25">
      <c r="A225" t="str">
        <f>$B225&amp;$C225&amp;$D225&amp;IF(AND(D225="Brand",Y225="a"),Y225,"")</f>
        <v>201822Branda</v>
      </c>
      <c r="B225">
        <v>2018</v>
      </c>
      <c r="C225">
        <v>22</v>
      </c>
      <c r="D225" t="s">
        <v>10</v>
      </c>
      <c r="E225">
        <v>467190</v>
      </c>
      <c r="F225">
        <v>37.004773678588997</v>
      </c>
      <c r="G225">
        <v>6.3042222864359196</v>
      </c>
      <c r="H225">
        <v>4.2511785066033001</v>
      </c>
      <c r="I225">
        <v>2585825</v>
      </c>
      <c r="J225">
        <v>5752781</v>
      </c>
      <c r="K225">
        <v>7545</v>
      </c>
      <c r="L225">
        <v>44074</v>
      </c>
      <c r="M225">
        <v>78387</v>
      </c>
      <c r="N225"/>
      <c r="O225"/>
      <c r="P225">
        <v>286910</v>
      </c>
      <c r="Q225"/>
      <c r="R225"/>
      <c r="S225">
        <v>7619633.8799999999</v>
      </c>
      <c r="T225"/>
      <c r="U225"/>
      <c r="V225">
        <v>1696196.58</v>
      </c>
      <c r="W225"/>
      <c r="X225"/>
      <c r="Y225" t="s">
        <v>335</v>
      </c>
      <c r="Z225"/>
      <c r="AA225"/>
    </row>
    <row r="226" spans="1:27" ht="15.7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</row>
    <row r="227" spans="1:27" ht="15.7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</row>
    <row r="228" spans="1:27" ht="15.7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</row>
  </sheetData>
  <autoFilter ref="A5:AA5"/>
  <sortState ref="A6:Y96">
    <sortCondition ref="D6:D96"/>
    <sortCondition ref="B6:B96"/>
    <sortCondition ref="C6:C96"/>
  </sortState>
  <mergeCells count="1">
    <mergeCell ref="B3:C3"/>
  </mergeCells>
  <pageMargins left="0.7" right="0.7" top="0.75" bottom="0.75" header="0.3" footer="0.3"/>
  <pageSetup scale="34" orientation="portrait" verticalDpi="24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ttings" enableFormatConditionsCalculation="0">
    <tabColor theme="7"/>
  </sheetPr>
  <dimension ref="A1:BA482"/>
  <sheetViews>
    <sheetView showGridLines="0" zoomScale="90" zoomScaleNormal="90" zoomScalePageLayoutView="80" workbookViewId="0">
      <selection activeCell="C15" sqref="C15"/>
    </sheetView>
  </sheetViews>
  <sheetFormatPr defaultColWidth="27.625" defaultRowHeight="15.75" x14ac:dyDescent="0.25"/>
  <cols>
    <col min="1" max="1" width="11.375" bestFit="1" customWidth="1"/>
    <col min="2" max="2" width="1.875" customWidth="1"/>
    <col min="3" max="3" width="9.5" bestFit="1" customWidth="1"/>
    <col min="4" max="4" width="1.875" customWidth="1"/>
    <col min="5" max="5" width="5.5" bestFit="1" customWidth="1"/>
    <col min="6" max="6" width="2.5" customWidth="1"/>
    <col min="7" max="7" width="15.125" bestFit="1" customWidth="1"/>
    <col min="8" max="8" width="2.875" customWidth="1"/>
    <col min="9" max="9" width="16.5" bestFit="1" customWidth="1"/>
    <col min="10" max="10" width="3.125" customWidth="1"/>
    <col min="11" max="11" width="11.375" bestFit="1" customWidth="1"/>
    <col min="12" max="12" width="6.375" bestFit="1" customWidth="1"/>
    <col min="13" max="13" width="6.125" customWidth="1"/>
    <col min="14" max="14" width="11.375" bestFit="1" customWidth="1"/>
    <col min="15" max="15" width="7.625" bestFit="1" customWidth="1"/>
    <col min="16" max="16" width="11.625" customWidth="1"/>
    <col min="17" max="17" width="41.25" bestFit="1" customWidth="1"/>
    <col min="18" max="18" width="30.25" style="9" bestFit="1" customWidth="1"/>
    <col min="19" max="19" width="10.25" bestFit="1" customWidth="1"/>
    <col min="20" max="20" width="11.375" bestFit="1" customWidth="1"/>
    <col min="21" max="21" width="15.125" bestFit="1" customWidth="1"/>
    <col min="22" max="22" width="30.625" bestFit="1" customWidth="1"/>
    <col min="23" max="23" width="31.75" bestFit="1" customWidth="1"/>
    <col min="24" max="25" width="9.125" customWidth="1"/>
    <col min="26" max="26" width="13.375" bestFit="1" customWidth="1" collapsed="1"/>
    <col min="27" max="27" width="5.625" bestFit="1" customWidth="1"/>
    <col min="28" max="28" width="3.625" bestFit="1" customWidth="1"/>
    <col min="29" max="29" width="17.5" bestFit="1" customWidth="1"/>
    <col min="30" max="30" width="8" bestFit="1" customWidth="1"/>
    <col min="31" max="31" width="2.125" bestFit="1" customWidth="1"/>
    <col min="32" max="32" width="6.875" customWidth="1"/>
    <col min="33" max="33" width="23.875" bestFit="1" customWidth="1"/>
    <col min="34" max="34" width="11.375" bestFit="1" customWidth="1"/>
    <col min="35" max="35" width="8.125" bestFit="1" customWidth="1"/>
    <col min="36" max="36" width="7.75" bestFit="1" customWidth="1"/>
    <col min="37" max="37" width="5.75" bestFit="1" customWidth="1"/>
    <col min="38" max="38" width="8.75" bestFit="1" customWidth="1"/>
    <col min="39" max="39" width="6.625" customWidth="1"/>
    <col min="40" max="40" width="35.25" style="9" bestFit="1" customWidth="1"/>
    <col min="41" max="41" width="11.375" bestFit="1" customWidth="1"/>
    <col min="42" max="42" width="8" bestFit="1" customWidth="1"/>
    <col min="43" max="43" width="7.625" bestFit="1" customWidth="1"/>
    <col min="44" max="44" width="5.5" bestFit="1" customWidth="1"/>
    <col min="45" max="45" width="15.125" bestFit="1" customWidth="1"/>
    <col min="46" max="46" width="30.875" bestFit="1" customWidth="1"/>
    <col min="47" max="47" width="7.625" bestFit="1" customWidth="1"/>
    <col min="48" max="48" width="6.5" bestFit="1" customWidth="1"/>
    <col min="49" max="49" width="9.5" bestFit="1" customWidth="1"/>
    <col min="50" max="50" width="12.125" bestFit="1" customWidth="1"/>
    <col min="51" max="51" width="12.375" bestFit="1" customWidth="1"/>
    <col min="52" max="52" width="9.375" bestFit="1" customWidth="1"/>
  </cols>
  <sheetData>
    <row r="1" spans="1:53" x14ac:dyDescent="0.25">
      <c r="A1" s="222" t="s">
        <v>10</v>
      </c>
      <c r="B1" s="11"/>
      <c r="C1" s="12" t="s">
        <v>11</v>
      </c>
      <c r="D1" s="11"/>
      <c r="E1" s="10" t="s">
        <v>20</v>
      </c>
      <c r="F1" s="13"/>
      <c r="G1" s="10" t="s">
        <v>12</v>
      </c>
      <c r="H1" s="14"/>
      <c r="I1" s="10" t="s">
        <v>37</v>
      </c>
      <c r="K1" s="425" t="s">
        <v>51</v>
      </c>
      <c r="L1" s="426"/>
      <c r="N1" s="427" t="s">
        <v>309</v>
      </c>
      <c r="O1" s="428"/>
      <c r="Q1" s="214" t="s">
        <v>52</v>
      </c>
      <c r="R1" s="216" t="s">
        <v>52</v>
      </c>
      <c r="S1" s="215" t="s">
        <v>419</v>
      </c>
      <c r="T1" s="217" t="s">
        <v>10</v>
      </c>
      <c r="U1" s="217" t="s">
        <v>53</v>
      </c>
      <c r="V1" s="217" t="s">
        <v>54</v>
      </c>
      <c r="W1" s="218" t="s">
        <v>55</v>
      </c>
      <c r="X1" s="344" t="s">
        <v>479</v>
      </c>
      <c r="Z1" s="15" t="s">
        <v>56</v>
      </c>
      <c r="AA1" s="16" t="s">
        <v>57</v>
      </c>
      <c r="AB1" s="16" t="s">
        <v>58</v>
      </c>
      <c r="AC1" s="17" t="s">
        <v>59</v>
      </c>
      <c r="AG1" s="111" t="s">
        <v>52</v>
      </c>
      <c r="AH1" s="112" t="s">
        <v>10</v>
      </c>
      <c r="AI1" s="112" t="s">
        <v>11</v>
      </c>
      <c r="AJ1" s="112" t="s">
        <v>306</v>
      </c>
      <c r="AK1" s="112" t="s">
        <v>0</v>
      </c>
      <c r="AL1" s="113" t="s">
        <v>7</v>
      </c>
      <c r="AN1" s="120" t="s">
        <v>52</v>
      </c>
      <c r="AO1" s="117" t="s">
        <v>360</v>
      </c>
      <c r="AP1" s="117" t="s">
        <v>362</v>
      </c>
      <c r="AQ1" s="117" t="s">
        <v>361</v>
      </c>
      <c r="AR1" s="117" t="s">
        <v>329</v>
      </c>
      <c r="AS1" s="117" t="s">
        <v>363</v>
      </c>
      <c r="AT1" s="117" t="s">
        <v>364</v>
      </c>
      <c r="AU1" s="117" t="s">
        <v>331</v>
      </c>
      <c r="AV1" s="117" t="s">
        <v>333</v>
      </c>
      <c r="AW1" s="117" t="s">
        <v>365</v>
      </c>
      <c r="AX1" s="117" t="s">
        <v>366</v>
      </c>
      <c r="AY1" s="117" t="s">
        <v>367</v>
      </c>
      <c r="AZ1" s="117" t="s">
        <v>368</v>
      </c>
      <c r="BA1" s="118" t="s">
        <v>369</v>
      </c>
    </row>
    <row r="2" spans="1:53" x14ac:dyDescent="0.25">
      <c r="A2" s="18" t="s">
        <v>14</v>
      </c>
      <c r="B2" s="1"/>
      <c r="C2" s="85" t="s">
        <v>5</v>
      </c>
      <c r="D2" s="19"/>
      <c r="E2" s="18">
        <v>2018</v>
      </c>
      <c r="F2" s="18"/>
      <c r="G2" s="219" t="s">
        <v>16</v>
      </c>
      <c r="H2" s="1"/>
      <c r="I2" s="85" t="s">
        <v>38</v>
      </c>
      <c r="K2" s="83" t="s">
        <v>14</v>
      </c>
      <c r="L2" s="84" t="s">
        <v>5</v>
      </c>
      <c r="M2" s="39"/>
      <c r="N2" s="40" t="s">
        <v>14</v>
      </c>
      <c r="O2" s="11" t="s">
        <v>307</v>
      </c>
      <c r="P2" s="14"/>
      <c r="Q2" s="109" t="str">
        <f t="shared" ref="Q2:Q33" si="0">T2&amp;V2</f>
        <v>Crazy 8GY C8 18 EASTER CAP</v>
      </c>
      <c r="R2" s="27" t="str">
        <f t="shared" ref="R2:R33" si="1">S2&amp;T2&amp;U2</f>
        <v>2018Crazy 8Spring</v>
      </c>
      <c r="S2" s="343">
        <v>2018</v>
      </c>
      <c r="T2" s="343" t="s">
        <v>60</v>
      </c>
      <c r="U2" s="343" t="s">
        <v>16</v>
      </c>
      <c r="V2" s="343" t="s">
        <v>95</v>
      </c>
      <c r="W2" s="343" t="s">
        <v>96</v>
      </c>
      <c r="X2" s="22">
        <f t="shared" ref="X2:X33" si="2">MATCH(U2,ListSeason,0)</f>
        <v>1</v>
      </c>
      <c r="Y2" s="22"/>
      <c r="Z2" s="23" t="s">
        <v>63</v>
      </c>
      <c r="AA2" s="24">
        <f ca="1">MATCH(FiscalYr&amp;Brand&amp;Season,OFFSET(tblFC,,,,1),0)</f>
        <v>57</v>
      </c>
      <c r="AB2" s="24">
        <f ca="1">COUNTIF(OFFSET(tblFC,,,,1),FiscalYr&amp;Brand&amp;Season)</f>
        <v>6</v>
      </c>
      <c r="AC2" s="25" t="e">
        <f ca="1">OFFSET(OFFSET(tblFC,,4,,1),MATCH(FiscalYr&amp;Brand&amp;Season,OFFSET(tblFC,,,,1),0)-1,,COUNTIF(OFFSET(tblFC,,,,1),FiscalYr&amp;Brand&amp;Season),1)</f>
        <v>#VALUE!</v>
      </c>
      <c r="AG2" s="114" t="str">
        <f>AH2&amp;AI2&amp;AJ2&amp;AK2</f>
        <v>OutletOutletUSA1</v>
      </c>
      <c r="AH2" s="115" t="s">
        <v>17</v>
      </c>
      <c r="AI2" s="115" t="s">
        <v>17</v>
      </c>
      <c r="AJ2" s="115" t="s">
        <v>307</v>
      </c>
      <c r="AK2" s="115">
        <v>1</v>
      </c>
      <c r="AL2" s="116">
        <v>0.4</v>
      </c>
      <c r="AN2" s="121" t="str">
        <f>AO2&amp;AQ2&amp;AP2&amp;AT2</f>
        <v>OutletUSAOutletGY 18 OUTLET SB1</v>
      </c>
      <c r="AO2" s="115" t="s">
        <v>17</v>
      </c>
      <c r="AP2" s="115" t="s">
        <v>17</v>
      </c>
      <c r="AQ2" s="115" t="s">
        <v>307</v>
      </c>
      <c r="AR2" s="129">
        <v>2018</v>
      </c>
      <c r="AS2" s="129" t="s">
        <v>71</v>
      </c>
      <c r="AT2" s="129" t="s">
        <v>234</v>
      </c>
      <c r="AU2" s="115">
        <v>16.510000000000002</v>
      </c>
      <c r="AV2" s="115">
        <v>3.13</v>
      </c>
      <c r="AW2" s="115">
        <v>641592</v>
      </c>
      <c r="AX2" s="115">
        <v>0.66</v>
      </c>
      <c r="AY2" s="115">
        <v>201751</v>
      </c>
      <c r="AZ2" s="115">
        <v>20</v>
      </c>
      <c r="BA2" s="116" t="s">
        <v>235</v>
      </c>
    </row>
    <row r="3" spans="1:53" x14ac:dyDescent="0.25">
      <c r="A3" s="18" t="s">
        <v>17</v>
      </c>
      <c r="B3" s="1"/>
      <c r="C3" s="18" t="s">
        <v>15</v>
      </c>
      <c r="D3" s="19"/>
      <c r="E3" s="18">
        <v>2019</v>
      </c>
      <c r="F3" s="18"/>
      <c r="G3" s="220" t="s">
        <v>18</v>
      </c>
      <c r="H3" s="1"/>
      <c r="I3" s="18" t="s">
        <v>39</v>
      </c>
      <c r="K3" s="20" t="s">
        <v>14</v>
      </c>
      <c r="L3" s="21" t="s">
        <v>15</v>
      </c>
      <c r="M3" s="39"/>
      <c r="N3" s="20" t="s">
        <v>14</v>
      </c>
      <c r="O3" s="41" t="s">
        <v>308</v>
      </c>
      <c r="P3" s="14"/>
      <c r="Q3" s="109" t="str">
        <f t="shared" si="0"/>
        <v>Crazy 8GY C8 18 EASTER REFRESH</v>
      </c>
      <c r="R3" s="27" t="str">
        <f t="shared" si="1"/>
        <v>2018Crazy 8Spring</v>
      </c>
      <c r="S3" s="343">
        <v>2018</v>
      </c>
      <c r="T3" s="343" t="s">
        <v>60</v>
      </c>
      <c r="U3" s="343" t="s">
        <v>16</v>
      </c>
      <c r="V3" s="343" t="s">
        <v>101</v>
      </c>
      <c r="W3" s="343" t="s">
        <v>102</v>
      </c>
      <c r="X3" s="22">
        <f t="shared" si="2"/>
        <v>1</v>
      </c>
      <c r="Y3" s="22"/>
      <c r="Z3" s="28" t="s">
        <v>11</v>
      </c>
      <c r="AA3" s="29">
        <f ca="1">MATCH(Brand,OFFSET(tblBrandChannel,,,,1),0)-1</f>
        <v>0</v>
      </c>
      <c r="AB3" s="29">
        <f ca="1">COUNTIF(OFFSET(tblBrandChannel,,,,1),Brand)</f>
        <v>2</v>
      </c>
      <c r="AC3" s="26" t="str">
        <f ca="1">OFFSET(OFFSET(tblBrandChannel,,1,,1),MATCH(Brand,OFFSET(tblBrandChannel,,,,1),0)-1,,COUNTIF(OFFSET(tblBrandChannel,,,,1),Brand),1)</f>
        <v>Web</v>
      </c>
      <c r="AG3" s="27" t="str">
        <f t="shared" ref="AG3:AG66" si="3">AH3&amp;AI3&amp;AJ3&amp;AK3</f>
        <v>OutletOutletUSA2</v>
      </c>
      <c r="AH3" s="1" t="s">
        <v>17</v>
      </c>
      <c r="AI3" s="1" t="s">
        <v>17</v>
      </c>
      <c r="AJ3" s="1" t="s">
        <v>307</v>
      </c>
      <c r="AK3" s="1">
        <v>2</v>
      </c>
      <c r="AL3" s="19">
        <v>0.4</v>
      </c>
      <c r="AN3" s="109" t="str">
        <f t="shared" ref="AN3:AN66" si="4">AO3&amp;AQ3&amp;AP3&amp;AT3</f>
        <v>OutletUSAOutletGY 18 OUTLET SB2</v>
      </c>
      <c r="AO3" s="1" t="s">
        <v>17</v>
      </c>
      <c r="AP3" s="1" t="s">
        <v>17</v>
      </c>
      <c r="AQ3" s="1" t="s">
        <v>307</v>
      </c>
      <c r="AR3" s="130">
        <v>2018</v>
      </c>
      <c r="AS3" s="130" t="s">
        <v>71</v>
      </c>
      <c r="AT3" s="130" t="s">
        <v>236</v>
      </c>
      <c r="AU3" s="1">
        <v>25.99</v>
      </c>
      <c r="AV3" s="1">
        <v>5.31</v>
      </c>
      <c r="AW3" s="1">
        <v>470026</v>
      </c>
      <c r="AX3" s="1">
        <v>0.78</v>
      </c>
      <c r="AY3" s="1">
        <v>201821</v>
      </c>
      <c r="AZ3" s="1">
        <v>20</v>
      </c>
      <c r="BA3" s="19" t="s">
        <v>237</v>
      </c>
    </row>
    <row r="4" spans="1:53" x14ac:dyDescent="0.25">
      <c r="A4" s="18" t="s">
        <v>60</v>
      </c>
      <c r="B4" s="1"/>
      <c r="C4" s="30" t="s">
        <v>17</v>
      </c>
      <c r="E4" s="18"/>
      <c r="F4" s="18"/>
      <c r="G4" s="220" t="s">
        <v>33</v>
      </c>
      <c r="H4" s="1"/>
      <c r="I4" s="18" t="s">
        <v>40</v>
      </c>
      <c r="K4" s="20" t="s">
        <v>17</v>
      </c>
      <c r="L4" s="19" t="s">
        <v>17</v>
      </c>
      <c r="M4" s="1"/>
      <c r="N4" s="20" t="s">
        <v>17</v>
      </c>
      <c r="O4" s="19" t="s">
        <v>307</v>
      </c>
      <c r="P4" s="1"/>
      <c r="Q4" s="109" t="str">
        <f t="shared" si="0"/>
        <v>Crazy 8GY C8 18 PRE SUMMER</v>
      </c>
      <c r="R4" s="27" t="str">
        <f t="shared" si="1"/>
        <v>2018Crazy 8Spring</v>
      </c>
      <c r="S4" s="343">
        <v>2018</v>
      </c>
      <c r="T4" s="343" t="s">
        <v>60</v>
      </c>
      <c r="U4" s="343" t="s">
        <v>16</v>
      </c>
      <c r="V4" s="343" t="s">
        <v>103</v>
      </c>
      <c r="W4" s="343" t="s">
        <v>104</v>
      </c>
      <c r="X4" s="22">
        <f t="shared" si="2"/>
        <v>1</v>
      </c>
      <c r="Y4" s="22"/>
      <c r="Z4" s="28" t="s">
        <v>306</v>
      </c>
      <c r="AA4" s="29">
        <f ca="1">MATCH(Brand,OFFSET(tblBrandCountry,,,,1),0)-1</f>
        <v>0</v>
      </c>
      <c r="AB4" s="29">
        <f ca="1">COUNTIF(OFFSET(tblBrandCountry,,,,1),Brand)</f>
        <v>2</v>
      </c>
      <c r="AC4" s="26" t="e">
        <f ca="1">OFFSET(OFFSET(tblBrandCountry,,1,,1),MATCH(Brand,OFFSET(tblBrandCountry,,,,1),0)-1,,COUNTIF(OFFSET(tblBrandCountry,,,,1),Brand),1)</f>
        <v>#VALUE!</v>
      </c>
      <c r="AG4" s="27" t="str">
        <f t="shared" si="3"/>
        <v>OutletOutletUSA3</v>
      </c>
      <c r="AH4" s="1" t="s">
        <v>17</v>
      </c>
      <c r="AI4" s="1" t="s">
        <v>17</v>
      </c>
      <c r="AJ4" s="1" t="s">
        <v>307</v>
      </c>
      <c r="AK4" s="1">
        <v>3</v>
      </c>
      <c r="AL4" s="19">
        <v>0.4</v>
      </c>
      <c r="AN4" s="109" t="str">
        <f t="shared" si="4"/>
        <v>OutletUSAOutletGY 18 OUTLET SPR GYM TRANSFERS</v>
      </c>
      <c r="AO4" s="1" t="s">
        <v>17</v>
      </c>
      <c r="AP4" s="1" t="s">
        <v>17</v>
      </c>
      <c r="AQ4" s="1" t="s">
        <v>307</v>
      </c>
      <c r="AR4" s="1">
        <v>2018</v>
      </c>
      <c r="AS4" s="1" t="s">
        <v>296</v>
      </c>
      <c r="AT4" s="1" t="s">
        <v>370</v>
      </c>
      <c r="AU4" s="1">
        <v>3.32</v>
      </c>
      <c r="AV4" s="1">
        <v>1.27</v>
      </c>
      <c r="AW4" s="1">
        <v>40619</v>
      </c>
      <c r="AX4" s="1">
        <v>0.65</v>
      </c>
      <c r="AY4" s="1">
        <v>201807</v>
      </c>
      <c r="AZ4" s="1">
        <v>10</v>
      </c>
      <c r="BA4" s="19" t="s">
        <v>371</v>
      </c>
    </row>
    <row r="5" spans="1:53" x14ac:dyDescent="0.25">
      <c r="A5" s="30" t="s">
        <v>32</v>
      </c>
      <c r="B5" s="1"/>
      <c r="E5" s="30"/>
      <c r="G5" s="220" t="s">
        <v>34</v>
      </c>
      <c r="H5" s="1"/>
      <c r="I5" s="86" t="s">
        <v>19</v>
      </c>
      <c r="K5" s="20" t="s">
        <v>60</v>
      </c>
      <c r="L5" s="21" t="s">
        <v>5</v>
      </c>
      <c r="M5" s="39"/>
      <c r="N5" s="20" t="s">
        <v>60</v>
      </c>
      <c r="O5" s="19" t="s">
        <v>307</v>
      </c>
      <c r="P5" s="1"/>
      <c r="Q5" s="109" t="str">
        <f t="shared" si="0"/>
        <v>Crazy 8GY C8 18 SPR</v>
      </c>
      <c r="R5" s="27" t="str">
        <f t="shared" si="1"/>
        <v>2018Crazy 8Spring</v>
      </c>
      <c r="S5" s="343">
        <v>2018</v>
      </c>
      <c r="T5" s="343" t="s">
        <v>60</v>
      </c>
      <c r="U5" s="343" t="s">
        <v>16</v>
      </c>
      <c r="V5" s="343" t="s">
        <v>83</v>
      </c>
      <c r="W5" s="343" t="s">
        <v>84</v>
      </c>
      <c r="X5" s="22">
        <f t="shared" si="2"/>
        <v>1</v>
      </c>
      <c r="Y5" s="22"/>
      <c r="AG5" s="27" t="str">
        <f t="shared" si="3"/>
        <v>OutletOutletUSA4</v>
      </c>
      <c r="AH5" s="1" t="s">
        <v>17</v>
      </c>
      <c r="AI5" s="1" t="s">
        <v>17</v>
      </c>
      <c r="AJ5" s="1" t="s">
        <v>307</v>
      </c>
      <c r="AK5" s="1">
        <v>4</v>
      </c>
      <c r="AL5" s="19">
        <v>0.4</v>
      </c>
      <c r="AN5" s="109" t="str">
        <f t="shared" si="4"/>
        <v>OutletUSAOutletGY 18 OUTLET VDAY</v>
      </c>
      <c r="AO5" s="1" t="s">
        <v>17</v>
      </c>
      <c r="AP5" s="1" t="s">
        <v>17</v>
      </c>
      <c r="AQ5" s="1" t="s">
        <v>307</v>
      </c>
      <c r="AR5" s="1">
        <v>2018</v>
      </c>
      <c r="AS5" s="1" t="s">
        <v>16</v>
      </c>
      <c r="AT5" s="1" t="s">
        <v>238</v>
      </c>
      <c r="AU5" s="1">
        <v>18.37</v>
      </c>
      <c r="AV5" s="1">
        <v>2.68</v>
      </c>
      <c r="AW5" s="1">
        <v>114160</v>
      </c>
      <c r="AX5" s="1">
        <v>0.55000000000000004</v>
      </c>
      <c r="AY5" s="1">
        <v>201748</v>
      </c>
      <c r="AZ5" s="1">
        <v>6</v>
      </c>
      <c r="BA5" s="19" t="s">
        <v>239</v>
      </c>
    </row>
    <row r="6" spans="1:53" x14ac:dyDescent="0.25">
      <c r="G6" s="220" t="s">
        <v>35</v>
      </c>
      <c r="H6" s="1"/>
      <c r="I6" s="86" t="s">
        <v>383</v>
      </c>
      <c r="K6" s="20" t="s">
        <v>60</v>
      </c>
      <c r="L6" s="21" t="s">
        <v>15</v>
      </c>
      <c r="M6" s="39"/>
      <c r="N6" s="31" t="s">
        <v>32</v>
      </c>
      <c r="O6" s="32" t="s">
        <v>307</v>
      </c>
      <c r="P6" s="39"/>
      <c r="Q6" s="109" t="str">
        <f t="shared" si="0"/>
        <v>Crazy 8GY C8 18 SPR DOORBUSTER</v>
      </c>
      <c r="R6" s="27" t="str">
        <f t="shared" si="1"/>
        <v>2018Crazy 8Spring</v>
      </c>
      <c r="S6" s="343">
        <v>2018</v>
      </c>
      <c r="T6" s="343" t="s">
        <v>60</v>
      </c>
      <c r="U6" s="343" t="s">
        <v>16</v>
      </c>
      <c r="V6" s="343" t="s">
        <v>89</v>
      </c>
      <c r="W6" s="343" t="s">
        <v>90</v>
      </c>
      <c r="X6" s="22">
        <f t="shared" si="2"/>
        <v>1</v>
      </c>
      <c r="Y6" s="22"/>
      <c r="AG6" s="27" t="str">
        <f t="shared" si="3"/>
        <v>OutletOutletUSA5</v>
      </c>
      <c r="AH6" s="1" t="s">
        <v>17</v>
      </c>
      <c r="AI6" s="1" t="s">
        <v>17</v>
      </c>
      <c r="AJ6" s="1" t="s">
        <v>307</v>
      </c>
      <c r="AK6" s="1">
        <v>5</v>
      </c>
      <c r="AL6" s="19">
        <v>0.4</v>
      </c>
      <c r="AN6" s="109" t="str">
        <f t="shared" si="4"/>
        <v>OutletUSAOutletGY 18 OUTLET SPR</v>
      </c>
      <c r="AO6" s="1" t="s">
        <v>17</v>
      </c>
      <c r="AP6" s="1" t="s">
        <v>17</v>
      </c>
      <c r="AQ6" s="1" t="s">
        <v>307</v>
      </c>
      <c r="AR6" s="1">
        <v>2018</v>
      </c>
      <c r="AS6" s="1" t="s">
        <v>16</v>
      </c>
      <c r="AT6" s="1" t="s">
        <v>240</v>
      </c>
      <c r="AU6" s="1">
        <v>16.88</v>
      </c>
      <c r="AV6" s="1">
        <v>2.64</v>
      </c>
      <c r="AW6" s="1">
        <v>1146145</v>
      </c>
      <c r="AX6" s="1">
        <v>0.65</v>
      </c>
      <c r="AY6" s="1">
        <v>201751</v>
      </c>
      <c r="AZ6" s="1">
        <v>11</v>
      </c>
      <c r="BA6" s="19" t="s">
        <v>241</v>
      </c>
    </row>
    <row r="7" spans="1:53" x14ac:dyDescent="0.25">
      <c r="G7" s="220" t="s">
        <v>71</v>
      </c>
      <c r="H7" s="1"/>
      <c r="K7" s="20" t="s">
        <v>32</v>
      </c>
      <c r="L7" s="21" t="s">
        <v>5</v>
      </c>
      <c r="M7" s="39"/>
      <c r="N7" s="39"/>
      <c r="O7" s="39"/>
      <c r="P7" s="39"/>
      <c r="Q7" s="109" t="str">
        <f t="shared" si="0"/>
        <v>Crazy 8GY C8 18 SPRING</v>
      </c>
      <c r="R7" s="27" t="str">
        <f t="shared" si="1"/>
        <v>2018Crazy 8Spring</v>
      </c>
      <c r="S7" s="343">
        <v>2018</v>
      </c>
      <c r="T7" s="343" t="s">
        <v>60</v>
      </c>
      <c r="U7" s="343" t="s">
        <v>16</v>
      </c>
      <c r="V7" s="343" t="s">
        <v>91</v>
      </c>
      <c r="W7" s="343" t="s">
        <v>92</v>
      </c>
      <c r="X7" s="22">
        <f t="shared" si="2"/>
        <v>1</v>
      </c>
      <c r="Y7" s="22"/>
      <c r="AG7" s="27" t="str">
        <f t="shared" si="3"/>
        <v>OutletOutletUSA6</v>
      </c>
      <c r="AH7" s="1" t="s">
        <v>17</v>
      </c>
      <c r="AI7" s="1" t="s">
        <v>17</v>
      </c>
      <c r="AJ7" s="1" t="s">
        <v>307</v>
      </c>
      <c r="AK7" s="1">
        <v>6</v>
      </c>
      <c r="AL7" s="19">
        <v>0.4</v>
      </c>
      <c r="AN7" s="109" t="str">
        <f t="shared" si="4"/>
        <v>OutletUSAOutletGY 18 OUTLET SWIM 1</v>
      </c>
      <c r="AO7" s="1" t="s">
        <v>17</v>
      </c>
      <c r="AP7" s="1" t="s">
        <v>17</v>
      </c>
      <c r="AQ7" s="1" t="s">
        <v>307</v>
      </c>
      <c r="AR7" s="1">
        <v>2018</v>
      </c>
      <c r="AS7" s="1" t="s">
        <v>16</v>
      </c>
      <c r="AT7" s="1" t="s">
        <v>372</v>
      </c>
      <c r="AU7" s="1">
        <v>22.26</v>
      </c>
      <c r="AV7" s="1">
        <v>4.18</v>
      </c>
      <c r="AW7" s="1">
        <v>316069</v>
      </c>
      <c r="AX7" s="1">
        <v>0.65</v>
      </c>
      <c r="AY7" s="1">
        <v>201751</v>
      </c>
      <c r="AZ7" s="1">
        <v>15</v>
      </c>
      <c r="BA7" s="19" t="s">
        <v>257</v>
      </c>
    </row>
    <row r="8" spans="1:53" x14ac:dyDescent="0.25">
      <c r="A8" s="107" t="s">
        <v>19</v>
      </c>
      <c r="C8" s="108">
        <f>FiscalYr-1</f>
        <v>2017</v>
      </c>
      <c r="G8" s="220" t="s">
        <v>434</v>
      </c>
      <c r="K8" s="20" t="s">
        <v>32</v>
      </c>
      <c r="L8" s="21" t="s">
        <v>15</v>
      </c>
      <c r="M8" s="39"/>
      <c r="N8" s="39"/>
      <c r="O8" s="39"/>
      <c r="P8" s="39"/>
      <c r="Q8" s="109" t="str">
        <f t="shared" si="0"/>
        <v>Crazy 8GY C8 18 SPRING BREAK</v>
      </c>
      <c r="R8" s="27" t="str">
        <f t="shared" si="1"/>
        <v>2018Crazy 8Spring</v>
      </c>
      <c r="S8" s="343">
        <v>2018</v>
      </c>
      <c r="T8" s="343" t="s">
        <v>60</v>
      </c>
      <c r="U8" s="343" t="s">
        <v>16</v>
      </c>
      <c r="V8" s="343" t="s">
        <v>97</v>
      </c>
      <c r="W8" s="343" t="s">
        <v>98</v>
      </c>
      <c r="X8" s="22">
        <f t="shared" si="2"/>
        <v>1</v>
      </c>
      <c r="Y8" s="22"/>
      <c r="AG8" s="27" t="str">
        <f t="shared" si="3"/>
        <v>OutletOutletUSA7</v>
      </c>
      <c r="AH8" s="1" t="s">
        <v>17</v>
      </c>
      <c r="AI8" s="1" t="s">
        <v>17</v>
      </c>
      <c r="AJ8" s="1" t="s">
        <v>307</v>
      </c>
      <c r="AK8" s="1">
        <v>7</v>
      </c>
      <c r="AL8" s="19">
        <v>0.4</v>
      </c>
      <c r="AN8" s="109" t="str">
        <f t="shared" si="4"/>
        <v>OutletUSAOutletGY 18 OUTLET SPRING 1</v>
      </c>
      <c r="AO8" s="1" t="s">
        <v>17</v>
      </c>
      <c r="AP8" s="1" t="s">
        <v>17</v>
      </c>
      <c r="AQ8" s="1" t="s">
        <v>307</v>
      </c>
      <c r="AR8" s="1">
        <v>2018</v>
      </c>
      <c r="AS8" s="1" t="s">
        <v>16</v>
      </c>
      <c r="AT8" s="1" t="s">
        <v>250</v>
      </c>
      <c r="AU8" s="1">
        <v>21.92</v>
      </c>
      <c r="AV8" s="1">
        <v>3.78</v>
      </c>
      <c r="AW8" s="1">
        <v>472999</v>
      </c>
      <c r="AX8" s="1">
        <v>0.65</v>
      </c>
      <c r="AY8" s="1">
        <v>201751</v>
      </c>
      <c r="AZ8" s="1">
        <v>9</v>
      </c>
      <c r="BA8" s="19" t="s">
        <v>251</v>
      </c>
    </row>
    <row r="9" spans="1:53" x14ac:dyDescent="0.25">
      <c r="A9" s="107" t="s">
        <v>336</v>
      </c>
      <c r="C9" s="106" t="b">
        <v>0</v>
      </c>
      <c r="G9" s="221" t="s">
        <v>433</v>
      </c>
      <c r="K9" s="31" t="s">
        <v>32</v>
      </c>
      <c r="L9" s="32" t="s">
        <v>17</v>
      </c>
      <c r="Q9" s="109" t="str">
        <f t="shared" si="0"/>
        <v>Crazy 8GY C8 18 SPRING TRANS</v>
      </c>
      <c r="R9" s="27" t="str">
        <f t="shared" si="1"/>
        <v>2018Crazy 8Spring</v>
      </c>
      <c r="S9" s="343">
        <v>2018</v>
      </c>
      <c r="T9" s="343" t="s">
        <v>60</v>
      </c>
      <c r="U9" s="343" t="s">
        <v>16</v>
      </c>
      <c r="V9" s="343" t="s">
        <v>87</v>
      </c>
      <c r="W9" s="343" t="s">
        <v>88</v>
      </c>
      <c r="X9" s="22">
        <f t="shared" si="2"/>
        <v>1</v>
      </c>
      <c r="Y9" s="22"/>
      <c r="AG9" s="27" t="str">
        <f t="shared" si="3"/>
        <v>OutletOutletUSA8</v>
      </c>
      <c r="AH9" s="1" t="s">
        <v>17</v>
      </c>
      <c r="AI9" s="1" t="s">
        <v>17</v>
      </c>
      <c r="AJ9" s="1" t="s">
        <v>307</v>
      </c>
      <c r="AK9" s="1">
        <v>8</v>
      </c>
      <c r="AL9" s="19">
        <v>0.4</v>
      </c>
      <c r="AN9" s="109" t="str">
        <f t="shared" si="4"/>
        <v>OutletUSAOutletGY 18 OUTLET BNB SPRING</v>
      </c>
      <c r="AO9" s="1" t="s">
        <v>17</v>
      </c>
      <c r="AP9" s="1" t="s">
        <v>17</v>
      </c>
      <c r="AQ9" s="1" t="s">
        <v>307</v>
      </c>
      <c r="AR9" s="1">
        <v>2018</v>
      </c>
      <c r="AS9" s="1" t="s">
        <v>16</v>
      </c>
      <c r="AT9" s="1" t="s">
        <v>373</v>
      </c>
      <c r="AU9" s="1">
        <v>14.42</v>
      </c>
      <c r="AV9" s="1">
        <v>2.78</v>
      </c>
      <c r="AW9" s="1">
        <v>176980</v>
      </c>
      <c r="AX9" s="1">
        <v>0.65</v>
      </c>
      <c r="AY9" s="1">
        <v>201801</v>
      </c>
      <c r="AZ9" s="1">
        <v>10</v>
      </c>
      <c r="BA9" s="19" t="s">
        <v>243</v>
      </c>
    </row>
    <row r="10" spans="1:53" x14ac:dyDescent="0.25">
      <c r="A10" s="107" t="s">
        <v>341</v>
      </c>
      <c r="C10" s="108" t="str">
        <f>VLOOKUP(Brand&amp;FC,tblLYFC,7,FALSE)</f>
        <v>GY 17 SM4</v>
      </c>
      <c r="Q10" s="109" t="str">
        <f t="shared" si="0"/>
        <v>Crazy 8GY C8 18 SWIM 1</v>
      </c>
      <c r="R10" s="27" t="str">
        <f t="shared" si="1"/>
        <v>2018Crazy 8Spring</v>
      </c>
      <c r="S10" s="343">
        <v>2018</v>
      </c>
      <c r="T10" s="343" t="s">
        <v>60</v>
      </c>
      <c r="U10" s="343" t="s">
        <v>16</v>
      </c>
      <c r="V10" s="343" t="s">
        <v>93</v>
      </c>
      <c r="W10" s="343" t="s">
        <v>94</v>
      </c>
      <c r="X10" s="22">
        <f t="shared" si="2"/>
        <v>1</v>
      </c>
      <c r="Y10" s="22"/>
      <c r="AG10" s="27" t="str">
        <f t="shared" si="3"/>
        <v>OutletOutletUSA9</v>
      </c>
      <c r="AH10" s="1" t="s">
        <v>17</v>
      </c>
      <c r="AI10" s="1" t="s">
        <v>17</v>
      </c>
      <c r="AJ10" s="1" t="s">
        <v>307</v>
      </c>
      <c r="AK10" s="1">
        <v>9</v>
      </c>
      <c r="AL10" s="19">
        <v>0.4</v>
      </c>
      <c r="AN10" s="109" t="str">
        <f t="shared" si="4"/>
        <v>OutletUSAOutletGY 18 OUTLET EASTER</v>
      </c>
      <c r="AO10" s="1" t="s">
        <v>17</v>
      </c>
      <c r="AP10" s="1" t="s">
        <v>17</v>
      </c>
      <c r="AQ10" s="1" t="s">
        <v>307</v>
      </c>
      <c r="AR10" s="1">
        <v>2018</v>
      </c>
      <c r="AS10" s="1" t="s">
        <v>16</v>
      </c>
      <c r="AT10" s="1" t="s">
        <v>374</v>
      </c>
      <c r="AU10" s="1">
        <v>25.01</v>
      </c>
      <c r="AV10" s="1">
        <v>4.2300000000000004</v>
      </c>
      <c r="AW10" s="1">
        <v>707415</v>
      </c>
      <c r="AX10" s="1">
        <v>0.7</v>
      </c>
      <c r="AY10" s="1">
        <v>201801</v>
      </c>
      <c r="AZ10" s="1">
        <v>8</v>
      </c>
      <c r="BA10" s="19" t="s">
        <v>247</v>
      </c>
    </row>
    <row r="11" spans="1:53" x14ac:dyDescent="0.25">
      <c r="Q11" s="109" t="str">
        <f t="shared" si="0"/>
        <v>Crazy 8GY C8 18 SWIM 2</v>
      </c>
      <c r="R11" s="27" t="str">
        <f t="shared" si="1"/>
        <v>2018Crazy 8Spring</v>
      </c>
      <c r="S11" s="343">
        <v>2018</v>
      </c>
      <c r="T11" s="343" t="s">
        <v>60</v>
      </c>
      <c r="U11" s="343" t="s">
        <v>16</v>
      </c>
      <c r="V11" s="343" t="s">
        <v>99</v>
      </c>
      <c r="W11" s="343" t="s">
        <v>100</v>
      </c>
      <c r="X11" s="22">
        <f t="shared" si="2"/>
        <v>1</v>
      </c>
      <c r="Y11" s="22"/>
      <c r="AG11" s="27" t="str">
        <f t="shared" si="3"/>
        <v>OutletOutletUSA10</v>
      </c>
      <c r="AH11" s="1" t="s">
        <v>17</v>
      </c>
      <c r="AI11" s="1" t="s">
        <v>17</v>
      </c>
      <c r="AJ11" s="1" t="s">
        <v>307</v>
      </c>
      <c r="AK11" s="1">
        <v>10</v>
      </c>
      <c r="AL11" s="19">
        <v>0.4</v>
      </c>
      <c r="AN11" s="109" t="str">
        <f t="shared" si="4"/>
        <v>OutletUSAOutletGY 18 OUTLET SPR FASHION CAP</v>
      </c>
      <c r="AO11" s="1" t="s">
        <v>17</v>
      </c>
      <c r="AP11" s="1" t="s">
        <v>17</v>
      </c>
      <c r="AQ11" s="1" t="s">
        <v>307</v>
      </c>
      <c r="AR11" s="1">
        <v>2018</v>
      </c>
      <c r="AS11" s="1" t="s">
        <v>16</v>
      </c>
      <c r="AT11" s="1" t="s">
        <v>375</v>
      </c>
      <c r="AU11" s="1">
        <v>22.32</v>
      </c>
      <c r="AV11" s="1">
        <v>3.74</v>
      </c>
      <c r="AW11" s="1">
        <v>176980</v>
      </c>
      <c r="AX11" s="1">
        <v>0.7</v>
      </c>
      <c r="AY11" s="1">
        <v>201801</v>
      </c>
      <c r="AZ11" s="1">
        <v>8</v>
      </c>
      <c r="BA11" s="19" t="s">
        <v>249</v>
      </c>
    </row>
    <row r="12" spans="1:53" x14ac:dyDescent="0.25">
      <c r="Q12" s="109" t="str">
        <f t="shared" si="0"/>
        <v>Crazy 8GY C8 18 SWIM 3</v>
      </c>
      <c r="R12" s="27" t="str">
        <f t="shared" si="1"/>
        <v>2018Crazy 8Spring</v>
      </c>
      <c r="S12" s="343">
        <v>2018</v>
      </c>
      <c r="T12" s="343" t="s">
        <v>60</v>
      </c>
      <c r="U12" s="343" t="s">
        <v>16</v>
      </c>
      <c r="V12" s="343" t="s">
        <v>105</v>
      </c>
      <c r="W12" s="343" t="s">
        <v>106</v>
      </c>
      <c r="X12" s="22">
        <f t="shared" si="2"/>
        <v>1</v>
      </c>
      <c r="Y12" s="22"/>
      <c r="AG12" s="27" t="str">
        <f t="shared" si="3"/>
        <v>OutletOutletUSA11</v>
      </c>
      <c r="AH12" s="1" t="s">
        <v>17</v>
      </c>
      <c r="AI12" s="1" t="s">
        <v>17</v>
      </c>
      <c r="AJ12" s="1" t="s">
        <v>307</v>
      </c>
      <c r="AK12" s="1">
        <v>11</v>
      </c>
      <c r="AL12" s="19">
        <v>0.4</v>
      </c>
      <c r="AN12" s="109" t="str">
        <f t="shared" si="4"/>
        <v>OutletUSAOutletGY 18 OUTLET SPRING 2</v>
      </c>
      <c r="AO12" s="1" t="s">
        <v>17</v>
      </c>
      <c r="AP12" s="1" t="s">
        <v>17</v>
      </c>
      <c r="AQ12" s="1" t="s">
        <v>307</v>
      </c>
      <c r="AR12" s="1">
        <v>2018</v>
      </c>
      <c r="AS12" s="1" t="s">
        <v>16</v>
      </c>
      <c r="AT12" s="1" t="s">
        <v>376</v>
      </c>
      <c r="AU12" s="1">
        <v>21.22</v>
      </c>
      <c r="AV12" s="1">
        <v>3.46</v>
      </c>
      <c r="AW12" s="1">
        <v>510479</v>
      </c>
      <c r="AX12" s="1">
        <v>0.6</v>
      </c>
      <c r="AY12" s="1">
        <v>201803</v>
      </c>
      <c r="AZ12" s="1">
        <v>8</v>
      </c>
      <c r="BA12" s="19" t="s">
        <v>253</v>
      </c>
    </row>
    <row r="13" spans="1:53" x14ac:dyDescent="0.25">
      <c r="A13" s="33" t="s">
        <v>310</v>
      </c>
      <c r="B13" s="34"/>
      <c r="C13" s="429" t="s">
        <v>334</v>
      </c>
      <c r="D13" s="430"/>
      <c r="E13" s="430"/>
      <c r="F13" s="430"/>
      <c r="G13" s="431"/>
      <c r="Q13" s="109" t="str">
        <f t="shared" si="0"/>
        <v>Crazy 8GY C8 18 VDAY CAP</v>
      </c>
      <c r="R13" s="27" t="str">
        <f t="shared" si="1"/>
        <v>2018Crazy 8Spring</v>
      </c>
      <c r="S13" s="343">
        <v>2018</v>
      </c>
      <c r="T13" s="343" t="s">
        <v>60</v>
      </c>
      <c r="U13" s="343" t="s">
        <v>16</v>
      </c>
      <c r="V13" s="343" t="s">
        <v>85</v>
      </c>
      <c r="W13" s="343" t="s">
        <v>86</v>
      </c>
      <c r="X13" s="22">
        <f t="shared" si="2"/>
        <v>1</v>
      </c>
      <c r="Y13" s="22"/>
      <c r="AG13" s="27" t="str">
        <f t="shared" si="3"/>
        <v>OutletOutletUSA12</v>
      </c>
      <c r="AH13" s="1" t="s">
        <v>17</v>
      </c>
      <c r="AI13" s="1" t="s">
        <v>17</v>
      </c>
      <c r="AJ13" s="1" t="s">
        <v>307</v>
      </c>
      <c r="AK13" s="1">
        <v>12</v>
      </c>
      <c r="AL13" s="19">
        <v>0.4</v>
      </c>
      <c r="AN13" s="109" t="str">
        <f t="shared" si="4"/>
        <v>OutletUSAOutletGY 18 OUTLET SPRING ACTIVE</v>
      </c>
      <c r="AO13" s="1" t="s">
        <v>17</v>
      </c>
      <c r="AP13" s="1" t="s">
        <v>17</v>
      </c>
      <c r="AQ13" s="1" t="s">
        <v>307</v>
      </c>
      <c r="AR13" s="1">
        <v>2018</v>
      </c>
      <c r="AS13" s="1" t="s">
        <v>16</v>
      </c>
      <c r="AT13" s="1" t="s">
        <v>244</v>
      </c>
      <c r="AU13" s="1">
        <v>19.12</v>
      </c>
      <c r="AV13" s="1">
        <v>4.12</v>
      </c>
      <c r="AW13" s="1">
        <v>63173</v>
      </c>
      <c r="AX13" s="1">
        <v>0.6</v>
      </c>
      <c r="AY13" s="1">
        <v>201803</v>
      </c>
      <c r="AZ13" s="1">
        <v>8</v>
      </c>
      <c r="BA13" s="19" t="s">
        <v>245</v>
      </c>
    </row>
    <row r="14" spans="1:53" x14ac:dyDescent="0.25">
      <c r="A14" s="33" t="s">
        <v>80</v>
      </c>
      <c r="B14" s="87"/>
      <c r="C14" s="346" t="s">
        <v>483</v>
      </c>
      <c r="D14" s="125"/>
      <c r="E14" s="126"/>
      <c r="F14" s="125"/>
      <c r="G14" s="127"/>
      <c r="I14" s="1"/>
      <c r="Q14" s="109" t="str">
        <f t="shared" si="0"/>
        <v>Crazy 8GY C8 18 HIGH SUMMER</v>
      </c>
      <c r="R14" s="27" t="str">
        <f t="shared" si="1"/>
        <v>2018Crazy 8Summer</v>
      </c>
      <c r="S14" s="343">
        <v>2018</v>
      </c>
      <c r="T14" s="343" t="s">
        <v>60</v>
      </c>
      <c r="U14" s="343" t="s">
        <v>18</v>
      </c>
      <c r="V14" s="343" t="s">
        <v>119</v>
      </c>
      <c r="W14" s="343" t="s">
        <v>120</v>
      </c>
      <c r="X14" s="22">
        <f t="shared" si="2"/>
        <v>2</v>
      </c>
      <c r="Y14" s="22"/>
      <c r="AG14" s="27" t="str">
        <f t="shared" si="3"/>
        <v>OutletOutletUSA13</v>
      </c>
      <c r="AH14" s="1" t="s">
        <v>17</v>
      </c>
      <c r="AI14" s="1" t="s">
        <v>17</v>
      </c>
      <c r="AJ14" s="1" t="s">
        <v>307</v>
      </c>
      <c r="AK14" s="1">
        <v>13</v>
      </c>
      <c r="AL14" s="19">
        <v>0.4</v>
      </c>
      <c r="AN14" s="109" t="str">
        <f t="shared" si="4"/>
        <v>OutletUSAOutletGY 18 OUTLET SPRING 3</v>
      </c>
      <c r="AO14" s="1" t="s">
        <v>17</v>
      </c>
      <c r="AP14" s="1" t="s">
        <v>17</v>
      </c>
      <c r="AQ14" s="1" t="s">
        <v>307</v>
      </c>
      <c r="AR14" s="1">
        <v>2018</v>
      </c>
      <c r="AS14" s="1" t="s">
        <v>16</v>
      </c>
      <c r="AT14" s="1" t="s">
        <v>377</v>
      </c>
      <c r="AU14" s="1">
        <v>22.09</v>
      </c>
      <c r="AV14" s="1">
        <v>3.85</v>
      </c>
      <c r="AW14" s="1">
        <v>387795</v>
      </c>
      <c r="AX14" s="1">
        <v>0.6</v>
      </c>
      <c r="AY14" s="1">
        <v>201807</v>
      </c>
      <c r="AZ14" s="1">
        <v>6</v>
      </c>
      <c r="BA14" s="19" t="s">
        <v>255</v>
      </c>
    </row>
    <row r="15" spans="1:53" x14ac:dyDescent="0.25">
      <c r="H15" s="1"/>
      <c r="Q15" s="109" t="str">
        <f t="shared" si="0"/>
        <v>Crazy 8GY C8 18 JULY 4TH CAP</v>
      </c>
      <c r="R15" s="27" t="str">
        <f t="shared" si="1"/>
        <v>2018Crazy 8Summer</v>
      </c>
      <c r="S15" s="343">
        <v>2018</v>
      </c>
      <c r="T15" s="343" t="s">
        <v>60</v>
      </c>
      <c r="U15" s="343" t="s">
        <v>18</v>
      </c>
      <c r="V15" s="343" t="s">
        <v>115</v>
      </c>
      <c r="W15" s="343" t="s">
        <v>116</v>
      </c>
      <c r="X15" s="22">
        <f t="shared" si="2"/>
        <v>2</v>
      </c>
      <c r="Y15" s="22"/>
      <c r="AG15" s="27" t="str">
        <f t="shared" si="3"/>
        <v>OutletOutletUSA14</v>
      </c>
      <c r="AH15" s="1" t="s">
        <v>17</v>
      </c>
      <c r="AI15" s="1" t="s">
        <v>17</v>
      </c>
      <c r="AJ15" s="1" t="s">
        <v>307</v>
      </c>
      <c r="AK15" s="1">
        <v>14</v>
      </c>
      <c r="AL15" s="19">
        <v>0.5</v>
      </c>
      <c r="AN15" s="109" t="str">
        <f t="shared" si="4"/>
        <v>OutletUSAOutletGY 18 OUTLET SWIM 2</v>
      </c>
      <c r="AO15" s="1" t="s">
        <v>17</v>
      </c>
      <c r="AP15" s="1" t="s">
        <v>17</v>
      </c>
      <c r="AQ15" s="1" t="s">
        <v>307</v>
      </c>
      <c r="AR15" s="1">
        <v>2018</v>
      </c>
      <c r="AS15" s="1" t="s">
        <v>16</v>
      </c>
      <c r="AT15" s="1" t="s">
        <v>378</v>
      </c>
      <c r="AU15" s="1">
        <v>21.63</v>
      </c>
      <c r="AV15" s="1">
        <v>4.07</v>
      </c>
      <c r="AW15" s="1">
        <v>381943</v>
      </c>
      <c r="AX15" s="1">
        <v>0.65</v>
      </c>
      <c r="AY15" s="1">
        <v>201807</v>
      </c>
      <c r="AZ15" s="1">
        <v>14</v>
      </c>
      <c r="BA15" s="19" t="s">
        <v>259</v>
      </c>
    </row>
    <row r="16" spans="1:53" x14ac:dyDescent="0.25">
      <c r="C16" t="s">
        <v>482</v>
      </c>
      <c r="Q16" s="109" t="str">
        <f t="shared" si="0"/>
        <v>Crazy 8GY C8 18 SMR</v>
      </c>
      <c r="R16" s="27" t="str">
        <f t="shared" si="1"/>
        <v>2018Crazy 8Summer</v>
      </c>
      <c r="S16" s="343">
        <v>2018</v>
      </c>
      <c r="T16" s="343" t="s">
        <v>60</v>
      </c>
      <c r="U16" s="343" t="s">
        <v>18</v>
      </c>
      <c r="V16" s="343" t="s">
        <v>109</v>
      </c>
      <c r="W16" s="343" t="s">
        <v>110</v>
      </c>
      <c r="X16" s="22">
        <f t="shared" si="2"/>
        <v>2</v>
      </c>
      <c r="Y16" s="22"/>
      <c r="AG16" s="27" t="str">
        <f t="shared" si="3"/>
        <v>OutletOutletUSA15</v>
      </c>
      <c r="AH16" s="1" t="s">
        <v>17</v>
      </c>
      <c r="AI16" s="1" t="s">
        <v>17</v>
      </c>
      <c r="AJ16" s="1" t="s">
        <v>307</v>
      </c>
      <c r="AK16" s="1">
        <v>15</v>
      </c>
      <c r="AL16" s="19">
        <v>0.5</v>
      </c>
      <c r="AN16" s="109" t="str">
        <f t="shared" si="4"/>
        <v>OutletUSAOutletGY 18 OUTLET SUMMER 1</v>
      </c>
      <c r="AO16" s="1" t="s">
        <v>17</v>
      </c>
      <c r="AP16" s="1" t="s">
        <v>17</v>
      </c>
      <c r="AQ16" s="1" t="s">
        <v>307</v>
      </c>
      <c r="AR16" s="1">
        <v>2018</v>
      </c>
      <c r="AS16" s="1" t="s">
        <v>18</v>
      </c>
      <c r="AT16" s="1" t="s">
        <v>379</v>
      </c>
      <c r="AU16" s="1">
        <v>20.02</v>
      </c>
      <c r="AV16" s="1">
        <v>3.38</v>
      </c>
      <c r="AW16" s="1">
        <v>414565</v>
      </c>
      <c r="AX16" s="1">
        <v>0.75</v>
      </c>
      <c r="AY16" s="1">
        <v>201811</v>
      </c>
      <c r="AZ16" s="1">
        <v>10</v>
      </c>
      <c r="BA16" s="19" t="s">
        <v>269</v>
      </c>
    </row>
    <row r="17" spans="3:53" x14ac:dyDescent="0.25">
      <c r="Q17" s="109" t="str">
        <f t="shared" si="0"/>
        <v>Crazy 8GY C8 18 SMR DOORBUSTER</v>
      </c>
      <c r="R17" s="27" t="str">
        <f t="shared" si="1"/>
        <v>2018Crazy 8Summer</v>
      </c>
      <c r="S17" s="343">
        <v>2018</v>
      </c>
      <c r="T17" s="343" t="s">
        <v>60</v>
      </c>
      <c r="U17" s="343" t="s">
        <v>18</v>
      </c>
      <c r="V17" s="343" t="s">
        <v>117</v>
      </c>
      <c r="W17" s="343" t="s">
        <v>118</v>
      </c>
      <c r="X17" s="22">
        <f t="shared" si="2"/>
        <v>2</v>
      </c>
      <c r="Y17" s="22"/>
      <c r="AG17" s="27" t="str">
        <f t="shared" si="3"/>
        <v>OutletOutletUSA16</v>
      </c>
      <c r="AH17" s="1" t="s">
        <v>17</v>
      </c>
      <c r="AI17" s="1" t="s">
        <v>17</v>
      </c>
      <c r="AJ17" s="1" t="s">
        <v>307</v>
      </c>
      <c r="AK17" s="1">
        <v>16</v>
      </c>
      <c r="AL17" s="19">
        <v>0.5</v>
      </c>
      <c r="AN17" s="109" t="str">
        <f t="shared" si="4"/>
        <v>OutletUSAOutletGY 18 OUTLET SMR</v>
      </c>
      <c r="AO17" s="1" t="s">
        <v>17</v>
      </c>
      <c r="AP17" s="1" t="s">
        <v>17</v>
      </c>
      <c r="AQ17" s="1" t="s">
        <v>307</v>
      </c>
      <c r="AR17" s="1">
        <v>2018</v>
      </c>
      <c r="AS17" s="1" t="s">
        <v>18</v>
      </c>
      <c r="AT17" s="1" t="s">
        <v>262</v>
      </c>
      <c r="AU17" s="1">
        <v>15.01</v>
      </c>
      <c r="AV17" s="1">
        <v>2.57</v>
      </c>
      <c r="AW17" s="1">
        <v>867599</v>
      </c>
      <c r="AX17" s="1">
        <v>0.69</v>
      </c>
      <c r="AY17" s="1">
        <v>201813</v>
      </c>
      <c r="AZ17" s="1">
        <v>10</v>
      </c>
      <c r="BA17" s="19" t="s">
        <v>263</v>
      </c>
    </row>
    <row r="18" spans="3:53" x14ac:dyDescent="0.25">
      <c r="C18" s="125" t="str">
        <f>"http://"&amp;IF(Environ="Test","localhost","172.25.40.13")&amp;"/api/"</f>
        <v>http://172.25.40.13/api/</v>
      </c>
      <c r="Q18" s="109" t="str">
        <f t="shared" si="0"/>
        <v>Crazy 8GY C8 18 SUMMER</v>
      </c>
      <c r="R18" s="27" t="str">
        <f t="shared" si="1"/>
        <v>2018Crazy 8Summer</v>
      </c>
      <c r="S18" s="343">
        <v>2018</v>
      </c>
      <c r="T18" s="343" t="s">
        <v>60</v>
      </c>
      <c r="U18" s="343" t="s">
        <v>18</v>
      </c>
      <c r="V18" s="343" t="s">
        <v>111</v>
      </c>
      <c r="W18" s="343" t="s">
        <v>112</v>
      </c>
      <c r="X18" s="22">
        <f t="shared" si="2"/>
        <v>2</v>
      </c>
      <c r="Y18" s="22"/>
      <c r="AG18" s="27" t="str">
        <f t="shared" si="3"/>
        <v>OutletOutletUSA17</v>
      </c>
      <c r="AH18" s="1" t="s">
        <v>17</v>
      </c>
      <c r="AI18" s="1" t="s">
        <v>17</v>
      </c>
      <c r="AJ18" s="1" t="s">
        <v>307</v>
      </c>
      <c r="AK18" s="1">
        <v>17</v>
      </c>
      <c r="AL18" s="19">
        <v>0.5</v>
      </c>
      <c r="AN18" s="109" t="str">
        <f t="shared" si="4"/>
        <v>OutletUSAOutletGY 18 OUTLET SUMMER 2</v>
      </c>
      <c r="AO18" s="1" t="s">
        <v>17</v>
      </c>
      <c r="AP18" s="1" t="s">
        <v>17</v>
      </c>
      <c r="AQ18" s="1" t="s">
        <v>307</v>
      </c>
      <c r="AR18" s="1">
        <v>2018</v>
      </c>
      <c r="AS18" s="1" t="s">
        <v>18</v>
      </c>
      <c r="AT18" s="1" t="s">
        <v>270</v>
      </c>
      <c r="AU18" s="1">
        <v>22.43</v>
      </c>
      <c r="AV18" s="1">
        <v>3.83</v>
      </c>
      <c r="AW18" s="1">
        <v>540617</v>
      </c>
      <c r="AX18" s="1">
        <v>0.65</v>
      </c>
      <c r="AY18" s="1">
        <v>201813</v>
      </c>
      <c r="AZ18" s="1">
        <v>6</v>
      </c>
      <c r="BA18" s="19" t="s">
        <v>271</v>
      </c>
    </row>
    <row r="19" spans="3:53" x14ac:dyDescent="0.25">
      <c r="Q19" s="109" t="str">
        <f t="shared" si="0"/>
        <v>Crazy 8GY C8 18 SUMMER CAP</v>
      </c>
      <c r="R19" s="27" t="str">
        <f t="shared" si="1"/>
        <v>2018Crazy 8Summer</v>
      </c>
      <c r="S19" s="343">
        <v>2018</v>
      </c>
      <c r="T19" s="343" t="s">
        <v>60</v>
      </c>
      <c r="U19" s="343" t="s">
        <v>18</v>
      </c>
      <c r="V19" s="343" t="s">
        <v>107</v>
      </c>
      <c r="W19" s="343" t="s">
        <v>108</v>
      </c>
      <c r="X19" s="22">
        <f t="shared" si="2"/>
        <v>2</v>
      </c>
      <c r="Y19" s="22"/>
      <c r="AG19" s="27" t="str">
        <f t="shared" si="3"/>
        <v>OutletOutletUSA18</v>
      </c>
      <c r="AH19" s="1" t="s">
        <v>17</v>
      </c>
      <c r="AI19" s="1" t="s">
        <v>17</v>
      </c>
      <c r="AJ19" s="1" t="s">
        <v>307</v>
      </c>
      <c r="AK19" s="1">
        <v>18</v>
      </c>
      <c r="AL19" s="19">
        <v>0.5</v>
      </c>
      <c r="AN19" s="109" t="str">
        <f t="shared" si="4"/>
        <v>OutletUSAOutletGY 18 OUTLET SWIM 3</v>
      </c>
      <c r="AO19" s="1" t="s">
        <v>17</v>
      </c>
      <c r="AP19" s="1" t="s">
        <v>17</v>
      </c>
      <c r="AQ19" s="1" t="s">
        <v>307</v>
      </c>
      <c r="AR19" s="1">
        <v>2018</v>
      </c>
      <c r="AS19" s="1" t="s">
        <v>18</v>
      </c>
      <c r="AT19" s="1" t="s">
        <v>260</v>
      </c>
      <c r="AU19" s="1">
        <v>21.93</v>
      </c>
      <c r="AV19" s="1">
        <v>4.05</v>
      </c>
      <c r="AW19" s="1">
        <v>204378</v>
      </c>
      <c r="AX19" s="1">
        <v>0.64</v>
      </c>
      <c r="AY19" s="1">
        <v>201813</v>
      </c>
      <c r="AZ19" s="1">
        <v>7</v>
      </c>
      <c r="BA19" s="19" t="s">
        <v>261</v>
      </c>
    </row>
    <row r="20" spans="3:53" x14ac:dyDescent="0.25">
      <c r="Q20" s="109" t="str">
        <f t="shared" si="0"/>
        <v>Crazy 8GY C8 18 SUMMER TRANS</v>
      </c>
      <c r="R20" s="27" t="str">
        <f t="shared" si="1"/>
        <v>2018Crazy 8Summer</v>
      </c>
      <c r="S20" s="343">
        <v>2018</v>
      </c>
      <c r="T20" s="343" t="s">
        <v>60</v>
      </c>
      <c r="U20" s="343" t="s">
        <v>18</v>
      </c>
      <c r="V20" s="343" t="s">
        <v>121</v>
      </c>
      <c r="W20" s="343" t="s">
        <v>122</v>
      </c>
      <c r="X20" s="22">
        <f t="shared" si="2"/>
        <v>2</v>
      </c>
      <c r="Y20" s="22"/>
      <c r="AG20" s="27" t="str">
        <f t="shared" si="3"/>
        <v>OutletOutletUSA19</v>
      </c>
      <c r="AH20" s="1" t="s">
        <v>17</v>
      </c>
      <c r="AI20" s="1" t="s">
        <v>17</v>
      </c>
      <c r="AJ20" s="1" t="s">
        <v>307</v>
      </c>
      <c r="AK20" s="1">
        <v>19</v>
      </c>
      <c r="AL20" s="19">
        <v>0.5</v>
      </c>
      <c r="AN20" s="109" t="str">
        <f t="shared" si="4"/>
        <v>OutletUSAOutletGY 18 OUTLET BNB SUMMER</v>
      </c>
      <c r="AO20" s="1" t="s">
        <v>17</v>
      </c>
      <c r="AP20" s="1" t="s">
        <v>17</v>
      </c>
      <c r="AQ20" s="1" t="s">
        <v>307</v>
      </c>
      <c r="AR20" s="1">
        <v>2018</v>
      </c>
      <c r="AS20" s="1" t="s">
        <v>18</v>
      </c>
      <c r="AT20" s="1" t="s">
        <v>264</v>
      </c>
      <c r="AU20" s="1">
        <v>13.74</v>
      </c>
      <c r="AV20" s="1">
        <v>2.41</v>
      </c>
      <c r="AW20" s="1">
        <v>215144</v>
      </c>
      <c r="AX20" s="1">
        <v>0.66</v>
      </c>
      <c r="AY20" s="1">
        <v>201813</v>
      </c>
      <c r="AZ20" s="1">
        <v>10</v>
      </c>
      <c r="BA20" s="19" t="s">
        <v>265</v>
      </c>
    </row>
    <row r="21" spans="3:53" x14ac:dyDescent="0.25">
      <c r="Q21" s="109" t="str">
        <f t="shared" si="0"/>
        <v>Crazy 8GY C8 18 SWIM 4</v>
      </c>
      <c r="R21" s="27" t="str">
        <f t="shared" si="1"/>
        <v>2018Crazy 8Summer</v>
      </c>
      <c r="S21" s="343">
        <v>2018</v>
      </c>
      <c r="T21" s="343" t="s">
        <v>60</v>
      </c>
      <c r="U21" s="343" t="s">
        <v>18</v>
      </c>
      <c r="V21" s="343" t="s">
        <v>113</v>
      </c>
      <c r="W21" s="343" t="s">
        <v>114</v>
      </c>
      <c r="X21" s="22">
        <f t="shared" si="2"/>
        <v>2</v>
      </c>
      <c r="Y21" s="22"/>
      <c r="AG21" s="27" t="str">
        <f t="shared" si="3"/>
        <v>OutletOutletUSA20</v>
      </c>
      <c r="AH21" s="1" t="s">
        <v>17</v>
      </c>
      <c r="AI21" s="1" t="s">
        <v>17</v>
      </c>
      <c r="AJ21" s="1" t="s">
        <v>307</v>
      </c>
      <c r="AK21" s="1">
        <v>20</v>
      </c>
      <c r="AL21" s="19">
        <v>0.5</v>
      </c>
      <c r="AN21" s="109" t="str">
        <f t="shared" si="4"/>
        <v>OutletUSAOutletGY 18 OUTLET SUMMER 3</v>
      </c>
      <c r="AO21" s="1" t="s">
        <v>17</v>
      </c>
      <c r="AP21" s="1" t="s">
        <v>17</v>
      </c>
      <c r="AQ21" s="1" t="s">
        <v>307</v>
      </c>
      <c r="AR21" s="1">
        <v>2018</v>
      </c>
      <c r="AS21" s="1" t="s">
        <v>18</v>
      </c>
      <c r="AT21" s="1" t="s">
        <v>272</v>
      </c>
      <c r="AU21" s="1">
        <v>21.62</v>
      </c>
      <c r="AV21" s="1">
        <v>3.54</v>
      </c>
      <c r="AW21" s="1">
        <v>510448</v>
      </c>
      <c r="AX21" s="1">
        <v>0.65</v>
      </c>
      <c r="AY21" s="1">
        <v>201815</v>
      </c>
      <c r="AZ21" s="1">
        <v>7</v>
      </c>
      <c r="BA21" s="19" t="s">
        <v>273</v>
      </c>
    </row>
    <row r="22" spans="3:53" x14ac:dyDescent="0.25">
      <c r="Q22" s="109" t="str">
        <f t="shared" si="0"/>
        <v>Crazy 8GY C8 18 TRANS CAP</v>
      </c>
      <c r="R22" s="27" t="str">
        <f t="shared" si="1"/>
        <v>2018Crazy 8Summer</v>
      </c>
      <c r="S22" s="343">
        <v>2018</v>
      </c>
      <c r="T22" s="343" t="s">
        <v>60</v>
      </c>
      <c r="U22" s="343" t="s">
        <v>18</v>
      </c>
      <c r="V22" s="343" t="s">
        <v>123</v>
      </c>
      <c r="W22" s="343" t="s">
        <v>124</v>
      </c>
      <c r="X22" s="22">
        <f t="shared" si="2"/>
        <v>2</v>
      </c>
      <c r="Y22" s="22"/>
      <c r="AG22" s="27" t="str">
        <f t="shared" si="3"/>
        <v>OutletOutletUSA21</v>
      </c>
      <c r="AH22" s="1" t="s">
        <v>17</v>
      </c>
      <c r="AI22" s="1" t="s">
        <v>17</v>
      </c>
      <c r="AJ22" s="1" t="s">
        <v>307</v>
      </c>
      <c r="AK22" s="1">
        <v>21</v>
      </c>
      <c r="AL22" s="19">
        <v>0.5</v>
      </c>
      <c r="AN22" s="109" t="str">
        <f t="shared" si="4"/>
        <v>OutletUSAOutletGY 18 OUTLET SUMMER 4</v>
      </c>
      <c r="AO22" s="1" t="s">
        <v>17</v>
      </c>
      <c r="AP22" s="1" t="s">
        <v>17</v>
      </c>
      <c r="AQ22" s="1" t="s">
        <v>307</v>
      </c>
      <c r="AR22" s="1">
        <v>2018</v>
      </c>
      <c r="AS22" s="1" t="s">
        <v>18</v>
      </c>
      <c r="AT22" s="1" t="s">
        <v>274</v>
      </c>
      <c r="AU22" s="1">
        <v>22.61</v>
      </c>
      <c r="AV22" s="1">
        <v>3.56</v>
      </c>
      <c r="AW22" s="1">
        <v>395086</v>
      </c>
      <c r="AX22" s="1">
        <v>0.65</v>
      </c>
      <c r="AY22" s="1">
        <v>201818</v>
      </c>
      <c r="AZ22" s="1">
        <v>7</v>
      </c>
      <c r="BA22" s="19" t="s">
        <v>275</v>
      </c>
    </row>
    <row r="23" spans="3:53" x14ac:dyDescent="0.25">
      <c r="Q23" s="109" t="str">
        <f t="shared" si="0"/>
        <v>Crazy 8GY C8 18 AUG</v>
      </c>
      <c r="R23" s="27" t="str">
        <f t="shared" si="1"/>
        <v>2018Crazy 8Fall</v>
      </c>
      <c r="S23" s="343">
        <v>2018</v>
      </c>
      <c r="T23" s="343" t="s">
        <v>60</v>
      </c>
      <c r="U23" s="343" t="s">
        <v>33</v>
      </c>
      <c r="V23" s="343" t="s">
        <v>74</v>
      </c>
      <c r="W23" s="343" t="s">
        <v>75</v>
      </c>
      <c r="X23" s="22">
        <f t="shared" si="2"/>
        <v>3</v>
      </c>
      <c r="Y23" s="22"/>
      <c r="AG23" s="27" t="str">
        <f t="shared" si="3"/>
        <v>OutletOutletUSA22</v>
      </c>
      <c r="AH23" s="1" t="s">
        <v>17</v>
      </c>
      <c r="AI23" s="1" t="s">
        <v>17</v>
      </c>
      <c r="AJ23" s="1" t="s">
        <v>307</v>
      </c>
      <c r="AK23" s="1">
        <v>22</v>
      </c>
      <c r="AL23" s="19">
        <v>0.5</v>
      </c>
      <c r="AN23" s="109" t="str">
        <f t="shared" si="4"/>
        <v>OutletUSAOutletGY 18 OUTLET UNIFORM</v>
      </c>
      <c r="AO23" s="1" t="s">
        <v>17</v>
      </c>
      <c r="AP23" s="1" t="s">
        <v>17</v>
      </c>
      <c r="AQ23" s="1" t="s">
        <v>307</v>
      </c>
      <c r="AR23" s="1">
        <v>2018</v>
      </c>
      <c r="AS23" s="1" t="s">
        <v>18</v>
      </c>
      <c r="AT23" s="1" t="s">
        <v>276</v>
      </c>
      <c r="AU23" s="1">
        <v>22.75</v>
      </c>
      <c r="AV23" s="1">
        <v>4.5199999999999996</v>
      </c>
      <c r="AW23" s="1">
        <v>191755</v>
      </c>
      <c r="AX23" s="1">
        <v>0.7</v>
      </c>
      <c r="AY23" s="1">
        <v>201820</v>
      </c>
      <c r="AZ23" s="1">
        <v>10</v>
      </c>
      <c r="BA23" s="19" t="s">
        <v>277</v>
      </c>
    </row>
    <row r="24" spans="3:53" x14ac:dyDescent="0.25">
      <c r="Q24" s="109" t="str">
        <f t="shared" si="0"/>
        <v>Crazy 8GY C8 18 FAL</v>
      </c>
      <c r="R24" s="27" t="str">
        <f t="shared" si="1"/>
        <v>2018Crazy 8Fall</v>
      </c>
      <c r="S24" s="343">
        <v>2018</v>
      </c>
      <c r="T24" s="343" t="s">
        <v>60</v>
      </c>
      <c r="U24" s="343" t="s">
        <v>33</v>
      </c>
      <c r="V24" s="343" t="s">
        <v>67</v>
      </c>
      <c r="W24" s="343" t="s">
        <v>68</v>
      </c>
      <c r="X24" s="22">
        <f t="shared" si="2"/>
        <v>3</v>
      </c>
      <c r="Y24" s="22"/>
      <c r="AG24" s="27" t="str">
        <f t="shared" si="3"/>
        <v>OutletOutletUSA23</v>
      </c>
      <c r="AH24" s="1" t="s">
        <v>17</v>
      </c>
      <c r="AI24" s="1" t="s">
        <v>17</v>
      </c>
      <c r="AJ24" s="1" t="s">
        <v>307</v>
      </c>
      <c r="AK24" s="1">
        <v>23</v>
      </c>
      <c r="AL24" s="19">
        <v>0.5</v>
      </c>
      <c r="AN24" s="109" t="str">
        <f t="shared" si="4"/>
        <v>OutletUSAOutletGY 18 OUTLET TRANSITION</v>
      </c>
      <c r="AO24" s="1" t="s">
        <v>17</v>
      </c>
      <c r="AP24" s="1" t="s">
        <v>17</v>
      </c>
      <c r="AQ24" s="1" t="s">
        <v>307</v>
      </c>
      <c r="AR24" s="1">
        <v>2018</v>
      </c>
      <c r="AS24" s="1" t="s">
        <v>18</v>
      </c>
      <c r="AT24" s="1" t="s">
        <v>278</v>
      </c>
      <c r="AU24" s="1">
        <v>22.39</v>
      </c>
      <c r="AV24" s="1">
        <v>3.86</v>
      </c>
      <c r="AW24" s="1">
        <v>545215</v>
      </c>
      <c r="AX24" s="1">
        <v>0.63</v>
      </c>
      <c r="AY24" s="1">
        <v>201821</v>
      </c>
      <c r="AZ24" s="1">
        <v>6</v>
      </c>
      <c r="BA24" s="19" t="s">
        <v>279</v>
      </c>
    </row>
    <row r="25" spans="3:53" x14ac:dyDescent="0.25">
      <c r="Q25" s="109" t="str">
        <f t="shared" si="0"/>
        <v>Crazy 8GY C8 18 FAL DOORBUSTER</v>
      </c>
      <c r="R25" s="27" t="str">
        <f t="shared" si="1"/>
        <v>2018Crazy 8Fall</v>
      </c>
      <c r="S25" s="343">
        <v>2018</v>
      </c>
      <c r="T25" s="343" t="s">
        <v>60</v>
      </c>
      <c r="U25" s="343" t="s">
        <v>33</v>
      </c>
      <c r="V25" s="343" t="s">
        <v>69</v>
      </c>
      <c r="W25" s="343" t="s">
        <v>70</v>
      </c>
      <c r="X25" s="22">
        <f t="shared" si="2"/>
        <v>3</v>
      </c>
      <c r="Y25" s="22"/>
      <c r="AG25" s="27" t="str">
        <f t="shared" si="3"/>
        <v>OutletOutletUSA24</v>
      </c>
      <c r="AH25" s="1" t="s">
        <v>17</v>
      </c>
      <c r="AI25" s="1" t="s">
        <v>17</v>
      </c>
      <c r="AJ25" s="1" t="s">
        <v>307</v>
      </c>
      <c r="AK25" s="1">
        <v>24</v>
      </c>
      <c r="AL25" s="19">
        <v>0.5</v>
      </c>
      <c r="AN25" s="109" t="str">
        <f t="shared" si="4"/>
        <v>OutletUSAOutletGY 18 OUTLET FAL</v>
      </c>
      <c r="AO25" s="1" t="s">
        <v>17</v>
      </c>
      <c r="AP25" s="1" t="s">
        <v>17</v>
      </c>
      <c r="AQ25" s="1" t="s">
        <v>307</v>
      </c>
      <c r="AR25" s="1">
        <v>2018</v>
      </c>
      <c r="AS25" s="1" t="s">
        <v>33</v>
      </c>
      <c r="AT25" s="1" t="s">
        <v>219</v>
      </c>
      <c r="AU25" s="1">
        <v>13.88</v>
      </c>
      <c r="AV25" s="1">
        <v>2.09</v>
      </c>
      <c r="AW25" s="1">
        <v>1257919</v>
      </c>
      <c r="AX25" s="1">
        <v>0.6</v>
      </c>
      <c r="AY25" s="1">
        <v>201821</v>
      </c>
      <c r="AZ25" s="1">
        <v>12</v>
      </c>
      <c r="BA25" s="19" t="s">
        <v>220</v>
      </c>
    </row>
    <row r="26" spans="3:53" x14ac:dyDescent="0.25">
      <c r="Q26" s="109" t="str">
        <f t="shared" si="0"/>
        <v>Crazy 8GY C8 18 JULY</v>
      </c>
      <c r="R26" s="27" t="str">
        <f t="shared" si="1"/>
        <v>2018Crazy 8Fall</v>
      </c>
      <c r="S26" s="343">
        <v>2018</v>
      </c>
      <c r="T26" s="343" t="s">
        <v>60</v>
      </c>
      <c r="U26" s="343" t="s">
        <v>33</v>
      </c>
      <c r="V26" s="343" t="s">
        <v>72</v>
      </c>
      <c r="W26" s="343" t="s">
        <v>73</v>
      </c>
      <c r="X26" s="22">
        <f t="shared" si="2"/>
        <v>3</v>
      </c>
      <c r="Y26" s="22"/>
      <c r="AG26" s="27" t="str">
        <f t="shared" si="3"/>
        <v>OutletOutletUSA25</v>
      </c>
      <c r="AH26" s="1" t="s">
        <v>17</v>
      </c>
      <c r="AI26" s="1" t="s">
        <v>17</v>
      </c>
      <c r="AJ26" s="1" t="s">
        <v>307</v>
      </c>
      <c r="AK26" s="1">
        <v>25</v>
      </c>
      <c r="AL26" s="19">
        <v>0.6</v>
      </c>
      <c r="AN26" s="109" t="str">
        <f t="shared" si="4"/>
        <v>OutletUSAOutletGY 18 OUTLET BTS 1</v>
      </c>
      <c r="AO26" s="1" t="s">
        <v>17</v>
      </c>
      <c r="AP26" s="1" t="s">
        <v>17</v>
      </c>
      <c r="AQ26" s="1" t="s">
        <v>307</v>
      </c>
      <c r="AR26" s="1">
        <v>2018</v>
      </c>
      <c r="AS26" s="1" t="s">
        <v>33</v>
      </c>
      <c r="AT26" s="1" t="s">
        <v>221</v>
      </c>
      <c r="AU26" s="1">
        <v>23.09</v>
      </c>
      <c r="AV26" s="1">
        <v>4.67</v>
      </c>
      <c r="AW26" s="1">
        <v>664534</v>
      </c>
      <c r="AX26" s="1">
        <v>0.63</v>
      </c>
      <c r="AY26" s="1">
        <v>201824</v>
      </c>
      <c r="AZ26" s="1">
        <v>8</v>
      </c>
      <c r="BA26" s="19" t="s">
        <v>222</v>
      </c>
    </row>
    <row r="27" spans="3:53" x14ac:dyDescent="0.25">
      <c r="Q27" s="109" t="str">
        <f t="shared" si="0"/>
        <v>Crazy 8GY C8 18 OCT 1</v>
      </c>
      <c r="R27" s="27" t="str">
        <f t="shared" si="1"/>
        <v>2018Crazy 8Fall</v>
      </c>
      <c r="S27" s="343">
        <v>2018</v>
      </c>
      <c r="T27" s="343" t="s">
        <v>60</v>
      </c>
      <c r="U27" s="343" t="s">
        <v>33</v>
      </c>
      <c r="V27" s="343" t="s">
        <v>420</v>
      </c>
      <c r="W27" s="343" t="s">
        <v>79</v>
      </c>
      <c r="X27" s="22">
        <f t="shared" si="2"/>
        <v>3</v>
      </c>
      <c r="Y27" s="22"/>
      <c r="AG27" s="27" t="str">
        <f t="shared" si="3"/>
        <v>OutletOutletUSA26</v>
      </c>
      <c r="AH27" s="1" t="s">
        <v>17</v>
      </c>
      <c r="AI27" s="1" t="s">
        <v>17</v>
      </c>
      <c r="AJ27" s="1" t="s">
        <v>307</v>
      </c>
      <c r="AK27" s="1">
        <v>26</v>
      </c>
      <c r="AL27" s="19">
        <v>0.6</v>
      </c>
      <c r="AN27" s="109" t="str">
        <f t="shared" si="4"/>
        <v>OutletUSAOutletGY 18 OUTLET BTS 2</v>
      </c>
      <c r="AO27" s="1" t="s">
        <v>17</v>
      </c>
      <c r="AP27" s="1" t="s">
        <v>17</v>
      </c>
      <c r="AQ27" s="1" t="s">
        <v>307</v>
      </c>
      <c r="AR27" s="1">
        <v>2018</v>
      </c>
      <c r="AS27" s="1" t="s">
        <v>33</v>
      </c>
      <c r="AT27" s="1" t="s">
        <v>223</v>
      </c>
      <c r="AU27" s="1">
        <v>22.21</v>
      </c>
      <c r="AV27" s="1">
        <v>4.51</v>
      </c>
      <c r="AW27" s="1">
        <v>592665</v>
      </c>
      <c r="AX27" s="1">
        <v>0.64</v>
      </c>
      <c r="AY27" s="1">
        <v>201826</v>
      </c>
      <c r="AZ27" s="1">
        <v>8</v>
      </c>
      <c r="BA27" s="19" t="s">
        <v>224</v>
      </c>
    </row>
    <row r="28" spans="3:53" x14ac:dyDescent="0.25">
      <c r="Q28" s="109" t="str">
        <f t="shared" si="0"/>
        <v>Crazy 8GY C8 18 OCT 2</v>
      </c>
      <c r="R28" s="27" t="str">
        <f t="shared" si="1"/>
        <v>2018Crazy 8Fall</v>
      </c>
      <c r="S28" s="343">
        <v>2018</v>
      </c>
      <c r="T28" s="343" t="s">
        <v>60</v>
      </c>
      <c r="U28" s="343" t="s">
        <v>33</v>
      </c>
      <c r="V28" s="343" t="s">
        <v>421</v>
      </c>
      <c r="W28" s="343"/>
      <c r="X28" s="22">
        <f t="shared" si="2"/>
        <v>3</v>
      </c>
      <c r="Y28" s="22"/>
      <c r="AG28" s="27" t="str">
        <f t="shared" si="3"/>
        <v>OutletOutletUSA27</v>
      </c>
      <c r="AH28" s="1" t="s">
        <v>17</v>
      </c>
      <c r="AI28" s="1" t="s">
        <v>17</v>
      </c>
      <c r="AJ28" s="1" t="s">
        <v>307</v>
      </c>
      <c r="AK28" s="1">
        <v>27</v>
      </c>
      <c r="AL28" s="19">
        <v>0.6</v>
      </c>
      <c r="AN28" s="109" t="str">
        <f t="shared" si="4"/>
        <v>OutletUSAOutletGY 18 OUTLET BNB FAL</v>
      </c>
      <c r="AO28" s="1" t="s">
        <v>17</v>
      </c>
      <c r="AP28" s="1" t="s">
        <v>17</v>
      </c>
      <c r="AQ28" s="1" t="s">
        <v>307</v>
      </c>
      <c r="AR28" s="1">
        <v>2018</v>
      </c>
      <c r="AS28" s="1" t="s">
        <v>33</v>
      </c>
      <c r="AT28" s="1" t="s">
        <v>225</v>
      </c>
      <c r="AU28" s="1">
        <v>15.19</v>
      </c>
      <c r="AV28" s="1">
        <v>3.19</v>
      </c>
      <c r="AW28" s="1">
        <v>143988</v>
      </c>
      <c r="AX28" s="1">
        <v>0.68</v>
      </c>
      <c r="AY28" s="1">
        <v>201826</v>
      </c>
      <c r="AZ28" s="1">
        <v>10</v>
      </c>
      <c r="BA28" s="19" t="s">
        <v>226</v>
      </c>
    </row>
    <row r="29" spans="3:53" x14ac:dyDescent="0.25">
      <c r="Q29" s="109" t="str">
        <f t="shared" si="0"/>
        <v>Crazy 8GY C8 18 OCTOBER CAP</v>
      </c>
      <c r="R29" s="27" t="str">
        <f t="shared" si="1"/>
        <v>2018Crazy 8Fall</v>
      </c>
      <c r="S29" s="343">
        <v>2018</v>
      </c>
      <c r="T29" s="343" t="s">
        <v>60</v>
      </c>
      <c r="U29" s="343" t="s">
        <v>33</v>
      </c>
      <c r="V29" s="343" t="s">
        <v>81</v>
      </c>
      <c r="W29" s="343" t="s">
        <v>82</v>
      </c>
      <c r="X29" s="22">
        <f t="shared" si="2"/>
        <v>3</v>
      </c>
      <c r="Y29" s="22"/>
      <c r="AG29" s="27" t="str">
        <f t="shared" si="3"/>
        <v>OutletOutletUSA28</v>
      </c>
      <c r="AH29" s="1" t="s">
        <v>17</v>
      </c>
      <c r="AI29" s="1" t="s">
        <v>17</v>
      </c>
      <c r="AJ29" s="1" t="s">
        <v>307</v>
      </c>
      <c r="AK29" s="1">
        <v>28</v>
      </c>
      <c r="AL29" s="19">
        <v>0.6</v>
      </c>
      <c r="AN29" s="109" t="str">
        <f t="shared" si="4"/>
        <v>OutletUSAOutletGY 18 OUTLET FALL 1</v>
      </c>
      <c r="AO29" s="1" t="s">
        <v>17</v>
      </c>
      <c r="AP29" s="1" t="s">
        <v>17</v>
      </c>
      <c r="AQ29" s="1" t="s">
        <v>307</v>
      </c>
      <c r="AR29" s="1">
        <v>2018</v>
      </c>
      <c r="AS29" s="1" t="s">
        <v>33</v>
      </c>
      <c r="AT29" s="1" t="s">
        <v>227</v>
      </c>
      <c r="AU29" s="1">
        <v>23.77</v>
      </c>
      <c r="AV29" s="1">
        <v>4.37</v>
      </c>
      <c r="AW29" s="1">
        <v>445514</v>
      </c>
      <c r="AX29" s="1">
        <v>0.62</v>
      </c>
      <c r="AY29" s="1">
        <v>201828</v>
      </c>
      <c r="AZ29" s="1">
        <v>7</v>
      </c>
      <c r="BA29" s="19" t="s">
        <v>228</v>
      </c>
    </row>
    <row r="30" spans="3:53" x14ac:dyDescent="0.25">
      <c r="Q30" s="109" t="str">
        <f t="shared" si="0"/>
        <v>Crazy 8GY C8 18 SEP 1</v>
      </c>
      <c r="R30" s="27" t="str">
        <f t="shared" si="1"/>
        <v>2018Crazy 8Fall</v>
      </c>
      <c r="S30" s="343">
        <v>2018</v>
      </c>
      <c r="T30" s="343" t="s">
        <v>60</v>
      </c>
      <c r="U30" s="343" t="s">
        <v>33</v>
      </c>
      <c r="V30" s="343" t="s">
        <v>422</v>
      </c>
      <c r="W30" s="343" t="s">
        <v>76</v>
      </c>
      <c r="X30" s="22">
        <f t="shared" si="2"/>
        <v>3</v>
      </c>
      <c r="Y30" s="22"/>
      <c r="AG30" s="27" t="str">
        <f t="shared" si="3"/>
        <v>OutletOutletUSA29</v>
      </c>
      <c r="AH30" s="1" t="s">
        <v>17</v>
      </c>
      <c r="AI30" s="1" t="s">
        <v>17</v>
      </c>
      <c r="AJ30" s="1" t="s">
        <v>307</v>
      </c>
      <c r="AK30" s="1">
        <v>29</v>
      </c>
      <c r="AL30" s="19">
        <v>0.6</v>
      </c>
      <c r="AN30" s="109" t="str">
        <f t="shared" si="4"/>
        <v>OutletUSAOutletGY 18 OUTLET HARVEST</v>
      </c>
      <c r="AO30" s="1" t="s">
        <v>17</v>
      </c>
      <c r="AP30" s="1" t="s">
        <v>17</v>
      </c>
      <c r="AQ30" s="1" t="s">
        <v>307</v>
      </c>
      <c r="AR30" s="1">
        <v>2018</v>
      </c>
      <c r="AS30" s="1" t="s">
        <v>33</v>
      </c>
      <c r="AT30" s="1" t="s">
        <v>229</v>
      </c>
      <c r="AU30" s="1">
        <v>17.649999999999999</v>
      </c>
      <c r="AV30" s="1">
        <v>3.62</v>
      </c>
      <c r="AW30" s="1">
        <v>336053</v>
      </c>
      <c r="AX30" s="1">
        <v>0.65</v>
      </c>
      <c r="AY30" s="1">
        <v>201828</v>
      </c>
      <c r="AZ30" s="1">
        <v>7</v>
      </c>
      <c r="BA30" s="19" t="s">
        <v>228</v>
      </c>
    </row>
    <row r="31" spans="3:53" x14ac:dyDescent="0.25">
      <c r="Q31" s="109" t="str">
        <f t="shared" si="0"/>
        <v>Crazy 8GY C8 18 SEP 2</v>
      </c>
      <c r="R31" s="27" t="str">
        <f t="shared" si="1"/>
        <v>2018Crazy 8Fall</v>
      </c>
      <c r="S31" s="343">
        <v>2018</v>
      </c>
      <c r="T31" s="343" t="s">
        <v>60</v>
      </c>
      <c r="U31" s="343" t="s">
        <v>33</v>
      </c>
      <c r="V31" s="343" t="s">
        <v>423</v>
      </c>
      <c r="W31" s="343"/>
      <c r="X31" s="22">
        <f t="shared" si="2"/>
        <v>3</v>
      </c>
      <c r="Y31" s="22"/>
      <c r="AG31" s="27" t="str">
        <f t="shared" si="3"/>
        <v>OutletOutletUSA30</v>
      </c>
      <c r="AH31" s="1" t="s">
        <v>17</v>
      </c>
      <c r="AI31" s="1" t="s">
        <v>17</v>
      </c>
      <c r="AJ31" s="1" t="s">
        <v>307</v>
      </c>
      <c r="AK31" s="1">
        <v>30</v>
      </c>
      <c r="AL31" s="19">
        <v>0.6</v>
      </c>
      <c r="AN31" s="109" t="str">
        <f t="shared" si="4"/>
        <v>OutletUSAOutletGY 18 OUTLET FALL 2</v>
      </c>
      <c r="AO31" s="1" t="s">
        <v>17</v>
      </c>
      <c r="AP31" s="1" t="s">
        <v>17</v>
      </c>
      <c r="AQ31" s="1" t="s">
        <v>307</v>
      </c>
      <c r="AR31" s="1">
        <v>2018</v>
      </c>
      <c r="AS31" s="1" t="s">
        <v>33</v>
      </c>
      <c r="AT31" s="1" t="s">
        <v>230</v>
      </c>
      <c r="AU31" s="1">
        <v>24.83</v>
      </c>
      <c r="AV31" s="1">
        <v>4.75</v>
      </c>
      <c r="AW31" s="1">
        <v>599104</v>
      </c>
      <c r="AX31" s="1">
        <v>0.55000000000000004</v>
      </c>
      <c r="AY31" s="1">
        <v>201830</v>
      </c>
      <c r="AZ31" s="1">
        <v>7</v>
      </c>
      <c r="BA31" s="19" t="s">
        <v>231</v>
      </c>
    </row>
    <row r="32" spans="3:53" x14ac:dyDescent="0.25">
      <c r="Q32" s="109" t="str">
        <f t="shared" si="0"/>
        <v>Crazy 8GY C8 18 SEP CAP</v>
      </c>
      <c r="R32" s="27" t="str">
        <f t="shared" si="1"/>
        <v>2018Crazy 8Fall</v>
      </c>
      <c r="S32" s="343">
        <v>2018</v>
      </c>
      <c r="T32" s="343" t="s">
        <v>60</v>
      </c>
      <c r="U32" s="343" t="s">
        <v>33</v>
      </c>
      <c r="V32" s="343" t="s">
        <v>77</v>
      </c>
      <c r="W32" s="343" t="s">
        <v>78</v>
      </c>
      <c r="X32" s="22">
        <f t="shared" si="2"/>
        <v>3</v>
      </c>
      <c r="Y32" s="22"/>
      <c r="AG32" s="27" t="str">
        <f t="shared" si="3"/>
        <v>OutletOutletUSA31</v>
      </c>
      <c r="AH32" s="1" t="s">
        <v>17</v>
      </c>
      <c r="AI32" s="1" t="s">
        <v>17</v>
      </c>
      <c r="AJ32" s="1" t="s">
        <v>307</v>
      </c>
      <c r="AK32" s="1">
        <v>31</v>
      </c>
      <c r="AL32" s="19">
        <v>0.6</v>
      </c>
      <c r="AN32" s="109" t="str">
        <f t="shared" si="4"/>
        <v>OutletUSAOutletGY 18 OUTLET HOLIDAY DRESSY</v>
      </c>
      <c r="AO32" s="1" t="s">
        <v>17</v>
      </c>
      <c r="AP32" s="1" t="s">
        <v>17</v>
      </c>
      <c r="AQ32" s="1" t="s">
        <v>307</v>
      </c>
      <c r="AR32" s="1">
        <v>2018</v>
      </c>
      <c r="AS32" s="1" t="s">
        <v>33</v>
      </c>
      <c r="AT32" s="1" t="s">
        <v>232</v>
      </c>
      <c r="AU32" s="1">
        <v>27.49</v>
      </c>
      <c r="AV32" s="1">
        <v>5.14</v>
      </c>
      <c r="AW32" s="1">
        <v>473072</v>
      </c>
      <c r="AX32" s="1">
        <v>0.66</v>
      </c>
      <c r="AY32" s="1">
        <v>201833</v>
      </c>
      <c r="AZ32" s="1">
        <v>8</v>
      </c>
      <c r="BA32" s="19" t="s">
        <v>233</v>
      </c>
    </row>
    <row r="33" spans="17:53" x14ac:dyDescent="0.25">
      <c r="Q33" s="109" t="str">
        <f t="shared" si="0"/>
        <v>Crazy 8GY C8 18 DEC 1</v>
      </c>
      <c r="R33" s="27" t="str">
        <f t="shared" si="1"/>
        <v>2018Crazy 8Winter</v>
      </c>
      <c r="S33" s="343">
        <v>2018</v>
      </c>
      <c r="T33" s="343" t="s">
        <v>60</v>
      </c>
      <c r="U33" s="343" t="s">
        <v>34</v>
      </c>
      <c r="V33" s="343" t="s">
        <v>424</v>
      </c>
      <c r="W33" s="343" t="s">
        <v>357</v>
      </c>
      <c r="X33" s="22">
        <f t="shared" si="2"/>
        <v>4</v>
      </c>
      <c r="Y33" s="22"/>
      <c r="AG33" s="27" t="str">
        <f t="shared" si="3"/>
        <v>OutletOutletUSA32</v>
      </c>
      <c r="AH33" s="1" t="s">
        <v>17</v>
      </c>
      <c r="AI33" s="1" t="s">
        <v>17</v>
      </c>
      <c r="AJ33" s="1" t="s">
        <v>307</v>
      </c>
      <c r="AK33" s="1">
        <v>32</v>
      </c>
      <c r="AL33" s="19">
        <v>0.6</v>
      </c>
      <c r="AN33" s="109" t="str">
        <f t="shared" si="4"/>
        <v>Janie &amp; JackUSARetailJJ 3RD PARTY</v>
      </c>
      <c r="AO33" s="1" t="s">
        <v>32</v>
      </c>
      <c r="AP33" s="1" t="s">
        <v>5</v>
      </c>
      <c r="AQ33" s="1" t="s">
        <v>307</v>
      </c>
      <c r="AR33" s="1">
        <v>2018</v>
      </c>
      <c r="AS33" s="1" t="s">
        <v>35</v>
      </c>
      <c r="AT33" s="1" t="s">
        <v>302</v>
      </c>
      <c r="AU33" s="1">
        <v>55</v>
      </c>
      <c r="AV33" s="1">
        <v>24.32</v>
      </c>
      <c r="AW33" s="1">
        <v>450</v>
      </c>
      <c r="AX33" s="1">
        <v>0.25</v>
      </c>
      <c r="AY33" s="1">
        <v>201801</v>
      </c>
      <c r="AZ33" s="1">
        <v>13</v>
      </c>
      <c r="BA33" s="19" t="s">
        <v>302</v>
      </c>
    </row>
    <row r="34" spans="17:53" x14ac:dyDescent="0.25">
      <c r="Q34" s="109" t="str">
        <f t="shared" ref="Q34:Q59" si="5">T34&amp;V34</f>
        <v>Crazy 8GY C8 18 DEC 2</v>
      </c>
      <c r="R34" s="27" t="str">
        <f t="shared" ref="R34:R59" si="6">S34&amp;T34&amp;U34</f>
        <v>2018Crazy 8Winter</v>
      </c>
      <c r="S34" s="343">
        <v>2018</v>
      </c>
      <c r="T34" s="343" t="s">
        <v>60</v>
      </c>
      <c r="U34" s="343" t="s">
        <v>34</v>
      </c>
      <c r="V34" s="343" t="s">
        <v>425</v>
      </c>
      <c r="W34" s="343" t="s">
        <v>358</v>
      </c>
      <c r="X34" s="22">
        <f t="shared" ref="X34:X59" si="7">MATCH(U34,ListSeason,0)</f>
        <v>4</v>
      </c>
      <c r="Y34" s="22"/>
      <c r="AG34" s="27" t="str">
        <f t="shared" si="3"/>
        <v>OutletOutletUSA33</v>
      </c>
      <c r="AH34" s="1" t="s">
        <v>17</v>
      </c>
      <c r="AI34" s="1" t="s">
        <v>17</v>
      </c>
      <c r="AJ34" s="1" t="s">
        <v>307</v>
      </c>
      <c r="AK34" s="1">
        <v>33</v>
      </c>
      <c r="AL34" s="19">
        <v>0.6</v>
      </c>
      <c r="AN34" s="109" t="str">
        <f t="shared" si="4"/>
        <v>Janie &amp; JackUSARetailJJ 18 JULY SB2</v>
      </c>
      <c r="AO34" s="1" t="s">
        <v>32</v>
      </c>
      <c r="AP34" s="1" t="s">
        <v>5</v>
      </c>
      <c r="AQ34" s="1" t="s">
        <v>307</v>
      </c>
      <c r="AR34" s="1">
        <v>2018</v>
      </c>
      <c r="AS34" s="1" t="s">
        <v>35</v>
      </c>
      <c r="AT34" s="1" t="s">
        <v>176</v>
      </c>
      <c r="AU34" s="1">
        <v>39.9</v>
      </c>
      <c r="AV34" s="1">
        <v>8.74</v>
      </c>
      <c r="AW34" s="1">
        <v>37721</v>
      </c>
      <c r="AX34" s="1">
        <v>0.15</v>
      </c>
      <c r="AY34" s="1">
        <v>201822</v>
      </c>
      <c r="AZ34" s="1">
        <v>13</v>
      </c>
      <c r="BA34" s="19" t="s">
        <v>177</v>
      </c>
    </row>
    <row r="35" spans="17:53" x14ac:dyDescent="0.25">
      <c r="Q35" s="109" t="str">
        <f t="shared" si="5"/>
        <v>Crazy 8GY C8 18 NOV 1</v>
      </c>
      <c r="R35" s="27" t="str">
        <f t="shared" si="6"/>
        <v>2018Crazy 8Winter</v>
      </c>
      <c r="S35" s="343">
        <v>2018</v>
      </c>
      <c r="T35" s="343" t="s">
        <v>60</v>
      </c>
      <c r="U35" s="343" t="s">
        <v>34</v>
      </c>
      <c r="V35" s="343" t="s">
        <v>426</v>
      </c>
      <c r="W35" s="343" t="s">
        <v>355</v>
      </c>
      <c r="X35" s="22">
        <f t="shared" si="7"/>
        <v>4</v>
      </c>
      <c r="Y35" s="22"/>
      <c r="AG35" s="27" t="str">
        <f t="shared" si="3"/>
        <v>OutletOutletUSA34</v>
      </c>
      <c r="AH35" s="1" t="s">
        <v>17</v>
      </c>
      <c r="AI35" s="1" t="s">
        <v>17</v>
      </c>
      <c r="AJ35" s="1" t="s">
        <v>307</v>
      </c>
      <c r="AK35" s="1">
        <v>34</v>
      </c>
      <c r="AL35" s="19">
        <v>0.6</v>
      </c>
      <c r="AN35" s="109" t="str">
        <f t="shared" si="4"/>
        <v>Janie &amp; JackUSARetailJJ 18 AUG FALL 0</v>
      </c>
      <c r="AO35" s="1" t="s">
        <v>32</v>
      </c>
      <c r="AP35" s="1" t="s">
        <v>5</v>
      </c>
      <c r="AQ35" s="1" t="s">
        <v>307</v>
      </c>
      <c r="AR35" s="1">
        <v>2018</v>
      </c>
      <c r="AS35" s="1" t="s">
        <v>33</v>
      </c>
      <c r="AT35" s="1" t="s">
        <v>158</v>
      </c>
      <c r="AU35" s="1">
        <v>36.270000000000003</v>
      </c>
      <c r="AV35" s="1">
        <v>6.65</v>
      </c>
      <c r="AW35" s="1">
        <v>181481</v>
      </c>
      <c r="AX35" s="1">
        <v>0.2</v>
      </c>
      <c r="AY35" s="1">
        <v>201826</v>
      </c>
      <c r="AZ35" s="1">
        <v>5</v>
      </c>
      <c r="BA35" s="19" t="s">
        <v>159</v>
      </c>
    </row>
    <row r="36" spans="17:53" x14ac:dyDescent="0.25">
      <c r="Q36" s="109" t="str">
        <f t="shared" si="5"/>
        <v>Crazy 8GY C8 18 NOV 2</v>
      </c>
      <c r="R36" s="27" t="str">
        <f t="shared" si="6"/>
        <v>2018Crazy 8Winter</v>
      </c>
      <c r="S36" s="343">
        <v>2018</v>
      </c>
      <c r="T36" s="343" t="s">
        <v>60</v>
      </c>
      <c r="U36" s="343" t="s">
        <v>34</v>
      </c>
      <c r="V36" s="343" t="s">
        <v>427</v>
      </c>
      <c r="W36" s="343" t="s">
        <v>356</v>
      </c>
      <c r="X36" s="22">
        <f t="shared" si="7"/>
        <v>4</v>
      </c>
      <c r="Y36" s="22"/>
      <c r="AG36" s="27" t="str">
        <f t="shared" si="3"/>
        <v>OutletOutletUSA35</v>
      </c>
      <c r="AH36" s="1" t="s">
        <v>17</v>
      </c>
      <c r="AI36" s="1" t="s">
        <v>17</v>
      </c>
      <c r="AJ36" s="1" t="s">
        <v>307</v>
      </c>
      <c r="AK36" s="1">
        <v>35</v>
      </c>
      <c r="AL36" s="19">
        <v>0.6</v>
      </c>
      <c r="AN36" s="109" t="str">
        <f t="shared" si="4"/>
        <v>Janie &amp; JackUSARetailJJ 18 LAY SIGNATURE 1</v>
      </c>
      <c r="AO36" s="1" t="s">
        <v>32</v>
      </c>
      <c r="AP36" s="1" t="s">
        <v>5</v>
      </c>
      <c r="AQ36" s="1" t="s">
        <v>307</v>
      </c>
      <c r="AR36" s="1">
        <v>2018</v>
      </c>
      <c r="AS36" s="1" t="s">
        <v>16</v>
      </c>
      <c r="AT36" s="1" t="s">
        <v>173</v>
      </c>
      <c r="AU36" s="1">
        <v>30.16</v>
      </c>
      <c r="AV36" s="1">
        <v>5.62</v>
      </c>
      <c r="AW36" s="1">
        <v>72215</v>
      </c>
      <c r="AX36" s="1">
        <v>0.49</v>
      </c>
      <c r="AY36" s="1">
        <v>201751</v>
      </c>
      <c r="AZ36" s="1">
        <v>13</v>
      </c>
      <c r="BA36" s="19" t="s">
        <v>371</v>
      </c>
    </row>
    <row r="37" spans="17:53" x14ac:dyDescent="0.25">
      <c r="Q37" s="109" t="str">
        <f t="shared" si="5"/>
        <v>Crazy 8GY C8 18 WTR</v>
      </c>
      <c r="R37" s="27" t="str">
        <f t="shared" si="6"/>
        <v>2018Crazy 8Winter</v>
      </c>
      <c r="S37" s="343">
        <v>2018</v>
      </c>
      <c r="T37" s="343" t="s">
        <v>60</v>
      </c>
      <c r="U37" s="343" t="s">
        <v>34</v>
      </c>
      <c r="V37" s="343" t="s">
        <v>428</v>
      </c>
      <c r="W37" s="343" t="s">
        <v>353</v>
      </c>
      <c r="X37" s="22">
        <f t="shared" si="7"/>
        <v>4</v>
      </c>
      <c r="Y37" s="22"/>
      <c r="AG37" s="27" t="str">
        <f t="shared" si="3"/>
        <v>OutletOutletUSA36</v>
      </c>
      <c r="AH37" s="1" t="s">
        <v>17</v>
      </c>
      <c r="AI37" s="1" t="s">
        <v>17</v>
      </c>
      <c r="AJ37" s="1" t="s">
        <v>307</v>
      </c>
      <c r="AK37" s="1">
        <v>36</v>
      </c>
      <c r="AL37" s="19">
        <v>0.6</v>
      </c>
      <c r="AN37" s="109" t="str">
        <f t="shared" si="4"/>
        <v>Janie &amp; JackUSARetailJJ 18 DEC SWIM</v>
      </c>
      <c r="AO37" s="1" t="s">
        <v>32</v>
      </c>
      <c r="AP37" s="1" t="s">
        <v>5</v>
      </c>
      <c r="AQ37" s="1" t="s">
        <v>307</v>
      </c>
      <c r="AR37" s="1">
        <v>2018</v>
      </c>
      <c r="AS37" s="1" t="s">
        <v>16</v>
      </c>
      <c r="AT37" s="1" t="s">
        <v>161</v>
      </c>
      <c r="AU37" s="1">
        <v>34.36</v>
      </c>
      <c r="AV37" s="1">
        <v>6.49</v>
      </c>
      <c r="AW37" s="1">
        <v>37913</v>
      </c>
      <c r="AX37" s="1">
        <v>0.2</v>
      </c>
      <c r="AY37" s="1">
        <v>201744</v>
      </c>
      <c r="AZ37" s="1">
        <v>8</v>
      </c>
      <c r="BA37" s="19" t="s">
        <v>162</v>
      </c>
    </row>
    <row r="38" spans="17:53" x14ac:dyDescent="0.25">
      <c r="Q38" s="109" t="str">
        <f t="shared" si="5"/>
        <v>Crazy 8GY C8 18 WTR DB</v>
      </c>
      <c r="R38" s="27" t="str">
        <f t="shared" si="6"/>
        <v>2018Crazy 8Winter</v>
      </c>
      <c r="S38" s="343">
        <v>2018</v>
      </c>
      <c r="T38" s="343" t="s">
        <v>60</v>
      </c>
      <c r="U38" s="343" t="s">
        <v>34</v>
      </c>
      <c r="V38" s="343" t="s">
        <v>429</v>
      </c>
      <c r="W38" s="343" t="s">
        <v>354</v>
      </c>
      <c r="X38" s="22">
        <f t="shared" si="7"/>
        <v>4</v>
      </c>
      <c r="Y38" s="22"/>
      <c r="AG38" s="27" t="str">
        <f t="shared" si="3"/>
        <v>OutletOutletUSA37</v>
      </c>
      <c r="AH38" s="1" t="s">
        <v>17</v>
      </c>
      <c r="AI38" s="1" t="s">
        <v>17</v>
      </c>
      <c r="AJ38" s="1" t="s">
        <v>307</v>
      </c>
      <c r="AK38" s="1">
        <v>37</v>
      </c>
      <c r="AL38" s="19">
        <v>0.6</v>
      </c>
      <c r="AN38" s="109" t="str">
        <f t="shared" si="4"/>
        <v>Janie &amp; JackUSARetailJJ 18 DEC VDAY</v>
      </c>
      <c r="AO38" s="1" t="s">
        <v>32</v>
      </c>
      <c r="AP38" s="1" t="s">
        <v>5</v>
      </c>
      <c r="AQ38" s="1" t="s">
        <v>307</v>
      </c>
      <c r="AR38" s="1">
        <v>2018</v>
      </c>
      <c r="AS38" s="1" t="s">
        <v>16</v>
      </c>
      <c r="AT38" s="1" t="s">
        <v>183</v>
      </c>
      <c r="AU38" s="1">
        <v>34.14</v>
      </c>
      <c r="AV38" s="1">
        <v>6.73</v>
      </c>
      <c r="AW38" s="1">
        <v>33688</v>
      </c>
      <c r="AX38" s="1">
        <v>0.2</v>
      </c>
      <c r="AY38" s="1">
        <v>201747</v>
      </c>
      <c r="AZ38" s="1">
        <v>5</v>
      </c>
      <c r="BA38" s="19" t="s">
        <v>184</v>
      </c>
    </row>
    <row r="39" spans="17:53" x14ac:dyDescent="0.25">
      <c r="Q39" s="109" t="str">
        <f t="shared" si="5"/>
        <v>Crazy 8GY C8 19 JAN 1</v>
      </c>
      <c r="R39" s="27" t="str">
        <f t="shared" si="6"/>
        <v>2018Crazy 8Winter</v>
      </c>
      <c r="S39" s="343">
        <v>2018</v>
      </c>
      <c r="T39" s="343" t="s">
        <v>60</v>
      </c>
      <c r="U39" s="343" t="s">
        <v>34</v>
      </c>
      <c r="V39" s="343" t="s">
        <v>430</v>
      </c>
      <c r="W39" s="343" t="s">
        <v>86</v>
      </c>
      <c r="X39" s="22">
        <f t="shared" si="7"/>
        <v>4</v>
      </c>
      <c r="Y39" s="22"/>
      <c r="AG39" s="27" t="str">
        <f t="shared" si="3"/>
        <v>OutletOutletUSA38</v>
      </c>
      <c r="AH39" s="1" t="s">
        <v>17</v>
      </c>
      <c r="AI39" s="1" t="s">
        <v>17</v>
      </c>
      <c r="AJ39" s="1" t="s">
        <v>307</v>
      </c>
      <c r="AK39" s="1">
        <v>38</v>
      </c>
      <c r="AL39" s="19">
        <v>0.6</v>
      </c>
      <c r="AN39" s="109" t="str">
        <f t="shared" si="4"/>
        <v>Janie &amp; JackUSARetailJJ 18 DEC RESORT 2</v>
      </c>
      <c r="AO39" s="1" t="s">
        <v>32</v>
      </c>
      <c r="AP39" s="1" t="s">
        <v>5</v>
      </c>
      <c r="AQ39" s="1" t="s">
        <v>307</v>
      </c>
      <c r="AR39" s="1">
        <v>2018</v>
      </c>
      <c r="AS39" s="1" t="s">
        <v>16</v>
      </c>
      <c r="AT39" s="1" t="s">
        <v>185</v>
      </c>
      <c r="AU39" s="1">
        <v>36.46</v>
      </c>
      <c r="AV39" s="1">
        <v>6.57</v>
      </c>
      <c r="AW39" s="1">
        <v>44657</v>
      </c>
      <c r="AX39" s="1">
        <v>0.2</v>
      </c>
      <c r="AY39" s="1">
        <v>201748</v>
      </c>
      <c r="AZ39" s="1">
        <v>5</v>
      </c>
      <c r="BA39" s="19" t="s">
        <v>186</v>
      </c>
    </row>
    <row r="40" spans="17:53" x14ac:dyDescent="0.25">
      <c r="Q40" s="109" t="str">
        <f t="shared" si="5"/>
        <v>Crazy 8GY C8 19 JAN 2</v>
      </c>
      <c r="R40" s="27" t="str">
        <f t="shared" si="6"/>
        <v>2018Crazy 8Winter</v>
      </c>
      <c r="S40" s="343">
        <v>2018</v>
      </c>
      <c r="T40" s="343" t="s">
        <v>60</v>
      </c>
      <c r="U40" s="343" t="s">
        <v>34</v>
      </c>
      <c r="V40" s="343" t="s">
        <v>431</v>
      </c>
      <c r="W40" s="343"/>
      <c r="X40" s="22">
        <f t="shared" si="7"/>
        <v>4</v>
      </c>
      <c r="Y40" s="22"/>
      <c r="AG40" s="27" t="str">
        <f t="shared" si="3"/>
        <v>OutletOutletUSA39</v>
      </c>
      <c r="AH40" s="1" t="s">
        <v>17</v>
      </c>
      <c r="AI40" s="1" t="s">
        <v>17</v>
      </c>
      <c r="AJ40" s="1" t="s">
        <v>307</v>
      </c>
      <c r="AK40" s="1">
        <v>39</v>
      </c>
      <c r="AL40" s="19">
        <v>0.6</v>
      </c>
      <c r="AN40" s="109" t="str">
        <f t="shared" si="4"/>
        <v>Janie &amp; JackUSARetailJJ 18 JAN SPRING TRANS</v>
      </c>
      <c r="AO40" s="1" t="s">
        <v>32</v>
      </c>
      <c r="AP40" s="1" t="s">
        <v>5</v>
      </c>
      <c r="AQ40" s="1" t="s">
        <v>307</v>
      </c>
      <c r="AR40" s="1">
        <v>2018</v>
      </c>
      <c r="AS40" s="1" t="s">
        <v>16</v>
      </c>
      <c r="AT40" s="1" t="s">
        <v>191</v>
      </c>
      <c r="AU40" s="1">
        <v>37.26</v>
      </c>
      <c r="AV40" s="1">
        <v>6.81</v>
      </c>
      <c r="AW40" s="1">
        <v>93305</v>
      </c>
      <c r="AX40" s="1">
        <v>0.2</v>
      </c>
      <c r="AY40" s="1">
        <v>201749</v>
      </c>
      <c r="AZ40" s="1">
        <v>5</v>
      </c>
      <c r="BA40" s="19" t="s">
        <v>192</v>
      </c>
    </row>
    <row r="41" spans="17:53" x14ac:dyDescent="0.25">
      <c r="Q41" s="109" t="str">
        <f t="shared" si="5"/>
        <v>Crazy 8GY C8 19 SPR</v>
      </c>
      <c r="R41" s="27" t="str">
        <f t="shared" si="6"/>
        <v>2018Crazy 8Winter</v>
      </c>
      <c r="S41" s="343">
        <v>2018</v>
      </c>
      <c r="T41" s="343" t="s">
        <v>60</v>
      </c>
      <c r="U41" s="343" t="s">
        <v>34</v>
      </c>
      <c r="V41" s="343" t="s">
        <v>432</v>
      </c>
      <c r="W41" s="343" t="s">
        <v>84</v>
      </c>
      <c r="X41" s="22">
        <f t="shared" si="7"/>
        <v>4</v>
      </c>
      <c r="Y41" s="22"/>
      <c r="AG41" s="27" t="str">
        <f t="shared" si="3"/>
        <v>OutletOutletUSA40</v>
      </c>
      <c r="AH41" s="1" t="s">
        <v>17</v>
      </c>
      <c r="AI41" s="1" t="s">
        <v>17</v>
      </c>
      <c r="AJ41" s="1" t="s">
        <v>307</v>
      </c>
      <c r="AK41" s="1">
        <v>40</v>
      </c>
      <c r="AL41" s="19">
        <v>0.7</v>
      </c>
      <c r="AN41" s="109" t="str">
        <f t="shared" si="4"/>
        <v>Janie &amp; JackUSARetailJJ 18 SB1</v>
      </c>
      <c r="AO41" s="1" t="s">
        <v>32</v>
      </c>
      <c r="AP41" s="1" t="s">
        <v>5</v>
      </c>
      <c r="AQ41" s="1" t="s">
        <v>307</v>
      </c>
      <c r="AR41" s="1">
        <v>2018</v>
      </c>
      <c r="AS41" s="1" t="s">
        <v>16</v>
      </c>
      <c r="AT41" s="1" t="s">
        <v>163</v>
      </c>
      <c r="AU41" s="1">
        <v>29.9</v>
      </c>
      <c r="AV41" s="1">
        <v>5.45</v>
      </c>
      <c r="AW41" s="1">
        <v>8434</v>
      </c>
      <c r="AX41" s="1">
        <v>0.2</v>
      </c>
      <c r="AY41" s="1">
        <v>201749</v>
      </c>
      <c r="AZ41" s="1">
        <v>13</v>
      </c>
      <c r="BA41" s="19" t="s">
        <v>164</v>
      </c>
    </row>
    <row r="42" spans="17:53" x14ac:dyDescent="0.25">
      <c r="Q42" s="109" t="str">
        <f t="shared" si="5"/>
        <v>Crazy 8GY C8 18 SB1</v>
      </c>
      <c r="R42" s="27" t="str">
        <f t="shared" si="6"/>
        <v>2018Crazy 8Basics</v>
      </c>
      <c r="S42" s="343">
        <v>2018</v>
      </c>
      <c r="T42" s="343" t="s">
        <v>60</v>
      </c>
      <c r="U42" s="343" t="s">
        <v>35</v>
      </c>
      <c r="V42" s="343" t="s">
        <v>61</v>
      </c>
      <c r="W42" s="343" t="s">
        <v>62</v>
      </c>
      <c r="X42" s="22">
        <f t="shared" si="7"/>
        <v>5</v>
      </c>
      <c r="Y42" s="22"/>
      <c r="AG42" s="27" t="str">
        <f t="shared" si="3"/>
        <v>OutletOutletUSA41</v>
      </c>
      <c r="AH42" s="1" t="s">
        <v>17</v>
      </c>
      <c r="AI42" s="1" t="s">
        <v>17</v>
      </c>
      <c r="AJ42" s="1" t="s">
        <v>307</v>
      </c>
      <c r="AK42" s="1">
        <v>41</v>
      </c>
      <c r="AL42" s="19">
        <v>0.7</v>
      </c>
      <c r="AN42" s="109" t="str">
        <f t="shared" si="4"/>
        <v>Janie &amp; JackUSARetailJJ 18 SWIM 2</v>
      </c>
      <c r="AO42" s="1" t="s">
        <v>32</v>
      </c>
      <c r="AP42" s="1" t="s">
        <v>5</v>
      </c>
      <c r="AQ42" s="1" t="s">
        <v>307</v>
      </c>
      <c r="AR42" s="1">
        <v>2018</v>
      </c>
      <c r="AS42" s="1" t="s">
        <v>16</v>
      </c>
      <c r="AT42" s="1" t="s">
        <v>165</v>
      </c>
      <c r="AU42" s="1">
        <v>31.97</v>
      </c>
      <c r="AV42" s="1">
        <v>5.85</v>
      </c>
      <c r="AW42" s="1">
        <v>61728</v>
      </c>
      <c r="AX42" s="1">
        <v>0.2</v>
      </c>
      <c r="AY42" s="1">
        <v>201749</v>
      </c>
      <c r="AZ42" s="1">
        <v>8</v>
      </c>
      <c r="BA42" s="19" t="s">
        <v>166</v>
      </c>
    </row>
    <row r="43" spans="17:53" x14ac:dyDescent="0.25">
      <c r="Q43" s="109" t="str">
        <f t="shared" si="5"/>
        <v>Crazy 8GY C8 18 SB2</v>
      </c>
      <c r="R43" s="27" t="str">
        <f t="shared" si="6"/>
        <v>2018Crazy 8Basics</v>
      </c>
      <c r="S43" s="343">
        <v>2018</v>
      </c>
      <c r="T43" s="343" t="s">
        <v>60</v>
      </c>
      <c r="U43" s="343" t="s">
        <v>35</v>
      </c>
      <c r="V43" s="343" t="s">
        <v>65</v>
      </c>
      <c r="W43" s="343" t="s">
        <v>66</v>
      </c>
      <c r="X43" s="22">
        <f t="shared" si="7"/>
        <v>5</v>
      </c>
      <c r="Y43" s="22"/>
      <c r="AG43" s="27" t="str">
        <f t="shared" si="3"/>
        <v>OutletOutletUSA42</v>
      </c>
      <c r="AH43" s="1" t="s">
        <v>17</v>
      </c>
      <c r="AI43" s="1" t="s">
        <v>17</v>
      </c>
      <c r="AJ43" s="1" t="s">
        <v>307</v>
      </c>
      <c r="AK43" s="1">
        <v>42</v>
      </c>
      <c r="AL43" s="19">
        <v>0.7</v>
      </c>
      <c r="AN43" s="109" t="str">
        <f t="shared" si="4"/>
        <v>Janie &amp; JackUSARetailJJ 18 JAN SPR GIFTING LAY</v>
      </c>
      <c r="AO43" s="1" t="s">
        <v>32</v>
      </c>
      <c r="AP43" s="1" t="s">
        <v>5</v>
      </c>
      <c r="AQ43" s="1" t="s">
        <v>307</v>
      </c>
      <c r="AR43" s="1">
        <v>2018</v>
      </c>
      <c r="AS43" s="1" t="s">
        <v>16</v>
      </c>
      <c r="AT43" s="1" t="s">
        <v>195</v>
      </c>
      <c r="AU43" s="1">
        <v>37.840000000000003</v>
      </c>
      <c r="AV43" s="1">
        <v>7.31</v>
      </c>
      <c r="AW43" s="1">
        <v>17996</v>
      </c>
      <c r="AX43" s="1">
        <v>0.2</v>
      </c>
      <c r="AY43" s="1">
        <v>201749</v>
      </c>
      <c r="AZ43" s="1">
        <v>8</v>
      </c>
      <c r="BA43" s="19" t="s">
        <v>196</v>
      </c>
    </row>
    <row r="44" spans="17:53" x14ac:dyDescent="0.25">
      <c r="Q44" s="109" t="str">
        <f t="shared" si="5"/>
        <v>Crazy 8GY C8 18 UNIFORM CAP</v>
      </c>
      <c r="R44" s="27" t="str">
        <f t="shared" si="6"/>
        <v>2018Crazy 8Basics</v>
      </c>
      <c r="S44" s="343">
        <v>2018</v>
      </c>
      <c r="T44" s="343" t="s">
        <v>60</v>
      </c>
      <c r="U44" s="343" t="s">
        <v>35</v>
      </c>
      <c r="V44" s="343" t="s">
        <v>64</v>
      </c>
      <c r="W44" s="343" t="s">
        <v>352</v>
      </c>
      <c r="X44" s="22">
        <f t="shared" si="7"/>
        <v>5</v>
      </c>
      <c r="Y44" s="22"/>
      <c r="AG44" s="27" t="str">
        <f t="shared" si="3"/>
        <v>OutletOutletUSA43</v>
      </c>
      <c r="AH44" s="1" t="s">
        <v>17</v>
      </c>
      <c r="AI44" s="1" t="s">
        <v>17</v>
      </c>
      <c r="AJ44" s="1" t="s">
        <v>307</v>
      </c>
      <c r="AK44" s="1">
        <v>43</v>
      </c>
      <c r="AL44" s="19">
        <v>0.7</v>
      </c>
      <c r="AN44" s="109" t="str">
        <f t="shared" si="4"/>
        <v>Janie &amp; JackUSARetailJJ 18 JAN SPRING 1</v>
      </c>
      <c r="AO44" s="1" t="s">
        <v>32</v>
      </c>
      <c r="AP44" s="1" t="s">
        <v>5</v>
      </c>
      <c r="AQ44" s="1" t="s">
        <v>307</v>
      </c>
      <c r="AR44" s="1">
        <v>2018</v>
      </c>
      <c r="AS44" s="1" t="s">
        <v>16</v>
      </c>
      <c r="AT44" s="1" t="s">
        <v>181</v>
      </c>
      <c r="AU44" s="1">
        <v>34.65</v>
      </c>
      <c r="AV44" s="1">
        <v>6.46</v>
      </c>
      <c r="AW44" s="1">
        <v>118475</v>
      </c>
      <c r="AX44" s="1">
        <v>0.22</v>
      </c>
      <c r="AY44" s="1">
        <v>201752</v>
      </c>
      <c r="AZ44" s="1">
        <v>5</v>
      </c>
      <c r="BA44" s="19" t="s">
        <v>182</v>
      </c>
    </row>
    <row r="45" spans="17:53" x14ac:dyDescent="0.25">
      <c r="Q45" s="109" t="str">
        <f t="shared" si="5"/>
        <v>Crazy 8GY C8 YRLY BASICS</v>
      </c>
      <c r="R45" s="27" t="str">
        <f t="shared" si="6"/>
        <v>2018Crazy 8Basics</v>
      </c>
      <c r="S45" s="343">
        <v>2018</v>
      </c>
      <c r="T45" s="343" t="s">
        <v>60</v>
      </c>
      <c r="U45" s="343" t="s">
        <v>35</v>
      </c>
      <c r="V45" s="343" t="s">
        <v>294</v>
      </c>
      <c r="W45" s="343" t="s">
        <v>294</v>
      </c>
      <c r="X45" s="22">
        <f t="shared" si="7"/>
        <v>5</v>
      </c>
      <c r="Y45" s="22"/>
      <c r="AG45" s="27" t="str">
        <f t="shared" si="3"/>
        <v>OutletOutletUSA44</v>
      </c>
      <c r="AH45" s="1" t="s">
        <v>17</v>
      </c>
      <c r="AI45" s="1" t="s">
        <v>17</v>
      </c>
      <c r="AJ45" s="1" t="s">
        <v>307</v>
      </c>
      <c r="AK45" s="1">
        <v>44</v>
      </c>
      <c r="AL45" s="19">
        <v>0.7</v>
      </c>
      <c r="AN45" s="109" t="str">
        <f t="shared" si="4"/>
        <v>Janie &amp; JackUSARetailJJ 18 JAN SO SB1</v>
      </c>
      <c r="AO45" s="1" t="s">
        <v>32</v>
      </c>
      <c r="AP45" s="1" t="s">
        <v>5</v>
      </c>
      <c r="AQ45" s="1" t="s">
        <v>307</v>
      </c>
      <c r="AR45" s="1">
        <v>2018</v>
      </c>
      <c r="AS45" s="1" t="s">
        <v>16</v>
      </c>
      <c r="AT45" s="1" t="s">
        <v>167</v>
      </c>
      <c r="AU45" s="1">
        <v>65.36</v>
      </c>
      <c r="AV45" s="1">
        <v>10.77</v>
      </c>
      <c r="AW45" s="1">
        <v>23706</v>
      </c>
      <c r="AX45" s="1">
        <v>0.4</v>
      </c>
      <c r="AY45" s="1">
        <v>201752</v>
      </c>
      <c r="AZ45" s="1">
        <v>13</v>
      </c>
      <c r="BA45" s="19" t="s">
        <v>168</v>
      </c>
    </row>
    <row r="46" spans="17:53" x14ac:dyDescent="0.25">
      <c r="Q46" s="109" t="str">
        <f t="shared" si="5"/>
        <v>Crazy 8GY C8 YRLY DENIM</v>
      </c>
      <c r="R46" s="27" t="str">
        <f t="shared" si="6"/>
        <v>2018Crazy 8Basics</v>
      </c>
      <c r="S46" s="343">
        <v>2018</v>
      </c>
      <c r="T46" s="343" t="s">
        <v>60</v>
      </c>
      <c r="U46" s="343" t="s">
        <v>35</v>
      </c>
      <c r="V46" s="343" t="s">
        <v>295</v>
      </c>
      <c r="W46" s="343" t="s">
        <v>295</v>
      </c>
      <c r="X46" s="22">
        <f t="shared" si="7"/>
        <v>5</v>
      </c>
      <c r="Y46" s="22"/>
      <c r="AG46" s="27" t="str">
        <f t="shared" si="3"/>
        <v>OutletOutletUSA45</v>
      </c>
      <c r="AH46" s="1" t="s">
        <v>17</v>
      </c>
      <c r="AI46" s="1" t="s">
        <v>17</v>
      </c>
      <c r="AJ46" s="1" t="s">
        <v>307</v>
      </c>
      <c r="AK46" s="1">
        <v>45</v>
      </c>
      <c r="AL46" s="19">
        <v>0.7</v>
      </c>
      <c r="AN46" s="109" t="str">
        <f t="shared" si="4"/>
        <v>Janie &amp; JackUSARetailJJ 18 FEB EASTER 1</v>
      </c>
      <c r="AO46" s="1" t="s">
        <v>32</v>
      </c>
      <c r="AP46" s="1" t="s">
        <v>5</v>
      </c>
      <c r="AQ46" s="1" t="s">
        <v>307</v>
      </c>
      <c r="AR46" s="1">
        <v>2018</v>
      </c>
      <c r="AS46" s="1" t="s">
        <v>16</v>
      </c>
      <c r="AT46" s="1" t="s">
        <v>187</v>
      </c>
      <c r="AU46" s="1">
        <v>38.06</v>
      </c>
      <c r="AV46" s="1">
        <v>7.13</v>
      </c>
      <c r="AW46" s="1">
        <v>186248</v>
      </c>
      <c r="AX46" s="1">
        <v>0.26</v>
      </c>
      <c r="AY46" s="1">
        <v>201801</v>
      </c>
      <c r="AZ46" s="1">
        <v>5</v>
      </c>
      <c r="BA46" s="19" t="s">
        <v>188</v>
      </c>
    </row>
    <row r="47" spans="17:53" x14ac:dyDescent="0.25">
      <c r="Q47" s="109" t="str">
        <f t="shared" si="5"/>
        <v>Crazy 8Winter 17</v>
      </c>
      <c r="R47" s="27" t="str">
        <f t="shared" si="6"/>
        <v>2018Crazy 8Winter 17</v>
      </c>
      <c r="S47" s="343">
        <v>2018</v>
      </c>
      <c r="T47" s="343" t="s">
        <v>60</v>
      </c>
      <c r="U47" s="343" t="s">
        <v>462</v>
      </c>
      <c r="V47" s="343" t="s">
        <v>462</v>
      </c>
      <c r="W47" s="343" t="s">
        <v>461</v>
      </c>
      <c r="X47" s="22">
        <f t="shared" si="7"/>
        <v>7</v>
      </c>
      <c r="Y47" s="22"/>
      <c r="AG47" s="27" t="str">
        <f t="shared" si="3"/>
        <v>OutletOutletUSA46</v>
      </c>
      <c r="AH47" s="1" t="s">
        <v>17</v>
      </c>
      <c r="AI47" s="1" t="s">
        <v>17</v>
      </c>
      <c r="AJ47" s="1" t="s">
        <v>307</v>
      </c>
      <c r="AK47" s="1">
        <v>46</v>
      </c>
      <c r="AL47" s="19">
        <v>0.7</v>
      </c>
      <c r="AN47" s="109" t="str">
        <f t="shared" si="4"/>
        <v>Janie &amp; JackUSARetailJJ 18 FEB EASTER GIFT LAY</v>
      </c>
      <c r="AO47" s="1" t="s">
        <v>32</v>
      </c>
      <c r="AP47" s="1" t="s">
        <v>5</v>
      </c>
      <c r="AQ47" s="1" t="s">
        <v>307</v>
      </c>
      <c r="AR47" s="1">
        <v>2018</v>
      </c>
      <c r="AS47" s="1" t="s">
        <v>16</v>
      </c>
      <c r="AT47" s="1" t="s">
        <v>189</v>
      </c>
      <c r="AU47" s="1">
        <v>39.229999999999997</v>
      </c>
      <c r="AV47" s="1">
        <v>8.5500000000000007</v>
      </c>
      <c r="AW47" s="1">
        <v>9948</v>
      </c>
      <c r="AX47" s="1">
        <v>0.38</v>
      </c>
      <c r="AY47" s="1">
        <v>201801</v>
      </c>
      <c r="AZ47" s="1">
        <v>8</v>
      </c>
      <c r="BA47" s="19" t="s">
        <v>190</v>
      </c>
    </row>
    <row r="48" spans="17:53" x14ac:dyDescent="0.25">
      <c r="Q48" s="109" t="str">
        <f t="shared" si="5"/>
        <v>Crazy 8Old</v>
      </c>
      <c r="R48" s="27" t="str">
        <f t="shared" si="6"/>
        <v>2018Crazy 8Old</v>
      </c>
      <c r="S48" s="343">
        <v>2018</v>
      </c>
      <c r="T48" s="343" t="s">
        <v>60</v>
      </c>
      <c r="U48" s="343" t="s">
        <v>460</v>
      </c>
      <c r="V48" s="343" t="s">
        <v>460</v>
      </c>
      <c r="W48" s="343" t="s">
        <v>460</v>
      </c>
      <c r="X48" s="22">
        <f t="shared" si="7"/>
        <v>8</v>
      </c>
      <c r="Y48" s="22"/>
      <c r="AG48" s="27" t="str">
        <f t="shared" si="3"/>
        <v>OutletOutletUSA47</v>
      </c>
      <c r="AH48" s="1" t="s">
        <v>17</v>
      </c>
      <c r="AI48" s="1" t="s">
        <v>17</v>
      </c>
      <c r="AJ48" s="1" t="s">
        <v>307</v>
      </c>
      <c r="AK48" s="1">
        <v>47</v>
      </c>
      <c r="AL48" s="19">
        <v>0.7</v>
      </c>
      <c r="AN48" s="109" t="str">
        <f t="shared" si="4"/>
        <v>Janie &amp; JackUSARetailJJ 18 MAR EASTER 2</v>
      </c>
      <c r="AO48" s="1" t="s">
        <v>32</v>
      </c>
      <c r="AP48" s="1" t="s">
        <v>5</v>
      </c>
      <c r="AQ48" s="1" t="s">
        <v>307</v>
      </c>
      <c r="AR48" s="1">
        <v>2018</v>
      </c>
      <c r="AS48" s="1" t="s">
        <v>16</v>
      </c>
      <c r="AT48" s="1" t="s">
        <v>193</v>
      </c>
      <c r="AU48" s="1">
        <v>38.520000000000003</v>
      </c>
      <c r="AV48" s="1">
        <v>7.1</v>
      </c>
      <c r="AW48" s="1">
        <v>124839</v>
      </c>
      <c r="AX48" s="1">
        <v>0.24</v>
      </c>
      <c r="AY48" s="1">
        <v>201803</v>
      </c>
      <c r="AZ48" s="1">
        <v>5</v>
      </c>
      <c r="BA48" s="19" t="s">
        <v>194</v>
      </c>
    </row>
    <row r="49" spans="17:53" x14ac:dyDescent="0.25">
      <c r="Q49" s="109" t="str">
        <f t="shared" si="5"/>
        <v>GymboreeGY 18 DRESSY</v>
      </c>
      <c r="R49" s="27" t="str">
        <f t="shared" si="6"/>
        <v>2018GymboreeSpring</v>
      </c>
      <c r="S49" s="343">
        <v>2018</v>
      </c>
      <c r="T49" s="343" t="s">
        <v>14</v>
      </c>
      <c r="U49" s="343" t="s">
        <v>16</v>
      </c>
      <c r="V49" s="343" t="s">
        <v>134</v>
      </c>
      <c r="W49" s="343" t="s">
        <v>135</v>
      </c>
      <c r="X49" s="22">
        <f t="shared" si="7"/>
        <v>1</v>
      </c>
      <c r="Y49" s="22"/>
      <c r="AG49" s="27" t="str">
        <f t="shared" si="3"/>
        <v>OutletOutletUSA48</v>
      </c>
      <c r="AH49" s="1" t="s">
        <v>17</v>
      </c>
      <c r="AI49" s="1" t="s">
        <v>17</v>
      </c>
      <c r="AJ49" s="1" t="s">
        <v>307</v>
      </c>
      <c r="AK49" s="1">
        <v>48</v>
      </c>
      <c r="AL49" s="19">
        <v>0.7</v>
      </c>
      <c r="AN49" s="109" t="str">
        <f t="shared" si="4"/>
        <v>Janie &amp; JackUSARetailJJ 18 SPR SO REFRESH</v>
      </c>
      <c r="AO49" s="1" t="s">
        <v>32</v>
      </c>
      <c r="AP49" s="1" t="s">
        <v>5</v>
      </c>
      <c r="AQ49" s="1" t="s">
        <v>307</v>
      </c>
      <c r="AR49" s="1">
        <v>2018</v>
      </c>
      <c r="AS49" s="1" t="s">
        <v>16</v>
      </c>
      <c r="AT49" s="1" t="s">
        <v>169</v>
      </c>
      <c r="AU49" s="1">
        <v>111.41</v>
      </c>
      <c r="AV49" s="1">
        <v>27.77</v>
      </c>
      <c r="AW49" s="1">
        <v>551</v>
      </c>
      <c r="AX49" s="1">
        <v>0.2</v>
      </c>
      <c r="AY49" s="1">
        <v>201803</v>
      </c>
      <c r="AZ49" s="1">
        <v>8</v>
      </c>
      <c r="BA49" s="19" t="s">
        <v>170</v>
      </c>
    </row>
    <row r="50" spans="17:53" x14ac:dyDescent="0.25">
      <c r="Q50" s="109" t="str">
        <f t="shared" si="5"/>
        <v>GymboreeGY 18 SPR</v>
      </c>
      <c r="R50" s="27" t="str">
        <f t="shared" si="6"/>
        <v>2018GymboreeSpring</v>
      </c>
      <c r="S50" s="343">
        <v>2018</v>
      </c>
      <c r="T50" s="343" t="s">
        <v>14</v>
      </c>
      <c r="U50" s="343" t="s">
        <v>16</v>
      </c>
      <c r="V50" s="343" t="s">
        <v>128</v>
      </c>
      <c r="W50" s="343" t="s">
        <v>129</v>
      </c>
      <c r="X50" s="22">
        <f t="shared" si="7"/>
        <v>1</v>
      </c>
      <c r="Y50" s="22"/>
      <c r="AG50" s="27" t="str">
        <f t="shared" si="3"/>
        <v>OutletOutletUSA49</v>
      </c>
      <c r="AH50" s="1" t="s">
        <v>17</v>
      </c>
      <c r="AI50" s="1" t="s">
        <v>17</v>
      </c>
      <c r="AJ50" s="1" t="s">
        <v>307</v>
      </c>
      <c r="AK50" s="1">
        <v>49</v>
      </c>
      <c r="AL50" s="19">
        <v>0.8</v>
      </c>
      <c r="AN50" s="109" t="str">
        <f t="shared" si="4"/>
        <v>Janie &amp; JackUSARetailJJ 18 MAR SPR 2</v>
      </c>
      <c r="AO50" s="1" t="s">
        <v>32</v>
      </c>
      <c r="AP50" s="1" t="s">
        <v>5</v>
      </c>
      <c r="AQ50" s="1" t="s">
        <v>307</v>
      </c>
      <c r="AR50" s="1">
        <v>2018</v>
      </c>
      <c r="AS50" s="1" t="s">
        <v>16</v>
      </c>
      <c r="AT50" s="1" t="s">
        <v>197</v>
      </c>
      <c r="AU50" s="1">
        <v>35.89</v>
      </c>
      <c r="AV50" s="1">
        <v>6.97</v>
      </c>
      <c r="AW50" s="1">
        <v>115109</v>
      </c>
      <c r="AX50" s="1">
        <v>0.22</v>
      </c>
      <c r="AY50" s="1">
        <v>201806</v>
      </c>
      <c r="AZ50" s="1">
        <v>5</v>
      </c>
      <c r="BA50" s="19" t="s">
        <v>198</v>
      </c>
    </row>
    <row r="51" spans="17:53" x14ac:dyDescent="0.25">
      <c r="Q51" s="109" t="str">
        <f t="shared" si="5"/>
        <v>GymboreeGY 18 SPR 1</v>
      </c>
      <c r="R51" s="27" t="str">
        <f t="shared" si="6"/>
        <v>2018GymboreeSpring</v>
      </c>
      <c r="S51" s="343">
        <v>2018</v>
      </c>
      <c r="T51" s="343" t="s">
        <v>14</v>
      </c>
      <c r="U51" s="343" t="s">
        <v>16</v>
      </c>
      <c r="V51" s="343" t="s">
        <v>130</v>
      </c>
      <c r="W51" s="343" t="s">
        <v>131</v>
      </c>
      <c r="X51" s="22">
        <f t="shared" si="7"/>
        <v>1</v>
      </c>
      <c r="Y51" s="22"/>
      <c r="AG51" s="27" t="str">
        <f t="shared" si="3"/>
        <v>OutletOutletUSA50</v>
      </c>
      <c r="AH51" s="1" t="s">
        <v>17</v>
      </c>
      <c r="AI51" s="1" t="s">
        <v>17</v>
      </c>
      <c r="AJ51" s="1" t="s">
        <v>307</v>
      </c>
      <c r="AK51" s="1">
        <v>50</v>
      </c>
      <c r="AL51" s="19">
        <v>0.8</v>
      </c>
      <c r="AN51" s="109" t="str">
        <f t="shared" si="4"/>
        <v>Janie &amp; JackUSARetailJJ 18 MAR LAY SWIM</v>
      </c>
      <c r="AO51" s="1" t="s">
        <v>32</v>
      </c>
      <c r="AP51" s="1" t="s">
        <v>5</v>
      </c>
      <c r="AQ51" s="1" t="s">
        <v>307</v>
      </c>
      <c r="AR51" s="1">
        <v>2018</v>
      </c>
      <c r="AS51" s="1" t="s">
        <v>16</v>
      </c>
      <c r="AT51" s="1" t="s">
        <v>174</v>
      </c>
      <c r="AU51" s="1">
        <v>27.31</v>
      </c>
      <c r="AV51" s="1">
        <v>5</v>
      </c>
      <c r="AW51" s="1">
        <v>13205</v>
      </c>
      <c r="AX51" s="1">
        <v>0.31</v>
      </c>
      <c r="AY51" s="1">
        <v>201806</v>
      </c>
      <c r="AZ51" s="1">
        <v>8</v>
      </c>
      <c r="BA51" s="19" t="s">
        <v>175</v>
      </c>
    </row>
    <row r="52" spans="17:53" x14ac:dyDescent="0.25">
      <c r="Q52" s="109" t="str">
        <f t="shared" si="5"/>
        <v>GymboreeGY 18 SPR 2</v>
      </c>
      <c r="R52" s="27" t="str">
        <f t="shared" si="6"/>
        <v>2018GymboreeSpring</v>
      </c>
      <c r="S52" s="343">
        <v>2018</v>
      </c>
      <c r="T52" s="343" t="s">
        <v>14</v>
      </c>
      <c r="U52" s="343" t="s">
        <v>16</v>
      </c>
      <c r="V52" s="343" t="s">
        <v>49</v>
      </c>
      <c r="W52" s="343" t="s">
        <v>50</v>
      </c>
      <c r="X52" s="22">
        <f t="shared" si="7"/>
        <v>1</v>
      </c>
      <c r="Y52" s="22"/>
      <c r="AG52" s="27" t="str">
        <f t="shared" si="3"/>
        <v>OutletOutletUSA51</v>
      </c>
      <c r="AH52" s="1" t="s">
        <v>17</v>
      </c>
      <c r="AI52" s="1" t="s">
        <v>17</v>
      </c>
      <c r="AJ52" s="1" t="s">
        <v>307</v>
      </c>
      <c r="AK52" s="1">
        <v>51</v>
      </c>
      <c r="AL52" s="19">
        <v>0.8</v>
      </c>
      <c r="AN52" s="109" t="str">
        <f t="shared" si="4"/>
        <v>Janie &amp; JackUSARetailJJ 18 FEB SPRING LIMITED EDITION</v>
      </c>
      <c r="AO52" s="1" t="s">
        <v>32</v>
      </c>
      <c r="AP52" s="1" t="s">
        <v>5</v>
      </c>
      <c r="AQ52" s="1" t="s">
        <v>307</v>
      </c>
      <c r="AR52" s="1">
        <v>2018</v>
      </c>
      <c r="AS52" s="1" t="s">
        <v>16</v>
      </c>
      <c r="AT52" s="1" t="s">
        <v>199</v>
      </c>
      <c r="AU52" s="1"/>
      <c r="AV52" s="1"/>
      <c r="AW52" s="1">
        <v>0</v>
      </c>
      <c r="AX52" s="1">
        <v>0.2</v>
      </c>
      <c r="AY52" s="1">
        <v>201807</v>
      </c>
      <c r="AZ52" s="1">
        <v>5</v>
      </c>
      <c r="BA52" s="19" t="s">
        <v>371</v>
      </c>
    </row>
    <row r="53" spans="17:53" x14ac:dyDescent="0.25">
      <c r="Q53" s="109" t="str">
        <f t="shared" si="5"/>
        <v>GymboreeGY 18 SPR VACA</v>
      </c>
      <c r="R53" s="27" t="str">
        <f t="shared" si="6"/>
        <v>2018GymboreeSpring</v>
      </c>
      <c r="S53" s="343">
        <v>2018</v>
      </c>
      <c r="T53" s="343" t="s">
        <v>14</v>
      </c>
      <c r="U53" s="343" t="s">
        <v>16</v>
      </c>
      <c r="V53" s="343" t="s">
        <v>136</v>
      </c>
      <c r="W53" s="343" t="s">
        <v>137</v>
      </c>
      <c r="X53" s="22">
        <f t="shared" si="7"/>
        <v>1</v>
      </c>
      <c r="Y53" s="22"/>
      <c r="AG53" s="27" t="str">
        <f t="shared" si="3"/>
        <v>OutletOutletUSA52</v>
      </c>
      <c r="AH53" s="1" t="s">
        <v>17</v>
      </c>
      <c r="AI53" s="1" t="s">
        <v>17</v>
      </c>
      <c r="AJ53" s="1" t="s">
        <v>307</v>
      </c>
      <c r="AK53" s="1">
        <v>52</v>
      </c>
      <c r="AL53" s="19">
        <v>0.8</v>
      </c>
      <c r="AN53" s="109" t="str">
        <f t="shared" si="4"/>
        <v>Janie &amp; JackUSARetailJJ 18 MAR SUMMER 0</v>
      </c>
      <c r="AO53" s="1" t="s">
        <v>32</v>
      </c>
      <c r="AP53" s="1" t="s">
        <v>5</v>
      </c>
      <c r="AQ53" s="1" t="s">
        <v>307</v>
      </c>
      <c r="AR53" s="1">
        <v>2018</v>
      </c>
      <c r="AS53" s="1" t="s">
        <v>18</v>
      </c>
      <c r="AT53" s="1" t="s">
        <v>201</v>
      </c>
      <c r="AU53" s="1">
        <v>35.32</v>
      </c>
      <c r="AV53" s="1">
        <v>6.51</v>
      </c>
      <c r="AW53" s="1">
        <v>74355</v>
      </c>
      <c r="AX53" s="1">
        <v>0.24</v>
      </c>
      <c r="AY53" s="1">
        <v>201809</v>
      </c>
      <c r="AZ53" s="1">
        <v>5</v>
      </c>
      <c r="BA53" s="19" t="s">
        <v>202</v>
      </c>
    </row>
    <row r="54" spans="17:53" x14ac:dyDescent="0.25">
      <c r="Q54" s="109" t="str">
        <f t="shared" si="5"/>
        <v>GymboreeGY 18 SUM 1</v>
      </c>
      <c r="R54" s="27" t="str">
        <f t="shared" si="6"/>
        <v>2018GymboreeSpring</v>
      </c>
      <c r="S54" s="343">
        <v>2018</v>
      </c>
      <c r="T54" s="343" t="s">
        <v>14</v>
      </c>
      <c r="U54" s="343" t="s">
        <v>16</v>
      </c>
      <c r="V54" s="343" t="s">
        <v>138</v>
      </c>
      <c r="W54" s="343" t="s">
        <v>139</v>
      </c>
      <c r="X54" s="22">
        <f t="shared" si="7"/>
        <v>1</v>
      </c>
      <c r="Y54" s="22"/>
      <c r="AG54" s="27" t="str">
        <f t="shared" si="3"/>
        <v>OutletOutletUSA53</v>
      </c>
      <c r="AH54" s="1" t="s">
        <v>17</v>
      </c>
      <c r="AI54" s="1" t="s">
        <v>17</v>
      </c>
      <c r="AJ54" s="1" t="s">
        <v>307</v>
      </c>
      <c r="AK54" s="1">
        <v>53</v>
      </c>
      <c r="AL54" s="19">
        <v>0.8</v>
      </c>
      <c r="AN54" s="109" t="str">
        <f t="shared" si="4"/>
        <v>Janie &amp; JackUSARetailJJ 18 APR SMR 1</v>
      </c>
      <c r="AO54" s="1" t="s">
        <v>32</v>
      </c>
      <c r="AP54" s="1" t="s">
        <v>5</v>
      </c>
      <c r="AQ54" s="1" t="s">
        <v>307</v>
      </c>
      <c r="AR54" s="1">
        <v>2018</v>
      </c>
      <c r="AS54" s="1" t="s">
        <v>18</v>
      </c>
      <c r="AT54" s="1" t="s">
        <v>203</v>
      </c>
      <c r="AU54" s="1">
        <v>34.979999999999997</v>
      </c>
      <c r="AV54" s="1">
        <v>6.53</v>
      </c>
      <c r="AW54" s="1">
        <v>125479</v>
      </c>
      <c r="AX54" s="1">
        <v>0.23</v>
      </c>
      <c r="AY54" s="1">
        <v>201811</v>
      </c>
      <c r="AZ54" s="1">
        <v>5</v>
      </c>
      <c r="BA54" s="19" t="s">
        <v>204</v>
      </c>
    </row>
    <row r="55" spans="17:53" x14ac:dyDescent="0.25">
      <c r="Q55" s="109" t="str">
        <f t="shared" si="5"/>
        <v>GymboreeGY 18 SWIM 1</v>
      </c>
      <c r="R55" s="27" t="str">
        <f t="shared" si="6"/>
        <v>2018GymboreeSpring</v>
      </c>
      <c r="S55" s="343">
        <v>2018</v>
      </c>
      <c r="T55" s="343" t="s">
        <v>14</v>
      </c>
      <c r="U55" s="343" t="s">
        <v>16</v>
      </c>
      <c r="V55" s="343" t="s">
        <v>132</v>
      </c>
      <c r="W55" s="343" t="s">
        <v>133</v>
      </c>
      <c r="X55" s="22">
        <f t="shared" si="7"/>
        <v>1</v>
      </c>
      <c r="Y55" s="22"/>
      <c r="AG55" s="27" t="str">
        <f t="shared" si="3"/>
        <v>Janie &amp; JackRetailUSA1</v>
      </c>
      <c r="AH55" s="1" t="s">
        <v>32</v>
      </c>
      <c r="AI55" s="1" t="s">
        <v>5</v>
      </c>
      <c r="AJ55" s="1" t="s">
        <v>307</v>
      </c>
      <c r="AK55" s="1">
        <v>1</v>
      </c>
      <c r="AL55" s="19">
        <v>0.2</v>
      </c>
      <c r="AN55" s="109" t="str">
        <f t="shared" si="4"/>
        <v>Janie &amp; JackUSARetailJJ 18 SMR BASICS</v>
      </c>
      <c r="AO55" s="1" t="s">
        <v>32</v>
      </c>
      <c r="AP55" s="1" t="s">
        <v>5</v>
      </c>
      <c r="AQ55" s="1" t="s">
        <v>307</v>
      </c>
      <c r="AR55" s="1">
        <v>2018</v>
      </c>
      <c r="AS55" s="1" t="s">
        <v>18</v>
      </c>
      <c r="AT55" s="1" t="s">
        <v>171</v>
      </c>
      <c r="AU55" s="1">
        <v>47.23</v>
      </c>
      <c r="AV55" s="1">
        <v>8.67</v>
      </c>
      <c r="AW55" s="1">
        <v>4612</v>
      </c>
      <c r="AX55" s="1">
        <v>0.2</v>
      </c>
      <c r="AY55" s="1">
        <v>201811</v>
      </c>
      <c r="AZ55" s="1">
        <v>8</v>
      </c>
      <c r="BA55" s="19" t="s">
        <v>172</v>
      </c>
    </row>
    <row r="56" spans="17:53" x14ac:dyDescent="0.25">
      <c r="Q56" s="109" t="str">
        <f t="shared" si="5"/>
        <v>GymboreeGY 18 SWIM 2</v>
      </c>
      <c r="R56" s="27" t="str">
        <f t="shared" si="6"/>
        <v>2018GymboreeSpring</v>
      </c>
      <c r="S56" s="343">
        <v>2018</v>
      </c>
      <c r="T56" s="343" t="s">
        <v>14</v>
      </c>
      <c r="U56" s="343" t="s">
        <v>16</v>
      </c>
      <c r="V56" s="343" t="s">
        <v>140</v>
      </c>
      <c r="W56" s="343" t="s">
        <v>141</v>
      </c>
      <c r="X56" s="22">
        <f t="shared" si="7"/>
        <v>1</v>
      </c>
      <c r="Y56" s="22"/>
      <c r="AG56" s="27" t="str">
        <f t="shared" si="3"/>
        <v>Janie &amp; JackRetailUSA2</v>
      </c>
      <c r="AH56" s="1" t="s">
        <v>32</v>
      </c>
      <c r="AI56" s="1" t="s">
        <v>5</v>
      </c>
      <c r="AJ56" s="1" t="s">
        <v>307</v>
      </c>
      <c r="AK56" s="1">
        <v>2</v>
      </c>
      <c r="AL56" s="19">
        <v>0.6</v>
      </c>
      <c r="AN56" s="109" t="str">
        <f t="shared" si="4"/>
        <v>Janie &amp; JackUSARetailJJ 18 MAR JJ SPORT</v>
      </c>
      <c r="AO56" s="1" t="s">
        <v>32</v>
      </c>
      <c r="AP56" s="1" t="s">
        <v>5</v>
      </c>
      <c r="AQ56" s="1" t="s">
        <v>307</v>
      </c>
      <c r="AR56" s="1">
        <v>2018</v>
      </c>
      <c r="AS56" s="1" t="s">
        <v>18</v>
      </c>
      <c r="AT56" s="1" t="s">
        <v>200</v>
      </c>
      <c r="AU56" s="1">
        <v>37.5</v>
      </c>
      <c r="AV56" s="1">
        <v>7</v>
      </c>
      <c r="AW56" s="1">
        <v>26844</v>
      </c>
      <c r="AX56" s="1">
        <v>0.2</v>
      </c>
      <c r="AY56" s="1">
        <v>201809</v>
      </c>
      <c r="AZ56" s="1">
        <v>5</v>
      </c>
      <c r="BA56" s="19" t="s">
        <v>371</v>
      </c>
    </row>
    <row r="57" spans="17:53" x14ac:dyDescent="0.25">
      <c r="Q57" s="109" t="str">
        <f t="shared" si="5"/>
        <v>GymboreeGY 18 SM2</v>
      </c>
      <c r="R57" s="27" t="str">
        <f t="shared" si="6"/>
        <v>2018GymboreeSummer</v>
      </c>
      <c r="S57" s="343">
        <v>2018</v>
      </c>
      <c r="T57" s="343" t="s">
        <v>14</v>
      </c>
      <c r="U57" s="343" t="s">
        <v>18</v>
      </c>
      <c r="V57" s="343" t="s">
        <v>142</v>
      </c>
      <c r="W57" s="343" t="s">
        <v>143</v>
      </c>
      <c r="X57" s="22">
        <f t="shared" si="7"/>
        <v>2</v>
      </c>
      <c r="Y57" s="22"/>
      <c r="AG57" s="27" t="str">
        <f t="shared" si="3"/>
        <v>Janie &amp; JackRetailUSA3</v>
      </c>
      <c r="AH57" s="1" t="s">
        <v>32</v>
      </c>
      <c r="AI57" s="1" t="s">
        <v>5</v>
      </c>
      <c r="AJ57" s="1" t="s">
        <v>307</v>
      </c>
      <c r="AK57" s="1">
        <v>3</v>
      </c>
      <c r="AL57" s="19">
        <v>0.7</v>
      </c>
      <c r="AN57" s="109" t="str">
        <f t="shared" si="4"/>
        <v>Janie &amp; JackUSARetailJJ 18 MAY SUMMER 2</v>
      </c>
      <c r="AO57" s="1" t="s">
        <v>32</v>
      </c>
      <c r="AP57" s="1" t="s">
        <v>5</v>
      </c>
      <c r="AQ57" s="1" t="s">
        <v>307</v>
      </c>
      <c r="AR57" s="1">
        <v>2018</v>
      </c>
      <c r="AS57" s="1" t="s">
        <v>18</v>
      </c>
      <c r="AT57" s="1" t="s">
        <v>205</v>
      </c>
      <c r="AU57" s="1">
        <v>36.75</v>
      </c>
      <c r="AV57" s="1">
        <v>6.46</v>
      </c>
      <c r="AW57" s="1">
        <v>108468</v>
      </c>
      <c r="AX57" s="1">
        <v>0.17</v>
      </c>
      <c r="AY57" s="1">
        <v>201813</v>
      </c>
      <c r="AZ57" s="1">
        <v>5</v>
      </c>
      <c r="BA57" s="19" t="s">
        <v>206</v>
      </c>
    </row>
    <row r="58" spans="17:53" x14ac:dyDescent="0.25">
      <c r="Q58" s="109" t="str">
        <f t="shared" si="5"/>
        <v>GymboreeGY 18 SM3</v>
      </c>
      <c r="R58" s="27" t="str">
        <f t="shared" si="6"/>
        <v>2018GymboreeSummer</v>
      </c>
      <c r="S58" s="343">
        <v>2018</v>
      </c>
      <c r="T58" s="343" t="s">
        <v>14</v>
      </c>
      <c r="U58" s="343" t="s">
        <v>18</v>
      </c>
      <c r="V58" s="343" t="s">
        <v>144</v>
      </c>
      <c r="W58" s="343" t="s">
        <v>145</v>
      </c>
      <c r="X58" s="22">
        <f t="shared" si="7"/>
        <v>2</v>
      </c>
      <c r="Y58" s="22"/>
      <c r="AG58" s="27" t="str">
        <f t="shared" si="3"/>
        <v>Janie &amp; JackRetailUSA4</v>
      </c>
      <c r="AH58" s="1" t="s">
        <v>32</v>
      </c>
      <c r="AI58" s="1" t="s">
        <v>5</v>
      </c>
      <c r="AJ58" s="1" t="s">
        <v>307</v>
      </c>
      <c r="AK58" s="1">
        <v>4</v>
      </c>
      <c r="AL58" s="19">
        <v>0.17</v>
      </c>
      <c r="AN58" s="109" t="str">
        <f t="shared" si="4"/>
        <v>Janie &amp; JackUSARetailJJ 18 MAY 4TH OF JULY</v>
      </c>
      <c r="AO58" s="1" t="s">
        <v>32</v>
      </c>
      <c r="AP58" s="1" t="s">
        <v>5</v>
      </c>
      <c r="AQ58" s="1" t="s">
        <v>307</v>
      </c>
      <c r="AR58" s="1">
        <v>2018</v>
      </c>
      <c r="AS58" s="1" t="s">
        <v>18</v>
      </c>
      <c r="AT58" s="1" t="s">
        <v>207</v>
      </c>
      <c r="AU58" s="1">
        <v>33.01</v>
      </c>
      <c r="AV58" s="1">
        <v>6.17</v>
      </c>
      <c r="AW58" s="1">
        <v>39819</v>
      </c>
      <c r="AX58" s="1">
        <v>0.16</v>
      </c>
      <c r="AY58" s="1">
        <v>201813</v>
      </c>
      <c r="AZ58" s="1">
        <v>5</v>
      </c>
      <c r="BA58" s="19" t="s">
        <v>208</v>
      </c>
    </row>
    <row r="59" spans="17:53" x14ac:dyDescent="0.25">
      <c r="Q59" s="109" t="str">
        <f t="shared" si="5"/>
        <v>GymboreeGY 18 SM4</v>
      </c>
      <c r="R59" s="27" t="str">
        <f t="shared" si="6"/>
        <v>2018GymboreeSummer</v>
      </c>
      <c r="S59" s="343">
        <v>2018</v>
      </c>
      <c r="T59" s="343" t="s">
        <v>14</v>
      </c>
      <c r="U59" s="343" t="s">
        <v>18</v>
      </c>
      <c r="V59" s="343" t="s">
        <v>148</v>
      </c>
      <c r="W59" s="343" t="s">
        <v>149</v>
      </c>
      <c r="X59" s="22">
        <f t="shared" si="7"/>
        <v>2</v>
      </c>
      <c r="Y59" s="22"/>
      <c r="AG59" s="27" t="str">
        <f t="shared" si="3"/>
        <v>Janie &amp; JackRetailUSA5</v>
      </c>
      <c r="AH59" s="1" t="s">
        <v>32</v>
      </c>
      <c r="AI59" s="1" t="s">
        <v>5</v>
      </c>
      <c r="AJ59" s="1" t="s">
        <v>307</v>
      </c>
      <c r="AK59" s="1">
        <v>5</v>
      </c>
      <c r="AL59" s="19">
        <v>0.2</v>
      </c>
      <c r="AN59" s="109" t="str">
        <f t="shared" si="4"/>
        <v>Janie &amp; JackUSARetailJJ 18 MAY TRANS GIFT LAY</v>
      </c>
      <c r="AO59" s="1" t="s">
        <v>32</v>
      </c>
      <c r="AP59" s="1" t="s">
        <v>5</v>
      </c>
      <c r="AQ59" s="1" t="s">
        <v>307</v>
      </c>
      <c r="AR59" s="1">
        <v>2018</v>
      </c>
      <c r="AS59" s="1" t="s">
        <v>18</v>
      </c>
      <c r="AT59" s="1" t="s">
        <v>217</v>
      </c>
      <c r="AU59" s="1">
        <v>35.97</v>
      </c>
      <c r="AV59" s="1">
        <v>7.7</v>
      </c>
      <c r="AW59" s="1">
        <v>11901</v>
      </c>
      <c r="AX59" s="1">
        <v>0.33</v>
      </c>
      <c r="AY59" s="1">
        <v>201813</v>
      </c>
      <c r="AZ59" s="1">
        <v>8</v>
      </c>
      <c r="BA59" s="19" t="s">
        <v>218</v>
      </c>
    </row>
    <row r="60" spans="17:53" x14ac:dyDescent="0.25">
      <c r="Q60" s="109" t="str">
        <f t="shared" ref="Q60:Q87" si="8">T60&amp;V60</f>
        <v>GymboreeGY 18 SM5</v>
      </c>
      <c r="R60" s="27" t="str">
        <f t="shared" ref="R60:R87" si="9">S60&amp;T60&amp;U60</f>
        <v>2018GymboreeSummer</v>
      </c>
      <c r="S60" s="343">
        <v>2018</v>
      </c>
      <c r="T60" s="343" t="s">
        <v>14</v>
      </c>
      <c r="U60" s="343" t="s">
        <v>18</v>
      </c>
      <c r="V60" s="343" t="s">
        <v>150</v>
      </c>
      <c r="W60" s="343" t="s">
        <v>151</v>
      </c>
      <c r="X60" s="22">
        <f t="shared" ref="X60:X87" si="10">MATCH(U60,ListSeason,0)</f>
        <v>2</v>
      </c>
      <c r="Y60" s="22"/>
      <c r="AG60" s="27" t="str">
        <f t="shared" si="3"/>
        <v>Janie &amp; JackRetailUSA6</v>
      </c>
      <c r="AH60" s="1" t="s">
        <v>32</v>
      </c>
      <c r="AI60" s="1" t="s">
        <v>5</v>
      </c>
      <c r="AJ60" s="1" t="s">
        <v>307</v>
      </c>
      <c r="AK60" s="1">
        <v>6</v>
      </c>
      <c r="AL60" s="19">
        <v>0.22</v>
      </c>
      <c r="AN60" s="109" t="str">
        <f t="shared" si="4"/>
        <v>Janie &amp; JackUSARetailJJ 18 MAY SUMMER 3</v>
      </c>
      <c r="AO60" s="1" t="s">
        <v>32</v>
      </c>
      <c r="AP60" s="1" t="s">
        <v>5</v>
      </c>
      <c r="AQ60" s="1" t="s">
        <v>307</v>
      </c>
      <c r="AR60" s="1">
        <v>2018</v>
      </c>
      <c r="AS60" s="1" t="s">
        <v>18</v>
      </c>
      <c r="AT60" s="1" t="s">
        <v>210</v>
      </c>
      <c r="AU60" s="1">
        <v>36.58</v>
      </c>
      <c r="AV60" s="1">
        <v>6.73</v>
      </c>
      <c r="AW60" s="1">
        <v>121987</v>
      </c>
      <c r="AX60" s="1">
        <v>0.19</v>
      </c>
      <c r="AY60" s="1">
        <v>201815</v>
      </c>
      <c r="AZ60" s="1">
        <v>5</v>
      </c>
      <c r="BA60" s="19" t="s">
        <v>211</v>
      </c>
    </row>
    <row r="61" spans="17:53" x14ac:dyDescent="0.25">
      <c r="Q61" s="109" t="str">
        <f t="shared" si="8"/>
        <v>GymboreeGY 18 SMR</v>
      </c>
      <c r="R61" s="27" t="str">
        <f t="shared" si="9"/>
        <v>2018GymboreeSummer</v>
      </c>
      <c r="S61" s="343">
        <v>2018</v>
      </c>
      <c r="T61" s="343" t="s">
        <v>14</v>
      </c>
      <c r="U61" s="343" t="s">
        <v>18</v>
      </c>
      <c r="V61" s="343" t="s">
        <v>152</v>
      </c>
      <c r="W61" s="343" t="s">
        <v>153</v>
      </c>
      <c r="X61" s="22">
        <f t="shared" si="10"/>
        <v>2</v>
      </c>
      <c r="Y61" s="22"/>
      <c r="AG61" s="27" t="str">
        <f t="shared" si="3"/>
        <v>Janie &amp; JackRetailUSA7</v>
      </c>
      <c r="AH61" s="1" t="s">
        <v>32</v>
      </c>
      <c r="AI61" s="1" t="s">
        <v>5</v>
      </c>
      <c r="AJ61" s="1" t="s">
        <v>307</v>
      </c>
      <c r="AK61" s="1">
        <v>7</v>
      </c>
      <c r="AL61" s="19">
        <v>0.27</v>
      </c>
      <c r="AN61" s="109" t="str">
        <f t="shared" si="4"/>
        <v>Janie &amp; JackUSARetailJJ 18 MAY SPORT</v>
      </c>
      <c r="AO61" s="1" t="s">
        <v>32</v>
      </c>
      <c r="AP61" s="1" t="s">
        <v>5</v>
      </c>
      <c r="AQ61" s="1" t="s">
        <v>307</v>
      </c>
      <c r="AR61" s="1">
        <v>2018</v>
      </c>
      <c r="AS61" s="1" t="s">
        <v>18</v>
      </c>
      <c r="AT61" s="1" t="s">
        <v>359</v>
      </c>
      <c r="AU61" s="1">
        <v>27.75</v>
      </c>
      <c r="AV61" s="1">
        <v>4.9000000000000004</v>
      </c>
      <c r="AW61" s="1">
        <v>25581</v>
      </c>
      <c r="AX61" s="1">
        <v>0.14000000000000001</v>
      </c>
      <c r="AY61" s="1">
        <v>201815</v>
      </c>
      <c r="AZ61" s="1">
        <v>5</v>
      </c>
      <c r="BA61" s="19" t="s">
        <v>371</v>
      </c>
    </row>
    <row r="62" spans="17:53" x14ac:dyDescent="0.25">
      <c r="Q62" s="109" t="str">
        <f t="shared" si="8"/>
        <v>GymboreeGY 18 SWIM 3</v>
      </c>
      <c r="R62" s="27" t="str">
        <f t="shared" si="9"/>
        <v>2018GymboreeSummer</v>
      </c>
      <c r="S62" s="343">
        <v>2018</v>
      </c>
      <c r="T62" s="343" t="s">
        <v>14</v>
      </c>
      <c r="U62" s="343" t="s">
        <v>18</v>
      </c>
      <c r="V62" s="343" t="s">
        <v>146</v>
      </c>
      <c r="W62" s="343" t="s">
        <v>147</v>
      </c>
      <c r="X62" s="22">
        <f t="shared" si="10"/>
        <v>2</v>
      </c>
      <c r="Y62" s="22"/>
      <c r="AG62" s="27" t="str">
        <f t="shared" si="3"/>
        <v>Janie &amp; JackRetailUSA8</v>
      </c>
      <c r="AH62" s="1" t="s">
        <v>32</v>
      </c>
      <c r="AI62" s="1" t="s">
        <v>5</v>
      </c>
      <c r="AJ62" s="1" t="s">
        <v>307</v>
      </c>
      <c r="AK62" s="1">
        <v>8</v>
      </c>
      <c r="AL62" s="19">
        <v>0.33</v>
      </c>
      <c r="AN62" s="109" t="str">
        <f t="shared" si="4"/>
        <v>Janie &amp; JackUSARetailJJ 18 MAY SUMMER 4</v>
      </c>
      <c r="AO62" s="1" t="s">
        <v>32</v>
      </c>
      <c r="AP62" s="1" t="s">
        <v>5</v>
      </c>
      <c r="AQ62" s="1" t="s">
        <v>307</v>
      </c>
      <c r="AR62" s="1">
        <v>2018</v>
      </c>
      <c r="AS62" s="1" t="s">
        <v>18</v>
      </c>
      <c r="AT62" s="1" t="s">
        <v>212</v>
      </c>
      <c r="AU62" s="1">
        <v>35.619999999999997</v>
      </c>
      <c r="AV62" s="1">
        <v>6.19</v>
      </c>
      <c r="AW62" s="1">
        <v>64387</v>
      </c>
      <c r="AX62" s="1">
        <v>0.14000000000000001</v>
      </c>
      <c r="AY62" s="1">
        <v>201817</v>
      </c>
      <c r="AZ62" s="1">
        <v>5</v>
      </c>
      <c r="BA62" s="19" t="s">
        <v>213</v>
      </c>
    </row>
    <row r="63" spans="17:53" x14ac:dyDescent="0.25">
      <c r="Q63" s="109" t="str">
        <f t="shared" si="8"/>
        <v>GymboreeGY 18 BTS</v>
      </c>
      <c r="R63" s="27" t="str">
        <f t="shared" si="9"/>
        <v>2018GymboreeFall</v>
      </c>
      <c r="S63" s="343">
        <v>2018</v>
      </c>
      <c r="T63" s="343" t="s">
        <v>14</v>
      </c>
      <c r="U63" s="343" t="s">
        <v>33</v>
      </c>
      <c r="V63" s="343" t="s">
        <v>384</v>
      </c>
      <c r="W63" s="343" t="s">
        <v>349</v>
      </c>
      <c r="X63" s="22">
        <f t="shared" si="10"/>
        <v>3</v>
      </c>
      <c r="Y63" s="22"/>
      <c r="AG63" s="27" t="str">
        <f t="shared" si="3"/>
        <v>Janie &amp; JackRetailUSA9</v>
      </c>
      <c r="AH63" s="1" t="s">
        <v>32</v>
      </c>
      <c r="AI63" s="1" t="s">
        <v>5</v>
      </c>
      <c r="AJ63" s="1" t="s">
        <v>307</v>
      </c>
      <c r="AK63" s="1">
        <v>9</v>
      </c>
      <c r="AL63" s="19">
        <v>0.38</v>
      </c>
      <c r="AN63" s="109" t="str">
        <f t="shared" si="4"/>
        <v>Janie &amp; JackUSARetailJJ 18 JUN TRANS 1</v>
      </c>
      <c r="AO63" s="1" t="s">
        <v>32</v>
      </c>
      <c r="AP63" s="1" t="s">
        <v>5</v>
      </c>
      <c r="AQ63" s="1" t="s">
        <v>307</v>
      </c>
      <c r="AR63" s="1">
        <v>2018</v>
      </c>
      <c r="AS63" s="1" t="s">
        <v>18</v>
      </c>
      <c r="AT63" s="1" t="s">
        <v>214</v>
      </c>
      <c r="AU63" s="1">
        <v>37.36</v>
      </c>
      <c r="AV63" s="1">
        <v>6.79</v>
      </c>
      <c r="AW63" s="1">
        <v>93271</v>
      </c>
      <c r="AX63" s="1">
        <v>0.2</v>
      </c>
      <c r="AY63" s="1">
        <v>201819</v>
      </c>
      <c r="AZ63" s="1">
        <v>5</v>
      </c>
      <c r="BA63" s="19" t="s">
        <v>215</v>
      </c>
    </row>
    <row r="64" spans="17:53" x14ac:dyDescent="0.25">
      <c r="Q64" s="109" t="str">
        <f t="shared" si="8"/>
        <v>GymboreeGY 18 FAL</v>
      </c>
      <c r="R64" s="27" t="str">
        <f t="shared" si="9"/>
        <v>2018GymboreeFall</v>
      </c>
      <c r="S64" s="343">
        <v>2018</v>
      </c>
      <c r="T64" s="343" t="s">
        <v>14</v>
      </c>
      <c r="U64" s="343" t="s">
        <v>33</v>
      </c>
      <c r="V64" s="343" t="s">
        <v>386</v>
      </c>
      <c r="W64" s="343" t="s">
        <v>342</v>
      </c>
      <c r="X64" s="22">
        <f t="shared" si="10"/>
        <v>3</v>
      </c>
      <c r="Y64" s="22"/>
      <c r="AG64" s="27" t="str">
        <f t="shared" si="3"/>
        <v>Janie &amp; JackRetailUSA10</v>
      </c>
      <c r="AH64" s="1" t="s">
        <v>32</v>
      </c>
      <c r="AI64" s="1" t="s">
        <v>5</v>
      </c>
      <c r="AJ64" s="1" t="s">
        <v>307</v>
      </c>
      <c r="AK64" s="1">
        <v>10</v>
      </c>
      <c r="AL64" s="19">
        <v>0.38</v>
      </c>
      <c r="AN64" s="109" t="str">
        <f t="shared" si="4"/>
        <v>Janie &amp; JackUSARetailJJ 18 JULY TRANS 2</v>
      </c>
      <c r="AO64" s="1" t="s">
        <v>32</v>
      </c>
      <c r="AP64" s="1" t="s">
        <v>5</v>
      </c>
      <c r="AQ64" s="1" t="s">
        <v>307</v>
      </c>
      <c r="AR64" s="1">
        <v>2018</v>
      </c>
      <c r="AS64" s="1" t="s">
        <v>18</v>
      </c>
      <c r="AT64" s="1" t="s">
        <v>154</v>
      </c>
      <c r="AU64" s="1">
        <v>34.82</v>
      </c>
      <c r="AV64" s="1">
        <v>6.28</v>
      </c>
      <c r="AW64" s="1">
        <v>108847</v>
      </c>
      <c r="AX64" s="1">
        <v>0.16</v>
      </c>
      <c r="AY64" s="1">
        <v>201822</v>
      </c>
      <c r="AZ64" s="1">
        <v>5</v>
      </c>
      <c r="BA64" s="19" t="s">
        <v>155</v>
      </c>
    </row>
    <row r="65" spans="17:53" x14ac:dyDescent="0.25">
      <c r="Q65" s="109" t="str">
        <f t="shared" si="8"/>
        <v>GymboreeGY 18 FALL 1</v>
      </c>
      <c r="R65" s="27" t="str">
        <f t="shared" si="9"/>
        <v>2018GymboreeFall</v>
      </c>
      <c r="S65" s="343">
        <v>2018</v>
      </c>
      <c r="T65" s="343" t="s">
        <v>14</v>
      </c>
      <c r="U65" s="343" t="s">
        <v>33</v>
      </c>
      <c r="V65" s="343" t="s">
        <v>385</v>
      </c>
      <c r="W65" s="343" t="s">
        <v>348</v>
      </c>
      <c r="X65" s="22">
        <f t="shared" si="10"/>
        <v>3</v>
      </c>
      <c r="Y65" s="22"/>
      <c r="AG65" s="27" t="str">
        <f t="shared" si="3"/>
        <v>Janie &amp; JackRetailUSA11</v>
      </c>
      <c r="AH65" s="1" t="s">
        <v>32</v>
      </c>
      <c r="AI65" s="1" t="s">
        <v>5</v>
      </c>
      <c r="AJ65" s="1" t="s">
        <v>307</v>
      </c>
      <c r="AK65" s="1">
        <v>11</v>
      </c>
      <c r="AL65" s="19">
        <v>0.41</v>
      </c>
      <c r="AN65" s="109" t="str">
        <f t="shared" si="4"/>
        <v>Janie &amp; JackUSARetailJJ 18 LAY SIGNATURE 2</v>
      </c>
      <c r="AO65" s="1" t="s">
        <v>32</v>
      </c>
      <c r="AP65" s="1" t="s">
        <v>5</v>
      </c>
      <c r="AQ65" s="1" t="s">
        <v>307</v>
      </c>
      <c r="AR65" s="1">
        <v>2018</v>
      </c>
      <c r="AS65" s="1" t="s">
        <v>18</v>
      </c>
      <c r="AT65" s="1" t="s">
        <v>180</v>
      </c>
      <c r="AU65" s="1">
        <v>28.66</v>
      </c>
      <c r="AV65" s="1">
        <v>5.89</v>
      </c>
      <c r="AW65" s="1">
        <v>86589</v>
      </c>
      <c r="AX65" s="1">
        <v>0.19</v>
      </c>
      <c r="AY65" s="1">
        <v>201824</v>
      </c>
      <c r="AZ65" s="1">
        <v>13</v>
      </c>
      <c r="BA65" s="19" t="s">
        <v>371</v>
      </c>
    </row>
    <row r="66" spans="17:53" x14ac:dyDescent="0.25">
      <c r="Q66" s="109" t="str">
        <f t="shared" si="8"/>
        <v>GymboreeGY 18 FALL 2</v>
      </c>
      <c r="R66" s="27" t="str">
        <f t="shared" si="9"/>
        <v>2018GymboreeFall</v>
      </c>
      <c r="S66" s="343">
        <v>2018</v>
      </c>
      <c r="T66" s="343" t="s">
        <v>14</v>
      </c>
      <c r="U66" s="343" t="s">
        <v>33</v>
      </c>
      <c r="V66" s="343" t="s">
        <v>387</v>
      </c>
      <c r="W66" s="343" t="s">
        <v>343</v>
      </c>
      <c r="X66" s="22">
        <f t="shared" si="10"/>
        <v>3</v>
      </c>
      <c r="Y66" s="22"/>
      <c r="AG66" s="27" t="str">
        <f t="shared" si="3"/>
        <v>Janie &amp; JackRetailUSA12</v>
      </c>
      <c r="AH66" s="1" t="s">
        <v>32</v>
      </c>
      <c r="AI66" s="1" t="s">
        <v>5</v>
      </c>
      <c r="AJ66" s="1" t="s">
        <v>307</v>
      </c>
      <c r="AK66" s="1">
        <v>12</v>
      </c>
      <c r="AL66" s="19">
        <v>0.43</v>
      </c>
      <c r="AN66" s="109" t="str">
        <f t="shared" si="4"/>
        <v>Janie &amp; JackUSARetailJJ 18 JULY SO SB 2</v>
      </c>
      <c r="AO66" s="1" t="s">
        <v>32</v>
      </c>
      <c r="AP66" s="1" t="s">
        <v>5</v>
      </c>
      <c r="AQ66" s="1" t="s">
        <v>307</v>
      </c>
      <c r="AR66" s="1">
        <v>2018</v>
      </c>
      <c r="AS66" s="1" t="s">
        <v>18</v>
      </c>
      <c r="AT66" s="1" t="s">
        <v>178</v>
      </c>
      <c r="AU66" s="1">
        <v>57.03</v>
      </c>
      <c r="AV66" s="1">
        <v>12.02</v>
      </c>
      <c r="AW66" s="1">
        <v>17808</v>
      </c>
      <c r="AX66" s="1">
        <v>0.23</v>
      </c>
      <c r="AY66" s="1">
        <v>201824</v>
      </c>
      <c r="AZ66" s="1">
        <v>13</v>
      </c>
      <c r="BA66" s="19" t="s">
        <v>179</v>
      </c>
    </row>
    <row r="67" spans="17:53" x14ac:dyDescent="0.25">
      <c r="Q67" s="109" t="str">
        <f t="shared" si="8"/>
        <v>GymboreeGY 18 FALL 3</v>
      </c>
      <c r="R67" s="27" t="str">
        <f t="shared" si="9"/>
        <v>2018GymboreeFall</v>
      </c>
      <c r="S67" s="343">
        <v>2018</v>
      </c>
      <c r="T67" s="343" t="s">
        <v>14</v>
      </c>
      <c r="U67" s="343" t="s">
        <v>33</v>
      </c>
      <c r="V67" s="343" t="s">
        <v>388</v>
      </c>
      <c r="W67" s="343" t="s">
        <v>344</v>
      </c>
      <c r="X67" s="22">
        <f t="shared" si="10"/>
        <v>3</v>
      </c>
      <c r="Y67" s="22"/>
      <c r="AG67" s="27" t="str">
        <f t="shared" ref="AG67:AG131" si="11">AH67&amp;AI67&amp;AJ67&amp;AK67</f>
        <v>Janie &amp; JackRetailUSA13</v>
      </c>
      <c r="AH67" s="1" t="s">
        <v>32</v>
      </c>
      <c r="AI67" s="1" t="s">
        <v>5</v>
      </c>
      <c r="AJ67" s="1" t="s">
        <v>307</v>
      </c>
      <c r="AK67" s="1">
        <v>13</v>
      </c>
      <c r="AL67" s="19">
        <v>0.46</v>
      </c>
      <c r="AN67" s="109" t="str">
        <f t="shared" ref="AN67:AN131" si="12">AO67&amp;AQ67&amp;AP67&amp;AT67</f>
        <v>Janie &amp; JackUSARetailJJ 18 JULY TRANS 3</v>
      </c>
      <c r="AO67" s="1" t="s">
        <v>32</v>
      </c>
      <c r="AP67" s="1" t="s">
        <v>5</v>
      </c>
      <c r="AQ67" s="1" t="s">
        <v>307</v>
      </c>
      <c r="AR67" s="1">
        <v>2018</v>
      </c>
      <c r="AS67" s="1" t="s">
        <v>18</v>
      </c>
      <c r="AT67" s="1" t="s">
        <v>156</v>
      </c>
      <c r="AU67" s="1">
        <v>41.81</v>
      </c>
      <c r="AV67" s="1">
        <v>7.73</v>
      </c>
      <c r="AW67" s="1">
        <v>39787</v>
      </c>
      <c r="AX67" s="1">
        <v>0.24</v>
      </c>
      <c r="AY67" s="1">
        <v>201824</v>
      </c>
      <c r="AZ67" s="1">
        <v>5</v>
      </c>
      <c r="BA67" s="19" t="s">
        <v>157</v>
      </c>
    </row>
    <row r="68" spans="17:53" x14ac:dyDescent="0.25">
      <c r="Q68" s="109" t="str">
        <f t="shared" si="8"/>
        <v>GymboreeGY 18 FALL 4</v>
      </c>
      <c r="R68" s="27" t="str">
        <f t="shared" si="9"/>
        <v>2018GymboreeFall</v>
      </c>
      <c r="S68" s="343">
        <v>2018</v>
      </c>
      <c r="T68" s="343" t="s">
        <v>14</v>
      </c>
      <c r="U68" s="343" t="s">
        <v>33</v>
      </c>
      <c r="V68" s="343" t="s">
        <v>389</v>
      </c>
      <c r="W68" s="343" t="s">
        <v>345</v>
      </c>
      <c r="X68" s="22">
        <f t="shared" si="10"/>
        <v>3</v>
      </c>
      <c r="Y68" s="22"/>
      <c r="AG68" s="27" t="str">
        <f t="shared" si="11"/>
        <v>Janie &amp; JackRetailUSA14</v>
      </c>
      <c r="AH68" s="1" t="s">
        <v>32</v>
      </c>
      <c r="AI68" s="1" t="s">
        <v>5</v>
      </c>
      <c r="AJ68" s="1" t="s">
        <v>307</v>
      </c>
      <c r="AK68" s="1">
        <v>14</v>
      </c>
      <c r="AL68" s="19">
        <v>0.43</v>
      </c>
      <c r="AN68" s="109" t="str">
        <f t="shared" si="12"/>
        <v>Janie &amp; JackUSARetailJJ 18 JUN JJ SPORT</v>
      </c>
      <c r="AO68" s="1" t="s">
        <v>32</v>
      </c>
      <c r="AP68" s="1" t="s">
        <v>5</v>
      </c>
      <c r="AQ68" s="1" t="s">
        <v>307</v>
      </c>
      <c r="AR68" s="1">
        <v>2018</v>
      </c>
      <c r="AS68" s="1" t="s">
        <v>18</v>
      </c>
      <c r="AT68" s="1" t="s">
        <v>216</v>
      </c>
      <c r="AU68" s="1">
        <v>34.630000000000003</v>
      </c>
      <c r="AV68" s="1">
        <v>6.69</v>
      </c>
      <c r="AW68" s="1">
        <v>38700</v>
      </c>
      <c r="AX68" s="1">
        <v>0.17</v>
      </c>
      <c r="AY68" s="1">
        <v>201819</v>
      </c>
      <c r="AZ68" s="1">
        <v>5</v>
      </c>
      <c r="BA68" s="19" t="s">
        <v>371</v>
      </c>
    </row>
    <row r="69" spans="17:53" x14ac:dyDescent="0.25">
      <c r="Q69" s="109" t="str">
        <f t="shared" si="8"/>
        <v>GymboreeGY 18 HO HO SHOP</v>
      </c>
      <c r="R69" s="27" t="str">
        <f t="shared" si="9"/>
        <v>2018GymboreeFall</v>
      </c>
      <c r="S69" s="343">
        <v>2018</v>
      </c>
      <c r="T69" s="343" t="s">
        <v>14</v>
      </c>
      <c r="U69" s="343" t="s">
        <v>33</v>
      </c>
      <c r="V69" s="343" t="s">
        <v>390</v>
      </c>
      <c r="W69" s="343" t="s">
        <v>346</v>
      </c>
      <c r="X69" s="22">
        <f t="shared" si="10"/>
        <v>3</v>
      </c>
      <c r="Y69" s="22"/>
      <c r="AG69" s="27" t="str">
        <f t="shared" si="11"/>
        <v>Janie &amp; JackRetailUSA15</v>
      </c>
      <c r="AH69" s="1" t="s">
        <v>32</v>
      </c>
      <c r="AI69" s="1" t="s">
        <v>5</v>
      </c>
      <c r="AJ69" s="1" t="s">
        <v>307</v>
      </c>
      <c r="AK69" s="1">
        <v>15</v>
      </c>
      <c r="AL69" s="19">
        <v>0.46</v>
      </c>
      <c r="AN69" s="109" t="str">
        <f t="shared" si="12"/>
        <v>Janie &amp; JackUSARetailJJ 18 JULY FALL GIFT LAY</v>
      </c>
      <c r="AO69" s="1" t="s">
        <v>32</v>
      </c>
      <c r="AP69" s="1" t="s">
        <v>5</v>
      </c>
      <c r="AQ69" s="1" t="s">
        <v>307</v>
      </c>
      <c r="AR69" s="1">
        <v>2018</v>
      </c>
      <c r="AS69" s="1" t="s">
        <v>18</v>
      </c>
      <c r="AT69" s="1" t="s">
        <v>160</v>
      </c>
      <c r="AU69" s="1">
        <v>34.520000000000003</v>
      </c>
      <c r="AV69" s="1">
        <v>8.41</v>
      </c>
      <c r="AW69" s="1">
        <v>23150</v>
      </c>
      <c r="AX69" s="1">
        <v>0.2</v>
      </c>
      <c r="AY69" s="1">
        <v>201824</v>
      </c>
      <c r="AZ69" s="1">
        <v>8</v>
      </c>
      <c r="BA69" s="19" t="s">
        <v>347</v>
      </c>
    </row>
    <row r="70" spans="17:53" x14ac:dyDescent="0.25">
      <c r="Q70" s="109" t="str">
        <f t="shared" si="8"/>
        <v>GymboreeGY 18 FALL BASIC</v>
      </c>
      <c r="R70" s="27" t="str">
        <f t="shared" si="9"/>
        <v>2018GymboreeBasics</v>
      </c>
      <c r="S70" s="343">
        <v>2018</v>
      </c>
      <c r="T70" s="343" t="s">
        <v>14</v>
      </c>
      <c r="U70" s="343" t="s">
        <v>35</v>
      </c>
      <c r="V70" s="343" t="s">
        <v>481</v>
      </c>
      <c r="W70" s="343" t="s">
        <v>127</v>
      </c>
      <c r="X70" s="22">
        <f t="shared" si="10"/>
        <v>5</v>
      </c>
      <c r="Y70" s="22"/>
      <c r="AG70" s="27" t="str">
        <f t="shared" si="11"/>
        <v>Janie &amp; JackRetailUSA16</v>
      </c>
      <c r="AH70" s="1" t="s">
        <v>32</v>
      </c>
      <c r="AI70" s="1" t="s">
        <v>5</v>
      </c>
      <c r="AJ70" s="1" t="s">
        <v>307</v>
      </c>
      <c r="AK70" s="1">
        <v>16</v>
      </c>
      <c r="AL70" s="19">
        <v>0.49</v>
      </c>
      <c r="AN70" s="109" t="str">
        <f t="shared" si="12"/>
        <v>Janie &amp; JackUSAWebJJ 3RD PARTY</v>
      </c>
      <c r="AO70" s="1" t="s">
        <v>32</v>
      </c>
      <c r="AP70" s="1" t="s">
        <v>15</v>
      </c>
      <c r="AQ70" s="1" t="s">
        <v>307</v>
      </c>
      <c r="AR70" s="1">
        <v>2018</v>
      </c>
      <c r="AS70" s="1" t="s">
        <v>35</v>
      </c>
      <c r="AT70" s="1" t="s">
        <v>302</v>
      </c>
      <c r="AU70" s="1">
        <v>55</v>
      </c>
      <c r="AV70" s="1">
        <v>24.32</v>
      </c>
      <c r="AW70" s="1">
        <v>550</v>
      </c>
      <c r="AX70" s="1">
        <v>0.2</v>
      </c>
      <c r="AY70" s="1">
        <v>201801</v>
      </c>
      <c r="AZ70" s="1">
        <v>13</v>
      </c>
      <c r="BA70" s="19" t="s">
        <v>302</v>
      </c>
    </row>
    <row r="71" spans="17:53" x14ac:dyDescent="0.25">
      <c r="Q71" s="109" t="str">
        <f t="shared" si="8"/>
        <v>GymboreeGY 18 SPRING BASICS</v>
      </c>
      <c r="R71" s="27" t="str">
        <f t="shared" si="9"/>
        <v>2018GymboreeBasics</v>
      </c>
      <c r="S71" s="343">
        <v>2018</v>
      </c>
      <c r="T71" s="343" t="s">
        <v>14</v>
      </c>
      <c r="U71" s="343" t="s">
        <v>35</v>
      </c>
      <c r="V71" s="343" t="s">
        <v>125</v>
      </c>
      <c r="W71" s="343" t="s">
        <v>126</v>
      </c>
      <c r="X71" s="22">
        <f t="shared" si="10"/>
        <v>5</v>
      </c>
      <c r="Y71" s="22"/>
      <c r="AG71" s="27" t="str">
        <f t="shared" si="11"/>
        <v>Janie &amp; JackRetailUSA17</v>
      </c>
      <c r="AH71" s="1" t="s">
        <v>32</v>
      </c>
      <c r="AI71" s="1" t="s">
        <v>5</v>
      </c>
      <c r="AJ71" s="1" t="s">
        <v>307</v>
      </c>
      <c r="AK71" s="1">
        <v>17</v>
      </c>
      <c r="AL71" s="19">
        <v>0.52</v>
      </c>
      <c r="AN71" s="109" t="str">
        <f t="shared" si="12"/>
        <v>Janie &amp; JackUSAWebJJ 18 JULY SB2</v>
      </c>
      <c r="AO71" s="1" t="s">
        <v>32</v>
      </c>
      <c r="AP71" s="1" t="s">
        <v>15</v>
      </c>
      <c r="AQ71" s="1" t="s">
        <v>307</v>
      </c>
      <c r="AR71" s="1">
        <v>2018</v>
      </c>
      <c r="AS71" s="1" t="s">
        <v>35</v>
      </c>
      <c r="AT71" s="1" t="s">
        <v>176</v>
      </c>
      <c r="AU71" s="1">
        <v>40.1</v>
      </c>
      <c r="AV71" s="1">
        <v>8.6199999999999992</v>
      </c>
      <c r="AW71" s="1">
        <v>25407</v>
      </c>
      <c r="AX71" s="1">
        <v>0.08</v>
      </c>
      <c r="AY71" s="1">
        <v>201821</v>
      </c>
      <c r="AZ71" s="1">
        <v>13</v>
      </c>
      <c r="BA71" s="19" t="s">
        <v>177</v>
      </c>
    </row>
    <row r="72" spans="17:53" x14ac:dyDescent="0.25">
      <c r="Q72" s="109" t="str">
        <f t="shared" si="8"/>
        <v>GymboreeGY YRLY BASICS</v>
      </c>
      <c r="R72" s="27" t="str">
        <f t="shared" si="9"/>
        <v>2018GymboreeBasics</v>
      </c>
      <c r="S72" s="343">
        <v>2018</v>
      </c>
      <c r="T72" s="343" t="s">
        <v>14</v>
      </c>
      <c r="U72" s="343" t="s">
        <v>35</v>
      </c>
      <c r="V72" s="343" t="s">
        <v>297</v>
      </c>
      <c r="W72" s="343" t="s">
        <v>297</v>
      </c>
      <c r="X72" s="22">
        <f t="shared" si="10"/>
        <v>5</v>
      </c>
      <c r="Y72" s="22"/>
      <c r="AG72" s="27" t="str">
        <f t="shared" si="11"/>
        <v>Janie &amp; JackRetailUSA18</v>
      </c>
      <c r="AH72" s="1" t="s">
        <v>32</v>
      </c>
      <c r="AI72" s="1" t="s">
        <v>5</v>
      </c>
      <c r="AJ72" s="1" t="s">
        <v>307</v>
      </c>
      <c r="AK72" s="1">
        <v>18</v>
      </c>
      <c r="AL72" s="19">
        <v>0.54</v>
      </c>
      <c r="AN72" s="109" t="str">
        <f t="shared" si="12"/>
        <v>Janie &amp; JackUSAWebJJ 18 AUG FALL 0</v>
      </c>
      <c r="AO72" s="1" t="s">
        <v>32</v>
      </c>
      <c r="AP72" s="1" t="s">
        <v>15</v>
      </c>
      <c r="AQ72" s="1" t="s">
        <v>307</v>
      </c>
      <c r="AR72" s="1">
        <v>2018</v>
      </c>
      <c r="AS72" s="1" t="s">
        <v>33</v>
      </c>
      <c r="AT72" s="1" t="s">
        <v>158</v>
      </c>
      <c r="AU72" s="1">
        <v>38.53</v>
      </c>
      <c r="AV72" s="1">
        <v>7.15</v>
      </c>
      <c r="AW72" s="1">
        <v>124851</v>
      </c>
      <c r="AX72" s="1">
        <v>0.12</v>
      </c>
      <c r="AY72" s="1">
        <v>201825</v>
      </c>
      <c r="AZ72" s="1">
        <v>5</v>
      </c>
      <c r="BA72" s="19" t="s">
        <v>159</v>
      </c>
    </row>
    <row r="73" spans="17:53" x14ac:dyDescent="0.25">
      <c r="Q73" s="109" t="str">
        <f t="shared" si="8"/>
        <v>GymboreeGY YRLY DENIM</v>
      </c>
      <c r="R73" s="27" t="str">
        <f t="shared" si="9"/>
        <v>2018GymboreeBasics</v>
      </c>
      <c r="S73" s="343">
        <v>2018</v>
      </c>
      <c r="T73" s="343" t="s">
        <v>14</v>
      </c>
      <c r="U73" s="343" t="s">
        <v>35</v>
      </c>
      <c r="V73" s="343" t="s">
        <v>298</v>
      </c>
      <c r="W73" s="343" t="s">
        <v>298</v>
      </c>
      <c r="X73" s="22">
        <f t="shared" si="10"/>
        <v>5</v>
      </c>
      <c r="Y73" s="22"/>
      <c r="AG73" s="27" t="str">
        <f t="shared" si="11"/>
        <v>Janie &amp; JackRetailUSA19</v>
      </c>
      <c r="AH73" s="1" t="s">
        <v>32</v>
      </c>
      <c r="AI73" s="1" t="s">
        <v>5</v>
      </c>
      <c r="AJ73" s="1" t="s">
        <v>307</v>
      </c>
      <c r="AK73" s="1">
        <v>19</v>
      </c>
      <c r="AL73" s="19">
        <v>0.56000000000000005</v>
      </c>
      <c r="AN73" s="109" t="str">
        <f t="shared" si="12"/>
        <v>Janie &amp; JackUSAWebJJ 18 LAY SIGNATURE 1</v>
      </c>
      <c r="AO73" s="1" t="s">
        <v>32</v>
      </c>
      <c r="AP73" s="1" t="s">
        <v>15</v>
      </c>
      <c r="AQ73" s="1" t="s">
        <v>307</v>
      </c>
      <c r="AR73" s="1">
        <v>2018</v>
      </c>
      <c r="AS73" s="1" t="s">
        <v>16</v>
      </c>
      <c r="AT73" s="1" t="s">
        <v>173</v>
      </c>
      <c r="AU73" s="1">
        <v>29.09</v>
      </c>
      <c r="AV73" s="1">
        <v>5.62</v>
      </c>
      <c r="AW73" s="1">
        <v>24711</v>
      </c>
      <c r="AX73" s="1">
        <v>0.2</v>
      </c>
      <c r="AY73" s="1">
        <v>201750</v>
      </c>
      <c r="AZ73" s="1">
        <v>13</v>
      </c>
      <c r="BA73" s="19" t="s">
        <v>371</v>
      </c>
    </row>
    <row r="74" spans="17:53" x14ac:dyDescent="0.25">
      <c r="Q74" s="109" t="str">
        <f t="shared" si="8"/>
        <v>GymboreeGY YRLY UNIFORM</v>
      </c>
      <c r="R74" s="27" t="str">
        <f t="shared" si="9"/>
        <v>2018GymboreeBasics</v>
      </c>
      <c r="S74" s="343">
        <v>2018</v>
      </c>
      <c r="T74" s="343" t="s">
        <v>14</v>
      </c>
      <c r="U74" s="343" t="s">
        <v>35</v>
      </c>
      <c r="V74" s="343" t="s">
        <v>299</v>
      </c>
      <c r="W74" s="343" t="s">
        <v>299</v>
      </c>
      <c r="X74" s="22">
        <f t="shared" si="10"/>
        <v>5</v>
      </c>
      <c r="Y74" s="22"/>
      <c r="AG74" s="27" t="str">
        <f t="shared" si="11"/>
        <v>Janie &amp; JackRetailUSA20</v>
      </c>
      <c r="AH74" s="1" t="s">
        <v>32</v>
      </c>
      <c r="AI74" s="1" t="s">
        <v>5</v>
      </c>
      <c r="AJ74" s="1" t="s">
        <v>307</v>
      </c>
      <c r="AK74" s="1">
        <v>20</v>
      </c>
      <c r="AL74" s="19">
        <v>0.56999999999999995</v>
      </c>
      <c r="AN74" s="109" t="str">
        <f t="shared" si="12"/>
        <v>Janie &amp; JackUSAWebJJ 18 DEC SWIM</v>
      </c>
      <c r="AO74" s="1" t="s">
        <v>32</v>
      </c>
      <c r="AP74" s="1" t="s">
        <v>15</v>
      </c>
      <c r="AQ74" s="1" t="s">
        <v>307</v>
      </c>
      <c r="AR74" s="1">
        <v>2018</v>
      </c>
      <c r="AS74" s="1" t="s">
        <v>16</v>
      </c>
      <c r="AT74" s="1" t="s">
        <v>161</v>
      </c>
      <c r="AU74" s="1">
        <v>35.35</v>
      </c>
      <c r="AV74" s="1">
        <v>6.49</v>
      </c>
      <c r="AW74" s="1">
        <v>26680</v>
      </c>
      <c r="AX74" s="1">
        <v>0.2</v>
      </c>
      <c r="AY74" s="1">
        <v>201743</v>
      </c>
      <c r="AZ74" s="1">
        <v>9</v>
      </c>
      <c r="BA74" s="19" t="s">
        <v>162</v>
      </c>
    </row>
    <row r="75" spans="17:53" x14ac:dyDescent="0.25">
      <c r="Q75" s="109" t="str">
        <f t="shared" si="8"/>
        <v>GymboreeWinter 17</v>
      </c>
      <c r="R75" s="27" t="str">
        <f t="shared" si="9"/>
        <v>2018GymboreeWinter 17</v>
      </c>
      <c r="S75" s="343">
        <v>2018</v>
      </c>
      <c r="T75" s="343" t="s">
        <v>14</v>
      </c>
      <c r="U75" s="343" t="s">
        <v>462</v>
      </c>
      <c r="V75" s="343" t="s">
        <v>462</v>
      </c>
      <c r="W75" s="343" t="s">
        <v>461</v>
      </c>
      <c r="X75" s="22">
        <f t="shared" si="10"/>
        <v>7</v>
      </c>
      <c r="Y75" s="22"/>
      <c r="AG75" s="27" t="str">
        <f t="shared" si="11"/>
        <v>Janie &amp; JackRetailUSA21</v>
      </c>
      <c r="AH75" s="1" t="s">
        <v>32</v>
      </c>
      <c r="AI75" s="1" t="s">
        <v>5</v>
      </c>
      <c r="AJ75" s="1" t="s">
        <v>307</v>
      </c>
      <c r="AK75" s="1">
        <v>21</v>
      </c>
      <c r="AL75" s="19">
        <v>0.55000000000000004</v>
      </c>
      <c r="AN75" s="109" t="str">
        <f t="shared" si="12"/>
        <v>Janie &amp; JackUSAWebJJ 18 DEC VDAY</v>
      </c>
      <c r="AO75" s="1" t="s">
        <v>32</v>
      </c>
      <c r="AP75" s="1" t="s">
        <v>15</v>
      </c>
      <c r="AQ75" s="1" t="s">
        <v>307</v>
      </c>
      <c r="AR75" s="1">
        <v>2018</v>
      </c>
      <c r="AS75" s="1" t="s">
        <v>16</v>
      </c>
      <c r="AT75" s="1" t="s">
        <v>183</v>
      </c>
      <c r="AU75" s="1">
        <v>36.29</v>
      </c>
      <c r="AV75" s="1">
        <v>6.73</v>
      </c>
      <c r="AW75" s="1">
        <v>15728</v>
      </c>
      <c r="AX75" s="1">
        <v>0.2</v>
      </c>
      <c r="AY75" s="1">
        <v>201748</v>
      </c>
      <c r="AZ75" s="1">
        <v>6</v>
      </c>
      <c r="BA75" s="19" t="s">
        <v>184</v>
      </c>
    </row>
    <row r="76" spans="17:53" x14ac:dyDescent="0.25">
      <c r="Q76" s="109" t="str">
        <f t="shared" si="8"/>
        <v>GymboreeOld</v>
      </c>
      <c r="R76" s="27" t="str">
        <f t="shared" si="9"/>
        <v>2018GymboreeOld</v>
      </c>
      <c r="S76" s="343">
        <v>2018</v>
      </c>
      <c r="T76" s="343" t="s">
        <v>14</v>
      </c>
      <c r="U76" s="343" t="s">
        <v>460</v>
      </c>
      <c r="V76" s="343" t="s">
        <v>460</v>
      </c>
      <c r="W76" s="343" t="s">
        <v>460</v>
      </c>
      <c r="X76" s="22">
        <f t="shared" si="10"/>
        <v>8</v>
      </c>
      <c r="Y76" s="22"/>
      <c r="AG76" s="27" t="str">
        <f t="shared" si="11"/>
        <v>Janie &amp; JackRetailUSA22</v>
      </c>
      <c r="AH76" s="1" t="s">
        <v>32</v>
      </c>
      <c r="AI76" s="1" t="s">
        <v>5</v>
      </c>
      <c r="AJ76" s="1" t="s">
        <v>307</v>
      </c>
      <c r="AK76" s="1">
        <v>22</v>
      </c>
      <c r="AL76" s="19">
        <v>0.56999999999999995</v>
      </c>
      <c r="AN76" s="109" t="str">
        <f t="shared" si="12"/>
        <v>Janie &amp; JackUSAWebJJ 18 DEC RESORT 2</v>
      </c>
      <c r="AO76" s="1" t="s">
        <v>32</v>
      </c>
      <c r="AP76" s="1" t="s">
        <v>15</v>
      </c>
      <c r="AQ76" s="1" t="s">
        <v>307</v>
      </c>
      <c r="AR76" s="1">
        <v>2018</v>
      </c>
      <c r="AS76" s="1" t="s">
        <v>16</v>
      </c>
      <c r="AT76" s="1" t="s">
        <v>185</v>
      </c>
      <c r="AU76" s="1">
        <v>36.85</v>
      </c>
      <c r="AV76" s="1">
        <v>6.57</v>
      </c>
      <c r="AW76" s="1">
        <v>27520</v>
      </c>
      <c r="AX76" s="1">
        <v>0.2</v>
      </c>
      <c r="AY76" s="1">
        <v>201747</v>
      </c>
      <c r="AZ76" s="1">
        <v>6</v>
      </c>
      <c r="BA76" s="19" t="s">
        <v>186</v>
      </c>
    </row>
    <row r="77" spans="17:53" x14ac:dyDescent="0.25">
      <c r="Q77" s="109" t="str">
        <f t="shared" si="8"/>
        <v>Janie &amp; JackJJ 18 DEC RESORT 2</v>
      </c>
      <c r="R77" s="27" t="str">
        <f t="shared" si="9"/>
        <v>2018Janie &amp; JackSpring</v>
      </c>
      <c r="S77" s="343">
        <v>2018</v>
      </c>
      <c r="T77" s="343" t="s">
        <v>32</v>
      </c>
      <c r="U77" s="343" t="s">
        <v>16</v>
      </c>
      <c r="V77" s="343" t="s">
        <v>185</v>
      </c>
      <c r="W77" s="343" t="s">
        <v>186</v>
      </c>
      <c r="X77" s="22">
        <f t="shared" si="10"/>
        <v>1</v>
      </c>
      <c r="Y77" s="22"/>
      <c r="AG77" s="27" t="str">
        <f t="shared" si="11"/>
        <v>Janie &amp; JackRetailUSA23</v>
      </c>
      <c r="AH77" s="1" t="s">
        <v>32</v>
      </c>
      <c r="AI77" s="1" t="s">
        <v>5</v>
      </c>
      <c r="AJ77" s="1" t="s">
        <v>307</v>
      </c>
      <c r="AK77" s="1">
        <v>23</v>
      </c>
      <c r="AL77" s="19">
        <v>0.62</v>
      </c>
      <c r="AN77" s="109" t="str">
        <f t="shared" si="12"/>
        <v>Janie &amp; JackUSAWebJJ 18 JAN SPRING TRANS</v>
      </c>
      <c r="AO77" s="1" t="s">
        <v>32</v>
      </c>
      <c r="AP77" s="1" t="s">
        <v>15</v>
      </c>
      <c r="AQ77" s="1" t="s">
        <v>307</v>
      </c>
      <c r="AR77" s="1">
        <v>2018</v>
      </c>
      <c r="AS77" s="1" t="s">
        <v>16</v>
      </c>
      <c r="AT77" s="1" t="s">
        <v>191</v>
      </c>
      <c r="AU77" s="1">
        <v>40.090000000000003</v>
      </c>
      <c r="AV77" s="1">
        <v>6.81</v>
      </c>
      <c r="AW77" s="1">
        <v>70647</v>
      </c>
      <c r="AX77" s="1">
        <v>0.2</v>
      </c>
      <c r="AY77" s="1">
        <v>201748</v>
      </c>
      <c r="AZ77" s="1">
        <v>6</v>
      </c>
      <c r="BA77" s="19" t="s">
        <v>192</v>
      </c>
    </row>
    <row r="78" spans="17:53" x14ac:dyDescent="0.25">
      <c r="Q78" s="109" t="str">
        <f t="shared" si="8"/>
        <v>Janie &amp; JackJJ 18 DEC VDAY</v>
      </c>
      <c r="R78" s="27" t="str">
        <f t="shared" si="9"/>
        <v>2018Janie &amp; JackSpring</v>
      </c>
      <c r="S78" s="343">
        <v>2018</v>
      </c>
      <c r="T78" s="343" t="s">
        <v>32</v>
      </c>
      <c r="U78" s="343" t="s">
        <v>16</v>
      </c>
      <c r="V78" s="343" t="s">
        <v>183</v>
      </c>
      <c r="W78" s="343" t="s">
        <v>184</v>
      </c>
      <c r="X78" s="22">
        <f t="shared" si="10"/>
        <v>1</v>
      </c>
      <c r="Y78" s="22"/>
      <c r="AG78" s="27" t="str">
        <f t="shared" si="11"/>
        <v>Janie &amp; JackRetailUSA24</v>
      </c>
      <c r="AH78" s="1" t="s">
        <v>32</v>
      </c>
      <c r="AI78" s="1" t="s">
        <v>5</v>
      </c>
      <c r="AJ78" s="1" t="s">
        <v>307</v>
      </c>
      <c r="AK78" s="1">
        <v>24</v>
      </c>
      <c r="AL78" s="19">
        <v>0.63</v>
      </c>
      <c r="AN78" s="109" t="str">
        <f t="shared" si="12"/>
        <v>Janie &amp; JackUSAWebJJ 18 SB1</v>
      </c>
      <c r="AO78" s="1" t="s">
        <v>32</v>
      </c>
      <c r="AP78" s="1" t="s">
        <v>15</v>
      </c>
      <c r="AQ78" s="1" t="s">
        <v>307</v>
      </c>
      <c r="AR78" s="1">
        <v>2018</v>
      </c>
      <c r="AS78" s="1" t="s">
        <v>16</v>
      </c>
      <c r="AT78" s="1" t="s">
        <v>163</v>
      </c>
      <c r="AU78" s="1">
        <v>23.36</v>
      </c>
      <c r="AV78" s="1">
        <v>4.76</v>
      </c>
      <c r="AW78" s="1">
        <v>10803</v>
      </c>
      <c r="AX78" s="1">
        <v>0.2</v>
      </c>
      <c r="AY78" s="1">
        <v>201748</v>
      </c>
      <c r="AZ78" s="1">
        <v>13</v>
      </c>
      <c r="BA78" s="19" t="s">
        <v>164</v>
      </c>
    </row>
    <row r="79" spans="17:53" x14ac:dyDescent="0.25">
      <c r="Q79" s="109" t="str">
        <f t="shared" si="8"/>
        <v>Janie &amp; JackJJ 18 FEB EASTER 1</v>
      </c>
      <c r="R79" s="27" t="str">
        <f t="shared" si="9"/>
        <v>2018Janie &amp; JackSpring</v>
      </c>
      <c r="S79" s="343">
        <v>2018</v>
      </c>
      <c r="T79" s="343" t="s">
        <v>32</v>
      </c>
      <c r="U79" s="343" t="s">
        <v>16</v>
      </c>
      <c r="V79" s="343" t="s">
        <v>187</v>
      </c>
      <c r="W79" s="343" t="s">
        <v>188</v>
      </c>
      <c r="X79" s="22">
        <f t="shared" si="10"/>
        <v>1</v>
      </c>
      <c r="Y79" s="22"/>
      <c r="AG79" s="27" t="str">
        <f t="shared" si="11"/>
        <v>Janie &amp; JackRetailUSA25</v>
      </c>
      <c r="AH79" s="1" t="s">
        <v>32</v>
      </c>
      <c r="AI79" s="1" t="s">
        <v>5</v>
      </c>
      <c r="AJ79" s="1" t="s">
        <v>307</v>
      </c>
      <c r="AK79" s="1">
        <v>25</v>
      </c>
      <c r="AL79" s="19">
        <v>0.62</v>
      </c>
      <c r="AN79" s="109" t="str">
        <f t="shared" si="12"/>
        <v>Janie &amp; JackUSAWebJJ 18 SWIM 2</v>
      </c>
      <c r="AO79" s="1" t="s">
        <v>32</v>
      </c>
      <c r="AP79" s="1" t="s">
        <v>15</v>
      </c>
      <c r="AQ79" s="1" t="s">
        <v>307</v>
      </c>
      <c r="AR79" s="1">
        <v>2018</v>
      </c>
      <c r="AS79" s="1" t="s">
        <v>16</v>
      </c>
      <c r="AT79" s="1" t="s">
        <v>165</v>
      </c>
      <c r="AU79" s="1">
        <v>33.43</v>
      </c>
      <c r="AV79" s="1">
        <v>5.85</v>
      </c>
      <c r="AW79" s="1">
        <v>49109</v>
      </c>
      <c r="AX79" s="1">
        <v>0.2</v>
      </c>
      <c r="AY79" s="1">
        <v>201748</v>
      </c>
      <c r="AZ79" s="1">
        <v>9</v>
      </c>
      <c r="BA79" s="19" t="s">
        <v>166</v>
      </c>
    </row>
    <row r="80" spans="17:53" x14ac:dyDescent="0.25">
      <c r="Q80" s="109" t="str">
        <f t="shared" si="8"/>
        <v>Janie &amp; JackJJ 18 FEB EASTER GIFT LAY</v>
      </c>
      <c r="R80" s="27" t="str">
        <f t="shared" si="9"/>
        <v>2018Janie &amp; JackSpring</v>
      </c>
      <c r="S80" s="343">
        <v>2018</v>
      </c>
      <c r="T80" s="343" t="s">
        <v>32</v>
      </c>
      <c r="U80" s="343" t="s">
        <v>16</v>
      </c>
      <c r="V80" s="343" t="s">
        <v>189</v>
      </c>
      <c r="W80" s="343" t="s">
        <v>190</v>
      </c>
      <c r="X80" s="22">
        <f t="shared" si="10"/>
        <v>1</v>
      </c>
      <c r="Y80" s="22"/>
      <c r="AG80" s="27" t="str">
        <f t="shared" si="11"/>
        <v>Janie &amp; JackRetailUSA26</v>
      </c>
      <c r="AH80" s="1" t="s">
        <v>32</v>
      </c>
      <c r="AI80" s="1" t="s">
        <v>5</v>
      </c>
      <c r="AJ80" s="1" t="s">
        <v>307</v>
      </c>
      <c r="AK80" s="1">
        <v>26</v>
      </c>
      <c r="AL80" s="19">
        <v>0.64</v>
      </c>
      <c r="AN80" s="109" t="str">
        <f t="shared" si="12"/>
        <v>Janie &amp; JackUSAWebJJ 18 JAN SPR GIFTING LAY</v>
      </c>
      <c r="AO80" s="1" t="s">
        <v>32</v>
      </c>
      <c r="AP80" s="1" t="s">
        <v>15</v>
      </c>
      <c r="AQ80" s="1" t="s">
        <v>307</v>
      </c>
      <c r="AR80" s="1">
        <v>2018</v>
      </c>
      <c r="AS80" s="1" t="s">
        <v>16</v>
      </c>
      <c r="AT80" s="1" t="s">
        <v>195</v>
      </c>
      <c r="AU80" s="1">
        <v>36.71</v>
      </c>
      <c r="AV80" s="1">
        <v>7.31</v>
      </c>
      <c r="AW80" s="1">
        <v>6950</v>
      </c>
      <c r="AX80" s="1">
        <v>0.2</v>
      </c>
      <c r="AY80" s="1">
        <v>201748</v>
      </c>
      <c r="AZ80" s="1">
        <v>9</v>
      </c>
      <c r="BA80" s="19" t="s">
        <v>196</v>
      </c>
    </row>
    <row r="81" spans="17:53" x14ac:dyDescent="0.25">
      <c r="Q81" s="109" t="str">
        <f t="shared" si="8"/>
        <v>Janie &amp; JackJJ 18 FEB SPRING LIMITED EDITION</v>
      </c>
      <c r="R81" s="27" t="str">
        <f t="shared" si="9"/>
        <v>2018Janie &amp; JackSpring</v>
      </c>
      <c r="S81" s="343">
        <v>2018</v>
      </c>
      <c r="T81" s="343" t="s">
        <v>32</v>
      </c>
      <c r="U81" s="343" t="s">
        <v>16</v>
      </c>
      <c r="V81" s="343" t="s">
        <v>199</v>
      </c>
      <c r="W81" s="343"/>
      <c r="X81" s="22">
        <f t="shared" si="10"/>
        <v>1</v>
      </c>
      <c r="Y81" s="22"/>
      <c r="AG81" s="27" t="str">
        <f t="shared" si="11"/>
        <v>Janie &amp; JackRetailUSA27</v>
      </c>
      <c r="AH81" s="1" t="s">
        <v>32</v>
      </c>
      <c r="AI81" s="1" t="s">
        <v>5</v>
      </c>
      <c r="AJ81" s="1" t="s">
        <v>307</v>
      </c>
      <c r="AK81" s="1">
        <v>27</v>
      </c>
      <c r="AL81" s="19">
        <v>0.65</v>
      </c>
      <c r="AN81" s="109" t="str">
        <f t="shared" si="12"/>
        <v>Janie &amp; JackUSAWebJJ 18 JAN SPRING 1</v>
      </c>
      <c r="AO81" s="1" t="s">
        <v>32</v>
      </c>
      <c r="AP81" s="1" t="s">
        <v>15</v>
      </c>
      <c r="AQ81" s="1" t="s">
        <v>307</v>
      </c>
      <c r="AR81" s="1">
        <v>2018</v>
      </c>
      <c r="AS81" s="1" t="s">
        <v>16</v>
      </c>
      <c r="AT81" s="1" t="s">
        <v>181</v>
      </c>
      <c r="AU81" s="1">
        <v>35.72</v>
      </c>
      <c r="AV81" s="1">
        <v>6.63</v>
      </c>
      <c r="AW81" s="1">
        <v>87856</v>
      </c>
      <c r="AX81" s="1">
        <v>0.11</v>
      </c>
      <c r="AY81" s="1">
        <v>201751</v>
      </c>
      <c r="AZ81" s="1">
        <v>6</v>
      </c>
      <c r="BA81" s="19" t="s">
        <v>182</v>
      </c>
    </row>
    <row r="82" spans="17:53" x14ac:dyDescent="0.25">
      <c r="Q82" s="109" t="str">
        <f t="shared" si="8"/>
        <v>Janie &amp; JackJJ 18 JAN SPR GIFTING LAY</v>
      </c>
      <c r="R82" s="27" t="str">
        <f t="shared" si="9"/>
        <v>2018Janie &amp; JackSpring</v>
      </c>
      <c r="S82" s="343">
        <v>2018</v>
      </c>
      <c r="T82" s="343" t="s">
        <v>32</v>
      </c>
      <c r="U82" s="343" t="s">
        <v>16</v>
      </c>
      <c r="V82" s="343" t="s">
        <v>195</v>
      </c>
      <c r="W82" s="343" t="s">
        <v>196</v>
      </c>
      <c r="X82" s="22">
        <f t="shared" si="10"/>
        <v>1</v>
      </c>
      <c r="Y82" s="22"/>
      <c r="AG82" s="27" t="str">
        <f t="shared" si="11"/>
        <v>Janie &amp; JackRetailUSA28</v>
      </c>
      <c r="AH82" s="1" t="s">
        <v>32</v>
      </c>
      <c r="AI82" s="1" t="s">
        <v>5</v>
      </c>
      <c r="AJ82" s="1" t="s">
        <v>307</v>
      </c>
      <c r="AK82" s="1">
        <v>28</v>
      </c>
      <c r="AL82" s="19">
        <v>0.65</v>
      </c>
      <c r="AN82" s="109" t="str">
        <f t="shared" si="12"/>
        <v>Janie &amp; JackUSAWebJJ 18 JAN SO SB1</v>
      </c>
      <c r="AO82" s="1" t="s">
        <v>32</v>
      </c>
      <c r="AP82" s="1" t="s">
        <v>15</v>
      </c>
      <c r="AQ82" s="1" t="s">
        <v>307</v>
      </c>
      <c r="AR82" s="1">
        <v>2018</v>
      </c>
      <c r="AS82" s="1" t="s">
        <v>16</v>
      </c>
      <c r="AT82" s="1" t="s">
        <v>167</v>
      </c>
      <c r="AU82" s="1">
        <v>58.56</v>
      </c>
      <c r="AV82" s="1">
        <v>10.77</v>
      </c>
      <c r="AW82" s="1">
        <v>22409</v>
      </c>
      <c r="AX82" s="1">
        <v>0.53</v>
      </c>
      <c r="AY82" s="1">
        <v>201751</v>
      </c>
      <c r="AZ82" s="1">
        <v>13</v>
      </c>
      <c r="BA82" s="19" t="s">
        <v>168</v>
      </c>
    </row>
    <row r="83" spans="17:53" x14ac:dyDescent="0.25">
      <c r="Q83" s="109" t="str">
        <f t="shared" si="8"/>
        <v>Janie &amp; JackJJ 18 JAN SPRING 1</v>
      </c>
      <c r="R83" s="27" t="str">
        <f t="shared" si="9"/>
        <v>2018Janie &amp; JackSpring</v>
      </c>
      <c r="S83" s="343">
        <v>2018</v>
      </c>
      <c r="T83" s="343" t="s">
        <v>32</v>
      </c>
      <c r="U83" s="343" t="s">
        <v>16</v>
      </c>
      <c r="V83" s="343" t="s">
        <v>181</v>
      </c>
      <c r="W83" s="343" t="s">
        <v>182</v>
      </c>
      <c r="X83" s="22">
        <f t="shared" si="10"/>
        <v>1</v>
      </c>
      <c r="Y83" s="22"/>
      <c r="AG83" s="27" t="str">
        <f t="shared" si="11"/>
        <v>Janie &amp; JackRetailUSA29</v>
      </c>
      <c r="AH83" s="1" t="s">
        <v>32</v>
      </c>
      <c r="AI83" s="1" t="s">
        <v>5</v>
      </c>
      <c r="AJ83" s="1" t="s">
        <v>307</v>
      </c>
      <c r="AK83" s="1">
        <v>29</v>
      </c>
      <c r="AL83" s="19">
        <v>0.65</v>
      </c>
      <c r="AN83" s="109" t="str">
        <f t="shared" si="12"/>
        <v>Janie &amp; JackUSAWebJJ 18 FEB EASTER 1</v>
      </c>
      <c r="AO83" s="1" t="s">
        <v>32</v>
      </c>
      <c r="AP83" s="1" t="s">
        <v>15</v>
      </c>
      <c r="AQ83" s="1" t="s">
        <v>307</v>
      </c>
      <c r="AR83" s="1">
        <v>2018</v>
      </c>
      <c r="AS83" s="1" t="s">
        <v>16</v>
      </c>
      <c r="AT83" s="1" t="s">
        <v>187</v>
      </c>
      <c r="AU83" s="1">
        <v>40.31</v>
      </c>
      <c r="AV83" s="1">
        <v>7.45</v>
      </c>
      <c r="AW83" s="1">
        <v>123206</v>
      </c>
      <c r="AX83" s="1">
        <v>0.21</v>
      </c>
      <c r="AY83" s="1">
        <v>201753</v>
      </c>
      <c r="AZ83" s="1">
        <v>6</v>
      </c>
      <c r="BA83" s="19" t="s">
        <v>188</v>
      </c>
    </row>
    <row r="84" spans="17:53" x14ac:dyDescent="0.25">
      <c r="Q84" s="109" t="str">
        <f t="shared" si="8"/>
        <v>Janie &amp; JackJJ 18 JAN SPRING TRANS</v>
      </c>
      <c r="R84" s="27" t="str">
        <f t="shared" si="9"/>
        <v>2018Janie &amp; JackSpring</v>
      </c>
      <c r="S84" s="343">
        <v>2018</v>
      </c>
      <c r="T84" s="343" t="s">
        <v>32</v>
      </c>
      <c r="U84" s="343" t="s">
        <v>16</v>
      </c>
      <c r="V84" s="343" t="s">
        <v>191</v>
      </c>
      <c r="W84" s="343" t="s">
        <v>192</v>
      </c>
      <c r="X84" s="22">
        <f t="shared" si="10"/>
        <v>1</v>
      </c>
      <c r="Y84" s="22"/>
      <c r="AG84" s="27" t="str">
        <f t="shared" si="11"/>
        <v>Janie &amp; JackRetailUSA30</v>
      </c>
      <c r="AH84" s="1" t="s">
        <v>32</v>
      </c>
      <c r="AI84" s="1" t="s">
        <v>5</v>
      </c>
      <c r="AJ84" s="1" t="s">
        <v>307</v>
      </c>
      <c r="AK84" s="1">
        <v>30</v>
      </c>
      <c r="AL84" s="19">
        <v>0.65</v>
      </c>
      <c r="AN84" s="109" t="str">
        <f t="shared" si="12"/>
        <v>Janie &amp; JackUSAWebJJ 18 FEB EASTER GIFT LAY</v>
      </c>
      <c r="AO84" s="1" t="s">
        <v>32</v>
      </c>
      <c r="AP84" s="1" t="s">
        <v>15</v>
      </c>
      <c r="AQ84" s="1" t="s">
        <v>307</v>
      </c>
      <c r="AR84" s="1">
        <v>2018</v>
      </c>
      <c r="AS84" s="1" t="s">
        <v>16</v>
      </c>
      <c r="AT84" s="1" t="s">
        <v>189</v>
      </c>
      <c r="AU84" s="1">
        <v>34.25</v>
      </c>
      <c r="AV84" s="1">
        <v>7.37</v>
      </c>
      <c r="AW84" s="1">
        <v>5294</v>
      </c>
      <c r="AX84" s="1">
        <v>0.21</v>
      </c>
      <c r="AY84" s="1">
        <v>201753</v>
      </c>
      <c r="AZ84" s="1">
        <v>9</v>
      </c>
      <c r="BA84" s="19" t="s">
        <v>190</v>
      </c>
    </row>
    <row r="85" spans="17:53" x14ac:dyDescent="0.25">
      <c r="Q85" s="109" t="str">
        <f t="shared" si="8"/>
        <v>Janie &amp; JackJJ 18 MAR EASTER 2</v>
      </c>
      <c r="R85" s="27" t="str">
        <f t="shared" si="9"/>
        <v>2018Janie &amp; JackSpring</v>
      </c>
      <c r="S85" s="343">
        <v>2018</v>
      </c>
      <c r="T85" s="343" t="s">
        <v>32</v>
      </c>
      <c r="U85" s="343" t="s">
        <v>16</v>
      </c>
      <c r="V85" s="343" t="s">
        <v>193</v>
      </c>
      <c r="W85" s="343" t="s">
        <v>194</v>
      </c>
      <c r="X85" s="22">
        <f t="shared" si="10"/>
        <v>1</v>
      </c>
      <c r="Y85" s="22"/>
      <c r="AG85" s="27" t="str">
        <f t="shared" si="11"/>
        <v>Janie &amp; JackRetailUSA31</v>
      </c>
      <c r="AH85" s="1" t="s">
        <v>32</v>
      </c>
      <c r="AI85" s="1" t="s">
        <v>5</v>
      </c>
      <c r="AJ85" s="1" t="s">
        <v>307</v>
      </c>
      <c r="AK85" s="1">
        <v>31</v>
      </c>
      <c r="AL85" s="19">
        <v>0.65</v>
      </c>
      <c r="AN85" s="109" t="str">
        <f t="shared" si="12"/>
        <v>Janie &amp; JackUSAWebJJ 18 MAR EASTER 2</v>
      </c>
      <c r="AO85" s="1" t="s">
        <v>32</v>
      </c>
      <c r="AP85" s="1" t="s">
        <v>15</v>
      </c>
      <c r="AQ85" s="1" t="s">
        <v>307</v>
      </c>
      <c r="AR85" s="1">
        <v>2018</v>
      </c>
      <c r="AS85" s="1" t="s">
        <v>16</v>
      </c>
      <c r="AT85" s="1" t="s">
        <v>193</v>
      </c>
      <c r="AU85" s="1">
        <v>39.97</v>
      </c>
      <c r="AV85" s="1">
        <v>7.46</v>
      </c>
      <c r="AW85" s="1">
        <v>107214</v>
      </c>
      <c r="AX85" s="1">
        <v>0.18</v>
      </c>
      <c r="AY85" s="1">
        <v>201802</v>
      </c>
      <c r="AZ85" s="1">
        <v>6</v>
      </c>
      <c r="BA85" s="19" t="s">
        <v>194</v>
      </c>
    </row>
    <row r="86" spans="17:53" x14ac:dyDescent="0.25">
      <c r="Q86" s="109" t="str">
        <f t="shared" si="8"/>
        <v>Janie &amp; JackJJ 18 MAR JJ SPORT</v>
      </c>
      <c r="R86" s="27" t="str">
        <f t="shared" si="9"/>
        <v>2018Janie &amp; JackSpring</v>
      </c>
      <c r="S86" s="343">
        <v>2018</v>
      </c>
      <c r="T86" s="343" t="s">
        <v>32</v>
      </c>
      <c r="U86" s="343" t="s">
        <v>16</v>
      </c>
      <c r="V86" s="343" t="s">
        <v>200</v>
      </c>
      <c r="W86" s="343"/>
      <c r="X86" s="22">
        <f t="shared" si="10"/>
        <v>1</v>
      </c>
      <c r="Y86" s="22"/>
      <c r="AG86" s="27" t="str">
        <f t="shared" si="11"/>
        <v>Janie &amp; JackRetailUSA32</v>
      </c>
      <c r="AH86" s="1" t="s">
        <v>32</v>
      </c>
      <c r="AI86" s="1" t="s">
        <v>5</v>
      </c>
      <c r="AJ86" s="1" t="s">
        <v>307</v>
      </c>
      <c r="AK86" s="1">
        <v>32</v>
      </c>
      <c r="AL86" s="19">
        <v>0.65</v>
      </c>
      <c r="AN86" s="109" t="str">
        <f t="shared" si="12"/>
        <v>Janie &amp; JackUSAWebJJ 18 SPR SO REFRESH</v>
      </c>
      <c r="AO86" s="1" t="s">
        <v>32</v>
      </c>
      <c r="AP86" s="1" t="s">
        <v>15</v>
      </c>
      <c r="AQ86" s="1" t="s">
        <v>307</v>
      </c>
      <c r="AR86" s="1">
        <v>2018</v>
      </c>
      <c r="AS86" s="1" t="s">
        <v>16</v>
      </c>
      <c r="AT86" s="1" t="s">
        <v>169</v>
      </c>
      <c r="AU86" s="1">
        <v>66.86</v>
      </c>
      <c r="AV86" s="1">
        <v>17.34</v>
      </c>
      <c r="AW86" s="1">
        <v>1050</v>
      </c>
      <c r="AX86" s="1">
        <v>0.2</v>
      </c>
      <c r="AY86" s="1">
        <v>201802</v>
      </c>
      <c r="AZ86" s="1">
        <v>9</v>
      </c>
      <c r="BA86" s="19" t="s">
        <v>170</v>
      </c>
    </row>
    <row r="87" spans="17:53" x14ac:dyDescent="0.25">
      <c r="Q87" s="109" t="str">
        <f t="shared" si="8"/>
        <v>Janie &amp; JackJJ 18 MAR SPR 2</v>
      </c>
      <c r="R87" s="27" t="str">
        <f t="shared" si="9"/>
        <v>2018Janie &amp; JackSpring</v>
      </c>
      <c r="S87" s="343">
        <v>2018</v>
      </c>
      <c r="T87" s="343" t="s">
        <v>32</v>
      </c>
      <c r="U87" s="343" t="s">
        <v>16</v>
      </c>
      <c r="V87" s="343" t="s">
        <v>197</v>
      </c>
      <c r="W87" s="343" t="s">
        <v>198</v>
      </c>
      <c r="X87" s="22">
        <f t="shared" si="10"/>
        <v>1</v>
      </c>
      <c r="Y87" s="22"/>
      <c r="AG87" s="27" t="str">
        <f t="shared" si="11"/>
        <v>Janie &amp; JackRetailUSA34</v>
      </c>
      <c r="AH87" s="1" t="s">
        <v>32</v>
      </c>
      <c r="AI87" s="1" t="s">
        <v>5</v>
      </c>
      <c r="AJ87" s="1" t="s">
        <v>307</v>
      </c>
      <c r="AK87" s="1">
        <v>34</v>
      </c>
      <c r="AL87" s="19">
        <v>0.65</v>
      </c>
      <c r="AN87" s="109" t="str">
        <f t="shared" si="12"/>
        <v>Janie &amp; JackUSAWebJJ 18 MAR LAY SWIM</v>
      </c>
      <c r="AO87" s="1" t="s">
        <v>32</v>
      </c>
      <c r="AP87" s="1" t="s">
        <v>15</v>
      </c>
      <c r="AQ87" s="1" t="s">
        <v>307</v>
      </c>
      <c r="AR87" s="1">
        <v>2018</v>
      </c>
      <c r="AS87" s="1" t="s">
        <v>16</v>
      </c>
      <c r="AT87" s="1" t="s">
        <v>174</v>
      </c>
      <c r="AU87" s="1">
        <v>27.86</v>
      </c>
      <c r="AV87" s="1">
        <v>5.21</v>
      </c>
      <c r="AW87" s="1">
        <v>4346</v>
      </c>
      <c r="AX87" s="1">
        <v>0.25</v>
      </c>
      <c r="AY87" s="1">
        <v>201805</v>
      </c>
      <c r="AZ87" s="1">
        <v>9</v>
      </c>
      <c r="BA87" s="19" t="s">
        <v>175</v>
      </c>
    </row>
    <row r="88" spans="17:53" x14ac:dyDescent="0.25">
      <c r="Q88" s="109" t="str">
        <f t="shared" ref="Q88:Q119" si="13">T88&amp;V88</f>
        <v>Janie &amp; JackJJ 18 APR SMR 1</v>
      </c>
      <c r="R88" s="27" t="str">
        <f t="shared" ref="R88:R119" si="14">S88&amp;T88&amp;U88</f>
        <v>2018Janie &amp; JackSummer</v>
      </c>
      <c r="S88" s="343">
        <v>2018</v>
      </c>
      <c r="T88" s="343" t="s">
        <v>32</v>
      </c>
      <c r="U88" s="343" t="s">
        <v>18</v>
      </c>
      <c r="V88" s="343" t="s">
        <v>203</v>
      </c>
      <c r="W88" s="343" t="s">
        <v>204</v>
      </c>
      <c r="X88" s="22">
        <f t="shared" ref="X88:X119" si="15">MATCH(U88,ListSeason,0)</f>
        <v>2</v>
      </c>
      <c r="Y88" s="22"/>
      <c r="AG88" s="27" t="str">
        <f t="shared" si="11"/>
        <v>Janie &amp; JackRetailUSA35</v>
      </c>
      <c r="AH88" s="1" t="s">
        <v>32</v>
      </c>
      <c r="AI88" s="1" t="s">
        <v>5</v>
      </c>
      <c r="AJ88" s="1" t="s">
        <v>307</v>
      </c>
      <c r="AK88" s="1">
        <v>35</v>
      </c>
      <c r="AL88" s="19">
        <v>0.65</v>
      </c>
      <c r="AN88" s="109" t="str">
        <f t="shared" si="12"/>
        <v>Janie &amp; JackUSAWebJJ 18 FEB SPRING LIMITED EDITION</v>
      </c>
      <c r="AO88" s="1" t="s">
        <v>32</v>
      </c>
      <c r="AP88" s="1" t="s">
        <v>15</v>
      </c>
      <c r="AQ88" s="1" t="s">
        <v>307</v>
      </c>
      <c r="AR88" s="1">
        <v>2018</v>
      </c>
      <c r="AS88" s="1" t="s">
        <v>16</v>
      </c>
      <c r="AT88" s="1" t="s">
        <v>199</v>
      </c>
      <c r="AU88" s="1">
        <v>128.13999999999999</v>
      </c>
      <c r="AV88" s="1">
        <v>42.42</v>
      </c>
      <c r="AW88" s="1">
        <v>4439</v>
      </c>
      <c r="AX88" s="1">
        <v>0.2</v>
      </c>
      <c r="AY88" s="1">
        <v>201806</v>
      </c>
      <c r="AZ88" s="1">
        <v>6</v>
      </c>
      <c r="BA88" s="19" t="s">
        <v>371</v>
      </c>
    </row>
    <row r="89" spans="17:53" x14ac:dyDescent="0.25">
      <c r="Q89" s="109" t="str">
        <f t="shared" si="13"/>
        <v>Janie &amp; JackJJ 18 JUN JJ SPORT</v>
      </c>
      <c r="R89" s="27" t="str">
        <f t="shared" si="14"/>
        <v>2018Janie &amp; JackSummer</v>
      </c>
      <c r="S89" s="343">
        <v>2018</v>
      </c>
      <c r="T89" s="343" t="s">
        <v>32</v>
      </c>
      <c r="U89" s="343" t="s">
        <v>18</v>
      </c>
      <c r="V89" s="343" t="s">
        <v>216</v>
      </c>
      <c r="W89" s="343"/>
      <c r="X89" s="22">
        <f t="shared" si="15"/>
        <v>2</v>
      </c>
      <c r="Y89" s="22"/>
      <c r="AG89" s="27" t="str">
        <f t="shared" si="11"/>
        <v>Janie &amp; JackRetailUSA36</v>
      </c>
      <c r="AH89" s="1" t="s">
        <v>32</v>
      </c>
      <c r="AI89" s="1" t="s">
        <v>5</v>
      </c>
      <c r="AJ89" s="1" t="s">
        <v>307</v>
      </c>
      <c r="AK89" s="1">
        <v>36</v>
      </c>
      <c r="AL89" s="19">
        <v>0.65</v>
      </c>
      <c r="AN89" s="109" t="str">
        <f t="shared" si="12"/>
        <v>Janie &amp; JackUSAWebJJ 18 MAR SUMMER 0</v>
      </c>
      <c r="AO89" s="1" t="s">
        <v>32</v>
      </c>
      <c r="AP89" s="1" t="s">
        <v>15</v>
      </c>
      <c r="AQ89" s="1" t="s">
        <v>307</v>
      </c>
      <c r="AR89" s="1">
        <v>2018</v>
      </c>
      <c r="AS89" s="1" t="s">
        <v>18</v>
      </c>
      <c r="AT89" s="1" t="s">
        <v>201</v>
      </c>
      <c r="AU89" s="1">
        <v>36.68</v>
      </c>
      <c r="AV89" s="1">
        <v>6.88</v>
      </c>
      <c r="AW89" s="1">
        <v>55235</v>
      </c>
      <c r="AX89" s="1">
        <v>0.13</v>
      </c>
      <c r="AY89" s="1">
        <v>201808</v>
      </c>
      <c r="AZ89" s="1">
        <v>6</v>
      </c>
      <c r="BA89" s="19" t="s">
        <v>202</v>
      </c>
    </row>
    <row r="90" spans="17:53" x14ac:dyDescent="0.25">
      <c r="Q90" s="109" t="str">
        <f t="shared" si="13"/>
        <v>Janie &amp; JackJJ 18 JUN TRANS 1</v>
      </c>
      <c r="R90" s="27" t="str">
        <f t="shared" si="14"/>
        <v>2018Janie &amp; JackSummer</v>
      </c>
      <c r="S90" s="343">
        <v>2018</v>
      </c>
      <c r="T90" s="343" t="s">
        <v>32</v>
      </c>
      <c r="U90" s="343" t="s">
        <v>18</v>
      </c>
      <c r="V90" s="343" t="s">
        <v>214</v>
      </c>
      <c r="W90" s="343" t="s">
        <v>215</v>
      </c>
      <c r="X90" s="22">
        <f t="shared" si="15"/>
        <v>2</v>
      </c>
      <c r="Y90" s="22"/>
      <c r="AG90" s="27" t="str">
        <f t="shared" si="11"/>
        <v>Janie &amp; JackRetailUSA37</v>
      </c>
      <c r="AH90" s="1" t="s">
        <v>32</v>
      </c>
      <c r="AI90" s="1" t="s">
        <v>5</v>
      </c>
      <c r="AJ90" s="1" t="s">
        <v>307</v>
      </c>
      <c r="AK90" s="1">
        <v>37</v>
      </c>
      <c r="AL90" s="19">
        <v>0.65</v>
      </c>
      <c r="AN90" s="109" t="str">
        <f t="shared" si="12"/>
        <v>Janie &amp; JackUSAWebJJ 18 APR SMR 1</v>
      </c>
      <c r="AO90" s="1" t="s">
        <v>32</v>
      </c>
      <c r="AP90" s="1" t="s">
        <v>15</v>
      </c>
      <c r="AQ90" s="1" t="s">
        <v>307</v>
      </c>
      <c r="AR90" s="1">
        <v>2018</v>
      </c>
      <c r="AS90" s="1" t="s">
        <v>18</v>
      </c>
      <c r="AT90" s="1" t="s">
        <v>203</v>
      </c>
      <c r="AU90" s="1">
        <v>37.07</v>
      </c>
      <c r="AV90" s="1">
        <v>7.04</v>
      </c>
      <c r="AW90" s="1">
        <v>85032</v>
      </c>
      <c r="AX90" s="1">
        <v>0.12</v>
      </c>
      <c r="AY90" s="1">
        <v>201810</v>
      </c>
      <c r="AZ90" s="1">
        <v>6</v>
      </c>
      <c r="BA90" s="19" t="s">
        <v>204</v>
      </c>
    </row>
    <row r="91" spans="17:53" x14ac:dyDescent="0.25">
      <c r="Q91" s="109" t="str">
        <f t="shared" si="13"/>
        <v>Janie &amp; JackJJ 18 MAR SUMMER 0</v>
      </c>
      <c r="R91" s="27" t="str">
        <f t="shared" si="14"/>
        <v>2018Janie &amp; JackSummer</v>
      </c>
      <c r="S91" s="343">
        <v>2018</v>
      </c>
      <c r="T91" s="343" t="s">
        <v>32</v>
      </c>
      <c r="U91" s="343" t="s">
        <v>18</v>
      </c>
      <c r="V91" s="343" t="s">
        <v>201</v>
      </c>
      <c r="W91" s="343" t="s">
        <v>202</v>
      </c>
      <c r="X91" s="22">
        <f t="shared" si="15"/>
        <v>2</v>
      </c>
      <c r="Y91" s="22"/>
      <c r="AG91" s="27" t="str">
        <f t="shared" si="11"/>
        <v>Janie &amp; JackRetailUSA38</v>
      </c>
      <c r="AH91" s="1" t="s">
        <v>32</v>
      </c>
      <c r="AI91" s="1" t="s">
        <v>5</v>
      </c>
      <c r="AJ91" s="1" t="s">
        <v>307</v>
      </c>
      <c r="AK91" s="1">
        <v>38</v>
      </c>
      <c r="AL91" s="19">
        <v>0.65</v>
      </c>
      <c r="AN91" s="109" t="str">
        <f t="shared" si="12"/>
        <v>Janie &amp; JackUSAWebJJ 18 SMR BASICS</v>
      </c>
      <c r="AO91" s="1" t="s">
        <v>32</v>
      </c>
      <c r="AP91" s="1" t="s">
        <v>15</v>
      </c>
      <c r="AQ91" s="1" t="s">
        <v>307</v>
      </c>
      <c r="AR91" s="1">
        <v>2018</v>
      </c>
      <c r="AS91" s="1" t="s">
        <v>18</v>
      </c>
      <c r="AT91" s="1" t="s">
        <v>171</v>
      </c>
      <c r="AU91" s="1">
        <v>42.83</v>
      </c>
      <c r="AV91" s="1">
        <v>7.71</v>
      </c>
      <c r="AW91" s="1">
        <v>3615</v>
      </c>
      <c r="AX91" s="1">
        <v>0.2</v>
      </c>
      <c r="AY91" s="1">
        <v>201810</v>
      </c>
      <c r="AZ91" s="1">
        <v>9</v>
      </c>
      <c r="BA91" s="19" t="s">
        <v>172</v>
      </c>
    </row>
    <row r="92" spans="17:53" x14ac:dyDescent="0.25">
      <c r="Q92" s="109" t="str">
        <f t="shared" si="13"/>
        <v>Janie &amp; JackJJ 18 MAY 4TH OF JULY</v>
      </c>
      <c r="R92" s="27" t="str">
        <f t="shared" si="14"/>
        <v>2018Janie &amp; JackSummer</v>
      </c>
      <c r="S92" s="343">
        <v>2018</v>
      </c>
      <c r="T92" s="343" t="s">
        <v>32</v>
      </c>
      <c r="U92" s="343" t="s">
        <v>18</v>
      </c>
      <c r="V92" s="343" t="s">
        <v>207</v>
      </c>
      <c r="W92" s="343" t="s">
        <v>208</v>
      </c>
      <c r="X92" s="22">
        <f t="shared" si="15"/>
        <v>2</v>
      </c>
      <c r="Y92" s="22"/>
      <c r="AG92" s="27" t="str">
        <f t="shared" si="11"/>
        <v>Janie &amp; JackRetailUSA39</v>
      </c>
      <c r="AH92" s="1" t="s">
        <v>32</v>
      </c>
      <c r="AI92" s="1" t="s">
        <v>5</v>
      </c>
      <c r="AJ92" s="1" t="s">
        <v>307</v>
      </c>
      <c r="AK92" s="1">
        <v>39</v>
      </c>
      <c r="AL92" s="19">
        <v>0.65</v>
      </c>
      <c r="AN92" s="109" t="str">
        <f t="shared" si="12"/>
        <v>Janie &amp; JackUSAWebJJ 18 MAR JJ SPORT</v>
      </c>
      <c r="AO92" s="1" t="s">
        <v>32</v>
      </c>
      <c r="AP92" s="1" t="s">
        <v>15</v>
      </c>
      <c r="AQ92" s="1" t="s">
        <v>307</v>
      </c>
      <c r="AR92" s="1">
        <v>2018</v>
      </c>
      <c r="AS92" s="1" t="s">
        <v>18</v>
      </c>
      <c r="AT92" s="1" t="s">
        <v>200</v>
      </c>
      <c r="AU92" s="1">
        <v>38.049999999999997</v>
      </c>
      <c r="AV92" s="1">
        <v>7.29</v>
      </c>
      <c r="AW92" s="1">
        <v>22303</v>
      </c>
      <c r="AX92" s="1">
        <v>0.2</v>
      </c>
      <c r="AY92" s="1">
        <v>201808</v>
      </c>
      <c r="AZ92" s="1">
        <v>6</v>
      </c>
      <c r="BA92" s="19" t="s">
        <v>371</v>
      </c>
    </row>
    <row r="93" spans="17:53" x14ac:dyDescent="0.25">
      <c r="Q93" s="109" t="str">
        <f t="shared" si="13"/>
        <v>Janie &amp; JackJJ 18 MAY LIBERTY COLLECTION</v>
      </c>
      <c r="R93" s="27" t="str">
        <f t="shared" si="14"/>
        <v>2018Janie &amp; JackSummer</v>
      </c>
      <c r="S93" s="343">
        <v>2018</v>
      </c>
      <c r="T93" s="343" t="s">
        <v>32</v>
      </c>
      <c r="U93" s="343" t="s">
        <v>18</v>
      </c>
      <c r="V93" s="343" t="s">
        <v>209</v>
      </c>
      <c r="W93" s="343"/>
      <c r="X93" s="22">
        <f t="shared" si="15"/>
        <v>2</v>
      </c>
      <c r="Y93" s="22"/>
      <c r="AG93" s="27"/>
      <c r="AH93" s="1"/>
      <c r="AI93" s="1"/>
      <c r="AJ93" s="1"/>
      <c r="AK93" s="1"/>
      <c r="AL93" s="19"/>
      <c r="AN93" s="109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9"/>
    </row>
    <row r="94" spans="17:53" x14ac:dyDescent="0.25">
      <c r="Q94" s="109" t="str">
        <f t="shared" si="13"/>
        <v>Janie &amp; JackJJ 18 MAY SPORT</v>
      </c>
      <c r="R94" s="27" t="str">
        <f t="shared" si="14"/>
        <v>2018Janie &amp; JackSummer</v>
      </c>
      <c r="S94" s="343">
        <v>2018</v>
      </c>
      <c r="T94" s="343" t="s">
        <v>32</v>
      </c>
      <c r="U94" s="343" t="s">
        <v>18</v>
      </c>
      <c r="V94" s="343" t="s">
        <v>359</v>
      </c>
      <c r="W94" s="343"/>
      <c r="X94" s="22">
        <f t="shared" si="15"/>
        <v>2</v>
      </c>
      <c r="Y94" s="22"/>
      <c r="Z94" s="1"/>
      <c r="AA94" s="1"/>
      <c r="AB94" s="131"/>
      <c r="AG94" s="27"/>
      <c r="AH94" s="1"/>
      <c r="AI94" s="1"/>
      <c r="AJ94" s="1"/>
      <c r="AK94" s="1"/>
      <c r="AL94" s="19"/>
      <c r="AN94" s="109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9"/>
    </row>
    <row r="95" spans="17:53" x14ac:dyDescent="0.25">
      <c r="Q95" s="109" t="str">
        <f t="shared" si="13"/>
        <v>Janie &amp; JackJJ 18 MAY SUMMER 2</v>
      </c>
      <c r="R95" s="27" t="str">
        <f t="shared" si="14"/>
        <v>2018Janie &amp; JackSummer</v>
      </c>
      <c r="S95" s="343">
        <v>2018</v>
      </c>
      <c r="T95" s="343" t="s">
        <v>32</v>
      </c>
      <c r="U95" s="343" t="s">
        <v>18</v>
      </c>
      <c r="V95" s="343" t="s">
        <v>205</v>
      </c>
      <c r="W95" s="343" t="s">
        <v>206</v>
      </c>
      <c r="X95" s="22">
        <f t="shared" si="15"/>
        <v>2</v>
      </c>
      <c r="Y95" s="22"/>
      <c r="AG95" s="27"/>
      <c r="AH95" s="1"/>
      <c r="AI95" s="1"/>
      <c r="AJ95" s="1"/>
      <c r="AK95" s="1"/>
      <c r="AL95" s="19"/>
      <c r="AN95" s="109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9"/>
    </row>
    <row r="96" spans="17:53" x14ac:dyDescent="0.25">
      <c r="Q96" s="109" t="str">
        <f t="shared" si="13"/>
        <v>Janie &amp; JackJJ 18 MAY SUMMER 3</v>
      </c>
      <c r="R96" s="27" t="str">
        <f t="shared" si="14"/>
        <v>2018Janie &amp; JackSummer</v>
      </c>
      <c r="S96" s="343">
        <v>2018</v>
      </c>
      <c r="T96" s="343" t="s">
        <v>32</v>
      </c>
      <c r="U96" s="343" t="s">
        <v>18</v>
      </c>
      <c r="V96" s="343" t="s">
        <v>210</v>
      </c>
      <c r="W96" s="343" t="s">
        <v>211</v>
      </c>
      <c r="X96" s="22">
        <f t="shared" si="15"/>
        <v>2</v>
      </c>
      <c r="Y96" s="22"/>
      <c r="AG96" s="27" t="str">
        <f t="shared" si="11"/>
        <v>Janie &amp; JackRetailUSA41</v>
      </c>
      <c r="AH96" s="1" t="s">
        <v>32</v>
      </c>
      <c r="AI96" s="1" t="s">
        <v>5</v>
      </c>
      <c r="AJ96" s="1" t="s">
        <v>307</v>
      </c>
      <c r="AK96" s="1">
        <v>41</v>
      </c>
      <c r="AL96" s="19">
        <v>0.65</v>
      </c>
      <c r="AN96" s="109" t="str">
        <f t="shared" si="12"/>
        <v>Janie &amp; JackUSAWebJJ 18 MAY 4TH OF JULY</v>
      </c>
      <c r="AO96" s="1" t="s">
        <v>32</v>
      </c>
      <c r="AP96" s="1" t="s">
        <v>15</v>
      </c>
      <c r="AQ96" s="1" t="s">
        <v>307</v>
      </c>
      <c r="AR96" s="1">
        <v>2018</v>
      </c>
      <c r="AS96" s="1" t="s">
        <v>18</v>
      </c>
      <c r="AT96" s="1" t="s">
        <v>207</v>
      </c>
      <c r="AU96" s="1">
        <v>35.36</v>
      </c>
      <c r="AV96" s="1">
        <v>6.68</v>
      </c>
      <c r="AW96" s="1">
        <v>24726</v>
      </c>
      <c r="AX96" s="1">
        <v>0.11</v>
      </c>
      <c r="AY96" s="1">
        <v>201812</v>
      </c>
      <c r="AZ96" s="1">
        <v>6</v>
      </c>
      <c r="BA96" s="19" t="s">
        <v>208</v>
      </c>
    </row>
    <row r="97" spans="17:53" x14ac:dyDescent="0.25">
      <c r="Q97" s="109" t="str">
        <f t="shared" si="13"/>
        <v>Janie &amp; JackJJ 18 MAY SUMMER 4</v>
      </c>
      <c r="R97" s="27" t="str">
        <f t="shared" si="14"/>
        <v>2018Janie &amp; JackSummer</v>
      </c>
      <c r="S97" s="343">
        <v>2018</v>
      </c>
      <c r="T97" s="343" t="s">
        <v>32</v>
      </c>
      <c r="U97" s="343" t="s">
        <v>18</v>
      </c>
      <c r="V97" s="343" t="s">
        <v>212</v>
      </c>
      <c r="W97" s="343" t="s">
        <v>213</v>
      </c>
      <c r="X97" s="22">
        <f t="shared" si="15"/>
        <v>2</v>
      </c>
      <c r="Y97" s="22"/>
      <c r="AG97" s="27" t="str">
        <f t="shared" si="11"/>
        <v>Janie &amp; JackRetailUSA42</v>
      </c>
      <c r="AH97" s="1" t="s">
        <v>32</v>
      </c>
      <c r="AI97" s="1" t="s">
        <v>5</v>
      </c>
      <c r="AJ97" s="1" t="s">
        <v>307</v>
      </c>
      <c r="AK97" s="1">
        <v>42</v>
      </c>
      <c r="AL97" s="19">
        <v>0.65</v>
      </c>
      <c r="AN97" s="109" t="str">
        <f t="shared" si="12"/>
        <v>Janie &amp; JackUSAWebJJ 18 MAY TRANS GIFT LAY</v>
      </c>
      <c r="AO97" s="1" t="s">
        <v>32</v>
      </c>
      <c r="AP97" s="1" t="s">
        <v>15</v>
      </c>
      <c r="AQ97" s="1" t="s">
        <v>307</v>
      </c>
      <c r="AR97" s="1">
        <v>2018</v>
      </c>
      <c r="AS97" s="1" t="s">
        <v>18</v>
      </c>
      <c r="AT97" s="1" t="s">
        <v>217</v>
      </c>
      <c r="AU97" s="1">
        <v>35.65</v>
      </c>
      <c r="AV97" s="1">
        <v>7.84</v>
      </c>
      <c r="AW97" s="1">
        <v>5266</v>
      </c>
      <c r="AX97" s="1">
        <v>0.23</v>
      </c>
      <c r="AY97" s="1">
        <v>201812</v>
      </c>
      <c r="AZ97" s="1">
        <v>9</v>
      </c>
      <c r="BA97" s="19" t="s">
        <v>218</v>
      </c>
    </row>
    <row r="98" spans="17:53" x14ac:dyDescent="0.25">
      <c r="Q98" s="109" t="str">
        <f t="shared" si="13"/>
        <v>Janie &amp; JackJJ 18 MAY TRANS GIFT LAY</v>
      </c>
      <c r="R98" s="27" t="str">
        <f t="shared" si="14"/>
        <v>2018Janie &amp; JackSummer</v>
      </c>
      <c r="S98" s="343">
        <v>2018</v>
      </c>
      <c r="T98" s="343" t="s">
        <v>32</v>
      </c>
      <c r="U98" s="343" t="s">
        <v>18</v>
      </c>
      <c r="V98" s="343" t="s">
        <v>217</v>
      </c>
      <c r="W98" s="343" t="s">
        <v>218</v>
      </c>
      <c r="X98" s="22">
        <f t="shared" si="15"/>
        <v>2</v>
      </c>
      <c r="Y98" s="22"/>
      <c r="AG98" s="27" t="str">
        <f t="shared" si="11"/>
        <v>Janie &amp; JackRetailUSA43</v>
      </c>
      <c r="AH98" s="1" t="s">
        <v>32</v>
      </c>
      <c r="AI98" s="1" t="s">
        <v>5</v>
      </c>
      <c r="AJ98" s="1" t="s">
        <v>307</v>
      </c>
      <c r="AK98" s="1">
        <v>43</v>
      </c>
      <c r="AL98" s="19">
        <v>0.65</v>
      </c>
      <c r="AN98" s="109" t="str">
        <f t="shared" si="12"/>
        <v>Janie &amp; JackUSAWebJJ 18 MAY SUMMER 3</v>
      </c>
      <c r="AO98" s="1" t="s">
        <v>32</v>
      </c>
      <c r="AP98" s="1" t="s">
        <v>15</v>
      </c>
      <c r="AQ98" s="1" t="s">
        <v>307</v>
      </c>
      <c r="AR98" s="1">
        <v>2018</v>
      </c>
      <c r="AS98" s="1" t="s">
        <v>18</v>
      </c>
      <c r="AT98" s="1" t="s">
        <v>210</v>
      </c>
      <c r="AU98" s="1">
        <v>37.270000000000003</v>
      </c>
      <c r="AV98" s="1">
        <v>6.87</v>
      </c>
      <c r="AW98" s="1">
        <v>81821</v>
      </c>
      <c r="AX98" s="1">
        <v>0.1</v>
      </c>
      <c r="AY98" s="1">
        <v>201814</v>
      </c>
      <c r="AZ98" s="1">
        <v>6</v>
      </c>
      <c r="BA98" s="19" t="s">
        <v>211</v>
      </c>
    </row>
    <row r="99" spans="17:53" x14ac:dyDescent="0.25">
      <c r="Q99" s="109" t="str">
        <f t="shared" si="13"/>
        <v>Janie &amp; JackJJ 18 AUG FALL 0</v>
      </c>
      <c r="R99" s="27" t="str">
        <f t="shared" si="14"/>
        <v>2018Janie &amp; JackFall</v>
      </c>
      <c r="S99" s="343">
        <v>2018</v>
      </c>
      <c r="T99" s="343" t="s">
        <v>32</v>
      </c>
      <c r="U99" s="343" t="s">
        <v>33</v>
      </c>
      <c r="V99" s="343" t="s">
        <v>158</v>
      </c>
      <c r="W99" s="343" t="s">
        <v>159</v>
      </c>
      <c r="X99" s="22">
        <f t="shared" si="15"/>
        <v>3</v>
      </c>
      <c r="Y99" s="22"/>
      <c r="AG99" s="27" t="str">
        <f t="shared" si="11"/>
        <v>Janie &amp; JackRetailUSA44</v>
      </c>
      <c r="AH99" s="1" t="s">
        <v>32</v>
      </c>
      <c r="AI99" s="1" t="s">
        <v>5</v>
      </c>
      <c r="AJ99" s="1" t="s">
        <v>307</v>
      </c>
      <c r="AK99" s="1">
        <v>44</v>
      </c>
      <c r="AL99" s="19">
        <v>0.65</v>
      </c>
      <c r="AN99" s="109" t="str">
        <f t="shared" si="12"/>
        <v>Janie &amp; JackUSAWebJJ 18 MAY SPORT</v>
      </c>
      <c r="AO99" s="1" t="s">
        <v>32</v>
      </c>
      <c r="AP99" s="1" t="s">
        <v>15</v>
      </c>
      <c r="AQ99" s="1" t="s">
        <v>307</v>
      </c>
      <c r="AR99" s="1">
        <v>2018</v>
      </c>
      <c r="AS99" s="1" t="s">
        <v>18</v>
      </c>
      <c r="AT99" s="1" t="s">
        <v>359</v>
      </c>
      <c r="AU99" s="1">
        <v>28.25</v>
      </c>
      <c r="AV99" s="1">
        <v>4.91</v>
      </c>
      <c r="AW99" s="1">
        <v>18869</v>
      </c>
      <c r="AX99" s="1">
        <v>7.0000000000000007E-2</v>
      </c>
      <c r="AY99" s="1">
        <v>201814</v>
      </c>
      <c r="AZ99" s="1">
        <v>6</v>
      </c>
      <c r="BA99" s="19" t="s">
        <v>371</v>
      </c>
    </row>
    <row r="100" spans="17:53" x14ac:dyDescent="0.25">
      <c r="Q100" s="109" t="str">
        <f t="shared" si="13"/>
        <v>Janie &amp; JackJJ 18 AUG FALL 1</v>
      </c>
      <c r="R100" s="27" t="str">
        <f t="shared" si="14"/>
        <v>2018Janie &amp; JackFall</v>
      </c>
      <c r="S100" s="343">
        <v>2018</v>
      </c>
      <c r="T100" s="343" t="s">
        <v>32</v>
      </c>
      <c r="U100" s="343" t="s">
        <v>33</v>
      </c>
      <c r="V100" s="343" t="s">
        <v>464</v>
      </c>
      <c r="W100" s="343" t="s">
        <v>465</v>
      </c>
      <c r="X100" s="22">
        <f t="shared" si="15"/>
        <v>3</v>
      </c>
      <c r="Y100" s="22"/>
      <c r="AG100" s="27" t="str">
        <f t="shared" si="11"/>
        <v>Janie &amp; JackRetailUSA45</v>
      </c>
      <c r="AH100" s="1" t="s">
        <v>32</v>
      </c>
      <c r="AI100" s="1" t="s">
        <v>5</v>
      </c>
      <c r="AJ100" s="1" t="s">
        <v>307</v>
      </c>
      <c r="AK100" s="1">
        <v>45</v>
      </c>
      <c r="AL100" s="19">
        <v>0.65</v>
      </c>
      <c r="AN100" s="109" t="str">
        <f t="shared" si="12"/>
        <v>Janie &amp; JackUSAWebJJ 18 MAY SUMMER 4</v>
      </c>
      <c r="AO100" s="1" t="s">
        <v>32</v>
      </c>
      <c r="AP100" s="1" t="s">
        <v>15</v>
      </c>
      <c r="AQ100" s="1" t="s">
        <v>307</v>
      </c>
      <c r="AR100" s="1">
        <v>2018</v>
      </c>
      <c r="AS100" s="1" t="s">
        <v>18</v>
      </c>
      <c r="AT100" s="1" t="s">
        <v>212</v>
      </c>
      <c r="AU100" s="1">
        <v>37.36</v>
      </c>
      <c r="AV100" s="1">
        <v>6.58</v>
      </c>
      <c r="AW100" s="1">
        <v>49615</v>
      </c>
      <c r="AX100" s="1">
        <v>7.0000000000000007E-2</v>
      </c>
      <c r="AY100" s="1">
        <v>201816</v>
      </c>
      <c r="AZ100" s="1">
        <v>6</v>
      </c>
      <c r="BA100" s="19" t="s">
        <v>213</v>
      </c>
    </row>
    <row r="101" spans="17:53" x14ac:dyDescent="0.25">
      <c r="Q101" s="109" t="str">
        <f t="shared" si="13"/>
        <v>Janie &amp; JackJJ 18 AUG HALLOWEEN</v>
      </c>
      <c r="R101" s="27" t="str">
        <f t="shared" si="14"/>
        <v>2018Janie &amp; JackFall</v>
      </c>
      <c r="S101" s="343">
        <v>2018</v>
      </c>
      <c r="T101" s="343" t="s">
        <v>32</v>
      </c>
      <c r="U101" s="343" t="s">
        <v>33</v>
      </c>
      <c r="V101" s="343" t="s">
        <v>466</v>
      </c>
      <c r="W101" s="343" t="s">
        <v>467</v>
      </c>
      <c r="X101" s="22">
        <f t="shared" si="15"/>
        <v>3</v>
      </c>
      <c r="Y101" s="22"/>
      <c r="AG101" s="27" t="str">
        <f t="shared" si="11"/>
        <v>Janie &amp; JackRetailUSA46</v>
      </c>
      <c r="AH101" s="1" t="s">
        <v>32</v>
      </c>
      <c r="AI101" s="1" t="s">
        <v>5</v>
      </c>
      <c r="AJ101" s="1" t="s">
        <v>307</v>
      </c>
      <c r="AK101" s="1">
        <v>46</v>
      </c>
      <c r="AL101" s="19">
        <v>0.65</v>
      </c>
      <c r="AN101" s="109" t="str">
        <f t="shared" si="12"/>
        <v>Janie &amp; JackUSAWebJJ 18 JUN TRANS 1</v>
      </c>
      <c r="AO101" s="1" t="s">
        <v>32</v>
      </c>
      <c r="AP101" s="1" t="s">
        <v>15</v>
      </c>
      <c r="AQ101" s="1" t="s">
        <v>307</v>
      </c>
      <c r="AR101" s="1">
        <v>2018</v>
      </c>
      <c r="AS101" s="1" t="s">
        <v>18</v>
      </c>
      <c r="AT101" s="1" t="s">
        <v>214</v>
      </c>
      <c r="AU101" s="1">
        <v>39.700000000000003</v>
      </c>
      <c r="AV101" s="1">
        <v>7.44</v>
      </c>
      <c r="AW101" s="1">
        <v>77707</v>
      </c>
      <c r="AX101" s="1">
        <v>0.11</v>
      </c>
      <c r="AY101" s="1">
        <v>201818</v>
      </c>
      <c r="AZ101" s="1">
        <v>6</v>
      </c>
      <c r="BA101" s="19" t="s">
        <v>215</v>
      </c>
    </row>
    <row r="102" spans="17:53" x14ac:dyDescent="0.25">
      <c r="Q102" s="109" t="str">
        <f t="shared" si="13"/>
        <v>Janie &amp; JackJJ 18 AUG SPORT</v>
      </c>
      <c r="R102" s="27" t="str">
        <f t="shared" si="14"/>
        <v>2018Janie &amp; JackFall</v>
      </c>
      <c r="S102" s="343">
        <v>2018</v>
      </c>
      <c r="T102" s="343" t="s">
        <v>32</v>
      </c>
      <c r="U102" s="343" t="s">
        <v>33</v>
      </c>
      <c r="V102" s="343" t="s">
        <v>468</v>
      </c>
      <c r="W102" s="343"/>
      <c r="X102" s="22">
        <f t="shared" si="15"/>
        <v>3</v>
      </c>
      <c r="Y102" s="22"/>
      <c r="AG102" s="27" t="str">
        <f t="shared" si="11"/>
        <v>Janie &amp; JackRetailUSA47</v>
      </c>
      <c r="AH102" s="1" t="s">
        <v>32</v>
      </c>
      <c r="AI102" s="1" t="s">
        <v>5</v>
      </c>
      <c r="AJ102" s="1" t="s">
        <v>307</v>
      </c>
      <c r="AK102" s="1">
        <v>47</v>
      </c>
      <c r="AL102" s="19">
        <v>0.65</v>
      </c>
      <c r="AN102" s="109" t="str">
        <f t="shared" si="12"/>
        <v>Janie &amp; JackUSAWebJJ 18 JULY TRANS 2</v>
      </c>
      <c r="AO102" s="1" t="s">
        <v>32</v>
      </c>
      <c r="AP102" s="1" t="s">
        <v>15</v>
      </c>
      <c r="AQ102" s="1" t="s">
        <v>307</v>
      </c>
      <c r="AR102" s="1">
        <v>2018</v>
      </c>
      <c r="AS102" s="1" t="s">
        <v>18</v>
      </c>
      <c r="AT102" s="1" t="s">
        <v>154</v>
      </c>
      <c r="AU102" s="1">
        <v>36.25</v>
      </c>
      <c r="AV102" s="1">
        <v>6.57</v>
      </c>
      <c r="AW102" s="1">
        <v>59768</v>
      </c>
      <c r="AX102" s="1">
        <v>0.08</v>
      </c>
      <c r="AY102" s="1">
        <v>201821</v>
      </c>
      <c r="AZ102" s="1">
        <v>6</v>
      </c>
      <c r="BA102" s="19" t="s">
        <v>155</v>
      </c>
    </row>
    <row r="103" spans="17:53" x14ac:dyDescent="0.25">
      <c r="Q103" s="109" t="str">
        <f t="shared" si="13"/>
        <v>Janie &amp; JackJJ 18 FAL BASICS</v>
      </c>
      <c r="R103" s="27" t="str">
        <f t="shared" si="14"/>
        <v>2018Janie &amp; JackFall</v>
      </c>
      <c r="S103" s="343">
        <v>2018</v>
      </c>
      <c r="T103" s="343" t="s">
        <v>32</v>
      </c>
      <c r="U103" s="343" t="s">
        <v>33</v>
      </c>
      <c r="V103" s="343" t="s">
        <v>469</v>
      </c>
      <c r="W103" s="343" t="s">
        <v>470</v>
      </c>
      <c r="X103" s="22">
        <f t="shared" si="15"/>
        <v>3</v>
      </c>
      <c r="Y103" s="22"/>
      <c r="AG103" s="27" t="str">
        <f t="shared" si="11"/>
        <v>Janie &amp; JackRetailUSA48</v>
      </c>
      <c r="AH103" s="1" t="s">
        <v>32</v>
      </c>
      <c r="AI103" s="1" t="s">
        <v>5</v>
      </c>
      <c r="AJ103" s="1" t="s">
        <v>307</v>
      </c>
      <c r="AK103" s="1">
        <v>48</v>
      </c>
      <c r="AL103" s="19">
        <v>0.65</v>
      </c>
      <c r="AN103" s="109" t="str">
        <f t="shared" si="12"/>
        <v>Janie &amp; JackUSAWebJJ 18 LAY SIGNATURE 2</v>
      </c>
      <c r="AO103" s="1" t="s">
        <v>32</v>
      </c>
      <c r="AP103" s="1" t="s">
        <v>15</v>
      </c>
      <c r="AQ103" s="1" t="s">
        <v>307</v>
      </c>
      <c r="AR103" s="1">
        <v>2018</v>
      </c>
      <c r="AS103" s="1" t="s">
        <v>18</v>
      </c>
      <c r="AT103" s="1" t="s">
        <v>180</v>
      </c>
      <c r="AU103" s="1">
        <v>28.44</v>
      </c>
      <c r="AV103" s="1">
        <v>5.66</v>
      </c>
      <c r="AW103" s="1">
        <v>26727</v>
      </c>
      <c r="AX103" s="1">
        <v>0.06</v>
      </c>
      <c r="AY103" s="1">
        <v>201823</v>
      </c>
      <c r="AZ103" s="1">
        <v>13</v>
      </c>
      <c r="BA103" s="19" t="s">
        <v>371</v>
      </c>
    </row>
    <row r="104" spans="17:53" x14ac:dyDescent="0.25">
      <c r="Q104" s="109" t="str">
        <f t="shared" si="13"/>
        <v>Janie &amp; JackJJ 18 JULY FALL GIFT LAY</v>
      </c>
      <c r="R104" s="27" t="str">
        <f t="shared" si="14"/>
        <v>2018Janie &amp; JackFall</v>
      </c>
      <c r="S104" s="343">
        <v>2018</v>
      </c>
      <c r="T104" s="343" t="s">
        <v>32</v>
      </c>
      <c r="U104" s="343" t="s">
        <v>33</v>
      </c>
      <c r="V104" s="343" t="s">
        <v>160</v>
      </c>
      <c r="W104" s="343"/>
      <c r="X104" s="22">
        <f t="shared" si="15"/>
        <v>3</v>
      </c>
      <c r="Y104" s="22"/>
      <c r="AG104" s="27" t="str">
        <f t="shared" si="11"/>
        <v>Janie &amp; JackRetailUSA49</v>
      </c>
      <c r="AH104" s="1" t="s">
        <v>32</v>
      </c>
      <c r="AI104" s="1" t="s">
        <v>5</v>
      </c>
      <c r="AJ104" s="1" t="s">
        <v>307</v>
      </c>
      <c r="AK104" s="1">
        <v>49</v>
      </c>
      <c r="AL104" s="19">
        <v>0.65</v>
      </c>
      <c r="AN104" s="109" t="str">
        <f t="shared" si="12"/>
        <v>Janie &amp; JackUSAWebJJ 18 JULY SO SB 2</v>
      </c>
      <c r="AO104" s="1" t="s">
        <v>32</v>
      </c>
      <c r="AP104" s="1" t="s">
        <v>15</v>
      </c>
      <c r="AQ104" s="1" t="s">
        <v>307</v>
      </c>
      <c r="AR104" s="1">
        <v>2018</v>
      </c>
      <c r="AS104" s="1" t="s">
        <v>18</v>
      </c>
      <c r="AT104" s="1" t="s">
        <v>178</v>
      </c>
      <c r="AU104" s="1">
        <v>73.66</v>
      </c>
      <c r="AV104" s="1">
        <v>15.83</v>
      </c>
      <c r="AW104" s="1">
        <v>22350</v>
      </c>
      <c r="AX104" s="1">
        <v>0.1</v>
      </c>
      <c r="AY104" s="1">
        <v>201823</v>
      </c>
      <c r="AZ104" s="1">
        <v>13</v>
      </c>
      <c r="BA104" s="19" t="s">
        <v>179</v>
      </c>
    </row>
    <row r="105" spans="17:53" x14ac:dyDescent="0.25">
      <c r="Q105" s="109" t="str">
        <f t="shared" si="13"/>
        <v>Janie &amp; JackJJ 18 JULY TRANS 2</v>
      </c>
      <c r="R105" s="27" t="str">
        <f t="shared" si="14"/>
        <v>2018Janie &amp; JackFall</v>
      </c>
      <c r="S105" s="343">
        <v>2018</v>
      </c>
      <c r="T105" s="343" t="s">
        <v>32</v>
      </c>
      <c r="U105" s="343" t="s">
        <v>33</v>
      </c>
      <c r="V105" s="343" t="s">
        <v>154</v>
      </c>
      <c r="W105" s="343" t="s">
        <v>155</v>
      </c>
      <c r="X105" s="22">
        <f t="shared" si="15"/>
        <v>3</v>
      </c>
      <c r="Y105" s="22"/>
      <c r="AG105" s="27" t="str">
        <f t="shared" si="11"/>
        <v>Janie &amp; JackRetailUSA50</v>
      </c>
      <c r="AH105" s="1" t="s">
        <v>32</v>
      </c>
      <c r="AI105" s="1" t="s">
        <v>5</v>
      </c>
      <c r="AJ105" s="1" t="s">
        <v>307</v>
      </c>
      <c r="AK105" s="1">
        <v>50</v>
      </c>
      <c r="AL105" s="19">
        <v>0.65</v>
      </c>
      <c r="AN105" s="109" t="str">
        <f t="shared" si="12"/>
        <v>Janie &amp; JackUSAWebJJ 18 JULY TRANS 3</v>
      </c>
      <c r="AO105" s="1" t="s">
        <v>32</v>
      </c>
      <c r="AP105" s="1" t="s">
        <v>15</v>
      </c>
      <c r="AQ105" s="1" t="s">
        <v>307</v>
      </c>
      <c r="AR105" s="1">
        <v>2018</v>
      </c>
      <c r="AS105" s="1" t="s">
        <v>18</v>
      </c>
      <c r="AT105" s="1" t="s">
        <v>156</v>
      </c>
      <c r="AU105" s="1">
        <v>44.06</v>
      </c>
      <c r="AV105" s="1">
        <v>8.2799999999999994</v>
      </c>
      <c r="AW105" s="1">
        <v>29911</v>
      </c>
      <c r="AX105" s="1">
        <v>0.06</v>
      </c>
      <c r="AY105" s="1">
        <v>201823</v>
      </c>
      <c r="AZ105" s="1">
        <v>6</v>
      </c>
      <c r="BA105" s="19" t="s">
        <v>157</v>
      </c>
    </row>
    <row r="106" spans="17:53" x14ac:dyDescent="0.25">
      <c r="Q106" s="109" t="str">
        <f t="shared" si="13"/>
        <v>Janie &amp; JackJJ 18 JULY TRANS 3</v>
      </c>
      <c r="R106" s="27" t="str">
        <f t="shared" si="14"/>
        <v>2018Janie &amp; JackFall</v>
      </c>
      <c r="S106" s="343">
        <v>2018</v>
      </c>
      <c r="T106" s="343" t="s">
        <v>32</v>
      </c>
      <c r="U106" s="343" t="s">
        <v>33</v>
      </c>
      <c r="V106" s="343" t="s">
        <v>156</v>
      </c>
      <c r="W106" s="343" t="s">
        <v>157</v>
      </c>
      <c r="X106" s="22">
        <f t="shared" si="15"/>
        <v>3</v>
      </c>
      <c r="Y106" s="22"/>
      <c r="AG106" s="27" t="str">
        <f t="shared" si="11"/>
        <v>Janie &amp; JackRetailUSA51</v>
      </c>
      <c r="AH106" s="1" t="s">
        <v>32</v>
      </c>
      <c r="AI106" s="1" t="s">
        <v>5</v>
      </c>
      <c r="AJ106" s="1" t="s">
        <v>307</v>
      </c>
      <c r="AK106" s="1">
        <v>51</v>
      </c>
      <c r="AL106" s="19">
        <v>0.65</v>
      </c>
      <c r="AN106" s="109" t="str">
        <f t="shared" si="12"/>
        <v>Janie &amp; JackUSAWebJJ 18 JUN JJ SPORT</v>
      </c>
      <c r="AO106" s="1" t="s">
        <v>32</v>
      </c>
      <c r="AP106" s="1" t="s">
        <v>15</v>
      </c>
      <c r="AQ106" s="1" t="s">
        <v>307</v>
      </c>
      <c r="AR106" s="1">
        <v>2018</v>
      </c>
      <c r="AS106" s="1" t="s">
        <v>18</v>
      </c>
      <c r="AT106" s="1" t="s">
        <v>216</v>
      </c>
      <c r="AU106" s="1">
        <v>34.69</v>
      </c>
      <c r="AV106" s="1">
        <v>6.74</v>
      </c>
      <c r="AW106" s="1">
        <v>37842</v>
      </c>
      <c r="AX106" s="1">
        <v>0.08</v>
      </c>
      <c r="AY106" s="1">
        <v>201818</v>
      </c>
      <c r="AZ106" s="1">
        <v>6</v>
      </c>
      <c r="BA106" s="19" t="s">
        <v>371</v>
      </c>
    </row>
    <row r="107" spans="17:53" x14ac:dyDescent="0.25">
      <c r="Q107" s="109" t="str">
        <f t="shared" si="13"/>
        <v>Janie &amp; JackJJ 18 SEPT FALL 2</v>
      </c>
      <c r="R107" s="27" t="str">
        <f t="shared" si="14"/>
        <v>2018Janie &amp; JackFall</v>
      </c>
      <c r="S107" s="343">
        <v>2018</v>
      </c>
      <c r="T107" s="343" t="s">
        <v>32</v>
      </c>
      <c r="U107" s="343" t="s">
        <v>33</v>
      </c>
      <c r="V107" s="343" t="s">
        <v>471</v>
      </c>
      <c r="W107" s="343" t="s">
        <v>472</v>
      </c>
      <c r="X107" s="22">
        <f t="shared" si="15"/>
        <v>3</v>
      </c>
      <c r="Y107" s="22"/>
      <c r="AG107" s="27" t="str">
        <f t="shared" si="11"/>
        <v>Janie &amp; JackRetailUSA52</v>
      </c>
      <c r="AH107" s="1" t="s">
        <v>32</v>
      </c>
      <c r="AI107" s="1" t="s">
        <v>5</v>
      </c>
      <c r="AJ107" s="1" t="s">
        <v>307</v>
      </c>
      <c r="AK107" s="1">
        <v>52</v>
      </c>
      <c r="AL107" s="19">
        <v>0.65</v>
      </c>
      <c r="AN107" s="109" t="str">
        <f t="shared" si="12"/>
        <v>Janie &amp; JackUSAWebJJ 18 JULY FALL GIFT LAY</v>
      </c>
      <c r="AO107" s="1" t="s">
        <v>32</v>
      </c>
      <c r="AP107" s="1" t="s">
        <v>15</v>
      </c>
      <c r="AQ107" s="1" t="s">
        <v>307</v>
      </c>
      <c r="AR107" s="1">
        <v>2018</v>
      </c>
      <c r="AS107" s="1" t="s">
        <v>18</v>
      </c>
      <c r="AT107" s="1" t="s">
        <v>160</v>
      </c>
      <c r="AU107" s="1">
        <v>29.87</v>
      </c>
      <c r="AV107" s="1">
        <v>7.43</v>
      </c>
      <c r="AW107" s="1">
        <v>6246</v>
      </c>
      <c r="AX107" s="1">
        <v>0.2</v>
      </c>
      <c r="AY107" s="1">
        <v>201823</v>
      </c>
      <c r="AZ107" s="1">
        <v>9</v>
      </c>
      <c r="BA107" s="19" t="s">
        <v>347</v>
      </c>
    </row>
    <row r="108" spans="17:53" x14ac:dyDescent="0.25">
      <c r="Q108" s="109" t="str">
        <f t="shared" si="13"/>
        <v>Janie &amp; JackJJ 18 SEPT FALL 3</v>
      </c>
      <c r="R108" s="27" t="str">
        <f t="shared" si="14"/>
        <v>2018Janie &amp; JackFall</v>
      </c>
      <c r="S108" s="343">
        <v>2018</v>
      </c>
      <c r="T108" s="343" t="s">
        <v>32</v>
      </c>
      <c r="U108" s="343" t="s">
        <v>33</v>
      </c>
      <c r="V108" s="343" t="s">
        <v>473</v>
      </c>
      <c r="W108" s="343" t="s">
        <v>474</v>
      </c>
      <c r="X108" s="22">
        <f t="shared" si="15"/>
        <v>3</v>
      </c>
      <c r="Y108" s="22"/>
      <c r="AG108" s="27" t="str">
        <f t="shared" si="11"/>
        <v>Janie &amp; JackRetailUSA53</v>
      </c>
      <c r="AH108" s="1" t="s">
        <v>32</v>
      </c>
      <c r="AI108" s="1" t="s">
        <v>5</v>
      </c>
      <c r="AJ108" s="1" t="s">
        <v>307</v>
      </c>
      <c r="AK108" s="1">
        <v>53</v>
      </c>
      <c r="AL108" s="19">
        <v>0.65</v>
      </c>
      <c r="AN108" s="109" t="str">
        <f t="shared" si="12"/>
        <v>Janie &amp; JackUSAOutletJJ 3RD PARTY</v>
      </c>
      <c r="AO108" s="1" t="s">
        <v>32</v>
      </c>
      <c r="AP108" s="1" t="s">
        <v>17</v>
      </c>
      <c r="AQ108" s="1" t="s">
        <v>307</v>
      </c>
      <c r="AR108" s="1">
        <v>2018</v>
      </c>
      <c r="AS108" s="1" t="s">
        <v>35</v>
      </c>
      <c r="AT108" s="1" t="s">
        <v>302</v>
      </c>
      <c r="AU108" s="1"/>
      <c r="AV108" s="1"/>
      <c r="AW108" s="1">
        <v>0</v>
      </c>
      <c r="AX108" s="1">
        <v>0.2</v>
      </c>
      <c r="AY108" s="1">
        <v>201801</v>
      </c>
      <c r="AZ108" s="1">
        <v>13</v>
      </c>
      <c r="BA108" s="19" t="s">
        <v>302</v>
      </c>
    </row>
    <row r="109" spans="17:53" x14ac:dyDescent="0.25">
      <c r="Q109" s="109" t="str">
        <f t="shared" si="13"/>
        <v>Janie &amp; JackJJ 18 SEPT FALL TIER</v>
      </c>
      <c r="R109" s="27" t="str">
        <f t="shared" si="14"/>
        <v>2018Janie &amp; JackFall</v>
      </c>
      <c r="S109" s="343">
        <v>2018</v>
      </c>
      <c r="T109" s="343" t="s">
        <v>32</v>
      </c>
      <c r="U109" s="343" t="s">
        <v>33</v>
      </c>
      <c r="V109" s="343" t="s">
        <v>475</v>
      </c>
      <c r="W109" s="343" t="s">
        <v>476</v>
      </c>
      <c r="X109" s="22">
        <f t="shared" si="15"/>
        <v>3</v>
      </c>
      <c r="Y109" s="22"/>
      <c r="AG109" s="27" t="str">
        <f t="shared" si="11"/>
        <v>Janie &amp; JackWebUSA1</v>
      </c>
      <c r="AH109" s="1" t="s">
        <v>32</v>
      </c>
      <c r="AI109" s="1" t="s">
        <v>15</v>
      </c>
      <c r="AJ109" s="1" t="s">
        <v>307</v>
      </c>
      <c r="AK109" s="1">
        <v>1</v>
      </c>
      <c r="AL109" s="19">
        <v>0.3</v>
      </c>
      <c r="AN109" s="109" t="str">
        <f t="shared" si="12"/>
        <v>Janie &amp; JackUSAOutletJJ 18 JULY SB2</v>
      </c>
      <c r="AO109" s="1" t="s">
        <v>32</v>
      </c>
      <c r="AP109" s="1" t="s">
        <v>17</v>
      </c>
      <c r="AQ109" s="1" t="s">
        <v>307</v>
      </c>
      <c r="AR109" s="1">
        <v>2018</v>
      </c>
      <c r="AS109" s="1" t="s">
        <v>35</v>
      </c>
      <c r="AT109" s="1" t="s">
        <v>176</v>
      </c>
      <c r="AU109" s="1">
        <v>39.9</v>
      </c>
      <c r="AV109" s="1">
        <v>8.74</v>
      </c>
      <c r="AW109" s="1">
        <v>16166</v>
      </c>
      <c r="AX109" s="1">
        <v>0.14000000000000001</v>
      </c>
      <c r="AY109" s="1">
        <v>201825</v>
      </c>
      <c r="AZ109" s="1">
        <v>13</v>
      </c>
      <c r="BA109" s="19" t="s">
        <v>177</v>
      </c>
    </row>
    <row r="110" spans="17:53" x14ac:dyDescent="0.25">
      <c r="Q110" s="109" t="str">
        <f t="shared" si="13"/>
        <v>Janie &amp; JackJJ 18 SEPT SWIM</v>
      </c>
      <c r="R110" s="27" t="str">
        <f t="shared" si="14"/>
        <v>2018Janie &amp; JackFall</v>
      </c>
      <c r="S110" s="343">
        <v>2018</v>
      </c>
      <c r="T110" s="343" t="s">
        <v>32</v>
      </c>
      <c r="U110" s="343" t="s">
        <v>33</v>
      </c>
      <c r="V110" s="343" t="s">
        <v>477</v>
      </c>
      <c r="W110" s="343" t="s">
        <v>478</v>
      </c>
      <c r="X110" s="22">
        <f t="shared" si="15"/>
        <v>3</v>
      </c>
      <c r="Y110" s="22"/>
      <c r="AG110" s="27" t="str">
        <f t="shared" si="11"/>
        <v>Janie &amp; JackWebUSA2</v>
      </c>
      <c r="AH110" s="1" t="s">
        <v>32</v>
      </c>
      <c r="AI110" s="1" t="s">
        <v>15</v>
      </c>
      <c r="AJ110" s="1" t="s">
        <v>307</v>
      </c>
      <c r="AK110" s="1">
        <v>2</v>
      </c>
      <c r="AL110" s="19">
        <v>0.9</v>
      </c>
      <c r="AN110" s="109" t="str">
        <f t="shared" si="12"/>
        <v>Janie &amp; JackUSAOutletJJ 18 AUG FALL 0</v>
      </c>
      <c r="AO110" s="1" t="s">
        <v>32</v>
      </c>
      <c r="AP110" s="1" t="s">
        <v>17</v>
      </c>
      <c r="AQ110" s="1" t="s">
        <v>307</v>
      </c>
      <c r="AR110" s="1">
        <v>2018</v>
      </c>
      <c r="AS110" s="1" t="s">
        <v>33</v>
      </c>
      <c r="AT110" s="1" t="s">
        <v>158</v>
      </c>
      <c r="AU110" s="1">
        <v>36.270000000000003</v>
      </c>
      <c r="AV110" s="1">
        <v>6.65</v>
      </c>
      <c r="AW110" s="1">
        <v>77777</v>
      </c>
      <c r="AX110" s="1">
        <v>0.2</v>
      </c>
      <c r="AY110" s="1">
        <v>201829</v>
      </c>
      <c r="AZ110" s="1">
        <v>5</v>
      </c>
      <c r="BA110" s="19" t="s">
        <v>159</v>
      </c>
    </row>
    <row r="111" spans="17:53" x14ac:dyDescent="0.25">
      <c r="Q111" s="109" t="str">
        <f t="shared" si="13"/>
        <v>Janie &amp; JackJJ 17 BALLET BASICS</v>
      </c>
      <c r="R111" s="27" t="str">
        <f t="shared" si="14"/>
        <v>2018Janie &amp; JackBasics</v>
      </c>
      <c r="S111" s="343">
        <v>2018</v>
      </c>
      <c r="T111" s="343" t="s">
        <v>32</v>
      </c>
      <c r="U111" s="343" t="s">
        <v>35</v>
      </c>
      <c r="V111" s="343" t="s">
        <v>463</v>
      </c>
      <c r="W111" s="343" t="s">
        <v>463</v>
      </c>
      <c r="X111" s="22">
        <f t="shared" si="15"/>
        <v>5</v>
      </c>
      <c r="Y111" s="22"/>
      <c r="AG111" s="27" t="str">
        <f t="shared" si="11"/>
        <v>Janie &amp; JackWebUSA3</v>
      </c>
      <c r="AH111" s="1" t="s">
        <v>32</v>
      </c>
      <c r="AI111" s="1" t="s">
        <v>15</v>
      </c>
      <c r="AJ111" s="1" t="s">
        <v>307</v>
      </c>
      <c r="AK111" s="1">
        <v>3</v>
      </c>
      <c r="AL111" s="19">
        <v>0.13</v>
      </c>
      <c r="AN111" s="109" t="str">
        <f t="shared" si="12"/>
        <v>Janie &amp; JackUSAOutletJJ 18 LAY SIGNATURE 1</v>
      </c>
      <c r="AO111" s="1" t="s">
        <v>32</v>
      </c>
      <c r="AP111" s="1" t="s">
        <v>17</v>
      </c>
      <c r="AQ111" s="1" t="s">
        <v>307</v>
      </c>
      <c r="AR111" s="1">
        <v>2018</v>
      </c>
      <c r="AS111" s="1" t="s">
        <v>16</v>
      </c>
      <c r="AT111" s="1" t="s">
        <v>173</v>
      </c>
      <c r="AU111" s="1">
        <v>28.22</v>
      </c>
      <c r="AV111" s="1">
        <v>5.58</v>
      </c>
      <c r="AW111" s="1">
        <v>45465</v>
      </c>
      <c r="AX111" s="1">
        <v>0.31</v>
      </c>
      <c r="AY111" s="1">
        <v>201801</v>
      </c>
      <c r="AZ111" s="1">
        <v>13</v>
      </c>
      <c r="BA111" s="19" t="s">
        <v>371</v>
      </c>
    </row>
    <row r="112" spans="17:53" x14ac:dyDescent="0.25">
      <c r="Q112" s="109" t="str">
        <f t="shared" si="13"/>
        <v>Janie &amp; JackJJ 3RD PARTY</v>
      </c>
      <c r="R112" s="27" t="str">
        <f t="shared" si="14"/>
        <v>2018Janie &amp; JackBasics</v>
      </c>
      <c r="S112" s="343">
        <v>2018</v>
      </c>
      <c r="T112" s="343" t="s">
        <v>32</v>
      </c>
      <c r="U112" s="343" t="s">
        <v>35</v>
      </c>
      <c r="V112" s="343" t="s">
        <v>302</v>
      </c>
      <c r="W112" s="343" t="s">
        <v>302</v>
      </c>
      <c r="X112" s="22">
        <f t="shared" si="15"/>
        <v>5</v>
      </c>
      <c r="Y112" s="22"/>
      <c r="AG112" s="27" t="str">
        <f t="shared" si="11"/>
        <v>Janie &amp; JackWebUSA4</v>
      </c>
      <c r="AH112" s="1" t="s">
        <v>32</v>
      </c>
      <c r="AI112" s="1" t="s">
        <v>15</v>
      </c>
      <c r="AJ112" s="1" t="s">
        <v>307</v>
      </c>
      <c r="AK112" s="1">
        <v>4</v>
      </c>
      <c r="AL112" s="19">
        <v>0.16</v>
      </c>
      <c r="AN112" s="109" t="str">
        <f t="shared" si="12"/>
        <v>Janie &amp; JackUSAOutletJJ 18 DEC SWIM</v>
      </c>
      <c r="AO112" s="1" t="s">
        <v>32</v>
      </c>
      <c r="AP112" s="1" t="s">
        <v>17</v>
      </c>
      <c r="AQ112" s="1" t="s">
        <v>307</v>
      </c>
      <c r="AR112" s="1">
        <v>2018</v>
      </c>
      <c r="AS112" s="1" t="s">
        <v>16</v>
      </c>
      <c r="AT112" s="1" t="s">
        <v>161</v>
      </c>
      <c r="AU112" s="1">
        <v>31.78</v>
      </c>
      <c r="AV112" s="1">
        <v>6.01</v>
      </c>
      <c r="AW112" s="1">
        <v>23925</v>
      </c>
      <c r="AX112" s="1">
        <v>0.2</v>
      </c>
      <c r="AY112" s="1">
        <v>201748</v>
      </c>
      <c r="AZ112" s="1">
        <v>8</v>
      </c>
      <c r="BA112" s="19" t="s">
        <v>162</v>
      </c>
    </row>
    <row r="113" spans="17:53" x14ac:dyDescent="0.25">
      <c r="Q113" s="109" t="str">
        <f t="shared" si="13"/>
        <v>Janie &amp; JackJJ SO YEARLY BASICS</v>
      </c>
      <c r="R113" s="27" t="str">
        <f t="shared" si="14"/>
        <v>2018Janie &amp; JackBasics</v>
      </c>
      <c r="S113" s="343">
        <v>2018</v>
      </c>
      <c r="T113" s="343" t="s">
        <v>32</v>
      </c>
      <c r="U113" s="343" t="s">
        <v>35</v>
      </c>
      <c r="V113" s="343" t="s">
        <v>300</v>
      </c>
      <c r="W113" s="343" t="s">
        <v>300</v>
      </c>
      <c r="X113" s="22">
        <f t="shared" si="15"/>
        <v>5</v>
      </c>
      <c r="Y113" s="22"/>
      <c r="AG113" s="27" t="str">
        <f t="shared" si="11"/>
        <v>Janie &amp; JackWebUSA5</v>
      </c>
      <c r="AH113" s="1" t="s">
        <v>32</v>
      </c>
      <c r="AI113" s="1" t="s">
        <v>15</v>
      </c>
      <c r="AJ113" s="1" t="s">
        <v>307</v>
      </c>
      <c r="AK113" s="1">
        <v>5</v>
      </c>
      <c r="AL113" s="19">
        <v>0.24</v>
      </c>
      <c r="AN113" s="109" t="str">
        <f t="shared" si="12"/>
        <v>Janie &amp; JackUSAOutletJJ 18 DEC VDAY</v>
      </c>
      <c r="AO113" s="1" t="s">
        <v>32</v>
      </c>
      <c r="AP113" s="1" t="s">
        <v>17</v>
      </c>
      <c r="AQ113" s="1" t="s">
        <v>307</v>
      </c>
      <c r="AR113" s="1">
        <v>2018</v>
      </c>
      <c r="AS113" s="1" t="s">
        <v>16</v>
      </c>
      <c r="AT113" s="1" t="s">
        <v>183</v>
      </c>
      <c r="AU113" s="1">
        <v>31.46</v>
      </c>
      <c r="AV113" s="1">
        <v>5.48</v>
      </c>
      <c r="AW113" s="1">
        <v>12851</v>
      </c>
      <c r="AX113" s="1">
        <v>0.2</v>
      </c>
      <c r="AY113" s="1">
        <v>201749</v>
      </c>
      <c r="AZ113" s="1">
        <v>5</v>
      </c>
      <c r="BA113" s="19" t="s">
        <v>184</v>
      </c>
    </row>
    <row r="114" spans="17:53" x14ac:dyDescent="0.25">
      <c r="Q114" s="109" t="str">
        <f t="shared" si="13"/>
        <v>Janie &amp; JackJJ YRLY BASICS</v>
      </c>
      <c r="R114" s="27" t="str">
        <f t="shared" si="14"/>
        <v>2018Janie &amp; JackBasics</v>
      </c>
      <c r="S114" s="343">
        <v>2018</v>
      </c>
      <c r="T114" s="343" t="s">
        <v>32</v>
      </c>
      <c r="U114" s="343" t="s">
        <v>35</v>
      </c>
      <c r="V114" s="343" t="s">
        <v>301</v>
      </c>
      <c r="W114" s="343" t="s">
        <v>301</v>
      </c>
      <c r="X114" s="22">
        <f t="shared" si="15"/>
        <v>5</v>
      </c>
      <c r="Y114" s="22"/>
      <c r="AG114" s="27" t="str">
        <f t="shared" si="11"/>
        <v>Janie &amp; JackWebUSA6</v>
      </c>
      <c r="AH114" s="1" t="s">
        <v>32</v>
      </c>
      <c r="AI114" s="1" t="s">
        <v>15</v>
      </c>
      <c r="AJ114" s="1" t="s">
        <v>307</v>
      </c>
      <c r="AK114" s="1">
        <v>6</v>
      </c>
      <c r="AL114" s="19">
        <v>0.25</v>
      </c>
      <c r="AN114" s="109" t="str">
        <f t="shared" si="12"/>
        <v>Janie &amp; JackUSAOutletJJ 18 DEC RESORT 2</v>
      </c>
      <c r="AO114" s="1" t="s">
        <v>32</v>
      </c>
      <c r="AP114" s="1" t="s">
        <v>17</v>
      </c>
      <c r="AQ114" s="1" t="s">
        <v>307</v>
      </c>
      <c r="AR114" s="1">
        <v>2018</v>
      </c>
      <c r="AS114" s="1" t="s">
        <v>16</v>
      </c>
      <c r="AT114" s="1" t="s">
        <v>185</v>
      </c>
      <c r="AU114" s="1">
        <v>34.92</v>
      </c>
      <c r="AV114" s="1">
        <v>6.33</v>
      </c>
      <c r="AW114" s="1">
        <v>23532</v>
      </c>
      <c r="AX114" s="1">
        <v>0.2</v>
      </c>
      <c r="AY114" s="1">
        <v>201750</v>
      </c>
      <c r="AZ114" s="1">
        <v>5</v>
      </c>
      <c r="BA114" s="19" t="s">
        <v>186</v>
      </c>
    </row>
    <row r="115" spans="17:53" x14ac:dyDescent="0.25">
      <c r="Q115" s="109" t="str">
        <f t="shared" si="13"/>
        <v>Janie &amp; JackJJ 18 DEC SWIM</v>
      </c>
      <c r="R115" s="27" t="str">
        <f t="shared" si="14"/>
        <v>2018Janie &amp; JackSeasonal Basics</v>
      </c>
      <c r="S115" s="343">
        <v>2018</v>
      </c>
      <c r="T115" s="343" t="s">
        <v>32</v>
      </c>
      <c r="U115" s="343" t="s">
        <v>71</v>
      </c>
      <c r="V115" s="343" t="s">
        <v>161</v>
      </c>
      <c r="W115" s="343" t="s">
        <v>162</v>
      </c>
      <c r="X115" s="22">
        <f t="shared" si="15"/>
        <v>6</v>
      </c>
      <c r="Y115" s="22"/>
      <c r="AG115" s="27" t="str">
        <f t="shared" si="11"/>
        <v>Janie &amp; JackWebUSA7</v>
      </c>
      <c r="AH115" s="1" t="s">
        <v>32</v>
      </c>
      <c r="AI115" s="1" t="s">
        <v>15</v>
      </c>
      <c r="AJ115" s="1" t="s">
        <v>307</v>
      </c>
      <c r="AK115" s="1">
        <v>7</v>
      </c>
      <c r="AL115" s="19">
        <v>0.28999999999999998</v>
      </c>
      <c r="AN115" s="109" t="str">
        <f t="shared" si="12"/>
        <v>Janie &amp; JackUSAOutletJJ 18 JAN SPRING TRANS</v>
      </c>
      <c r="AO115" s="1" t="s">
        <v>32</v>
      </c>
      <c r="AP115" s="1" t="s">
        <v>17</v>
      </c>
      <c r="AQ115" s="1" t="s">
        <v>307</v>
      </c>
      <c r="AR115" s="1">
        <v>2018</v>
      </c>
      <c r="AS115" s="1" t="s">
        <v>16</v>
      </c>
      <c r="AT115" s="1" t="s">
        <v>191</v>
      </c>
      <c r="AU115" s="1">
        <v>35.28</v>
      </c>
      <c r="AV115" s="1">
        <v>6.18</v>
      </c>
      <c r="AW115" s="1">
        <v>41866</v>
      </c>
      <c r="AX115" s="1">
        <v>0.2</v>
      </c>
      <c r="AY115" s="1">
        <v>201752</v>
      </c>
      <c r="AZ115" s="1">
        <v>5</v>
      </c>
      <c r="BA115" s="19" t="s">
        <v>192</v>
      </c>
    </row>
    <row r="116" spans="17:53" x14ac:dyDescent="0.25">
      <c r="Q116" s="109" t="str">
        <f t="shared" si="13"/>
        <v>Janie &amp; JackJJ 18 JAN SO SB1</v>
      </c>
      <c r="R116" s="27" t="str">
        <f t="shared" si="14"/>
        <v>2018Janie &amp; JackSeasonal Basics</v>
      </c>
      <c r="S116" s="343">
        <v>2018</v>
      </c>
      <c r="T116" s="343" t="s">
        <v>32</v>
      </c>
      <c r="U116" s="343" t="s">
        <v>71</v>
      </c>
      <c r="V116" s="343" t="s">
        <v>167</v>
      </c>
      <c r="W116" s="343" t="s">
        <v>168</v>
      </c>
      <c r="X116" s="22">
        <f t="shared" si="15"/>
        <v>6</v>
      </c>
      <c r="Y116" s="22"/>
      <c r="AG116" s="27" t="str">
        <f t="shared" si="11"/>
        <v>Janie &amp; JackWebUSA8</v>
      </c>
      <c r="AH116" s="1" t="s">
        <v>32</v>
      </c>
      <c r="AI116" s="1" t="s">
        <v>15</v>
      </c>
      <c r="AJ116" s="1" t="s">
        <v>307</v>
      </c>
      <c r="AK116" s="1">
        <v>8</v>
      </c>
      <c r="AL116" s="19">
        <v>0.32</v>
      </c>
      <c r="AN116" s="109" t="str">
        <f t="shared" si="12"/>
        <v>Janie &amp; JackUSAOutletJJ 18 SB1</v>
      </c>
      <c r="AO116" s="1" t="s">
        <v>32</v>
      </c>
      <c r="AP116" s="1" t="s">
        <v>17</v>
      </c>
      <c r="AQ116" s="1" t="s">
        <v>307</v>
      </c>
      <c r="AR116" s="1">
        <v>2018</v>
      </c>
      <c r="AS116" s="1" t="s">
        <v>16</v>
      </c>
      <c r="AT116" s="1" t="s">
        <v>163</v>
      </c>
      <c r="AU116" s="1">
        <v>29.9</v>
      </c>
      <c r="AV116" s="1">
        <v>5.45</v>
      </c>
      <c r="AW116" s="1">
        <v>3614</v>
      </c>
      <c r="AX116" s="1">
        <v>0.2</v>
      </c>
      <c r="AY116" s="1">
        <v>201752</v>
      </c>
      <c r="AZ116" s="1">
        <v>13</v>
      </c>
      <c r="BA116" s="19" t="s">
        <v>164</v>
      </c>
    </row>
    <row r="117" spans="17:53" x14ac:dyDescent="0.25">
      <c r="Q117" s="109" t="str">
        <f t="shared" si="13"/>
        <v>Janie &amp; JackJJ 18 JULY SB2</v>
      </c>
      <c r="R117" s="27" t="str">
        <f t="shared" si="14"/>
        <v>2018Janie &amp; JackSeasonal Basics</v>
      </c>
      <c r="S117" s="343">
        <v>2018</v>
      </c>
      <c r="T117" s="343" t="s">
        <v>32</v>
      </c>
      <c r="U117" s="343" t="s">
        <v>71</v>
      </c>
      <c r="V117" s="343" t="s">
        <v>176</v>
      </c>
      <c r="W117" s="343" t="s">
        <v>177</v>
      </c>
      <c r="X117" s="22">
        <f t="shared" si="15"/>
        <v>6</v>
      </c>
      <c r="Y117" s="22"/>
      <c r="AG117" s="27" t="str">
        <f t="shared" si="11"/>
        <v>Janie &amp; JackWebUSA9</v>
      </c>
      <c r="AH117" s="1" t="s">
        <v>32</v>
      </c>
      <c r="AI117" s="1" t="s">
        <v>15</v>
      </c>
      <c r="AJ117" s="1" t="s">
        <v>307</v>
      </c>
      <c r="AK117" s="1">
        <v>9</v>
      </c>
      <c r="AL117" s="19">
        <v>0.41</v>
      </c>
      <c r="AN117" s="109" t="str">
        <f t="shared" si="12"/>
        <v>Janie &amp; JackUSAOutletJJ 18 SWIM 2</v>
      </c>
      <c r="AO117" s="1" t="s">
        <v>32</v>
      </c>
      <c r="AP117" s="1" t="s">
        <v>17</v>
      </c>
      <c r="AQ117" s="1" t="s">
        <v>307</v>
      </c>
      <c r="AR117" s="1">
        <v>2018</v>
      </c>
      <c r="AS117" s="1" t="s">
        <v>16</v>
      </c>
      <c r="AT117" s="1" t="s">
        <v>165</v>
      </c>
      <c r="AU117" s="1">
        <v>31.31</v>
      </c>
      <c r="AV117" s="1">
        <v>5.48</v>
      </c>
      <c r="AW117" s="1">
        <v>44312</v>
      </c>
      <c r="AX117" s="1">
        <v>0.2</v>
      </c>
      <c r="AY117" s="1">
        <v>201752</v>
      </c>
      <c r="AZ117" s="1">
        <v>8</v>
      </c>
      <c r="BA117" s="19" t="s">
        <v>166</v>
      </c>
    </row>
    <row r="118" spans="17:53" x14ac:dyDescent="0.25">
      <c r="Q118" s="109" t="str">
        <f t="shared" si="13"/>
        <v>Janie &amp; JackJJ 18 JULY SO SB 2</v>
      </c>
      <c r="R118" s="27" t="str">
        <f t="shared" si="14"/>
        <v>2018Janie &amp; JackSeasonal Basics</v>
      </c>
      <c r="S118" s="343">
        <v>2018</v>
      </c>
      <c r="T118" s="343" t="s">
        <v>32</v>
      </c>
      <c r="U118" s="343" t="s">
        <v>71</v>
      </c>
      <c r="V118" s="343" t="s">
        <v>178</v>
      </c>
      <c r="W118" s="343" t="s">
        <v>179</v>
      </c>
      <c r="X118" s="22">
        <f t="shared" si="15"/>
        <v>6</v>
      </c>
      <c r="Y118" s="22"/>
      <c r="AG118" s="27" t="str">
        <f t="shared" si="11"/>
        <v>Janie &amp; JackWebUSA10</v>
      </c>
      <c r="AH118" s="1" t="s">
        <v>32</v>
      </c>
      <c r="AI118" s="1" t="s">
        <v>15</v>
      </c>
      <c r="AJ118" s="1" t="s">
        <v>307</v>
      </c>
      <c r="AK118" s="1">
        <v>10</v>
      </c>
      <c r="AL118" s="19">
        <v>0.41</v>
      </c>
      <c r="AN118" s="109" t="str">
        <f t="shared" si="12"/>
        <v>Janie &amp; JackUSAOutletJJ 18 JAN SPR GIFTING LAY</v>
      </c>
      <c r="AO118" s="1" t="s">
        <v>32</v>
      </c>
      <c r="AP118" s="1" t="s">
        <v>17</v>
      </c>
      <c r="AQ118" s="1" t="s">
        <v>307</v>
      </c>
      <c r="AR118" s="1">
        <v>2018</v>
      </c>
      <c r="AS118" s="1" t="s">
        <v>16</v>
      </c>
      <c r="AT118" s="1" t="s">
        <v>195</v>
      </c>
      <c r="AU118" s="1"/>
      <c r="AV118" s="1"/>
      <c r="AW118" s="1">
        <v>0</v>
      </c>
      <c r="AX118" s="1">
        <v>0.2</v>
      </c>
      <c r="AY118" s="1">
        <v>201752</v>
      </c>
      <c r="AZ118" s="1">
        <v>8</v>
      </c>
      <c r="BA118" s="19" t="s">
        <v>196</v>
      </c>
    </row>
    <row r="119" spans="17:53" x14ac:dyDescent="0.25">
      <c r="Q119" s="109" t="str">
        <f t="shared" si="13"/>
        <v>Janie &amp; JackJJ 18 LAY SIGNATURE 1</v>
      </c>
      <c r="R119" s="27" t="str">
        <f t="shared" si="14"/>
        <v>2018Janie &amp; JackSeasonal Basics</v>
      </c>
      <c r="S119" s="343">
        <v>2018</v>
      </c>
      <c r="T119" s="343" t="s">
        <v>32</v>
      </c>
      <c r="U119" s="343" t="s">
        <v>71</v>
      </c>
      <c r="V119" s="343" t="s">
        <v>173</v>
      </c>
      <c r="W119" s="343"/>
      <c r="X119" s="22">
        <f t="shared" si="15"/>
        <v>6</v>
      </c>
      <c r="Y119" s="22"/>
      <c r="AG119" s="27" t="str">
        <f t="shared" si="11"/>
        <v>Janie &amp; JackWebUSA11</v>
      </c>
      <c r="AH119" s="1" t="s">
        <v>32</v>
      </c>
      <c r="AI119" s="1" t="s">
        <v>15</v>
      </c>
      <c r="AJ119" s="1" t="s">
        <v>307</v>
      </c>
      <c r="AK119" s="1">
        <v>11</v>
      </c>
      <c r="AL119" s="19">
        <v>0.47</v>
      </c>
      <c r="AN119" s="109" t="str">
        <f t="shared" si="12"/>
        <v>Janie &amp; JackUSAOutletJJ 18 JAN SPRING 1</v>
      </c>
      <c r="AO119" s="1" t="s">
        <v>32</v>
      </c>
      <c r="AP119" s="1" t="s">
        <v>17</v>
      </c>
      <c r="AQ119" s="1" t="s">
        <v>307</v>
      </c>
      <c r="AR119" s="1">
        <v>2018</v>
      </c>
      <c r="AS119" s="1" t="s">
        <v>16</v>
      </c>
      <c r="AT119" s="1" t="s">
        <v>181</v>
      </c>
      <c r="AU119" s="1">
        <v>35.590000000000003</v>
      </c>
      <c r="AV119" s="1">
        <v>6.54</v>
      </c>
      <c r="AW119" s="1">
        <v>58292</v>
      </c>
      <c r="AX119" s="1">
        <v>0.28000000000000003</v>
      </c>
      <c r="AY119" s="1">
        <v>201802</v>
      </c>
      <c r="AZ119" s="1">
        <v>5</v>
      </c>
      <c r="BA119" s="19" t="s">
        <v>182</v>
      </c>
    </row>
    <row r="120" spans="17:53" x14ac:dyDescent="0.25">
      <c r="Q120" s="109" t="str">
        <f t="shared" ref="Q120:Q151" si="16">T120&amp;V120</f>
        <v>Janie &amp; JackJJ 18 LAY SIGNATURE 2</v>
      </c>
      <c r="R120" s="27" t="str">
        <f t="shared" ref="R120:R151" si="17">S120&amp;T120&amp;U120</f>
        <v>2018Janie &amp; JackSeasonal Basics</v>
      </c>
      <c r="S120" s="343">
        <v>2018</v>
      </c>
      <c r="T120" s="343" t="s">
        <v>32</v>
      </c>
      <c r="U120" s="343" t="s">
        <v>71</v>
      </c>
      <c r="V120" s="343" t="s">
        <v>180</v>
      </c>
      <c r="W120" s="343"/>
      <c r="X120" s="22">
        <f t="shared" ref="X120:X151" si="18">MATCH(U120,ListSeason,0)</f>
        <v>6</v>
      </c>
      <c r="Y120" s="22"/>
      <c r="AG120" s="27" t="str">
        <f t="shared" si="11"/>
        <v>Janie &amp; JackWebUSA12</v>
      </c>
      <c r="AH120" s="1" t="s">
        <v>32</v>
      </c>
      <c r="AI120" s="1" t="s">
        <v>15</v>
      </c>
      <c r="AJ120" s="1" t="s">
        <v>307</v>
      </c>
      <c r="AK120" s="1">
        <v>12</v>
      </c>
      <c r="AL120" s="19">
        <v>0.53</v>
      </c>
      <c r="AN120" s="109" t="str">
        <f t="shared" si="12"/>
        <v>Janie &amp; JackUSAOutletJJ 18 JAN SO SB1</v>
      </c>
      <c r="AO120" s="1" t="s">
        <v>32</v>
      </c>
      <c r="AP120" s="1" t="s">
        <v>17</v>
      </c>
      <c r="AQ120" s="1" t="s">
        <v>307</v>
      </c>
      <c r="AR120" s="1">
        <v>2018</v>
      </c>
      <c r="AS120" s="1" t="s">
        <v>16</v>
      </c>
      <c r="AT120" s="1" t="s">
        <v>167</v>
      </c>
      <c r="AU120" s="1"/>
      <c r="AV120" s="1"/>
      <c r="AW120" s="1">
        <v>0</v>
      </c>
      <c r="AX120" s="1">
        <v>0.2</v>
      </c>
      <c r="AY120" s="1">
        <v>201802</v>
      </c>
      <c r="AZ120" s="1">
        <v>13</v>
      </c>
      <c r="BA120" s="19" t="s">
        <v>168</v>
      </c>
    </row>
    <row r="121" spans="17:53" x14ac:dyDescent="0.25">
      <c r="Q121" s="109" t="str">
        <f t="shared" si="16"/>
        <v>Janie &amp; JackJJ 18 MAR LAY SWIM</v>
      </c>
      <c r="R121" s="27" t="str">
        <f t="shared" si="17"/>
        <v>2018Janie &amp; JackSeasonal Basics</v>
      </c>
      <c r="S121" s="343">
        <v>2018</v>
      </c>
      <c r="T121" s="343" t="s">
        <v>32</v>
      </c>
      <c r="U121" s="343" t="s">
        <v>71</v>
      </c>
      <c r="V121" s="343" t="s">
        <v>174</v>
      </c>
      <c r="W121" s="343" t="s">
        <v>175</v>
      </c>
      <c r="X121" s="22">
        <f t="shared" si="18"/>
        <v>6</v>
      </c>
      <c r="Y121" s="22"/>
      <c r="AG121" s="27" t="str">
        <f t="shared" si="11"/>
        <v>Janie &amp; JackWebUSA13</v>
      </c>
      <c r="AH121" s="1" t="s">
        <v>32</v>
      </c>
      <c r="AI121" s="1" t="s">
        <v>15</v>
      </c>
      <c r="AJ121" s="1" t="s">
        <v>307</v>
      </c>
      <c r="AK121" s="1">
        <v>13</v>
      </c>
      <c r="AL121" s="19">
        <v>0.51</v>
      </c>
      <c r="AN121" s="109" t="str">
        <f t="shared" si="12"/>
        <v>Janie &amp; JackUSAOutletJJ 18 FEB EASTER 1</v>
      </c>
      <c r="AO121" s="1" t="s">
        <v>32</v>
      </c>
      <c r="AP121" s="1" t="s">
        <v>17</v>
      </c>
      <c r="AQ121" s="1" t="s">
        <v>307</v>
      </c>
      <c r="AR121" s="1">
        <v>2018</v>
      </c>
      <c r="AS121" s="1" t="s">
        <v>16</v>
      </c>
      <c r="AT121" s="1" t="s">
        <v>187</v>
      </c>
      <c r="AU121" s="1">
        <v>38.06</v>
      </c>
      <c r="AV121" s="1">
        <v>7.13</v>
      </c>
      <c r="AW121" s="1">
        <v>79820</v>
      </c>
      <c r="AX121" s="1">
        <v>0.24</v>
      </c>
      <c r="AY121" s="1">
        <v>201804</v>
      </c>
      <c r="AZ121" s="1">
        <v>5</v>
      </c>
      <c r="BA121" s="19" t="s">
        <v>188</v>
      </c>
    </row>
    <row r="122" spans="17:53" x14ac:dyDescent="0.25">
      <c r="Q122" s="109" t="str">
        <f t="shared" si="16"/>
        <v>Janie &amp; JackJJ 18 SB1</v>
      </c>
      <c r="R122" s="27" t="str">
        <f t="shared" si="17"/>
        <v>2018Janie &amp; JackSeasonal Basics</v>
      </c>
      <c r="S122" s="343">
        <v>2018</v>
      </c>
      <c r="T122" s="343" t="s">
        <v>32</v>
      </c>
      <c r="U122" s="343" t="s">
        <v>71</v>
      </c>
      <c r="V122" s="343" t="s">
        <v>163</v>
      </c>
      <c r="W122" s="343" t="s">
        <v>164</v>
      </c>
      <c r="X122" s="22">
        <f t="shared" si="18"/>
        <v>6</v>
      </c>
      <c r="Y122" s="22"/>
      <c r="AG122" s="27" t="str">
        <f t="shared" si="11"/>
        <v>Janie &amp; JackWebUSA14</v>
      </c>
      <c r="AH122" s="1" t="s">
        <v>32</v>
      </c>
      <c r="AI122" s="1" t="s">
        <v>15</v>
      </c>
      <c r="AJ122" s="1" t="s">
        <v>307</v>
      </c>
      <c r="AK122" s="1">
        <v>14</v>
      </c>
      <c r="AL122" s="19">
        <v>0.43</v>
      </c>
      <c r="AN122" s="109" t="str">
        <f t="shared" si="12"/>
        <v>Janie &amp; JackUSAOutletJJ 18 FEB EASTER GIFT LAY</v>
      </c>
      <c r="AO122" s="1" t="s">
        <v>32</v>
      </c>
      <c r="AP122" s="1" t="s">
        <v>17</v>
      </c>
      <c r="AQ122" s="1" t="s">
        <v>307</v>
      </c>
      <c r="AR122" s="1">
        <v>2018</v>
      </c>
      <c r="AS122" s="1" t="s">
        <v>16</v>
      </c>
      <c r="AT122" s="1" t="s">
        <v>189</v>
      </c>
      <c r="AU122" s="1">
        <v>39.229999999999997</v>
      </c>
      <c r="AV122" s="1">
        <v>8.5500000000000007</v>
      </c>
      <c r="AW122" s="1">
        <v>4263</v>
      </c>
      <c r="AX122" s="1">
        <v>0.2</v>
      </c>
      <c r="AY122" s="1">
        <v>201804</v>
      </c>
      <c r="AZ122" s="1">
        <v>8</v>
      </c>
      <c r="BA122" s="19" t="s">
        <v>190</v>
      </c>
    </row>
    <row r="123" spans="17:53" x14ac:dyDescent="0.25">
      <c r="Q123" s="109" t="str">
        <f t="shared" si="16"/>
        <v>Janie &amp; JackJJ 18 SMR BASICS</v>
      </c>
      <c r="R123" s="27" t="str">
        <f t="shared" si="17"/>
        <v>2018Janie &amp; JackSeasonal Basics</v>
      </c>
      <c r="S123" s="343">
        <v>2018</v>
      </c>
      <c r="T123" s="343" t="s">
        <v>32</v>
      </c>
      <c r="U123" s="343" t="s">
        <v>71</v>
      </c>
      <c r="V123" s="343" t="s">
        <v>171</v>
      </c>
      <c r="W123" s="343" t="s">
        <v>172</v>
      </c>
      <c r="X123" s="22">
        <f t="shared" si="18"/>
        <v>6</v>
      </c>
      <c r="Y123" s="22"/>
      <c r="AG123" s="27" t="str">
        <f t="shared" si="11"/>
        <v>Janie &amp; JackWebUSA15</v>
      </c>
      <c r="AH123" s="1" t="s">
        <v>32</v>
      </c>
      <c r="AI123" s="1" t="s">
        <v>15</v>
      </c>
      <c r="AJ123" s="1" t="s">
        <v>307</v>
      </c>
      <c r="AK123" s="1">
        <v>15</v>
      </c>
      <c r="AL123" s="19">
        <v>0.45</v>
      </c>
      <c r="AN123" s="109" t="str">
        <f t="shared" si="12"/>
        <v>Janie &amp; JackUSAOutletJJ 18 MAR EASTER 2</v>
      </c>
      <c r="AO123" s="1" t="s">
        <v>32</v>
      </c>
      <c r="AP123" s="1" t="s">
        <v>17</v>
      </c>
      <c r="AQ123" s="1" t="s">
        <v>307</v>
      </c>
      <c r="AR123" s="1">
        <v>2018</v>
      </c>
      <c r="AS123" s="1" t="s">
        <v>16</v>
      </c>
      <c r="AT123" s="1" t="s">
        <v>193</v>
      </c>
      <c r="AU123" s="1">
        <v>38.520000000000003</v>
      </c>
      <c r="AV123" s="1">
        <v>7.1</v>
      </c>
      <c r="AW123" s="1">
        <v>53503</v>
      </c>
      <c r="AX123" s="1">
        <v>0.21</v>
      </c>
      <c r="AY123" s="1">
        <v>201806</v>
      </c>
      <c r="AZ123" s="1">
        <v>5</v>
      </c>
      <c r="BA123" s="19" t="s">
        <v>194</v>
      </c>
    </row>
    <row r="124" spans="17:53" x14ac:dyDescent="0.25">
      <c r="Q124" s="109" t="str">
        <f t="shared" si="16"/>
        <v>Janie &amp; JackJJ 18 SPR SO REFRESH</v>
      </c>
      <c r="R124" s="27" t="str">
        <f t="shared" si="17"/>
        <v>2018Janie &amp; JackSeasonal Basics</v>
      </c>
      <c r="S124" s="343">
        <v>2018</v>
      </c>
      <c r="T124" s="343" t="s">
        <v>32</v>
      </c>
      <c r="U124" s="343" t="s">
        <v>71</v>
      </c>
      <c r="V124" s="343" t="s">
        <v>169</v>
      </c>
      <c r="W124" s="343" t="s">
        <v>170</v>
      </c>
      <c r="X124" s="22">
        <f t="shared" si="18"/>
        <v>6</v>
      </c>
      <c r="Y124" s="22"/>
      <c r="AG124" s="27" t="str">
        <f t="shared" si="11"/>
        <v>Janie &amp; JackWebUSA16</v>
      </c>
      <c r="AH124" s="1" t="s">
        <v>32</v>
      </c>
      <c r="AI124" s="1" t="s">
        <v>15</v>
      </c>
      <c r="AJ124" s="1" t="s">
        <v>307</v>
      </c>
      <c r="AK124" s="1">
        <v>16</v>
      </c>
      <c r="AL124" s="19">
        <v>0.5</v>
      </c>
      <c r="AN124" s="109" t="str">
        <f t="shared" si="12"/>
        <v>Janie &amp; JackUSAOutletJJ 18 SPR SO REFRESH</v>
      </c>
      <c r="AO124" s="1" t="s">
        <v>32</v>
      </c>
      <c r="AP124" s="1" t="s">
        <v>17</v>
      </c>
      <c r="AQ124" s="1" t="s">
        <v>307</v>
      </c>
      <c r="AR124" s="1">
        <v>2018</v>
      </c>
      <c r="AS124" s="1" t="s">
        <v>16</v>
      </c>
      <c r="AT124" s="1" t="s">
        <v>169</v>
      </c>
      <c r="AU124" s="1"/>
      <c r="AV124" s="1"/>
      <c r="AW124" s="1">
        <v>0</v>
      </c>
      <c r="AX124" s="1">
        <v>0.2</v>
      </c>
      <c r="AY124" s="1">
        <v>201806</v>
      </c>
      <c r="AZ124" s="1">
        <v>8</v>
      </c>
      <c r="BA124" s="19" t="s">
        <v>170</v>
      </c>
    </row>
    <row r="125" spans="17:53" x14ac:dyDescent="0.25">
      <c r="Q125" s="109" t="str">
        <f t="shared" si="16"/>
        <v>Janie &amp; JackJJ 18 SWIM 2</v>
      </c>
      <c r="R125" s="27" t="str">
        <f t="shared" si="17"/>
        <v>2018Janie &amp; JackSeasonal Basics</v>
      </c>
      <c r="S125" s="343">
        <v>2018</v>
      </c>
      <c r="T125" s="343" t="s">
        <v>32</v>
      </c>
      <c r="U125" s="343" t="s">
        <v>71</v>
      </c>
      <c r="V125" s="343" t="s">
        <v>165</v>
      </c>
      <c r="W125" s="343" t="s">
        <v>166</v>
      </c>
      <c r="X125" s="22">
        <f t="shared" si="18"/>
        <v>6</v>
      </c>
      <c r="Y125" s="22"/>
      <c r="AG125" s="27" t="str">
        <f t="shared" si="11"/>
        <v>Janie &amp; JackWebUSA17</v>
      </c>
      <c r="AH125" s="1" t="s">
        <v>32</v>
      </c>
      <c r="AI125" s="1" t="s">
        <v>15</v>
      </c>
      <c r="AJ125" s="1" t="s">
        <v>307</v>
      </c>
      <c r="AK125" s="1">
        <v>17</v>
      </c>
      <c r="AL125" s="19">
        <v>0.51</v>
      </c>
      <c r="AN125" s="109" t="str">
        <f t="shared" si="12"/>
        <v>Janie &amp; JackUSAOutletJJ 18 MAR SPR 2</v>
      </c>
      <c r="AO125" s="1" t="s">
        <v>32</v>
      </c>
      <c r="AP125" s="1" t="s">
        <v>17</v>
      </c>
      <c r="AQ125" s="1" t="s">
        <v>307</v>
      </c>
      <c r="AR125" s="1">
        <v>2018</v>
      </c>
      <c r="AS125" s="1" t="s">
        <v>16</v>
      </c>
      <c r="AT125" s="1" t="s">
        <v>197</v>
      </c>
      <c r="AU125" s="1">
        <v>35.89</v>
      </c>
      <c r="AV125" s="1">
        <v>6.97</v>
      </c>
      <c r="AW125" s="1">
        <v>49333</v>
      </c>
      <c r="AX125" s="1">
        <v>0.23</v>
      </c>
      <c r="AY125" s="1">
        <v>201809</v>
      </c>
      <c r="AZ125" s="1">
        <v>5</v>
      </c>
      <c r="BA125" s="19" t="s">
        <v>198</v>
      </c>
    </row>
    <row r="126" spans="17:53" x14ac:dyDescent="0.25">
      <c r="Q126" s="109" t="str">
        <f t="shared" si="16"/>
        <v>Janie &amp; JackWinter 17</v>
      </c>
      <c r="R126" s="27" t="str">
        <f t="shared" si="17"/>
        <v>2018Janie &amp; JackWinter 17</v>
      </c>
      <c r="S126" s="343">
        <v>2018</v>
      </c>
      <c r="T126" s="343" t="s">
        <v>32</v>
      </c>
      <c r="U126" s="343" t="s">
        <v>462</v>
      </c>
      <c r="V126" s="343" t="s">
        <v>462</v>
      </c>
      <c r="W126" s="343" t="s">
        <v>461</v>
      </c>
      <c r="X126" s="22">
        <f t="shared" si="18"/>
        <v>7</v>
      </c>
      <c r="Y126" s="22"/>
      <c r="AG126" s="27" t="str">
        <f t="shared" si="11"/>
        <v>Janie &amp; JackWebUSA18</v>
      </c>
      <c r="AH126" s="1" t="s">
        <v>32</v>
      </c>
      <c r="AI126" s="1" t="s">
        <v>15</v>
      </c>
      <c r="AJ126" s="1" t="s">
        <v>307</v>
      </c>
      <c r="AK126" s="1">
        <v>18</v>
      </c>
      <c r="AL126" s="19">
        <v>0.49</v>
      </c>
      <c r="AN126" s="109" t="str">
        <f t="shared" si="12"/>
        <v>Janie &amp; JackUSAOutletJJ 18 MAR LAY SWIM</v>
      </c>
      <c r="AO126" s="1" t="s">
        <v>32</v>
      </c>
      <c r="AP126" s="1" t="s">
        <v>17</v>
      </c>
      <c r="AQ126" s="1" t="s">
        <v>307</v>
      </c>
      <c r="AR126" s="1">
        <v>2018</v>
      </c>
      <c r="AS126" s="1" t="s">
        <v>16</v>
      </c>
      <c r="AT126" s="1" t="s">
        <v>174</v>
      </c>
      <c r="AU126" s="1">
        <v>27.31</v>
      </c>
      <c r="AV126" s="1">
        <v>5</v>
      </c>
      <c r="AW126" s="1">
        <v>5659</v>
      </c>
      <c r="AX126" s="1">
        <v>0.23</v>
      </c>
      <c r="AY126" s="1">
        <v>201809</v>
      </c>
      <c r="AZ126" s="1">
        <v>8</v>
      </c>
      <c r="BA126" s="19" t="s">
        <v>175</v>
      </c>
    </row>
    <row r="127" spans="17:53" x14ac:dyDescent="0.25">
      <c r="Q127" s="109" t="str">
        <f t="shared" si="16"/>
        <v>Janie &amp; JackOld</v>
      </c>
      <c r="R127" s="27" t="str">
        <f t="shared" si="17"/>
        <v>2018Janie &amp; JackOld</v>
      </c>
      <c r="S127" s="343">
        <v>2018</v>
      </c>
      <c r="T127" s="343" t="s">
        <v>32</v>
      </c>
      <c r="U127" s="343" t="s">
        <v>460</v>
      </c>
      <c r="V127" s="343" t="s">
        <v>460</v>
      </c>
      <c r="W127" s="343" t="s">
        <v>460</v>
      </c>
      <c r="X127" s="22">
        <f t="shared" si="18"/>
        <v>8</v>
      </c>
      <c r="Y127" s="22"/>
      <c r="AG127" s="27" t="str">
        <f t="shared" si="11"/>
        <v>Janie &amp; JackWebUSA19</v>
      </c>
      <c r="AH127" s="1" t="s">
        <v>32</v>
      </c>
      <c r="AI127" s="1" t="s">
        <v>15</v>
      </c>
      <c r="AJ127" s="1" t="s">
        <v>307</v>
      </c>
      <c r="AK127" s="1">
        <v>19</v>
      </c>
      <c r="AL127" s="19">
        <v>0.4</v>
      </c>
      <c r="AN127" s="109" t="str">
        <f t="shared" si="12"/>
        <v>Janie &amp; JackUSAOutletJJ 18 FEB SPRING LIMITED EDITION</v>
      </c>
      <c r="AO127" s="1" t="s">
        <v>32</v>
      </c>
      <c r="AP127" s="1" t="s">
        <v>17</v>
      </c>
      <c r="AQ127" s="1" t="s">
        <v>307</v>
      </c>
      <c r="AR127" s="1">
        <v>2018</v>
      </c>
      <c r="AS127" s="1" t="s">
        <v>16</v>
      </c>
      <c r="AT127" s="1" t="s">
        <v>199</v>
      </c>
      <c r="AU127" s="1"/>
      <c r="AV127" s="1"/>
      <c r="AW127" s="1">
        <v>0</v>
      </c>
      <c r="AX127" s="1">
        <v>0.2</v>
      </c>
      <c r="AY127" s="1">
        <v>201810</v>
      </c>
      <c r="AZ127" s="1">
        <v>5</v>
      </c>
      <c r="BA127" s="19" t="s">
        <v>371</v>
      </c>
    </row>
    <row r="128" spans="17:53" x14ac:dyDescent="0.25">
      <c r="Q128" s="109" t="str">
        <f t="shared" si="16"/>
        <v>OutletGY 18 OUTLET BNB Spring</v>
      </c>
      <c r="R128" s="27" t="str">
        <f t="shared" si="17"/>
        <v>2018OutletSpring</v>
      </c>
      <c r="S128" s="343">
        <v>2018</v>
      </c>
      <c r="T128" s="343" t="s">
        <v>17</v>
      </c>
      <c r="U128" s="343" t="s">
        <v>16</v>
      </c>
      <c r="V128" s="343" t="s">
        <v>242</v>
      </c>
      <c r="W128" s="343" t="s">
        <v>243</v>
      </c>
      <c r="X128" s="22">
        <f t="shared" si="18"/>
        <v>1</v>
      </c>
      <c r="Y128" s="22"/>
      <c r="AG128" s="27" t="str">
        <f t="shared" si="11"/>
        <v>Janie &amp; JackWebUSA20</v>
      </c>
      <c r="AH128" s="1" t="s">
        <v>32</v>
      </c>
      <c r="AI128" s="1" t="s">
        <v>15</v>
      </c>
      <c r="AJ128" s="1" t="s">
        <v>307</v>
      </c>
      <c r="AK128" s="1">
        <v>20</v>
      </c>
      <c r="AL128" s="19">
        <v>0.5</v>
      </c>
      <c r="AN128" s="109" t="str">
        <f t="shared" si="12"/>
        <v>Janie &amp; JackUSAOutletJJ 18 MAR SUMMER 0</v>
      </c>
      <c r="AO128" s="1" t="s">
        <v>32</v>
      </c>
      <c r="AP128" s="1" t="s">
        <v>17</v>
      </c>
      <c r="AQ128" s="1" t="s">
        <v>307</v>
      </c>
      <c r="AR128" s="1">
        <v>2018</v>
      </c>
      <c r="AS128" s="1" t="s">
        <v>18</v>
      </c>
      <c r="AT128" s="1" t="s">
        <v>201</v>
      </c>
      <c r="AU128" s="1">
        <v>35.32</v>
      </c>
      <c r="AV128" s="1">
        <v>6.51</v>
      </c>
      <c r="AW128" s="1">
        <v>31867</v>
      </c>
      <c r="AX128" s="1">
        <v>0.19</v>
      </c>
      <c r="AY128" s="1">
        <v>201812</v>
      </c>
      <c r="AZ128" s="1">
        <v>5</v>
      </c>
      <c r="BA128" s="19" t="s">
        <v>202</v>
      </c>
    </row>
    <row r="129" spans="17:53" x14ac:dyDescent="0.25">
      <c r="Q129" s="109" t="str">
        <f t="shared" si="16"/>
        <v>OutletGY 18 OUTLET Easter</v>
      </c>
      <c r="R129" s="27" t="str">
        <f t="shared" si="17"/>
        <v>2018OutletSpring</v>
      </c>
      <c r="S129" s="343">
        <v>2018</v>
      </c>
      <c r="T129" s="343" t="s">
        <v>17</v>
      </c>
      <c r="U129" s="343" t="s">
        <v>16</v>
      </c>
      <c r="V129" s="343" t="s">
        <v>246</v>
      </c>
      <c r="W129" s="343" t="s">
        <v>247</v>
      </c>
      <c r="X129" s="22">
        <f t="shared" si="18"/>
        <v>1</v>
      </c>
      <c r="Y129" s="22"/>
      <c r="AG129" s="27" t="str">
        <f t="shared" si="11"/>
        <v>Janie &amp; JackWebUSA21</v>
      </c>
      <c r="AH129" s="1" t="s">
        <v>32</v>
      </c>
      <c r="AI129" s="1" t="s">
        <v>15</v>
      </c>
      <c r="AJ129" s="1" t="s">
        <v>307</v>
      </c>
      <c r="AK129" s="1">
        <v>21</v>
      </c>
      <c r="AL129" s="19">
        <v>0.55000000000000004</v>
      </c>
      <c r="AN129" s="109" t="str">
        <f t="shared" si="12"/>
        <v>Janie &amp; JackUSAOutletJJ 18 APR SMR 1</v>
      </c>
      <c r="AO129" s="1" t="s">
        <v>32</v>
      </c>
      <c r="AP129" s="1" t="s">
        <v>17</v>
      </c>
      <c r="AQ129" s="1" t="s">
        <v>307</v>
      </c>
      <c r="AR129" s="1">
        <v>2018</v>
      </c>
      <c r="AS129" s="1" t="s">
        <v>18</v>
      </c>
      <c r="AT129" s="1" t="s">
        <v>203</v>
      </c>
      <c r="AU129" s="1">
        <v>34.979999999999997</v>
      </c>
      <c r="AV129" s="1">
        <v>6.53</v>
      </c>
      <c r="AW129" s="1">
        <v>53777</v>
      </c>
      <c r="AX129" s="1">
        <v>0.15</v>
      </c>
      <c r="AY129" s="1">
        <v>201814</v>
      </c>
      <c r="AZ129" s="1">
        <v>5</v>
      </c>
      <c r="BA129" s="19" t="s">
        <v>204</v>
      </c>
    </row>
    <row r="130" spans="17:53" x14ac:dyDescent="0.25">
      <c r="Q130" s="109" t="str">
        <f t="shared" si="16"/>
        <v>OutletGY 18 OUTLET SPR</v>
      </c>
      <c r="R130" s="27" t="str">
        <f t="shared" si="17"/>
        <v>2018OutletSpring</v>
      </c>
      <c r="S130" s="343">
        <v>2018</v>
      </c>
      <c r="T130" s="343" t="s">
        <v>17</v>
      </c>
      <c r="U130" s="343" t="s">
        <v>16</v>
      </c>
      <c r="V130" s="343" t="s">
        <v>240</v>
      </c>
      <c r="W130" s="343" t="s">
        <v>241</v>
      </c>
      <c r="X130" s="22">
        <f t="shared" si="18"/>
        <v>1</v>
      </c>
      <c r="Y130" s="22"/>
      <c r="AG130" s="27" t="str">
        <f t="shared" si="11"/>
        <v>Janie &amp; JackWebUSA22</v>
      </c>
      <c r="AH130" s="1" t="s">
        <v>32</v>
      </c>
      <c r="AI130" s="1" t="s">
        <v>15</v>
      </c>
      <c r="AJ130" s="1" t="s">
        <v>307</v>
      </c>
      <c r="AK130" s="1">
        <v>22</v>
      </c>
      <c r="AL130" s="19">
        <v>0.55000000000000004</v>
      </c>
      <c r="AN130" s="109" t="str">
        <f t="shared" si="12"/>
        <v>Janie &amp; JackUSAOutletJJ 18 SMR BASICS</v>
      </c>
      <c r="AO130" s="1" t="s">
        <v>32</v>
      </c>
      <c r="AP130" s="1" t="s">
        <v>17</v>
      </c>
      <c r="AQ130" s="1" t="s">
        <v>307</v>
      </c>
      <c r="AR130" s="1">
        <v>2018</v>
      </c>
      <c r="AS130" s="1" t="s">
        <v>18</v>
      </c>
      <c r="AT130" s="1" t="s">
        <v>171</v>
      </c>
      <c r="AU130" s="1">
        <v>47.23</v>
      </c>
      <c r="AV130" s="1">
        <v>8.67</v>
      </c>
      <c r="AW130" s="1">
        <v>1976</v>
      </c>
      <c r="AX130" s="1">
        <v>0.2</v>
      </c>
      <c r="AY130" s="1">
        <v>201814</v>
      </c>
      <c r="AZ130" s="1">
        <v>8</v>
      </c>
      <c r="BA130" s="19" t="s">
        <v>172</v>
      </c>
    </row>
    <row r="131" spans="17:53" x14ac:dyDescent="0.25">
      <c r="Q131" s="109" t="str">
        <f t="shared" si="16"/>
        <v>OutletGY 18 OUTLET Spr Fashion Cap</v>
      </c>
      <c r="R131" s="27" t="str">
        <f t="shared" si="17"/>
        <v>2018OutletSpring</v>
      </c>
      <c r="S131" s="343">
        <v>2018</v>
      </c>
      <c r="T131" s="343" t="s">
        <v>17</v>
      </c>
      <c r="U131" s="343" t="s">
        <v>16</v>
      </c>
      <c r="V131" s="343" t="s">
        <v>248</v>
      </c>
      <c r="W131" s="343" t="s">
        <v>249</v>
      </c>
      <c r="X131" s="22">
        <f t="shared" si="18"/>
        <v>1</v>
      </c>
      <c r="Y131" s="22"/>
      <c r="AG131" s="27" t="str">
        <f t="shared" si="11"/>
        <v>Janie &amp; JackWebUSA23</v>
      </c>
      <c r="AH131" s="1" t="s">
        <v>32</v>
      </c>
      <c r="AI131" s="1" t="s">
        <v>15</v>
      </c>
      <c r="AJ131" s="1" t="s">
        <v>307</v>
      </c>
      <c r="AK131" s="1">
        <v>23</v>
      </c>
      <c r="AL131" s="19">
        <v>0.55000000000000004</v>
      </c>
      <c r="AN131" s="109" t="str">
        <f t="shared" si="12"/>
        <v>Janie &amp; JackUSAOutletJJ 18 MAR JJ SPORT</v>
      </c>
      <c r="AO131" s="1" t="s">
        <v>32</v>
      </c>
      <c r="AP131" s="1" t="s">
        <v>17</v>
      </c>
      <c r="AQ131" s="1" t="s">
        <v>307</v>
      </c>
      <c r="AR131" s="1">
        <v>2018</v>
      </c>
      <c r="AS131" s="1" t="s">
        <v>18</v>
      </c>
      <c r="AT131" s="1" t="s">
        <v>200</v>
      </c>
      <c r="AU131" s="1">
        <v>37.5</v>
      </c>
      <c r="AV131" s="1">
        <v>7</v>
      </c>
      <c r="AW131" s="1">
        <v>11505</v>
      </c>
      <c r="AX131" s="1">
        <v>0.2</v>
      </c>
      <c r="AY131" s="1">
        <v>201812</v>
      </c>
      <c r="AZ131" s="1">
        <v>5</v>
      </c>
      <c r="BA131" s="19" t="s">
        <v>371</v>
      </c>
    </row>
    <row r="132" spans="17:53" x14ac:dyDescent="0.25">
      <c r="Q132" s="109" t="str">
        <f t="shared" si="16"/>
        <v>OutletGY 18 OUTLET SPRING 1</v>
      </c>
      <c r="R132" s="27" t="str">
        <f t="shared" si="17"/>
        <v>2018OutletSpring</v>
      </c>
      <c r="S132" s="343">
        <v>2018</v>
      </c>
      <c r="T132" s="343" t="s">
        <v>17</v>
      </c>
      <c r="U132" s="343" t="s">
        <v>16</v>
      </c>
      <c r="V132" s="343" t="s">
        <v>250</v>
      </c>
      <c r="W132" s="343" t="s">
        <v>251</v>
      </c>
      <c r="X132" s="22">
        <f t="shared" si="18"/>
        <v>1</v>
      </c>
      <c r="Y132" s="22"/>
      <c r="AG132" s="27" t="str">
        <f t="shared" ref="AG132:AG195" si="19">AH132&amp;AI132&amp;AJ132&amp;AK132</f>
        <v>Janie &amp; JackWebUSA24</v>
      </c>
      <c r="AH132" s="1" t="s">
        <v>32</v>
      </c>
      <c r="AI132" s="1" t="s">
        <v>15</v>
      </c>
      <c r="AJ132" s="1" t="s">
        <v>307</v>
      </c>
      <c r="AK132" s="1">
        <v>24</v>
      </c>
      <c r="AL132" s="19">
        <v>0.56000000000000005</v>
      </c>
      <c r="AN132" s="109" t="str">
        <f t="shared" ref="AN132:AN195" si="20">AO132&amp;AQ132&amp;AP132&amp;AT132</f>
        <v>Janie &amp; JackUSAOutletJJ 18 MAY SUMMER 2</v>
      </c>
      <c r="AO132" s="1" t="s">
        <v>32</v>
      </c>
      <c r="AP132" s="1" t="s">
        <v>17</v>
      </c>
      <c r="AQ132" s="1" t="s">
        <v>307</v>
      </c>
      <c r="AR132" s="1">
        <v>2018</v>
      </c>
      <c r="AS132" s="1" t="s">
        <v>18</v>
      </c>
      <c r="AT132" s="1" t="s">
        <v>205</v>
      </c>
      <c r="AU132" s="1">
        <v>36.75</v>
      </c>
      <c r="AV132" s="1">
        <v>6.46</v>
      </c>
      <c r="AW132" s="1">
        <v>46486</v>
      </c>
      <c r="AX132" s="1">
        <v>0.21</v>
      </c>
      <c r="AY132" s="1">
        <v>201816</v>
      </c>
      <c r="AZ132" s="1">
        <v>5</v>
      </c>
      <c r="BA132" s="19" t="s">
        <v>206</v>
      </c>
    </row>
    <row r="133" spans="17:53" x14ac:dyDescent="0.25">
      <c r="Q133" s="109" t="str">
        <f t="shared" si="16"/>
        <v>OutletGY 18 OUTLET Spring 2</v>
      </c>
      <c r="R133" s="27" t="str">
        <f t="shared" si="17"/>
        <v>2018OutletSpring</v>
      </c>
      <c r="S133" s="343">
        <v>2018</v>
      </c>
      <c r="T133" s="343" t="s">
        <v>17</v>
      </c>
      <c r="U133" s="343" t="s">
        <v>16</v>
      </c>
      <c r="V133" s="343" t="s">
        <v>252</v>
      </c>
      <c r="W133" s="343" t="s">
        <v>253</v>
      </c>
      <c r="X133" s="22">
        <f t="shared" si="18"/>
        <v>1</v>
      </c>
      <c r="Y133" s="22"/>
      <c r="AG133" s="27" t="str">
        <f t="shared" si="19"/>
        <v>Janie &amp; JackWebUSA25</v>
      </c>
      <c r="AH133" s="1" t="s">
        <v>32</v>
      </c>
      <c r="AI133" s="1" t="s">
        <v>15</v>
      </c>
      <c r="AJ133" s="1" t="s">
        <v>307</v>
      </c>
      <c r="AK133" s="1">
        <v>25</v>
      </c>
      <c r="AL133" s="19">
        <v>0.6</v>
      </c>
      <c r="AN133" s="109" t="str">
        <f t="shared" si="20"/>
        <v>Janie &amp; JackUSAOutletJJ 18 MAY 4TH OF JULY</v>
      </c>
      <c r="AO133" s="1" t="s">
        <v>32</v>
      </c>
      <c r="AP133" s="1" t="s">
        <v>17</v>
      </c>
      <c r="AQ133" s="1" t="s">
        <v>307</v>
      </c>
      <c r="AR133" s="1">
        <v>2018</v>
      </c>
      <c r="AS133" s="1" t="s">
        <v>18</v>
      </c>
      <c r="AT133" s="1" t="s">
        <v>207</v>
      </c>
      <c r="AU133" s="1">
        <v>33.01</v>
      </c>
      <c r="AV133" s="1">
        <v>6.17</v>
      </c>
      <c r="AW133" s="1">
        <v>17065</v>
      </c>
      <c r="AX133" s="1">
        <v>0.23</v>
      </c>
      <c r="AY133" s="1">
        <v>201816</v>
      </c>
      <c r="AZ133" s="1">
        <v>5</v>
      </c>
      <c r="BA133" s="19" t="s">
        <v>208</v>
      </c>
    </row>
    <row r="134" spans="17:53" x14ac:dyDescent="0.25">
      <c r="Q134" s="109" t="str">
        <f t="shared" si="16"/>
        <v>OutletGY 18 OUTLET Spring 3</v>
      </c>
      <c r="R134" s="27" t="str">
        <f t="shared" si="17"/>
        <v>2018OutletSpring</v>
      </c>
      <c r="S134" s="343">
        <v>2018</v>
      </c>
      <c r="T134" s="343" t="s">
        <v>17</v>
      </c>
      <c r="U134" s="343" t="s">
        <v>16</v>
      </c>
      <c r="V134" s="343" t="s">
        <v>254</v>
      </c>
      <c r="W134" s="343" t="s">
        <v>255</v>
      </c>
      <c r="X134" s="22">
        <f t="shared" si="18"/>
        <v>1</v>
      </c>
      <c r="Y134" s="22"/>
      <c r="AG134" s="27" t="str">
        <f t="shared" si="19"/>
        <v>Janie &amp; JackWebUSA26</v>
      </c>
      <c r="AH134" s="1" t="s">
        <v>32</v>
      </c>
      <c r="AI134" s="1" t="s">
        <v>15</v>
      </c>
      <c r="AJ134" s="1" t="s">
        <v>307</v>
      </c>
      <c r="AK134" s="1">
        <v>26</v>
      </c>
      <c r="AL134" s="19">
        <v>0.65</v>
      </c>
      <c r="AN134" s="109" t="str">
        <f t="shared" si="20"/>
        <v>Janie &amp; JackUSAOutletJJ 18 MAY TRANS GIFT LAY</v>
      </c>
      <c r="AO134" s="1" t="s">
        <v>32</v>
      </c>
      <c r="AP134" s="1" t="s">
        <v>17</v>
      </c>
      <c r="AQ134" s="1" t="s">
        <v>307</v>
      </c>
      <c r="AR134" s="1">
        <v>2018</v>
      </c>
      <c r="AS134" s="1" t="s">
        <v>18</v>
      </c>
      <c r="AT134" s="1" t="s">
        <v>217</v>
      </c>
      <c r="AU134" s="1">
        <v>35.97</v>
      </c>
      <c r="AV134" s="1">
        <v>7.7</v>
      </c>
      <c r="AW134" s="1">
        <v>5100</v>
      </c>
      <c r="AX134" s="1">
        <v>0.2</v>
      </c>
      <c r="AY134" s="1">
        <v>201816</v>
      </c>
      <c r="AZ134" s="1">
        <v>8</v>
      </c>
      <c r="BA134" s="19" t="s">
        <v>218</v>
      </c>
    </row>
    <row r="135" spans="17:53" x14ac:dyDescent="0.25">
      <c r="Q135" s="109" t="str">
        <f t="shared" si="16"/>
        <v>OutletGY 18 OUTLET SPRING ACTIVE</v>
      </c>
      <c r="R135" s="27" t="str">
        <f t="shared" si="17"/>
        <v>2018OutletSpring</v>
      </c>
      <c r="S135" s="343">
        <v>2018</v>
      </c>
      <c r="T135" s="343" t="s">
        <v>17</v>
      </c>
      <c r="U135" s="343" t="s">
        <v>16</v>
      </c>
      <c r="V135" s="343" t="s">
        <v>244</v>
      </c>
      <c r="W135" s="343" t="s">
        <v>245</v>
      </c>
      <c r="X135" s="22">
        <f t="shared" si="18"/>
        <v>1</v>
      </c>
      <c r="Y135" s="22"/>
      <c r="AG135" s="27" t="str">
        <f t="shared" si="19"/>
        <v>Janie &amp; JackWebUSA27</v>
      </c>
      <c r="AH135" s="1" t="s">
        <v>32</v>
      </c>
      <c r="AI135" s="1" t="s">
        <v>15</v>
      </c>
      <c r="AJ135" s="1" t="s">
        <v>307</v>
      </c>
      <c r="AK135" s="1">
        <v>27</v>
      </c>
      <c r="AL135" s="19">
        <v>0.65</v>
      </c>
      <c r="AN135" s="109" t="str">
        <f t="shared" si="20"/>
        <v>Janie &amp; JackUSAOutletJJ 18 MAY SUMMER 3</v>
      </c>
      <c r="AO135" s="1" t="s">
        <v>32</v>
      </c>
      <c r="AP135" s="1" t="s">
        <v>17</v>
      </c>
      <c r="AQ135" s="1" t="s">
        <v>307</v>
      </c>
      <c r="AR135" s="1">
        <v>2018</v>
      </c>
      <c r="AS135" s="1" t="s">
        <v>18</v>
      </c>
      <c r="AT135" s="1" t="s">
        <v>210</v>
      </c>
      <c r="AU135" s="1">
        <v>36.58</v>
      </c>
      <c r="AV135" s="1">
        <v>6.73</v>
      </c>
      <c r="AW135" s="1">
        <v>52280</v>
      </c>
      <c r="AX135" s="1">
        <v>0.2</v>
      </c>
      <c r="AY135" s="1">
        <v>201818</v>
      </c>
      <c r="AZ135" s="1">
        <v>5</v>
      </c>
      <c r="BA135" s="19" t="s">
        <v>211</v>
      </c>
    </row>
    <row r="136" spans="17:53" x14ac:dyDescent="0.25">
      <c r="Q136" s="109" t="str">
        <f t="shared" si="16"/>
        <v>OutletGY 18 OUTLET Swim 1</v>
      </c>
      <c r="R136" s="27" t="str">
        <f t="shared" si="17"/>
        <v>2018OutletSpring</v>
      </c>
      <c r="S136" s="343">
        <v>2018</v>
      </c>
      <c r="T136" s="343" t="s">
        <v>17</v>
      </c>
      <c r="U136" s="343" t="s">
        <v>16</v>
      </c>
      <c r="V136" s="343" t="s">
        <v>256</v>
      </c>
      <c r="W136" s="343" t="s">
        <v>257</v>
      </c>
      <c r="X136" s="22">
        <f t="shared" si="18"/>
        <v>1</v>
      </c>
      <c r="Y136" s="22"/>
      <c r="AG136" s="27" t="str">
        <f t="shared" si="19"/>
        <v>Janie &amp; JackWebUSA28</v>
      </c>
      <c r="AH136" s="1" t="s">
        <v>32</v>
      </c>
      <c r="AI136" s="1" t="s">
        <v>15</v>
      </c>
      <c r="AJ136" s="1" t="s">
        <v>307</v>
      </c>
      <c r="AK136" s="1">
        <v>28</v>
      </c>
      <c r="AL136" s="19">
        <v>0.65</v>
      </c>
      <c r="AN136" s="109" t="str">
        <f t="shared" si="20"/>
        <v>Janie &amp; JackUSAOutletJJ 18 MAY SPORT</v>
      </c>
      <c r="AO136" s="1" t="s">
        <v>32</v>
      </c>
      <c r="AP136" s="1" t="s">
        <v>17</v>
      </c>
      <c r="AQ136" s="1" t="s">
        <v>307</v>
      </c>
      <c r="AR136" s="1">
        <v>2018</v>
      </c>
      <c r="AS136" s="1" t="s">
        <v>18</v>
      </c>
      <c r="AT136" s="1" t="s">
        <v>359</v>
      </c>
      <c r="AU136" s="1">
        <v>27.75</v>
      </c>
      <c r="AV136" s="1">
        <v>4.9000000000000004</v>
      </c>
      <c r="AW136" s="1">
        <v>10963</v>
      </c>
      <c r="AX136" s="1">
        <v>0.16</v>
      </c>
      <c r="AY136" s="1">
        <v>201818</v>
      </c>
      <c r="AZ136" s="1">
        <v>5</v>
      </c>
      <c r="BA136" s="19" t="s">
        <v>371</v>
      </c>
    </row>
    <row r="137" spans="17:53" x14ac:dyDescent="0.25">
      <c r="Q137" s="109" t="str">
        <f t="shared" si="16"/>
        <v>OutletGY 18 OUTLET Swim 2</v>
      </c>
      <c r="R137" s="27" t="str">
        <f t="shared" si="17"/>
        <v>2018OutletSpring</v>
      </c>
      <c r="S137" s="343">
        <v>2018</v>
      </c>
      <c r="T137" s="343" t="s">
        <v>17</v>
      </c>
      <c r="U137" s="343" t="s">
        <v>16</v>
      </c>
      <c r="V137" s="343" t="s">
        <v>258</v>
      </c>
      <c r="W137" s="343" t="s">
        <v>259</v>
      </c>
      <c r="X137" s="22">
        <f t="shared" si="18"/>
        <v>1</v>
      </c>
      <c r="Y137" s="22"/>
      <c r="AG137" s="27" t="str">
        <f t="shared" si="19"/>
        <v>Janie &amp; JackWebUSA29</v>
      </c>
      <c r="AH137" s="1" t="s">
        <v>32</v>
      </c>
      <c r="AI137" s="1" t="s">
        <v>15</v>
      </c>
      <c r="AJ137" s="1" t="s">
        <v>307</v>
      </c>
      <c r="AK137" s="1">
        <v>29</v>
      </c>
      <c r="AL137" s="19">
        <v>0.65</v>
      </c>
      <c r="AN137" s="109" t="str">
        <f t="shared" si="20"/>
        <v>Janie &amp; JackUSAOutletJJ 18 MAY SUMMER 4</v>
      </c>
      <c r="AO137" s="1" t="s">
        <v>32</v>
      </c>
      <c r="AP137" s="1" t="s">
        <v>17</v>
      </c>
      <c r="AQ137" s="1" t="s">
        <v>307</v>
      </c>
      <c r="AR137" s="1">
        <v>2018</v>
      </c>
      <c r="AS137" s="1" t="s">
        <v>18</v>
      </c>
      <c r="AT137" s="1" t="s">
        <v>212</v>
      </c>
      <c r="AU137" s="1">
        <v>35.619999999999997</v>
      </c>
      <c r="AV137" s="1">
        <v>6.19</v>
      </c>
      <c r="AW137" s="1">
        <v>27594</v>
      </c>
      <c r="AX137" s="1">
        <v>0.18</v>
      </c>
      <c r="AY137" s="1">
        <v>201820</v>
      </c>
      <c r="AZ137" s="1">
        <v>5</v>
      </c>
      <c r="BA137" s="19" t="s">
        <v>213</v>
      </c>
    </row>
    <row r="138" spans="17:53" x14ac:dyDescent="0.25">
      <c r="Q138" s="109" t="str">
        <f t="shared" si="16"/>
        <v>OutletGY 18 OUTLET VDAY</v>
      </c>
      <c r="R138" s="27" t="str">
        <f t="shared" si="17"/>
        <v>2018OutletSpring</v>
      </c>
      <c r="S138" s="343">
        <v>2018</v>
      </c>
      <c r="T138" s="343" t="s">
        <v>17</v>
      </c>
      <c r="U138" s="343" t="s">
        <v>16</v>
      </c>
      <c r="V138" s="343" t="s">
        <v>238</v>
      </c>
      <c r="W138" s="343" t="s">
        <v>239</v>
      </c>
      <c r="X138" s="22">
        <f t="shared" si="18"/>
        <v>1</v>
      </c>
      <c r="Y138" s="22"/>
      <c r="AG138" s="27" t="str">
        <f t="shared" si="19"/>
        <v>Janie &amp; JackWebUSA30</v>
      </c>
      <c r="AH138" s="1" t="s">
        <v>32</v>
      </c>
      <c r="AI138" s="1" t="s">
        <v>15</v>
      </c>
      <c r="AJ138" s="1" t="s">
        <v>307</v>
      </c>
      <c r="AK138" s="1">
        <v>30</v>
      </c>
      <c r="AL138" s="19">
        <v>0.65</v>
      </c>
      <c r="AN138" s="109" t="str">
        <f t="shared" si="20"/>
        <v>Janie &amp; JackUSAOutletJJ 18 JUN TRANS 1</v>
      </c>
      <c r="AO138" s="1" t="s">
        <v>32</v>
      </c>
      <c r="AP138" s="1" t="s">
        <v>17</v>
      </c>
      <c r="AQ138" s="1" t="s">
        <v>307</v>
      </c>
      <c r="AR138" s="1">
        <v>2018</v>
      </c>
      <c r="AS138" s="1" t="s">
        <v>18</v>
      </c>
      <c r="AT138" s="1" t="s">
        <v>214</v>
      </c>
      <c r="AU138" s="1">
        <v>37.36</v>
      </c>
      <c r="AV138" s="1">
        <v>6.79</v>
      </c>
      <c r="AW138" s="1">
        <v>39973</v>
      </c>
      <c r="AX138" s="1">
        <v>0.21</v>
      </c>
      <c r="AY138" s="1">
        <v>201822</v>
      </c>
      <c r="AZ138" s="1">
        <v>5</v>
      </c>
      <c r="BA138" s="19" t="s">
        <v>215</v>
      </c>
    </row>
    <row r="139" spans="17:53" x14ac:dyDescent="0.25">
      <c r="Q139" s="109" t="str">
        <f t="shared" si="16"/>
        <v>OutletGY 18 OUTLET BNB SUMMER</v>
      </c>
      <c r="R139" s="27" t="str">
        <f t="shared" si="17"/>
        <v>2018OutletSummer</v>
      </c>
      <c r="S139" s="343">
        <v>2018</v>
      </c>
      <c r="T139" s="343" t="s">
        <v>17</v>
      </c>
      <c r="U139" s="343" t="s">
        <v>18</v>
      </c>
      <c r="V139" s="343" t="s">
        <v>264</v>
      </c>
      <c r="W139" s="343" t="s">
        <v>265</v>
      </c>
      <c r="X139" s="22">
        <f t="shared" si="18"/>
        <v>2</v>
      </c>
      <c r="Y139" s="22"/>
      <c r="AG139" s="27" t="str">
        <f t="shared" si="19"/>
        <v>Janie &amp; JackWebUSA31</v>
      </c>
      <c r="AH139" s="1" t="s">
        <v>32</v>
      </c>
      <c r="AI139" s="1" t="s">
        <v>15</v>
      </c>
      <c r="AJ139" s="1" t="s">
        <v>307</v>
      </c>
      <c r="AK139" s="1">
        <v>31</v>
      </c>
      <c r="AL139" s="19">
        <v>0.65</v>
      </c>
      <c r="AN139" s="109" t="str">
        <f t="shared" si="20"/>
        <v>Janie &amp; JackUSAOutletJJ 18 JULY TRANS 2</v>
      </c>
      <c r="AO139" s="1" t="s">
        <v>32</v>
      </c>
      <c r="AP139" s="1" t="s">
        <v>17</v>
      </c>
      <c r="AQ139" s="1" t="s">
        <v>307</v>
      </c>
      <c r="AR139" s="1">
        <v>2018</v>
      </c>
      <c r="AS139" s="1" t="s">
        <v>18</v>
      </c>
      <c r="AT139" s="1" t="s">
        <v>154</v>
      </c>
      <c r="AU139" s="1">
        <v>34.82</v>
      </c>
      <c r="AV139" s="1">
        <v>6.28</v>
      </c>
      <c r="AW139" s="1">
        <v>46649</v>
      </c>
      <c r="AX139" s="1">
        <v>0.16</v>
      </c>
      <c r="AY139" s="1">
        <v>201825</v>
      </c>
      <c r="AZ139" s="1">
        <v>5</v>
      </c>
      <c r="BA139" s="19" t="s">
        <v>155</v>
      </c>
    </row>
    <row r="140" spans="17:53" x14ac:dyDescent="0.25">
      <c r="Q140" s="109" t="str">
        <f t="shared" si="16"/>
        <v>OutletGY 18 OUTLET SMR</v>
      </c>
      <c r="R140" s="27" t="str">
        <f t="shared" si="17"/>
        <v>2018OutletSummer</v>
      </c>
      <c r="S140" s="343">
        <v>2018</v>
      </c>
      <c r="T140" s="343" t="s">
        <v>17</v>
      </c>
      <c r="U140" s="343" t="s">
        <v>18</v>
      </c>
      <c r="V140" s="343" t="s">
        <v>262</v>
      </c>
      <c r="W140" s="343" t="s">
        <v>263</v>
      </c>
      <c r="X140" s="22">
        <f t="shared" si="18"/>
        <v>2</v>
      </c>
      <c r="Y140" s="22"/>
      <c r="AG140" s="27" t="str">
        <f t="shared" si="19"/>
        <v>Janie &amp; JackWebUSA32</v>
      </c>
      <c r="AH140" s="1" t="s">
        <v>32</v>
      </c>
      <c r="AI140" s="1" t="s">
        <v>15</v>
      </c>
      <c r="AJ140" s="1" t="s">
        <v>307</v>
      </c>
      <c r="AK140" s="1">
        <v>32</v>
      </c>
      <c r="AL140" s="19">
        <v>0.65</v>
      </c>
      <c r="AN140" s="109" t="str">
        <f t="shared" si="20"/>
        <v>Janie &amp; JackUSAOutletJJ 18 LAY SIGNATURE 2</v>
      </c>
      <c r="AO140" s="1" t="s">
        <v>32</v>
      </c>
      <c r="AP140" s="1" t="s">
        <v>17</v>
      </c>
      <c r="AQ140" s="1" t="s">
        <v>307</v>
      </c>
      <c r="AR140" s="1">
        <v>2018</v>
      </c>
      <c r="AS140" s="1" t="s">
        <v>18</v>
      </c>
      <c r="AT140" s="1" t="s">
        <v>180</v>
      </c>
      <c r="AU140" s="1">
        <v>28.66</v>
      </c>
      <c r="AV140" s="1">
        <v>5.89</v>
      </c>
      <c r="AW140" s="1">
        <v>37109</v>
      </c>
      <c r="AX140" s="1">
        <v>0.17</v>
      </c>
      <c r="AY140" s="1">
        <v>201827</v>
      </c>
      <c r="AZ140" s="1">
        <v>13</v>
      </c>
      <c r="BA140" s="19" t="s">
        <v>371</v>
      </c>
    </row>
    <row r="141" spans="17:53" x14ac:dyDescent="0.25">
      <c r="Q141" s="109" t="str">
        <f t="shared" si="16"/>
        <v>OutletGY 18 OUTLET Summer 1</v>
      </c>
      <c r="R141" s="27" t="str">
        <f t="shared" si="17"/>
        <v>2018OutletSummer</v>
      </c>
      <c r="S141" s="343">
        <v>2018</v>
      </c>
      <c r="T141" s="343" t="s">
        <v>17</v>
      </c>
      <c r="U141" s="343" t="s">
        <v>18</v>
      </c>
      <c r="V141" s="343" t="s">
        <v>268</v>
      </c>
      <c r="W141" s="343" t="s">
        <v>269</v>
      </c>
      <c r="X141" s="22">
        <f t="shared" si="18"/>
        <v>2</v>
      </c>
      <c r="Y141" s="22"/>
      <c r="AG141" s="27" t="str">
        <f t="shared" si="19"/>
        <v>Janie &amp; JackWebUSA33</v>
      </c>
      <c r="AH141" s="1" t="s">
        <v>32</v>
      </c>
      <c r="AI141" s="1" t="s">
        <v>15</v>
      </c>
      <c r="AJ141" s="1" t="s">
        <v>307</v>
      </c>
      <c r="AK141" s="1">
        <v>33</v>
      </c>
      <c r="AL141" s="19">
        <v>0.65</v>
      </c>
      <c r="AN141" s="109" t="str">
        <f t="shared" si="20"/>
        <v>Janie &amp; JackUSAOutletJJ 18 JULY SO SB 2</v>
      </c>
      <c r="AO141" s="1" t="s">
        <v>32</v>
      </c>
      <c r="AP141" s="1" t="s">
        <v>17</v>
      </c>
      <c r="AQ141" s="1" t="s">
        <v>307</v>
      </c>
      <c r="AR141" s="1">
        <v>2018</v>
      </c>
      <c r="AS141" s="1" t="s">
        <v>18</v>
      </c>
      <c r="AT141" s="1" t="s">
        <v>178</v>
      </c>
      <c r="AU141" s="1"/>
      <c r="AV141" s="1"/>
      <c r="AW141" s="1">
        <v>0</v>
      </c>
      <c r="AX141" s="1">
        <v>0.2</v>
      </c>
      <c r="AY141" s="1">
        <v>201827</v>
      </c>
      <c r="AZ141" s="1">
        <v>13</v>
      </c>
      <c r="BA141" s="19" t="s">
        <v>179</v>
      </c>
    </row>
    <row r="142" spans="17:53" x14ac:dyDescent="0.25">
      <c r="Q142" s="109" t="str">
        <f t="shared" si="16"/>
        <v>OutletGY 18 OUTLET SUMMER 2</v>
      </c>
      <c r="R142" s="27" t="str">
        <f t="shared" si="17"/>
        <v>2018OutletSummer</v>
      </c>
      <c r="S142" s="343">
        <v>2018</v>
      </c>
      <c r="T142" s="343" t="s">
        <v>17</v>
      </c>
      <c r="U142" s="343" t="s">
        <v>18</v>
      </c>
      <c r="V142" s="343" t="s">
        <v>270</v>
      </c>
      <c r="W142" s="343" t="s">
        <v>271</v>
      </c>
      <c r="X142" s="22">
        <f t="shared" si="18"/>
        <v>2</v>
      </c>
      <c r="Y142" s="22"/>
      <c r="AG142" s="27" t="str">
        <f t="shared" si="19"/>
        <v>Janie &amp; JackWebUSA34</v>
      </c>
      <c r="AH142" s="1" t="s">
        <v>32</v>
      </c>
      <c r="AI142" s="1" t="s">
        <v>15</v>
      </c>
      <c r="AJ142" s="1" t="s">
        <v>307</v>
      </c>
      <c r="AK142" s="1">
        <v>34</v>
      </c>
      <c r="AL142" s="19">
        <v>0.65</v>
      </c>
      <c r="AN142" s="109" t="str">
        <f t="shared" si="20"/>
        <v>Janie &amp; JackUSAOutletJJ 18 JULY TRANS 3</v>
      </c>
      <c r="AO142" s="1" t="s">
        <v>32</v>
      </c>
      <c r="AP142" s="1" t="s">
        <v>17</v>
      </c>
      <c r="AQ142" s="1" t="s">
        <v>307</v>
      </c>
      <c r="AR142" s="1">
        <v>2018</v>
      </c>
      <c r="AS142" s="1" t="s">
        <v>18</v>
      </c>
      <c r="AT142" s="1" t="s">
        <v>156</v>
      </c>
      <c r="AU142" s="1">
        <v>41.81</v>
      </c>
      <c r="AV142" s="1">
        <v>7.73</v>
      </c>
      <c r="AW142" s="1">
        <v>17052</v>
      </c>
      <c r="AX142" s="1">
        <v>0.3</v>
      </c>
      <c r="AY142" s="1">
        <v>201827</v>
      </c>
      <c r="AZ142" s="1">
        <v>5</v>
      </c>
      <c r="BA142" s="19" t="s">
        <v>157</v>
      </c>
    </row>
    <row r="143" spans="17:53" x14ac:dyDescent="0.25">
      <c r="Q143" s="109" t="str">
        <f t="shared" si="16"/>
        <v>OutletGY 18 OUTLET SUMMER 3</v>
      </c>
      <c r="R143" s="27" t="str">
        <f t="shared" si="17"/>
        <v>2018OutletSummer</v>
      </c>
      <c r="S143" s="343">
        <v>2018</v>
      </c>
      <c r="T143" s="343" t="s">
        <v>17</v>
      </c>
      <c r="U143" s="343" t="s">
        <v>18</v>
      </c>
      <c r="V143" s="343" t="s">
        <v>272</v>
      </c>
      <c r="W143" s="343" t="s">
        <v>273</v>
      </c>
      <c r="X143" s="22">
        <f t="shared" si="18"/>
        <v>2</v>
      </c>
      <c r="Y143" s="22"/>
      <c r="AG143" s="27" t="str">
        <f t="shared" si="19"/>
        <v>Janie &amp; JackWebUSA35</v>
      </c>
      <c r="AH143" s="1" t="s">
        <v>32</v>
      </c>
      <c r="AI143" s="1" t="s">
        <v>15</v>
      </c>
      <c r="AJ143" s="1" t="s">
        <v>307</v>
      </c>
      <c r="AK143" s="1">
        <v>35</v>
      </c>
      <c r="AL143" s="19">
        <v>0.65</v>
      </c>
      <c r="AN143" s="109" t="str">
        <f t="shared" si="20"/>
        <v>Janie &amp; JackUSAOutletJJ 18 JUN JJ SPORT</v>
      </c>
      <c r="AO143" s="1" t="s">
        <v>32</v>
      </c>
      <c r="AP143" s="1" t="s">
        <v>17</v>
      </c>
      <c r="AQ143" s="1" t="s">
        <v>307</v>
      </c>
      <c r="AR143" s="1">
        <v>2018</v>
      </c>
      <c r="AS143" s="1" t="s">
        <v>18</v>
      </c>
      <c r="AT143" s="1" t="s">
        <v>216</v>
      </c>
      <c r="AU143" s="1">
        <v>34.630000000000003</v>
      </c>
      <c r="AV143" s="1">
        <v>6.69</v>
      </c>
      <c r="AW143" s="1">
        <v>16586</v>
      </c>
      <c r="AX143" s="1">
        <v>0.2</v>
      </c>
      <c r="AY143" s="1">
        <v>201822</v>
      </c>
      <c r="AZ143" s="1">
        <v>5</v>
      </c>
      <c r="BA143" s="19" t="s">
        <v>371</v>
      </c>
    </row>
    <row r="144" spans="17:53" x14ac:dyDescent="0.25">
      <c r="Q144" s="109" t="str">
        <f t="shared" si="16"/>
        <v>OutletGY 18 OUTLET SUMMER 4</v>
      </c>
      <c r="R144" s="27" t="str">
        <f t="shared" si="17"/>
        <v>2018OutletSummer</v>
      </c>
      <c r="S144" s="343">
        <v>2018</v>
      </c>
      <c r="T144" s="343" t="s">
        <v>17</v>
      </c>
      <c r="U144" s="343" t="s">
        <v>18</v>
      </c>
      <c r="V144" s="343" t="s">
        <v>274</v>
      </c>
      <c r="W144" s="343" t="s">
        <v>275</v>
      </c>
      <c r="X144" s="22">
        <f t="shared" si="18"/>
        <v>2</v>
      </c>
      <c r="Y144" s="22"/>
      <c r="AG144" s="27" t="str">
        <f t="shared" si="19"/>
        <v>Janie &amp; JackWebUSA36</v>
      </c>
      <c r="AH144" s="1" t="s">
        <v>32</v>
      </c>
      <c r="AI144" s="1" t="s">
        <v>15</v>
      </c>
      <c r="AJ144" s="1" t="s">
        <v>307</v>
      </c>
      <c r="AK144" s="1">
        <v>36</v>
      </c>
      <c r="AL144" s="19">
        <v>0.65</v>
      </c>
      <c r="AN144" s="109" t="str">
        <f t="shared" si="20"/>
        <v>Janie &amp; JackUSAOutletJJ 18 JULY FALL GIFT LAY</v>
      </c>
      <c r="AO144" s="1" t="s">
        <v>32</v>
      </c>
      <c r="AP144" s="1" t="s">
        <v>17</v>
      </c>
      <c r="AQ144" s="1" t="s">
        <v>307</v>
      </c>
      <c r="AR144" s="1">
        <v>2018</v>
      </c>
      <c r="AS144" s="1" t="s">
        <v>18</v>
      </c>
      <c r="AT144" s="1" t="s">
        <v>160</v>
      </c>
      <c r="AU144" s="1"/>
      <c r="AV144" s="1"/>
      <c r="AW144" s="1">
        <v>0</v>
      </c>
      <c r="AX144" s="1">
        <v>0.2</v>
      </c>
      <c r="AY144" s="1">
        <v>201827</v>
      </c>
      <c r="AZ144" s="1">
        <v>8</v>
      </c>
      <c r="BA144" s="19" t="s">
        <v>347</v>
      </c>
    </row>
    <row r="145" spans="17:53" x14ac:dyDescent="0.25">
      <c r="Q145" s="109" t="str">
        <f t="shared" si="16"/>
        <v>OutletGY 18 OUTLET SUMMER ACTIVE</v>
      </c>
      <c r="R145" s="27" t="str">
        <f t="shared" si="17"/>
        <v>2018OutletSummer</v>
      </c>
      <c r="S145" s="343">
        <v>2018</v>
      </c>
      <c r="T145" s="343" t="s">
        <v>17</v>
      </c>
      <c r="U145" s="343" t="s">
        <v>18</v>
      </c>
      <c r="V145" s="343" t="s">
        <v>266</v>
      </c>
      <c r="W145" s="343" t="s">
        <v>267</v>
      </c>
      <c r="X145" s="22">
        <f t="shared" si="18"/>
        <v>2</v>
      </c>
      <c r="Y145" s="22"/>
      <c r="AG145" s="27" t="str">
        <f t="shared" si="19"/>
        <v>Janie &amp; JackWebUSA37</v>
      </c>
      <c r="AH145" s="1" t="s">
        <v>32</v>
      </c>
      <c r="AI145" s="1" t="s">
        <v>15</v>
      </c>
      <c r="AJ145" s="1" t="s">
        <v>307</v>
      </c>
      <c r="AK145" s="1">
        <v>37</v>
      </c>
      <c r="AL145" s="19">
        <v>0.65</v>
      </c>
      <c r="AN145" s="109" t="str">
        <f t="shared" si="20"/>
        <v>GymboreeUSARetailGY 18 VDAY</v>
      </c>
      <c r="AO145" s="1" t="s">
        <v>14</v>
      </c>
      <c r="AP145" s="1" t="s">
        <v>5</v>
      </c>
      <c r="AQ145" s="1" t="s">
        <v>307</v>
      </c>
      <c r="AR145" s="1">
        <v>2018</v>
      </c>
      <c r="AS145" s="1" t="s">
        <v>16</v>
      </c>
      <c r="AT145" s="1" t="s">
        <v>351</v>
      </c>
      <c r="AU145" s="1">
        <v>26.71</v>
      </c>
      <c r="AV145" s="1">
        <v>4.05</v>
      </c>
      <c r="AW145" s="1">
        <v>260441</v>
      </c>
      <c r="AX145" s="1">
        <v>0.5</v>
      </c>
      <c r="AY145" s="1">
        <v>201748</v>
      </c>
      <c r="AZ145" s="1">
        <v>7</v>
      </c>
      <c r="BA145" s="19" t="s">
        <v>350</v>
      </c>
    </row>
    <row r="146" spans="17:53" x14ac:dyDescent="0.25">
      <c r="Q146" s="109" t="str">
        <f t="shared" si="16"/>
        <v>OutletGY 18 OUTLET SWIM 3</v>
      </c>
      <c r="R146" s="27" t="str">
        <f t="shared" si="17"/>
        <v>2018OutletSummer</v>
      </c>
      <c r="S146" s="343">
        <v>2018</v>
      </c>
      <c r="T146" s="343" t="s">
        <v>17</v>
      </c>
      <c r="U146" s="343" t="s">
        <v>18</v>
      </c>
      <c r="V146" s="343" t="s">
        <v>260</v>
      </c>
      <c r="W146" s="343" t="s">
        <v>261</v>
      </c>
      <c r="X146" s="22">
        <f t="shared" si="18"/>
        <v>2</v>
      </c>
      <c r="Y146" s="22"/>
      <c r="AG146" s="27" t="str">
        <f t="shared" si="19"/>
        <v>Janie &amp; JackWebUSA38</v>
      </c>
      <c r="AH146" s="1" t="s">
        <v>32</v>
      </c>
      <c r="AI146" s="1" t="s">
        <v>15</v>
      </c>
      <c r="AJ146" s="1" t="s">
        <v>307</v>
      </c>
      <c r="AK146" s="1">
        <v>38</v>
      </c>
      <c r="AL146" s="19">
        <v>0.65</v>
      </c>
      <c r="AN146" s="109" t="str">
        <f t="shared" si="20"/>
        <v>GymboreeUSARetailGY 18 SPR</v>
      </c>
      <c r="AO146" s="1" t="s">
        <v>14</v>
      </c>
      <c r="AP146" s="1" t="s">
        <v>5</v>
      </c>
      <c r="AQ146" s="1" t="s">
        <v>307</v>
      </c>
      <c r="AR146" s="1">
        <v>2018</v>
      </c>
      <c r="AS146" s="1" t="s">
        <v>16</v>
      </c>
      <c r="AT146" s="1" t="s">
        <v>128</v>
      </c>
      <c r="AU146" s="1">
        <v>17.260000000000002</v>
      </c>
      <c r="AV146" s="1">
        <v>4.43</v>
      </c>
      <c r="AW146" s="1">
        <v>1034520</v>
      </c>
      <c r="AX146" s="1">
        <v>0.54</v>
      </c>
      <c r="AY146" s="1">
        <v>201746</v>
      </c>
      <c r="AZ146" s="1">
        <v>20</v>
      </c>
      <c r="BA146" s="19" t="s">
        <v>129</v>
      </c>
    </row>
    <row r="147" spans="17:53" x14ac:dyDescent="0.25">
      <c r="Q147" s="109" t="str">
        <f t="shared" si="16"/>
        <v>OutletGY 18 OUTLET TRANSITION</v>
      </c>
      <c r="R147" s="27" t="str">
        <f t="shared" si="17"/>
        <v>2018OutletSummer</v>
      </c>
      <c r="S147" s="343">
        <v>2018</v>
      </c>
      <c r="T147" s="343" t="s">
        <v>17</v>
      </c>
      <c r="U147" s="343" t="s">
        <v>18</v>
      </c>
      <c r="V147" s="343" t="s">
        <v>278</v>
      </c>
      <c r="W147" s="343" t="s">
        <v>279</v>
      </c>
      <c r="X147" s="22">
        <f t="shared" si="18"/>
        <v>2</v>
      </c>
      <c r="Y147" s="22"/>
      <c r="AG147" s="27" t="str">
        <f t="shared" si="19"/>
        <v>Janie &amp; JackWebUSA39</v>
      </c>
      <c r="AH147" s="1" t="s">
        <v>32</v>
      </c>
      <c r="AI147" s="1" t="s">
        <v>15</v>
      </c>
      <c r="AJ147" s="1" t="s">
        <v>307</v>
      </c>
      <c r="AK147" s="1">
        <v>39</v>
      </c>
      <c r="AL147" s="19">
        <v>0.65</v>
      </c>
      <c r="AN147" s="109" t="str">
        <f t="shared" si="20"/>
        <v>GymboreeUSARetailGY 18 SPRING BASICS</v>
      </c>
      <c r="AO147" s="1" t="s">
        <v>14</v>
      </c>
      <c r="AP147" s="1" t="s">
        <v>5</v>
      </c>
      <c r="AQ147" s="1" t="s">
        <v>307</v>
      </c>
      <c r="AR147" s="1">
        <v>2018</v>
      </c>
      <c r="AS147" s="1" t="s">
        <v>16</v>
      </c>
      <c r="AT147" s="1" t="s">
        <v>125</v>
      </c>
      <c r="AU147" s="1">
        <v>21.52</v>
      </c>
      <c r="AV147" s="1">
        <v>3.88</v>
      </c>
      <c r="AW147" s="1">
        <v>1011662</v>
      </c>
      <c r="AX147" s="1">
        <v>0.56000000000000005</v>
      </c>
      <c r="AY147" s="1">
        <v>201750</v>
      </c>
      <c r="AZ147" s="1">
        <v>20</v>
      </c>
      <c r="BA147" s="19" t="s">
        <v>126</v>
      </c>
    </row>
    <row r="148" spans="17:53" x14ac:dyDescent="0.25">
      <c r="Q148" s="109" t="str">
        <f t="shared" si="16"/>
        <v>OutletGY 18 OUTLET UNIFORM</v>
      </c>
      <c r="R148" s="27" t="str">
        <f t="shared" si="17"/>
        <v>2018OutletSummer</v>
      </c>
      <c r="S148" s="343">
        <v>2018</v>
      </c>
      <c r="T148" s="343" t="s">
        <v>17</v>
      </c>
      <c r="U148" s="343" t="s">
        <v>18</v>
      </c>
      <c r="V148" s="343" t="s">
        <v>276</v>
      </c>
      <c r="W148" s="343" t="s">
        <v>277</v>
      </c>
      <c r="X148" s="22">
        <f t="shared" si="18"/>
        <v>2</v>
      </c>
      <c r="Y148" s="22"/>
      <c r="AG148" s="27" t="str">
        <f t="shared" si="19"/>
        <v>Janie &amp; JackWebUSA40</v>
      </c>
      <c r="AH148" s="1" t="s">
        <v>32</v>
      </c>
      <c r="AI148" s="1" t="s">
        <v>15</v>
      </c>
      <c r="AJ148" s="1" t="s">
        <v>307</v>
      </c>
      <c r="AK148" s="1">
        <v>40</v>
      </c>
      <c r="AL148" s="19">
        <v>0.65</v>
      </c>
      <c r="AN148" s="109" t="str">
        <f t="shared" si="20"/>
        <v>GymboreeUSARetailGY 18 SPR 1</v>
      </c>
      <c r="AO148" s="1" t="s">
        <v>14</v>
      </c>
      <c r="AP148" s="1" t="s">
        <v>5</v>
      </c>
      <c r="AQ148" s="1" t="s">
        <v>307</v>
      </c>
      <c r="AR148" s="1">
        <v>2018</v>
      </c>
      <c r="AS148" s="1" t="s">
        <v>16</v>
      </c>
      <c r="AT148" s="1" t="s">
        <v>130</v>
      </c>
      <c r="AU148" s="1">
        <v>27.77</v>
      </c>
      <c r="AV148" s="1">
        <v>5.16</v>
      </c>
      <c r="AW148" s="1">
        <v>724430</v>
      </c>
      <c r="AX148" s="1">
        <v>0.43</v>
      </c>
      <c r="AY148" s="1">
        <v>201750</v>
      </c>
      <c r="AZ148" s="1">
        <v>6</v>
      </c>
      <c r="BA148" s="19" t="s">
        <v>131</v>
      </c>
    </row>
    <row r="149" spans="17:53" x14ac:dyDescent="0.25">
      <c r="Q149" s="109" t="str">
        <f t="shared" si="16"/>
        <v>OutletGY 18 OUTLET BNB FAL</v>
      </c>
      <c r="R149" s="27" t="str">
        <f t="shared" si="17"/>
        <v>2018OutletFall</v>
      </c>
      <c r="S149" s="343">
        <v>2018</v>
      </c>
      <c r="T149" s="343" t="s">
        <v>17</v>
      </c>
      <c r="U149" s="343" t="s">
        <v>33</v>
      </c>
      <c r="V149" s="343" t="s">
        <v>225</v>
      </c>
      <c r="W149" s="343" t="s">
        <v>226</v>
      </c>
      <c r="X149" s="22">
        <f t="shared" si="18"/>
        <v>3</v>
      </c>
      <c r="Y149" s="22"/>
      <c r="AG149" s="27" t="str">
        <f t="shared" si="19"/>
        <v>Janie &amp; JackWebUSA41</v>
      </c>
      <c r="AH149" s="1" t="s">
        <v>32</v>
      </c>
      <c r="AI149" s="1" t="s">
        <v>15</v>
      </c>
      <c r="AJ149" s="1" t="s">
        <v>307</v>
      </c>
      <c r="AK149" s="1">
        <v>41</v>
      </c>
      <c r="AL149" s="19">
        <v>0.65</v>
      </c>
      <c r="AN149" s="109" t="str">
        <f t="shared" si="20"/>
        <v>GymboreeUSARetailGY 18 SPR 2</v>
      </c>
      <c r="AO149" s="1" t="s">
        <v>14</v>
      </c>
      <c r="AP149" s="1" t="s">
        <v>5</v>
      </c>
      <c r="AQ149" s="1" t="s">
        <v>307</v>
      </c>
      <c r="AR149" s="1">
        <v>2018</v>
      </c>
      <c r="AS149" s="1" t="s">
        <v>16</v>
      </c>
      <c r="AT149" s="1" t="s">
        <v>49</v>
      </c>
      <c r="AU149" s="1">
        <v>26.82</v>
      </c>
      <c r="AV149" s="1">
        <v>4.7300000000000004</v>
      </c>
      <c r="AW149" s="1">
        <v>499664</v>
      </c>
      <c r="AX149" s="1">
        <v>0.37</v>
      </c>
      <c r="AY149" s="1">
        <v>201753</v>
      </c>
      <c r="AZ149" s="1">
        <v>5</v>
      </c>
      <c r="BA149" s="19" t="s">
        <v>50</v>
      </c>
    </row>
    <row r="150" spans="17:53" x14ac:dyDescent="0.25">
      <c r="Q150" s="109" t="str">
        <f t="shared" si="16"/>
        <v>OutletGY 18 OUTLET BTS 1</v>
      </c>
      <c r="R150" s="27" t="str">
        <f t="shared" si="17"/>
        <v>2018OutletFall</v>
      </c>
      <c r="S150" s="343">
        <v>2018</v>
      </c>
      <c r="T150" s="343" t="s">
        <v>17</v>
      </c>
      <c r="U150" s="343" t="s">
        <v>33</v>
      </c>
      <c r="V150" s="343" t="s">
        <v>221</v>
      </c>
      <c r="W150" s="343" t="s">
        <v>222</v>
      </c>
      <c r="X150" s="22">
        <f t="shared" si="18"/>
        <v>3</v>
      </c>
      <c r="Y150" s="22"/>
      <c r="AG150" s="27" t="str">
        <f t="shared" si="19"/>
        <v>Janie &amp; JackWebUSA42</v>
      </c>
      <c r="AH150" s="1" t="s">
        <v>32</v>
      </c>
      <c r="AI150" s="1" t="s">
        <v>15</v>
      </c>
      <c r="AJ150" s="1" t="s">
        <v>307</v>
      </c>
      <c r="AK150" s="1">
        <v>42</v>
      </c>
      <c r="AL150" s="19">
        <v>0.65</v>
      </c>
      <c r="AN150" s="109" t="str">
        <f t="shared" si="20"/>
        <v>GymboreeUSARetailGY 18 SWIM 1</v>
      </c>
      <c r="AO150" s="1" t="s">
        <v>14</v>
      </c>
      <c r="AP150" s="1" t="s">
        <v>5</v>
      </c>
      <c r="AQ150" s="1" t="s">
        <v>307</v>
      </c>
      <c r="AR150" s="1">
        <v>2018</v>
      </c>
      <c r="AS150" s="1" t="s">
        <v>16</v>
      </c>
      <c r="AT150" s="1" t="s">
        <v>132</v>
      </c>
      <c r="AU150" s="1">
        <v>27.8</v>
      </c>
      <c r="AV150" s="1">
        <v>5.07</v>
      </c>
      <c r="AW150" s="1">
        <v>53807</v>
      </c>
      <c r="AX150" s="1">
        <v>0.52</v>
      </c>
      <c r="AY150" s="1">
        <v>201753</v>
      </c>
      <c r="AZ150" s="1">
        <v>8</v>
      </c>
      <c r="BA150" s="19" t="s">
        <v>133</v>
      </c>
    </row>
    <row r="151" spans="17:53" x14ac:dyDescent="0.25">
      <c r="Q151" s="109" t="str">
        <f t="shared" si="16"/>
        <v>OutletGY 18 OUTLET BTS 2</v>
      </c>
      <c r="R151" s="27" t="str">
        <f t="shared" si="17"/>
        <v>2018OutletFall</v>
      </c>
      <c r="S151" s="343">
        <v>2018</v>
      </c>
      <c r="T151" s="343" t="s">
        <v>17</v>
      </c>
      <c r="U151" s="343" t="s">
        <v>33</v>
      </c>
      <c r="V151" s="343" t="s">
        <v>223</v>
      </c>
      <c r="W151" s="343" t="s">
        <v>224</v>
      </c>
      <c r="X151" s="22">
        <f t="shared" si="18"/>
        <v>3</v>
      </c>
      <c r="Y151" s="22"/>
      <c r="AG151" s="27" t="str">
        <f t="shared" si="19"/>
        <v>Janie &amp; JackWebUSA43</v>
      </c>
      <c r="AH151" s="1" t="s">
        <v>32</v>
      </c>
      <c r="AI151" s="1" t="s">
        <v>15</v>
      </c>
      <c r="AJ151" s="1" t="s">
        <v>307</v>
      </c>
      <c r="AK151" s="1">
        <v>43</v>
      </c>
      <c r="AL151" s="19">
        <v>0.65</v>
      </c>
      <c r="AN151" s="109" t="str">
        <f t="shared" si="20"/>
        <v>GymboreeUSARetailGY 18 SPR VACA</v>
      </c>
      <c r="AO151" s="1" t="s">
        <v>14</v>
      </c>
      <c r="AP151" s="1" t="s">
        <v>5</v>
      </c>
      <c r="AQ151" s="1" t="s">
        <v>307</v>
      </c>
      <c r="AR151" s="1">
        <v>2018</v>
      </c>
      <c r="AS151" s="1" t="s">
        <v>16</v>
      </c>
      <c r="AT151" s="1" t="s">
        <v>136</v>
      </c>
      <c r="AU151" s="1">
        <v>25.66</v>
      </c>
      <c r="AV151" s="1">
        <v>4.6399999999999997</v>
      </c>
      <c r="AW151" s="1">
        <v>1045610</v>
      </c>
      <c r="AX151" s="1">
        <v>0.46</v>
      </c>
      <c r="AY151" s="1">
        <v>201804</v>
      </c>
      <c r="AZ151" s="1">
        <v>6</v>
      </c>
      <c r="BA151" s="19" t="s">
        <v>137</v>
      </c>
    </row>
    <row r="152" spans="17:53" x14ac:dyDescent="0.25">
      <c r="Q152" s="109" t="str">
        <f t="shared" ref="Q152:Q168" si="21">T152&amp;V152</f>
        <v>OutletGY 18 OUTLET FAL</v>
      </c>
      <c r="R152" s="27" t="str">
        <f t="shared" ref="R152:R168" si="22">S152&amp;T152&amp;U152</f>
        <v>2018OutletFall</v>
      </c>
      <c r="S152" s="343">
        <v>2018</v>
      </c>
      <c r="T152" s="343" t="s">
        <v>17</v>
      </c>
      <c r="U152" s="343" t="s">
        <v>33</v>
      </c>
      <c r="V152" s="343" t="s">
        <v>219</v>
      </c>
      <c r="W152" s="343" t="s">
        <v>220</v>
      </c>
      <c r="X152" s="22">
        <f t="shared" ref="X152:X168" si="23">MATCH(U152,ListSeason,0)</f>
        <v>3</v>
      </c>
      <c r="Y152" s="22"/>
      <c r="AG152" s="27" t="str">
        <f t="shared" si="19"/>
        <v>Janie &amp; JackWebUSA44</v>
      </c>
      <c r="AH152" s="1" t="s">
        <v>32</v>
      </c>
      <c r="AI152" s="1" t="s">
        <v>15</v>
      </c>
      <c r="AJ152" s="1" t="s">
        <v>307</v>
      </c>
      <c r="AK152" s="1">
        <v>44</v>
      </c>
      <c r="AL152" s="19">
        <v>0.65</v>
      </c>
      <c r="AN152" s="109" t="str">
        <f t="shared" si="20"/>
        <v>GymboreeUSARetailGY 18 SWIM 2</v>
      </c>
      <c r="AO152" s="1" t="s">
        <v>14</v>
      </c>
      <c r="AP152" s="1" t="s">
        <v>5</v>
      </c>
      <c r="AQ152" s="1" t="s">
        <v>307</v>
      </c>
      <c r="AR152" s="1">
        <v>2018</v>
      </c>
      <c r="AS152" s="1" t="s">
        <v>16</v>
      </c>
      <c r="AT152" s="1" t="s">
        <v>140</v>
      </c>
      <c r="AU152" s="1">
        <v>24.38</v>
      </c>
      <c r="AV152" s="1">
        <v>4.59</v>
      </c>
      <c r="AW152" s="1">
        <v>232290</v>
      </c>
      <c r="AX152" s="1">
        <v>0.52</v>
      </c>
      <c r="AY152" s="1">
        <v>201804</v>
      </c>
      <c r="AZ152" s="1">
        <v>8</v>
      </c>
      <c r="BA152" s="19" t="s">
        <v>141</v>
      </c>
    </row>
    <row r="153" spans="17:53" x14ac:dyDescent="0.25">
      <c r="Q153" s="109" t="str">
        <f t="shared" si="21"/>
        <v>OutletGY 18 OUTLET FALL 1</v>
      </c>
      <c r="R153" s="27" t="str">
        <f t="shared" si="22"/>
        <v>2018OutletFall</v>
      </c>
      <c r="S153" s="343">
        <v>2018</v>
      </c>
      <c r="T153" s="343" t="s">
        <v>17</v>
      </c>
      <c r="U153" s="343" t="s">
        <v>33</v>
      </c>
      <c r="V153" s="343" t="s">
        <v>227</v>
      </c>
      <c r="W153" s="343" t="s">
        <v>228</v>
      </c>
      <c r="X153" s="22">
        <f t="shared" si="23"/>
        <v>3</v>
      </c>
      <c r="Y153" s="22"/>
      <c r="AG153" s="27" t="str">
        <f t="shared" si="19"/>
        <v>Janie &amp; JackWebUSA45</v>
      </c>
      <c r="AH153" s="1" t="s">
        <v>32</v>
      </c>
      <c r="AI153" s="1" t="s">
        <v>15</v>
      </c>
      <c r="AJ153" s="1" t="s">
        <v>307</v>
      </c>
      <c r="AK153" s="1">
        <v>45</v>
      </c>
      <c r="AL153" s="19">
        <v>0.65</v>
      </c>
      <c r="AN153" s="109" t="str">
        <f t="shared" si="20"/>
        <v>GymboreeUSARetailGY 18 SUM 1</v>
      </c>
      <c r="AO153" s="1" t="s">
        <v>14</v>
      </c>
      <c r="AP153" s="1" t="s">
        <v>5</v>
      </c>
      <c r="AQ153" s="1" t="s">
        <v>307</v>
      </c>
      <c r="AR153" s="1">
        <v>2018</v>
      </c>
      <c r="AS153" s="1" t="s">
        <v>16</v>
      </c>
      <c r="AT153" s="1" t="s">
        <v>138</v>
      </c>
      <c r="AU153" s="1">
        <v>25.13</v>
      </c>
      <c r="AV153" s="1">
        <v>4.22</v>
      </c>
      <c r="AW153" s="1">
        <v>514552</v>
      </c>
      <c r="AX153" s="1">
        <v>0.41</v>
      </c>
      <c r="AY153" s="1">
        <v>201806</v>
      </c>
      <c r="AZ153" s="1">
        <v>6</v>
      </c>
      <c r="BA153" s="19" t="s">
        <v>139</v>
      </c>
    </row>
    <row r="154" spans="17:53" x14ac:dyDescent="0.25">
      <c r="Q154" s="109" t="str">
        <f t="shared" si="21"/>
        <v>OutletGY 18 OUTLET FALL 2</v>
      </c>
      <c r="R154" s="27" t="str">
        <f t="shared" si="22"/>
        <v>2018OutletFall</v>
      </c>
      <c r="S154" s="343">
        <v>2018</v>
      </c>
      <c r="T154" s="343" t="s">
        <v>17</v>
      </c>
      <c r="U154" s="343" t="s">
        <v>33</v>
      </c>
      <c r="V154" s="343" t="s">
        <v>230</v>
      </c>
      <c r="W154" s="343" t="s">
        <v>231</v>
      </c>
      <c r="X154" s="22">
        <f t="shared" si="23"/>
        <v>3</v>
      </c>
      <c r="Y154" s="22"/>
      <c r="AG154" s="27" t="str">
        <f t="shared" si="19"/>
        <v>Janie &amp; JackWebUSA46</v>
      </c>
      <c r="AH154" s="1" t="s">
        <v>32</v>
      </c>
      <c r="AI154" s="1" t="s">
        <v>15</v>
      </c>
      <c r="AJ154" s="1" t="s">
        <v>307</v>
      </c>
      <c r="AK154" s="1">
        <v>46</v>
      </c>
      <c r="AL154" s="19">
        <v>0.65</v>
      </c>
      <c r="AN154" s="109" t="str">
        <f t="shared" si="20"/>
        <v>GymboreeUSARetailGY 18 DRESSY</v>
      </c>
      <c r="AO154" s="1" t="s">
        <v>14</v>
      </c>
      <c r="AP154" s="1" t="s">
        <v>5</v>
      </c>
      <c r="AQ154" s="1" t="s">
        <v>307</v>
      </c>
      <c r="AR154" s="1">
        <v>2018</v>
      </c>
      <c r="AS154" s="1" t="s">
        <v>16</v>
      </c>
      <c r="AT154" s="1" t="s">
        <v>134</v>
      </c>
      <c r="AU154" s="1">
        <v>32.479999999999997</v>
      </c>
      <c r="AV154" s="1">
        <v>5.26</v>
      </c>
      <c r="AW154" s="1">
        <v>641856</v>
      </c>
      <c r="AX154" s="1">
        <v>0.48</v>
      </c>
      <c r="AY154" s="1">
        <v>201753</v>
      </c>
      <c r="AZ154" s="1">
        <v>8</v>
      </c>
      <c r="BA154" s="19" t="s">
        <v>135</v>
      </c>
    </row>
    <row r="155" spans="17:53" x14ac:dyDescent="0.25">
      <c r="Q155" s="109" t="str">
        <f t="shared" si="21"/>
        <v>OutletGY 18 OUTLET HARVEST</v>
      </c>
      <c r="R155" s="27" t="str">
        <f t="shared" si="22"/>
        <v>2018OutletFall</v>
      </c>
      <c r="S155" s="343">
        <v>2018</v>
      </c>
      <c r="T155" s="343" t="s">
        <v>17</v>
      </c>
      <c r="U155" s="343" t="s">
        <v>33</v>
      </c>
      <c r="V155" s="343" t="s">
        <v>229</v>
      </c>
      <c r="W155" s="343" t="s">
        <v>228</v>
      </c>
      <c r="X155" s="22">
        <f t="shared" si="23"/>
        <v>3</v>
      </c>
      <c r="Y155" s="22"/>
      <c r="AG155" s="27" t="str">
        <f t="shared" si="19"/>
        <v>Janie &amp; JackWebUSA47</v>
      </c>
      <c r="AH155" s="1" t="s">
        <v>32</v>
      </c>
      <c r="AI155" s="1" t="s">
        <v>15</v>
      </c>
      <c r="AJ155" s="1" t="s">
        <v>307</v>
      </c>
      <c r="AK155" s="1">
        <v>47</v>
      </c>
      <c r="AL155" s="19">
        <v>0.65</v>
      </c>
      <c r="AN155" s="109" t="str">
        <f t="shared" si="20"/>
        <v>GymboreeUSARetailGY 18 SMR</v>
      </c>
      <c r="AO155" s="1" t="s">
        <v>14</v>
      </c>
      <c r="AP155" s="1" t="s">
        <v>5</v>
      </c>
      <c r="AQ155" s="1" t="s">
        <v>307</v>
      </c>
      <c r="AR155" s="1">
        <v>2018</v>
      </c>
      <c r="AS155" s="1" t="s">
        <v>18</v>
      </c>
      <c r="AT155" s="1" t="s">
        <v>152</v>
      </c>
      <c r="AU155" s="1">
        <v>19.71</v>
      </c>
      <c r="AV155" s="1">
        <v>4.05</v>
      </c>
      <c r="AW155" s="1">
        <v>1413265</v>
      </c>
      <c r="AX155" s="1">
        <v>0.6</v>
      </c>
      <c r="AY155" s="1">
        <v>201806</v>
      </c>
      <c r="AZ155" s="1">
        <v>16</v>
      </c>
      <c r="BA155" s="19" t="s">
        <v>153</v>
      </c>
    </row>
    <row r="156" spans="17:53" x14ac:dyDescent="0.25">
      <c r="Q156" s="109" t="str">
        <f t="shared" si="21"/>
        <v>OutletGY 18 OUTLET HOLIDAY DRESSY</v>
      </c>
      <c r="R156" s="27" t="str">
        <f t="shared" si="22"/>
        <v>2018OutletFall</v>
      </c>
      <c r="S156" s="343">
        <v>2018</v>
      </c>
      <c r="T156" s="343" t="s">
        <v>17</v>
      </c>
      <c r="U156" s="343" t="s">
        <v>33</v>
      </c>
      <c r="V156" s="343" t="s">
        <v>232</v>
      </c>
      <c r="W156" s="343" t="s">
        <v>233</v>
      </c>
      <c r="X156" s="22">
        <f t="shared" si="23"/>
        <v>3</v>
      </c>
      <c r="Y156" s="22"/>
      <c r="AG156" s="27" t="str">
        <f t="shared" si="19"/>
        <v>Janie &amp; JackWebUSA48</v>
      </c>
      <c r="AH156" s="1" t="s">
        <v>32</v>
      </c>
      <c r="AI156" s="1" t="s">
        <v>15</v>
      </c>
      <c r="AJ156" s="1" t="s">
        <v>307</v>
      </c>
      <c r="AK156" s="1">
        <v>48</v>
      </c>
      <c r="AL156" s="19">
        <v>0.65</v>
      </c>
      <c r="AN156" s="109" t="str">
        <f t="shared" si="20"/>
        <v>GymboreeUSARetailGY 18 SM2</v>
      </c>
      <c r="AO156" s="1" t="s">
        <v>14</v>
      </c>
      <c r="AP156" s="1" t="s">
        <v>5</v>
      </c>
      <c r="AQ156" s="1" t="s">
        <v>307</v>
      </c>
      <c r="AR156" s="1">
        <v>2018</v>
      </c>
      <c r="AS156" s="1" t="s">
        <v>18</v>
      </c>
      <c r="AT156" s="1" t="s">
        <v>142</v>
      </c>
      <c r="AU156" s="1">
        <v>24.94</v>
      </c>
      <c r="AV156" s="1">
        <v>4.4000000000000004</v>
      </c>
      <c r="AW156" s="1">
        <v>818643</v>
      </c>
      <c r="AX156" s="1">
        <v>0.54</v>
      </c>
      <c r="AY156" s="1">
        <v>201810</v>
      </c>
      <c r="AZ156" s="1">
        <v>6</v>
      </c>
      <c r="BA156" s="19" t="s">
        <v>143</v>
      </c>
    </row>
    <row r="157" spans="17:53" x14ac:dyDescent="0.25">
      <c r="Q157" s="109" t="str">
        <f t="shared" si="21"/>
        <v>OutletGY 18 OUTLET BNB WINTER</v>
      </c>
      <c r="R157" s="27" t="str">
        <f t="shared" si="22"/>
        <v>2018OutletWinter</v>
      </c>
      <c r="S157" s="343">
        <v>2018</v>
      </c>
      <c r="T157" s="343" t="s">
        <v>17</v>
      </c>
      <c r="U157" s="343" t="s">
        <v>34</v>
      </c>
      <c r="V157" s="343" t="s">
        <v>286</v>
      </c>
      <c r="W157" s="343" t="s">
        <v>287</v>
      </c>
      <c r="X157" s="22">
        <f t="shared" si="23"/>
        <v>4</v>
      </c>
      <c r="Y157" s="22"/>
      <c r="AG157" s="27" t="str">
        <f t="shared" si="19"/>
        <v>Janie &amp; JackWebUSA49</v>
      </c>
      <c r="AH157" s="1" t="s">
        <v>32</v>
      </c>
      <c r="AI157" s="1" t="s">
        <v>15</v>
      </c>
      <c r="AJ157" s="1" t="s">
        <v>307</v>
      </c>
      <c r="AK157" s="1">
        <v>49</v>
      </c>
      <c r="AL157" s="19">
        <v>0.65</v>
      </c>
      <c r="AN157" s="109" t="str">
        <f t="shared" si="20"/>
        <v>GymboreeUSARetailGY 18 SWIM 3</v>
      </c>
      <c r="AO157" s="1" t="s">
        <v>14</v>
      </c>
      <c r="AP157" s="1" t="s">
        <v>5</v>
      </c>
      <c r="AQ157" s="1" t="s">
        <v>307</v>
      </c>
      <c r="AR157" s="1">
        <v>2018</v>
      </c>
      <c r="AS157" s="1" t="s">
        <v>18</v>
      </c>
      <c r="AT157" s="1" t="s">
        <v>146</v>
      </c>
      <c r="AU157" s="1">
        <v>26.42</v>
      </c>
      <c r="AV157" s="1">
        <v>4.79</v>
      </c>
      <c r="AW157" s="1">
        <v>189290</v>
      </c>
      <c r="AX157" s="1">
        <v>0.64</v>
      </c>
      <c r="AY157" s="1">
        <v>201810</v>
      </c>
      <c r="AZ157" s="1">
        <v>11</v>
      </c>
      <c r="BA157" s="19" t="s">
        <v>147</v>
      </c>
    </row>
    <row r="158" spans="17:53" x14ac:dyDescent="0.25">
      <c r="Q158" s="109" t="str">
        <f t="shared" si="21"/>
        <v>OutletGY 18 OUTLET POLAR FLEECE</v>
      </c>
      <c r="R158" s="27" t="str">
        <f t="shared" si="22"/>
        <v>2018OutletWinter</v>
      </c>
      <c r="S158" s="343">
        <v>2018</v>
      </c>
      <c r="T158" s="343" t="s">
        <v>17</v>
      </c>
      <c r="U158" s="343" t="s">
        <v>34</v>
      </c>
      <c r="V158" s="343" t="s">
        <v>288</v>
      </c>
      <c r="W158" s="343" t="s">
        <v>289</v>
      </c>
      <c r="X158" s="22">
        <f t="shared" si="23"/>
        <v>4</v>
      </c>
      <c r="Y158" s="22"/>
      <c r="AG158" s="27" t="str">
        <f t="shared" si="19"/>
        <v>Janie &amp; JackWebUSA50</v>
      </c>
      <c r="AH158" s="1" t="s">
        <v>32</v>
      </c>
      <c r="AI158" s="1" t="s">
        <v>15</v>
      </c>
      <c r="AJ158" s="1" t="s">
        <v>307</v>
      </c>
      <c r="AK158" s="1">
        <v>50</v>
      </c>
      <c r="AL158" s="19">
        <v>0.65</v>
      </c>
      <c r="AN158" s="109" t="str">
        <f t="shared" si="20"/>
        <v>GymboreeUSARetailGY 18 SM3</v>
      </c>
      <c r="AO158" s="1" t="s">
        <v>14</v>
      </c>
      <c r="AP158" s="1" t="s">
        <v>5</v>
      </c>
      <c r="AQ158" s="1" t="s">
        <v>307</v>
      </c>
      <c r="AR158" s="1">
        <v>2018</v>
      </c>
      <c r="AS158" s="1" t="s">
        <v>18</v>
      </c>
      <c r="AT158" s="1" t="s">
        <v>144</v>
      </c>
      <c r="AU158" s="1">
        <v>24.87</v>
      </c>
      <c r="AV158" s="1">
        <v>4.6500000000000004</v>
      </c>
      <c r="AW158" s="1">
        <v>525441</v>
      </c>
      <c r="AX158" s="1">
        <v>0.54</v>
      </c>
      <c r="AY158" s="1">
        <v>201813</v>
      </c>
      <c r="AZ158" s="1">
        <v>6</v>
      </c>
      <c r="BA158" s="19" t="s">
        <v>145</v>
      </c>
    </row>
    <row r="159" spans="17:53" x14ac:dyDescent="0.25">
      <c r="Q159" s="109" t="str">
        <f t="shared" si="21"/>
        <v>OutletGY 18 OUTLET SPRING TRANS</v>
      </c>
      <c r="R159" s="27" t="str">
        <f t="shared" si="22"/>
        <v>2018OutletWinter</v>
      </c>
      <c r="S159" s="343">
        <v>2018</v>
      </c>
      <c r="T159" s="343" t="s">
        <v>17</v>
      </c>
      <c r="U159" s="343" t="s">
        <v>34</v>
      </c>
      <c r="V159" s="343" t="s">
        <v>292</v>
      </c>
      <c r="W159" s="343" t="s">
        <v>293</v>
      </c>
      <c r="X159" s="22">
        <f t="shared" si="23"/>
        <v>4</v>
      </c>
      <c r="Y159" s="22"/>
      <c r="AG159" s="27" t="str">
        <f t="shared" si="19"/>
        <v>Janie &amp; JackWebUSA51</v>
      </c>
      <c r="AH159" s="1" t="s">
        <v>32</v>
      </c>
      <c r="AI159" s="1" t="s">
        <v>15</v>
      </c>
      <c r="AJ159" s="1" t="s">
        <v>307</v>
      </c>
      <c r="AK159" s="1">
        <v>51</v>
      </c>
      <c r="AL159" s="19">
        <v>0.65</v>
      </c>
      <c r="AN159" s="109" t="str">
        <f t="shared" si="20"/>
        <v>GymboreeUSARetailGY 18 SM4</v>
      </c>
      <c r="AO159" s="1" t="s">
        <v>14</v>
      </c>
      <c r="AP159" s="1" t="s">
        <v>5</v>
      </c>
      <c r="AQ159" s="1" t="s">
        <v>307</v>
      </c>
      <c r="AR159" s="1">
        <v>2018</v>
      </c>
      <c r="AS159" s="1" t="s">
        <v>18</v>
      </c>
      <c r="AT159" s="1" t="s">
        <v>148</v>
      </c>
      <c r="AU159" s="1">
        <v>25.02</v>
      </c>
      <c r="AV159" s="1">
        <v>4.16</v>
      </c>
      <c r="AW159" s="1">
        <v>642137</v>
      </c>
      <c r="AX159" s="1">
        <v>0.6</v>
      </c>
      <c r="AY159" s="1">
        <v>201816</v>
      </c>
      <c r="AZ159" s="1">
        <v>7</v>
      </c>
      <c r="BA159" s="19" t="s">
        <v>149</v>
      </c>
    </row>
    <row r="160" spans="17:53" x14ac:dyDescent="0.25">
      <c r="Q160" s="109" t="str">
        <f t="shared" si="21"/>
        <v>OutletGY 18 OUTLET WINTER 1</v>
      </c>
      <c r="R160" s="27" t="str">
        <f t="shared" si="22"/>
        <v>2018OutletWinter</v>
      </c>
      <c r="S160" s="343">
        <v>2018</v>
      </c>
      <c r="T160" s="343" t="s">
        <v>17</v>
      </c>
      <c r="U160" s="343" t="s">
        <v>34</v>
      </c>
      <c r="V160" s="343" t="s">
        <v>280</v>
      </c>
      <c r="W160" s="343" t="s">
        <v>281</v>
      </c>
      <c r="X160" s="22">
        <f t="shared" si="23"/>
        <v>4</v>
      </c>
      <c r="Y160" s="22"/>
      <c r="AG160" s="27" t="str">
        <f t="shared" si="19"/>
        <v>Janie &amp; JackWebUSA52</v>
      </c>
      <c r="AH160" s="1" t="s">
        <v>32</v>
      </c>
      <c r="AI160" s="1" t="s">
        <v>15</v>
      </c>
      <c r="AJ160" s="1" t="s">
        <v>307</v>
      </c>
      <c r="AK160" s="1">
        <v>52</v>
      </c>
      <c r="AL160" s="19">
        <v>0.65</v>
      </c>
      <c r="AN160" s="109" t="str">
        <f t="shared" si="20"/>
        <v>GymboreeUSARetailGY 18 SM5</v>
      </c>
      <c r="AO160" s="1" t="s">
        <v>14</v>
      </c>
      <c r="AP160" s="1" t="s">
        <v>5</v>
      </c>
      <c r="AQ160" s="1" t="s">
        <v>307</v>
      </c>
      <c r="AR160" s="1">
        <v>2018</v>
      </c>
      <c r="AS160" s="1" t="s">
        <v>18</v>
      </c>
      <c r="AT160" s="1" t="s">
        <v>150</v>
      </c>
      <c r="AU160" s="1">
        <v>24.93</v>
      </c>
      <c r="AV160" s="1">
        <v>4.3</v>
      </c>
      <c r="AW160" s="1">
        <v>658766</v>
      </c>
      <c r="AX160" s="1">
        <v>0.53</v>
      </c>
      <c r="AY160" s="1">
        <v>201820</v>
      </c>
      <c r="AZ160" s="1">
        <v>6</v>
      </c>
      <c r="BA160" s="19" t="s">
        <v>151</v>
      </c>
    </row>
    <row r="161" spans="17:53" x14ac:dyDescent="0.25">
      <c r="Q161" s="109" t="str">
        <f t="shared" si="21"/>
        <v>OutletGY 18 OUTLET WINTER 2</v>
      </c>
      <c r="R161" s="27" t="str">
        <f t="shared" si="22"/>
        <v>2018OutletWinter</v>
      </c>
      <c r="S161" s="343">
        <v>2018</v>
      </c>
      <c r="T161" s="343" t="s">
        <v>17</v>
      </c>
      <c r="U161" s="343" t="s">
        <v>34</v>
      </c>
      <c r="V161" s="343" t="s">
        <v>284</v>
      </c>
      <c r="W161" s="343" t="s">
        <v>285</v>
      </c>
      <c r="X161" s="22">
        <f t="shared" si="23"/>
        <v>4</v>
      </c>
      <c r="Y161" s="22"/>
      <c r="AG161" s="27" t="str">
        <f t="shared" si="19"/>
        <v>Janie &amp; JackWebUSA53</v>
      </c>
      <c r="AH161" s="1" t="s">
        <v>32</v>
      </c>
      <c r="AI161" s="1" t="s">
        <v>15</v>
      </c>
      <c r="AJ161" s="1" t="s">
        <v>307</v>
      </c>
      <c r="AK161" s="1">
        <v>53</v>
      </c>
      <c r="AL161" s="19">
        <v>0.65</v>
      </c>
      <c r="AN161" s="109" t="str">
        <f t="shared" si="20"/>
        <v>GymboreeUSAWebGY 18 VDAY</v>
      </c>
      <c r="AO161" s="1" t="s">
        <v>14</v>
      </c>
      <c r="AP161" s="1" t="s">
        <v>15</v>
      </c>
      <c r="AQ161" s="1" t="s">
        <v>307</v>
      </c>
      <c r="AR161" s="1">
        <v>2018</v>
      </c>
      <c r="AS161" s="1" t="s">
        <v>16</v>
      </c>
      <c r="AT161" s="1" t="s">
        <v>351</v>
      </c>
      <c r="AU161" s="1">
        <v>28.66</v>
      </c>
      <c r="AV161" s="1">
        <v>4.3</v>
      </c>
      <c r="AW161" s="1">
        <v>198582</v>
      </c>
      <c r="AX161" s="1">
        <v>0.5</v>
      </c>
      <c r="AY161" s="1">
        <v>201746</v>
      </c>
      <c r="AZ161" s="1">
        <v>9</v>
      </c>
      <c r="BA161" s="19" t="s">
        <v>350</v>
      </c>
    </row>
    <row r="162" spans="17:53" x14ac:dyDescent="0.25">
      <c r="Q162" s="109" t="str">
        <f t="shared" si="21"/>
        <v>OutletGY 18 OUTLET WINTER 3</v>
      </c>
      <c r="R162" s="27" t="str">
        <f t="shared" si="22"/>
        <v>2018OutletWinter</v>
      </c>
      <c r="S162" s="343">
        <v>2018</v>
      </c>
      <c r="T162" s="343" t="s">
        <v>17</v>
      </c>
      <c r="U162" s="343" t="s">
        <v>34</v>
      </c>
      <c r="V162" s="343" t="s">
        <v>290</v>
      </c>
      <c r="W162" s="343" t="s">
        <v>291</v>
      </c>
      <c r="X162" s="22">
        <f t="shared" si="23"/>
        <v>4</v>
      </c>
      <c r="Y162" s="22"/>
      <c r="AG162" s="27" t="str">
        <f t="shared" si="19"/>
        <v>Janie &amp; JackOutletUSA1</v>
      </c>
      <c r="AH162" s="1" t="s">
        <v>32</v>
      </c>
      <c r="AI162" s="1" t="s">
        <v>17</v>
      </c>
      <c r="AJ162" s="1" t="s">
        <v>307</v>
      </c>
      <c r="AK162" s="1">
        <v>1</v>
      </c>
      <c r="AL162" s="19">
        <v>0.14000000000000001</v>
      </c>
      <c r="AN162" s="109" t="str">
        <f t="shared" si="20"/>
        <v>GymboreeUSAWebGY 18 SPR</v>
      </c>
      <c r="AO162" s="1" t="s">
        <v>14</v>
      </c>
      <c r="AP162" s="1" t="s">
        <v>15</v>
      </c>
      <c r="AQ162" s="1" t="s">
        <v>307</v>
      </c>
      <c r="AR162" s="1">
        <v>2018</v>
      </c>
      <c r="AS162" s="1" t="s">
        <v>16</v>
      </c>
      <c r="AT162" s="1" t="s">
        <v>128</v>
      </c>
      <c r="AU162" s="1">
        <v>17.88</v>
      </c>
      <c r="AV162" s="1">
        <v>3.99</v>
      </c>
      <c r="AW162" s="1">
        <v>668824</v>
      </c>
      <c r="AX162" s="1">
        <v>0.49</v>
      </c>
      <c r="AY162" s="1">
        <v>201744</v>
      </c>
      <c r="AZ162" s="1">
        <v>22</v>
      </c>
      <c r="BA162" s="19" t="s">
        <v>129</v>
      </c>
    </row>
    <row r="163" spans="17:53" x14ac:dyDescent="0.25">
      <c r="Q163" s="109" t="str">
        <f t="shared" si="21"/>
        <v>OutletGY 18 OUTLET WTR</v>
      </c>
      <c r="R163" s="27" t="str">
        <f t="shared" si="22"/>
        <v>2018OutletWinter</v>
      </c>
      <c r="S163" s="343">
        <v>2018</v>
      </c>
      <c r="T163" s="343" t="s">
        <v>17</v>
      </c>
      <c r="U163" s="343" t="s">
        <v>34</v>
      </c>
      <c r="V163" s="343" t="s">
        <v>282</v>
      </c>
      <c r="W163" s="343" t="s">
        <v>283</v>
      </c>
      <c r="X163" s="22">
        <f t="shared" si="23"/>
        <v>4</v>
      </c>
      <c r="Y163" s="22"/>
      <c r="AG163" s="27" t="str">
        <f t="shared" si="19"/>
        <v>Janie &amp; JackOutletUSA2</v>
      </c>
      <c r="AH163" s="1" t="s">
        <v>32</v>
      </c>
      <c r="AI163" s="1" t="s">
        <v>17</v>
      </c>
      <c r="AJ163" s="1" t="s">
        <v>307</v>
      </c>
      <c r="AK163" s="1">
        <v>2</v>
      </c>
      <c r="AL163" s="19">
        <v>0.23</v>
      </c>
      <c r="AN163" s="109" t="str">
        <f t="shared" si="20"/>
        <v>GymboreeUSAWebGY 18 SPRING BASICS</v>
      </c>
      <c r="AO163" s="1" t="s">
        <v>14</v>
      </c>
      <c r="AP163" s="1" t="s">
        <v>15</v>
      </c>
      <c r="AQ163" s="1" t="s">
        <v>307</v>
      </c>
      <c r="AR163" s="1">
        <v>2018</v>
      </c>
      <c r="AS163" s="1" t="s">
        <v>16</v>
      </c>
      <c r="AT163" s="1" t="s">
        <v>125</v>
      </c>
      <c r="AU163" s="1">
        <v>24.01</v>
      </c>
      <c r="AV163" s="1">
        <v>4.45</v>
      </c>
      <c r="AW163" s="1">
        <v>543098</v>
      </c>
      <c r="AX163" s="1">
        <v>0.54</v>
      </c>
      <c r="AY163" s="1">
        <v>201748</v>
      </c>
      <c r="AZ163" s="1">
        <v>22</v>
      </c>
      <c r="BA163" s="19" t="s">
        <v>126</v>
      </c>
    </row>
    <row r="164" spans="17:53" x14ac:dyDescent="0.25">
      <c r="Q164" s="109" t="str">
        <f t="shared" si="21"/>
        <v>OutletGY OUTLET YRLY BSCS</v>
      </c>
      <c r="R164" s="27" t="str">
        <f t="shared" si="22"/>
        <v>2018OutletBasics</v>
      </c>
      <c r="S164" s="343">
        <v>2018</v>
      </c>
      <c r="T164" s="343" t="s">
        <v>17</v>
      </c>
      <c r="U164" s="343" t="s">
        <v>35</v>
      </c>
      <c r="V164" s="343" t="s">
        <v>303</v>
      </c>
      <c r="W164" s="343" t="s">
        <v>303</v>
      </c>
      <c r="X164" s="22">
        <f t="shared" si="23"/>
        <v>5</v>
      </c>
      <c r="Y164" s="22"/>
      <c r="AG164" s="27" t="str">
        <f t="shared" si="19"/>
        <v>Janie &amp; JackOutletUSA3</v>
      </c>
      <c r="AH164" s="1" t="s">
        <v>32</v>
      </c>
      <c r="AI164" s="1" t="s">
        <v>17</v>
      </c>
      <c r="AJ164" s="1" t="s">
        <v>307</v>
      </c>
      <c r="AK164" s="1">
        <v>3</v>
      </c>
      <c r="AL164" s="19">
        <v>0.22</v>
      </c>
      <c r="AN164" s="109" t="str">
        <f t="shared" si="20"/>
        <v>GymboreeUSAWebGY 18 SPR 1</v>
      </c>
      <c r="AO164" s="1" t="s">
        <v>14</v>
      </c>
      <c r="AP164" s="1" t="s">
        <v>15</v>
      </c>
      <c r="AQ164" s="1" t="s">
        <v>307</v>
      </c>
      <c r="AR164" s="1">
        <v>2018</v>
      </c>
      <c r="AS164" s="1" t="s">
        <v>16</v>
      </c>
      <c r="AT164" s="1" t="s">
        <v>130</v>
      </c>
      <c r="AU164" s="1">
        <v>27.36</v>
      </c>
      <c r="AV164" s="1">
        <v>5.14</v>
      </c>
      <c r="AW164" s="1">
        <v>390524</v>
      </c>
      <c r="AX164" s="1">
        <v>0.45</v>
      </c>
      <c r="AY164" s="1">
        <v>201748</v>
      </c>
      <c r="AZ164" s="1">
        <v>8</v>
      </c>
      <c r="BA164" s="19" t="s">
        <v>131</v>
      </c>
    </row>
    <row r="165" spans="17:53" x14ac:dyDescent="0.25">
      <c r="Q165" s="109" t="str">
        <f t="shared" si="21"/>
        <v>OutletGY 18 OUTLET SB1</v>
      </c>
      <c r="R165" s="27" t="str">
        <f t="shared" si="22"/>
        <v>2018OutletSeasonal Basics</v>
      </c>
      <c r="S165" s="343">
        <v>2018</v>
      </c>
      <c r="T165" s="343" t="s">
        <v>17</v>
      </c>
      <c r="U165" s="343" t="s">
        <v>71</v>
      </c>
      <c r="V165" s="343" t="s">
        <v>234</v>
      </c>
      <c r="W165" s="343" t="s">
        <v>235</v>
      </c>
      <c r="X165" s="22">
        <f t="shared" si="23"/>
        <v>6</v>
      </c>
      <c r="Y165" s="22"/>
      <c r="AG165" s="27" t="str">
        <f t="shared" si="19"/>
        <v>Janie &amp; JackOutletUSA4</v>
      </c>
      <c r="AH165" s="1" t="s">
        <v>32</v>
      </c>
      <c r="AI165" s="1" t="s">
        <v>17</v>
      </c>
      <c r="AJ165" s="1" t="s">
        <v>307</v>
      </c>
      <c r="AK165" s="1">
        <v>4</v>
      </c>
      <c r="AL165" s="19">
        <v>0.27</v>
      </c>
      <c r="AN165" s="109" t="str">
        <f t="shared" si="20"/>
        <v>GymboreeUSAWebGY 18 SPR 2</v>
      </c>
      <c r="AO165" s="1" t="s">
        <v>14</v>
      </c>
      <c r="AP165" s="1" t="s">
        <v>15</v>
      </c>
      <c r="AQ165" s="1" t="s">
        <v>307</v>
      </c>
      <c r="AR165" s="1">
        <v>2018</v>
      </c>
      <c r="AS165" s="1" t="s">
        <v>16</v>
      </c>
      <c r="AT165" s="1" t="s">
        <v>49</v>
      </c>
      <c r="AU165" s="1">
        <v>27.05</v>
      </c>
      <c r="AV165" s="1">
        <v>4.63</v>
      </c>
      <c r="AW165" s="1">
        <v>288702</v>
      </c>
      <c r="AX165" s="1">
        <v>0.28999999999999998</v>
      </c>
      <c r="AY165" s="1">
        <v>201751</v>
      </c>
      <c r="AZ165" s="1">
        <v>7</v>
      </c>
      <c r="BA165" s="19" t="s">
        <v>50</v>
      </c>
    </row>
    <row r="166" spans="17:53" x14ac:dyDescent="0.25">
      <c r="Q166" s="109" t="str">
        <f t="shared" si="21"/>
        <v>OutletGY 18 OUTLET SB2</v>
      </c>
      <c r="R166" s="27" t="str">
        <f t="shared" si="22"/>
        <v>2018OutletSeasonal Basics</v>
      </c>
      <c r="S166" s="343">
        <v>2018</v>
      </c>
      <c r="T166" s="343" t="s">
        <v>17</v>
      </c>
      <c r="U166" s="343" t="s">
        <v>71</v>
      </c>
      <c r="V166" s="343" t="s">
        <v>236</v>
      </c>
      <c r="W166" s="343" t="s">
        <v>237</v>
      </c>
      <c r="X166" s="22">
        <f t="shared" si="23"/>
        <v>6</v>
      </c>
      <c r="Y166" s="22"/>
      <c r="AG166" s="27" t="str">
        <f t="shared" si="19"/>
        <v>Janie &amp; JackOutletUSA5</v>
      </c>
      <c r="AH166" s="1" t="s">
        <v>32</v>
      </c>
      <c r="AI166" s="1" t="s">
        <v>17</v>
      </c>
      <c r="AJ166" s="1" t="s">
        <v>307</v>
      </c>
      <c r="AK166" s="1">
        <v>5</v>
      </c>
      <c r="AL166" s="19">
        <v>0.27</v>
      </c>
      <c r="AN166" s="109" t="str">
        <f t="shared" si="20"/>
        <v>GymboreeUSAWebGY 18 SWIM 1</v>
      </c>
      <c r="AO166" s="1" t="s">
        <v>14</v>
      </c>
      <c r="AP166" s="1" t="s">
        <v>15</v>
      </c>
      <c r="AQ166" s="1" t="s">
        <v>307</v>
      </c>
      <c r="AR166" s="1">
        <v>2018</v>
      </c>
      <c r="AS166" s="1" t="s">
        <v>16</v>
      </c>
      <c r="AT166" s="1" t="s">
        <v>132</v>
      </c>
      <c r="AU166" s="1">
        <v>28.32</v>
      </c>
      <c r="AV166" s="1">
        <v>5.21</v>
      </c>
      <c r="AW166" s="1">
        <v>99972</v>
      </c>
      <c r="AX166" s="1">
        <v>0.48</v>
      </c>
      <c r="AY166" s="1">
        <v>201751</v>
      </c>
      <c r="AZ166" s="1">
        <v>10</v>
      </c>
      <c r="BA166" s="19" t="s">
        <v>133</v>
      </c>
    </row>
    <row r="167" spans="17:53" x14ac:dyDescent="0.25">
      <c r="Q167" s="109" t="str">
        <f t="shared" si="21"/>
        <v>OutletWinter 17</v>
      </c>
      <c r="R167" s="27" t="str">
        <f t="shared" si="22"/>
        <v>2018OutletWinter 17</v>
      </c>
      <c r="S167" s="343">
        <v>2018</v>
      </c>
      <c r="T167" s="343" t="s">
        <v>17</v>
      </c>
      <c r="U167" s="343" t="s">
        <v>462</v>
      </c>
      <c r="V167" s="343" t="s">
        <v>462</v>
      </c>
      <c r="W167" s="343" t="s">
        <v>461</v>
      </c>
      <c r="X167" s="22">
        <f t="shared" si="23"/>
        <v>7</v>
      </c>
      <c r="Y167" s="22"/>
      <c r="AG167" s="27" t="str">
        <f t="shared" si="19"/>
        <v>Janie &amp; JackOutletUSA6</v>
      </c>
      <c r="AH167" s="1" t="s">
        <v>32</v>
      </c>
      <c r="AI167" s="1" t="s">
        <v>17</v>
      </c>
      <c r="AJ167" s="1" t="s">
        <v>307</v>
      </c>
      <c r="AK167" s="1">
        <v>6</v>
      </c>
      <c r="AL167" s="19">
        <v>0.28000000000000003</v>
      </c>
      <c r="AN167" s="109" t="str">
        <f t="shared" si="20"/>
        <v>GymboreeUSAWebGY 18 SPR VACA</v>
      </c>
      <c r="AO167" s="1" t="s">
        <v>14</v>
      </c>
      <c r="AP167" s="1" t="s">
        <v>15</v>
      </c>
      <c r="AQ167" s="1" t="s">
        <v>307</v>
      </c>
      <c r="AR167" s="1">
        <v>2018</v>
      </c>
      <c r="AS167" s="1" t="s">
        <v>16</v>
      </c>
      <c r="AT167" s="1" t="s">
        <v>136</v>
      </c>
      <c r="AU167" s="1">
        <v>25.81</v>
      </c>
      <c r="AV167" s="1">
        <v>4.7300000000000004</v>
      </c>
      <c r="AW167" s="1">
        <v>823915</v>
      </c>
      <c r="AX167" s="1">
        <v>0.37</v>
      </c>
      <c r="AY167" s="1">
        <v>201802</v>
      </c>
      <c r="AZ167" s="1">
        <v>8</v>
      </c>
      <c r="BA167" s="19" t="s">
        <v>137</v>
      </c>
    </row>
    <row r="168" spans="17:53" x14ac:dyDescent="0.25">
      <c r="Q168" s="109" t="str">
        <f t="shared" si="21"/>
        <v>OutletOld</v>
      </c>
      <c r="R168" s="27" t="str">
        <f t="shared" si="22"/>
        <v>2018OutletOld</v>
      </c>
      <c r="S168" s="343">
        <v>2018</v>
      </c>
      <c r="T168" s="343" t="s">
        <v>17</v>
      </c>
      <c r="U168" s="343" t="s">
        <v>460</v>
      </c>
      <c r="V168" s="343" t="s">
        <v>460</v>
      </c>
      <c r="W168" s="343" t="s">
        <v>460</v>
      </c>
      <c r="X168" s="22">
        <f t="shared" si="23"/>
        <v>8</v>
      </c>
      <c r="Y168" s="22"/>
      <c r="AG168" s="27" t="str">
        <f t="shared" si="19"/>
        <v>Janie &amp; JackOutletUSA7</v>
      </c>
      <c r="AH168" s="1" t="s">
        <v>32</v>
      </c>
      <c r="AI168" s="1" t="s">
        <v>17</v>
      </c>
      <c r="AJ168" s="1" t="s">
        <v>307</v>
      </c>
      <c r="AK168" s="1">
        <v>7</v>
      </c>
      <c r="AL168" s="19">
        <v>0.33</v>
      </c>
      <c r="AN168" s="109" t="str">
        <f t="shared" si="20"/>
        <v>GymboreeUSAWebGY 18 SWIM 2</v>
      </c>
      <c r="AO168" s="1" t="s">
        <v>14</v>
      </c>
      <c r="AP168" s="1" t="s">
        <v>15</v>
      </c>
      <c r="AQ168" s="1" t="s">
        <v>307</v>
      </c>
      <c r="AR168" s="1">
        <v>2018</v>
      </c>
      <c r="AS168" s="1" t="s">
        <v>16</v>
      </c>
      <c r="AT168" s="1" t="s">
        <v>140</v>
      </c>
      <c r="AU168" s="1">
        <v>24.35</v>
      </c>
      <c r="AV168" s="1">
        <v>4.6100000000000003</v>
      </c>
      <c r="AW168" s="1">
        <v>191568</v>
      </c>
      <c r="AX168" s="1">
        <v>0.43</v>
      </c>
      <c r="AY168" s="1">
        <v>201802</v>
      </c>
      <c r="AZ168" s="1">
        <v>10</v>
      </c>
      <c r="BA168" s="19" t="s">
        <v>141</v>
      </c>
    </row>
    <row r="169" spans="17:53" x14ac:dyDescent="0.25">
      <c r="Q169" s="109" t="str">
        <f t="shared" ref="Q169:Q171" si="24">T169&amp;V169</f>
        <v/>
      </c>
      <c r="R169" s="27" t="str">
        <f t="shared" ref="R169:R171" si="25">S169&amp;T169&amp;U169</f>
        <v/>
      </c>
      <c r="S169" s="1"/>
      <c r="T169" s="1"/>
      <c r="U169" s="1"/>
      <c r="V169" s="1"/>
      <c r="W169" s="19"/>
      <c r="X169" s="22"/>
      <c r="Y169" s="22"/>
      <c r="AG169" s="27" t="str">
        <f t="shared" si="19"/>
        <v>Janie &amp; JackOutletUSA8</v>
      </c>
      <c r="AH169" s="1" t="s">
        <v>32</v>
      </c>
      <c r="AI169" s="1" t="s">
        <v>17</v>
      </c>
      <c r="AJ169" s="1" t="s">
        <v>307</v>
      </c>
      <c r="AK169" s="1">
        <v>8</v>
      </c>
      <c r="AL169" s="19">
        <v>0.38</v>
      </c>
      <c r="AN169" s="109" t="str">
        <f t="shared" si="20"/>
        <v>GymboreeUSAWebGY 18 SUM 1</v>
      </c>
      <c r="AO169" s="1" t="s">
        <v>14</v>
      </c>
      <c r="AP169" s="1" t="s">
        <v>15</v>
      </c>
      <c r="AQ169" s="1" t="s">
        <v>307</v>
      </c>
      <c r="AR169" s="1">
        <v>2018</v>
      </c>
      <c r="AS169" s="1" t="s">
        <v>16</v>
      </c>
      <c r="AT169" s="1" t="s">
        <v>138</v>
      </c>
      <c r="AU169" s="1">
        <v>25.96</v>
      </c>
      <c r="AV169" s="1">
        <v>4.34</v>
      </c>
      <c r="AW169" s="1">
        <v>307653</v>
      </c>
      <c r="AX169" s="1">
        <v>0.34</v>
      </c>
      <c r="AY169" s="1">
        <v>201804</v>
      </c>
      <c r="AZ169" s="1">
        <v>8</v>
      </c>
      <c r="BA169" s="19" t="s">
        <v>139</v>
      </c>
    </row>
    <row r="170" spans="17:53" x14ac:dyDescent="0.25">
      <c r="Q170" s="109" t="str">
        <f t="shared" si="24"/>
        <v/>
      </c>
      <c r="R170" s="27" t="str">
        <f t="shared" si="25"/>
        <v/>
      </c>
      <c r="S170" s="1"/>
      <c r="T170" s="1"/>
      <c r="U170" s="1"/>
      <c r="V170" s="1"/>
      <c r="W170" s="19"/>
      <c r="X170" s="22"/>
      <c r="Y170" s="22"/>
      <c r="AG170" s="27" t="str">
        <f t="shared" si="19"/>
        <v>Janie &amp; JackOutletUSA9</v>
      </c>
      <c r="AH170" s="1" t="s">
        <v>32</v>
      </c>
      <c r="AI170" s="1" t="s">
        <v>17</v>
      </c>
      <c r="AJ170" s="1" t="s">
        <v>307</v>
      </c>
      <c r="AK170" s="1">
        <v>9</v>
      </c>
      <c r="AL170" s="19">
        <v>0.39</v>
      </c>
      <c r="AN170" s="109" t="str">
        <f t="shared" si="20"/>
        <v>GymboreeUSAWebGY 18 DRESSY</v>
      </c>
      <c r="AO170" s="1" t="s">
        <v>14</v>
      </c>
      <c r="AP170" s="1" t="s">
        <v>15</v>
      </c>
      <c r="AQ170" s="1" t="s">
        <v>307</v>
      </c>
      <c r="AR170" s="1">
        <v>2018</v>
      </c>
      <c r="AS170" s="1" t="s">
        <v>16</v>
      </c>
      <c r="AT170" s="1" t="s">
        <v>134</v>
      </c>
      <c r="AU170" s="1">
        <v>35.96</v>
      </c>
      <c r="AV170" s="1">
        <v>5.7</v>
      </c>
      <c r="AW170" s="1">
        <v>403370</v>
      </c>
      <c r="AX170" s="1">
        <v>0.41</v>
      </c>
      <c r="AY170" s="1">
        <v>201751</v>
      </c>
      <c r="AZ170" s="1">
        <v>10</v>
      </c>
      <c r="BA170" s="19" t="s">
        <v>135</v>
      </c>
    </row>
    <row r="171" spans="17:53" x14ac:dyDescent="0.25">
      <c r="Q171" s="109" t="str">
        <f t="shared" si="24"/>
        <v/>
      </c>
      <c r="R171" s="27" t="str">
        <f t="shared" si="25"/>
        <v/>
      </c>
      <c r="S171" s="1"/>
      <c r="T171" s="1"/>
      <c r="U171" s="1"/>
      <c r="V171" s="1"/>
      <c r="W171" s="19"/>
      <c r="X171" s="22"/>
      <c r="Y171" s="22"/>
      <c r="AG171" s="27" t="str">
        <f t="shared" si="19"/>
        <v>Janie &amp; JackOutletUSA10</v>
      </c>
      <c r="AH171" s="1" t="s">
        <v>32</v>
      </c>
      <c r="AI171" s="1" t="s">
        <v>17</v>
      </c>
      <c r="AJ171" s="1" t="s">
        <v>307</v>
      </c>
      <c r="AK171" s="1">
        <v>10</v>
      </c>
      <c r="AL171" s="19">
        <v>0.4</v>
      </c>
      <c r="AN171" s="109" t="str">
        <f t="shared" si="20"/>
        <v>GymboreeUSAWebGY 18 SMR</v>
      </c>
      <c r="AO171" s="1" t="s">
        <v>14</v>
      </c>
      <c r="AP171" s="1" t="s">
        <v>15</v>
      </c>
      <c r="AQ171" s="1" t="s">
        <v>307</v>
      </c>
      <c r="AR171" s="1">
        <v>2018</v>
      </c>
      <c r="AS171" s="1" t="s">
        <v>18</v>
      </c>
      <c r="AT171" s="1" t="s">
        <v>152</v>
      </c>
      <c r="AU171" s="1">
        <v>22.74</v>
      </c>
      <c r="AV171" s="1">
        <v>4.84</v>
      </c>
      <c r="AW171" s="1">
        <v>712601</v>
      </c>
      <c r="AX171" s="1">
        <v>0.51</v>
      </c>
      <c r="AY171" s="1">
        <v>201804</v>
      </c>
      <c r="AZ171" s="1">
        <v>18</v>
      </c>
      <c r="BA171" s="19" t="s">
        <v>153</v>
      </c>
    </row>
    <row r="172" spans="17:53" x14ac:dyDescent="0.25">
      <c r="Q172" s="109" t="str">
        <f t="shared" ref="Q172:Q235" si="26">T172&amp;V172</f>
        <v/>
      </c>
      <c r="R172" s="27" t="str">
        <f t="shared" ref="R172:R235" si="27">S172&amp;T172&amp;U172</f>
        <v/>
      </c>
      <c r="S172" s="1"/>
      <c r="T172" s="1"/>
      <c r="U172" s="1"/>
      <c r="V172" s="1"/>
      <c r="W172" s="19"/>
      <c r="X172" s="22"/>
      <c r="Y172" s="22"/>
      <c r="AG172" s="27" t="str">
        <f t="shared" si="19"/>
        <v>Janie &amp; JackOutletUSA11</v>
      </c>
      <c r="AH172" s="1" t="s">
        <v>32</v>
      </c>
      <c r="AI172" s="1" t="s">
        <v>17</v>
      </c>
      <c r="AJ172" s="1" t="s">
        <v>307</v>
      </c>
      <c r="AK172" s="1">
        <v>11</v>
      </c>
      <c r="AL172" s="19">
        <v>0.41</v>
      </c>
      <c r="AN172" s="109" t="str">
        <f t="shared" si="20"/>
        <v>GymboreeUSAWebGY 18 SM2</v>
      </c>
      <c r="AO172" s="1" t="s">
        <v>14</v>
      </c>
      <c r="AP172" s="1" t="s">
        <v>15</v>
      </c>
      <c r="AQ172" s="1" t="s">
        <v>307</v>
      </c>
      <c r="AR172" s="1">
        <v>2018</v>
      </c>
      <c r="AS172" s="1" t="s">
        <v>18</v>
      </c>
      <c r="AT172" s="1" t="s">
        <v>142</v>
      </c>
      <c r="AU172" s="1">
        <v>25.47</v>
      </c>
      <c r="AV172" s="1">
        <v>4.3899999999999997</v>
      </c>
      <c r="AW172" s="1">
        <v>516772</v>
      </c>
      <c r="AX172" s="1">
        <v>0.49</v>
      </c>
      <c r="AY172" s="1">
        <v>201808</v>
      </c>
      <c r="AZ172" s="1">
        <v>8</v>
      </c>
      <c r="BA172" s="19" t="s">
        <v>143</v>
      </c>
    </row>
    <row r="173" spans="17:53" x14ac:dyDescent="0.25">
      <c r="Q173" s="109" t="str">
        <f t="shared" si="26"/>
        <v/>
      </c>
      <c r="R173" s="27" t="str">
        <f t="shared" si="27"/>
        <v/>
      </c>
      <c r="S173" s="1"/>
      <c r="T173" s="1"/>
      <c r="U173" s="1"/>
      <c r="V173" s="1"/>
      <c r="W173" s="19"/>
      <c r="X173" s="22"/>
      <c r="Y173" s="22"/>
      <c r="AG173" s="27" t="str">
        <f t="shared" si="19"/>
        <v>Janie &amp; JackOutletUSA12</v>
      </c>
      <c r="AH173" s="1" t="s">
        <v>32</v>
      </c>
      <c r="AI173" s="1" t="s">
        <v>17</v>
      </c>
      <c r="AJ173" s="1" t="s">
        <v>307</v>
      </c>
      <c r="AK173" s="1">
        <v>12</v>
      </c>
      <c r="AL173" s="19">
        <v>0.41</v>
      </c>
      <c r="AN173" s="109" t="str">
        <f t="shared" si="20"/>
        <v>GymboreeUSAWebGY 18 SWIM 3</v>
      </c>
      <c r="AO173" s="1" t="s">
        <v>14</v>
      </c>
      <c r="AP173" s="1" t="s">
        <v>15</v>
      </c>
      <c r="AQ173" s="1" t="s">
        <v>307</v>
      </c>
      <c r="AR173" s="1">
        <v>2018</v>
      </c>
      <c r="AS173" s="1" t="s">
        <v>18</v>
      </c>
      <c r="AT173" s="1" t="s">
        <v>146</v>
      </c>
      <c r="AU173" s="1">
        <v>27.09</v>
      </c>
      <c r="AV173" s="1">
        <v>4.92</v>
      </c>
      <c r="AW173" s="1">
        <v>148944</v>
      </c>
      <c r="AX173" s="1">
        <v>0.52</v>
      </c>
      <c r="AY173" s="1">
        <v>201808</v>
      </c>
      <c r="AZ173" s="1">
        <v>13</v>
      </c>
      <c r="BA173" s="19" t="s">
        <v>147</v>
      </c>
    </row>
    <row r="174" spans="17:53" x14ac:dyDescent="0.25">
      <c r="Q174" s="109" t="str">
        <f t="shared" si="26"/>
        <v/>
      </c>
      <c r="R174" s="27" t="str">
        <f t="shared" si="27"/>
        <v/>
      </c>
      <c r="S174" s="1"/>
      <c r="T174" s="1"/>
      <c r="U174" s="1"/>
      <c r="V174" s="1"/>
      <c r="W174" s="19"/>
      <c r="X174" s="22"/>
      <c r="Y174" s="22"/>
      <c r="AG174" s="27" t="str">
        <f t="shared" si="19"/>
        <v>Janie &amp; JackOutletUSA13</v>
      </c>
      <c r="AH174" s="1" t="s">
        <v>32</v>
      </c>
      <c r="AI174" s="1" t="s">
        <v>17</v>
      </c>
      <c r="AJ174" s="1" t="s">
        <v>307</v>
      </c>
      <c r="AK174" s="1">
        <v>13</v>
      </c>
      <c r="AL174" s="19">
        <v>0.44</v>
      </c>
      <c r="AN174" s="109" t="str">
        <f t="shared" si="20"/>
        <v>GymboreeUSAWebGY 18 SM3</v>
      </c>
      <c r="AO174" s="1" t="s">
        <v>14</v>
      </c>
      <c r="AP174" s="1" t="s">
        <v>15</v>
      </c>
      <c r="AQ174" s="1" t="s">
        <v>307</v>
      </c>
      <c r="AR174" s="1">
        <v>2018</v>
      </c>
      <c r="AS174" s="1" t="s">
        <v>18</v>
      </c>
      <c r="AT174" s="1" t="s">
        <v>144</v>
      </c>
      <c r="AU174" s="1">
        <v>24.67</v>
      </c>
      <c r="AV174" s="1">
        <v>4.45</v>
      </c>
      <c r="AW174" s="1">
        <v>522778</v>
      </c>
      <c r="AX174" s="1">
        <v>0.43</v>
      </c>
      <c r="AY174" s="1">
        <v>201811</v>
      </c>
      <c r="AZ174" s="1">
        <v>8</v>
      </c>
      <c r="BA174" s="19" t="s">
        <v>145</v>
      </c>
    </row>
    <row r="175" spans="17:53" x14ac:dyDescent="0.25">
      <c r="Q175" s="109" t="str">
        <f t="shared" si="26"/>
        <v/>
      </c>
      <c r="R175" s="27" t="str">
        <f t="shared" si="27"/>
        <v/>
      </c>
      <c r="S175" s="1"/>
      <c r="T175" s="1"/>
      <c r="U175" s="1"/>
      <c r="V175" s="1"/>
      <c r="W175" s="19"/>
      <c r="X175" s="22"/>
      <c r="Y175" s="22"/>
      <c r="AG175" s="27" t="str">
        <f t="shared" si="19"/>
        <v>Janie &amp; JackOutletUSA14</v>
      </c>
      <c r="AH175" s="1" t="s">
        <v>32</v>
      </c>
      <c r="AI175" s="1" t="s">
        <v>17</v>
      </c>
      <c r="AJ175" s="1" t="s">
        <v>307</v>
      </c>
      <c r="AK175" s="1">
        <v>14</v>
      </c>
      <c r="AL175" s="19">
        <v>0.43</v>
      </c>
      <c r="AN175" s="109" t="str">
        <f t="shared" si="20"/>
        <v>GymboreeUSAWebGY 18 SM4</v>
      </c>
      <c r="AO175" s="1" t="s">
        <v>14</v>
      </c>
      <c r="AP175" s="1" t="s">
        <v>15</v>
      </c>
      <c r="AQ175" s="1" t="s">
        <v>307</v>
      </c>
      <c r="AR175" s="1">
        <v>2018</v>
      </c>
      <c r="AS175" s="1" t="s">
        <v>18</v>
      </c>
      <c r="AT175" s="1" t="s">
        <v>148</v>
      </c>
      <c r="AU175" s="1">
        <v>25.76</v>
      </c>
      <c r="AV175" s="1">
        <v>4.28</v>
      </c>
      <c r="AW175" s="1">
        <v>524784</v>
      </c>
      <c r="AX175" s="1">
        <v>0.49</v>
      </c>
      <c r="AY175" s="1">
        <v>201814</v>
      </c>
      <c r="AZ175" s="1">
        <v>9</v>
      </c>
      <c r="BA175" s="19" t="s">
        <v>149</v>
      </c>
    </row>
    <row r="176" spans="17:53" x14ac:dyDescent="0.25">
      <c r="Q176" s="109" t="str">
        <f t="shared" si="26"/>
        <v/>
      </c>
      <c r="R176" s="27" t="str">
        <f t="shared" si="27"/>
        <v/>
      </c>
      <c r="S176" s="1"/>
      <c r="T176" s="1"/>
      <c r="U176" s="1"/>
      <c r="V176" s="1"/>
      <c r="W176" s="19"/>
      <c r="X176" s="22"/>
      <c r="Y176" s="22"/>
      <c r="AG176" s="27" t="str">
        <f t="shared" si="19"/>
        <v>Janie &amp; JackOutletUSA15</v>
      </c>
      <c r="AH176" s="1" t="s">
        <v>32</v>
      </c>
      <c r="AI176" s="1" t="s">
        <v>17</v>
      </c>
      <c r="AJ176" s="1" t="s">
        <v>307</v>
      </c>
      <c r="AK176" s="1">
        <v>15</v>
      </c>
      <c r="AL176" s="19">
        <v>0.44</v>
      </c>
      <c r="AN176" s="109" t="str">
        <f t="shared" si="20"/>
        <v>GymboreeUSAWebGY 18 SM5</v>
      </c>
      <c r="AO176" s="1" t="s">
        <v>14</v>
      </c>
      <c r="AP176" s="1" t="s">
        <v>15</v>
      </c>
      <c r="AQ176" s="1" t="s">
        <v>307</v>
      </c>
      <c r="AR176" s="1">
        <v>2018</v>
      </c>
      <c r="AS176" s="1" t="s">
        <v>18</v>
      </c>
      <c r="AT176" s="1" t="s">
        <v>150</v>
      </c>
      <c r="AU176" s="1">
        <v>24.18</v>
      </c>
      <c r="AV176" s="1">
        <v>4.1100000000000003</v>
      </c>
      <c r="AW176" s="1">
        <v>370583</v>
      </c>
      <c r="AX176" s="1">
        <v>0.45</v>
      </c>
      <c r="AY176" s="1">
        <v>201818</v>
      </c>
      <c r="AZ176" s="1">
        <v>8</v>
      </c>
      <c r="BA176" s="19" t="s">
        <v>151</v>
      </c>
    </row>
    <row r="177" spans="17:53" x14ac:dyDescent="0.25">
      <c r="Q177" s="109" t="str">
        <f t="shared" si="26"/>
        <v/>
      </c>
      <c r="R177" s="27" t="str">
        <f t="shared" si="27"/>
        <v/>
      </c>
      <c r="S177" s="1"/>
      <c r="T177" s="1"/>
      <c r="U177" s="1"/>
      <c r="V177" s="1"/>
      <c r="W177" s="19"/>
      <c r="X177" s="22"/>
      <c r="Y177" s="22"/>
      <c r="AG177" s="27" t="str">
        <f t="shared" si="19"/>
        <v>Janie &amp; JackOutletUSA16</v>
      </c>
      <c r="AH177" s="1" t="s">
        <v>32</v>
      </c>
      <c r="AI177" s="1" t="s">
        <v>17</v>
      </c>
      <c r="AJ177" s="1" t="s">
        <v>307</v>
      </c>
      <c r="AK177" s="1">
        <v>16</v>
      </c>
      <c r="AL177" s="19">
        <v>0.48</v>
      </c>
      <c r="AN177" s="109" t="str">
        <f t="shared" si="20"/>
        <v>GymboreeCanadaRetailGY 18 VDAY</v>
      </c>
      <c r="AO177" s="1" t="s">
        <v>14</v>
      </c>
      <c r="AP177" s="1" t="s">
        <v>5</v>
      </c>
      <c r="AQ177" s="1" t="s">
        <v>308</v>
      </c>
      <c r="AR177" s="1">
        <v>2018</v>
      </c>
      <c r="AS177" s="1" t="s">
        <v>16</v>
      </c>
      <c r="AT177" s="1" t="s">
        <v>351</v>
      </c>
      <c r="AU177" s="1">
        <v>34.72</v>
      </c>
      <c r="AV177" s="1">
        <v>5.26</v>
      </c>
      <c r="AW177" s="1">
        <v>48379</v>
      </c>
      <c r="AX177" s="1">
        <v>0.55000000000000004</v>
      </c>
      <c r="AY177" s="1">
        <v>201748</v>
      </c>
      <c r="AZ177" s="1">
        <v>7</v>
      </c>
      <c r="BA177" s="19" t="s">
        <v>350</v>
      </c>
    </row>
    <row r="178" spans="17:53" x14ac:dyDescent="0.25">
      <c r="Q178" s="109" t="str">
        <f t="shared" si="26"/>
        <v/>
      </c>
      <c r="R178" s="27" t="str">
        <f t="shared" si="27"/>
        <v/>
      </c>
      <c r="S178" s="1"/>
      <c r="T178" s="1"/>
      <c r="U178" s="1"/>
      <c r="V178" s="1"/>
      <c r="W178" s="19"/>
      <c r="X178" s="22"/>
      <c r="Y178" s="22"/>
      <c r="AG178" s="27" t="str">
        <f t="shared" si="19"/>
        <v>Janie &amp; JackOutletUSA17</v>
      </c>
      <c r="AH178" s="1" t="s">
        <v>32</v>
      </c>
      <c r="AI178" s="1" t="s">
        <v>17</v>
      </c>
      <c r="AJ178" s="1" t="s">
        <v>307</v>
      </c>
      <c r="AK178" s="1">
        <v>17</v>
      </c>
      <c r="AL178" s="19">
        <v>0.49</v>
      </c>
      <c r="AN178" s="109" t="str">
        <f t="shared" si="20"/>
        <v>GymboreeCanadaRetailGY 18 SPR</v>
      </c>
      <c r="AO178" s="1" t="s">
        <v>14</v>
      </c>
      <c r="AP178" s="1" t="s">
        <v>5</v>
      </c>
      <c r="AQ178" s="1" t="s">
        <v>308</v>
      </c>
      <c r="AR178" s="1">
        <v>2018</v>
      </c>
      <c r="AS178" s="1" t="s">
        <v>16</v>
      </c>
      <c r="AT178" s="1" t="s">
        <v>128</v>
      </c>
      <c r="AU178" s="1">
        <v>20.69</v>
      </c>
      <c r="AV178" s="1">
        <v>5.5</v>
      </c>
      <c r="AW178" s="1">
        <v>167162</v>
      </c>
      <c r="AX178" s="1">
        <v>0.6</v>
      </c>
      <c r="AY178" s="1">
        <v>201748</v>
      </c>
      <c r="AZ178" s="1">
        <v>20</v>
      </c>
      <c r="BA178" s="19" t="s">
        <v>129</v>
      </c>
    </row>
    <row r="179" spans="17:53" x14ac:dyDescent="0.25">
      <c r="Q179" s="109" t="str">
        <f t="shared" si="26"/>
        <v/>
      </c>
      <c r="R179" s="27" t="str">
        <f t="shared" si="27"/>
        <v/>
      </c>
      <c r="S179" s="1"/>
      <c r="T179" s="1"/>
      <c r="U179" s="1"/>
      <c r="V179" s="1"/>
      <c r="W179" s="19"/>
      <c r="X179" s="22"/>
      <c r="Y179" s="22"/>
      <c r="AG179" s="27" t="str">
        <f t="shared" si="19"/>
        <v>Janie &amp; JackOutletUSA18</v>
      </c>
      <c r="AH179" s="1" t="s">
        <v>32</v>
      </c>
      <c r="AI179" s="1" t="s">
        <v>17</v>
      </c>
      <c r="AJ179" s="1" t="s">
        <v>307</v>
      </c>
      <c r="AK179" s="1">
        <v>18</v>
      </c>
      <c r="AL179" s="19">
        <v>0.5</v>
      </c>
      <c r="AN179" s="109" t="str">
        <f t="shared" si="20"/>
        <v>GymboreeCanadaRetailGY 18 SPRING BASICS</v>
      </c>
      <c r="AO179" s="1" t="s">
        <v>14</v>
      </c>
      <c r="AP179" s="1" t="s">
        <v>5</v>
      </c>
      <c r="AQ179" s="1" t="s">
        <v>308</v>
      </c>
      <c r="AR179" s="1">
        <v>2018</v>
      </c>
      <c r="AS179" s="1" t="s">
        <v>16</v>
      </c>
      <c r="AT179" s="1" t="s">
        <v>125</v>
      </c>
      <c r="AU179" s="1">
        <v>25.4</v>
      </c>
      <c r="AV179" s="1">
        <v>4.51</v>
      </c>
      <c r="AW179" s="1">
        <v>176069</v>
      </c>
      <c r="AX179" s="1">
        <v>0.52</v>
      </c>
      <c r="AY179" s="1">
        <v>201746</v>
      </c>
      <c r="AZ179" s="1">
        <v>20</v>
      </c>
      <c r="BA179" s="19" t="s">
        <v>126</v>
      </c>
    </row>
    <row r="180" spans="17:53" x14ac:dyDescent="0.25">
      <c r="Q180" s="109" t="str">
        <f t="shared" si="26"/>
        <v/>
      </c>
      <c r="R180" s="27" t="str">
        <f t="shared" si="27"/>
        <v/>
      </c>
      <c r="S180" s="1"/>
      <c r="T180" s="1"/>
      <c r="U180" s="1"/>
      <c r="V180" s="1"/>
      <c r="W180" s="19"/>
      <c r="X180" s="22"/>
      <c r="Y180" s="22"/>
      <c r="AG180" s="27" t="str">
        <f t="shared" si="19"/>
        <v>Janie &amp; JackOutletUSA19</v>
      </c>
      <c r="AH180" s="1" t="s">
        <v>32</v>
      </c>
      <c r="AI180" s="1" t="s">
        <v>17</v>
      </c>
      <c r="AJ180" s="1" t="s">
        <v>307</v>
      </c>
      <c r="AK180" s="1">
        <v>19</v>
      </c>
      <c r="AL180" s="19">
        <v>0.52</v>
      </c>
      <c r="AN180" s="109" t="str">
        <f t="shared" si="20"/>
        <v>GymboreeCanadaRetailGY 18 SPR 1</v>
      </c>
      <c r="AO180" s="1" t="s">
        <v>14</v>
      </c>
      <c r="AP180" s="1" t="s">
        <v>5</v>
      </c>
      <c r="AQ180" s="1" t="s">
        <v>308</v>
      </c>
      <c r="AR180" s="1">
        <v>2018</v>
      </c>
      <c r="AS180" s="1" t="s">
        <v>16</v>
      </c>
      <c r="AT180" s="1" t="s">
        <v>130</v>
      </c>
      <c r="AU180" s="1">
        <v>34.909999999999997</v>
      </c>
      <c r="AV180" s="1">
        <v>6.36</v>
      </c>
      <c r="AW180" s="1">
        <v>127077</v>
      </c>
      <c r="AX180" s="1">
        <v>0.42</v>
      </c>
      <c r="AY180" s="1">
        <v>201750</v>
      </c>
      <c r="AZ180" s="1">
        <v>6</v>
      </c>
      <c r="BA180" s="19" t="s">
        <v>131</v>
      </c>
    </row>
    <row r="181" spans="17:53" x14ac:dyDescent="0.25">
      <c r="Q181" s="109" t="str">
        <f t="shared" si="26"/>
        <v/>
      </c>
      <c r="R181" s="27" t="str">
        <f t="shared" si="27"/>
        <v/>
      </c>
      <c r="S181" s="1"/>
      <c r="T181" s="1"/>
      <c r="U181" s="1"/>
      <c r="V181" s="1"/>
      <c r="W181" s="19"/>
      <c r="X181" s="22"/>
      <c r="Y181" s="22"/>
      <c r="AG181" s="27" t="str">
        <f t="shared" si="19"/>
        <v>Janie &amp; JackOutletUSA20</v>
      </c>
      <c r="AH181" s="1" t="s">
        <v>32</v>
      </c>
      <c r="AI181" s="1" t="s">
        <v>17</v>
      </c>
      <c r="AJ181" s="1" t="s">
        <v>307</v>
      </c>
      <c r="AK181" s="1">
        <v>20</v>
      </c>
      <c r="AL181" s="19">
        <v>0.52</v>
      </c>
      <c r="AN181" s="109" t="str">
        <f t="shared" si="20"/>
        <v>GymboreeCanadaRetailGY 18 SPR 2</v>
      </c>
      <c r="AO181" s="1" t="s">
        <v>14</v>
      </c>
      <c r="AP181" s="1" t="s">
        <v>5</v>
      </c>
      <c r="AQ181" s="1" t="s">
        <v>308</v>
      </c>
      <c r="AR181" s="1">
        <v>2018</v>
      </c>
      <c r="AS181" s="1" t="s">
        <v>16</v>
      </c>
      <c r="AT181" s="1" t="s">
        <v>49</v>
      </c>
      <c r="AU181" s="1">
        <v>34.36</v>
      </c>
      <c r="AV181" s="1">
        <v>5.93</v>
      </c>
      <c r="AW181" s="1">
        <v>67138</v>
      </c>
      <c r="AX181" s="1">
        <v>0.38</v>
      </c>
      <c r="AY181" s="1">
        <v>201750</v>
      </c>
      <c r="AZ181" s="1">
        <v>5</v>
      </c>
      <c r="BA181" s="19" t="s">
        <v>50</v>
      </c>
    </row>
    <row r="182" spans="17:53" x14ac:dyDescent="0.25">
      <c r="Q182" s="109" t="str">
        <f t="shared" si="26"/>
        <v/>
      </c>
      <c r="R182" s="27" t="str">
        <f t="shared" si="27"/>
        <v/>
      </c>
      <c r="S182" s="1"/>
      <c r="T182" s="1"/>
      <c r="U182" s="1"/>
      <c r="V182" s="1"/>
      <c r="W182" s="19"/>
      <c r="X182" s="22"/>
      <c r="Y182" s="22"/>
      <c r="AG182" s="27" t="str">
        <f t="shared" si="19"/>
        <v>Janie &amp; JackOutletUSA21</v>
      </c>
      <c r="AH182" s="1" t="s">
        <v>32</v>
      </c>
      <c r="AI182" s="1" t="s">
        <v>17</v>
      </c>
      <c r="AJ182" s="1" t="s">
        <v>307</v>
      </c>
      <c r="AK182" s="1">
        <v>21</v>
      </c>
      <c r="AL182" s="19">
        <v>0.53</v>
      </c>
      <c r="AN182" s="109" t="str">
        <f t="shared" si="20"/>
        <v>GymboreeCanadaRetailGY 18 SWIM 1</v>
      </c>
      <c r="AO182" s="1" t="s">
        <v>14</v>
      </c>
      <c r="AP182" s="1" t="s">
        <v>5</v>
      </c>
      <c r="AQ182" s="1" t="s">
        <v>308</v>
      </c>
      <c r="AR182" s="1">
        <v>2018</v>
      </c>
      <c r="AS182" s="1" t="s">
        <v>16</v>
      </c>
      <c r="AT182" s="1" t="s">
        <v>132</v>
      </c>
      <c r="AU182" s="1">
        <v>35.450000000000003</v>
      </c>
      <c r="AV182" s="1">
        <v>6.43</v>
      </c>
      <c r="AW182" s="1">
        <v>8711</v>
      </c>
      <c r="AX182" s="1">
        <v>0.52</v>
      </c>
      <c r="AY182" s="1">
        <v>201753</v>
      </c>
      <c r="AZ182" s="1">
        <v>8</v>
      </c>
      <c r="BA182" s="19" t="s">
        <v>133</v>
      </c>
    </row>
    <row r="183" spans="17:53" x14ac:dyDescent="0.25">
      <c r="Q183" s="109" t="str">
        <f t="shared" si="26"/>
        <v/>
      </c>
      <c r="R183" s="27" t="str">
        <f t="shared" si="27"/>
        <v/>
      </c>
      <c r="S183" s="1"/>
      <c r="T183" s="1"/>
      <c r="U183" s="1"/>
      <c r="V183" s="1"/>
      <c r="W183" s="19"/>
      <c r="X183" s="22"/>
      <c r="Y183" s="22"/>
      <c r="AG183" s="27" t="str">
        <f t="shared" si="19"/>
        <v>Janie &amp; JackOutletUSA22</v>
      </c>
      <c r="AH183" s="1" t="s">
        <v>32</v>
      </c>
      <c r="AI183" s="1" t="s">
        <v>17</v>
      </c>
      <c r="AJ183" s="1" t="s">
        <v>307</v>
      </c>
      <c r="AK183" s="1">
        <v>22</v>
      </c>
      <c r="AL183" s="19">
        <v>0.54</v>
      </c>
      <c r="AN183" s="109" t="str">
        <f t="shared" si="20"/>
        <v>GymboreeCanadaRetailGY 18 SPR VACA</v>
      </c>
      <c r="AO183" s="1" t="s">
        <v>14</v>
      </c>
      <c r="AP183" s="1" t="s">
        <v>5</v>
      </c>
      <c r="AQ183" s="1" t="s">
        <v>308</v>
      </c>
      <c r="AR183" s="1">
        <v>2018</v>
      </c>
      <c r="AS183" s="1" t="s">
        <v>16</v>
      </c>
      <c r="AT183" s="1" t="s">
        <v>136</v>
      </c>
      <c r="AU183" s="1">
        <v>32.83</v>
      </c>
      <c r="AV183" s="1">
        <v>5.89</v>
      </c>
      <c r="AW183" s="1">
        <v>149111</v>
      </c>
      <c r="AX183" s="1">
        <v>0.53</v>
      </c>
      <c r="AY183" s="1">
        <v>201753</v>
      </c>
      <c r="AZ183" s="1">
        <v>6</v>
      </c>
      <c r="BA183" s="19" t="s">
        <v>137</v>
      </c>
    </row>
    <row r="184" spans="17:53" x14ac:dyDescent="0.25">
      <c r="Q184" s="109" t="str">
        <f t="shared" si="26"/>
        <v/>
      </c>
      <c r="R184" s="27" t="str">
        <f t="shared" si="27"/>
        <v/>
      </c>
      <c r="S184" s="1"/>
      <c r="T184" s="1"/>
      <c r="U184" s="1"/>
      <c r="V184" s="1"/>
      <c r="W184" s="19"/>
      <c r="X184" s="22"/>
      <c r="Y184" s="22"/>
      <c r="AG184" s="27" t="str">
        <f t="shared" si="19"/>
        <v>Janie &amp; JackOutletUSA23</v>
      </c>
      <c r="AH184" s="1" t="s">
        <v>32</v>
      </c>
      <c r="AI184" s="1" t="s">
        <v>17</v>
      </c>
      <c r="AJ184" s="1" t="s">
        <v>307</v>
      </c>
      <c r="AK184" s="1">
        <v>23</v>
      </c>
      <c r="AL184" s="19">
        <v>0.56000000000000005</v>
      </c>
      <c r="AN184" s="109" t="str">
        <f t="shared" si="20"/>
        <v>GymboreeCanadaRetailGY 18 SWIM 2</v>
      </c>
      <c r="AO184" s="1" t="s">
        <v>14</v>
      </c>
      <c r="AP184" s="1" t="s">
        <v>5</v>
      </c>
      <c r="AQ184" s="1" t="s">
        <v>308</v>
      </c>
      <c r="AR184" s="1">
        <v>2018</v>
      </c>
      <c r="AS184" s="1" t="s">
        <v>16</v>
      </c>
      <c r="AT184" s="1" t="s">
        <v>140</v>
      </c>
      <c r="AU184" s="1">
        <v>30.34</v>
      </c>
      <c r="AV184" s="1">
        <v>5.69</v>
      </c>
      <c r="AW184" s="1">
        <v>40515</v>
      </c>
      <c r="AX184" s="1">
        <v>0.51</v>
      </c>
      <c r="AY184" s="1">
        <v>201804</v>
      </c>
      <c r="AZ184" s="1">
        <v>8</v>
      </c>
      <c r="BA184" s="19" t="s">
        <v>141</v>
      </c>
    </row>
    <row r="185" spans="17:53" x14ac:dyDescent="0.25">
      <c r="Q185" s="109" t="str">
        <f t="shared" si="26"/>
        <v/>
      </c>
      <c r="R185" s="27" t="str">
        <f t="shared" si="27"/>
        <v/>
      </c>
      <c r="S185" s="1"/>
      <c r="T185" s="1"/>
      <c r="U185" s="1"/>
      <c r="V185" s="1"/>
      <c r="W185" s="19"/>
      <c r="X185" s="22"/>
      <c r="Y185" s="22"/>
      <c r="AG185" s="27" t="str">
        <f t="shared" si="19"/>
        <v>Janie &amp; JackOutletUSA24</v>
      </c>
      <c r="AH185" s="1" t="s">
        <v>32</v>
      </c>
      <c r="AI185" s="1" t="s">
        <v>17</v>
      </c>
      <c r="AJ185" s="1" t="s">
        <v>307</v>
      </c>
      <c r="AK185" s="1">
        <v>24</v>
      </c>
      <c r="AL185" s="19">
        <v>0.55000000000000004</v>
      </c>
      <c r="AN185" s="109" t="str">
        <f t="shared" si="20"/>
        <v>GymboreeCanadaRetailGY 18 SUM 1</v>
      </c>
      <c r="AO185" s="1" t="s">
        <v>14</v>
      </c>
      <c r="AP185" s="1" t="s">
        <v>5</v>
      </c>
      <c r="AQ185" s="1" t="s">
        <v>308</v>
      </c>
      <c r="AR185" s="1">
        <v>2018</v>
      </c>
      <c r="AS185" s="1" t="s">
        <v>16</v>
      </c>
      <c r="AT185" s="1" t="s">
        <v>138</v>
      </c>
      <c r="AU185" s="1">
        <v>31.42</v>
      </c>
      <c r="AV185" s="1">
        <v>5.22</v>
      </c>
      <c r="AW185" s="1">
        <v>75152</v>
      </c>
      <c r="AX185" s="1">
        <v>0.46</v>
      </c>
      <c r="AY185" s="1">
        <v>201804</v>
      </c>
      <c r="AZ185" s="1">
        <v>6</v>
      </c>
      <c r="BA185" s="19" t="s">
        <v>139</v>
      </c>
    </row>
    <row r="186" spans="17:53" x14ac:dyDescent="0.25">
      <c r="Q186" s="109" t="str">
        <f t="shared" si="26"/>
        <v/>
      </c>
      <c r="R186" s="27" t="str">
        <f t="shared" si="27"/>
        <v/>
      </c>
      <c r="S186" s="1"/>
      <c r="T186" s="1"/>
      <c r="U186" s="1"/>
      <c r="V186" s="1"/>
      <c r="W186" s="19"/>
      <c r="X186" s="22"/>
      <c r="Y186" s="22"/>
      <c r="AG186" s="27" t="str">
        <f t="shared" si="19"/>
        <v>Janie &amp; JackOutletUSA25</v>
      </c>
      <c r="AH186" s="1" t="s">
        <v>32</v>
      </c>
      <c r="AI186" s="1" t="s">
        <v>17</v>
      </c>
      <c r="AJ186" s="1" t="s">
        <v>307</v>
      </c>
      <c r="AK186" s="1">
        <v>25</v>
      </c>
      <c r="AL186" s="19">
        <v>0.6</v>
      </c>
      <c r="AN186" s="109" t="str">
        <f t="shared" si="20"/>
        <v>GymboreeCanadaRetailGY 18 DRESSY</v>
      </c>
      <c r="AO186" s="1" t="s">
        <v>14</v>
      </c>
      <c r="AP186" s="1" t="s">
        <v>5</v>
      </c>
      <c r="AQ186" s="1" t="s">
        <v>308</v>
      </c>
      <c r="AR186" s="1">
        <v>2018</v>
      </c>
      <c r="AS186" s="1" t="s">
        <v>16</v>
      </c>
      <c r="AT186" s="1" t="s">
        <v>134</v>
      </c>
      <c r="AU186" s="1">
        <v>41.91</v>
      </c>
      <c r="AV186" s="1">
        <v>6.69</v>
      </c>
      <c r="AW186" s="1">
        <v>86945</v>
      </c>
      <c r="AX186" s="1">
        <v>0.52</v>
      </c>
      <c r="AY186" s="1">
        <v>201806</v>
      </c>
      <c r="AZ186" s="1">
        <v>8</v>
      </c>
      <c r="BA186" s="19" t="s">
        <v>135</v>
      </c>
    </row>
    <row r="187" spans="17:53" x14ac:dyDescent="0.25">
      <c r="Q187" s="109" t="str">
        <f t="shared" si="26"/>
        <v/>
      </c>
      <c r="R187" s="27" t="str">
        <f t="shared" si="27"/>
        <v/>
      </c>
      <c r="S187" s="1"/>
      <c r="T187" s="1"/>
      <c r="U187" s="1"/>
      <c r="V187" s="1"/>
      <c r="W187" s="19"/>
      <c r="X187" s="22"/>
      <c r="Y187" s="22"/>
      <c r="AG187" s="27" t="str">
        <f t="shared" si="19"/>
        <v>Janie &amp; JackOutletUSA26</v>
      </c>
      <c r="AH187" s="1" t="s">
        <v>32</v>
      </c>
      <c r="AI187" s="1" t="s">
        <v>17</v>
      </c>
      <c r="AJ187" s="1" t="s">
        <v>307</v>
      </c>
      <c r="AK187" s="1">
        <v>26</v>
      </c>
      <c r="AL187" s="19">
        <v>0.6</v>
      </c>
      <c r="AN187" s="109" t="str">
        <f t="shared" si="20"/>
        <v>GymboreeCanadaRetailGY 18 SMR</v>
      </c>
      <c r="AO187" s="1" t="s">
        <v>14</v>
      </c>
      <c r="AP187" s="1" t="s">
        <v>5</v>
      </c>
      <c r="AQ187" s="1" t="s">
        <v>308</v>
      </c>
      <c r="AR187" s="1">
        <v>2018</v>
      </c>
      <c r="AS187" s="1" t="s">
        <v>18</v>
      </c>
      <c r="AT187" s="1" t="s">
        <v>152</v>
      </c>
      <c r="AU187" s="1">
        <v>23</v>
      </c>
      <c r="AV187" s="1">
        <v>5.0199999999999996</v>
      </c>
      <c r="AW187" s="1">
        <v>204232</v>
      </c>
      <c r="AX187" s="1">
        <v>0.68</v>
      </c>
      <c r="AY187" s="1">
        <v>201753</v>
      </c>
      <c r="AZ187" s="1">
        <v>16</v>
      </c>
      <c r="BA187" s="19" t="s">
        <v>153</v>
      </c>
    </row>
    <row r="188" spans="17:53" x14ac:dyDescent="0.25">
      <c r="Q188" s="109" t="str">
        <f t="shared" si="26"/>
        <v/>
      </c>
      <c r="R188" s="27" t="str">
        <f t="shared" si="27"/>
        <v/>
      </c>
      <c r="S188" s="1"/>
      <c r="T188" s="1"/>
      <c r="U188" s="1"/>
      <c r="V188" s="1"/>
      <c r="W188" s="19"/>
      <c r="X188" s="22"/>
      <c r="Y188" s="22"/>
      <c r="AG188" s="27" t="str">
        <f t="shared" si="19"/>
        <v>Janie &amp; JackOutletUSA27</v>
      </c>
      <c r="AH188" s="1" t="s">
        <v>32</v>
      </c>
      <c r="AI188" s="1" t="s">
        <v>17</v>
      </c>
      <c r="AJ188" s="1" t="s">
        <v>307</v>
      </c>
      <c r="AK188" s="1">
        <v>27</v>
      </c>
      <c r="AL188" s="19">
        <v>0.65</v>
      </c>
      <c r="AN188" s="109" t="str">
        <f t="shared" si="20"/>
        <v>GymboreeCanadaRetailGY 18 SM2</v>
      </c>
      <c r="AO188" s="1" t="s">
        <v>14</v>
      </c>
      <c r="AP188" s="1" t="s">
        <v>5</v>
      </c>
      <c r="AQ188" s="1" t="s">
        <v>308</v>
      </c>
      <c r="AR188" s="1">
        <v>2018</v>
      </c>
      <c r="AS188" s="1" t="s">
        <v>18</v>
      </c>
      <c r="AT188" s="1" t="s">
        <v>142</v>
      </c>
      <c r="AU188" s="1">
        <v>31.83</v>
      </c>
      <c r="AV188" s="1">
        <v>5.5</v>
      </c>
      <c r="AW188" s="1">
        <v>133949</v>
      </c>
      <c r="AX188" s="1">
        <v>0.57999999999999996</v>
      </c>
      <c r="AY188" s="1">
        <v>201806</v>
      </c>
      <c r="AZ188" s="1">
        <v>6</v>
      </c>
      <c r="BA188" s="19" t="s">
        <v>143</v>
      </c>
    </row>
    <row r="189" spans="17:53" x14ac:dyDescent="0.25">
      <c r="Q189" s="109" t="str">
        <f t="shared" si="26"/>
        <v/>
      </c>
      <c r="R189" s="27" t="str">
        <f t="shared" si="27"/>
        <v/>
      </c>
      <c r="S189" s="1"/>
      <c r="T189" s="1"/>
      <c r="U189" s="1"/>
      <c r="V189" s="1"/>
      <c r="W189" s="19"/>
      <c r="X189" s="22"/>
      <c r="Y189" s="22"/>
      <c r="AG189" s="27" t="str">
        <f t="shared" si="19"/>
        <v>Janie &amp; JackOutletUSA28</v>
      </c>
      <c r="AH189" s="1" t="s">
        <v>32</v>
      </c>
      <c r="AI189" s="1" t="s">
        <v>17</v>
      </c>
      <c r="AJ189" s="1" t="s">
        <v>307</v>
      </c>
      <c r="AK189" s="1">
        <v>28</v>
      </c>
      <c r="AL189" s="19">
        <v>0.65</v>
      </c>
      <c r="AN189" s="109" t="str">
        <f t="shared" si="20"/>
        <v>GymboreeCanadaRetailGY 18 SWIM 3</v>
      </c>
      <c r="AO189" s="1" t="s">
        <v>14</v>
      </c>
      <c r="AP189" s="1" t="s">
        <v>5</v>
      </c>
      <c r="AQ189" s="1" t="s">
        <v>308</v>
      </c>
      <c r="AR189" s="1">
        <v>2018</v>
      </c>
      <c r="AS189" s="1" t="s">
        <v>18</v>
      </c>
      <c r="AT189" s="1" t="s">
        <v>146</v>
      </c>
      <c r="AU189" s="1">
        <v>34</v>
      </c>
      <c r="AV189" s="1">
        <v>6.13</v>
      </c>
      <c r="AW189" s="1">
        <v>31741</v>
      </c>
      <c r="AX189" s="1">
        <v>0.69</v>
      </c>
      <c r="AY189" s="1">
        <v>201810</v>
      </c>
      <c r="AZ189" s="1">
        <v>11</v>
      </c>
      <c r="BA189" s="19" t="s">
        <v>147</v>
      </c>
    </row>
    <row r="190" spans="17:53" x14ac:dyDescent="0.25">
      <c r="Q190" s="109" t="str">
        <f t="shared" si="26"/>
        <v/>
      </c>
      <c r="R190" s="27" t="str">
        <f t="shared" si="27"/>
        <v/>
      </c>
      <c r="S190" s="1"/>
      <c r="T190" s="1"/>
      <c r="U190" s="1"/>
      <c r="V190" s="1"/>
      <c r="W190" s="19"/>
      <c r="X190" s="22"/>
      <c r="Y190" s="22"/>
      <c r="AG190" s="27" t="str">
        <f t="shared" si="19"/>
        <v>Janie &amp; JackOutletUSA29</v>
      </c>
      <c r="AH190" s="1" t="s">
        <v>32</v>
      </c>
      <c r="AI190" s="1" t="s">
        <v>17</v>
      </c>
      <c r="AJ190" s="1" t="s">
        <v>307</v>
      </c>
      <c r="AK190" s="1">
        <v>29</v>
      </c>
      <c r="AL190" s="19">
        <v>0.65</v>
      </c>
      <c r="AN190" s="109" t="str">
        <f t="shared" si="20"/>
        <v>GymboreeCanadaRetailGY 18 SM3</v>
      </c>
      <c r="AO190" s="1" t="s">
        <v>14</v>
      </c>
      <c r="AP190" s="1" t="s">
        <v>5</v>
      </c>
      <c r="AQ190" s="1" t="s">
        <v>308</v>
      </c>
      <c r="AR190" s="1">
        <v>2018</v>
      </c>
      <c r="AS190" s="1" t="s">
        <v>18</v>
      </c>
      <c r="AT190" s="1" t="s">
        <v>144</v>
      </c>
      <c r="AU190" s="1">
        <v>30.72</v>
      </c>
      <c r="AV190" s="1">
        <v>5.7</v>
      </c>
      <c r="AW190" s="1">
        <v>111588</v>
      </c>
      <c r="AX190" s="1">
        <v>0.56999999999999995</v>
      </c>
      <c r="AY190" s="1">
        <v>201810</v>
      </c>
      <c r="AZ190" s="1">
        <v>6</v>
      </c>
      <c r="BA190" s="19" t="s">
        <v>145</v>
      </c>
    </row>
    <row r="191" spans="17:53" x14ac:dyDescent="0.25">
      <c r="Q191" s="109" t="str">
        <f t="shared" si="26"/>
        <v/>
      </c>
      <c r="R191" s="27" t="str">
        <f t="shared" si="27"/>
        <v/>
      </c>
      <c r="S191" s="1"/>
      <c r="T191" s="1"/>
      <c r="U191" s="1"/>
      <c r="V191" s="1"/>
      <c r="W191" s="19"/>
      <c r="X191" s="22"/>
      <c r="Y191" s="22"/>
      <c r="AG191" s="27" t="str">
        <f t="shared" si="19"/>
        <v>Janie &amp; JackOutletUSA30</v>
      </c>
      <c r="AH191" s="1" t="s">
        <v>32</v>
      </c>
      <c r="AI191" s="1" t="s">
        <v>17</v>
      </c>
      <c r="AJ191" s="1" t="s">
        <v>307</v>
      </c>
      <c r="AK191" s="1">
        <v>30</v>
      </c>
      <c r="AL191" s="19">
        <v>0.7</v>
      </c>
      <c r="AN191" s="109" t="str">
        <f t="shared" si="20"/>
        <v>GymboreeCanadaRetailGY 18 SM4</v>
      </c>
      <c r="AO191" s="1" t="s">
        <v>14</v>
      </c>
      <c r="AP191" s="1" t="s">
        <v>5</v>
      </c>
      <c r="AQ191" s="1" t="s">
        <v>308</v>
      </c>
      <c r="AR191" s="1">
        <v>2018</v>
      </c>
      <c r="AS191" s="1" t="s">
        <v>18</v>
      </c>
      <c r="AT191" s="1" t="s">
        <v>148</v>
      </c>
      <c r="AU191" s="1">
        <v>31.47</v>
      </c>
      <c r="AV191" s="1">
        <v>5.18</v>
      </c>
      <c r="AW191" s="1">
        <v>117580</v>
      </c>
      <c r="AX191" s="1">
        <v>0.63</v>
      </c>
      <c r="AY191" s="1">
        <v>201813</v>
      </c>
      <c r="AZ191" s="1">
        <v>7</v>
      </c>
      <c r="BA191" s="19" t="s">
        <v>149</v>
      </c>
    </row>
    <row r="192" spans="17:53" x14ac:dyDescent="0.25">
      <c r="Q192" s="109" t="str">
        <f t="shared" si="26"/>
        <v/>
      </c>
      <c r="R192" s="27" t="str">
        <f t="shared" si="27"/>
        <v/>
      </c>
      <c r="S192" s="1"/>
      <c r="T192" s="1"/>
      <c r="U192" s="1"/>
      <c r="V192" s="1"/>
      <c r="W192" s="19"/>
      <c r="X192" s="22"/>
      <c r="Y192" s="22"/>
      <c r="AG192" s="27" t="str">
        <f t="shared" si="19"/>
        <v>Janie &amp; JackOutletUSA31</v>
      </c>
      <c r="AH192" s="1" t="s">
        <v>32</v>
      </c>
      <c r="AI192" s="1" t="s">
        <v>17</v>
      </c>
      <c r="AJ192" s="1" t="s">
        <v>307</v>
      </c>
      <c r="AK192" s="1">
        <v>31</v>
      </c>
      <c r="AL192" s="19">
        <v>0.7</v>
      </c>
      <c r="AN192" s="109" t="str">
        <f t="shared" si="20"/>
        <v>GymboreeCanadaRetailGY 18 SM5</v>
      </c>
      <c r="AO192" s="1" t="s">
        <v>14</v>
      </c>
      <c r="AP192" s="1" t="s">
        <v>5</v>
      </c>
      <c r="AQ192" s="1" t="s">
        <v>308</v>
      </c>
      <c r="AR192" s="1">
        <v>2018</v>
      </c>
      <c r="AS192" s="1" t="s">
        <v>18</v>
      </c>
      <c r="AT192" s="1" t="s">
        <v>150</v>
      </c>
      <c r="AU192" s="1">
        <v>31.79</v>
      </c>
      <c r="AV192" s="1">
        <v>5.42</v>
      </c>
      <c r="AW192" s="1">
        <v>122508</v>
      </c>
      <c r="AX192" s="1">
        <v>0.56000000000000005</v>
      </c>
      <c r="AY192" s="1">
        <v>201816</v>
      </c>
      <c r="AZ192" s="1">
        <v>6</v>
      </c>
      <c r="BA192" s="19" t="s">
        <v>151</v>
      </c>
    </row>
    <row r="193" spans="17:53" x14ac:dyDescent="0.25">
      <c r="Q193" s="109" t="str">
        <f t="shared" si="26"/>
        <v/>
      </c>
      <c r="R193" s="27" t="str">
        <f t="shared" si="27"/>
        <v/>
      </c>
      <c r="S193" s="1"/>
      <c r="T193" s="1"/>
      <c r="U193" s="1"/>
      <c r="V193" s="1"/>
      <c r="W193" s="19"/>
      <c r="X193" s="22"/>
      <c r="Y193" s="22"/>
      <c r="AG193" s="27" t="str">
        <f t="shared" si="19"/>
        <v>Janie &amp; JackOutletUSA32</v>
      </c>
      <c r="AH193" s="1" t="s">
        <v>32</v>
      </c>
      <c r="AI193" s="1" t="s">
        <v>17</v>
      </c>
      <c r="AJ193" s="1" t="s">
        <v>307</v>
      </c>
      <c r="AK193" s="1">
        <v>32</v>
      </c>
      <c r="AL193" s="19">
        <v>0.7</v>
      </c>
      <c r="AN193" s="109" t="str">
        <f t="shared" si="20"/>
        <v>Crazy 8USARetailGY C8 18 UNIFORM CAP</v>
      </c>
      <c r="AO193" s="1" t="s">
        <v>60</v>
      </c>
      <c r="AP193" s="1" t="s">
        <v>5</v>
      </c>
      <c r="AQ193" s="1" t="s">
        <v>307</v>
      </c>
      <c r="AR193" s="1">
        <v>2018</v>
      </c>
      <c r="AS193" s="1" t="s">
        <v>35</v>
      </c>
      <c r="AT193" s="1" t="s">
        <v>64</v>
      </c>
      <c r="AU193" s="1">
        <v>17.190000000000001</v>
      </c>
      <c r="AV193" s="1">
        <v>3.85</v>
      </c>
      <c r="AW193" s="1">
        <v>35392</v>
      </c>
      <c r="AX193" s="1">
        <v>0.75</v>
      </c>
      <c r="AY193" s="1">
        <v>201809</v>
      </c>
      <c r="AZ193" s="1">
        <v>13</v>
      </c>
      <c r="BA193" s="19" t="s">
        <v>352</v>
      </c>
    </row>
    <row r="194" spans="17:53" x14ac:dyDescent="0.25">
      <c r="Q194" s="109" t="str">
        <f t="shared" si="26"/>
        <v/>
      </c>
      <c r="R194" s="27" t="str">
        <f t="shared" si="27"/>
        <v/>
      </c>
      <c r="S194" s="1"/>
      <c r="T194" s="1"/>
      <c r="U194" s="1"/>
      <c r="V194" s="1"/>
      <c r="W194" s="19"/>
      <c r="X194" s="22"/>
      <c r="Y194" s="22"/>
      <c r="AG194" s="27" t="str">
        <f t="shared" si="19"/>
        <v>Janie &amp; JackOutletUSA33</v>
      </c>
      <c r="AH194" s="1" t="s">
        <v>32</v>
      </c>
      <c r="AI194" s="1" t="s">
        <v>17</v>
      </c>
      <c r="AJ194" s="1" t="s">
        <v>307</v>
      </c>
      <c r="AK194" s="1">
        <v>33</v>
      </c>
      <c r="AL194" s="19">
        <v>0.7</v>
      </c>
      <c r="AN194" s="109" t="str">
        <f t="shared" si="20"/>
        <v>Crazy 8USARetailGY C8 18 FAL</v>
      </c>
      <c r="AO194" s="1" t="s">
        <v>60</v>
      </c>
      <c r="AP194" s="1" t="s">
        <v>5</v>
      </c>
      <c r="AQ194" s="1" t="s">
        <v>307</v>
      </c>
      <c r="AR194" s="1">
        <v>2018</v>
      </c>
      <c r="AS194" s="1" t="s">
        <v>33</v>
      </c>
      <c r="AT194" s="1" t="s">
        <v>67</v>
      </c>
      <c r="AU194" s="1">
        <v>16.13</v>
      </c>
      <c r="AV194" s="1">
        <v>3.52</v>
      </c>
      <c r="AW194" s="1">
        <v>2777538</v>
      </c>
      <c r="AX194" s="1">
        <v>0.7</v>
      </c>
      <c r="AY194" s="1">
        <v>201832</v>
      </c>
      <c r="AZ194" s="1">
        <v>13</v>
      </c>
      <c r="BA194" s="19" t="s">
        <v>68</v>
      </c>
    </row>
    <row r="195" spans="17:53" x14ac:dyDescent="0.25">
      <c r="Q195" s="109" t="str">
        <f t="shared" si="26"/>
        <v/>
      </c>
      <c r="R195" s="27" t="str">
        <f t="shared" si="27"/>
        <v/>
      </c>
      <c r="S195" s="1"/>
      <c r="T195" s="1"/>
      <c r="U195" s="1"/>
      <c r="V195" s="1"/>
      <c r="W195" s="19"/>
      <c r="X195" s="22"/>
      <c r="Y195" s="22"/>
      <c r="AG195" s="27" t="str">
        <f t="shared" si="19"/>
        <v>Janie &amp; JackOutletUSA34</v>
      </c>
      <c r="AH195" s="1" t="s">
        <v>32</v>
      </c>
      <c r="AI195" s="1" t="s">
        <v>17</v>
      </c>
      <c r="AJ195" s="1" t="s">
        <v>307</v>
      </c>
      <c r="AK195" s="1">
        <v>34</v>
      </c>
      <c r="AL195" s="19">
        <v>0.7</v>
      </c>
      <c r="AN195" s="109" t="str">
        <f t="shared" si="20"/>
        <v>Crazy 8USARetailGY C8 18 SB1</v>
      </c>
      <c r="AO195" s="1" t="s">
        <v>60</v>
      </c>
      <c r="AP195" s="1" t="s">
        <v>5</v>
      </c>
      <c r="AQ195" s="1" t="s">
        <v>307</v>
      </c>
      <c r="AR195" s="1">
        <v>2018</v>
      </c>
      <c r="AS195" s="1" t="s">
        <v>71</v>
      </c>
      <c r="AT195" s="1" t="s">
        <v>61</v>
      </c>
      <c r="AU195" s="1">
        <v>15.71</v>
      </c>
      <c r="AV195" s="1">
        <v>3.29</v>
      </c>
      <c r="AW195" s="1">
        <v>219427</v>
      </c>
      <c r="AX195" s="1">
        <v>0.77</v>
      </c>
      <c r="AY195" s="1">
        <v>201801</v>
      </c>
      <c r="AZ195" s="1">
        <v>13</v>
      </c>
      <c r="BA195" s="19" t="s">
        <v>62</v>
      </c>
    </row>
    <row r="196" spans="17:53" x14ac:dyDescent="0.25">
      <c r="Q196" s="109" t="str">
        <f t="shared" si="26"/>
        <v/>
      </c>
      <c r="R196" s="27" t="str">
        <f t="shared" si="27"/>
        <v/>
      </c>
      <c r="S196" s="1"/>
      <c r="T196" s="1"/>
      <c r="U196" s="1"/>
      <c r="V196" s="1"/>
      <c r="W196" s="19"/>
      <c r="X196" s="22"/>
      <c r="Y196" s="22"/>
      <c r="AG196" s="27" t="str">
        <f t="shared" ref="AG196:AG259" si="28">AH196&amp;AI196&amp;AJ196&amp;AK196</f>
        <v>Janie &amp; JackOutletUSA35</v>
      </c>
      <c r="AH196" s="1" t="s">
        <v>32</v>
      </c>
      <c r="AI196" s="1" t="s">
        <v>17</v>
      </c>
      <c r="AJ196" s="1" t="s">
        <v>307</v>
      </c>
      <c r="AK196" s="1">
        <v>35</v>
      </c>
      <c r="AL196" s="19">
        <v>0.7</v>
      </c>
      <c r="AN196" s="109" t="str">
        <f t="shared" ref="AN196:AN259" si="29">AO196&amp;AQ196&amp;AP196&amp;AT196</f>
        <v>Crazy 8USARetailGY C8 18 VDAY CAP</v>
      </c>
      <c r="AO196" s="1" t="s">
        <v>60</v>
      </c>
      <c r="AP196" s="1" t="s">
        <v>5</v>
      </c>
      <c r="AQ196" s="1" t="s">
        <v>307</v>
      </c>
      <c r="AR196" s="1">
        <v>2018</v>
      </c>
      <c r="AS196" s="1" t="s">
        <v>16</v>
      </c>
      <c r="AT196" s="1" t="s">
        <v>85</v>
      </c>
      <c r="AU196" s="1">
        <v>0</v>
      </c>
      <c r="AV196" s="1">
        <v>0</v>
      </c>
      <c r="AW196" s="1">
        <v>0</v>
      </c>
      <c r="AX196" s="1">
        <v>0</v>
      </c>
      <c r="AY196" s="1">
        <v>201747</v>
      </c>
      <c r="AZ196" s="1">
        <v>5</v>
      </c>
      <c r="BA196" s="19" t="s">
        <v>86</v>
      </c>
    </row>
    <row r="197" spans="17:53" x14ac:dyDescent="0.25">
      <c r="Q197" s="109" t="str">
        <f t="shared" si="26"/>
        <v/>
      </c>
      <c r="R197" s="27" t="str">
        <f t="shared" si="27"/>
        <v/>
      </c>
      <c r="S197" s="1"/>
      <c r="T197" s="1"/>
      <c r="U197" s="1"/>
      <c r="V197" s="1"/>
      <c r="W197" s="19"/>
      <c r="X197" s="22"/>
      <c r="Y197" s="22"/>
      <c r="AG197" s="27" t="str">
        <f t="shared" si="28"/>
        <v>Janie &amp; JackOutletUSA36</v>
      </c>
      <c r="AH197" s="1" t="s">
        <v>32</v>
      </c>
      <c r="AI197" s="1" t="s">
        <v>17</v>
      </c>
      <c r="AJ197" s="1" t="s">
        <v>307</v>
      </c>
      <c r="AK197" s="1">
        <v>36</v>
      </c>
      <c r="AL197" s="19">
        <v>0.7</v>
      </c>
      <c r="AN197" s="109" t="str">
        <f t="shared" si="29"/>
        <v>Crazy 8USARetailGY C8 18 SPRING TRANS</v>
      </c>
      <c r="AO197" s="1" t="s">
        <v>60</v>
      </c>
      <c r="AP197" s="1" t="s">
        <v>5</v>
      </c>
      <c r="AQ197" s="1" t="s">
        <v>307</v>
      </c>
      <c r="AR197" s="1">
        <v>2018</v>
      </c>
      <c r="AS197" s="1" t="s">
        <v>16</v>
      </c>
      <c r="AT197" s="1" t="s">
        <v>87</v>
      </c>
      <c r="AU197" s="1">
        <v>0</v>
      </c>
      <c r="AV197" s="1">
        <v>0</v>
      </c>
      <c r="AW197" s="1">
        <v>0</v>
      </c>
      <c r="AX197" s="1">
        <v>0</v>
      </c>
      <c r="AY197" s="1">
        <v>201748</v>
      </c>
      <c r="AZ197" s="1">
        <v>8</v>
      </c>
      <c r="BA197" s="19" t="s">
        <v>88</v>
      </c>
    </row>
    <row r="198" spans="17:53" x14ac:dyDescent="0.25">
      <c r="Q198" s="109" t="str">
        <f t="shared" si="26"/>
        <v/>
      </c>
      <c r="R198" s="27" t="str">
        <f t="shared" si="27"/>
        <v/>
      </c>
      <c r="S198" s="1"/>
      <c r="T198" s="1"/>
      <c r="U198" s="1"/>
      <c r="V198" s="1"/>
      <c r="W198" s="19"/>
      <c r="X198" s="22"/>
      <c r="Y198" s="22"/>
      <c r="AG198" s="27" t="str">
        <f t="shared" si="28"/>
        <v>Janie &amp; JackOutletUSA37</v>
      </c>
      <c r="AH198" s="1" t="s">
        <v>32</v>
      </c>
      <c r="AI198" s="1" t="s">
        <v>17</v>
      </c>
      <c r="AJ198" s="1" t="s">
        <v>307</v>
      </c>
      <c r="AK198" s="1">
        <v>37</v>
      </c>
      <c r="AL198" s="19">
        <v>0.7</v>
      </c>
      <c r="AN198" s="109" t="str">
        <f t="shared" si="29"/>
        <v>Crazy 8USARetailGY C8 18 SPR</v>
      </c>
      <c r="AO198" s="1" t="s">
        <v>60</v>
      </c>
      <c r="AP198" s="1" t="s">
        <v>5</v>
      </c>
      <c r="AQ198" s="1" t="s">
        <v>307</v>
      </c>
      <c r="AR198" s="1">
        <v>2018</v>
      </c>
      <c r="AS198" s="1" t="s">
        <v>16</v>
      </c>
      <c r="AT198" s="1" t="s">
        <v>83</v>
      </c>
      <c r="AU198" s="1">
        <v>12.16</v>
      </c>
      <c r="AV198" s="1">
        <v>2.4900000000000002</v>
      </c>
      <c r="AW198" s="1">
        <v>68825</v>
      </c>
      <c r="AX198" s="1">
        <v>0.63</v>
      </c>
      <c r="AY198" s="1">
        <v>201806</v>
      </c>
      <c r="AZ198" s="1">
        <v>13</v>
      </c>
      <c r="BA198" s="19" t="s">
        <v>84</v>
      </c>
    </row>
    <row r="199" spans="17:53" x14ac:dyDescent="0.25">
      <c r="Q199" s="109" t="str">
        <f t="shared" si="26"/>
        <v/>
      </c>
      <c r="R199" s="27" t="str">
        <f t="shared" si="27"/>
        <v/>
      </c>
      <c r="S199" s="1"/>
      <c r="T199" s="1"/>
      <c r="U199" s="1"/>
      <c r="V199" s="1"/>
      <c r="W199" s="19"/>
      <c r="X199" s="22"/>
      <c r="Y199" s="22"/>
      <c r="AG199" s="27" t="str">
        <f t="shared" si="28"/>
        <v>Janie &amp; JackOutletUSA38</v>
      </c>
      <c r="AH199" s="1" t="s">
        <v>32</v>
      </c>
      <c r="AI199" s="1" t="s">
        <v>17</v>
      </c>
      <c r="AJ199" s="1" t="s">
        <v>307</v>
      </c>
      <c r="AK199" s="1">
        <v>38</v>
      </c>
      <c r="AL199" s="19">
        <v>0.7</v>
      </c>
      <c r="AN199" s="109" t="str">
        <f t="shared" si="29"/>
        <v>Crazy 8USARetailGY C8 18 SPRING</v>
      </c>
      <c r="AO199" s="1" t="s">
        <v>60</v>
      </c>
      <c r="AP199" s="1" t="s">
        <v>5</v>
      </c>
      <c r="AQ199" s="1" t="s">
        <v>307</v>
      </c>
      <c r="AR199" s="1">
        <v>2018</v>
      </c>
      <c r="AS199" s="1" t="s">
        <v>16</v>
      </c>
      <c r="AT199" s="1" t="s">
        <v>91</v>
      </c>
      <c r="AU199" s="1">
        <v>14.88</v>
      </c>
      <c r="AV199" s="1">
        <v>2.63</v>
      </c>
      <c r="AW199" s="1">
        <v>5435</v>
      </c>
      <c r="AX199" s="1">
        <v>0.52</v>
      </c>
      <c r="AY199" s="1">
        <v>201750</v>
      </c>
      <c r="AZ199" s="1">
        <v>7</v>
      </c>
      <c r="BA199" s="19" t="s">
        <v>92</v>
      </c>
    </row>
    <row r="200" spans="17:53" x14ac:dyDescent="0.25">
      <c r="Q200" s="109" t="str">
        <f t="shared" si="26"/>
        <v/>
      </c>
      <c r="R200" s="27" t="str">
        <f t="shared" si="27"/>
        <v/>
      </c>
      <c r="S200" s="1"/>
      <c r="T200" s="1"/>
      <c r="U200" s="1"/>
      <c r="V200" s="1"/>
      <c r="W200" s="19"/>
      <c r="X200" s="22"/>
      <c r="Y200" s="22"/>
      <c r="AG200" s="27" t="str">
        <f t="shared" si="28"/>
        <v>Janie &amp; JackOutletUSA39</v>
      </c>
      <c r="AH200" s="1" t="s">
        <v>32</v>
      </c>
      <c r="AI200" s="1" t="s">
        <v>17</v>
      </c>
      <c r="AJ200" s="1" t="s">
        <v>307</v>
      </c>
      <c r="AK200" s="1">
        <v>39</v>
      </c>
      <c r="AL200" s="19">
        <v>0.7</v>
      </c>
      <c r="AN200" s="109" t="str">
        <f t="shared" si="29"/>
        <v>Crazy 8USARetailGY C8 18 SPR DOORBUSTER</v>
      </c>
      <c r="AO200" s="1" t="s">
        <v>60</v>
      </c>
      <c r="AP200" s="1" t="s">
        <v>5</v>
      </c>
      <c r="AQ200" s="1" t="s">
        <v>307</v>
      </c>
      <c r="AR200" s="1">
        <v>2018</v>
      </c>
      <c r="AS200" s="1" t="s">
        <v>16</v>
      </c>
      <c r="AT200" s="1" t="s">
        <v>89</v>
      </c>
      <c r="AU200" s="1">
        <v>17.7</v>
      </c>
      <c r="AV200" s="1">
        <v>3.23</v>
      </c>
      <c r="AW200" s="1">
        <v>59348</v>
      </c>
      <c r="AX200" s="1">
        <v>0.57999999999999996</v>
      </c>
      <c r="AY200" s="1">
        <v>201801</v>
      </c>
      <c r="AZ200" s="1">
        <v>2</v>
      </c>
      <c r="BA200" s="19" t="s">
        <v>90</v>
      </c>
    </row>
    <row r="201" spans="17:53" x14ac:dyDescent="0.25">
      <c r="Q201" s="109" t="str">
        <f t="shared" si="26"/>
        <v/>
      </c>
      <c r="R201" s="27" t="str">
        <f t="shared" si="27"/>
        <v/>
      </c>
      <c r="S201" s="1"/>
      <c r="T201" s="1"/>
      <c r="U201" s="1"/>
      <c r="V201" s="1"/>
      <c r="W201" s="19"/>
      <c r="X201" s="22"/>
      <c r="Y201" s="22"/>
      <c r="AG201" s="27" t="str">
        <f t="shared" si="28"/>
        <v>Janie &amp; JackOutletUSA40</v>
      </c>
      <c r="AH201" s="1" t="s">
        <v>32</v>
      </c>
      <c r="AI201" s="1" t="s">
        <v>17</v>
      </c>
      <c r="AJ201" s="1" t="s">
        <v>307</v>
      </c>
      <c r="AK201" s="1">
        <v>40</v>
      </c>
      <c r="AL201" s="19">
        <v>0.7</v>
      </c>
      <c r="AN201" s="109" t="str">
        <f t="shared" si="29"/>
        <v>Crazy 8USARetailGY C8 18 SWIM 1</v>
      </c>
      <c r="AO201" s="1" t="s">
        <v>60</v>
      </c>
      <c r="AP201" s="1" t="s">
        <v>5</v>
      </c>
      <c r="AQ201" s="1" t="s">
        <v>307</v>
      </c>
      <c r="AR201" s="1">
        <v>2018</v>
      </c>
      <c r="AS201" s="1" t="s">
        <v>16</v>
      </c>
      <c r="AT201" s="1" t="s">
        <v>93</v>
      </c>
      <c r="AU201" s="1">
        <v>0</v>
      </c>
      <c r="AV201" s="1">
        <v>0</v>
      </c>
      <c r="AW201" s="1">
        <v>0</v>
      </c>
      <c r="AX201" s="1">
        <v>0</v>
      </c>
      <c r="AY201" s="1">
        <v>201750</v>
      </c>
      <c r="AZ201" s="1">
        <v>22</v>
      </c>
      <c r="BA201" s="19" t="s">
        <v>94</v>
      </c>
    </row>
    <row r="202" spans="17:53" x14ac:dyDescent="0.25">
      <c r="Q202" s="109" t="str">
        <f t="shared" si="26"/>
        <v/>
      </c>
      <c r="R202" s="27" t="str">
        <f t="shared" si="27"/>
        <v/>
      </c>
      <c r="S202" s="1"/>
      <c r="T202" s="1"/>
      <c r="U202" s="1"/>
      <c r="V202" s="1"/>
      <c r="W202" s="19"/>
      <c r="X202" s="22"/>
      <c r="Y202" s="22"/>
      <c r="AG202" s="27" t="str">
        <f t="shared" si="28"/>
        <v>Janie &amp; JackOutletUSA41</v>
      </c>
      <c r="AH202" s="1" t="s">
        <v>32</v>
      </c>
      <c r="AI202" s="1" t="s">
        <v>17</v>
      </c>
      <c r="AJ202" s="1" t="s">
        <v>307</v>
      </c>
      <c r="AK202" s="1">
        <v>41</v>
      </c>
      <c r="AL202" s="19">
        <v>0.7</v>
      </c>
      <c r="AN202" s="109" t="str">
        <f t="shared" si="29"/>
        <v>Crazy 8USARetailGY C8 18 EASTER CAP</v>
      </c>
      <c r="AO202" s="1" t="s">
        <v>60</v>
      </c>
      <c r="AP202" s="1" t="s">
        <v>5</v>
      </c>
      <c r="AQ202" s="1" t="s">
        <v>307</v>
      </c>
      <c r="AR202" s="1">
        <v>2018</v>
      </c>
      <c r="AS202" s="1" t="s">
        <v>16</v>
      </c>
      <c r="AT202" s="1" t="s">
        <v>95</v>
      </c>
      <c r="AU202" s="1">
        <v>14.88</v>
      </c>
      <c r="AV202" s="1">
        <v>2.62</v>
      </c>
      <c r="AW202" s="1">
        <v>6970</v>
      </c>
      <c r="AX202" s="1">
        <v>0.55000000000000004</v>
      </c>
      <c r="AY202" s="1">
        <v>201751</v>
      </c>
      <c r="AZ202" s="1">
        <v>6</v>
      </c>
      <c r="BA202" s="19" t="s">
        <v>96</v>
      </c>
    </row>
    <row r="203" spans="17:53" x14ac:dyDescent="0.25">
      <c r="Q203" s="109" t="str">
        <f t="shared" si="26"/>
        <v/>
      </c>
      <c r="R203" s="27" t="str">
        <f t="shared" si="27"/>
        <v/>
      </c>
      <c r="S203" s="1"/>
      <c r="T203" s="1"/>
      <c r="U203" s="1"/>
      <c r="V203" s="1"/>
      <c r="W203" s="19"/>
      <c r="X203" s="22"/>
      <c r="Y203" s="22"/>
      <c r="AG203" s="27" t="str">
        <f t="shared" si="28"/>
        <v>Janie &amp; JackOutletUSA42</v>
      </c>
      <c r="AH203" s="1" t="s">
        <v>32</v>
      </c>
      <c r="AI203" s="1" t="s">
        <v>17</v>
      </c>
      <c r="AJ203" s="1" t="s">
        <v>307</v>
      </c>
      <c r="AK203" s="1">
        <v>42</v>
      </c>
      <c r="AL203" s="19">
        <v>0.7</v>
      </c>
      <c r="AN203" s="109" t="str">
        <f t="shared" si="29"/>
        <v>Crazy 8USARetailGY C8 18 SPRING BREAK</v>
      </c>
      <c r="AO203" s="1" t="s">
        <v>60</v>
      </c>
      <c r="AP203" s="1" t="s">
        <v>5</v>
      </c>
      <c r="AQ203" s="1" t="s">
        <v>307</v>
      </c>
      <c r="AR203" s="1">
        <v>2018</v>
      </c>
      <c r="AS203" s="1" t="s">
        <v>16</v>
      </c>
      <c r="AT203" s="1" t="s">
        <v>97</v>
      </c>
      <c r="AU203" s="1">
        <v>17.97</v>
      </c>
      <c r="AV203" s="1">
        <v>3.77</v>
      </c>
      <c r="AW203" s="1">
        <v>623491</v>
      </c>
      <c r="AX203" s="1">
        <v>0.49</v>
      </c>
      <c r="AY203" s="1">
        <v>201801</v>
      </c>
      <c r="AZ203" s="1">
        <v>7</v>
      </c>
      <c r="BA203" s="19" t="s">
        <v>98</v>
      </c>
    </row>
    <row r="204" spans="17:53" x14ac:dyDescent="0.25">
      <c r="Q204" s="109" t="str">
        <f t="shared" si="26"/>
        <v/>
      </c>
      <c r="R204" s="27" t="str">
        <f t="shared" si="27"/>
        <v/>
      </c>
      <c r="S204" s="1"/>
      <c r="T204" s="1"/>
      <c r="U204" s="1"/>
      <c r="V204" s="1"/>
      <c r="W204" s="19"/>
      <c r="X204" s="22"/>
      <c r="Y204" s="22"/>
      <c r="AG204" s="27" t="str">
        <f t="shared" si="28"/>
        <v>Janie &amp; JackOutletUSA43</v>
      </c>
      <c r="AH204" s="1" t="s">
        <v>32</v>
      </c>
      <c r="AI204" s="1" t="s">
        <v>17</v>
      </c>
      <c r="AJ204" s="1" t="s">
        <v>307</v>
      </c>
      <c r="AK204" s="1">
        <v>43</v>
      </c>
      <c r="AL204" s="19">
        <v>0.7</v>
      </c>
      <c r="AN204" s="109" t="str">
        <f t="shared" si="29"/>
        <v>Crazy 8USARetailGY C8 18 SWIM 2</v>
      </c>
      <c r="AO204" s="1" t="s">
        <v>60</v>
      </c>
      <c r="AP204" s="1" t="s">
        <v>5</v>
      </c>
      <c r="AQ204" s="1" t="s">
        <v>307</v>
      </c>
      <c r="AR204" s="1">
        <v>2018</v>
      </c>
      <c r="AS204" s="1" t="s">
        <v>16</v>
      </c>
      <c r="AT204" s="1" t="s">
        <v>99</v>
      </c>
      <c r="AU204" s="1">
        <v>19.82</v>
      </c>
      <c r="AV204" s="1">
        <v>4.99</v>
      </c>
      <c r="AW204" s="1">
        <v>20447</v>
      </c>
      <c r="AX204" s="1">
        <v>0.69</v>
      </c>
      <c r="AY204" s="1">
        <v>201801</v>
      </c>
      <c r="AZ204" s="1">
        <v>18</v>
      </c>
      <c r="BA204" s="19" t="s">
        <v>100</v>
      </c>
    </row>
    <row r="205" spans="17:53" x14ac:dyDescent="0.25">
      <c r="Q205" s="109" t="str">
        <f t="shared" si="26"/>
        <v/>
      </c>
      <c r="R205" s="27" t="str">
        <f t="shared" si="27"/>
        <v/>
      </c>
      <c r="S205" s="1"/>
      <c r="T205" s="1"/>
      <c r="U205" s="1"/>
      <c r="V205" s="1"/>
      <c r="W205" s="19"/>
      <c r="X205" s="22"/>
      <c r="Y205" s="22"/>
      <c r="AG205" s="27" t="str">
        <f t="shared" si="28"/>
        <v>Janie &amp; JackOutletUSA44</v>
      </c>
      <c r="AH205" s="1" t="s">
        <v>32</v>
      </c>
      <c r="AI205" s="1" t="s">
        <v>17</v>
      </c>
      <c r="AJ205" s="1" t="s">
        <v>307</v>
      </c>
      <c r="AK205" s="1">
        <v>44</v>
      </c>
      <c r="AL205" s="19">
        <v>0.7</v>
      </c>
      <c r="AN205" s="109" t="str">
        <f t="shared" si="29"/>
        <v>Crazy 8USARetailGY C8 18 EASTER REFRESH</v>
      </c>
      <c r="AO205" s="1" t="s">
        <v>60</v>
      </c>
      <c r="AP205" s="1" t="s">
        <v>5</v>
      </c>
      <c r="AQ205" s="1" t="s">
        <v>307</v>
      </c>
      <c r="AR205" s="1">
        <v>2018</v>
      </c>
      <c r="AS205" s="1" t="s">
        <v>16</v>
      </c>
      <c r="AT205" s="1" t="s">
        <v>101</v>
      </c>
      <c r="AU205" s="1">
        <v>27.45</v>
      </c>
      <c r="AV205" s="1">
        <v>5</v>
      </c>
      <c r="AW205" s="1">
        <v>82274</v>
      </c>
      <c r="AX205" s="1">
        <v>0.54</v>
      </c>
      <c r="AY205" s="1">
        <v>201803</v>
      </c>
      <c r="AZ205" s="1">
        <v>6</v>
      </c>
      <c r="BA205" s="19"/>
    </row>
    <row r="206" spans="17:53" x14ac:dyDescent="0.25">
      <c r="Q206" s="109" t="str">
        <f t="shared" si="26"/>
        <v/>
      </c>
      <c r="R206" s="27" t="str">
        <f t="shared" si="27"/>
        <v/>
      </c>
      <c r="S206" s="1"/>
      <c r="T206" s="1"/>
      <c r="U206" s="1"/>
      <c r="V206" s="1"/>
      <c r="W206" s="19"/>
      <c r="X206" s="22"/>
      <c r="Y206" s="22"/>
      <c r="AG206" s="27" t="str">
        <f t="shared" si="28"/>
        <v>Janie &amp; JackOutletUSA45</v>
      </c>
      <c r="AH206" s="1" t="s">
        <v>32</v>
      </c>
      <c r="AI206" s="1" t="s">
        <v>17</v>
      </c>
      <c r="AJ206" s="1" t="s">
        <v>307</v>
      </c>
      <c r="AK206" s="1">
        <v>45</v>
      </c>
      <c r="AL206" s="19">
        <v>0.7</v>
      </c>
      <c r="AN206" s="109" t="str">
        <f t="shared" si="29"/>
        <v>Crazy 8USARetailGY C8 18 SWIM 3</v>
      </c>
      <c r="AO206" s="1" t="s">
        <v>60</v>
      </c>
      <c r="AP206" s="1" t="s">
        <v>5</v>
      </c>
      <c r="AQ206" s="1" t="s">
        <v>307</v>
      </c>
      <c r="AR206" s="1">
        <v>2018</v>
      </c>
      <c r="AS206" s="1" t="s">
        <v>16</v>
      </c>
      <c r="AT206" s="1" t="s">
        <v>105</v>
      </c>
      <c r="AU206" s="1">
        <v>18.829999999999998</v>
      </c>
      <c r="AV206" s="1">
        <v>4.55</v>
      </c>
      <c r="AW206" s="1">
        <v>75795</v>
      </c>
      <c r="AX206" s="1">
        <v>0.69</v>
      </c>
      <c r="AY206" s="1">
        <v>201806</v>
      </c>
      <c r="AZ206" s="1">
        <v>14</v>
      </c>
      <c r="BA206" s="19" t="s">
        <v>106</v>
      </c>
    </row>
    <row r="207" spans="17:53" x14ac:dyDescent="0.25">
      <c r="Q207" s="109" t="str">
        <f t="shared" si="26"/>
        <v/>
      </c>
      <c r="R207" s="27" t="str">
        <f t="shared" si="27"/>
        <v/>
      </c>
      <c r="S207" s="1"/>
      <c r="T207" s="1"/>
      <c r="U207" s="1"/>
      <c r="V207" s="1"/>
      <c r="W207" s="19"/>
      <c r="X207" s="22"/>
      <c r="Y207" s="22"/>
      <c r="AG207" s="27" t="str">
        <f t="shared" si="28"/>
        <v>Janie &amp; JackOutletUSA46</v>
      </c>
      <c r="AH207" s="1" t="s">
        <v>32</v>
      </c>
      <c r="AI207" s="1" t="s">
        <v>17</v>
      </c>
      <c r="AJ207" s="1" t="s">
        <v>307</v>
      </c>
      <c r="AK207" s="1">
        <v>46</v>
      </c>
      <c r="AL207" s="19">
        <v>0.7</v>
      </c>
      <c r="AN207" s="109" t="str">
        <f t="shared" si="29"/>
        <v>Crazy 8USARetailGY C8 18 PRE SUMMER</v>
      </c>
      <c r="AO207" s="1" t="s">
        <v>60</v>
      </c>
      <c r="AP207" s="1" t="s">
        <v>5</v>
      </c>
      <c r="AQ207" s="1" t="s">
        <v>307</v>
      </c>
      <c r="AR207" s="1">
        <v>2018</v>
      </c>
      <c r="AS207" s="1" t="s">
        <v>16</v>
      </c>
      <c r="AT207" s="1" t="s">
        <v>103</v>
      </c>
      <c r="AU207" s="1">
        <v>14.43</v>
      </c>
      <c r="AV207" s="1">
        <v>2.89</v>
      </c>
      <c r="AW207" s="1">
        <v>921932</v>
      </c>
      <c r="AX207" s="1">
        <v>0.61</v>
      </c>
      <c r="AY207" s="1">
        <v>201806</v>
      </c>
      <c r="AZ207" s="1">
        <v>10</v>
      </c>
      <c r="BA207" s="19" t="s">
        <v>104</v>
      </c>
    </row>
    <row r="208" spans="17:53" x14ac:dyDescent="0.25">
      <c r="Q208" s="109" t="str">
        <f t="shared" si="26"/>
        <v/>
      </c>
      <c r="R208" s="27" t="str">
        <f t="shared" si="27"/>
        <v/>
      </c>
      <c r="S208" s="1"/>
      <c r="T208" s="1"/>
      <c r="U208" s="1"/>
      <c r="V208" s="1"/>
      <c r="W208" s="19"/>
      <c r="X208" s="22"/>
      <c r="Y208" s="22"/>
      <c r="AG208" s="27" t="str">
        <f t="shared" si="28"/>
        <v>Janie &amp; JackOutletUSA47</v>
      </c>
      <c r="AH208" s="1" t="s">
        <v>32</v>
      </c>
      <c r="AI208" s="1" t="s">
        <v>17</v>
      </c>
      <c r="AJ208" s="1" t="s">
        <v>307</v>
      </c>
      <c r="AK208" s="1">
        <v>47</v>
      </c>
      <c r="AL208" s="19">
        <v>0.7</v>
      </c>
      <c r="AN208" s="109" t="str">
        <f t="shared" si="29"/>
        <v>Crazy 8USARetailGY C8 18 MARKET SPRING</v>
      </c>
      <c r="AO208" s="1" t="s">
        <v>60</v>
      </c>
      <c r="AP208" s="1" t="s">
        <v>5</v>
      </c>
      <c r="AQ208" s="1" t="s">
        <v>307</v>
      </c>
      <c r="AR208" s="1">
        <v>2018</v>
      </c>
      <c r="AS208" s="1" t="s">
        <v>16</v>
      </c>
      <c r="AT208" s="1" t="s">
        <v>380</v>
      </c>
      <c r="AU208" s="1">
        <v>22.18</v>
      </c>
      <c r="AV208" s="1">
        <v>7.21</v>
      </c>
      <c r="AW208" s="1">
        <v>27686</v>
      </c>
      <c r="AX208" s="1">
        <v>0.65</v>
      </c>
      <c r="AY208" s="1">
        <v>201806</v>
      </c>
      <c r="AZ208" s="1">
        <v>13</v>
      </c>
      <c r="BA208" s="19"/>
    </row>
    <row r="209" spans="17:53" x14ac:dyDescent="0.25">
      <c r="Q209" s="109" t="str">
        <f t="shared" si="26"/>
        <v/>
      </c>
      <c r="R209" s="27" t="str">
        <f t="shared" si="27"/>
        <v/>
      </c>
      <c r="S209" s="1"/>
      <c r="T209" s="1"/>
      <c r="U209" s="1"/>
      <c r="V209" s="1"/>
      <c r="W209" s="19"/>
      <c r="X209" s="22"/>
      <c r="Y209" s="22"/>
      <c r="AG209" s="27" t="str">
        <f t="shared" si="28"/>
        <v>Janie &amp; JackOutletUSA48</v>
      </c>
      <c r="AH209" s="1" t="s">
        <v>32</v>
      </c>
      <c r="AI209" s="1" t="s">
        <v>17</v>
      </c>
      <c r="AJ209" s="1" t="s">
        <v>307</v>
      </c>
      <c r="AK209" s="1">
        <v>48</v>
      </c>
      <c r="AL209" s="19">
        <v>0.7</v>
      </c>
      <c r="AN209" s="109" t="str">
        <f t="shared" si="29"/>
        <v>Crazy 8USARetailGY C8 18 SMR</v>
      </c>
      <c r="AO209" s="1" t="s">
        <v>60</v>
      </c>
      <c r="AP209" s="1" t="s">
        <v>5</v>
      </c>
      <c r="AQ209" s="1" t="s">
        <v>307</v>
      </c>
      <c r="AR209" s="1">
        <v>2018</v>
      </c>
      <c r="AS209" s="1" t="s">
        <v>18</v>
      </c>
      <c r="AT209" s="1" t="s">
        <v>109</v>
      </c>
      <c r="AU209" s="1">
        <v>13.2</v>
      </c>
      <c r="AV209" s="1">
        <v>2.88</v>
      </c>
      <c r="AW209" s="1">
        <v>1780550</v>
      </c>
      <c r="AX209" s="1">
        <v>0.72</v>
      </c>
      <c r="AY209" s="1">
        <v>201818</v>
      </c>
      <c r="AZ209" s="1">
        <v>12</v>
      </c>
      <c r="BA209" s="19" t="s">
        <v>110</v>
      </c>
    </row>
    <row r="210" spans="17:53" x14ac:dyDescent="0.25">
      <c r="Q210" s="109" t="str">
        <f t="shared" si="26"/>
        <v/>
      </c>
      <c r="R210" s="27" t="str">
        <f t="shared" si="27"/>
        <v/>
      </c>
      <c r="S210" s="1"/>
      <c r="T210" s="1"/>
      <c r="U210" s="1"/>
      <c r="V210" s="1"/>
      <c r="W210" s="19"/>
      <c r="X210" s="22"/>
      <c r="Y210" s="22"/>
      <c r="AG210" s="27" t="str">
        <f t="shared" si="28"/>
        <v>Janie &amp; JackOutletUSA49</v>
      </c>
      <c r="AH210" s="1" t="s">
        <v>32</v>
      </c>
      <c r="AI210" s="1" t="s">
        <v>17</v>
      </c>
      <c r="AJ210" s="1" t="s">
        <v>307</v>
      </c>
      <c r="AK210" s="1">
        <v>49</v>
      </c>
      <c r="AL210" s="19">
        <v>0.7</v>
      </c>
      <c r="AN210" s="109" t="str">
        <f t="shared" si="29"/>
        <v>Crazy 8USARetailGY C8 18 SUMMER CAP</v>
      </c>
      <c r="AO210" s="1" t="s">
        <v>60</v>
      </c>
      <c r="AP210" s="1" t="s">
        <v>5</v>
      </c>
      <c r="AQ210" s="1" t="s">
        <v>307</v>
      </c>
      <c r="AR210" s="1">
        <v>2018</v>
      </c>
      <c r="AS210" s="1" t="s">
        <v>18</v>
      </c>
      <c r="AT210" s="1" t="s">
        <v>107</v>
      </c>
      <c r="AU210" s="1">
        <v>19.260000000000002</v>
      </c>
      <c r="AV210" s="1">
        <v>4.43</v>
      </c>
      <c r="AW210" s="1">
        <v>111741</v>
      </c>
      <c r="AX210" s="1">
        <v>0.56999999999999995</v>
      </c>
      <c r="AY210" s="1">
        <v>201807</v>
      </c>
      <c r="AZ210" s="1">
        <v>7</v>
      </c>
      <c r="BA210" s="19" t="s">
        <v>108</v>
      </c>
    </row>
    <row r="211" spans="17:53" x14ac:dyDescent="0.25">
      <c r="Q211" s="109" t="str">
        <f t="shared" si="26"/>
        <v/>
      </c>
      <c r="R211" s="27" t="str">
        <f t="shared" si="27"/>
        <v/>
      </c>
      <c r="S211" s="1"/>
      <c r="T211" s="1"/>
      <c r="U211" s="1"/>
      <c r="V211" s="1"/>
      <c r="W211" s="19"/>
      <c r="X211" s="22"/>
      <c r="Y211" s="22"/>
      <c r="AG211" s="27" t="str">
        <f t="shared" si="28"/>
        <v>Janie &amp; JackOutletUSA50</v>
      </c>
      <c r="AH211" s="1" t="s">
        <v>32</v>
      </c>
      <c r="AI211" s="1" t="s">
        <v>17</v>
      </c>
      <c r="AJ211" s="1" t="s">
        <v>307</v>
      </c>
      <c r="AK211" s="1">
        <v>50</v>
      </c>
      <c r="AL211" s="19">
        <v>0.7</v>
      </c>
      <c r="AN211" s="109" t="str">
        <f t="shared" si="29"/>
        <v>Crazy 8USARetailGY C8 18 SUMMER</v>
      </c>
      <c r="AO211" s="1" t="s">
        <v>60</v>
      </c>
      <c r="AP211" s="1" t="s">
        <v>5</v>
      </c>
      <c r="AQ211" s="1" t="s">
        <v>307</v>
      </c>
      <c r="AR211" s="1">
        <v>2018</v>
      </c>
      <c r="AS211" s="1" t="s">
        <v>18</v>
      </c>
      <c r="AT211" s="1" t="s">
        <v>111</v>
      </c>
      <c r="AU211" s="1">
        <v>14.68</v>
      </c>
      <c r="AV211" s="1">
        <v>3</v>
      </c>
      <c r="AW211" s="1">
        <v>909933</v>
      </c>
      <c r="AX211" s="1">
        <v>0.7</v>
      </c>
      <c r="AY211" s="1">
        <v>201809</v>
      </c>
      <c r="AZ211" s="1">
        <v>9</v>
      </c>
      <c r="BA211" s="19" t="s">
        <v>112</v>
      </c>
    </row>
    <row r="212" spans="17:53" x14ac:dyDescent="0.25">
      <c r="Q212" s="109" t="str">
        <f t="shared" si="26"/>
        <v/>
      </c>
      <c r="R212" s="27" t="str">
        <f t="shared" si="27"/>
        <v/>
      </c>
      <c r="S212" s="1"/>
      <c r="T212" s="1"/>
      <c r="U212" s="1"/>
      <c r="V212" s="1"/>
      <c r="W212" s="19"/>
      <c r="X212" s="22"/>
      <c r="Y212" s="22"/>
      <c r="AG212" s="27" t="str">
        <f t="shared" si="28"/>
        <v>Janie &amp; JackOutletUSA51</v>
      </c>
      <c r="AH212" s="1" t="s">
        <v>32</v>
      </c>
      <c r="AI212" s="1" t="s">
        <v>17</v>
      </c>
      <c r="AJ212" s="1" t="s">
        <v>307</v>
      </c>
      <c r="AK212" s="1">
        <v>51</v>
      </c>
      <c r="AL212" s="19">
        <v>0.7</v>
      </c>
      <c r="AN212" s="109" t="str">
        <f t="shared" si="29"/>
        <v>Crazy 8USARetailGY C8 18 SMR DOORBUSTER</v>
      </c>
      <c r="AO212" s="1" t="s">
        <v>60</v>
      </c>
      <c r="AP212" s="1" t="s">
        <v>5</v>
      </c>
      <c r="AQ212" s="1" t="s">
        <v>307</v>
      </c>
      <c r="AR212" s="1">
        <v>2018</v>
      </c>
      <c r="AS212" s="1" t="s">
        <v>18</v>
      </c>
      <c r="AT212" s="1" t="s">
        <v>117</v>
      </c>
      <c r="AU212" s="1">
        <v>18.989999999999998</v>
      </c>
      <c r="AV212" s="1">
        <v>3.49</v>
      </c>
      <c r="AW212" s="1">
        <v>113606</v>
      </c>
      <c r="AX212" s="1">
        <v>0.61</v>
      </c>
      <c r="AY212" s="1">
        <v>201814</v>
      </c>
      <c r="AZ212" s="1">
        <v>6</v>
      </c>
      <c r="BA212" s="19" t="s">
        <v>118</v>
      </c>
    </row>
    <row r="213" spans="17:53" x14ac:dyDescent="0.25">
      <c r="Q213" s="109" t="str">
        <f t="shared" si="26"/>
        <v/>
      </c>
      <c r="R213" s="27" t="str">
        <f t="shared" si="27"/>
        <v/>
      </c>
      <c r="S213" s="1"/>
      <c r="T213" s="1"/>
      <c r="U213" s="1"/>
      <c r="V213" s="1"/>
      <c r="W213" s="19"/>
      <c r="X213" s="22"/>
      <c r="Y213" s="22"/>
      <c r="AG213" s="27" t="str">
        <f t="shared" si="28"/>
        <v>Janie &amp; JackOutletUSA52</v>
      </c>
      <c r="AH213" s="1" t="s">
        <v>32</v>
      </c>
      <c r="AI213" s="1" t="s">
        <v>17</v>
      </c>
      <c r="AJ213" s="1" t="s">
        <v>307</v>
      </c>
      <c r="AK213" s="1">
        <v>52</v>
      </c>
      <c r="AL213" s="19">
        <v>0.7</v>
      </c>
      <c r="AN213" s="109" t="str">
        <f t="shared" si="29"/>
        <v>Crazy 8USARetailGY C8 18 SWIM 4</v>
      </c>
      <c r="AO213" s="1" t="s">
        <v>60</v>
      </c>
      <c r="AP213" s="1" t="s">
        <v>5</v>
      </c>
      <c r="AQ213" s="1" t="s">
        <v>307</v>
      </c>
      <c r="AR213" s="1">
        <v>2018</v>
      </c>
      <c r="AS213" s="1" t="s">
        <v>18</v>
      </c>
      <c r="AT213" s="1" t="s">
        <v>113</v>
      </c>
      <c r="AU213" s="1">
        <v>19.600000000000001</v>
      </c>
      <c r="AV213" s="1">
        <v>5.19</v>
      </c>
      <c r="AW213" s="1">
        <v>16654</v>
      </c>
      <c r="AX213" s="1">
        <v>0.71</v>
      </c>
      <c r="AY213" s="1">
        <v>201809</v>
      </c>
      <c r="AZ213" s="1">
        <v>11</v>
      </c>
      <c r="BA213" s="19" t="s">
        <v>114</v>
      </c>
    </row>
    <row r="214" spans="17:53" x14ac:dyDescent="0.25">
      <c r="Q214" s="109" t="str">
        <f t="shared" si="26"/>
        <v/>
      </c>
      <c r="R214" s="27" t="str">
        <f t="shared" si="27"/>
        <v/>
      </c>
      <c r="S214" s="1"/>
      <c r="T214" s="1"/>
      <c r="U214" s="1"/>
      <c r="V214" s="1"/>
      <c r="W214" s="19"/>
      <c r="X214" s="22"/>
      <c r="Y214" s="22"/>
      <c r="AG214" s="27" t="str">
        <f t="shared" si="28"/>
        <v>Janie &amp; JackOutletUSA53</v>
      </c>
      <c r="AH214" s="1" t="s">
        <v>32</v>
      </c>
      <c r="AI214" s="1" t="s">
        <v>17</v>
      </c>
      <c r="AJ214" s="1" t="s">
        <v>307</v>
      </c>
      <c r="AK214" s="1">
        <v>53</v>
      </c>
      <c r="AL214" s="19">
        <v>0.7</v>
      </c>
      <c r="AN214" s="109" t="str">
        <f t="shared" si="29"/>
        <v>Crazy 8USARetailGY C8 18 JULY 4TH CAP</v>
      </c>
      <c r="AO214" s="1" t="s">
        <v>60</v>
      </c>
      <c r="AP214" s="1" t="s">
        <v>5</v>
      </c>
      <c r="AQ214" s="1" t="s">
        <v>307</v>
      </c>
      <c r="AR214" s="1">
        <v>2018</v>
      </c>
      <c r="AS214" s="1" t="s">
        <v>18</v>
      </c>
      <c r="AT214" s="1" t="s">
        <v>115</v>
      </c>
      <c r="AU214" s="1">
        <v>20.16</v>
      </c>
      <c r="AV214" s="1">
        <v>4.28</v>
      </c>
      <c r="AW214" s="1">
        <v>165826</v>
      </c>
      <c r="AX214" s="1">
        <v>0.63</v>
      </c>
      <c r="AY214" s="1">
        <v>201811</v>
      </c>
      <c r="AZ214" s="1">
        <v>6</v>
      </c>
      <c r="BA214" s="19" t="s">
        <v>116</v>
      </c>
    </row>
    <row r="215" spans="17:53" x14ac:dyDescent="0.25">
      <c r="Q215" s="109" t="str">
        <f t="shared" si="26"/>
        <v/>
      </c>
      <c r="R215" s="27" t="str">
        <f t="shared" si="27"/>
        <v/>
      </c>
      <c r="S215" s="1"/>
      <c r="T215" s="1"/>
      <c r="U215" s="1"/>
      <c r="V215" s="1"/>
      <c r="W215" s="19"/>
      <c r="X215" s="22"/>
      <c r="Y215" s="22"/>
      <c r="AG215" s="27" t="str">
        <f t="shared" si="28"/>
        <v>GymboreeRetailUSA1</v>
      </c>
      <c r="AH215" s="1" t="s">
        <v>14</v>
      </c>
      <c r="AI215" s="1" t="s">
        <v>5</v>
      </c>
      <c r="AJ215" s="1" t="s">
        <v>307</v>
      </c>
      <c r="AK215" s="1">
        <v>1</v>
      </c>
      <c r="AL215" s="19">
        <v>0.3</v>
      </c>
      <c r="AN215" s="109" t="str">
        <f t="shared" si="29"/>
        <v>Crazy 8USARetailGY C8 18 HIGH SUMMER</v>
      </c>
      <c r="AO215" s="1" t="s">
        <v>60</v>
      </c>
      <c r="AP215" s="1" t="s">
        <v>5</v>
      </c>
      <c r="AQ215" s="1" t="s">
        <v>307</v>
      </c>
      <c r="AR215" s="1">
        <v>2018</v>
      </c>
      <c r="AS215" s="1" t="s">
        <v>18</v>
      </c>
      <c r="AT215" s="1" t="s">
        <v>119</v>
      </c>
      <c r="AU215" s="1">
        <v>15.44</v>
      </c>
      <c r="AV215" s="1">
        <v>3.13</v>
      </c>
      <c r="AW215" s="1">
        <v>664848</v>
      </c>
      <c r="AX215" s="1">
        <v>0.56000000000000005</v>
      </c>
      <c r="AY215" s="1">
        <v>201814</v>
      </c>
      <c r="AZ215" s="1">
        <v>7</v>
      </c>
      <c r="BA215" s="19" t="s">
        <v>120</v>
      </c>
    </row>
    <row r="216" spans="17:53" x14ac:dyDescent="0.25">
      <c r="Q216" s="109" t="str">
        <f t="shared" si="26"/>
        <v/>
      </c>
      <c r="R216" s="27" t="str">
        <f t="shared" si="27"/>
        <v/>
      </c>
      <c r="S216" s="1"/>
      <c r="T216" s="1"/>
      <c r="U216" s="1"/>
      <c r="V216" s="1"/>
      <c r="W216" s="19"/>
      <c r="X216" s="22"/>
      <c r="Y216" s="22"/>
      <c r="AG216" s="27" t="str">
        <f t="shared" si="28"/>
        <v>GymboreeRetailUSA2</v>
      </c>
      <c r="AH216" s="1" t="s">
        <v>14</v>
      </c>
      <c r="AI216" s="1" t="s">
        <v>5</v>
      </c>
      <c r="AJ216" s="1" t="s">
        <v>307</v>
      </c>
      <c r="AK216" s="1">
        <v>2</v>
      </c>
      <c r="AL216" s="19">
        <v>0.3</v>
      </c>
      <c r="AN216" s="109" t="str">
        <f t="shared" si="29"/>
        <v>Crazy 8USARetailGY C8 18 SUMMER TRANS</v>
      </c>
      <c r="AO216" s="1" t="s">
        <v>60</v>
      </c>
      <c r="AP216" s="1" t="s">
        <v>5</v>
      </c>
      <c r="AQ216" s="1" t="s">
        <v>307</v>
      </c>
      <c r="AR216" s="1">
        <v>2018</v>
      </c>
      <c r="AS216" s="1" t="s">
        <v>18</v>
      </c>
      <c r="AT216" s="1" t="s">
        <v>121</v>
      </c>
      <c r="AU216" s="1">
        <v>18.36</v>
      </c>
      <c r="AV216" s="1">
        <v>3.87</v>
      </c>
      <c r="AW216" s="1">
        <v>330460</v>
      </c>
      <c r="AX216" s="1">
        <v>0.68</v>
      </c>
      <c r="AY216" s="1">
        <v>201818</v>
      </c>
      <c r="AZ216" s="1">
        <v>6</v>
      </c>
      <c r="BA216" s="19" t="s">
        <v>122</v>
      </c>
    </row>
    <row r="217" spans="17:53" x14ac:dyDescent="0.25">
      <c r="Q217" s="109" t="str">
        <f t="shared" si="26"/>
        <v/>
      </c>
      <c r="R217" s="27" t="str">
        <f t="shared" si="27"/>
        <v/>
      </c>
      <c r="S217" s="1"/>
      <c r="T217" s="1"/>
      <c r="U217" s="1"/>
      <c r="V217" s="1"/>
      <c r="W217" s="19"/>
      <c r="X217" s="22"/>
      <c r="Y217" s="22"/>
      <c r="AG217" s="27" t="str">
        <f t="shared" si="28"/>
        <v>GymboreeRetailUSA3</v>
      </c>
      <c r="AH217" s="1" t="s">
        <v>14</v>
      </c>
      <c r="AI217" s="1" t="s">
        <v>5</v>
      </c>
      <c r="AJ217" s="1" t="s">
        <v>307</v>
      </c>
      <c r="AK217" s="1">
        <v>3</v>
      </c>
      <c r="AL217" s="19">
        <v>0.3</v>
      </c>
      <c r="AN217" s="109" t="str">
        <f t="shared" si="29"/>
        <v>Crazy 8USARetailGY C8 18 TRANS CAP</v>
      </c>
      <c r="AO217" s="1" t="s">
        <v>60</v>
      </c>
      <c r="AP217" s="1" t="s">
        <v>5</v>
      </c>
      <c r="AQ217" s="1" t="s">
        <v>307</v>
      </c>
      <c r="AR217" s="1">
        <v>2018</v>
      </c>
      <c r="AS217" s="1" t="s">
        <v>18</v>
      </c>
      <c r="AT217" s="1" t="s">
        <v>123</v>
      </c>
      <c r="AU217" s="1">
        <v>20.56</v>
      </c>
      <c r="AV217" s="1">
        <v>4.21</v>
      </c>
      <c r="AW217" s="1">
        <v>60673</v>
      </c>
      <c r="AX217" s="1">
        <v>0.6</v>
      </c>
      <c r="AY217" s="1">
        <v>201819</v>
      </c>
      <c r="AZ217" s="1">
        <v>4</v>
      </c>
      <c r="BA217" s="19" t="s">
        <v>124</v>
      </c>
    </row>
    <row r="218" spans="17:53" x14ac:dyDescent="0.25">
      <c r="Q218" s="109" t="str">
        <f t="shared" si="26"/>
        <v/>
      </c>
      <c r="R218" s="27" t="str">
        <f t="shared" si="27"/>
        <v/>
      </c>
      <c r="S218" s="1"/>
      <c r="T218" s="1"/>
      <c r="U218" s="1"/>
      <c r="V218" s="1"/>
      <c r="W218" s="19"/>
      <c r="X218" s="22"/>
      <c r="Y218" s="22"/>
      <c r="AG218" s="27" t="str">
        <f t="shared" si="28"/>
        <v>GymboreeRetailUSA4</v>
      </c>
      <c r="AH218" s="1" t="s">
        <v>14</v>
      </c>
      <c r="AI218" s="1" t="s">
        <v>5</v>
      </c>
      <c r="AJ218" s="1" t="s">
        <v>307</v>
      </c>
      <c r="AK218" s="1">
        <v>4</v>
      </c>
      <c r="AL218" s="19">
        <v>0.3</v>
      </c>
      <c r="AN218" s="109" t="str">
        <f t="shared" si="29"/>
        <v>Crazy 8USAWebGY C8 18 UNIFORM CAP</v>
      </c>
      <c r="AO218" s="1" t="s">
        <v>60</v>
      </c>
      <c r="AP218" s="1" t="s">
        <v>15</v>
      </c>
      <c r="AQ218" s="1" t="s">
        <v>307</v>
      </c>
      <c r="AR218" s="1">
        <v>2018</v>
      </c>
      <c r="AS218" s="1" t="s">
        <v>35</v>
      </c>
      <c r="AT218" s="1" t="s">
        <v>64</v>
      </c>
      <c r="AU218" s="1">
        <v>19.53</v>
      </c>
      <c r="AV218" s="1">
        <v>4.71</v>
      </c>
      <c r="AW218" s="1">
        <v>17639</v>
      </c>
      <c r="AX218" s="1">
        <v>0.69</v>
      </c>
      <c r="AY218" s="1">
        <v>201822</v>
      </c>
      <c r="AZ218" s="1">
        <v>13</v>
      </c>
      <c r="BA218" s="19" t="s">
        <v>352</v>
      </c>
    </row>
    <row r="219" spans="17:53" x14ac:dyDescent="0.25">
      <c r="Q219" s="109" t="str">
        <f t="shared" si="26"/>
        <v/>
      </c>
      <c r="R219" s="27" t="str">
        <f t="shared" si="27"/>
        <v/>
      </c>
      <c r="S219" s="1"/>
      <c r="T219" s="1"/>
      <c r="U219" s="1"/>
      <c r="V219" s="1"/>
      <c r="W219" s="19"/>
      <c r="X219" s="22"/>
      <c r="Y219" s="22"/>
      <c r="AG219" s="27" t="str">
        <f t="shared" si="28"/>
        <v>GymboreeRetailUSA5</v>
      </c>
      <c r="AH219" s="1" t="s">
        <v>14</v>
      </c>
      <c r="AI219" s="1" t="s">
        <v>5</v>
      </c>
      <c r="AJ219" s="1" t="s">
        <v>307</v>
      </c>
      <c r="AK219" s="1">
        <v>5</v>
      </c>
      <c r="AL219" s="19">
        <v>0.35</v>
      </c>
      <c r="AN219" s="109" t="str">
        <f t="shared" si="29"/>
        <v>Crazy 8USAWebGY C8 18 FAL</v>
      </c>
      <c r="AO219" s="1" t="s">
        <v>60</v>
      </c>
      <c r="AP219" s="1" t="s">
        <v>15</v>
      </c>
      <c r="AQ219" s="1" t="s">
        <v>307</v>
      </c>
      <c r="AR219" s="1">
        <v>2018</v>
      </c>
      <c r="AS219" s="1" t="s">
        <v>33</v>
      </c>
      <c r="AT219" s="1" t="s">
        <v>67</v>
      </c>
      <c r="AU219" s="1">
        <v>16.61</v>
      </c>
      <c r="AV219" s="1">
        <v>3.57</v>
      </c>
      <c r="AW219" s="1">
        <v>440232</v>
      </c>
      <c r="AX219" s="1">
        <v>0.7</v>
      </c>
      <c r="AY219" s="1">
        <v>201832</v>
      </c>
      <c r="AZ219" s="1">
        <v>12</v>
      </c>
      <c r="BA219" s="19" t="s">
        <v>68</v>
      </c>
    </row>
    <row r="220" spans="17:53" x14ac:dyDescent="0.25">
      <c r="Q220" s="109" t="str">
        <f t="shared" si="26"/>
        <v/>
      </c>
      <c r="R220" s="27" t="str">
        <f t="shared" si="27"/>
        <v/>
      </c>
      <c r="S220" s="1"/>
      <c r="T220" s="1"/>
      <c r="U220" s="1"/>
      <c r="V220" s="1"/>
      <c r="W220" s="19"/>
      <c r="X220" s="22"/>
      <c r="Y220" s="22"/>
      <c r="AG220" s="27" t="str">
        <f t="shared" si="28"/>
        <v>GymboreeRetailUSA6</v>
      </c>
      <c r="AH220" s="1" t="s">
        <v>14</v>
      </c>
      <c r="AI220" s="1" t="s">
        <v>5</v>
      </c>
      <c r="AJ220" s="1" t="s">
        <v>307</v>
      </c>
      <c r="AK220" s="1">
        <v>6</v>
      </c>
      <c r="AL220" s="19">
        <v>0.35</v>
      </c>
      <c r="AN220" s="109" t="str">
        <f t="shared" si="29"/>
        <v>Crazy 8USAWebGY C8 18 SB1</v>
      </c>
      <c r="AO220" s="1" t="s">
        <v>60</v>
      </c>
      <c r="AP220" s="1" t="s">
        <v>15</v>
      </c>
      <c r="AQ220" s="1" t="s">
        <v>307</v>
      </c>
      <c r="AR220" s="1">
        <v>2018</v>
      </c>
      <c r="AS220" s="1" t="s">
        <v>71</v>
      </c>
      <c r="AT220" s="1" t="s">
        <v>61</v>
      </c>
      <c r="AU220" s="1">
        <v>16.04</v>
      </c>
      <c r="AV220" s="1">
        <v>3.2</v>
      </c>
      <c r="AW220" s="1">
        <v>59549</v>
      </c>
      <c r="AX220" s="1">
        <v>0.65</v>
      </c>
      <c r="AY220" s="1">
        <v>201801</v>
      </c>
      <c r="AZ220" s="1">
        <v>13</v>
      </c>
      <c r="BA220" s="19" t="s">
        <v>62</v>
      </c>
    </row>
    <row r="221" spans="17:53" x14ac:dyDescent="0.25">
      <c r="Q221" s="109" t="str">
        <f t="shared" si="26"/>
        <v/>
      </c>
      <c r="R221" s="27" t="str">
        <f t="shared" si="27"/>
        <v/>
      </c>
      <c r="S221" s="1"/>
      <c r="T221" s="1"/>
      <c r="U221" s="1"/>
      <c r="V221" s="1"/>
      <c r="W221" s="19"/>
      <c r="X221" s="22"/>
      <c r="Y221" s="22"/>
      <c r="AG221" s="27" t="str">
        <f t="shared" si="28"/>
        <v>GymboreeRetailUSA7</v>
      </c>
      <c r="AH221" s="1" t="s">
        <v>14</v>
      </c>
      <c r="AI221" s="1" t="s">
        <v>5</v>
      </c>
      <c r="AJ221" s="1" t="s">
        <v>307</v>
      </c>
      <c r="AK221" s="1">
        <v>7</v>
      </c>
      <c r="AL221" s="19">
        <v>0.35</v>
      </c>
      <c r="AN221" s="109" t="str">
        <f t="shared" si="29"/>
        <v>Crazy 8USAWebGY C8 18 VDAY CAP</v>
      </c>
      <c r="AO221" s="1" t="s">
        <v>60</v>
      </c>
      <c r="AP221" s="1" t="s">
        <v>15</v>
      </c>
      <c r="AQ221" s="1" t="s">
        <v>307</v>
      </c>
      <c r="AR221" s="1">
        <v>2018</v>
      </c>
      <c r="AS221" s="1" t="s">
        <v>16</v>
      </c>
      <c r="AT221" s="1" t="s">
        <v>85</v>
      </c>
      <c r="AU221" s="1">
        <v>0</v>
      </c>
      <c r="AV221" s="1">
        <v>0</v>
      </c>
      <c r="AW221" s="1">
        <v>0</v>
      </c>
      <c r="AX221" s="1">
        <v>0</v>
      </c>
      <c r="AY221" s="1">
        <v>201747</v>
      </c>
      <c r="AZ221" s="1">
        <v>5</v>
      </c>
      <c r="BA221" s="19" t="s">
        <v>86</v>
      </c>
    </row>
    <row r="222" spans="17:53" x14ac:dyDescent="0.25">
      <c r="Q222" s="109" t="str">
        <f t="shared" si="26"/>
        <v/>
      </c>
      <c r="R222" s="27" t="str">
        <f t="shared" si="27"/>
        <v/>
      </c>
      <c r="S222" s="1"/>
      <c r="T222" s="1"/>
      <c r="U222" s="1"/>
      <c r="V222" s="1"/>
      <c r="W222" s="19"/>
      <c r="X222" s="22"/>
      <c r="Y222" s="22"/>
      <c r="AG222" s="27" t="str">
        <f t="shared" si="28"/>
        <v>GymboreeRetailUSA8</v>
      </c>
      <c r="AH222" s="1" t="s">
        <v>14</v>
      </c>
      <c r="AI222" s="1" t="s">
        <v>5</v>
      </c>
      <c r="AJ222" s="1" t="s">
        <v>307</v>
      </c>
      <c r="AK222" s="1">
        <v>8</v>
      </c>
      <c r="AL222" s="19">
        <v>0.4</v>
      </c>
      <c r="AN222" s="109" t="str">
        <f t="shared" si="29"/>
        <v>Crazy 8USAWebGY C8 18 SPRING TRANS</v>
      </c>
      <c r="AO222" s="1" t="s">
        <v>60</v>
      </c>
      <c r="AP222" s="1" t="s">
        <v>15</v>
      </c>
      <c r="AQ222" s="1" t="s">
        <v>307</v>
      </c>
      <c r="AR222" s="1">
        <v>2018</v>
      </c>
      <c r="AS222" s="1" t="s">
        <v>16</v>
      </c>
      <c r="AT222" s="1" t="s">
        <v>87</v>
      </c>
      <c r="AU222" s="1">
        <v>0</v>
      </c>
      <c r="AV222" s="1">
        <v>0</v>
      </c>
      <c r="AW222" s="1">
        <v>0</v>
      </c>
      <c r="AX222" s="1">
        <v>0</v>
      </c>
      <c r="AY222" s="1">
        <v>201748</v>
      </c>
      <c r="AZ222" s="1">
        <v>8</v>
      </c>
      <c r="BA222" s="19" t="s">
        <v>88</v>
      </c>
    </row>
    <row r="223" spans="17:53" x14ac:dyDescent="0.25">
      <c r="Q223" s="109" t="str">
        <f t="shared" si="26"/>
        <v/>
      </c>
      <c r="R223" s="27" t="str">
        <f t="shared" si="27"/>
        <v/>
      </c>
      <c r="S223" s="1"/>
      <c r="T223" s="1"/>
      <c r="U223" s="1"/>
      <c r="V223" s="1"/>
      <c r="W223" s="19"/>
      <c r="X223" s="22"/>
      <c r="Y223" s="22"/>
      <c r="AG223" s="27" t="str">
        <f t="shared" si="28"/>
        <v>GymboreeRetailUSA9</v>
      </c>
      <c r="AH223" s="1" t="s">
        <v>14</v>
      </c>
      <c r="AI223" s="1" t="s">
        <v>5</v>
      </c>
      <c r="AJ223" s="1" t="s">
        <v>307</v>
      </c>
      <c r="AK223" s="1">
        <v>9</v>
      </c>
      <c r="AL223" s="19">
        <v>0.4</v>
      </c>
      <c r="AN223" s="109" t="str">
        <f t="shared" si="29"/>
        <v>Crazy 8USAWebGY C8 18 SPR</v>
      </c>
      <c r="AO223" s="1" t="s">
        <v>60</v>
      </c>
      <c r="AP223" s="1" t="s">
        <v>15</v>
      </c>
      <c r="AQ223" s="1" t="s">
        <v>307</v>
      </c>
      <c r="AR223" s="1">
        <v>2018</v>
      </c>
      <c r="AS223" s="1" t="s">
        <v>16</v>
      </c>
      <c r="AT223" s="1" t="s">
        <v>83</v>
      </c>
      <c r="AU223" s="1">
        <v>12.51</v>
      </c>
      <c r="AV223" s="1">
        <v>2.66</v>
      </c>
      <c r="AW223" s="1">
        <v>15085</v>
      </c>
      <c r="AX223" s="1">
        <v>0.52</v>
      </c>
      <c r="AY223" s="1">
        <v>201806</v>
      </c>
      <c r="AZ223" s="1">
        <v>13</v>
      </c>
      <c r="BA223" s="19" t="s">
        <v>84</v>
      </c>
    </row>
    <row r="224" spans="17:53" x14ac:dyDescent="0.25">
      <c r="Q224" s="109" t="str">
        <f t="shared" si="26"/>
        <v/>
      </c>
      <c r="R224" s="27" t="str">
        <f t="shared" si="27"/>
        <v/>
      </c>
      <c r="S224" s="1"/>
      <c r="T224" s="1"/>
      <c r="U224" s="1"/>
      <c r="V224" s="1"/>
      <c r="W224" s="19"/>
      <c r="X224" s="22"/>
      <c r="Y224" s="22"/>
      <c r="AG224" s="27" t="str">
        <f t="shared" si="28"/>
        <v>GymboreeRetailUSA10</v>
      </c>
      <c r="AH224" s="1" t="s">
        <v>14</v>
      </c>
      <c r="AI224" s="1" t="s">
        <v>5</v>
      </c>
      <c r="AJ224" s="1" t="s">
        <v>307</v>
      </c>
      <c r="AK224" s="1">
        <v>10</v>
      </c>
      <c r="AL224" s="19">
        <v>0.4</v>
      </c>
      <c r="AN224" s="109" t="str">
        <f t="shared" si="29"/>
        <v>Crazy 8USAWebGY C8 18 SPRING</v>
      </c>
      <c r="AO224" s="1" t="s">
        <v>60</v>
      </c>
      <c r="AP224" s="1" t="s">
        <v>15</v>
      </c>
      <c r="AQ224" s="1" t="s">
        <v>307</v>
      </c>
      <c r="AR224" s="1">
        <v>2018</v>
      </c>
      <c r="AS224" s="1" t="s">
        <v>16</v>
      </c>
      <c r="AT224" s="1" t="s">
        <v>91</v>
      </c>
      <c r="AU224" s="1">
        <v>14.88</v>
      </c>
      <c r="AV224" s="1">
        <v>2.63</v>
      </c>
      <c r="AW224" s="1">
        <v>1530</v>
      </c>
      <c r="AX224" s="1">
        <v>0.35</v>
      </c>
      <c r="AY224" s="1">
        <v>201750</v>
      </c>
      <c r="AZ224" s="1">
        <v>7</v>
      </c>
      <c r="BA224" s="19" t="s">
        <v>92</v>
      </c>
    </row>
    <row r="225" spans="17:53" x14ac:dyDescent="0.25">
      <c r="Q225" s="109" t="str">
        <f t="shared" si="26"/>
        <v/>
      </c>
      <c r="R225" s="27" t="str">
        <f t="shared" si="27"/>
        <v/>
      </c>
      <c r="S225" s="1"/>
      <c r="T225" s="1"/>
      <c r="U225" s="1"/>
      <c r="V225" s="1"/>
      <c r="W225" s="19"/>
      <c r="X225" s="22"/>
      <c r="Y225" s="22"/>
      <c r="AG225" s="27" t="str">
        <f t="shared" si="28"/>
        <v>GymboreeRetailUSA11</v>
      </c>
      <c r="AH225" s="1" t="s">
        <v>14</v>
      </c>
      <c r="AI225" s="1" t="s">
        <v>5</v>
      </c>
      <c r="AJ225" s="1" t="s">
        <v>307</v>
      </c>
      <c r="AK225" s="1">
        <v>11</v>
      </c>
      <c r="AL225" s="19">
        <v>0.45</v>
      </c>
      <c r="AN225" s="109" t="str">
        <f t="shared" si="29"/>
        <v>Crazy 8USAWebGY C8 18 SPR DOORBUSTER</v>
      </c>
      <c r="AO225" s="1" t="s">
        <v>60</v>
      </c>
      <c r="AP225" s="1" t="s">
        <v>15</v>
      </c>
      <c r="AQ225" s="1" t="s">
        <v>307</v>
      </c>
      <c r="AR225" s="1">
        <v>2018</v>
      </c>
      <c r="AS225" s="1" t="s">
        <v>16</v>
      </c>
      <c r="AT225" s="1" t="s">
        <v>89</v>
      </c>
      <c r="AU225" s="1">
        <v>17.739999999999998</v>
      </c>
      <c r="AV225" s="1">
        <v>3.28</v>
      </c>
      <c r="AW225" s="1">
        <v>14056</v>
      </c>
      <c r="AX225" s="1">
        <v>0.41</v>
      </c>
      <c r="AY225" s="1">
        <v>201801</v>
      </c>
      <c r="AZ225" s="1">
        <v>2</v>
      </c>
      <c r="BA225" s="19" t="s">
        <v>90</v>
      </c>
    </row>
    <row r="226" spans="17:53" x14ac:dyDescent="0.25">
      <c r="Q226" s="109" t="str">
        <f t="shared" si="26"/>
        <v/>
      </c>
      <c r="R226" s="27" t="str">
        <f t="shared" si="27"/>
        <v/>
      </c>
      <c r="S226" s="1"/>
      <c r="T226" s="1"/>
      <c r="U226" s="1"/>
      <c r="V226" s="1"/>
      <c r="W226" s="19"/>
      <c r="X226" s="22"/>
      <c r="Y226" s="22"/>
      <c r="AG226" s="27" t="str">
        <f t="shared" si="28"/>
        <v>GymboreeRetailUSA12</v>
      </c>
      <c r="AH226" s="1" t="s">
        <v>14</v>
      </c>
      <c r="AI226" s="1" t="s">
        <v>5</v>
      </c>
      <c r="AJ226" s="1" t="s">
        <v>307</v>
      </c>
      <c r="AK226" s="1">
        <v>12</v>
      </c>
      <c r="AL226" s="19">
        <v>0.45</v>
      </c>
      <c r="AN226" s="109" t="str">
        <f t="shared" si="29"/>
        <v>Crazy 8USAWebGY C8 18 SWIM 1</v>
      </c>
      <c r="AO226" s="1" t="s">
        <v>60</v>
      </c>
      <c r="AP226" s="1" t="s">
        <v>15</v>
      </c>
      <c r="AQ226" s="1" t="s">
        <v>307</v>
      </c>
      <c r="AR226" s="1">
        <v>2018</v>
      </c>
      <c r="AS226" s="1" t="s">
        <v>16</v>
      </c>
      <c r="AT226" s="1" t="s">
        <v>93</v>
      </c>
      <c r="AU226" s="1">
        <v>0</v>
      </c>
      <c r="AV226" s="1">
        <v>0</v>
      </c>
      <c r="AW226" s="1">
        <v>0</v>
      </c>
      <c r="AX226" s="1">
        <v>0</v>
      </c>
      <c r="AY226" s="1">
        <v>201750</v>
      </c>
      <c r="AZ226" s="1">
        <v>22</v>
      </c>
      <c r="BA226" s="19" t="s">
        <v>94</v>
      </c>
    </row>
    <row r="227" spans="17:53" x14ac:dyDescent="0.25">
      <c r="Q227" s="109" t="str">
        <f t="shared" si="26"/>
        <v/>
      </c>
      <c r="R227" s="27" t="str">
        <f t="shared" si="27"/>
        <v/>
      </c>
      <c r="S227" s="1"/>
      <c r="T227" s="1"/>
      <c r="U227" s="1"/>
      <c r="V227" s="1"/>
      <c r="W227" s="19"/>
      <c r="X227" s="22"/>
      <c r="Y227" s="22"/>
      <c r="AG227" s="27" t="str">
        <f t="shared" si="28"/>
        <v>GymboreeRetailUSA13</v>
      </c>
      <c r="AH227" s="1" t="s">
        <v>14</v>
      </c>
      <c r="AI227" s="1" t="s">
        <v>5</v>
      </c>
      <c r="AJ227" s="1" t="s">
        <v>307</v>
      </c>
      <c r="AK227" s="1">
        <v>13</v>
      </c>
      <c r="AL227" s="19">
        <v>0.45</v>
      </c>
      <c r="AN227" s="109" t="str">
        <f t="shared" si="29"/>
        <v>Crazy 8USAWebGY C8 18 EASTER CAP</v>
      </c>
      <c r="AO227" s="1" t="s">
        <v>60</v>
      </c>
      <c r="AP227" s="1" t="s">
        <v>15</v>
      </c>
      <c r="AQ227" s="1" t="s">
        <v>307</v>
      </c>
      <c r="AR227" s="1">
        <v>2018</v>
      </c>
      <c r="AS227" s="1" t="s">
        <v>16</v>
      </c>
      <c r="AT227" s="1" t="s">
        <v>95</v>
      </c>
      <c r="AU227" s="1">
        <v>14.88</v>
      </c>
      <c r="AV227" s="1">
        <v>2.62</v>
      </c>
      <c r="AW227" s="1">
        <v>1604</v>
      </c>
      <c r="AX227" s="1">
        <v>0.5</v>
      </c>
      <c r="AY227" s="1">
        <v>201751</v>
      </c>
      <c r="AZ227" s="1">
        <v>6</v>
      </c>
      <c r="BA227" s="19" t="s">
        <v>96</v>
      </c>
    </row>
    <row r="228" spans="17:53" x14ac:dyDescent="0.25">
      <c r="Q228" s="109" t="str">
        <f t="shared" si="26"/>
        <v/>
      </c>
      <c r="R228" s="27" t="str">
        <f t="shared" si="27"/>
        <v/>
      </c>
      <c r="S228" s="1"/>
      <c r="T228" s="1"/>
      <c r="U228" s="1"/>
      <c r="V228" s="1"/>
      <c r="W228" s="19"/>
      <c r="X228" s="22"/>
      <c r="Y228" s="22"/>
      <c r="AG228" s="27" t="str">
        <f t="shared" si="28"/>
        <v>GymboreeRetailUSA14</v>
      </c>
      <c r="AH228" s="1" t="s">
        <v>14</v>
      </c>
      <c r="AI228" s="1" t="s">
        <v>5</v>
      </c>
      <c r="AJ228" s="1" t="s">
        <v>307</v>
      </c>
      <c r="AK228" s="1">
        <v>14</v>
      </c>
      <c r="AL228" s="19">
        <v>0.5</v>
      </c>
      <c r="AN228" s="109" t="str">
        <f t="shared" si="29"/>
        <v>Crazy 8USAWebGY C8 18 SPRING BREAK</v>
      </c>
      <c r="AO228" s="1" t="s">
        <v>60</v>
      </c>
      <c r="AP228" s="1" t="s">
        <v>15</v>
      </c>
      <c r="AQ228" s="1" t="s">
        <v>307</v>
      </c>
      <c r="AR228" s="1">
        <v>2018</v>
      </c>
      <c r="AS228" s="1" t="s">
        <v>16</v>
      </c>
      <c r="AT228" s="1" t="s">
        <v>97</v>
      </c>
      <c r="AU228" s="1">
        <v>18.11</v>
      </c>
      <c r="AV228" s="1">
        <v>3.81</v>
      </c>
      <c r="AW228" s="1">
        <v>164543</v>
      </c>
      <c r="AX228" s="1">
        <v>0.4</v>
      </c>
      <c r="AY228" s="1">
        <v>201801</v>
      </c>
      <c r="AZ228" s="1">
        <v>7</v>
      </c>
      <c r="BA228" s="19" t="s">
        <v>98</v>
      </c>
    </row>
    <row r="229" spans="17:53" x14ac:dyDescent="0.25">
      <c r="Q229" s="109" t="str">
        <f t="shared" si="26"/>
        <v/>
      </c>
      <c r="R229" s="27" t="str">
        <f t="shared" si="27"/>
        <v/>
      </c>
      <c r="S229" s="1"/>
      <c r="T229" s="1"/>
      <c r="U229" s="1"/>
      <c r="V229" s="1"/>
      <c r="W229" s="19"/>
      <c r="X229" s="22"/>
      <c r="Y229" s="22"/>
      <c r="AG229" s="27" t="str">
        <f t="shared" si="28"/>
        <v>GymboreeRetailUSA15</v>
      </c>
      <c r="AH229" s="1" t="s">
        <v>14</v>
      </c>
      <c r="AI229" s="1" t="s">
        <v>5</v>
      </c>
      <c r="AJ229" s="1" t="s">
        <v>307</v>
      </c>
      <c r="AK229" s="1">
        <v>15</v>
      </c>
      <c r="AL229" s="19">
        <v>0.5</v>
      </c>
      <c r="AN229" s="109" t="str">
        <f t="shared" si="29"/>
        <v>Crazy 8USAWebGY C8 18 SWIM 2</v>
      </c>
      <c r="AO229" s="1" t="s">
        <v>60</v>
      </c>
      <c r="AP229" s="1" t="s">
        <v>15</v>
      </c>
      <c r="AQ229" s="1" t="s">
        <v>307</v>
      </c>
      <c r="AR229" s="1">
        <v>2018</v>
      </c>
      <c r="AS229" s="1" t="s">
        <v>16</v>
      </c>
      <c r="AT229" s="1" t="s">
        <v>99</v>
      </c>
      <c r="AU229" s="1">
        <v>19.29</v>
      </c>
      <c r="AV229" s="1">
        <v>5.37</v>
      </c>
      <c r="AW229" s="1">
        <v>40209</v>
      </c>
      <c r="AX229" s="1">
        <v>0.69</v>
      </c>
      <c r="AY229" s="1">
        <v>201801</v>
      </c>
      <c r="AZ229" s="1">
        <v>18</v>
      </c>
      <c r="BA229" s="19" t="s">
        <v>100</v>
      </c>
    </row>
    <row r="230" spans="17:53" x14ac:dyDescent="0.25">
      <c r="Q230" s="109" t="str">
        <f t="shared" si="26"/>
        <v/>
      </c>
      <c r="R230" s="27" t="str">
        <f t="shared" si="27"/>
        <v/>
      </c>
      <c r="S230" s="1"/>
      <c r="T230" s="1"/>
      <c r="U230" s="1"/>
      <c r="V230" s="1"/>
      <c r="W230" s="19"/>
      <c r="X230" s="22"/>
      <c r="Y230" s="22"/>
      <c r="AG230" s="27" t="str">
        <f t="shared" si="28"/>
        <v>GymboreeRetailUSA16</v>
      </c>
      <c r="AH230" s="1" t="s">
        <v>14</v>
      </c>
      <c r="AI230" s="1" t="s">
        <v>5</v>
      </c>
      <c r="AJ230" s="1" t="s">
        <v>307</v>
      </c>
      <c r="AK230" s="1">
        <v>16</v>
      </c>
      <c r="AL230" s="19">
        <v>0.5</v>
      </c>
      <c r="AN230" s="109" t="str">
        <f t="shared" si="29"/>
        <v>Crazy 8USAWebGY C8 18 EASTER REFRESH</v>
      </c>
      <c r="AO230" s="1" t="s">
        <v>60</v>
      </c>
      <c r="AP230" s="1" t="s">
        <v>15</v>
      </c>
      <c r="AQ230" s="1" t="s">
        <v>307</v>
      </c>
      <c r="AR230" s="1">
        <v>2018</v>
      </c>
      <c r="AS230" s="1" t="s">
        <v>16</v>
      </c>
      <c r="AT230" s="1" t="s">
        <v>101</v>
      </c>
      <c r="AU230" s="1">
        <v>29.95</v>
      </c>
      <c r="AV230" s="1">
        <v>5.33</v>
      </c>
      <c r="AW230" s="1">
        <v>19511</v>
      </c>
      <c r="AX230" s="1">
        <v>0.39</v>
      </c>
      <c r="AY230" s="1">
        <v>201803</v>
      </c>
      <c r="AZ230" s="1">
        <v>6</v>
      </c>
      <c r="BA230" s="19"/>
    </row>
    <row r="231" spans="17:53" x14ac:dyDescent="0.25">
      <c r="Q231" s="109" t="str">
        <f t="shared" si="26"/>
        <v/>
      </c>
      <c r="R231" s="27" t="str">
        <f t="shared" si="27"/>
        <v/>
      </c>
      <c r="S231" s="1"/>
      <c r="T231" s="1"/>
      <c r="U231" s="1"/>
      <c r="V231" s="1"/>
      <c r="W231" s="19"/>
      <c r="X231" s="22"/>
      <c r="Y231" s="22"/>
      <c r="AG231" s="27" t="str">
        <f t="shared" si="28"/>
        <v>GymboreeRetailUSA17</v>
      </c>
      <c r="AH231" s="1" t="s">
        <v>14</v>
      </c>
      <c r="AI231" s="1" t="s">
        <v>5</v>
      </c>
      <c r="AJ231" s="1" t="s">
        <v>307</v>
      </c>
      <c r="AK231" s="1">
        <v>17</v>
      </c>
      <c r="AL231" s="19">
        <v>0.55000000000000004</v>
      </c>
      <c r="AN231" s="109" t="str">
        <f t="shared" si="29"/>
        <v>Crazy 8USAWebGY C8 18 SWIM 3</v>
      </c>
      <c r="AO231" s="1" t="s">
        <v>60</v>
      </c>
      <c r="AP231" s="1" t="s">
        <v>15</v>
      </c>
      <c r="AQ231" s="1" t="s">
        <v>307</v>
      </c>
      <c r="AR231" s="1">
        <v>2018</v>
      </c>
      <c r="AS231" s="1" t="s">
        <v>16</v>
      </c>
      <c r="AT231" s="1" t="s">
        <v>105</v>
      </c>
      <c r="AU231" s="1">
        <v>18.48</v>
      </c>
      <c r="AV231" s="1">
        <v>4.3099999999999996</v>
      </c>
      <c r="AW231" s="1">
        <v>12042</v>
      </c>
      <c r="AX231" s="1">
        <v>0.69</v>
      </c>
      <c r="AY231" s="1">
        <v>201806</v>
      </c>
      <c r="AZ231" s="1">
        <v>14</v>
      </c>
      <c r="BA231" s="19" t="s">
        <v>106</v>
      </c>
    </row>
    <row r="232" spans="17:53" x14ac:dyDescent="0.25">
      <c r="Q232" s="109" t="str">
        <f t="shared" si="26"/>
        <v/>
      </c>
      <c r="R232" s="27" t="str">
        <f t="shared" si="27"/>
        <v/>
      </c>
      <c r="S232" s="1"/>
      <c r="T232" s="1"/>
      <c r="U232" s="1"/>
      <c r="V232" s="1"/>
      <c r="W232" s="19"/>
      <c r="X232" s="22"/>
      <c r="Y232" s="22"/>
      <c r="AG232" s="27" t="str">
        <f t="shared" si="28"/>
        <v>GymboreeRetailUSA18</v>
      </c>
      <c r="AH232" s="1" t="s">
        <v>14</v>
      </c>
      <c r="AI232" s="1" t="s">
        <v>5</v>
      </c>
      <c r="AJ232" s="1" t="s">
        <v>307</v>
      </c>
      <c r="AK232" s="1">
        <v>18</v>
      </c>
      <c r="AL232" s="19">
        <v>0.55000000000000004</v>
      </c>
      <c r="AN232" s="109" t="str">
        <f t="shared" si="29"/>
        <v>Crazy 8USAWebGY C8 18 PRE SUMMER</v>
      </c>
      <c r="AO232" s="1" t="s">
        <v>60</v>
      </c>
      <c r="AP232" s="1" t="s">
        <v>15</v>
      </c>
      <c r="AQ232" s="1" t="s">
        <v>307</v>
      </c>
      <c r="AR232" s="1">
        <v>2018</v>
      </c>
      <c r="AS232" s="1" t="s">
        <v>16</v>
      </c>
      <c r="AT232" s="1" t="s">
        <v>103</v>
      </c>
      <c r="AU232" s="1">
        <v>14.64</v>
      </c>
      <c r="AV232" s="1">
        <v>2.96</v>
      </c>
      <c r="AW232" s="1">
        <v>198596</v>
      </c>
      <c r="AX232" s="1">
        <v>0.52</v>
      </c>
      <c r="AY232" s="1">
        <v>201806</v>
      </c>
      <c r="AZ232" s="1">
        <v>10</v>
      </c>
      <c r="BA232" s="19" t="s">
        <v>104</v>
      </c>
    </row>
    <row r="233" spans="17:53" x14ac:dyDescent="0.25">
      <c r="Q233" s="109" t="str">
        <f t="shared" si="26"/>
        <v/>
      </c>
      <c r="R233" s="27" t="str">
        <f t="shared" si="27"/>
        <v/>
      </c>
      <c r="S233" s="1"/>
      <c r="T233" s="1"/>
      <c r="U233" s="1"/>
      <c r="V233" s="1"/>
      <c r="W233" s="19"/>
      <c r="X233" s="22"/>
      <c r="Y233" s="22"/>
      <c r="AG233" s="27" t="str">
        <f t="shared" si="28"/>
        <v>GymboreeRetailUSA19</v>
      </c>
      <c r="AH233" s="1" t="s">
        <v>14</v>
      </c>
      <c r="AI233" s="1" t="s">
        <v>5</v>
      </c>
      <c r="AJ233" s="1" t="s">
        <v>307</v>
      </c>
      <c r="AK233" s="1">
        <v>19</v>
      </c>
      <c r="AL233" s="19">
        <v>0.55000000000000004</v>
      </c>
      <c r="AN233" s="109" t="str">
        <f t="shared" si="29"/>
        <v>Crazy 8USAWebGY C8 18 MARKET SPRING</v>
      </c>
      <c r="AO233" s="1" t="s">
        <v>60</v>
      </c>
      <c r="AP233" s="1" t="s">
        <v>15</v>
      </c>
      <c r="AQ233" s="1" t="s">
        <v>307</v>
      </c>
      <c r="AR233" s="1">
        <v>2018</v>
      </c>
      <c r="AS233" s="1" t="s">
        <v>16</v>
      </c>
      <c r="AT233" s="1" t="s">
        <v>380</v>
      </c>
      <c r="AU233" s="1">
        <v>17.8</v>
      </c>
      <c r="AV233" s="1">
        <v>5.9</v>
      </c>
      <c r="AW233" s="1">
        <v>5882</v>
      </c>
      <c r="AX233" s="1">
        <v>0.52</v>
      </c>
      <c r="AY233" s="1">
        <v>201806</v>
      </c>
      <c r="AZ233" s="1">
        <v>12</v>
      </c>
      <c r="BA233" s="19"/>
    </row>
    <row r="234" spans="17:53" x14ac:dyDescent="0.25">
      <c r="Q234" s="109" t="str">
        <f t="shared" si="26"/>
        <v/>
      </c>
      <c r="R234" s="27" t="str">
        <f t="shared" si="27"/>
        <v/>
      </c>
      <c r="S234" s="1"/>
      <c r="T234" s="1"/>
      <c r="U234" s="1"/>
      <c r="V234" s="1"/>
      <c r="W234" s="19"/>
      <c r="X234" s="22"/>
      <c r="Y234" s="22"/>
      <c r="AG234" s="27" t="str">
        <f t="shared" si="28"/>
        <v>GymboreeRetailUSA20</v>
      </c>
      <c r="AH234" s="1" t="s">
        <v>14</v>
      </c>
      <c r="AI234" s="1" t="s">
        <v>5</v>
      </c>
      <c r="AJ234" s="1" t="s">
        <v>307</v>
      </c>
      <c r="AK234" s="1">
        <v>20</v>
      </c>
      <c r="AL234" s="19">
        <v>0.6</v>
      </c>
      <c r="AN234" s="109" t="str">
        <f t="shared" si="29"/>
        <v>Crazy 8USAWebGY C8 18 SMR</v>
      </c>
      <c r="AO234" s="1" t="s">
        <v>60</v>
      </c>
      <c r="AP234" s="1" t="s">
        <v>15</v>
      </c>
      <c r="AQ234" s="1" t="s">
        <v>307</v>
      </c>
      <c r="AR234" s="1">
        <v>2018</v>
      </c>
      <c r="AS234" s="1" t="s">
        <v>18</v>
      </c>
      <c r="AT234" s="1" t="s">
        <v>109</v>
      </c>
      <c r="AU234" s="1">
        <v>13.39</v>
      </c>
      <c r="AV234" s="1">
        <v>2.96</v>
      </c>
      <c r="AW234" s="1">
        <v>403155</v>
      </c>
      <c r="AX234" s="1">
        <v>0.7</v>
      </c>
      <c r="AY234" s="1">
        <v>201818</v>
      </c>
      <c r="AZ234" s="1">
        <v>12</v>
      </c>
      <c r="BA234" s="19" t="s">
        <v>110</v>
      </c>
    </row>
    <row r="235" spans="17:53" x14ac:dyDescent="0.25">
      <c r="Q235" s="109" t="str">
        <f t="shared" si="26"/>
        <v/>
      </c>
      <c r="R235" s="27" t="str">
        <f t="shared" si="27"/>
        <v/>
      </c>
      <c r="S235" s="1"/>
      <c r="T235" s="1"/>
      <c r="U235" s="1"/>
      <c r="V235" s="1"/>
      <c r="W235" s="19"/>
      <c r="X235" s="22"/>
      <c r="Y235" s="22"/>
      <c r="AG235" s="27" t="str">
        <f t="shared" si="28"/>
        <v>GymboreeRetailUSA21</v>
      </c>
      <c r="AH235" s="1" t="s">
        <v>14</v>
      </c>
      <c r="AI235" s="1" t="s">
        <v>5</v>
      </c>
      <c r="AJ235" s="1" t="s">
        <v>307</v>
      </c>
      <c r="AK235" s="1">
        <v>21</v>
      </c>
      <c r="AL235" s="19">
        <v>0.6</v>
      </c>
      <c r="AN235" s="109" t="str">
        <f t="shared" si="29"/>
        <v>Crazy 8USAWebGY C8 18 SUMMER CAP</v>
      </c>
      <c r="AO235" s="1" t="s">
        <v>60</v>
      </c>
      <c r="AP235" s="1" t="s">
        <v>15</v>
      </c>
      <c r="AQ235" s="1" t="s">
        <v>307</v>
      </c>
      <c r="AR235" s="1">
        <v>2018</v>
      </c>
      <c r="AS235" s="1" t="s">
        <v>18</v>
      </c>
      <c r="AT235" s="1" t="s">
        <v>107</v>
      </c>
      <c r="AU235" s="1">
        <v>18.510000000000002</v>
      </c>
      <c r="AV235" s="1">
        <v>4.1399999999999997</v>
      </c>
      <c r="AW235" s="1">
        <v>29551</v>
      </c>
      <c r="AX235" s="1">
        <v>0.44</v>
      </c>
      <c r="AY235" s="1">
        <v>201807</v>
      </c>
      <c r="AZ235" s="1">
        <v>7</v>
      </c>
      <c r="BA235" s="19" t="s">
        <v>108</v>
      </c>
    </row>
    <row r="236" spans="17:53" x14ac:dyDescent="0.25">
      <c r="Q236" s="109" t="str">
        <f t="shared" ref="Q236:Q299" si="30">T236&amp;V236</f>
        <v/>
      </c>
      <c r="R236" s="27" t="str">
        <f t="shared" ref="R236:R299" si="31">S236&amp;T236&amp;U236</f>
        <v/>
      </c>
      <c r="S236" s="1"/>
      <c r="T236" s="1"/>
      <c r="U236" s="1"/>
      <c r="V236" s="1"/>
      <c r="W236" s="19"/>
      <c r="X236" s="22"/>
      <c r="Y236" s="22"/>
      <c r="AG236" s="27" t="str">
        <f t="shared" si="28"/>
        <v>GymboreeRetailUSA22</v>
      </c>
      <c r="AH236" s="1" t="s">
        <v>14</v>
      </c>
      <c r="AI236" s="1" t="s">
        <v>5</v>
      </c>
      <c r="AJ236" s="1" t="s">
        <v>307</v>
      </c>
      <c r="AK236" s="1">
        <v>22</v>
      </c>
      <c r="AL236" s="19">
        <v>0.6</v>
      </c>
      <c r="AN236" s="109" t="str">
        <f t="shared" si="29"/>
        <v>Crazy 8USAWebGY C8 18 SUMMER</v>
      </c>
      <c r="AO236" s="1" t="s">
        <v>60</v>
      </c>
      <c r="AP236" s="1" t="s">
        <v>15</v>
      </c>
      <c r="AQ236" s="1" t="s">
        <v>307</v>
      </c>
      <c r="AR236" s="1">
        <v>2018</v>
      </c>
      <c r="AS236" s="1" t="s">
        <v>18</v>
      </c>
      <c r="AT236" s="1" t="s">
        <v>111</v>
      </c>
      <c r="AU236" s="1">
        <v>15.31</v>
      </c>
      <c r="AV236" s="1">
        <v>3.12</v>
      </c>
      <c r="AW236" s="1">
        <v>183917</v>
      </c>
      <c r="AX236" s="1">
        <v>0.62</v>
      </c>
      <c r="AY236" s="1">
        <v>201809</v>
      </c>
      <c r="AZ236" s="1">
        <v>9</v>
      </c>
      <c r="BA236" s="19" t="s">
        <v>112</v>
      </c>
    </row>
    <row r="237" spans="17:53" x14ac:dyDescent="0.25">
      <c r="Q237" s="109" t="str">
        <f t="shared" si="30"/>
        <v/>
      </c>
      <c r="R237" s="27" t="str">
        <f t="shared" si="31"/>
        <v/>
      </c>
      <c r="S237" s="1"/>
      <c r="T237" s="1"/>
      <c r="U237" s="1"/>
      <c r="V237" s="1"/>
      <c r="W237" s="19"/>
      <c r="X237" s="22"/>
      <c r="Y237" s="22"/>
      <c r="AG237" s="27" t="str">
        <f t="shared" si="28"/>
        <v>GymboreeRetailUSA23</v>
      </c>
      <c r="AH237" s="1" t="s">
        <v>14</v>
      </c>
      <c r="AI237" s="1" t="s">
        <v>5</v>
      </c>
      <c r="AJ237" s="1" t="s">
        <v>307</v>
      </c>
      <c r="AK237" s="1">
        <v>23</v>
      </c>
      <c r="AL237" s="19">
        <v>0.65</v>
      </c>
      <c r="AN237" s="109" t="str">
        <f t="shared" si="29"/>
        <v>Crazy 8USAWebGY C8 18 SMR DOORBUSTER</v>
      </c>
      <c r="AO237" s="1" t="s">
        <v>60</v>
      </c>
      <c r="AP237" s="1" t="s">
        <v>15</v>
      </c>
      <c r="AQ237" s="1" t="s">
        <v>307</v>
      </c>
      <c r="AR237" s="1">
        <v>2018</v>
      </c>
      <c r="AS237" s="1" t="s">
        <v>18</v>
      </c>
      <c r="AT237" s="1" t="s">
        <v>117</v>
      </c>
      <c r="AU237" s="1">
        <v>18.84</v>
      </c>
      <c r="AV237" s="1">
        <v>3.47</v>
      </c>
      <c r="AW237" s="1">
        <v>47667</v>
      </c>
      <c r="AX237" s="1">
        <v>0.65</v>
      </c>
      <c r="AY237" s="1">
        <v>201814</v>
      </c>
      <c r="AZ237" s="1">
        <v>6</v>
      </c>
      <c r="BA237" s="19" t="s">
        <v>118</v>
      </c>
    </row>
    <row r="238" spans="17:53" x14ac:dyDescent="0.25">
      <c r="Q238" s="109" t="str">
        <f t="shared" si="30"/>
        <v/>
      </c>
      <c r="R238" s="27" t="str">
        <f t="shared" si="31"/>
        <v/>
      </c>
      <c r="S238" s="1"/>
      <c r="T238" s="1"/>
      <c r="U238" s="1"/>
      <c r="V238" s="1"/>
      <c r="W238" s="19"/>
      <c r="X238" s="22"/>
      <c r="Y238" s="22"/>
      <c r="AG238" s="27" t="str">
        <f t="shared" si="28"/>
        <v>GymboreeRetailUSA24</v>
      </c>
      <c r="AH238" s="1" t="s">
        <v>14</v>
      </c>
      <c r="AI238" s="1" t="s">
        <v>5</v>
      </c>
      <c r="AJ238" s="1" t="s">
        <v>307</v>
      </c>
      <c r="AK238" s="1">
        <v>24</v>
      </c>
      <c r="AL238" s="19">
        <v>0.65</v>
      </c>
      <c r="AN238" s="109" t="str">
        <f t="shared" si="29"/>
        <v>Crazy 8USAWebGY C8 18 SWIM 4</v>
      </c>
      <c r="AO238" s="1" t="s">
        <v>60</v>
      </c>
      <c r="AP238" s="1" t="s">
        <v>15</v>
      </c>
      <c r="AQ238" s="1" t="s">
        <v>307</v>
      </c>
      <c r="AR238" s="1">
        <v>2018</v>
      </c>
      <c r="AS238" s="1" t="s">
        <v>18</v>
      </c>
      <c r="AT238" s="1" t="s">
        <v>113</v>
      </c>
      <c r="AU238" s="1">
        <v>20.11</v>
      </c>
      <c r="AV238" s="1">
        <v>5.38</v>
      </c>
      <c r="AW238" s="1">
        <v>8457</v>
      </c>
      <c r="AX238" s="1">
        <v>0.59</v>
      </c>
      <c r="AY238" s="1">
        <v>201809</v>
      </c>
      <c r="AZ238" s="1">
        <v>11</v>
      </c>
      <c r="BA238" s="19" t="s">
        <v>114</v>
      </c>
    </row>
    <row r="239" spans="17:53" x14ac:dyDescent="0.25">
      <c r="Q239" s="109" t="str">
        <f t="shared" si="30"/>
        <v/>
      </c>
      <c r="R239" s="27" t="str">
        <f t="shared" si="31"/>
        <v/>
      </c>
      <c r="S239" s="1"/>
      <c r="T239" s="1"/>
      <c r="U239" s="1"/>
      <c r="V239" s="1"/>
      <c r="W239" s="19"/>
      <c r="X239" s="22"/>
      <c r="Y239" s="22"/>
      <c r="AG239" s="27" t="str">
        <f t="shared" si="28"/>
        <v>GymboreeRetailUSA25</v>
      </c>
      <c r="AH239" s="1" t="s">
        <v>14</v>
      </c>
      <c r="AI239" s="1" t="s">
        <v>5</v>
      </c>
      <c r="AJ239" s="1" t="s">
        <v>307</v>
      </c>
      <c r="AK239" s="1">
        <v>25</v>
      </c>
      <c r="AL239" s="19">
        <v>0.65</v>
      </c>
      <c r="AN239" s="109" t="str">
        <f t="shared" si="29"/>
        <v>Crazy 8USAWebGY C8 18 JULY 4TH CAP</v>
      </c>
      <c r="AO239" s="1" t="s">
        <v>60</v>
      </c>
      <c r="AP239" s="1" t="s">
        <v>15</v>
      </c>
      <c r="AQ239" s="1" t="s">
        <v>307</v>
      </c>
      <c r="AR239" s="1">
        <v>2018</v>
      </c>
      <c r="AS239" s="1" t="s">
        <v>18</v>
      </c>
      <c r="AT239" s="1" t="s">
        <v>115</v>
      </c>
      <c r="AU239" s="1">
        <v>19.54</v>
      </c>
      <c r="AV239" s="1">
        <v>4.04</v>
      </c>
      <c r="AW239" s="1">
        <v>41654</v>
      </c>
      <c r="AX239" s="1">
        <v>0.7</v>
      </c>
      <c r="AY239" s="1">
        <v>201811</v>
      </c>
      <c r="AZ239" s="1">
        <v>6</v>
      </c>
      <c r="BA239" s="19" t="s">
        <v>116</v>
      </c>
    </row>
    <row r="240" spans="17:53" x14ac:dyDescent="0.25">
      <c r="Q240" s="109" t="str">
        <f t="shared" si="30"/>
        <v/>
      </c>
      <c r="R240" s="27" t="str">
        <f t="shared" si="31"/>
        <v/>
      </c>
      <c r="S240" s="1"/>
      <c r="T240" s="1"/>
      <c r="U240" s="1"/>
      <c r="V240" s="1"/>
      <c r="W240" s="19"/>
      <c r="X240" s="22"/>
      <c r="Y240" s="22"/>
      <c r="AG240" s="27" t="str">
        <f t="shared" si="28"/>
        <v>GymboreeRetailUSA26</v>
      </c>
      <c r="AH240" s="1" t="s">
        <v>14</v>
      </c>
      <c r="AI240" s="1" t="s">
        <v>5</v>
      </c>
      <c r="AJ240" s="1" t="s">
        <v>307</v>
      </c>
      <c r="AK240" s="1">
        <v>26</v>
      </c>
      <c r="AL240" s="19">
        <v>0.7</v>
      </c>
      <c r="AN240" s="109" t="str">
        <f t="shared" si="29"/>
        <v>Crazy 8USAWebGY C8 18 HIGH SUMMER</v>
      </c>
      <c r="AO240" s="1" t="s">
        <v>60</v>
      </c>
      <c r="AP240" s="1" t="s">
        <v>15</v>
      </c>
      <c r="AQ240" s="1" t="s">
        <v>307</v>
      </c>
      <c r="AR240" s="1">
        <v>2018</v>
      </c>
      <c r="AS240" s="1" t="s">
        <v>18</v>
      </c>
      <c r="AT240" s="1" t="s">
        <v>119</v>
      </c>
      <c r="AU240" s="1">
        <v>15.96</v>
      </c>
      <c r="AV240" s="1">
        <v>3.24</v>
      </c>
      <c r="AW240" s="1">
        <v>133719</v>
      </c>
      <c r="AX240" s="1">
        <v>0.59</v>
      </c>
      <c r="AY240" s="1">
        <v>201814</v>
      </c>
      <c r="AZ240" s="1">
        <v>7</v>
      </c>
      <c r="BA240" s="19" t="s">
        <v>120</v>
      </c>
    </row>
    <row r="241" spans="17:53" x14ac:dyDescent="0.25">
      <c r="Q241" s="109" t="str">
        <f t="shared" si="30"/>
        <v/>
      </c>
      <c r="R241" s="27" t="str">
        <f t="shared" si="31"/>
        <v/>
      </c>
      <c r="S241" s="1"/>
      <c r="T241" s="1"/>
      <c r="U241" s="1"/>
      <c r="V241" s="1"/>
      <c r="W241" s="19"/>
      <c r="X241" s="22"/>
      <c r="Y241" s="22"/>
      <c r="AG241" s="27" t="str">
        <f t="shared" si="28"/>
        <v>GymboreeRetailUSA27</v>
      </c>
      <c r="AH241" s="1" t="s">
        <v>14</v>
      </c>
      <c r="AI241" s="1" t="s">
        <v>5</v>
      </c>
      <c r="AJ241" s="1" t="s">
        <v>307</v>
      </c>
      <c r="AK241" s="1">
        <v>27</v>
      </c>
      <c r="AL241" s="19">
        <v>0.7</v>
      </c>
      <c r="AN241" s="109" t="str">
        <f t="shared" si="29"/>
        <v>Crazy 8USAWebGY C8 18 SUMMER TRANS</v>
      </c>
      <c r="AO241" s="1" t="s">
        <v>60</v>
      </c>
      <c r="AP241" s="1" t="s">
        <v>15</v>
      </c>
      <c r="AQ241" s="1" t="s">
        <v>307</v>
      </c>
      <c r="AR241" s="1">
        <v>2018</v>
      </c>
      <c r="AS241" s="1" t="s">
        <v>18</v>
      </c>
      <c r="AT241" s="1" t="s">
        <v>121</v>
      </c>
      <c r="AU241" s="1">
        <v>18.47</v>
      </c>
      <c r="AV241" s="1">
        <v>3.74</v>
      </c>
      <c r="AW241" s="1">
        <v>69572</v>
      </c>
      <c r="AX241" s="1">
        <v>0.65</v>
      </c>
      <c r="AY241" s="1">
        <v>201818</v>
      </c>
      <c r="AZ241" s="1">
        <v>6</v>
      </c>
      <c r="BA241" s="19" t="s">
        <v>122</v>
      </c>
    </row>
    <row r="242" spans="17:53" x14ac:dyDescent="0.25">
      <c r="Q242" s="109" t="str">
        <f t="shared" si="30"/>
        <v/>
      </c>
      <c r="R242" s="27" t="str">
        <f t="shared" si="31"/>
        <v/>
      </c>
      <c r="S242" s="1"/>
      <c r="T242" s="1"/>
      <c r="U242" s="1"/>
      <c r="V242" s="1"/>
      <c r="W242" s="19"/>
      <c r="X242" s="22"/>
      <c r="Y242" s="22"/>
      <c r="AG242" s="27" t="str">
        <f t="shared" si="28"/>
        <v>GymboreeRetailUSA28</v>
      </c>
      <c r="AH242" s="1" t="s">
        <v>14</v>
      </c>
      <c r="AI242" s="1" t="s">
        <v>5</v>
      </c>
      <c r="AJ242" s="1" t="s">
        <v>307</v>
      </c>
      <c r="AK242" s="1">
        <v>28</v>
      </c>
      <c r="AL242" s="19">
        <v>0.7</v>
      </c>
      <c r="AN242" s="110" t="str">
        <f t="shared" si="29"/>
        <v>Crazy 8USAWebGY C8 18 TRANS CAP</v>
      </c>
      <c r="AO242" s="29" t="s">
        <v>60</v>
      </c>
      <c r="AP242" s="29" t="s">
        <v>15</v>
      </c>
      <c r="AQ242" s="29" t="s">
        <v>307</v>
      </c>
      <c r="AR242" s="1">
        <v>2018</v>
      </c>
      <c r="AS242" s="29" t="s">
        <v>18</v>
      </c>
      <c r="AT242" s="29" t="s">
        <v>123</v>
      </c>
      <c r="AU242" s="29">
        <v>20.260000000000002</v>
      </c>
      <c r="AV242" s="29">
        <v>4.16</v>
      </c>
      <c r="AW242" s="29">
        <v>14855</v>
      </c>
      <c r="AX242" s="29">
        <v>0.6</v>
      </c>
      <c r="AY242" s="29">
        <v>201819</v>
      </c>
      <c r="AZ242" s="29">
        <v>4</v>
      </c>
      <c r="BA242" s="26" t="s">
        <v>124</v>
      </c>
    </row>
    <row r="243" spans="17:53" x14ac:dyDescent="0.25">
      <c r="Q243" s="109" t="str">
        <f t="shared" si="30"/>
        <v/>
      </c>
      <c r="R243" s="27" t="str">
        <f t="shared" si="31"/>
        <v/>
      </c>
      <c r="S243" s="1"/>
      <c r="T243" s="1"/>
      <c r="U243" s="1"/>
      <c r="V243" s="1"/>
      <c r="W243" s="19"/>
      <c r="X243" s="22"/>
      <c r="Y243" s="22"/>
      <c r="AG243" s="27" t="str">
        <f t="shared" si="28"/>
        <v>GymboreeRetailUSA29</v>
      </c>
      <c r="AH243" s="1" t="s">
        <v>14</v>
      </c>
      <c r="AI243" s="1" t="s">
        <v>5</v>
      </c>
      <c r="AJ243" s="1" t="s">
        <v>307</v>
      </c>
      <c r="AK243" s="1">
        <v>29</v>
      </c>
      <c r="AL243" s="19">
        <v>0.75</v>
      </c>
      <c r="AN243" s="109" t="str">
        <f t="shared" si="29"/>
        <v>OutletUSAOutletGY 17 OUTLET SB1</v>
      </c>
      <c r="AO243" s="115" t="s">
        <v>17</v>
      </c>
      <c r="AP243" s="115" t="s">
        <v>17</v>
      </c>
      <c r="AQ243" s="115" t="s">
        <v>307</v>
      </c>
      <c r="AR243" s="1">
        <v>2017</v>
      </c>
      <c r="AS243" s="115" t="s">
        <v>71</v>
      </c>
      <c r="AT243" s="122" t="s">
        <v>235</v>
      </c>
      <c r="AU243" s="115">
        <v>16.510000000000002</v>
      </c>
      <c r="AV243" s="115">
        <v>3.13</v>
      </c>
      <c r="AW243" s="115">
        <v>641592</v>
      </c>
      <c r="AX243" s="115">
        <v>0.66</v>
      </c>
      <c r="AY243" s="115">
        <v>201751</v>
      </c>
      <c r="AZ243" s="115">
        <v>20</v>
      </c>
      <c r="BA243" s="19"/>
    </row>
    <row r="244" spans="17:53" x14ac:dyDescent="0.25">
      <c r="Q244" s="109" t="str">
        <f t="shared" si="30"/>
        <v/>
      </c>
      <c r="R244" s="27" t="str">
        <f t="shared" si="31"/>
        <v/>
      </c>
      <c r="S244" s="1"/>
      <c r="T244" s="1"/>
      <c r="U244" s="1"/>
      <c r="V244" s="1"/>
      <c r="W244" s="19"/>
      <c r="X244" s="22"/>
      <c r="Y244" s="22"/>
      <c r="AG244" s="27" t="str">
        <f t="shared" si="28"/>
        <v>GymboreeRetailUSA30</v>
      </c>
      <c r="AH244" s="1" t="s">
        <v>14</v>
      </c>
      <c r="AI244" s="1" t="s">
        <v>5</v>
      </c>
      <c r="AJ244" s="1" t="s">
        <v>307</v>
      </c>
      <c r="AK244" s="1">
        <v>30</v>
      </c>
      <c r="AL244" s="19">
        <v>0.75</v>
      </c>
      <c r="AN244" s="109" t="str">
        <f t="shared" si="29"/>
        <v>OutletUSAOutletGY 17 OUTLET SB2</v>
      </c>
      <c r="AO244" s="1" t="s">
        <v>17</v>
      </c>
      <c r="AP244" s="1" t="s">
        <v>17</v>
      </c>
      <c r="AQ244" s="1" t="s">
        <v>307</v>
      </c>
      <c r="AR244" s="1">
        <v>2017</v>
      </c>
      <c r="AS244" s="1" t="s">
        <v>71</v>
      </c>
      <c r="AT244" s="123" t="s">
        <v>237</v>
      </c>
      <c r="AU244" s="1">
        <v>25.99</v>
      </c>
      <c r="AV244" s="1">
        <v>5.31</v>
      </c>
      <c r="AW244" s="1">
        <v>470026</v>
      </c>
      <c r="AX244" s="1">
        <v>0.78</v>
      </c>
      <c r="AY244" s="1">
        <v>201821</v>
      </c>
      <c r="AZ244" s="1">
        <v>20</v>
      </c>
      <c r="BA244" s="19"/>
    </row>
    <row r="245" spans="17:53" x14ac:dyDescent="0.25">
      <c r="Q245" s="109" t="str">
        <f t="shared" si="30"/>
        <v/>
      </c>
      <c r="R245" s="27" t="str">
        <f t="shared" si="31"/>
        <v/>
      </c>
      <c r="S245" s="1"/>
      <c r="T245" s="1"/>
      <c r="U245" s="1"/>
      <c r="V245" s="1"/>
      <c r="W245" s="19"/>
      <c r="X245" s="22"/>
      <c r="Y245" s="22"/>
      <c r="AG245" s="27" t="str">
        <f t="shared" si="28"/>
        <v>GymboreeRetailUSA31</v>
      </c>
      <c r="AH245" s="1" t="s">
        <v>14</v>
      </c>
      <c r="AI245" s="1" t="s">
        <v>5</v>
      </c>
      <c r="AJ245" s="1" t="s">
        <v>307</v>
      </c>
      <c r="AK245" s="1">
        <v>31</v>
      </c>
      <c r="AL245" s="19">
        <v>0.75</v>
      </c>
      <c r="AN245" s="109" t="str">
        <f t="shared" si="29"/>
        <v>OutletUSAOutlet(new)</v>
      </c>
      <c r="AO245" s="1" t="s">
        <v>17</v>
      </c>
      <c r="AP245" s="1" t="s">
        <v>17</v>
      </c>
      <c r="AQ245" s="1" t="s">
        <v>307</v>
      </c>
      <c r="AR245" s="1">
        <v>2017</v>
      </c>
      <c r="AS245" s="1" t="s">
        <v>296</v>
      </c>
      <c r="AT245" s="123" t="s">
        <v>371</v>
      </c>
      <c r="AU245" s="1">
        <v>3.32</v>
      </c>
      <c r="AV245" s="1">
        <v>1.27</v>
      </c>
      <c r="AW245" s="1">
        <v>40619</v>
      </c>
      <c r="AX245" s="1">
        <v>0.65</v>
      </c>
      <c r="AY245" s="1">
        <v>201807</v>
      </c>
      <c r="AZ245" s="1">
        <v>10</v>
      </c>
      <c r="BA245" s="19"/>
    </row>
    <row r="246" spans="17:53" x14ac:dyDescent="0.25">
      <c r="Q246" s="109" t="str">
        <f t="shared" si="30"/>
        <v/>
      </c>
      <c r="R246" s="27" t="str">
        <f t="shared" si="31"/>
        <v/>
      </c>
      <c r="S246" s="1"/>
      <c r="T246" s="1"/>
      <c r="U246" s="1"/>
      <c r="V246" s="1"/>
      <c r="W246" s="19"/>
      <c r="X246" s="22"/>
      <c r="Y246" s="22"/>
      <c r="AG246" s="27" t="str">
        <f t="shared" si="28"/>
        <v>GymboreeRetailUSA32</v>
      </c>
      <c r="AH246" s="1" t="s">
        <v>14</v>
      </c>
      <c r="AI246" s="1" t="s">
        <v>5</v>
      </c>
      <c r="AJ246" s="1" t="s">
        <v>307</v>
      </c>
      <c r="AK246" s="1">
        <v>32</v>
      </c>
      <c r="AL246" s="19">
        <v>0.75</v>
      </c>
      <c r="AN246" s="109" t="str">
        <f t="shared" si="29"/>
        <v>OutletUSAOutletGY 17 OUTLET VDAY</v>
      </c>
      <c r="AO246" s="1" t="s">
        <v>17</v>
      </c>
      <c r="AP246" s="1" t="s">
        <v>17</v>
      </c>
      <c r="AQ246" s="1" t="s">
        <v>307</v>
      </c>
      <c r="AR246" s="1">
        <v>2017</v>
      </c>
      <c r="AS246" s="1" t="s">
        <v>16</v>
      </c>
      <c r="AT246" s="123" t="s">
        <v>239</v>
      </c>
      <c r="AU246" s="1">
        <v>18.37</v>
      </c>
      <c r="AV246" s="1">
        <v>2.68</v>
      </c>
      <c r="AW246" s="1">
        <v>114160</v>
      </c>
      <c r="AX246" s="1">
        <v>0.55000000000000004</v>
      </c>
      <c r="AY246" s="1">
        <v>201748</v>
      </c>
      <c r="AZ246" s="1">
        <v>6</v>
      </c>
      <c r="BA246" s="19"/>
    </row>
    <row r="247" spans="17:53" x14ac:dyDescent="0.25">
      <c r="Q247" s="109" t="str">
        <f t="shared" si="30"/>
        <v/>
      </c>
      <c r="R247" s="27" t="str">
        <f t="shared" si="31"/>
        <v/>
      </c>
      <c r="S247" s="1"/>
      <c r="T247" s="1"/>
      <c r="U247" s="1"/>
      <c r="V247" s="1"/>
      <c r="W247" s="19"/>
      <c r="X247" s="22"/>
      <c r="Y247" s="22"/>
      <c r="AG247" s="27" t="str">
        <f t="shared" si="28"/>
        <v>GymboreeRetailUSA33</v>
      </c>
      <c r="AH247" s="1" t="s">
        <v>14</v>
      </c>
      <c r="AI247" s="1" t="s">
        <v>5</v>
      </c>
      <c r="AJ247" s="1" t="s">
        <v>307</v>
      </c>
      <c r="AK247" s="1">
        <v>33</v>
      </c>
      <c r="AL247" s="19">
        <v>0.8</v>
      </c>
      <c r="AN247" s="109" t="str">
        <f t="shared" si="29"/>
        <v>OutletUSAOutletGY 17 OUTLET SPR</v>
      </c>
      <c r="AO247" s="1" t="s">
        <v>17</v>
      </c>
      <c r="AP247" s="1" t="s">
        <v>17</v>
      </c>
      <c r="AQ247" s="1" t="s">
        <v>307</v>
      </c>
      <c r="AR247" s="1">
        <v>2017</v>
      </c>
      <c r="AS247" s="1" t="s">
        <v>16</v>
      </c>
      <c r="AT247" s="123" t="s">
        <v>241</v>
      </c>
      <c r="AU247" s="1">
        <v>16.88</v>
      </c>
      <c r="AV247" s="1">
        <v>2.64</v>
      </c>
      <c r="AW247" s="1">
        <v>1146145</v>
      </c>
      <c r="AX247" s="1">
        <v>0.65</v>
      </c>
      <c r="AY247" s="1">
        <v>201751</v>
      </c>
      <c r="AZ247" s="1">
        <v>11</v>
      </c>
      <c r="BA247" s="19"/>
    </row>
    <row r="248" spans="17:53" x14ac:dyDescent="0.25">
      <c r="Q248" s="109" t="str">
        <f t="shared" si="30"/>
        <v/>
      </c>
      <c r="R248" s="27" t="str">
        <f t="shared" si="31"/>
        <v/>
      </c>
      <c r="S248" s="1"/>
      <c r="T248" s="1"/>
      <c r="U248" s="1"/>
      <c r="V248" s="1"/>
      <c r="W248" s="19"/>
      <c r="X248" s="22"/>
      <c r="Y248" s="22"/>
      <c r="AG248" s="27" t="str">
        <f t="shared" si="28"/>
        <v>GymboreeRetailUSA34</v>
      </c>
      <c r="AH248" s="1" t="s">
        <v>14</v>
      </c>
      <c r="AI248" s="1" t="s">
        <v>5</v>
      </c>
      <c r="AJ248" s="1" t="s">
        <v>307</v>
      </c>
      <c r="AK248" s="1">
        <v>34</v>
      </c>
      <c r="AL248" s="19">
        <v>0.8</v>
      </c>
      <c r="AN248" s="109" t="str">
        <f t="shared" si="29"/>
        <v>OutletUSAOutletGY 17 OUTLET Swim 1</v>
      </c>
      <c r="AO248" s="1" t="s">
        <v>17</v>
      </c>
      <c r="AP248" s="1" t="s">
        <v>17</v>
      </c>
      <c r="AQ248" s="1" t="s">
        <v>307</v>
      </c>
      <c r="AR248" s="1">
        <v>2017</v>
      </c>
      <c r="AS248" s="1" t="s">
        <v>16</v>
      </c>
      <c r="AT248" s="123" t="s">
        <v>257</v>
      </c>
      <c r="AU248" s="1">
        <v>22.26</v>
      </c>
      <c r="AV248" s="1">
        <v>4.18</v>
      </c>
      <c r="AW248" s="1">
        <v>316069</v>
      </c>
      <c r="AX248" s="1">
        <v>0.65</v>
      </c>
      <c r="AY248" s="1">
        <v>201751</v>
      </c>
      <c r="AZ248" s="1">
        <v>15</v>
      </c>
      <c r="BA248" s="19"/>
    </row>
    <row r="249" spans="17:53" x14ac:dyDescent="0.25">
      <c r="Q249" s="109" t="str">
        <f t="shared" si="30"/>
        <v/>
      </c>
      <c r="R249" s="27" t="str">
        <f t="shared" si="31"/>
        <v/>
      </c>
      <c r="S249" s="1"/>
      <c r="T249" s="1"/>
      <c r="U249" s="1"/>
      <c r="V249" s="1"/>
      <c r="W249" s="19"/>
      <c r="X249" s="22"/>
      <c r="Y249" s="22"/>
      <c r="AG249" s="27" t="str">
        <f t="shared" si="28"/>
        <v>GymboreeRetailUSA35</v>
      </c>
      <c r="AH249" s="1" t="s">
        <v>14</v>
      </c>
      <c r="AI249" s="1" t="s">
        <v>5</v>
      </c>
      <c r="AJ249" s="1" t="s">
        <v>307</v>
      </c>
      <c r="AK249" s="1">
        <v>35</v>
      </c>
      <c r="AL249" s="19">
        <v>0.8</v>
      </c>
      <c r="AN249" s="109" t="str">
        <f t="shared" si="29"/>
        <v>OutletUSAOutletGY 17 OUTLET Spring 1</v>
      </c>
      <c r="AO249" s="1" t="s">
        <v>17</v>
      </c>
      <c r="AP249" s="1" t="s">
        <v>17</v>
      </c>
      <c r="AQ249" s="1" t="s">
        <v>307</v>
      </c>
      <c r="AR249" s="1">
        <v>2017</v>
      </c>
      <c r="AS249" s="1" t="s">
        <v>16</v>
      </c>
      <c r="AT249" s="123" t="s">
        <v>251</v>
      </c>
      <c r="AU249" s="1">
        <v>21.92</v>
      </c>
      <c r="AV249" s="1">
        <v>3.78</v>
      </c>
      <c r="AW249" s="1">
        <v>472999</v>
      </c>
      <c r="AX249" s="1">
        <v>0.65</v>
      </c>
      <c r="AY249" s="1">
        <v>201751</v>
      </c>
      <c r="AZ249" s="1">
        <v>9</v>
      </c>
      <c r="BA249" s="19"/>
    </row>
    <row r="250" spans="17:53" x14ac:dyDescent="0.25">
      <c r="Q250" s="109" t="str">
        <f t="shared" si="30"/>
        <v/>
      </c>
      <c r="R250" s="27" t="str">
        <f t="shared" si="31"/>
        <v/>
      </c>
      <c r="S250" s="1"/>
      <c r="T250" s="1"/>
      <c r="U250" s="1"/>
      <c r="V250" s="1"/>
      <c r="W250" s="19"/>
      <c r="X250" s="22"/>
      <c r="Y250" s="22"/>
      <c r="AG250" s="27" t="str">
        <f t="shared" si="28"/>
        <v>GymboreeRetailUSA36</v>
      </c>
      <c r="AH250" s="1" t="s">
        <v>14</v>
      </c>
      <c r="AI250" s="1" t="s">
        <v>5</v>
      </c>
      <c r="AJ250" s="1" t="s">
        <v>307</v>
      </c>
      <c r="AK250" s="1">
        <v>36</v>
      </c>
      <c r="AL250" s="19">
        <v>0.8</v>
      </c>
      <c r="AN250" s="109" t="str">
        <f t="shared" si="29"/>
        <v>OutletUSAOutletGY 17 OUTLET BNB Spring</v>
      </c>
      <c r="AO250" s="1" t="s">
        <v>17</v>
      </c>
      <c r="AP250" s="1" t="s">
        <v>17</v>
      </c>
      <c r="AQ250" s="1" t="s">
        <v>307</v>
      </c>
      <c r="AR250" s="1">
        <v>2017</v>
      </c>
      <c r="AS250" s="1" t="s">
        <v>16</v>
      </c>
      <c r="AT250" s="123" t="s">
        <v>243</v>
      </c>
      <c r="AU250" s="1">
        <v>14.42</v>
      </c>
      <c r="AV250" s="1">
        <v>2.78</v>
      </c>
      <c r="AW250" s="1">
        <v>176980</v>
      </c>
      <c r="AX250" s="1">
        <v>0.65</v>
      </c>
      <c r="AY250" s="1">
        <v>201801</v>
      </c>
      <c r="AZ250" s="1">
        <v>10</v>
      </c>
      <c r="BA250" s="19"/>
    </row>
    <row r="251" spans="17:53" x14ac:dyDescent="0.25">
      <c r="Q251" s="109" t="str">
        <f t="shared" si="30"/>
        <v/>
      </c>
      <c r="R251" s="27" t="str">
        <f t="shared" si="31"/>
        <v/>
      </c>
      <c r="S251" s="1"/>
      <c r="T251" s="1"/>
      <c r="U251" s="1"/>
      <c r="V251" s="1"/>
      <c r="W251" s="19"/>
      <c r="X251" s="22"/>
      <c r="Y251" s="22"/>
      <c r="AG251" s="27" t="str">
        <f t="shared" si="28"/>
        <v>GymboreeRetailUSA37</v>
      </c>
      <c r="AH251" s="1" t="s">
        <v>14</v>
      </c>
      <c r="AI251" s="1" t="s">
        <v>5</v>
      </c>
      <c r="AJ251" s="1" t="s">
        <v>307</v>
      </c>
      <c r="AK251" s="1">
        <v>37</v>
      </c>
      <c r="AL251" s="19">
        <v>0.8</v>
      </c>
      <c r="AN251" s="109" t="str">
        <f t="shared" si="29"/>
        <v>OutletUSAOutletGY 17 OUTLET Easter</v>
      </c>
      <c r="AO251" s="1" t="s">
        <v>17</v>
      </c>
      <c r="AP251" s="1" t="s">
        <v>17</v>
      </c>
      <c r="AQ251" s="1" t="s">
        <v>307</v>
      </c>
      <c r="AR251" s="1">
        <v>2017</v>
      </c>
      <c r="AS251" s="1" t="s">
        <v>16</v>
      </c>
      <c r="AT251" s="123" t="s">
        <v>247</v>
      </c>
      <c r="AU251" s="1">
        <v>25.01</v>
      </c>
      <c r="AV251" s="1">
        <v>4.2300000000000004</v>
      </c>
      <c r="AW251" s="1">
        <v>707415</v>
      </c>
      <c r="AX251" s="1">
        <v>0.7</v>
      </c>
      <c r="AY251" s="1">
        <v>201801</v>
      </c>
      <c r="AZ251" s="1">
        <v>8</v>
      </c>
      <c r="BA251" s="19"/>
    </row>
    <row r="252" spans="17:53" x14ac:dyDescent="0.25">
      <c r="Q252" s="109" t="str">
        <f t="shared" si="30"/>
        <v/>
      </c>
      <c r="R252" s="27" t="str">
        <f t="shared" si="31"/>
        <v/>
      </c>
      <c r="S252" s="1"/>
      <c r="T252" s="1"/>
      <c r="U252" s="1"/>
      <c r="V252" s="1"/>
      <c r="W252" s="19"/>
      <c r="X252" s="22"/>
      <c r="Y252" s="22"/>
      <c r="AG252" s="27" t="str">
        <f t="shared" si="28"/>
        <v>GymboreeRetailUSA38</v>
      </c>
      <c r="AH252" s="1" t="s">
        <v>14</v>
      </c>
      <c r="AI252" s="1" t="s">
        <v>5</v>
      </c>
      <c r="AJ252" s="1" t="s">
        <v>307</v>
      </c>
      <c r="AK252" s="1">
        <v>38</v>
      </c>
      <c r="AL252" s="19">
        <v>0.8</v>
      </c>
      <c r="AN252" s="109" t="str">
        <f t="shared" si="29"/>
        <v>OutletUSAOutletGY 17 OUTLET Spr Fashion Cap</v>
      </c>
      <c r="AO252" s="1" t="s">
        <v>17</v>
      </c>
      <c r="AP252" s="1" t="s">
        <v>17</v>
      </c>
      <c r="AQ252" s="1" t="s">
        <v>307</v>
      </c>
      <c r="AR252" s="1">
        <v>2017</v>
      </c>
      <c r="AS252" s="1" t="s">
        <v>16</v>
      </c>
      <c r="AT252" s="123" t="s">
        <v>249</v>
      </c>
      <c r="AU252" s="1">
        <v>22.32</v>
      </c>
      <c r="AV252" s="1">
        <v>3.74</v>
      </c>
      <c r="AW252" s="1">
        <v>176980</v>
      </c>
      <c r="AX252" s="1">
        <v>0.7</v>
      </c>
      <c r="AY252" s="1">
        <v>201801</v>
      </c>
      <c r="AZ252" s="1">
        <v>8</v>
      </c>
      <c r="BA252" s="19"/>
    </row>
    <row r="253" spans="17:53" x14ac:dyDescent="0.25">
      <c r="Q253" s="109" t="str">
        <f t="shared" si="30"/>
        <v/>
      </c>
      <c r="R253" s="27" t="str">
        <f t="shared" si="31"/>
        <v/>
      </c>
      <c r="S253" s="1"/>
      <c r="T253" s="1"/>
      <c r="U253" s="1"/>
      <c r="V253" s="1"/>
      <c r="W253" s="19"/>
      <c r="X253" s="22"/>
      <c r="Y253" s="22"/>
      <c r="AG253" s="27" t="str">
        <f t="shared" si="28"/>
        <v>GymboreeRetailUSA39</v>
      </c>
      <c r="AH253" s="1" t="s">
        <v>14</v>
      </c>
      <c r="AI253" s="1" t="s">
        <v>5</v>
      </c>
      <c r="AJ253" s="1" t="s">
        <v>307</v>
      </c>
      <c r="AK253" s="1">
        <v>39</v>
      </c>
      <c r="AL253" s="19">
        <v>0.8</v>
      </c>
      <c r="AN253" s="109" t="str">
        <f t="shared" si="29"/>
        <v>OutletUSAOutletGY 17 OUTLET Spring 2</v>
      </c>
      <c r="AO253" s="1" t="s">
        <v>17</v>
      </c>
      <c r="AP253" s="1" t="s">
        <v>17</v>
      </c>
      <c r="AQ253" s="1" t="s">
        <v>307</v>
      </c>
      <c r="AR253" s="1">
        <v>2017</v>
      </c>
      <c r="AS253" s="1" t="s">
        <v>16</v>
      </c>
      <c r="AT253" s="123" t="s">
        <v>253</v>
      </c>
      <c r="AU253" s="1">
        <v>21.22</v>
      </c>
      <c r="AV253" s="1">
        <v>3.46</v>
      </c>
      <c r="AW253" s="1">
        <v>510479</v>
      </c>
      <c r="AX253" s="1">
        <v>0.6</v>
      </c>
      <c r="AY253" s="1">
        <v>201803</v>
      </c>
      <c r="AZ253" s="1">
        <v>8</v>
      </c>
      <c r="BA253" s="19"/>
    </row>
    <row r="254" spans="17:53" x14ac:dyDescent="0.25">
      <c r="Q254" s="109" t="str">
        <f t="shared" si="30"/>
        <v/>
      </c>
      <c r="R254" s="27" t="str">
        <f t="shared" si="31"/>
        <v/>
      </c>
      <c r="S254" s="1"/>
      <c r="T254" s="1"/>
      <c r="U254" s="1"/>
      <c r="V254" s="1"/>
      <c r="W254" s="19"/>
      <c r="X254" s="22"/>
      <c r="Y254" s="22"/>
      <c r="AG254" s="27" t="str">
        <f t="shared" si="28"/>
        <v>GymboreeRetailUSA40</v>
      </c>
      <c r="AH254" s="1" t="s">
        <v>14</v>
      </c>
      <c r="AI254" s="1" t="s">
        <v>5</v>
      </c>
      <c r="AJ254" s="1" t="s">
        <v>307</v>
      </c>
      <c r="AK254" s="1">
        <v>40</v>
      </c>
      <c r="AL254" s="19">
        <v>0.8</v>
      </c>
      <c r="AN254" s="109" t="str">
        <f t="shared" si="29"/>
        <v>OutletUSAOutletGY 17 OUTLET SPRING ACTIVE</v>
      </c>
      <c r="AO254" s="1" t="s">
        <v>17</v>
      </c>
      <c r="AP254" s="1" t="s">
        <v>17</v>
      </c>
      <c r="AQ254" s="1" t="s">
        <v>307</v>
      </c>
      <c r="AR254" s="1">
        <v>2017</v>
      </c>
      <c r="AS254" s="1" t="s">
        <v>16</v>
      </c>
      <c r="AT254" s="123" t="s">
        <v>245</v>
      </c>
      <c r="AU254" s="1">
        <v>19.12</v>
      </c>
      <c r="AV254" s="1">
        <v>4.12</v>
      </c>
      <c r="AW254" s="1">
        <v>63173</v>
      </c>
      <c r="AX254" s="1">
        <v>0.6</v>
      </c>
      <c r="AY254" s="1">
        <v>201803</v>
      </c>
      <c r="AZ254" s="1">
        <v>8</v>
      </c>
      <c r="BA254" s="19"/>
    </row>
    <row r="255" spans="17:53" x14ac:dyDescent="0.25">
      <c r="Q255" s="109" t="str">
        <f t="shared" si="30"/>
        <v/>
      </c>
      <c r="R255" s="27" t="str">
        <f t="shared" si="31"/>
        <v/>
      </c>
      <c r="S255" s="1"/>
      <c r="T255" s="1"/>
      <c r="U255" s="1"/>
      <c r="V255" s="1"/>
      <c r="W255" s="19"/>
      <c r="X255" s="22"/>
      <c r="Y255" s="22"/>
      <c r="AG255" s="27" t="str">
        <f t="shared" si="28"/>
        <v>GymboreeRetailUSA41</v>
      </c>
      <c r="AH255" s="1" t="s">
        <v>14</v>
      </c>
      <c r="AI255" s="1" t="s">
        <v>5</v>
      </c>
      <c r="AJ255" s="1" t="s">
        <v>307</v>
      </c>
      <c r="AK255" s="1">
        <v>41</v>
      </c>
      <c r="AL255" s="19">
        <v>0.8</v>
      </c>
      <c r="AN255" s="109" t="str">
        <f t="shared" si="29"/>
        <v>OutletUSAOutletGY 17 OUTLET Spring 3</v>
      </c>
      <c r="AO255" s="1" t="s">
        <v>17</v>
      </c>
      <c r="AP255" s="1" t="s">
        <v>17</v>
      </c>
      <c r="AQ255" s="1" t="s">
        <v>307</v>
      </c>
      <c r="AR255" s="1">
        <v>2017</v>
      </c>
      <c r="AS255" s="1" t="s">
        <v>16</v>
      </c>
      <c r="AT255" s="123" t="s">
        <v>255</v>
      </c>
      <c r="AU255" s="1">
        <v>22.09</v>
      </c>
      <c r="AV255" s="1">
        <v>3.85</v>
      </c>
      <c r="AW255" s="1">
        <v>387795</v>
      </c>
      <c r="AX255" s="1">
        <v>0.6</v>
      </c>
      <c r="AY255" s="1">
        <v>201807</v>
      </c>
      <c r="AZ255" s="1">
        <v>6</v>
      </c>
      <c r="BA255" s="19"/>
    </row>
    <row r="256" spans="17:53" x14ac:dyDescent="0.25">
      <c r="Q256" s="109" t="str">
        <f t="shared" si="30"/>
        <v/>
      </c>
      <c r="R256" s="27" t="str">
        <f t="shared" si="31"/>
        <v/>
      </c>
      <c r="S256" s="1"/>
      <c r="T256" s="1"/>
      <c r="U256" s="1"/>
      <c r="V256" s="1"/>
      <c r="W256" s="19"/>
      <c r="X256" s="22"/>
      <c r="Y256" s="22"/>
      <c r="AG256" s="27" t="str">
        <f t="shared" si="28"/>
        <v>GymboreeRetailUSA42</v>
      </c>
      <c r="AH256" s="1" t="s">
        <v>14</v>
      </c>
      <c r="AI256" s="1" t="s">
        <v>5</v>
      </c>
      <c r="AJ256" s="1" t="s">
        <v>307</v>
      </c>
      <c r="AK256" s="1">
        <v>42</v>
      </c>
      <c r="AL256" s="19">
        <v>0.8</v>
      </c>
      <c r="AN256" s="109" t="str">
        <f t="shared" si="29"/>
        <v>OutletUSAOutletGY 17 OUTLET Swim 2</v>
      </c>
      <c r="AO256" s="1" t="s">
        <v>17</v>
      </c>
      <c r="AP256" s="1" t="s">
        <v>17</v>
      </c>
      <c r="AQ256" s="1" t="s">
        <v>307</v>
      </c>
      <c r="AR256" s="1">
        <v>2017</v>
      </c>
      <c r="AS256" s="1" t="s">
        <v>16</v>
      </c>
      <c r="AT256" s="123" t="s">
        <v>259</v>
      </c>
      <c r="AU256" s="1">
        <v>21.63</v>
      </c>
      <c r="AV256" s="1">
        <v>4.07</v>
      </c>
      <c r="AW256" s="1">
        <v>381943</v>
      </c>
      <c r="AX256" s="1">
        <v>0.65</v>
      </c>
      <c r="AY256" s="1">
        <v>201807</v>
      </c>
      <c r="AZ256" s="1">
        <v>14</v>
      </c>
      <c r="BA256" s="19"/>
    </row>
    <row r="257" spans="17:53" x14ac:dyDescent="0.25">
      <c r="Q257" s="109" t="str">
        <f t="shared" si="30"/>
        <v/>
      </c>
      <c r="R257" s="27" t="str">
        <f t="shared" si="31"/>
        <v/>
      </c>
      <c r="S257" s="1"/>
      <c r="T257" s="1"/>
      <c r="U257" s="1"/>
      <c r="V257" s="1"/>
      <c r="W257" s="19"/>
      <c r="X257" s="22"/>
      <c r="Y257" s="22"/>
      <c r="AG257" s="27" t="str">
        <f t="shared" si="28"/>
        <v>GymboreeRetailUSA43</v>
      </c>
      <c r="AH257" s="1" t="s">
        <v>14</v>
      </c>
      <c r="AI257" s="1" t="s">
        <v>5</v>
      </c>
      <c r="AJ257" s="1" t="s">
        <v>307</v>
      </c>
      <c r="AK257" s="1">
        <v>43</v>
      </c>
      <c r="AL257" s="19">
        <v>0.8</v>
      </c>
      <c r="AN257" s="109" t="str">
        <f t="shared" si="29"/>
        <v>OutletUSAOutletGY 17 OUTLET Summer 1</v>
      </c>
      <c r="AO257" s="1" t="s">
        <v>17</v>
      </c>
      <c r="AP257" s="1" t="s">
        <v>17</v>
      </c>
      <c r="AQ257" s="1" t="s">
        <v>307</v>
      </c>
      <c r="AR257" s="1">
        <v>2017</v>
      </c>
      <c r="AS257" s="1" t="s">
        <v>18</v>
      </c>
      <c r="AT257" s="123" t="s">
        <v>269</v>
      </c>
      <c r="AU257" s="1">
        <v>20.02</v>
      </c>
      <c r="AV257" s="1">
        <v>3.38</v>
      </c>
      <c r="AW257" s="1">
        <v>414565</v>
      </c>
      <c r="AX257" s="1">
        <v>0.75</v>
      </c>
      <c r="AY257" s="1">
        <v>201811</v>
      </c>
      <c r="AZ257" s="1">
        <v>10</v>
      </c>
      <c r="BA257" s="19"/>
    </row>
    <row r="258" spans="17:53" x14ac:dyDescent="0.25">
      <c r="Q258" s="109" t="str">
        <f t="shared" si="30"/>
        <v/>
      </c>
      <c r="R258" s="27" t="str">
        <f t="shared" si="31"/>
        <v/>
      </c>
      <c r="S258" s="1"/>
      <c r="T258" s="1"/>
      <c r="U258" s="1"/>
      <c r="V258" s="1"/>
      <c r="W258" s="19"/>
      <c r="X258" s="22"/>
      <c r="Y258" s="22"/>
      <c r="AG258" s="27" t="str">
        <f t="shared" si="28"/>
        <v>GymboreeRetailUSA44</v>
      </c>
      <c r="AH258" s="1" t="s">
        <v>14</v>
      </c>
      <c r="AI258" s="1" t="s">
        <v>5</v>
      </c>
      <c r="AJ258" s="1" t="s">
        <v>307</v>
      </c>
      <c r="AK258" s="1">
        <v>44</v>
      </c>
      <c r="AL258" s="19">
        <v>0.8</v>
      </c>
      <c r="AN258" s="109" t="str">
        <f t="shared" si="29"/>
        <v>OutletUSAOutletGY 17 OUTLET SMR</v>
      </c>
      <c r="AO258" s="1" t="s">
        <v>17</v>
      </c>
      <c r="AP258" s="1" t="s">
        <v>17</v>
      </c>
      <c r="AQ258" s="1" t="s">
        <v>307</v>
      </c>
      <c r="AR258" s="1">
        <v>2017</v>
      </c>
      <c r="AS258" s="1" t="s">
        <v>18</v>
      </c>
      <c r="AT258" s="123" t="s">
        <v>263</v>
      </c>
      <c r="AU258" s="1">
        <v>15.01</v>
      </c>
      <c r="AV258" s="1">
        <v>2.57</v>
      </c>
      <c r="AW258" s="1">
        <v>867599</v>
      </c>
      <c r="AX258" s="1">
        <v>0.69</v>
      </c>
      <c r="AY258" s="1">
        <v>201813</v>
      </c>
      <c r="AZ258" s="1">
        <v>10</v>
      </c>
      <c r="BA258" s="19"/>
    </row>
    <row r="259" spans="17:53" x14ac:dyDescent="0.25">
      <c r="Q259" s="109" t="str">
        <f t="shared" si="30"/>
        <v/>
      </c>
      <c r="R259" s="27" t="str">
        <f t="shared" si="31"/>
        <v/>
      </c>
      <c r="S259" s="1"/>
      <c r="T259" s="1"/>
      <c r="U259" s="1"/>
      <c r="V259" s="1"/>
      <c r="W259" s="19"/>
      <c r="X259" s="22"/>
      <c r="Y259" s="22"/>
      <c r="AG259" s="27" t="str">
        <f t="shared" si="28"/>
        <v>GymboreeRetailUSA45</v>
      </c>
      <c r="AH259" s="1" t="s">
        <v>14</v>
      </c>
      <c r="AI259" s="1" t="s">
        <v>5</v>
      </c>
      <c r="AJ259" s="1" t="s">
        <v>307</v>
      </c>
      <c r="AK259" s="1">
        <v>45</v>
      </c>
      <c r="AL259" s="19">
        <v>0.8</v>
      </c>
      <c r="AN259" s="109" t="str">
        <f t="shared" si="29"/>
        <v>OutletUSAOutletGY 17 OUTLET SUMMER 2</v>
      </c>
      <c r="AO259" s="1" t="s">
        <v>17</v>
      </c>
      <c r="AP259" s="1" t="s">
        <v>17</v>
      </c>
      <c r="AQ259" s="1" t="s">
        <v>307</v>
      </c>
      <c r="AR259" s="1">
        <v>2017</v>
      </c>
      <c r="AS259" s="1" t="s">
        <v>18</v>
      </c>
      <c r="AT259" s="123" t="s">
        <v>271</v>
      </c>
      <c r="AU259" s="1">
        <v>22.43</v>
      </c>
      <c r="AV259" s="1">
        <v>3.83</v>
      </c>
      <c r="AW259" s="1">
        <v>540617</v>
      </c>
      <c r="AX259" s="1">
        <v>0.65</v>
      </c>
      <c r="AY259" s="1">
        <v>201813</v>
      </c>
      <c r="AZ259" s="1">
        <v>6</v>
      </c>
      <c r="BA259" s="19"/>
    </row>
    <row r="260" spans="17:53" x14ac:dyDescent="0.25">
      <c r="Q260" s="109" t="str">
        <f t="shared" si="30"/>
        <v/>
      </c>
      <c r="R260" s="27" t="str">
        <f t="shared" si="31"/>
        <v/>
      </c>
      <c r="S260" s="1"/>
      <c r="T260" s="1"/>
      <c r="U260" s="1"/>
      <c r="V260" s="1"/>
      <c r="W260" s="19"/>
      <c r="X260" s="22"/>
      <c r="Y260" s="22"/>
      <c r="AG260" s="27" t="str">
        <f t="shared" ref="AG260:AG323" si="32">AH260&amp;AI260&amp;AJ260&amp;AK260</f>
        <v>GymboreeRetailUSA46</v>
      </c>
      <c r="AH260" s="1" t="s">
        <v>14</v>
      </c>
      <c r="AI260" s="1" t="s">
        <v>5</v>
      </c>
      <c r="AJ260" s="1" t="s">
        <v>307</v>
      </c>
      <c r="AK260" s="1">
        <v>46</v>
      </c>
      <c r="AL260" s="19">
        <v>0.8</v>
      </c>
      <c r="AN260" s="109" t="str">
        <f t="shared" ref="AN260:AN323" si="33">AO260&amp;AQ260&amp;AP260&amp;AT260</f>
        <v>OutletUSAOutletGY 17 OUTLET SWIM 3</v>
      </c>
      <c r="AO260" s="1" t="s">
        <v>17</v>
      </c>
      <c r="AP260" s="1" t="s">
        <v>17</v>
      </c>
      <c r="AQ260" s="1" t="s">
        <v>307</v>
      </c>
      <c r="AR260" s="1">
        <v>2017</v>
      </c>
      <c r="AS260" s="1" t="s">
        <v>18</v>
      </c>
      <c r="AT260" s="123" t="s">
        <v>261</v>
      </c>
      <c r="AU260" s="1">
        <v>21.93</v>
      </c>
      <c r="AV260" s="1">
        <v>4.05</v>
      </c>
      <c r="AW260" s="1">
        <v>204378</v>
      </c>
      <c r="AX260" s="1">
        <v>0.64</v>
      </c>
      <c r="AY260" s="1">
        <v>201813</v>
      </c>
      <c r="AZ260" s="1">
        <v>7</v>
      </c>
      <c r="BA260" s="19"/>
    </row>
    <row r="261" spans="17:53" x14ac:dyDescent="0.25">
      <c r="Q261" s="109" t="str">
        <f t="shared" si="30"/>
        <v/>
      </c>
      <c r="R261" s="27" t="str">
        <f t="shared" si="31"/>
        <v/>
      </c>
      <c r="S261" s="1"/>
      <c r="T261" s="1"/>
      <c r="U261" s="1"/>
      <c r="V261" s="1"/>
      <c r="W261" s="19"/>
      <c r="X261" s="22"/>
      <c r="Y261" s="22"/>
      <c r="AG261" s="27" t="str">
        <f t="shared" si="32"/>
        <v>GymboreeRetailUSA47</v>
      </c>
      <c r="AH261" s="1" t="s">
        <v>14</v>
      </c>
      <c r="AI261" s="1" t="s">
        <v>5</v>
      </c>
      <c r="AJ261" s="1" t="s">
        <v>307</v>
      </c>
      <c r="AK261" s="1">
        <v>47</v>
      </c>
      <c r="AL261" s="19">
        <v>0.8</v>
      </c>
      <c r="AN261" s="109" t="str">
        <f t="shared" si="33"/>
        <v>OutletUSAOutletGY 17 OUTLET BNB SUMMER</v>
      </c>
      <c r="AO261" s="1" t="s">
        <v>17</v>
      </c>
      <c r="AP261" s="1" t="s">
        <v>17</v>
      </c>
      <c r="AQ261" s="1" t="s">
        <v>307</v>
      </c>
      <c r="AR261" s="1">
        <v>2017</v>
      </c>
      <c r="AS261" s="1" t="s">
        <v>18</v>
      </c>
      <c r="AT261" s="123" t="s">
        <v>265</v>
      </c>
      <c r="AU261" s="1">
        <v>13.74</v>
      </c>
      <c r="AV261" s="1">
        <v>2.41</v>
      </c>
      <c r="AW261" s="1">
        <v>215144</v>
      </c>
      <c r="AX261" s="1">
        <v>0.66</v>
      </c>
      <c r="AY261" s="1">
        <v>201813</v>
      </c>
      <c r="AZ261" s="1">
        <v>10</v>
      </c>
      <c r="BA261" s="19"/>
    </row>
    <row r="262" spans="17:53" x14ac:dyDescent="0.25">
      <c r="Q262" s="109" t="str">
        <f t="shared" si="30"/>
        <v/>
      </c>
      <c r="R262" s="27" t="str">
        <f t="shared" si="31"/>
        <v/>
      </c>
      <c r="S262" s="1"/>
      <c r="T262" s="1"/>
      <c r="U262" s="1"/>
      <c r="V262" s="1"/>
      <c r="W262" s="19"/>
      <c r="X262" s="22"/>
      <c r="Y262" s="22"/>
      <c r="AG262" s="27" t="str">
        <f t="shared" si="32"/>
        <v>GymboreeRetailUSA48</v>
      </c>
      <c r="AH262" s="1" t="s">
        <v>14</v>
      </c>
      <c r="AI262" s="1" t="s">
        <v>5</v>
      </c>
      <c r="AJ262" s="1" t="s">
        <v>307</v>
      </c>
      <c r="AK262" s="1">
        <v>48</v>
      </c>
      <c r="AL262" s="19">
        <v>0.8</v>
      </c>
      <c r="AN262" s="109" t="str">
        <f t="shared" si="33"/>
        <v>OutletUSAOutletGY 17 OUTLET SUMMER 3</v>
      </c>
      <c r="AO262" s="1" t="s">
        <v>17</v>
      </c>
      <c r="AP262" s="1" t="s">
        <v>17</v>
      </c>
      <c r="AQ262" s="1" t="s">
        <v>307</v>
      </c>
      <c r="AR262" s="1">
        <v>2017</v>
      </c>
      <c r="AS262" s="1" t="s">
        <v>18</v>
      </c>
      <c r="AT262" s="123" t="s">
        <v>273</v>
      </c>
      <c r="AU262" s="1">
        <v>21.62</v>
      </c>
      <c r="AV262" s="1">
        <v>3.54</v>
      </c>
      <c r="AW262" s="1">
        <v>510448</v>
      </c>
      <c r="AX262" s="1">
        <v>0.65</v>
      </c>
      <c r="AY262" s="1">
        <v>201815</v>
      </c>
      <c r="AZ262" s="1">
        <v>7</v>
      </c>
      <c r="BA262" s="19"/>
    </row>
    <row r="263" spans="17:53" x14ac:dyDescent="0.25">
      <c r="Q263" s="109" t="str">
        <f t="shared" si="30"/>
        <v/>
      </c>
      <c r="R263" s="27" t="str">
        <f t="shared" si="31"/>
        <v/>
      </c>
      <c r="S263" s="1"/>
      <c r="T263" s="1"/>
      <c r="U263" s="1"/>
      <c r="V263" s="1"/>
      <c r="W263" s="19"/>
      <c r="X263" s="22"/>
      <c r="Y263" s="22"/>
      <c r="AG263" s="27" t="str">
        <f t="shared" si="32"/>
        <v>GymboreeRetailUSA49</v>
      </c>
      <c r="AH263" s="1" t="s">
        <v>14</v>
      </c>
      <c r="AI263" s="1" t="s">
        <v>5</v>
      </c>
      <c r="AJ263" s="1" t="s">
        <v>307</v>
      </c>
      <c r="AK263" s="1">
        <v>49</v>
      </c>
      <c r="AL263" s="19">
        <v>0.8</v>
      </c>
      <c r="AN263" s="109" t="str">
        <f t="shared" si="33"/>
        <v>OutletUSAOutletGY 17 OUTLET SUMMER 4</v>
      </c>
      <c r="AO263" s="1" t="s">
        <v>17</v>
      </c>
      <c r="AP263" s="1" t="s">
        <v>17</v>
      </c>
      <c r="AQ263" s="1" t="s">
        <v>307</v>
      </c>
      <c r="AR263" s="1">
        <v>2017</v>
      </c>
      <c r="AS263" s="1" t="s">
        <v>18</v>
      </c>
      <c r="AT263" s="123" t="s">
        <v>275</v>
      </c>
      <c r="AU263" s="1">
        <v>22.61</v>
      </c>
      <c r="AV263" s="1">
        <v>3.56</v>
      </c>
      <c r="AW263" s="1">
        <v>395086</v>
      </c>
      <c r="AX263" s="1">
        <v>0.65</v>
      </c>
      <c r="AY263" s="1">
        <v>201818</v>
      </c>
      <c r="AZ263" s="1">
        <v>7</v>
      </c>
      <c r="BA263" s="19"/>
    </row>
    <row r="264" spans="17:53" x14ac:dyDescent="0.25">
      <c r="Q264" s="109" t="str">
        <f t="shared" si="30"/>
        <v/>
      </c>
      <c r="R264" s="27" t="str">
        <f t="shared" si="31"/>
        <v/>
      </c>
      <c r="S264" s="1"/>
      <c r="T264" s="1"/>
      <c r="U264" s="1"/>
      <c r="V264" s="1"/>
      <c r="W264" s="19"/>
      <c r="X264" s="22"/>
      <c r="Y264" s="22"/>
      <c r="AG264" s="27" t="str">
        <f t="shared" si="32"/>
        <v>GymboreeRetailUSA50</v>
      </c>
      <c r="AH264" s="1" t="s">
        <v>14</v>
      </c>
      <c r="AI264" s="1" t="s">
        <v>5</v>
      </c>
      <c r="AJ264" s="1" t="s">
        <v>307</v>
      </c>
      <c r="AK264" s="1">
        <v>50</v>
      </c>
      <c r="AL264" s="19">
        <v>0.8</v>
      </c>
      <c r="AN264" s="109" t="str">
        <f t="shared" si="33"/>
        <v>OutletUSAOutletGY 17 OUTLET UNIFORM</v>
      </c>
      <c r="AO264" s="1" t="s">
        <v>17</v>
      </c>
      <c r="AP264" s="1" t="s">
        <v>17</v>
      </c>
      <c r="AQ264" s="1" t="s">
        <v>307</v>
      </c>
      <c r="AR264" s="1">
        <v>2017</v>
      </c>
      <c r="AS264" s="1" t="s">
        <v>18</v>
      </c>
      <c r="AT264" s="123" t="s">
        <v>277</v>
      </c>
      <c r="AU264" s="1">
        <v>22.75</v>
      </c>
      <c r="AV264" s="1">
        <v>4.5199999999999996</v>
      </c>
      <c r="AW264" s="1">
        <v>191755</v>
      </c>
      <c r="AX264" s="1">
        <v>0.7</v>
      </c>
      <c r="AY264" s="1">
        <v>201820</v>
      </c>
      <c r="AZ264" s="1">
        <v>10</v>
      </c>
      <c r="BA264" s="19"/>
    </row>
    <row r="265" spans="17:53" x14ac:dyDescent="0.25">
      <c r="Q265" s="109" t="str">
        <f t="shared" si="30"/>
        <v/>
      </c>
      <c r="R265" s="27" t="str">
        <f t="shared" si="31"/>
        <v/>
      </c>
      <c r="S265" s="1"/>
      <c r="T265" s="1"/>
      <c r="U265" s="1"/>
      <c r="V265" s="1"/>
      <c r="W265" s="19"/>
      <c r="X265" s="22"/>
      <c r="Y265" s="22"/>
      <c r="AG265" s="27" t="str">
        <f t="shared" si="32"/>
        <v>GymboreeRetailUSA51</v>
      </c>
      <c r="AH265" s="1" t="s">
        <v>14</v>
      </c>
      <c r="AI265" s="1" t="s">
        <v>5</v>
      </c>
      <c r="AJ265" s="1" t="s">
        <v>307</v>
      </c>
      <c r="AK265" s="1">
        <v>51</v>
      </c>
      <c r="AL265" s="19">
        <v>0.8</v>
      </c>
      <c r="AN265" s="109" t="str">
        <f t="shared" si="33"/>
        <v>OutletUSAOutletGY 17 OUTLET TRANSITION</v>
      </c>
      <c r="AO265" s="1" t="s">
        <v>17</v>
      </c>
      <c r="AP265" s="1" t="s">
        <v>17</v>
      </c>
      <c r="AQ265" s="1" t="s">
        <v>307</v>
      </c>
      <c r="AR265" s="1">
        <v>2017</v>
      </c>
      <c r="AS265" s="1" t="s">
        <v>18</v>
      </c>
      <c r="AT265" s="123" t="s">
        <v>279</v>
      </c>
      <c r="AU265" s="1">
        <v>22.39</v>
      </c>
      <c r="AV265" s="1">
        <v>3.86</v>
      </c>
      <c r="AW265" s="1">
        <v>545215</v>
      </c>
      <c r="AX265" s="1">
        <v>0.63</v>
      </c>
      <c r="AY265" s="1">
        <v>201821</v>
      </c>
      <c r="AZ265" s="1">
        <v>6</v>
      </c>
      <c r="BA265" s="19"/>
    </row>
    <row r="266" spans="17:53" x14ac:dyDescent="0.25">
      <c r="Q266" s="109" t="str">
        <f t="shared" si="30"/>
        <v/>
      </c>
      <c r="R266" s="27" t="str">
        <f t="shared" si="31"/>
        <v/>
      </c>
      <c r="S266" s="1"/>
      <c r="T266" s="1"/>
      <c r="U266" s="1"/>
      <c r="V266" s="1"/>
      <c r="W266" s="19"/>
      <c r="X266" s="22"/>
      <c r="Y266" s="22"/>
      <c r="AG266" s="27" t="str">
        <f t="shared" si="32"/>
        <v>GymboreeRetailUSA52</v>
      </c>
      <c r="AH266" s="1" t="s">
        <v>14</v>
      </c>
      <c r="AI266" s="1" t="s">
        <v>5</v>
      </c>
      <c r="AJ266" s="1" t="s">
        <v>307</v>
      </c>
      <c r="AK266" s="1">
        <v>52</v>
      </c>
      <c r="AL266" s="19">
        <v>0.8</v>
      </c>
      <c r="AN266" s="109" t="str">
        <f t="shared" si="33"/>
        <v>OutletUSAOutletGY 17 OUTLET FAL</v>
      </c>
      <c r="AO266" s="1" t="s">
        <v>17</v>
      </c>
      <c r="AP266" s="1" t="s">
        <v>17</v>
      </c>
      <c r="AQ266" s="1" t="s">
        <v>307</v>
      </c>
      <c r="AR266" s="1">
        <v>2017</v>
      </c>
      <c r="AS266" s="1" t="s">
        <v>33</v>
      </c>
      <c r="AT266" s="123" t="s">
        <v>220</v>
      </c>
      <c r="AU266" s="1">
        <v>13.88</v>
      </c>
      <c r="AV266" s="1">
        <v>2.09</v>
      </c>
      <c r="AW266" s="1">
        <v>1257919</v>
      </c>
      <c r="AX266" s="1">
        <v>0.6</v>
      </c>
      <c r="AY266" s="1">
        <v>201821</v>
      </c>
      <c r="AZ266" s="1">
        <v>12</v>
      </c>
      <c r="BA266" s="19"/>
    </row>
    <row r="267" spans="17:53" x14ac:dyDescent="0.25">
      <c r="Q267" s="109" t="str">
        <f t="shared" si="30"/>
        <v/>
      </c>
      <c r="R267" s="27" t="str">
        <f t="shared" si="31"/>
        <v/>
      </c>
      <c r="S267" s="1"/>
      <c r="T267" s="1"/>
      <c r="U267" s="1"/>
      <c r="V267" s="1"/>
      <c r="W267" s="19"/>
      <c r="X267" s="22"/>
      <c r="Y267" s="22"/>
      <c r="AG267" s="27" t="str">
        <f t="shared" si="32"/>
        <v>GymboreeRetailUSA53</v>
      </c>
      <c r="AH267" s="1" t="s">
        <v>14</v>
      </c>
      <c r="AI267" s="1" t="s">
        <v>5</v>
      </c>
      <c r="AJ267" s="1" t="s">
        <v>307</v>
      </c>
      <c r="AK267" s="1">
        <v>53</v>
      </c>
      <c r="AL267" s="19">
        <v>0.8</v>
      </c>
      <c r="AN267" s="109" t="str">
        <f t="shared" si="33"/>
        <v>OutletUSAOutletGY 17 OUTLET BTS 1</v>
      </c>
      <c r="AO267" s="1" t="s">
        <v>17</v>
      </c>
      <c r="AP267" s="1" t="s">
        <v>17</v>
      </c>
      <c r="AQ267" s="1" t="s">
        <v>307</v>
      </c>
      <c r="AR267" s="1">
        <v>2017</v>
      </c>
      <c r="AS267" s="1" t="s">
        <v>33</v>
      </c>
      <c r="AT267" s="123" t="s">
        <v>222</v>
      </c>
      <c r="AU267" s="1">
        <v>23.09</v>
      </c>
      <c r="AV267" s="1">
        <v>4.67</v>
      </c>
      <c r="AW267" s="1">
        <v>664534</v>
      </c>
      <c r="AX267" s="1">
        <v>0.63</v>
      </c>
      <c r="AY267" s="1">
        <v>201824</v>
      </c>
      <c r="AZ267" s="1">
        <v>8</v>
      </c>
      <c r="BA267" s="19"/>
    </row>
    <row r="268" spans="17:53" x14ac:dyDescent="0.25">
      <c r="Q268" s="109" t="str">
        <f t="shared" si="30"/>
        <v/>
      </c>
      <c r="R268" s="27" t="str">
        <f t="shared" si="31"/>
        <v/>
      </c>
      <c r="S268" s="1"/>
      <c r="T268" s="1"/>
      <c r="U268" s="1"/>
      <c r="V268" s="1"/>
      <c r="W268" s="19"/>
      <c r="X268" s="22"/>
      <c r="Y268" s="22"/>
      <c r="AG268" s="27" t="str">
        <f t="shared" si="32"/>
        <v>GymboreeRetailCanada1</v>
      </c>
      <c r="AH268" s="1" t="s">
        <v>14</v>
      </c>
      <c r="AI268" s="1" t="s">
        <v>5</v>
      </c>
      <c r="AJ268" s="1" t="s">
        <v>308</v>
      </c>
      <c r="AK268" s="1">
        <v>1</v>
      </c>
      <c r="AL268" s="19">
        <v>0.3</v>
      </c>
      <c r="AN268" s="109" t="str">
        <f t="shared" si="33"/>
        <v>OutletUSAOutletGY 17 OUTLET BTS 2</v>
      </c>
      <c r="AO268" s="1" t="s">
        <v>17</v>
      </c>
      <c r="AP268" s="1" t="s">
        <v>17</v>
      </c>
      <c r="AQ268" s="1" t="s">
        <v>307</v>
      </c>
      <c r="AR268" s="1">
        <v>2017</v>
      </c>
      <c r="AS268" s="1" t="s">
        <v>33</v>
      </c>
      <c r="AT268" s="123" t="s">
        <v>224</v>
      </c>
      <c r="AU268" s="1">
        <v>22.21</v>
      </c>
      <c r="AV268" s="1">
        <v>4.51</v>
      </c>
      <c r="AW268" s="1">
        <v>592665</v>
      </c>
      <c r="AX268" s="1">
        <v>0.64</v>
      </c>
      <c r="AY268" s="1">
        <v>201826</v>
      </c>
      <c r="AZ268" s="1">
        <v>8</v>
      </c>
      <c r="BA268" s="19"/>
    </row>
    <row r="269" spans="17:53" x14ac:dyDescent="0.25">
      <c r="Q269" s="109" t="str">
        <f t="shared" si="30"/>
        <v/>
      </c>
      <c r="R269" s="27" t="str">
        <f t="shared" si="31"/>
        <v/>
      </c>
      <c r="S269" s="1"/>
      <c r="T269" s="1"/>
      <c r="U269" s="1"/>
      <c r="V269" s="1"/>
      <c r="W269" s="19"/>
      <c r="X269" s="22"/>
      <c r="Y269" s="22"/>
      <c r="AG269" s="27" t="str">
        <f t="shared" si="32"/>
        <v>GymboreeRetailCanada2</v>
      </c>
      <c r="AH269" s="1" t="s">
        <v>14</v>
      </c>
      <c r="AI269" s="1" t="s">
        <v>5</v>
      </c>
      <c r="AJ269" s="1" t="s">
        <v>308</v>
      </c>
      <c r="AK269" s="1">
        <v>2</v>
      </c>
      <c r="AL269" s="19">
        <v>0.3</v>
      </c>
      <c r="AN269" s="109" t="str">
        <f t="shared" si="33"/>
        <v>OutletUSAOutletGY 17 OUTLET BNB FALL</v>
      </c>
      <c r="AO269" s="1" t="s">
        <v>17</v>
      </c>
      <c r="AP269" s="1" t="s">
        <v>17</v>
      </c>
      <c r="AQ269" s="1" t="s">
        <v>307</v>
      </c>
      <c r="AR269" s="1">
        <v>2017</v>
      </c>
      <c r="AS269" s="1" t="s">
        <v>33</v>
      </c>
      <c r="AT269" s="123" t="s">
        <v>226</v>
      </c>
      <c r="AU269" s="1">
        <v>15.19</v>
      </c>
      <c r="AV269" s="1">
        <v>3.19</v>
      </c>
      <c r="AW269" s="1">
        <v>143988</v>
      </c>
      <c r="AX269" s="1">
        <v>0.68</v>
      </c>
      <c r="AY269" s="1">
        <v>201826</v>
      </c>
      <c r="AZ269" s="1">
        <v>10</v>
      </c>
      <c r="BA269" s="19"/>
    </row>
    <row r="270" spans="17:53" x14ac:dyDescent="0.25">
      <c r="Q270" s="109" t="str">
        <f t="shared" si="30"/>
        <v/>
      </c>
      <c r="R270" s="27" t="str">
        <f t="shared" si="31"/>
        <v/>
      </c>
      <c r="S270" s="1"/>
      <c r="T270" s="1"/>
      <c r="U270" s="1"/>
      <c r="V270" s="1"/>
      <c r="W270" s="19"/>
      <c r="X270" s="22"/>
      <c r="Y270" s="22"/>
      <c r="AG270" s="27" t="str">
        <f t="shared" si="32"/>
        <v>GymboreeRetailCanada3</v>
      </c>
      <c r="AH270" s="1" t="s">
        <v>14</v>
      </c>
      <c r="AI270" s="1" t="s">
        <v>5</v>
      </c>
      <c r="AJ270" s="1" t="s">
        <v>308</v>
      </c>
      <c r="AK270" s="1">
        <v>3</v>
      </c>
      <c r="AL270" s="19">
        <v>0.3</v>
      </c>
      <c r="AN270" s="109" t="str">
        <f t="shared" si="33"/>
        <v>OutletUSAOutletGY 17 OUTLET FALL 1</v>
      </c>
      <c r="AO270" s="1" t="s">
        <v>17</v>
      </c>
      <c r="AP270" s="1" t="s">
        <v>17</v>
      </c>
      <c r="AQ270" s="1" t="s">
        <v>307</v>
      </c>
      <c r="AR270" s="1">
        <v>2017</v>
      </c>
      <c r="AS270" s="1" t="s">
        <v>33</v>
      </c>
      <c r="AT270" s="123" t="s">
        <v>228</v>
      </c>
      <c r="AU270" s="1">
        <v>23.77</v>
      </c>
      <c r="AV270" s="1">
        <v>4.37</v>
      </c>
      <c r="AW270" s="1">
        <v>445514</v>
      </c>
      <c r="AX270" s="1">
        <v>0.62</v>
      </c>
      <c r="AY270" s="1">
        <v>201828</v>
      </c>
      <c r="AZ270" s="1">
        <v>7</v>
      </c>
      <c r="BA270" s="19"/>
    </row>
    <row r="271" spans="17:53" x14ac:dyDescent="0.25">
      <c r="Q271" s="109" t="str">
        <f t="shared" si="30"/>
        <v/>
      </c>
      <c r="R271" s="27" t="str">
        <f t="shared" si="31"/>
        <v/>
      </c>
      <c r="S271" s="1"/>
      <c r="T271" s="1"/>
      <c r="U271" s="1"/>
      <c r="V271" s="1"/>
      <c r="W271" s="19"/>
      <c r="X271" s="22"/>
      <c r="Y271" s="22"/>
      <c r="AG271" s="27" t="str">
        <f t="shared" si="32"/>
        <v>GymboreeRetailCanada4</v>
      </c>
      <c r="AH271" s="1" t="s">
        <v>14</v>
      </c>
      <c r="AI271" s="1" t="s">
        <v>5</v>
      </c>
      <c r="AJ271" s="1" t="s">
        <v>308</v>
      </c>
      <c r="AK271" s="1">
        <v>4</v>
      </c>
      <c r="AL271" s="19">
        <v>0.3</v>
      </c>
      <c r="AN271" s="109" t="str">
        <f t="shared" si="33"/>
        <v>OutletUSAOutletGY 17 OUTLET FALL 1</v>
      </c>
      <c r="AO271" s="1" t="s">
        <v>17</v>
      </c>
      <c r="AP271" s="1" t="s">
        <v>17</v>
      </c>
      <c r="AQ271" s="1" t="s">
        <v>307</v>
      </c>
      <c r="AR271" s="1">
        <v>2017</v>
      </c>
      <c r="AS271" s="1" t="s">
        <v>33</v>
      </c>
      <c r="AT271" s="123" t="s">
        <v>228</v>
      </c>
      <c r="AU271" s="1">
        <v>17.649999999999999</v>
      </c>
      <c r="AV271" s="1">
        <v>3.62</v>
      </c>
      <c r="AW271" s="1">
        <v>336053</v>
      </c>
      <c r="AX271" s="1">
        <v>0.65</v>
      </c>
      <c r="AY271" s="1">
        <v>201828</v>
      </c>
      <c r="AZ271" s="1">
        <v>7</v>
      </c>
      <c r="BA271" s="19"/>
    </row>
    <row r="272" spans="17:53" x14ac:dyDescent="0.25">
      <c r="Q272" s="109" t="str">
        <f t="shared" si="30"/>
        <v/>
      </c>
      <c r="R272" s="27" t="str">
        <f t="shared" si="31"/>
        <v/>
      </c>
      <c r="S272" s="1"/>
      <c r="T272" s="1"/>
      <c r="U272" s="1"/>
      <c r="V272" s="1"/>
      <c r="W272" s="19"/>
      <c r="X272" s="22"/>
      <c r="Y272" s="22"/>
      <c r="AG272" s="27" t="str">
        <f t="shared" si="32"/>
        <v>GymboreeRetailCanada5</v>
      </c>
      <c r="AH272" s="1" t="s">
        <v>14</v>
      </c>
      <c r="AI272" s="1" t="s">
        <v>5</v>
      </c>
      <c r="AJ272" s="1" t="s">
        <v>308</v>
      </c>
      <c r="AK272" s="1">
        <v>5</v>
      </c>
      <c r="AL272" s="19">
        <v>0.35</v>
      </c>
      <c r="AN272" s="109" t="str">
        <f t="shared" si="33"/>
        <v>OutletUSAOutletGY 17 OUTLET FALL 2</v>
      </c>
      <c r="AO272" s="1" t="s">
        <v>17</v>
      </c>
      <c r="AP272" s="1" t="s">
        <v>17</v>
      </c>
      <c r="AQ272" s="1" t="s">
        <v>307</v>
      </c>
      <c r="AR272" s="1">
        <v>2017</v>
      </c>
      <c r="AS272" s="1" t="s">
        <v>33</v>
      </c>
      <c r="AT272" s="123" t="s">
        <v>231</v>
      </c>
      <c r="AU272" s="1">
        <v>24.83</v>
      </c>
      <c r="AV272" s="1">
        <v>4.75</v>
      </c>
      <c r="AW272" s="1">
        <v>599104</v>
      </c>
      <c r="AX272" s="1">
        <v>0.55000000000000004</v>
      </c>
      <c r="AY272" s="1">
        <v>201830</v>
      </c>
      <c r="AZ272" s="1">
        <v>7</v>
      </c>
      <c r="BA272" s="19"/>
    </row>
    <row r="273" spans="17:53" x14ac:dyDescent="0.25">
      <c r="Q273" s="109" t="str">
        <f t="shared" si="30"/>
        <v/>
      </c>
      <c r="R273" s="27" t="str">
        <f t="shared" si="31"/>
        <v/>
      </c>
      <c r="S273" s="1"/>
      <c r="T273" s="1"/>
      <c r="U273" s="1"/>
      <c r="V273" s="1"/>
      <c r="W273" s="19"/>
      <c r="X273" s="22"/>
      <c r="Y273" s="22"/>
      <c r="AG273" s="27" t="str">
        <f t="shared" si="32"/>
        <v>GymboreeRetailCanada6</v>
      </c>
      <c r="AH273" s="1" t="s">
        <v>14</v>
      </c>
      <c r="AI273" s="1" t="s">
        <v>5</v>
      </c>
      <c r="AJ273" s="1" t="s">
        <v>308</v>
      </c>
      <c r="AK273" s="1">
        <v>6</v>
      </c>
      <c r="AL273" s="19">
        <v>0.35</v>
      </c>
      <c r="AN273" s="109" t="str">
        <f t="shared" si="33"/>
        <v>OutletUSAOutletGY 17 OUTLET HOLIDAY DRESSY</v>
      </c>
      <c r="AO273" s="1" t="s">
        <v>17</v>
      </c>
      <c r="AP273" s="1" t="s">
        <v>17</v>
      </c>
      <c r="AQ273" s="1" t="s">
        <v>307</v>
      </c>
      <c r="AR273" s="1">
        <v>2017</v>
      </c>
      <c r="AS273" s="1" t="s">
        <v>33</v>
      </c>
      <c r="AT273" s="123" t="s">
        <v>233</v>
      </c>
      <c r="AU273" s="1">
        <v>27.49</v>
      </c>
      <c r="AV273" s="1">
        <v>5.14</v>
      </c>
      <c r="AW273" s="1">
        <v>473072</v>
      </c>
      <c r="AX273" s="1">
        <v>0.66</v>
      </c>
      <c r="AY273" s="1">
        <v>201833</v>
      </c>
      <c r="AZ273" s="1">
        <v>8</v>
      </c>
      <c r="BA273" s="19"/>
    </row>
    <row r="274" spans="17:53" x14ac:dyDescent="0.25">
      <c r="Q274" s="109" t="str">
        <f t="shared" si="30"/>
        <v/>
      </c>
      <c r="R274" s="27" t="str">
        <f t="shared" si="31"/>
        <v/>
      </c>
      <c r="S274" s="1"/>
      <c r="T274" s="1"/>
      <c r="U274" s="1"/>
      <c r="V274" s="1"/>
      <c r="W274" s="19"/>
      <c r="X274" s="22"/>
      <c r="Y274" s="22"/>
      <c r="AG274" s="27" t="str">
        <f t="shared" si="32"/>
        <v>GymboreeRetailCanada7</v>
      </c>
      <c r="AH274" s="1" t="s">
        <v>14</v>
      </c>
      <c r="AI274" s="1" t="s">
        <v>5</v>
      </c>
      <c r="AJ274" s="1" t="s">
        <v>308</v>
      </c>
      <c r="AK274" s="1">
        <v>7</v>
      </c>
      <c r="AL274" s="19">
        <v>0.35</v>
      </c>
      <c r="AN274" s="109" t="str">
        <f t="shared" si="33"/>
        <v>Janie &amp; JackUSARetailJJ 3RD PARTY</v>
      </c>
      <c r="AO274" s="1" t="s">
        <v>32</v>
      </c>
      <c r="AP274" s="1" t="s">
        <v>5</v>
      </c>
      <c r="AQ274" s="1" t="s">
        <v>307</v>
      </c>
      <c r="AR274" s="1">
        <v>2017</v>
      </c>
      <c r="AS274" s="1" t="s">
        <v>35</v>
      </c>
      <c r="AT274" s="123" t="s">
        <v>302</v>
      </c>
      <c r="AU274" s="1">
        <v>55</v>
      </c>
      <c r="AV274" s="1">
        <v>24.32</v>
      </c>
      <c r="AW274" s="1">
        <v>450</v>
      </c>
      <c r="AX274" s="1">
        <v>0.25</v>
      </c>
      <c r="AY274" s="1">
        <v>201801</v>
      </c>
      <c r="AZ274" s="1">
        <v>13</v>
      </c>
      <c r="BA274" s="19"/>
    </row>
    <row r="275" spans="17:53" x14ac:dyDescent="0.25">
      <c r="Q275" s="109" t="str">
        <f t="shared" si="30"/>
        <v/>
      </c>
      <c r="R275" s="27" t="str">
        <f t="shared" si="31"/>
        <v/>
      </c>
      <c r="S275" s="1"/>
      <c r="T275" s="1"/>
      <c r="U275" s="1"/>
      <c r="V275" s="1"/>
      <c r="W275" s="19"/>
      <c r="X275" s="22"/>
      <c r="Y275" s="22"/>
      <c r="AG275" s="27" t="str">
        <f t="shared" si="32"/>
        <v>GymboreeRetailCanada8</v>
      </c>
      <c r="AH275" s="1" t="s">
        <v>14</v>
      </c>
      <c r="AI275" s="1" t="s">
        <v>5</v>
      </c>
      <c r="AJ275" s="1" t="s">
        <v>308</v>
      </c>
      <c r="AK275" s="1">
        <v>8</v>
      </c>
      <c r="AL275" s="19">
        <v>0.4</v>
      </c>
      <c r="AN275" s="109" t="str">
        <f t="shared" si="33"/>
        <v>Janie &amp; JackUSARetailJJ 17 SB2</v>
      </c>
      <c r="AO275" s="1" t="s">
        <v>32</v>
      </c>
      <c r="AP275" s="1" t="s">
        <v>5</v>
      </c>
      <c r="AQ275" s="1" t="s">
        <v>307</v>
      </c>
      <c r="AR275" s="1">
        <v>2017</v>
      </c>
      <c r="AS275" s="1" t="s">
        <v>35</v>
      </c>
      <c r="AT275" s="123" t="s">
        <v>177</v>
      </c>
      <c r="AU275" s="1">
        <v>39.9</v>
      </c>
      <c r="AV275" s="1">
        <v>8.74</v>
      </c>
      <c r="AW275" s="1">
        <v>37721</v>
      </c>
      <c r="AX275" s="1">
        <v>0.15</v>
      </c>
      <c r="AY275" s="1">
        <v>201822</v>
      </c>
      <c r="AZ275" s="1">
        <v>13</v>
      </c>
      <c r="BA275" s="19"/>
    </row>
    <row r="276" spans="17:53" x14ac:dyDescent="0.25">
      <c r="Q276" s="109" t="str">
        <f t="shared" si="30"/>
        <v/>
      </c>
      <c r="R276" s="27" t="str">
        <f t="shared" si="31"/>
        <v/>
      </c>
      <c r="S276" s="1"/>
      <c r="T276" s="1"/>
      <c r="U276" s="1"/>
      <c r="V276" s="1"/>
      <c r="W276" s="19"/>
      <c r="X276" s="22"/>
      <c r="Y276" s="22"/>
      <c r="AG276" s="27" t="str">
        <f t="shared" si="32"/>
        <v>GymboreeRetailCanada9</v>
      </c>
      <c r="AH276" s="1" t="s">
        <v>14</v>
      </c>
      <c r="AI276" s="1" t="s">
        <v>5</v>
      </c>
      <c r="AJ276" s="1" t="s">
        <v>308</v>
      </c>
      <c r="AK276" s="1">
        <v>9</v>
      </c>
      <c r="AL276" s="19">
        <v>0.4</v>
      </c>
      <c r="AN276" s="109" t="str">
        <f t="shared" si="33"/>
        <v>Janie &amp; JackUSARetailJJ 17 FALL 0</v>
      </c>
      <c r="AO276" s="1" t="s">
        <v>32</v>
      </c>
      <c r="AP276" s="1" t="s">
        <v>5</v>
      </c>
      <c r="AQ276" s="1" t="s">
        <v>307</v>
      </c>
      <c r="AR276" s="1">
        <v>2017</v>
      </c>
      <c r="AS276" s="1" t="s">
        <v>33</v>
      </c>
      <c r="AT276" s="123" t="s">
        <v>159</v>
      </c>
      <c r="AU276" s="1">
        <v>36.270000000000003</v>
      </c>
      <c r="AV276" s="1">
        <v>6.65</v>
      </c>
      <c r="AW276" s="1">
        <v>181481</v>
      </c>
      <c r="AX276" s="1">
        <v>0.2</v>
      </c>
      <c r="AY276" s="1">
        <v>201826</v>
      </c>
      <c r="AZ276" s="1">
        <v>5</v>
      </c>
      <c r="BA276" s="19"/>
    </row>
    <row r="277" spans="17:53" x14ac:dyDescent="0.25">
      <c r="Q277" s="109" t="str">
        <f t="shared" si="30"/>
        <v/>
      </c>
      <c r="R277" s="27" t="str">
        <f t="shared" si="31"/>
        <v/>
      </c>
      <c r="S277" s="1"/>
      <c r="T277" s="1"/>
      <c r="U277" s="1"/>
      <c r="V277" s="1"/>
      <c r="W277" s="19"/>
      <c r="X277" s="22"/>
      <c r="Y277" s="22"/>
      <c r="AG277" s="27" t="str">
        <f t="shared" si="32"/>
        <v>GymboreeRetailCanada10</v>
      </c>
      <c r="AH277" s="1" t="s">
        <v>14</v>
      </c>
      <c r="AI277" s="1" t="s">
        <v>5</v>
      </c>
      <c r="AJ277" s="1" t="s">
        <v>308</v>
      </c>
      <c r="AK277" s="1">
        <v>10</v>
      </c>
      <c r="AL277" s="19">
        <v>0.4</v>
      </c>
      <c r="AN277" s="109" t="str">
        <f t="shared" si="33"/>
        <v>Janie &amp; JackUSARetail(new)</v>
      </c>
      <c r="AO277" s="1" t="s">
        <v>32</v>
      </c>
      <c r="AP277" s="1" t="s">
        <v>5</v>
      </c>
      <c r="AQ277" s="1" t="s">
        <v>307</v>
      </c>
      <c r="AR277" s="1">
        <v>2017</v>
      </c>
      <c r="AS277" s="1" t="s">
        <v>16</v>
      </c>
      <c r="AT277" s="123" t="s">
        <v>371</v>
      </c>
      <c r="AU277" s="1">
        <v>30.16</v>
      </c>
      <c r="AV277" s="1">
        <v>5.62</v>
      </c>
      <c r="AW277" s="1">
        <v>72215</v>
      </c>
      <c r="AX277" s="1">
        <v>0.49</v>
      </c>
      <c r="AY277" s="1">
        <v>201751</v>
      </c>
      <c r="AZ277" s="1">
        <v>13</v>
      </c>
      <c r="BA277" s="19"/>
    </row>
    <row r="278" spans="17:53" x14ac:dyDescent="0.25">
      <c r="Q278" s="109" t="str">
        <f t="shared" si="30"/>
        <v/>
      </c>
      <c r="R278" s="27" t="str">
        <f t="shared" si="31"/>
        <v/>
      </c>
      <c r="S278" s="1"/>
      <c r="T278" s="1"/>
      <c r="U278" s="1"/>
      <c r="V278" s="1"/>
      <c r="W278" s="19"/>
      <c r="X278" s="22"/>
      <c r="Y278" s="22"/>
      <c r="AG278" s="27" t="str">
        <f t="shared" si="32"/>
        <v>GymboreeRetailCanada11</v>
      </c>
      <c r="AH278" s="1" t="s">
        <v>14</v>
      </c>
      <c r="AI278" s="1" t="s">
        <v>5</v>
      </c>
      <c r="AJ278" s="1" t="s">
        <v>308</v>
      </c>
      <c r="AK278" s="1">
        <v>11</v>
      </c>
      <c r="AL278" s="19">
        <v>0.45</v>
      </c>
      <c r="AN278" s="109" t="str">
        <f t="shared" si="33"/>
        <v>Janie &amp; JackUSARetailJJ 17 DEC SWIM</v>
      </c>
      <c r="AO278" s="1" t="s">
        <v>32</v>
      </c>
      <c r="AP278" s="1" t="s">
        <v>5</v>
      </c>
      <c r="AQ278" s="1" t="s">
        <v>307</v>
      </c>
      <c r="AR278" s="1">
        <v>2017</v>
      </c>
      <c r="AS278" s="1" t="s">
        <v>16</v>
      </c>
      <c r="AT278" s="123" t="s">
        <v>162</v>
      </c>
      <c r="AU278" s="1">
        <v>34.36</v>
      </c>
      <c r="AV278" s="1">
        <v>6.49</v>
      </c>
      <c r="AW278" s="1">
        <v>37913</v>
      </c>
      <c r="AX278" s="1">
        <v>0.2</v>
      </c>
      <c r="AY278" s="1">
        <v>201744</v>
      </c>
      <c r="AZ278" s="1">
        <v>8</v>
      </c>
      <c r="BA278" s="19"/>
    </row>
    <row r="279" spans="17:53" x14ac:dyDescent="0.25">
      <c r="Q279" s="109" t="str">
        <f t="shared" si="30"/>
        <v/>
      </c>
      <c r="R279" s="27" t="str">
        <f t="shared" si="31"/>
        <v/>
      </c>
      <c r="S279" s="1"/>
      <c r="T279" s="1"/>
      <c r="U279" s="1"/>
      <c r="V279" s="1"/>
      <c r="W279" s="19"/>
      <c r="X279" s="22"/>
      <c r="Y279" s="22"/>
      <c r="AG279" s="27" t="str">
        <f t="shared" si="32"/>
        <v>GymboreeRetailCanada12</v>
      </c>
      <c r="AH279" s="1" t="s">
        <v>14</v>
      </c>
      <c r="AI279" s="1" t="s">
        <v>5</v>
      </c>
      <c r="AJ279" s="1" t="s">
        <v>308</v>
      </c>
      <c r="AK279" s="1">
        <v>12</v>
      </c>
      <c r="AL279" s="19">
        <v>0.45</v>
      </c>
      <c r="AN279" s="109" t="str">
        <f t="shared" si="33"/>
        <v>Janie &amp; JackUSARetailJJ 17 DEC VDAY</v>
      </c>
      <c r="AO279" s="1" t="s">
        <v>32</v>
      </c>
      <c r="AP279" s="1" t="s">
        <v>5</v>
      </c>
      <c r="AQ279" s="1" t="s">
        <v>307</v>
      </c>
      <c r="AR279" s="1">
        <v>2017</v>
      </c>
      <c r="AS279" s="1" t="s">
        <v>16</v>
      </c>
      <c r="AT279" s="123" t="s">
        <v>184</v>
      </c>
      <c r="AU279" s="1">
        <v>34.14</v>
      </c>
      <c r="AV279" s="1">
        <v>6.73</v>
      </c>
      <c r="AW279" s="1">
        <v>33688</v>
      </c>
      <c r="AX279" s="1">
        <v>0.2</v>
      </c>
      <c r="AY279" s="1">
        <v>201747</v>
      </c>
      <c r="AZ279" s="1">
        <v>5</v>
      </c>
      <c r="BA279" s="19"/>
    </row>
    <row r="280" spans="17:53" x14ac:dyDescent="0.25">
      <c r="Q280" s="109" t="str">
        <f t="shared" si="30"/>
        <v/>
      </c>
      <c r="R280" s="27" t="str">
        <f t="shared" si="31"/>
        <v/>
      </c>
      <c r="S280" s="1"/>
      <c r="T280" s="1"/>
      <c r="U280" s="1"/>
      <c r="V280" s="1"/>
      <c r="W280" s="19"/>
      <c r="X280" s="22"/>
      <c r="Y280" s="22"/>
      <c r="AG280" s="27" t="str">
        <f t="shared" si="32"/>
        <v>GymboreeRetailCanada13</v>
      </c>
      <c r="AH280" s="1" t="s">
        <v>14</v>
      </c>
      <c r="AI280" s="1" t="s">
        <v>5</v>
      </c>
      <c r="AJ280" s="1" t="s">
        <v>308</v>
      </c>
      <c r="AK280" s="1">
        <v>13</v>
      </c>
      <c r="AL280" s="19">
        <v>0.45</v>
      </c>
      <c r="AN280" s="109" t="str">
        <f t="shared" si="33"/>
        <v>Janie &amp; JackUSARetailJJ 17 DEC RESORT 2</v>
      </c>
      <c r="AO280" s="1" t="s">
        <v>32</v>
      </c>
      <c r="AP280" s="1" t="s">
        <v>5</v>
      </c>
      <c r="AQ280" s="1" t="s">
        <v>307</v>
      </c>
      <c r="AR280" s="1">
        <v>2017</v>
      </c>
      <c r="AS280" s="1" t="s">
        <v>16</v>
      </c>
      <c r="AT280" s="123" t="s">
        <v>186</v>
      </c>
      <c r="AU280" s="1">
        <v>36.46</v>
      </c>
      <c r="AV280" s="1">
        <v>6.57</v>
      </c>
      <c r="AW280" s="1">
        <v>44657</v>
      </c>
      <c r="AX280" s="1">
        <v>0.2</v>
      </c>
      <c r="AY280" s="1">
        <v>201748</v>
      </c>
      <c r="AZ280" s="1">
        <v>5</v>
      </c>
      <c r="BA280" s="19"/>
    </row>
    <row r="281" spans="17:53" x14ac:dyDescent="0.25">
      <c r="Q281" s="109" t="str">
        <f t="shared" si="30"/>
        <v/>
      </c>
      <c r="R281" s="27" t="str">
        <f t="shared" si="31"/>
        <v/>
      </c>
      <c r="S281" s="1"/>
      <c r="T281" s="1"/>
      <c r="U281" s="1"/>
      <c r="V281" s="1"/>
      <c r="W281" s="19"/>
      <c r="X281" s="22"/>
      <c r="Y281" s="22"/>
      <c r="AG281" s="27" t="str">
        <f t="shared" si="32"/>
        <v>GymboreeRetailCanada14</v>
      </c>
      <c r="AH281" s="1" t="s">
        <v>14</v>
      </c>
      <c r="AI281" s="1" t="s">
        <v>5</v>
      </c>
      <c r="AJ281" s="1" t="s">
        <v>308</v>
      </c>
      <c r="AK281" s="1">
        <v>14</v>
      </c>
      <c r="AL281" s="19">
        <v>0.5</v>
      </c>
      <c r="AN281" s="109" t="str">
        <f t="shared" si="33"/>
        <v>Janie &amp; JackUSARetailJJ 17 JAN SPRING TRANS</v>
      </c>
      <c r="AO281" s="1" t="s">
        <v>32</v>
      </c>
      <c r="AP281" s="1" t="s">
        <v>5</v>
      </c>
      <c r="AQ281" s="1" t="s">
        <v>307</v>
      </c>
      <c r="AR281" s="1">
        <v>2017</v>
      </c>
      <c r="AS281" s="1" t="s">
        <v>16</v>
      </c>
      <c r="AT281" s="123" t="s">
        <v>192</v>
      </c>
      <c r="AU281" s="1">
        <v>37.26</v>
      </c>
      <c r="AV281" s="1">
        <v>6.81</v>
      </c>
      <c r="AW281" s="1">
        <v>93305</v>
      </c>
      <c r="AX281" s="1">
        <v>0.2</v>
      </c>
      <c r="AY281" s="1">
        <v>201749</v>
      </c>
      <c r="AZ281" s="1">
        <v>5</v>
      </c>
      <c r="BA281" s="19"/>
    </row>
    <row r="282" spans="17:53" x14ac:dyDescent="0.25">
      <c r="Q282" s="109" t="str">
        <f t="shared" si="30"/>
        <v/>
      </c>
      <c r="R282" s="27" t="str">
        <f t="shared" si="31"/>
        <v/>
      </c>
      <c r="S282" s="1"/>
      <c r="T282" s="1"/>
      <c r="U282" s="1"/>
      <c r="V282" s="1"/>
      <c r="W282" s="19"/>
      <c r="X282" s="22"/>
      <c r="Y282" s="22"/>
      <c r="AG282" s="27" t="str">
        <f t="shared" si="32"/>
        <v>GymboreeRetailCanada15</v>
      </c>
      <c r="AH282" s="1" t="s">
        <v>14</v>
      </c>
      <c r="AI282" s="1" t="s">
        <v>5</v>
      </c>
      <c r="AJ282" s="1" t="s">
        <v>308</v>
      </c>
      <c r="AK282" s="1">
        <v>15</v>
      </c>
      <c r="AL282" s="19">
        <v>0.5</v>
      </c>
      <c r="AN282" s="109" t="str">
        <f t="shared" si="33"/>
        <v>Janie &amp; JackUSARetailJJ 17 SB1/YEARLY BASICS</v>
      </c>
      <c r="AO282" s="1" t="s">
        <v>32</v>
      </c>
      <c r="AP282" s="1" t="s">
        <v>5</v>
      </c>
      <c r="AQ282" s="1" t="s">
        <v>307</v>
      </c>
      <c r="AR282" s="1">
        <v>2017</v>
      </c>
      <c r="AS282" s="1" t="s">
        <v>16</v>
      </c>
      <c r="AT282" s="123" t="s">
        <v>164</v>
      </c>
      <c r="AU282" s="1">
        <v>29.9</v>
      </c>
      <c r="AV282" s="1">
        <v>5.45</v>
      </c>
      <c r="AW282" s="1">
        <v>8434</v>
      </c>
      <c r="AX282" s="1">
        <v>0.2</v>
      </c>
      <c r="AY282" s="1">
        <v>201749</v>
      </c>
      <c r="AZ282" s="1">
        <v>13</v>
      </c>
      <c r="BA282" s="19"/>
    </row>
    <row r="283" spans="17:53" x14ac:dyDescent="0.25">
      <c r="Q283" s="109" t="str">
        <f t="shared" si="30"/>
        <v/>
      </c>
      <c r="R283" s="27" t="str">
        <f t="shared" si="31"/>
        <v/>
      </c>
      <c r="S283" s="1"/>
      <c r="T283" s="1"/>
      <c r="U283" s="1"/>
      <c r="V283" s="1"/>
      <c r="W283" s="19"/>
      <c r="X283" s="22"/>
      <c r="Y283" s="22"/>
      <c r="AG283" s="27" t="str">
        <f t="shared" si="32"/>
        <v>GymboreeRetailCanada16</v>
      </c>
      <c r="AH283" s="1" t="s">
        <v>14</v>
      </c>
      <c r="AI283" s="1" t="s">
        <v>5</v>
      </c>
      <c r="AJ283" s="1" t="s">
        <v>308</v>
      </c>
      <c r="AK283" s="1">
        <v>16</v>
      </c>
      <c r="AL283" s="19">
        <v>0.5</v>
      </c>
      <c r="AN283" s="109" t="str">
        <f t="shared" si="33"/>
        <v>Janie &amp; JackUSARetailJJ 17 JAN SWIM 2</v>
      </c>
      <c r="AO283" s="1" t="s">
        <v>32</v>
      </c>
      <c r="AP283" s="1" t="s">
        <v>5</v>
      </c>
      <c r="AQ283" s="1" t="s">
        <v>307</v>
      </c>
      <c r="AR283" s="1">
        <v>2017</v>
      </c>
      <c r="AS283" s="1" t="s">
        <v>16</v>
      </c>
      <c r="AT283" s="123" t="s">
        <v>166</v>
      </c>
      <c r="AU283" s="1">
        <v>31.97</v>
      </c>
      <c r="AV283" s="1">
        <v>5.85</v>
      </c>
      <c r="AW283" s="1">
        <v>61728</v>
      </c>
      <c r="AX283" s="1">
        <v>0.2</v>
      </c>
      <c r="AY283" s="1">
        <v>201749</v>
      </c>
      <c r="AZ283" s="1">
        <v>8</v>
      </c>
      <c r="BA283" s="19"/>
    </row>
    <row r="284" spans="17:53" x14ac:dyDescent="0.25">
      <c r="Q284" s="109" t="str">
        <f t="shared" si="30"/>
        <v/>
      </c>
      <c r="R284" s="27" t="str">
        <f t="shared" si="31"/>
        <v/>
      </c>
      <c r="S284" s="1"/>
      <c r="T284" s="1"/>
      <c r="U284" s="1"/>
      <c r="V284" s="1"/>
      <c r="W284" s="19"/>
      <c r="X284" s="22"/>
      <c r="Y284" s="22"/>
      <c r="AG284" s="27" t="str">
        <f t="shared" si="32"/>
        <v>GymboreeRetailCanada17</v>
      </c>
      <c r="AH284" s="1" t="s">
        <v>14</v>
      </c>
      <c r="AI284" s="1" t="s">
        <v>5</v>
      </c>
      <c r="AJ284" s="1" t="s">
        <v>308</v>
      </c>
      <c r="AK284" s="1">
        <v>17</v>
      </c>
      <c r="AL284" s="19">
        <v>0.55000000000000004</v>
      </c>
      <c r="AN284" s="109" t="str">
        <f t="shared" si="33"/>
        <v>Janie &amp; JackUSARetailJJ 17 JAN SPR GIFTING LAYETTE</v>
      </c>
      <c r="AO284" s="1" t="s">
        <v>32</v>
      </c>
      <c r="AP284" s="1" t="s">
        <v>5</v>
      </c>
      <c r="AQ284" s="1" t="s">
        <v>307</v>
      </c>
      <c r="AR284" s="1">
        <v>2017</v>
      </c>
      <c r="AS284" s="1" t="s">
        <v>16</v>
      </c>
      <c r="AT284" s="123" t="s">
        <v>196</v>
      </c>
      <c r="AU284" s="1">
        <v>37.840000000000003</v>
      </c>
      <c r="AV284" s="1">
        <v>7.31</v>
      </c>
      <c r="AW284" s="1">
        <v>17996</v>
      </c>
      <c r="AX284" s="1">
        <v>0.2</v>
      </c>
      <c r="AY284" s="1">
        <v>201749</v>
      </c>
      <c r="AZ284" s="1">
        <v>8</v>
      </c>
      <c r="BA284" s="19"/>
    </row>
    <row r="285" spans="17:53" x14ac:dyDescent="0.25">
      <c r="Q285" s="109" t="str">
        <f t="shared" si="30"/>
        <v/>
      </c>
      <c r="R285" s="27" t="str">
        <f t="shared" si="31"/>
        <v/>
      </c>
      <c r="S285" s="1"/>
      <c r="T285" s="1"/>
      <c r="U285" s="1"/>
      <c r="V285" s="1"/>
      <c r="W285" s="19"/>
      <c r="X285" s="22"/>
      <c r="Y285" s="22"/>
      <c r="AG285" s="27" t="str">
        <f t="shared" si="32"/>
        <v>GymboreeRetailCanada18</v>
      </c>
      <c r="AH285" s="1" t="s">
        <v>14</v>
      </c>
      <c r="AI285" s="1" t="s">
        <v>5</v>
      </c>
      <c r="AJ285" s="1" t="s">
        <v>308</v>
      </c>
      <c r="AK285" s="1">
        <v>18</v>
      </c>
      <c r="AL285" s="19">
        <v>0.55000000000000004</v>
      </c>
      <c r="AN285" s="109" t="str">
        <f t="shared" si="33"/>
        <v>Janie &amp; JackUSARetailJJ 17 JAN SPRING 1</v>
      </c>
      <c r="AO285" s="1" t="s">
        <v>32</v>
      </c>
      <c r="AP285" s="1" t="s">
        <v>5</v>
      </c>
      <c r="AQ285" s="1" t="s">
        <v>307</v>
      </c>
      <c r="AR285" s="1">
        <v>2017</v>
      </c>
      <c r="AS285" s="1" t="s">
        <v>16</v>
      </c>
      <c r="AT285" s="123" t="s">
        <v>182</v>
      </c>
      <c r="AU285" s="1">
        <v>34.65</v>
      </c>
      <c r="AV285" s="1">
        <v>6.46</v>
      </c>
      <c r="AW285" s="1">
        <v>118475</v>
      </c>
      <c r="AX285" s="1">
        <v>0.22</v>
      </c>
      <c r="AY285" s="1">
        <v>201752</v>
      </c>
      <c r="AZ285" s="1">
        <v>5</v>
      </c>
      <c r="BA285" s="19"/>
    </row>
    <row r="286" spans="17:53" x14ac:dyDescent="0.25">
      <c r="Q286" s="109" t="str">
        <f t="shared" si="30"/>
        <v/>
      </c>
      <c r="R286" s="27" t="str">
        <f t="shared" si="31"/>
        <v/>
      </c>
      <c r="S286" s="1"/>
      <c r="T286" s="1"/>
      <c r="U286" s="1"/>
      <c r="V286" s="1"/>
      <c r="W286" s="19"/>
      <c r="X286" s="22"/>
      <c r="Y286" s="22"/>
      <c r="AG286" s="27" t="str">
        <f t="shared" si="32"/>
        <v>GymboreeRetailCanada19</v>
      </c>
      <c r="AH286" s="1" t="s">
        <v>14</v>
      </c>
      <c r="AI286" s="1" t="s">
        <v>5</v>
      </c>
      <c r="AJ286" s="1" t="s">
        <v>308</v>
      </c>
      <c r="AK286" s="1">
        <v>19</v>
      </c>
      <c r="AL286" s="19">
        <v>0.55000000000000004</v>
      </c>
      <c r="AN286" s="109" t="str">
        <f t="shared" si="33"/>
        <v>Janie &amp; JackUSARetailJJ 17 JAN SO SB1</v>
      </c>
      <c r="AO286" s="1" t="s">
        <v>32</v>
      </c>
      <c r="AP286" s="1" t="s">
        <v>5</v>
      </c>
      <c r="AQ286" s="1" t="s">
        <v>307</v>
      </c>
      <c r="AR286" s="1">
        <v>2017</v>
      </c>
      <c r="AS286" s="1" t="s">
        <v>16</v>
      </c>
      <c r="AT286" s="123" t="s">
        <v>168</v>
      </c>
      <c r="AU286" s="1">
        <v>65.36</v>
      </c>
      <c r="AV286" s="1">
        <v>10.77</v>
      </c>
      <c r="AW286" s="1">
        <v>23706</v>
      </c>
      <c r="AX286" s="1">
        <v>0.4</v>
      </c>
      <c r="AY286" s="1">
        <v>201752</v>
      </c>
      <c r="AZ286" s="1">
        <v>13</v>
      </c>
      <c r="BA286" s="19"/>
    </row>
    <row r="287" spans="17:53" x14ac:dyDescent="0.25">
      <c r="Q287" s="109" t="str">
        <f t="shared" si="30"/>
        <v/>
      </c>
      <c r="R287" s="27" t="str">
        <f t="shared" si="31"/>
        <v/>
      </c>
      <c r="S287" s="1"/>
      <c r="T287" s="1"/>
      <c r="U287" s="1"/>
      <c r="V287" s="1"/>
      <c r="W287" s="19"/>
      <c r="X287" s="22"/>
      <c r="Y287" s="22"/>
      <c r="AG287" s="27" t="str">
        <f t="shared" si="32"/>
        <v>GymboreeRetailCanada20</v>
      </c>
      <c r="AH287" s="1" t="s">
        <v>14</v>
      </c>
      <c r="AI287" s="1" t="s">
        <v>5</v>
      </c>
      <c r="AJ287" s="1" t="s">
        <v>308</v>
      </c>
      <c r="AK287" s="1">
        <v>20</v>
      </c>
      <c r="AL287" s="19">
        <v>0.6</v>
      </c>
      <c r="AN287" s="109" t="str">
        <f t="shared" si="33"/>
        <v>Janie &amp; JackUSARetailJJ 17 FEB EASTER 1</v>
      </c>
      <c r="AO287" s="1" t="s">
        <v>32</v>
      </c>
      <c r="AP287" s="1" t="s">
        <v>5</v>
      </c>
      <c r="AQ287" s="1" t="s">
        <v>307</v>
      </c>
      <c r="AR287" s="1">
        <v>2017</v>
      </c>
      <c r="AS287" s="1" t="s">
        <v>16</v>
      </c>
      <c r="AT287" s="123" t="s">
        <v>188</v>
      </c>
      <c r="AU287" s="1">
        <v>38.06</v>
      </c>
      <c r="AV287" s="1">
        <v>7.13</v>
      </c>
      <c r="AW287" s="1">
        <v>186248</v>
      </c>
      <c r="AX287" s="1">
        <v>0.26</v>
      </c>
      <c r="AY287" s="1">
        <v>201801</v>
      </c>
      <c r="AZ287" s="1">
        <v>5</v>
      </c>
      <c r="BA287" s="19"/>
    </row>
    <row r="288" spans="17:53" x14ac:dyDescent="0.25">
      <c r="Q288" s="109" t="str">
        <f t="shared" si="30"/>
        <v/>
      </c>
      <c r="R288" s="27" t="str">
        <f t="shared" si="31"/>
        <v/>
      </c>
      <c r="S288" s="1"/>
      <c r="T288" s="1"/>
      <c r="U288" s="1"/>
      <c r="V288" s="1"/>
      <c r="W288" s="19"/>
      <c r="X288" s="22"/>
      <c r="Y288" s="22"/>
      <c r="AG288" s="27" t="str">
        <f t="shared" si="32"/>
        <v>GymboreeRetailCanada21</v>
      </c>
      <c r="AH288" s="1" t="s">
        <v>14</v>
      </c>
      <c r="AI288" s="1" t="s">
        <v>5</v>
      </c>
      <c r="AJ288" s="1" t="s">
        <v>308</v>
      </c>
      <c r="AK288" s="1">
        <v>21</v>
      </c>
      <c r="AL288" s="19">
        <v>0.6</v>
      </c>
      <c r="AN288" s="109" t="str">
        <f t="shared" si="33"/>
        <v>Janie &amp; JackUSARetailJJ 17 FEB EASTER GIFT LAY</v>
      </c>
      <c r="AO288" s="1" t="s">
        <v>32</v>
      </c>
      <c r="AP288" s="1" t="s">
        <v>5</v>
      </c>
      <c r="AQ288" s="1" t="s">
        <v>307</v>
      </c>
      <c r="AR288" s="1">
        <v>2017</v>
      </c>
      <c r="AS288" s="1" t="s">
        <v>16</v>
      </c>
      <c r="AT288" s="123" t="s">
        <v>190</v>
      </c>
      <c r="AU288" s="1">
        <v>39.229999999999997</v>
      </c>
      <c r="AV288" s="1">
        <v>8.5500000000000007</v>
      </c>
      <c r="AW288" s="1">
        <v>9948</v>
      </c>
      <c r="AX288" s="1">
        <v>0.38</v>
      </c>
      <c r="AY288" s="1">
        <v>201801</v>
      </c>
      <c r="AZ288" s="1">
        <v>8</v>
      </c>
      <c r="BA288" s="19"/>
    </row>
    <row r="289" spans="17:53" x14ac:dyDescent="0.25">
      <c r="Q289" s="109" t="str">
        <f t="shared" si="30"/>
        <v/>
      </c>
      <c r="R289" s="27" t="str">
        <f t="shared" si="31"/>
        <v/>
      </c>
      <c r="S289" s="1"/>
      <c r="T289" s="1"/>
      <c r="U289" s="1"/>
      <c r="V289" s="1"/>
      <c r="W289" s="19"/>
      <c r="X289" s="22"/>
      <c r="Y289" s="22"/>
      <c r="AG289" s="27" t="str">
        <f t="shared" si="32"/>
        <v>GymboreeRetailCanada22</v>
      </c>
      <c r="AH289" s="1" t="s">
        <v>14</v>
      </c>
      <c r="AI289" s="1" t="s">
        <v>5</v>
      </c>
      <c r="AJ289" s="1" t="s">
        <v>308</v>
      </c>
      <c r="AK289" s="1">
        <v>22</v>
      </c>
      <c r="AL289" s="19">
        <v>0.6</v>
      </c>
      <c r="AN289" s="109" t="str">
        <f t="shared" si="33"/>
        <v>Janie &amp; JackUSARetailJJ 17 MAR EASTER 2 A+B</v>
      </c>
      <c r="AO289" s="1" t="s">
        <v>32</v>
      </c>
      <c r="AP289" s="1" t="s">
        <v>5</v>
      </c>
      <c r="AQ289" s="1" t="s">
        <v>307</v>
      </c>
      <c r="AR289" s="1">
        <v>2017</v>
      </c>
      <c r="AS289" s="1" t="s">
        <v>16</v>
      </c>
      <c r="AT289" s="123" t="s">
        <v>194</v>
      </c>
      <c r="AU289" s="1">
        <v>38.520000000000003</v>
      </c>
      <c r="AV289" s="1">
        <v>7.1</v>
      </c>
      <c r="AW289" s="1">
        <v>124839</v>
      </c>
      <c r="AX289" s="1">
        <v>0.24</v>
      </c>
      <c r="AY289" s="1">
        <v>201803</v>
      </c>
      <c r="AZ289" s="1">
        <v>5</v>
      </c>
      <c r="BA289" s="19"/>
    </row>
    <row r="290" spans="17:53" x14ac:dyDescent="0.25">
      <c r="Q290" s="109" t="str">
        <f t="shared" si="30"/>
        <v/>
      </c>
      <c r="R290" s="27" t="str">
        <f t="shared" si="31"/>
        <v/>
      </c>
      <c r="S290" s="1"/>
      <c r="T290" s="1"/>
      <c r="U290" s="1"/>
      <c r="V290" s="1"/>
      <c r="W290" s="19"/>
      <c r="X290" s="22"/>
      <c r="Y290" s="22"/>
      <c r="AG290" s="27" t="str">
        <f t="shared" si="32"/>
        <v>GymboreeRetailCanada23</v>
      </c>
      <c r="AH290" s="1" t="s">
        <v>14</v>
      </c>
      <c r="AI290" s="1" t="s">
        <v>5</v>
      </c>
      <c r="AJ290" s="1" t="s">
        <v>308</v>
      </c>
      <c r="AK290" s="1">
        <v>23</v>
      </c>
      <c r="AL290" s="19">
        <v>0.65</v>
      </c>
      <c r="AN290" s="109" t="str">
        <f t="shared" si="33"/>
        <v>Janie &amp; JackUSARetailJJ 17 SPR SO REFRESH</v>
      </c>
      <c r="AO290" s="1" t="s">
        <v>32</v>
      </c>
      <c r="AP290" s="1" t="s">
        <v>5</v>
      </c>
      <c r="AQ290" s="1" t="s">
        <v>307</v>
      </c>
      <c r="AR290" s="1">
        <v>2017</v>
      </c>
      <c r="AS290" s="1" t="s">
        <v>16</v>
      </c>
      <c r="AT290" s="123" t="s">
        <v>170</v>
      </c>
      <c r="AU290" s="1">
        <v>111.41</v>
      </c>
      <c r="AV290" s="1">
        <v>27.77</v>
      </c>
      <c r="AW290" s="1">
        <v>551</v>
      </c>
      <c r="AX290" s="1">
        <v>0.2</v>
      </c>
      <c r="AY290" s="1">
        <v>201803</v>
      </c>
      <c r="AZ290" s="1">
        <v>8</v>
      </c>
      <c r="BA290" s="19"/>
    </row>
    <row r="291" spans="17:53" x14ac:dyDescent="0.25">
      <c r="Q291" s="109" t="str">
        <f t="shared" si="30"/>
        <v/>
      </c>
      <c r="R291" s="27" t="str">
        <f t="shared" si="31"/>
        <v/>
      </c>
      <c r="S291" s="1"/>
      <c r="T291" s="1"/>
      <c r="U291" s="1"/>
      <c r="V291" s="1"/>
      <c r="W291" s="19"/>
      <c r="X291" s="22"/>
      <c r="Y291" s="22"/>
      <c r="AG291" s="27" t="str">
        <f t="shared" si="32"/>
        <v>GymboreeRetailCanada24</v>
      </c>
      <c r="AH291" s="1" t="s">
        <v>14</v>
      </c>
      <c r="AI291" s="1" t="s">
        <v>5</v>
      </c>
      <c r="AJ291" s="1" t="s">
        <v>308</v>
      </c>
      <c r="AK291" s="1">
        <v>24</v>
      </c>
      <c r="AL291" s="19">
        <v>0.65</v>
      </c>
      <c r="AN291" s="109" t="str">
        <f t="shared" si="33"/>
        <v>Janie &amp; JackUSARetailJJ 17 FEB SPR 2</v>
      </c>
      <c r="AO291" s="1" t="s">
        <v>32</v>
      </c>
      <c r="AP291" s="1" t="s">
        <v>5</v>
      </c>
      <c r="AQ291" s="1" t="s">
        <v>307</v>
      </c>
      <c r="AR291" s="1">
        <v>2017</v>
      </c>
      <c r="AS291" s="1" t="s">
        <v>16</v>
      </c>
      <c r="AT291" s="123" t="s">
        <v>198</v>
      </c>
      <c r="AU291" s="1">
        <v>35.89</v>
      </c>
      <c r="AV291" s="1">
        <v>6.97</v>
      </c>
      <c r="AW291" s="1">
        <v>115109</v>
      </c>
      <c r="AX291" s="1">
        <v>0.22</v>
      </c>
      <c r="AY291" s="1">
        <v>201806</v>
      </c>
      <c r="AZ291" s="1">
        <v>5</v>
      </c>
      <c r="BA291" s="19"/>
    </row>
    <row r="292" spans="17:53" x14ac:dyDescent="0.25">
      <c r="Q292" s="109" t="str">
        <f t="shared" si="30"/>
        <v/>
      </c>
      <c r="R292" s="27" t="str">
        <f t="shared" si="31"/>
        <v/>
      </c>
      <c r="S292" s="1"/>
      <c r="T292" s="1"/>
      <c r="U292" s="1"/>
      <c r="V292" s="1"/>
      <c r="W292" s="19"/>
      <c r="X292" s="22"/>
      <c r="Y292" s="22"/>
      <c r="AG292" s="27" t="str">
        <f t="shared" si="32"/>
        <v>GymboreeRetailCanada25</v>
      </c>
      <c r="AH292" s="1" t="s">
        <v>14</v>
      </c>
      <c r="AI292" s="1" t="s">
        <v>5</v>
      </c>
      <c r="AJ292" s="1" t="s">
        <v>308</v>
      </c>
      <c r="AK292" s="1">
        <v>25</v>
      </c>
      <c r="AL292" s="19">
        <v>0.65</v>
      </c>
      <c r="AN292" s="109" t="str">
        <f t="shared" si="33"/>
        <v>Janie &amp; JackUSARetailJJ 17 APR LAY SWIM</v>
      </c>
      <c r="AO292" s="1" t="s">
        <v>32</v>
      </c>
      <c r="AP292" s="1" t="s">
        <v>5</v>
      </c>
      <c r="AQ292" s="1" t="s">
        <v>307</v>
      </c>
      <c r="AR292" s="1">
        <v>2017</v>
      </c>
      <c r="AS292" s="1" t="s">
        <v>16</v>
      </c>
      <c r="AT292" s="123" t="s">
        <v>175</v>
      </c>
      <c r="AU292" s="1">
        <v>27.31</v>
      </c>
      <c r="AV292" s="1">
        <v>5</v>
      </c>
      <c r="AW292" s="1">
        <v>13205</v>
      </c>
      <c r="AX292" s="1">
        <v>0.31</v>
      </c>
      <c r="AY292" s="1">
        <v>201806</v>
      </c>
      <c r="AZ292" s="1">
        <v>8</v>
      </c>
      <c r="BA292" s="19"/>
    </row>
    <row r="293" spans="17:53" x14ac:dyDescent="0.25">
      <c r="Q293" s="109" t="str">
        <f t="shared" si="30"/>
        <v/>
      </c>
      <c r="R293" s="27" t="str">
        <f t="shared" si="31"/>
        <v/>
      </c>
      <c r="S293" s="1"/>
      <c r="T293" s="1"/>
      <c r="U293" s="1"/>
      <c r="V293" s="1"/>
      <c r="W293" s="19"/>
      <c r="X293" s="22"/>
      <c r="Y293" s="22"/>
      <c r="AG293" s="27" t="str">
        <f t="shared" si="32"/>
        <v>GymboreeRetailCanada26</v>
      </c>
      <c r="AH293" s="1" t="s">
        <v>14</v>
      </c>
      <c r="AI293" s="1" t="s">
        <v>5</v>
      </c>
      <c r="AJ293" s="1" t="s">
        <v>308</v>
      </c>
      <c r="AK293" s="1">
        <v>26</v>
      </c>
      <c r="AL293" s="19">
        <v>0.7</v>
      </c>
      <c r="AN293" s="109" t="str">
        <f t="shared" si="33"/>
        <v>Janie &amp; JackUSARetail(new)</v>
      </c>
      <c r="AO293" s="1" t="s">
        <v>32</v>
      </c>
      <c r="AP293" s="1" t="s">
        <v>5</v>
      </c>
      <c r="AQ293" s="1" t="s">
        <v>307</v>
      </c>
      <c r="AR293" s="1">
        <v>2017</v>
      </c>
      <c r="AS293" s="1" t="s">
        <v>16</v>
      </c>
      <c r="AT293" s="123" t="s">
        <v>371</v>
      </c>
      <c r="AU293" s="1"/>
      <c r="AV293" s="1"/>
      <c r="AW293" s="1">
        <v>0</v>
      </c>
      <c r="AX293" s="1">
        <v>0.2</v>
      </c>
      <c r="AY293" s="1">
        <v>201807</v>
      </c>
      <c r="AZ293" s="1">
        <v>5</v>
      </c>
      <c r="BA293" s="19"/>
    </row>
    <row r="294" spans="17:53" x14ac:dyDescent="0.25">
      <c r="Q294" s="109" t="str">
        <f t="shared" si="30"/>
        <v/>
      </c>
      <c r="R294" s="27" t="str">
        <f t="shared" si="31"/>
        <v/>
      </c>
      <c r="S294" s="1"/>
      <c r="T294" s="1"/>
      <c r="U294" s="1"/>
      <c r="V294" s="1"/>
      <c r="W294" s="19"/>
      <c r="X294" s="22"/>
      <c r="Y294" s="22"/>
      <c r="AG294" s="27" t="str">
        <f t="shared" si="32"/>
        <v>GymboreeRetailCanada27</v>
      </c>
      <c r="AH294" s="1" t="s">
        <v>14</v>
      </c>
      <c r="AI294" s="1" t="s">
        <v>5</v>
      </c>
      <c r="AJ294" s="1" t="s">
        <v>308</v>
      </c>
      <c r="AK294" s="1">
        <v>27</v>
      </c>
      <c r="AL294" s="19">
        <v>0.7</v>
      </c>
      <c r="AN294" s="109" t="str">
        <f t="shared" si="33"/>
        <v>Janie &amp; JackUSARetailJJ 17 MAR SUMMER 0</v>
      </c>
      <c r="AO294" s="1" t="s">
        <v>32</v>
      </c>
      <c r="AP294" s="1" t="s">
        <v>5</v>
      </c>
      <c r="AQ294" s="1" t="s">
        <v>307</v>
      </c>
      <c r="AR294" s="1">
        <v>2017</v>
      </c>
      <c r="AS294" s="1" t="s">
        <v>18</v>
      </c>
      <c r="AT294" s="123" t="s">
        <v>202</v>
      </c>
      <c r="AU294" s="1">
        <v>35.32</v>
      </c>
      <c r="AV294" s="1">
        <v>6.51</v>
      </c>
      <c r="AW294" s="1">
        <v>74355</v>
      </c>
      <c r="AX294" s="1">
        <v>0.24</v>
      </c>
      <c r="AY294" s="1">
        <v>201809</v>
      </c>
      <c r="AZ294" s="1">
        <v>5</v>
      </c>
      <c r="BA294" s="19"/>
    </row>
    <row r="295" spans="17:53" x14ac:dyDescent="0.25">
      <c r="Q295" s="109" t="str">
        <f t="shared" si="30"/>
        <v/>
      </c>
      <c r="R295" s="27" t="str">
        <f t="shared" si="31"/>
        <v/>
      </c>
      <c r="S295" s="1"/>
      <c r="T295" s="1"/>
      <c r="U295" s="1"/>
      <c r="V295" s="1"/>
      <c r="W295" s="19"/>
      <c r="X295" s="22"/>
      <c r="Y295" s="22"/>
      <c r="AG295" s="27" t="str">
        <f t="shared" si="32"/>
        <v>GymboreeRetailCanada28</v>
      </c>
      <c r="AH295" s="1" t="s">
        <v>14</v>
      </c>
      <c r="AI295" s="1" t="s">
        <v>5</v>
      </c>
      <c r="AJ295" s="1" t="s">
        <v>308</v>
      </c>
      <c r="AK295" s="1">
        <v>28</v>
      </c>
      <c r="AL295" s="19">
        <v>0.7</v>
      </c>
      <c r="AN295" s="109" t="str">
        <f t="shared" si="33"/>
        <v>Janie &amp; JackUSARetailJJ 17 APR SMR 1 A+B</v>
      </c>
      <c r="AO295" s="1" t="s">
        <v>32</v>
      </c>
      <c r="AP295" s="1" t="s">
        <v>5</v>
      </c>
      <c r="AQ295" s="1" t="s">
        <v>307</v>
      </c>
      <c r="AR295" s="1">
        <v>2017</v>
      </c>
      <c r="AS295" s="1" t="s">
        <v>18</v>
      </c>
      <c r="AT295" s="123" t="s">
        <v>204</v>
      </c>
      <c r="AU295" s="1">
        <v>34.979999999999997</v>
      </c>
      <c r="AV295" s="1">
        <v>6.53</v>
      </c>
      <c r="AW295" s="1">
        <v>125479</v>
      </c>
      <c r="AX295" s="1">
        <v>0.23</v>
      </c>
      <c r="AY295" s="1">
        <v>201811</v>
      </c>
      <c r="AZ295" s="1">
        <v>5</v>
      </c>
      <c r="BA295" s="19"/>
    </row>
    <row r="296" spans="17:53" x14ac:dyDescent="0.25">
      <c r="Q296" s="109" t="str">
        <f t="shared" si="30"/>
        <v/>
      </c>
      <c r="R296" s="27" t="str">
        <f t="shared" si="31"/>
        <v/>
      </c>
      <c r="S296" s="1"/>
      <c r="T296" s="1"/>
      <c r="U296" s="1"/>
      <c r="V296" s="1"/>
      <c r="W296" s="19"/>
      <c r="X296" s="22"/>
      <c r="Y296" s="22"/>
      <c r="AG296" s="27" t="str">
        <f t="shared" si="32"/>
        <v>GymboreeRetailCanada29</v>
      </c>
      <c r="AH296" s="1" t="s">
        <v>14</v>
      </c>
      <c r="AI296" s="1" t="s">
        <v>5</v>
      </c>
      <c r="AJ296" s="1" t="s">
        <v>308</v>
      </c>
      <c r="AK296" s="1">
        <v>29</v>
      </c>
      <c r="AL296" s="19">
        <v>0.75</v>
      </c>
      <c r="AN296" s="109" t="str">
        <f t="shared" si="33"/>
        <v>Janie &amp; JackUSARetailJJ 17 SMR BASICS</v>
      </c>
      <c r="AO296" s="1" t="s">
        <v>32</v>
      </c>
      <c r="AP296" s="1" t="s">
        <v>5</v>
      </c>
      <c r="AQ296" s="1" t="s">
        <v>307</v>
      </c>
      <c r="AR296" s="1">
        <v>2017</v>
      </c>
      <c r="AS296" s="1" t="s">
        <v>18</v>
      </c>
      <c r="AT296" s="123" t="s">
        <v>172</v>
      </c>
      <c r="AU296" s="1">
        <v>47.23</v>
      </c>
      <c r="AV296" s="1">
        <v>8.67</v>
      </c>
      <c r="AW296" s="1">
        <v>4612</v>
      </c>
      <c r="AX296" s="1">
        <v>0.2</v>
      </c>
      <c r="AY296" s="1">
        <v>201811</v>
      </c>
      <c r="AZ296" s="1">
        <v>8</v>
      </c>
      <c r="BA296" s="19"/>
    </row>
    <row r="297" spans="17:53" x14ac:dyDescent="0.25">
      <c r="Q297" s="109" t="str">
        <f t="shared" si="30"/>
        <v/>
      </c>
      <c r="R297" s="27" t="str">
        <f t="shared" si="31"/>
        <v/>
      </c>
      <c r="S297" s="1"/>
      <c r="T297" s="1"/>
      <c r="U297" s="1"/>
      <c r="V297" s="1"/>
      <c r="W297" s="19"/>
      <c r="X297" s="22"/>
      <c r="Y297" s="22"/>
      <c r="AG297" s="27" t="str">
        <f t="shared" si="32"/>
        <v>GymboreeRetailCanada30</v>
      </c>
      <c r="AH297" s="1" t="s">
        <v>14</v>
      </c>
      <c r="AI297" s="1" t="s">
        <v>5</v>
      </c>
      <c r="AJ297" s="1" t="s">
        <v>308</v>
      </c>
      <c r="AK297" s="1">
        <v>30</v>
      </c>
      <c r="AL297" s="19">
        <v>0.75</v>
      </c>
      <c r="AN297" s="109" t="str">
        <f t="shared" si="33"/>
        <v>Janie &amp; JackUSARetail(new)</v>
      </c>
      <c r="AO297" s="1" t="s">
        <v>32</v>
      </c>
      <c r="AP297" s="1" t="s">
        <v>5</v>
      </c>
      <c r="AQ297" s="1" t="s">
        <v>307</v>
      </c>
      <c r="AR297" s="1">
        <v>2017</v>
      </c>
      <c r="AS297" s="1" t="s">
        <v>18</v>
      </c>
      <c r="AT297" s="123" t="s">
        <v>371</v>
      </c>
      <c r="AU297" s="1">
        <v>37.5</v>
      </c>
      <c r="AV297" s="1">
        <v>7</v>
      </c>
      <c r="AW297" s="1">
        <v>26844</v>
      </c>
      <c r="AX297" s="1">
        <v>0.2</v>
      </c>
      <c r="AY297" s="1">
        <v>201809</v>
      </c>
      <c r="AZ297" s="1">
        <v>5</v>
      </c>
      <c r="BA297" s="19"/>
    </row>
    <row r="298" spans="17:53" x14ac:dyDescent="0.25">
      <c r="Q298" s="109" t="str">
        <f t="shared" si="30"/>
        <v/>
      </c>
      <c r="R298" s="27" t="str">
        <f t="shared" si="31"/>
        <v/>
      </c>
      <c r="S298" s="29"/>
      <c r="T298" s="29"/>
      <c r="U298" s="29"/>
      <c r="V298" s="29"/>
      <c r="W298" s="26"/>
      <c r="X298" s="22"/>
      <c r="Y298" s="22"/>
      <c r="AG298" s="27" t="str">
        <f t="shared" si="32"/>
        <v>GymboreeRetailCanada31</v>
      </c>
      <c r="AH298" s="1" t="s">
        <v>14</v>
      </c>
      <c r="AI298" s="1" t="s">
        <v>5</v>
      </c>
      <c r="AJ298" s="1" t="s">
        <v>308</v>
      </c>
      <c r="AK298" s="1">
        <v>31</v>
      </c>
      <c r="AL298" s="19">
        <v>0.75</v>
      </c>
      <c r="AN298" s="109" t="str">
        <f t="shared" si="33"/>
        <v>Janie &amp; JackUSARetailJJ 17 SUMMER 2</v>
      </c>
      <c r="AO298" s="1" t="s">
        <v>32</v>
      </c>
      <c r="AP298" s="1" t="s">
        <v>5</v>
      </c>
      <c r="AQ298" s="1" t="s">
        <v>307</v>
      </c>
      <c r="AR298" s="1">
        <v>2017</v>
      </c>
      <c r="AS298" s="1" t="s">
        <v>18</v>
      </c>
      <c r="AT298" s="123" t="s">
        <v>206</v>
      </c>
      <c r="AU298" s="1">
        <v>36.75</v>
      </c>
      <c r="AV298" s="1">
        <v>6.46</v>
      </c>
      <c r="AW298" s="1">
        <v>108468</v>
      </c>
      <c r="AX298" s="1">
        <v>0.17</v>
      </c>
      <c r="AY298" s="1">
        <v>201813</v>
      </c>
      <c r="AZ298" s="1">
        <v>5</v>
      </c>
      <c r="BA298" s="19"/>
    </row>
    <row r="299" spans="17:53" x14ac:dyDescent="0.25">
      <c r="Q299" s="109" t="str">
        <f t="shared" si="30"/>
        <v/>
      </c>
      <c r="R299" s="27" t="str">
        <f t="shared" si="31"/>
        <v/>
      </c>
      <c r="X299" s="22"/>
      <c r="Y299" s="22"/>
      <c r="AG299" s="27" t="str">
        <f t="shared" si="32"/>
        <v>GymboreeRetailCanada32</v>
      </c>
      <c r="AH299" s="1" t="s">
        <v>14</v>
      </c>
      <c r="AI299" s="1" t="s">
        <v>5</v>
      </c>
      <c r="AJ299" s="1" t="s">
        <v>308</v>
      </c>
      <c r="AK299" s="1">
        <v>32</v>
      </c>
      <c r="AL299" s="19">
        <v>0.75</v>
      </c>
      <c r="AN299" s="109" t="str">
        <f t="shared" si="33"/>
        <v>Janie &amp; JackUSARetailJJ 17 4TH OF JULY</v>
      </c>
      <c r="AO299" s="1" t="s">
        <v>32</v>
      </c>
      <c r="AP299" s="1" t="s">
        <v>5</v>
      </c>
      <c r="AQ299" s="1" t="s">
        <v>307</v>
      </c>
      <c r="AR299" s="1">
        <v>2017</v>
      </c>
      <c r="AS299" s="1" t="s">
        <v>18</v>
      </c>
      <c r="AT299" s="123" t="s">
        <v>208</v>
      </c>
      <c r="AU299" s="1">
        <v>33.01</v>
      </c>
      <c r="AV299" s="1">
        <v>6.17</v>
      </c>
      <c r="AW299" s="1">
        <v>39819</v>
      </c>
      <c r="AX299" s="1">
        <v>0.16</v>
      </c>
      <c r="AY299" s="1">
        <v>201813</v>
      </c>
      <c r="AZ299" s="1">
        <v>5</v>
      </c>
      <c r="BA299" s="19"/>
    </row>
    <row r="300" spans="17:53" x14ac:dyDescent="0.25">
      <c r="Y300" s="22"/>
      <c r="AG300" s="27" t="str">
        <f t="shared" si="32"/>
        <v>GymboreeRetailCanada33</v>
      </c>
      <c r="AH300" s="1" t="s">
        <v>14</v>
      </c>
      <c r="AI300" s="1" t="s">
        <v>5</v>
      </c>
      <c r="AJ300" s="1" t="s">
        <v>308</v>
      </c>
      <c r="AK300" s="1">
        <v>33</v>
      </c>
      <c r="AL300" s="19">
        <v>0.8</v>
      </c>
      <c r="AN300" s="109" t="str">
        <f t="shared" si="33"/>
        <v>Janie &amp; JackUSARetailJJ 17 TRANS GIFTING LAY</v>
      </c>
      <c r="AO300" s="1" t="s">
        <v>32</v>
      </c>
      <c r="AP300" s="1" t="s">
        <v>5</v>
      </c>
      <c r="AQ300" s="1" t="s">
        <v>307</v>
      </c>
      <c r="AR300" s="1">
        <v>2017</v>
      </c>
      <c r="AS300" s="1" t="s">
        <v>18</v>
      </c>
      <c r="AT300" s="123" t="s">
        <v>218</v>
      </c>
      <c r="AU300" s="1">
        <v>35.97</v>
      </c>
      <c r="AV300" s="1">
        <v>7.7</v>
      </c>
      <c r="AW300" s="1">
        <v>11901</v>
      </c>
      <c r="AX300" s="1">
        <v>0.33</v>
      </c>
      <c r="AY300" s="1">
        <v>201813</v>
      </c>
      <c r="AZ300" s="1">
        <v>8</v>
      </c>
      <c r="BA300" s="19"/>
    </row>
    <row r="301" spans="17:53" x14ac:dyDescent="0.25">
      <c r="Y301" s="22"/>
      <c r="AG301" s="27" t="str">
        <f t="shared" si="32"/>
        <v>GymboreeRetailCanada34</v>
      </c>
      <c r="AH301" s="1" t="s">
        <v>14</v>
      </c>
      <c r="AI301" s="1" t="s">
        <v>5</v>
      </c>
      <c r="AJ301" s="1" t="s">
        <v>308</v>
      </c>
      <c r="AK301" s="1">
        <v>34</v>
      </c>
      <c r="AL301" s="19">
        <v>0.8</v>
      </c>
      <c r="AN301" s="109" t="str">
        <f t="shared" si="33"/>
        <v>Janie &amp; JackUSARetailJJ 17 SUMMER 3</v>
      </c>
      <c r="AO301" s="1" t="s">
        <v>32</v>
      </c>
      <c r="AP301" s="1" t="s">
        <v>5</v>
      </c>
      <c r="AQ301" s="1" t="s">
        <v>307</v>
      </c>
      <c r="AR301" s="1">
        <v>2017</v>
      </c>
      <c r="AS301" s="1" t="s">
        <v>18</v>
      </c>
      <c r="AT301" s="123" t="s">
        <v>211</v>
      </c>
      <c r="AU301" s="1">
        <v>36.58</v>
      </c>
      <c r="AV301" s="1">
        <v>6.73</v>
      </c>
      <c r="AW301" s="1">
        <v>121987</v>
      </c>
      <c r="AX301" s="1">
        <v>0.19</v>
      </c>
      <c r="AY301" s="1">
        <v>201815</v>
      </c>
      <c r="AZ301" s="1">
        <v>5</v>
      </c>
      <c r="BA301" s="19"/>
    </row>
    <row r="302" spans="17:53" x14ac:dyDescent="0.25">
      <c r="Y302" s="22"/>
      <c r="AG302" s="27" t="str">
        <f t="shared" si="32"/>
        <v>GymboreeRetailCanada35</v>
      </c>
      <c r="AH302" s="1" t="s">
        <v>14</v>
      </c>
      <c r="AI302" s="1" t="s">
        <v>5</v>
      </c>
      <c r="AJ302" s="1" t="s">
        <v>308</v>
      </c>
      <c r="AK302" s="1">
        <v>35</v>
      </c>
      <c r="AL302" s="19">
        <v>0.8</v>
      </c>
      <c r="AN302" s="109" t="str">
        <f t="shared" si="33"/>
        <v>Janie &amp; JackUSARetail(new)</v>
      </c>
      <c r="AO302" s="1" t="s">
        <v>32</v>
      </c>
      <c r="AP302" s="1" t="s">
        <v>5</v>
      </c>
      <c r="AQ302" s="1" t="s">
        <v>307</v>
      </c>
      <c r="AR302" s="1">
        <v>2017</v>
      </c>
      <c r="AS302" s="1" t="s">
        <v>18</v>
      </c>
      <c r="AT302" s="123" t="s">
        <v>371</v>
      </c>
      <c r="AU302" s="1">
        <v>27.75</v>
      </c>
      <c r="AV302" s="1">
        <v>4.9000000000000004</v>
      </c>
      <c r="AW302" s="1">
        <v>25581</v>
      </c>
      <c r="AX302" s="1">
        <v>0.14000000000000001</v>
      </c>
      <c r="AY302" s="1">
        <v>201815</v>
      </c>
      <c r="AZ302" s="1">
        <v>5</v>
      </c>
      <c r="BA302" s="19"/>
    </row>
    <row r="303" spans="17:53" x14ac:dyDescent="0.25">
      <c r="Y303" s="22"/>
      <c r="AG303" s="27" t="str">
        <f t="shared" si="32"/>
        <v>GymboreeRetailCanada36</v>
      </c>
      <c r="AH303" s="1" t="s">
        <v>14</v>
      </c>
      <c r="AI303" s="1" t="s">
        <v>5</v>
      </c>
      <c r="AJ303" s="1" t="s">
        <v>308</v>
      </c>
      <c r="AK303" s="1">
        <v>36</v>
      </c>
      <c r="AL303" s="19">
        <v>0.8</v>
      </c>
      <c r="AN303" s="109" t="str">
        <f t="shared" si="33"/>
        <v>Janie &amp; JackUSARetailJJ 17 SUMMER 4</v>
      </c>
      <c r="AO303" s="1" t="s">
        <v>32</v>
      </c>
      <c r="AP303" s="1" t="s">
        <v>5</v>
      </c>
      <c r="AQ303" s="1" t="s">
        <v>307</v>
      </c>
      <c r="AR303" s="1">
        <v>2017</v>
      </c>
      <c r="AS303" s="1" t="s">
        <v>18</v>
      </c>
      <c r="AT303" s="123" t="s">
        <v>213</v>
      </c>
      <c r="AU303" s="1">
        <v>35.619999999999997</v>
      </c>
      <c r="AV303" s="1">
        <v>6.19</v>
      </c>
      <c r="AW303" s="1">
        <v>64387</v>
      </c>
      <c r="AX303" s="1">
        <v>0.14000000000000001</v>
      </c>
      <c r="AY303" s="1">
        <v>201817</v>
      </c>
      <c r="AZ303" s="1">
        <v>5</v>
      </c>
      <c r="BA303" s="19"/>
    </row>
    <row r="304" spans="17:53" x14ac:dyDescent="0.25">
      <c r="Y304" s="22"/>
      <c r="AG304" s="27" t="str">
        <f t="shared" si="32"/>
        <v>GymboreeRetailCanada37</v>
      </c>
      <c r="AH304" s="1" t="s">
        <v>14</v>
      </c>
      <c r="AI304" s="1" t="s">
        <v>5</v>
      </c>
      <c r="AJ304" s="1" t="s">
        <v>308</v>
      </c>
      <c r="AK304" s="1">
        <v>37</v>
      </c>
      <c r="AL304" s="19">
        <v>0.8</v>
      </c>
      <c r="AN304" s="109" t="str">
        <f t="shared" si="33"/>
        <v>Janie &amp; JackUSARetailJJ 17 JULY TRANS 1</v>
      </c>
      <c r="AO304" s="1" t="s">
        <v>32</v>
      </c>
      <c r="AP304" s="1" t="s">
        <v>5</v>
      </c>
      <c r="AQ304" s="1" t="s">
        <v>307</v>
      </c>
      <c r="AR304" s="1">
        <v>2017</v>
      </c>
      <c r="AS304" s="1" t="s">
        <v>18</v>
      </c>
      <c r="AT304" s="123" t="s">
        <v>215</v>
      </c>
      <c r="AU304" s="1">
        <v>37.36</v>
      </c>
      <c r="AV304" s="1">
        <v>6.79</v>
      </c>
      <c r="AW304" s="1">
        <v>93271</v>
      </c>
      <c r="AX304" s="1">
        <v>0.2</v>
      </c>
      <c r="AY304" s="1">
        <v>201819</v>
      </c>
      <c r="AZ304" s="1">
        <v>5</v>
      </c>
      <c r="BA304" s="19"/>
    </row>
    <row r="305" spans="25:53" x14ac:dyDescent="0.25">
      <c r="Y305" s="22"/>
      <c r="AG305" s="27" t="str">
        <f t="shared" si="32"/>
        <v>GymboreeRetailCanada38</v>
      </c>
      <c r="AH305" s="1" t="s">
        <v>14</v>
      </c>
      <c r="AI305" s="1" t="s">
        <v>5</v>
      </c>
      <c r="AJ305" s="1" t="s">
        <v>308</v>
      </c>
      <c r="AK305" s="1">
        <v>38</v>
      </c>
      <c r="AL305" s="19">
        <v>0.8</v>
      </c>
      <c r="AN305" s="109" t="str">
        <f t="shared" si="33"/>
        <v>Janie &amp; JackUSARetailJJ 17 TRANS 2</v>
      </c>
      <c r="AO305" s="1" t="s">
        <v>32</v>
      </c>
      <c r="AP305" s="1" t="s">
        <v>5</v>
      </c>
      <c r="AQ305" s="1" t="s">
        <v>307</v>
      </c>
      <c r="AR305" s="1">
        <v>2017</v>
      </c>
      <c r="AS305" s="1" t="s">
        <v>18</v>
      </c>
      <c r="AT305" s="123" t="s">
        <v>155</v>
      </c>
      <c r="AU305" s="1">
        <v>34.82</v>
      </c>
      <c r="AV305" s="1">
        <v>6.28</v>
      </c>
      <c r="AW305" s="1">
        <v>108847</v>
      </c>
      <c r="AX305" s="1">
        <v>0.16</v>
      </c>
      <c r="AY305" s="1">
        <v>201822</v>
      </c>
      <c r="AZ305" s="1">
        <v>5</v>
      </c>
      <c r="BA305" s="19"/>
    </row>
    <row r="306" spans="25:53" x14ac:dyDescent="0.25">
      <c r="Y306" s="22"/>
      <c r="AG306" s="27" t="str">
        <f t="shared" si="32"/>
        <v>GymboreeRetailCanada39</v>
      </c>
      <c r="AH306" s="1" t="s">
        <v>14</v>
      </c>
      <c r="AI306" s="1" t="s">
        <v>5</v>
      </c>
      <c r="AJ306" s="1" t="s">
        <v>308</v>
      </c>
      <c r="AK306" s="1">
        <v>39</v>
      </c>
      <c r="AL306" s="19">
        <v>0.8</v>
      </c>
      <c r="AN306" s="109" t="str">
        <f t="shared" si="33"/>
        <v>Janie &amp; JackUSARetail(new)</v>
      </c>
      <c r="AO306" s="1" t="s">
        <v>32</v>
      </c>
      <c r="AP306" s="1" t="s">
        <v>5</v>
      </c>
      <c r="AQ306" s="1" t="s">
        <v>307</v>
      </c>
      <c r="AR306" s="1">
        <v>2017</v>
      </c>
      <c r="AS306" s="1" t="s">
        <v>18</v>
      </c>
      <c r="AT306" s="123" t="s">
        <v>371</v>
      </c>
      <c r="AU306" s="1">
        <v>28.66</v>
      </c>
      <c r="AV306" s="1">
        <v>5.89</v>
      </c>
      <c r="AW306" s="1">
        <v>86589</v>
      </c>
      <c r="AX306" s="1">
        <v>0.19</v>
      </c>
      <c r="AY306" s="1">
        <v>201824</v>
      </c>
      <c r="AZ306" s="1">
        <v>13</v>
      </c>
      <c r="BA306" s="19"/>
    </row>
    <row r="307" spans="25:53" x14ac:dyDescent="0.25">
      <c r="Y307" s="22"/>
      <c r="AG307" s="27" t="str">
        <f t="shared" si="32"/>
        <v>GymboreeRetailCanada40</v>
      </c>
      <c r="AH307" s="1" t="s">
        <v>14</v>
      </c>
      <c r="AI307" s="1" t="s">
        <v>5</v>
      </c>
      <c r="AJ307" s="1" t="s">
        <v>308</v>
      </c>
      <c r="AK307" s="1">
        <v>40</v>
      </c>
      <c r="AL307" s="19">
        <v>0.8</v>
      </c>
      <c r="AN307" s="109" t="str">
        <f t="shared" si="33"/>
        <v>Janie &amp; JackUSARetailJJ 17 SO SB2</v>
      </c>
      <c r="AO307" s="1" t="s">
        <v>32</v>
      </c>
      <c r="AP307" s="1" t="s">
        <v>5</v>
      </c>
      <c r="AQ307" s="1" t="s">
        <v>307</v>
      </c>
      <c r="AR307" s="1">
        <v>2017</v>
      </c>
      <c r="AS307" s="1" t="s">
        <v>18</v>
      </c>
      <c r="AT307" s="123" t="s">
        <v>179</v>
      </c>
      <c r="AU307" s="1">
        <v>57.03</v>
      </c>
      <c r="AV307" s="1">
        <v>12.02</v>
      </c>
      <c r="AW307" s="1">
        <v>17808</v>
      </c>
      <c r="AX307" s="1">
        <v>0.23</v>
      </c>
      <c r="AY307" s="1">
        <v>201824</v>
      </c>
      <c r="AZ307" s="1">
        <v>13</v>
      </c>
      <c r="BA307" s="19"/>
    </row>
    <row r="308" spans="25:53" x14ac:dyDescent="0.25">
      <c r="Y308" s="22"/>
      <c r="AG308" s="27" t="str">
        <f t="shared" si="32"/>
        <v>GymboreeRetailCanada41</v>
      </c>
      <c r="AH308" s="1" t="s">
        <v>14</v>
      </c>
      <c r="AI308" s="1" t="s">
        <v>5</v>
      </c>
      <c r="AJ308" s="1" t="s">
        <v>308</v>
      </c>
      <c r="AK308" s="1">
        <v>41</v>
      </c>
      <c r="AL308" s="19">
        <v>0.8</v>
      </c>
      <c r="AN308" s="109" t="str">
        <f t="shared" si="33"/>
        <v>Janie &amp; JackUSARetailJJ 17 JULY TRANS 3 GIRL ONLY</v>
      </c>
      <c r="AO308" s="1" t="s">
        <v>32</v>
      </c>
      <c r="AP308" s="1" t="s">
        <v>5</v>
      </c>
      <c r="AQ308" s="1" t="s">
        <v>307</v>
      </c>
      <c r="AR308" s="1">
        <v>2017</v>
      </c>
      <c r="AS308" s="1" t="s">
        <v>18</v>
      </c>
      <c r="AT308" s="123" t="s">
        <v>157</v>
      </c>
      <c r="AU308" s="1">
        <v>41.81</v>
      </c>
      <c r="AV308" s="1">
        <v>7.73</v>
      </c>
      <c r="AW308" s="1">
        <v>39787</v>
      </c>
      <c r="AX308" s="1">
        <v>0.24</v>
      </c>
      <c r="AY308" s="1">
        <v>201824</v>
      </c>
      <c r="AZ308" s="1">
        <v>5</v>
      </c>
      <c r="BA308" s="19"/>
    </row>
    <row r="309" spans="25:53" x14ac:dyDescent="0.25">
      <c r="Y309" s="22"/>
      <c r="AG309" s="27" t="str">
        <f t="shared" si="32"/>
        <v>GymboreeRetailCanada42</v>
      </c>
      <c r="AH309" s="1" t="s">
        <v>14</v>
      </c>
      <c r="AI309" s="1" t="s">
        <v>5</v>
      </c>
      <c r="AJ309" s="1" t="s">
        <v>308</v>
      </c>
      <c r="AK309" s="1">
        <v>42</v>
      </c>
      <c r="AL309" s="19">
        <v>0.8</v>
      </c>
      <c r="AN309" s="109" t="str">
        <f t="shared" si="33"/>
        <v>Janie &amp; JackUSARetail(new)</v>
      </c>
      <c r="AO309" s="1" t="s">
        <v>32</v>
      </c>
      <c r="AP309" s="1" t="s">
        <v>5</v>
      </c>
      <c r="AQ309" s="1" t="s">
        <v>307</v>
      </c>
      <c r="AR309" s="1">
        <v>2017</v>
      </c>
      <c r="AS309" s="1" t="s">
        <v>18</v>
      </c>
      <c r="AT309" s="123" t="s">
        <v>371</v>
      </c>
      <c r="AU309" s="1">
        <v>34.630000000000003</v>
      </c>
      <c r="AV309" s="1">
        <v>6.69</v>
      </c>
      <c r="AW309" s="1">
        <v>38700</v>
      </c>
      <c r="AX309" s="1">
        <v>0.17</v>
      </c>
      <c r="AY309" s="1">
        <v>201819</v>
      </c>
      <c r="AZ309" s="1">
        <v>5</v>
      </c>
      <c r="BA309" s="19"/>
    </row>
    <row r="310" spans="25:53" x14ac:dyDescent="0.25">
      <c r="Y310" s="22"/>
      <c r="AG310" s="27" t="str">
        <f t="shared" si="32"/>
        <v>GymboreeRetailCanada43</v>
      </c>
      <c r="AH310" s="1" t="s">
        <v>14</v>
      </c>
      <c r="AI310" s="1" t="s">
        <v>5</v>
      </c>
      <c r="AJ310" s="1" t="s">
        <v>308</v>
      </c>
      <c r="AK310" s="1">
        <v>43</v>
      </c>
      <c r="AL310" s="19">
        <v>0.8</v>
      </c>
      <c r="AN310" s="109" t="str">
        <f t="shared" si="33"/>
        <v>Janie &amp; JackUSARetailJJ 17 FALL GIFTING LAY</v>
      </c>
      <c r="AO310" s="1" t="s">
        <v>32</v>
      </c>
      <c r="AP310" s="1" t="s">
        <v>5</v>
      </c>
      <c r="AQ310" s="1" t="s">
        <v>307</v>
      </c>
      <c r="AR310" s="1">
        <v>2017</v>
      </c>
      <c r="AS310" s="1" t="s">
        <v>18</v>
      </c>
      <c r="AT310" s="123" t="s">
        <v>347</v>
      </c>
      <c r="AU310" s="1">
        <v>34.520000000000003</v>
      </c>
      <c r="AV310" s="1">
        <v>8.41</v>
      </c>
      <c r="AW310" s="1">
        <v>23150</v>
      </c>
      <c r="AX310" s="1">
        <v>0.2</v>
      </c>
      <c r="AY310" s="1">
        <v>201824</v>
      </c>
      <c r="AZ310" s="1">
        <v>8</v>
      </c>
      <c r="BA310" s="19"/>
    </row>
    <row r="311" spans="25:53" x14ac:dyDescent="0.25">
      <c r="AG311" s="27" t="str">
        <f t="shared" si="32"/>
        <v>GymboreeRetailCanada44</v>
      </c>
      <c r="AH311" s="1" t="s">
        <v>14</v>
      </c>
      <c r="AI311" s="1" t="s">
        <v>5</v>
      </c>
      <c r="AJ311" s="1" t="s">
        <v>308</v>
      </c>
      <c r="AK311" s="1">
        <v>44</v>
      </c>
      <c r="AL311" s="19">
        <v>0.8</v>
      </c>
      <c r="AN311" s="109" t="str">
        <f t="shared" si="33"/>
        <v>Janie &amp; JackUSAWebJJ 3RD PARTY</v>
      </c>
      <c r="AO311" s="1" t="s">
        <v>32</v>
      </c>
      <c r="AP311" s="1" t="s">
        <v>15</v>
      </c>
      <c r="AQ311" s="1" t="s">
        <v>307</v>
      </c>
      <c r="AR311" s="1">
        <v>2017</v>
      </c>
      <c r="AS311" s="1" t="s">
        <v>35</v>
      </c>
      <c r="AT311" s="123" t="s">
        <v>302</v>
      </c>
      <c r="AU311" s="1">
        <v>55</v>
      </c>
      <c r="AV311" s="1">
        <v>24.32</v>
      </c>
      <c r="AW311" s="1">
        <v>550</v>
      </c>
      <c r="AX311" s="1">
        <v>0.2</v>
      </c>
      <c r="AY311" s="1">
        <v>201801</v>
      </c>
      <c r="AZ311" s="1">
        <v>13</v>
      </c>
      <c r="BA311" s="19"/>
    </row>
    <row r="312" spans="25:53" x14ac:dyDescent="0.25">
      <c r="AG312" s="27" t="str">
        <f t="shared" si="32"/>
        <v>GymboreeRetailCanada45</v>
      </c>
      <c r="AH312" s="1" t="s">
        <v>14</v>
      </c>
      <c r="AI312" s="1" t="s">
        <v>5</v>
      </c>
      <c r="AJ312" s="1" t="s">
        <v>308</v>
      </c>
      <c r="AK312" s="1">
        <v>45</v>
      </c>
      <c r="AL312" s="19">
        <v>0.8</v>
      </c>
      <c r="AN312" s="109" t="str">
        <f t="shared" si="33"/>
        <v>Janie &amp; JackUSAWebJJ 17 SB2</v>
      </c>
      <c r="AO312" s="1" t="s">
        <v>32</v>
      </c>
      <c r="AP312" s="1" t="s">
        <v>15</v>
      </c>
      <c r="AQ312" s="1" t="s">
        <v>307</v>
      </c>
      <c r="AR312" s="1">
        <v>2017</v>
      </c>
      <c r="AS312" s="1" t="s">
        <v>35</v>
      </c>
      <c r="AT312" s="123" t="s">
        <v>177</v>
      </c>
      <c r="AU312" s="1">
        <v>40.1</v>
      </c>
      <c r="AV312" s="1">
        <v>8.6199999999999992</v>
      </c>
      <c r="AW312" s="1">
        <v>25407</v>
      </c>
      <c r="AX312" s="1">
        <v>0.08</v>
      </c>
      <c r="AY312" s="1">
        <v>201821</v>
      </c>
      <c r="AZ312" s="1">
        <v>13</v>
      </c>
      <c r="BA312" s="19"/>
    </row>
    <row r="313" spans="25:53" x14ac:dyDescent="0.25">
      <c r="AG313" s="27" t="str">
        <f t="shared" si="32"/>
        <v>GymboreeRetailCanada46</v>
      </c>
      <c r="AH313" s="1" t="s">
        <v>14</v>
      </c>
      <c r="AI313" s="1" t="s">
        <v>5</v>
      </c>
      <c r="AJ313" s="1" t="s">
        <v>308</v>
      </c>
      <c r="AK313" s="1">
        <v>46</v>
      </c>
      <c r="AL313" s="19">
        <v>0.8</v>
      </c>
      <c r="AN313" s="109" t="str">
        <f t="shared" si="33"/>
        <v>Janie &amp; JackUSAWebJJ 17 FALL 0</v>
      </c>
      <c r="AO313" s="1" t="s">
        <v>32</v>
      </c>
      <c r="AP313" s="1" t="s">
        <v>15</v>
      </c>
      <c r="AQ313" s="1" t="s">
        <v>307</v>
      </c>
      <c r="AR313" s="1">
        <v>2017</v>
      </c>
      <c r="AS313" s="1" t="s">
        <v>33</v>
      </c>
      <c r="AT313" s="123" t="s">
        <v>159</v>
      </c>
      <c r="AU313" s="1">
        <v>38.53</v>
      </c>
      <c r="AV313" s="1">
        <v>7.15</v>
      </c>
      <c r="AW313" s="1">
        <v>124851</v>
      </c>
      <c r="AX313" s="1">
        <v>0.12</v>
      </c>
      <c r="AY313" s="1">
        <v>201825</v>
      </c>
      <c r="AZ313" s="1">
        <v>5</v>
      </c>
      <c r="BA313" s="19"/>
    </row>
    <row r="314" spans="25:53" x14ac:dyDescent="0.25">
      <c r="AG314" s="27" t="str">
        <f t="shared" si="32"/>
        <v>GymboreeRetailCanada47</v>
      </c>
      <c r="AH314" s="1" t="s">
        <v>14</v>
      </c>
      <c r="AI314" s="1" t="s">
        <v>5</v>
      </c>
      <c r="AJ314" s="1" t="s">
        <v>308</v>
      </c>
      <c r="AK314" s="1">
        <v>47</v>
      </c>
      <c r="AL314" s="19">
        <v>0.8</v>
      </c>
      <c r="AN314" s="109" t="str">
        <f t="shared" si="33"/>
        <v>Janie &amp; JackUSAWeb(new)</v>
      </c>
      <c r="AO314" s="1" t="s">
        <v>32</v>
      </c>
      <c r="AP314" s="1" t="s">
        <v>15</v>
      </c>
      <c r="AQ314" s="1" t="s">
        <v>307</v>
      </c>
      <c r="AR314" s="1">
        <v>2017</v>
      </c>
      <c r="AS314" s="1" t="s">
        <v>16</v>
      </c>
      <c r="AT314" s="123" t="s">
        <v>371</v>
      </c>
      <c r="AU314" s="1">
        <v>29.09</v>
      </c>
      <c r="AV314" s="1">
        <v>5.62</v>
      </c>
      <c r="AW314" s="1">
        <v>24711</v>
      </c>
      <c r="AX314" s="1">
        <v>0.2</v>
      </c>
      <c r="AY314" s="1">
        <v>201750</v>
      </c>
      <c r="AZ314" s="1">
        <v>13</v>
      </c>
      <c r="BA314" s="19"/>
    </row>
    <row r="315" spans="25:53" x14ac:dyDescent="0.25">
      <c r="AG315" s="27" t="str">
        <f t="shared" si="32"/>
        <v>GymboreeRetailCanada48</v>
      </c>
      <c r="AH315" s="1" t="s">
        <v>14</v>
      </c>
      <c r="AI315" s="1" t="s">
        <v>5</v>
      </c>
      <c r="AJ315" s="1" t="s">
        <v>308</v>
      </c>
      <c r="AK315" s="1">
        <v>48</v>
      </c>
      <c r="AL315" s="19">
        <v>0.8</v>
      </c>
      <c r="AN315" s="109" t="str">
        <f t="shared" si="33"/>
        <v>Janie &amp; JackUSAWebJJ 17 DEC SWIM</v>
      </c>
      <c r="AO315" s="1" t="s">
        <v>32</v>
      </c>
      <c r="AP315" s="1" t="s">
        <v>15</v>
      </c>
      <c r="AQ315" s="1" t="s">
        <v>307</v>
      </c>
      <c r="AR315" s="1">
        <v>2017</v>
      </c>
      <c r="AS315" s="1" t="s">
        <v>16</v>
      </c>
      <c r="AT315" s="123" t="s">
        <v>162</v>
      </c>
      <c r="AU315" s="1">
        <v>35.35</v>
      </c>
      <c r="AV315" s="1">
        <v>6.49</v>
      </c>
      <c r="AW315" s="1">
        <v>26680</v>
      </c>
      <c r="AX315" s="1">
        <v>0.2</v>
      </c>
      <c r="AY315" s="1">
        <v>201743</v>
      </c>
      <c r="AZ315" s="1">
        <v>9</v>
      </c>
      <c r="BA315" s="19"/>
    </row>
    <row r="316" spans="25:53" x14ac:dyDescent="0.25">
      <c r="AG316" s="27" t="str">
        <f t="shared" si="32"/>
        <v>GymboreeRetailCanada49</v>
      </c>
      <c r="AH316" s="1" t="s">
        <v>14</v>
      </c>
      <c r="AI316" s="1" t="s">
        <v>5</v>
      </c>
      <c r="AJ316" s="1" t="s">
        <v>308</v>
      </c>
      <c r="AK316" s="1">
        <v>49</v>
      </c>
      <c r="AL316" s="19">
        <v>0.8</v>
      </c>
      <c r="AN316" s="109" t="str">
        <f t="shared" si="33"/>
        <v>Janie &amp; JackUSAWebJJ 17 DEC VDAY</v>
      </c>
      <c r="AO316" s="1" t="s">
        <v>32</v>
      </c>
      <c r="AP316" s="1" t="s">
        <v>15</v>
      </c>
      <c r="AQ316" s="1" t="s">
        <v>307</v>
      </c>
      <c r="AR316" s="1">
        <v>2017</v>
      </c>
      <c r="AS316" s="1" t="s">
        <v>16</v>
      </c>
      <c r="AT316" s="123" t="s">
        <v>184</v>
      </c>
      <c r="AU316" s="1">
        <v>36.29</v>
      </c>
      <c r="AV316" s="1">
        <v>6.73</v>
      </c>
      <c r="AW316" s="1">
        <v>15728</v>
      </c>
      <c r="AX316" s="1">
        <v>0.2</v>
      </c>
      <c r="AY316" s="1">
        <v>201748</v>
      </c>
      <c r="AZ316" s="1">
        <v>6</v>
      </c>
      <c r="BA316" s="19"/>
    </row>
    <row r="317" spans="25:53" x14ac:dyDescent="0.25">
      <c r="AG317" s="27" t="str">
        <f t="shared" si="32"/>
        <v>GymboreeRetailCanada50</v>
      </c>
      <c r="AH317" s="1" t="s">
        <v>14</v>
      </c>
      <c r="AI317" s="1" t="s">
        <v>5</v>
      </c>
      <c r="AJ317" s="1" t="s">
        <v>308</v>
      </c>
      <c r="AK317" s="1">
        <v>50</v>
      </c>
      <c r="AL317" s="19">
        <v>0.8</v>
      </c>
      <c r="AN317" s="109" t="str">
        <f t="shared" si="33"/>
        <v>Janie &amp; JackUSAWebJJ 17 DEC RESORT 2</v>
      </c>
      <c r="AO317" s="1" t="s">
        <v>32</v>
      </c>
      <c r="AP317" s="1" t="s">
        <v>15</v>
      </c>
      <c r="AQ317" s="1" t="s">
        <v>307</v>
      </c>
      <c r="AR317" s="1">
        <v>2017</v>
      </c>
      <c r="AS317" s="1" t="s">
        <v>16</v>
      </c>
      <c r="AT317" s="123" t="s">
        <v>186</v>
      </c>
      <c r="AU317" s="1">
        <v>36.85</v>
      </c>
      <c r="AV317" s="1">
        <v>6.57</v>
      </c>
      <c r="AW317" s="1">
        <v>27520</v>
      </c>
      <c r="AX317" s="1">
        <v>0.2</v>
      </c>
      <c r="AY317" s="1">
        <v>201747</v>
      </c>
      <c r="AZ317" s="1">
        <v>6</v>
      </c>
      <c r="BA317" s="19"/>
    </row>
    <row r="318" spans="25:53" x14ac:dyDescent="0.25">
      <c r="AG318" s="27" t="str">
        <f t="shared" si="32"/>
        <v>GymboreeRetailCanada51</v>
      </c>
      <c r="AH318" s="1" t="s">
        <v>14</v>
      </c>
      <c r="AI318" s="1" t="s">
        <v>5</v>
      </c>
      <c r="AJ318" s="1" t="s">
        <v>308</v>
      </c>
      <c r="AK318" s="1">
        <v>51</v>
      </c>
      <c r="AL318" s="19">
        <v>0.8</v>
      </c>
      <c r="AN318" s="109" t="str">
        <f t="shared" si="33"/>
        <v>Janie &amp; JackUSAWebJJ 17 JAN SPRING TRANS</v>
      </c>
      <c r="AO318" s="1" t="s">
        <v>32</v>
      </c>
      <c r="AP318" s="1" t="s">
        <v>15</v>
      </c>
      <c r="AQ318" s="1" t="s">
        <v>307</v>
      </c>
      <c r="AR318" s="1">
        <v>2017</v>
      </c>
      <c r="AS318" s="1" t="s">
        <v>16</v>
      </c>
      <c r="AT318" s="123" t="s">
        <v>192</v>
      </c>
      <c r="AU318" s="1">
        <v>40.090000000000003</v>
      </c>
      <c r="AV318" s="1">
        <v>6.81</v>
      </c>
      <c r="AW318" s="1">
        <v>70647</v>
      </c>
      <c r="AX318" s="1">
        <v>0.2</v>
      </c>
      <c r="AY318" s="1">
        <v>201748</v>
      </c>
      <c r="AZ318" s="1">
        <v>6</v>
      </c>
      <c r="BA318" s="19"/>
    </row>
    <row r="319" spans="25:53" x14ac:dyDescent="0.25">
      <c r="AG319" s="27" t="str">
        <f t="shared" si="32"/>
        <v>GymboreeRetailCanada52</v>
      </c>
      <c r="AH319" s="1" t="s">
        <v>14</v>
      </c>
      <c r="AI319" s="1" t="s">
        <v>5</v>
      </c>
      <c r="AJ319" s="1" t="s">
        <v>308</v>
      </c>
      <c r="AK319" s="1">
        <v>52</v>
      </c>
      <c r="AL319" s="19">
        <v>0.8</v>
      </c>
      <c r="AN319" s="109" t="str">
        <f t="shared" si="33"/>
        <v>Janie &amp; JackUSAWebJJ 17 SB1/YEARLY BASICS</v>
      </c>
      <c r="AO319" s="1" t="s">
        <v>32</v>
      </c>
      <c r="AP319" s="1" t="s">
        <v>15</v>
      </c>
      <c r="AQ319" s="1" t="s">
        <v>307</v>
      </c>
      <c r="AR319" s="1">
        <v>2017</v>
      </c>
      <c r="AS319" s="1" t="s">
        <v>16</v>
      </c>
      <c r="AT319" s="123" t="s">
        <v>164</v>
      </c>
      <c r="AU319" s="1">
        <v>23.36</v>
      </c>
      <c r="AV319" s="1">
        <v>4.76</v>
      </c>
      <c r="AW319" s="1">
        <v>10803</v>
      </c>
      <c r="AX319" s="1">
        <v>0.2</v>
      </c>
      <c r="AY319" s="1">
        <v>201748</v>
      </c>
      <c r="AZ319" s="1">
        <v>13</v>
      </c>
      <c r="BA319" s="19"/>
    </row>
    <row r="320" spans="25:53" x14ac:dyDescent="0.25">
      <c r="AG320" s="27" t="str">
        <f t="shared" si="32"/>
        <v>GymboreeRetailCanada53</v>
      </c>
      <c r="AH320" s="1" t="s">
        <v>14</v>
      </c>
      <c r="AI320" s="1" t="s">
        <v>5</v>
      </c>
      <c r="AJ320" s="1" t="s">
        <v>308</v>
      </c>
      <c r="AK320" s="1">
        <v>53</v>
      </c>
      <c r="AL320" s="19">
        <v>0.8</v>
      </c>
      <c r="AN320" s="109" t="str">
        <f t="shared" si="33"/>
        <v>Janie &amp; JackUSAWebJJ 17 JAN SWIM 2</v>
      </c>
      <c r="AO320" s="1" t="s">
        <v>32</v>
      </c>
      <c r="AP320" s="1" t="s">
        <v>15</v>
      </c>
      <c r="AQ320" s="1" t="s">
        <v>307</v>
      </c>
      <c r="AR320" s="1">
        <v>2017</v>
      </c>
      <c r="AS320" s="1" t="s">
        <v>16</v>
      </c>
      <c r="AT320" s="123" t="s">
        <v>166</v>
      </c>
      <c r="AU320" s="1">
        <v>33.43</v>
      </c>
      <c r="AV320" s="1">
        <v>5.85</v>
      </c>
      <c r="AW320" s="1">
        <v>49109</v>
      </c>
      <c r="AX320" s="1">
        <v>0.2</v>
      </c>
      <c r="AY320" s="1">
        <v>201748</v>
      </c>
      <c r="AZ320" s="1">
        <v>9</v>
      </c>
      <c r="BA320" s="19"/>
    </row>
    <row r="321" spans="33:53" x14ac:dyDescent="0.25">
      <c r="AG321" s="27" t="str">
        <f t="shared" si="32"/>
        <v>GymboreeWebUSA1</v>
      </c>
      <c r="AH321" s="1" t="s">
        <v>14</v>
      </c>
      <c r="AI321" s="1" t="s">
        <v>15</v>
      </c>
      <c r="AJ321" s="1" t="s">
        <v>307</v>
      </c>
      <c r="AK321" s="1">
        <v>1</v>
      </c>
      <c r="AL321" s="19">
        <v>0.1</v>
      </c>
      <c r="AN321" s="109" t="str">
        <f t="shared" si="33"/>
        <v>Janie &amp; JackUSAWebJJ 17 JAN SPR GIFTING LAYETTE</v>
      </c>
      <c r="AO321" s="1" t="s">
        <v>32</v>
      </c>
      <c r="AP321" s="1" t="s">
        <v>15</v>
      </c>
      <c r="AQ321" s="1" t="s">
        <v>307</v>
      </c>
      <c r="AR321" s="1">
        <v>2017</v>
      </c>
      <c r="AS321" s="1" t="s">
        <v>16</v>
      </c>
      <c r="AT321" s="123" t="s">
        <v>196</v>
      </c>
      <c r="AU321" s="1">
        <v>36.71</v>
      </c>
      <c r="AV321" s="1">
        <v>7.31</v>
      </c>
      <c r="AW321" s="1">
        <v>6950</v>
      </c>
      <c r="AX321" s="1">
        <v>0.2</v>
      </c>
      <c r="AY321" s="1">
        <v>201748</v>
      </c>
      <c r="AZ321" s="1">
        <v>9</v>
      </c>
      <c r="BA321" s="19"/>
    </row>
    <row r="322" spans="33:53" x14ac:dyDescent="0.25">
      <c r="AG322" s="27" t="str">
        <f t="shared" si="32"/>
        <v>GymboreeWebUSA2</v>
      </c>
      <c r="AH322" s="1" t="s">
        <v>14</v>
      </c>
      <c r="AI322" s="1" t="s">
        <v>15</v>
      </c>
      <c r="AJ322" s="1" t="s">
        <v>307</v>
      </c>
      <c r="AK322" s="1">
        <v>2</v>
      </c>
      <c r="AL322" s="19">
        <v>0.1</v>
      </c>
      <c r="AN322" s="109" t="str">
        <f t="shared" si="33"/>
        <v>Janie &amp; JackUSAWebJJ 17 JAN SPRING 1</v>
      </c>
      <c r="AO322" s="1" t="s">
        <v>32</v>
      </c>
      <c r="AP322" s="1" t="s">
        <v>15</v>
      </c>
      <c r="AQ322" s="1" t="s">
        <v>307</v>
      </c>
      <c r="AR322" s="1">
        <v>2017</v>
      </c>
      <c r="AS322" s="1" t="s">
        <v>16</v>
      </c>
      <c r="AT322" s="123" t="s">
        <v>182</v>
      </c>
      <c r="AU322" s="1">
        <v>35.72</v>
      </c>
      <c r="AV322" s="1">
        <v>6.63</v>
      </c>
      <c r="AW322" s="1">
        <v>87856</v>
      </c>
      <c r="AX322" s="1">
        <v>0.11</v>
      </c>
      <c r="AY322" s="1">
        <v>201751</v>
      </c>
      <c r="AZ322" s="1">
        <v>6</v>
      </c>
      <c r="BA322" s="19"/>
    </row>
    <row r="323" spans="33:53" x14ac:dyDescent="0.25">
      <c r="AG323" s="27" t="str">
        <f t="shared" si="32"/>
        <v>GymboreeWebUSA3</v>
      </c>
      <c r="AH323" s="1" t="s">
        <v>14</v>
      </c>
      <c r="AI323" s="1" t="s">
        <v>15</v>
      </c>
      <c r="AJ323" s="1" t="s">
        <v>307</v>
      </c>
      <c r="AK323" s="1">
        <v>3</v>
      </c>
      <c r="AL323" s="19">
        <v>0.35</v>
      </c>
      <c r="AN323" s="109" t="str">
        <f t="shared" si="33"/>
        <v>Janie &amp; JackUSAWebJJ 17 JAN SO SB1</v>
      </c>
      <c r="AO323" s="1" t="s">
        <v>32</v>
      </c>
      <c r="AP323" s="1" t="s">
        <v>15</v>
      </c>
      <c r="AQ323" s="1" t="s">
        <v>307</v>
      </c>
      <c r="AR323" s="1">
        <v>2017</v>
      </c>
      <c r="AS323" s="1" t="s">
        <v>16</v>
      </c>
      <c r="AT323" s="123" t="s">
        <v>168</v>
      </c>
      <c r="AU323" s="1">
        <v>58.56</v>
      </c>
      <c r="AV323" s="1">
        <v>10.77</v>
      </c>
      <c r="AW323" s="1">
        <v>22409</v>
      </c>
      <c r="AX323" s="1">
        <v>0.53</v>
      </c>
      <c r="AY323" s="1">
        <v>201751</v>
      </c>
      <c r="AZ323" s="1">
        <v>13</v>
      </c>
      <c r="BA323" s="19"/>
    </row>
    <row r="324" spans="33:53" x14ac:dyDescent="0.25">
      <c r="AG324" s="27" t="str">
        <f t="shared" ref="AG324:AG387" si="34">AH324&amp;AI324&amp;AJ324&amp;AK324</f>
        <v>GymboreeWebUSA4</v>
      </c>
      <c r="AH324" s="1" t="s">
        <v>14</v>
      </c>
      <c r="AI324" s="1" t="s">
        <v>15</v>
      </c>
      <c r="AJ324" s="1" t="s">
        <v>307</v>
      </c>
      <c r="AK324" s="1">
        <v>4</v>
      </c>
      <c r="AL324" s="19">
        <v>0.35</v>
      </c>
      <c r="AN324" s="109" t="str">
        <f t="shared" ref="AN324:AN387" si="35">AO324&amp;AQ324&amp;AP324&amp;AT324</f>
        <v>Janie &amp; JackUSAWebJJ 17 FEB EASTER 1</v>
      </c>
      <c r="AO324" s="1" t="s">
        <v>32</v>
      </c>
      <c r="AP324" s="1" t="s">
        <v>15</v>
      </c>
      <c r="AQ324" s="1" t="s">
        <v>307</v>
      </c>
      <c r="AR324" s="1">
        <v>2017</v>
      </c>
      <c r="AS324" s="1" t="s">
        <v>16</v>
      </c>
      <c r="AT324" s="123" t="s">
        <v>188</v>
      </c>
      <c r="AU324" s="1">
        <v>40.31</v>
      </c>
      <c r="AV324" s="1">
        <v>7.45</v>
      </c>
      <c r="AW324" s="1">
        <v>123206</v>
      </c>
      <c r="AX324" s="1">
        <v>0.21</v>
      </c>
      <c r="AY324" s="1">
        <v>201753</v>
      </c>
      <c r="AZ324" s="1">
        <v>6</v>
      </c>
      <c r="BA324" s="19"/>
    </row>
    <row r="325" spans="33:53" x14ac:dyDescent="0.25">
      <c r="AG325" s="27" t="str">
        <f t="shared" si="34"/>
        <v>GymboreeWebUSA5</v>
      </c>
      <c r="AH325" s="1" t="s">
        <v>14</v>
      </c>
      <c r="AI325" s="1" t="s">
        <v>15</v>
      </c>
      <c r="AJ325" s="1" t="s">
        <v>307</v>
      </c>
      <c r="AK325" s="1">
        <v>5</v>
      </c>
      <c r="AL325" s="19">
        <v>0.35</v>
      </c>
      <c r="AN325" s="109" t="str">
        <f t="shared" si="35"/>
        <v>Janie &amp; JackUSAWebJJ 17 FEB EASTER GIFT LAY</v>
      </c>
      <c r="AO325" s="1" t="s">
        <v>32</v>
      </c>
      <c r="AP325" s="1" t="s">
        <v>15</v>
      </c>
      <c r="AQ325" s="1" t="s">
        <v>307</v>
      </c>
      <c r="AR325" s="1">
        <v>2017</v>
      </c>
      <c r="AS325" s="1" t="s">
        <v>16</v>
      </c>
      <c r="AT325" s="123" t="s">
        <v>190</v>
      </c>
      <c r="AU325" s="1">
        <v>34.25</v>
      </c>
      <c r="AV325" s="1">
        <v>7.37</v>
      </c>
      <c r="AW325" s="1">
        <v>5294</v>
      </c>
      <c r="AX325" s="1">
        <v>0.21</v>
      </c>
      <c r="AY325" s="1">
        <v>201753</v>
      </c>
      <c r="AZ325" s="1">
        <v>9</v>
      </c>
      <c r="BA325" s="19"/>
    </row>
    <row r="326" spans="33:53" x14ac:dyDescent="0.25">
      <c r="AG326" s="27" t="str">
        <f t="shared" si="34"/>
        <v>GymboreeWebUSA6</v>
      </c>
      <c r="AH326" s="1" t="s">
        <v>14</v>
      </c>
      <c r="AI326" s="1" t="s">
        <v>15</v>
      </c>
      <c r="AJ326" s="1" t="s">
        <v>307</v>
      </c>
      <c r="AK326" s="1">
        <v>6</v>
      </c>
      <c r="AL326" s="19">
        <v>0.35</v>
      </c>
      <c r="AN326" s="109" t="str">
        <f t="shared" si="35"/>
        <v>Janie &amp; JackUSAWebJJ 17 MAR EASTER 2 A+B</v>
      </c>
      <c r="AO326" s="1" t="s">
        <v>32</v>
      </c>
      <c r="AP326" s="1" t="s">
        <v>15</v>
      </c>
      <c r="AQ326" s="1" t="s">
        <v>307</v>
      </c>
      <c r="AR326" s="1">
        <v>2017</v>
      </c>
      <c r="AS326" s="1" t="s">
        <v>16</v>
      </c>
      <c r="AT326" s="123" t="s">
        <v>194</v>
      </c>
      <c r="AU326" s="1">
        <v>39.97</v>
      </c>
      <c r="AV326" s="1">
        <v>7.46</v>
      </c>
      <c r="AW326" s="1">
        <v>107214</v>
      </c>
      <c r="AX326" s="1">
        <v>0.18</v>
      </c>
      <c r="AY326" s="1">
        <v>201802</v>
      </c>
      <c r="AZ326" s="1">
        <v>6</v>
      </c>
      <c r="BA326" s="19"/>
    </row>
    <row r="327" spans="33:53" x14ac:dyDescent="0.25">
      <c r="AG327" s="27" t="str">
        <f t="shared" si="34"/>
        <v>GymboreeWebUSA7</v>
      </c>
      <c r="AH327" s="1" t="s">
        <v>14</v>
      </c>
      <c r="AI327" s="1" t="s">
        <v>15</v>
      </c>
      <c r="AJ327" s="1" t="s">
        <v>307</v>
      </c>
      <c r="AK327" s="1">
        <v>7</v>
      </c>
      <c r="AL327" s="19">
        <v>0.4</v>
      </c>
      <c r="AN327" s="109" t="str">
        <f t="shared" si="35"/>
        <v>Janie &amp; JackUSAWebJJ 17 SPR SO REFRESH</v>
      </c>
      <c r="AO327" s="1" t="s">
        <v>32</v>
      </c>
      <c r="AP327" s="1" t="s">
        <v>15</v>
      </c>
      <c r="AQ327" s="1" t="s">
        <v>307</v>
      </c>
      <c r="AR327" s="1">
        <v>2017</v>
      </c>
      <c r="AS327" s="1" t="s">
        <v>16</v>
      </c>
      <c r="AT327" s="123" t="s">
        <v>170</v>
      </c>
      <c r="AU327" s="1">
        <v>66.86</v>
      </c>
      <c r="AV327" s="1">
        <v>17.34</v>
      </c>
      <c r="AW327" s="1">
        <v>1050</v>
      </c>
      <c r="AX327" s="1">
        <v>0.2</v>
      </c>
      <c r="AY327" s="1">
        <v>201802</v>
      </c>
      <c r="AZ327" s="1">
        <v>9</v>
      </c>
      <c r="BA327" s="19"/>
    </row>
    <row r="328" spans="33:53" x14ac:dyDescent="0.25">
      <c r="AG328" s="27" t="str">
        <f t="shared" si="34"/>
        <v>GymboreeWebUSA8</v>
      </c>
      <c r="AH328" s="1" t="s">
        <v>14</v>
      </c>
      <c r="AI328" s="1" t="s">
        <v>15</v>
      </c>
      <c r="AJ328" s="1" t="s">
        <v>307</v>
      </c>
      <c r="AK328" s="1">
        <v>8</v>
      </c>
      <c r="AL328" s="19">
        <v>0.4</v>
      </c>
      <c r="AN328" s="109" t="str">
        <f t="shared" si="35"/>
        <v>Janie &amp; JackUSAWebJJ 17 FEB SPR 2</v>
      </c>
      <c r="AO328" s="1" t="s">
        <v>32</v>
      </c>
      <c r="AP328" s="1" t="s">
        <v>15</v>
      </c>
      <c r="AQ328" s="1" t="s">
        <v>307</v>
      </c>
      <c r="AR328" s="1">
        <v>2017</v>
      </c>
      <c r="AS328" s="1" t="s">
        <v>16</v>
      </c>
      <c r="AT328" s="123" t="s">
        <v>198</v>
      </c>
      <c r="AU328" s="1">
        <v>35.799999999999997</v>
      </c>
      <c r="AV328" s="1">
        <v>7.07</v>
      </c>
      <c r="AW328" s="1">
        <v>86090</v>
      </c>
      <c r="AX328" s="1">
        <v>0.14000000000000001</v>
      </c>
      <c r="AY328" s="1">
        <v>201805</v>
      </c>
      <c r="AZ328" s="1">
        <v>6</v>
      </c>
      <c r="BA328" s="19"/>
    </row>
    <row r="329" spans="33:53" x14ac:dyDescent="0.25">
      <c r="AG329" s="27" t="str">
        <f t="shared" si="34"/>
        <v>GymboreeWebUSA9</v>
      </c>
      <c r="AH329" s="1" t="s">
        <v>14</v>
      </c>
      <c r="AI329" s="1" t="s">
        <v>15</v>
      </c>
      <c r="AJ329" s="1" t="s">
        <v>307</v>
      </c>
      <c r="AK329" s="1">
        <v>9</v>
      </c>
      <c r="AL329" s="19">
        <v>0.4</v>
      </c>
      <c r="AN329" s="109" t="str">
        <f t="shared" si="35"/>
        <v>Janie &amp; JackUSAWebJJ 17 APR LAY SWIM</v>
      </c>
      <c r="AO329" s="1" t="s">
        <v>32</v>
      </c>
      <c r="AP329" s="1" t="s">
        <v>15</v>
      </c>
      <c r="AQ329" s="1" t="s">
        <v>307</v>
      </c>
      <c r="AR329" s="1">
        <v>2017</v>
      </c>
      <c r="AS329" s="1" t="s">
        <v>16</v>
      </c>
      <c r="AT329" s="123" t="s">
        <v>175</v>
      </c>
      <c r="AU329" s="1">
        <v>27.86</v>
      </c>
      <c r="AV329" s="1">
        <v>5.21</v>
      </c>
      <c r="AW329" s="1">
        <v>4346</v>
      </c>
      <c r="AX329" s="1">
        <v>0.25</v>
      </c>
      <c r="AY329" s="1">
        <v>201805</v>
      </c>
      <c r="AZ329" s="1">
        <v>9</v>
      </c>
      <c r="BA329" s="19"/>
    </row>
    <row r="330" spans="33:53" x14ac:dyDescent="0.25">
      <c r="AG330" s="27" t="str">
        <f t="shared" si="34"/>
        <v>GymboreeWebUSA10</v>
      </c>
      <c r="AH330" s="1" t="s">
        <v>14</v>
      </c>
      <c r="AI330" s="1" t="s">
        <v>15</v>
      </c>
      <c r="AJ330" s="1" t="s">
        <v>307</v>
      </c>
      <c r="AK330" s="1">
        <v>10</v>
      </c>
      <c r="AL330" s="19">
        <v>0.45</v>
      </c>
      <c r="AN330" s="109" t="str">
        <f t="shared" si="35"/>
        <v>Janie &amp; JackUSAWeb(new)</v>
      </c>
      <c r="AO330" s="1" t="s">
        <v>32</v>
      </c>
      <c r="AP330" s="1" t="s">
        <v>15</v>
      </c>
      <c r="AQ330" s="1" t="s">
        <v>307</v>
      </c>
      <c r="AR330" s="1">
        <v>2017</v>
      </c>
      <c r="AS330" s="1" t="s">
        <v>16</v>
      </c>
      <c r="AT330" s="123" t="s">
        <v>371</v>
      </c>
      <c r="AU330" s="1">
        <v>128.13999999999999</v>
      </c>
      <c r="AV330" s="1">
        <v>42.42</v>
      </c>
      <c r="AW330" s="1">
        <v>4439</v>
      </c>
      <c r="AX330" s="1">
        <v>0.2</v>
      </c>
      <c r="AY330" s="1">
        <v>201806</v>
      </c>
      <c r="AZ330" s="1">
        <v>6</v>
      </c>
      <c r="BA330" s="19"/>
    </row>
    <row r="331" spans="33:53" x14ac:dyDescent="0.25">
      <c r="AG331" s="27" t="str">
        <f t="shared" si="34"/>
        <v>GymboreeWebUSA11</v>
      </c>
      <c r="AH331" s="1" t="s">
        <v>14</v>
      </c>
      <c r="AI331" s="1" t="s">
        <v>15</v>
      </c>
      <c r="AJ331" s="1" t="s">
        <v>307</v>
      </c>
      <c r="AK331" s="1">
        <v>11</v>
      </c>
      <c r="AL331" s="19">
        <v>0.45</v>
      </c>
      <c r="AN331" s="109" t="str">
        <f t="shared" si="35"/>
        <v>Janie &amp; JackUSAWebJJ 17 MAR SUMMER 0</v>
      </c>
      <c r="AO331" s="1" t="s">
        <v>32</v>
      </c>
      <c r="AP331" s="1" t="s">
        <v>15</v>
      </c>
      <c r="AQ331" s="1" t="s">
        <v>307</v>
      </c>
      <c r="AR331" s="1">
        <v>2017</v>
      </c>
      <c r="AS331" s="1" t="s">
        <v>18</v>
      </c>
      <c r="AT331" s="123" t="s">
        <v>202</v>
      </c>
      <c r="AU331" s="1">
        <v>36.68</v>
      </c>
      <c r="AV331" s="1">
        <v>6.88</v>
      </c>
      <c r="AW331" s="1">
        <v>55235</v>
      </c>
      <c r="AX331" s="1">
        <v>0.13</v>
      </c>
      <c r="AY331" s="1">
        <v>201808</v>
      </c>
      <c r="AZ331" s="1">
        <v>6</v>
      </c>
      <c r="BA331" s="19"/>
    </row>
    <row r="332" spans="33:53" x14ac:dyDescent="0.25">
      <c r="AG332" s="27" t="str">
        <f t="shared" si="34"/>
        <v>GymboreeWebUSA12</v>
      </c>
      <c r="AH332" s="1" t="s">
        <v>14</v>
      </c>
      <c r="AI332" s="1" t="s">
        <v>15</v>
      </c>
      <c r="AJ332" s="1" t="s">
        <v>307</v>
      </c>
      <c r="AK332" s="1">
        <v>12</v>
      </c>
      <c r="AL332" s="19">
        <v>0.45</v>
      </c>
      <c r="AN332" s="109" t="str">
        <f t="shared" si="35"/>
        <v>Janie &amp; JackUSAWebJJ 17 APR SMR 1 A+B</v>
      </c>
      <c r="AO332" s="1" t="s">
        <v>32</v>
      </c>
      <c r="AP332" s="1" t="s">
        <v>15</v>
      </c>
      <c r="AQ332" s="1" t="s">
        <v>307</v>
      </c>
      <c r="AR332" s="1">
        <v>2017</v>
      </c>
      <c r="AS332" s="1" t="s">
        <v>18</v>
      </c>
      <c r="AT332" s="123" t="s">
        <v>204</v>
      </c>
      <c r="AU332" s="1">
        <v>37.07</v>
      </c>
      <c r="AV332" s="1">
        <v>7.04</v>
      </c>
      <c r="AW332" s="1">
        <v>85032</v>
      </c>
      <c r="AX332" s="1">
        <v>0.12</v>
      </c>
      <c r="AY332" s="1">
        <v>201810</v>
      </c>
      <c r="AZ332" s="1">
        <v>6</v>
      </c>
      <c r="BA332" s="19"/>
    </row>
    <row r="333" spans="33:53" x14ac:dyDescent="0.25">
      <c r="AG333" s="27" t="str">
        <f t="shared" si="34"/>
        <v>GymboreeWebUSA13</v>
      </c>
      <c r="AH333" s="1" t="s">
        <v>14</v>
      </c>
      <c r="AI333" s="1" t="s">
        <v>15</v>
      </c>
      <c r="AJ333" s="1" t="s">
        <v>307</v>
      </c>
      <c r="AK333" s="1">
        <v>13</v>
      </c>
      <c r="AL333" s="19">
        <v>0.5</v>
      </c>
      <c r="AN333" s="109" t="str">
        <f t="shared" si="35"/>
        <v>Janie &amp; JackUSAWebJJ 17 SMR BASICS</v>
      </c>
      <c r="AO333" s="1" t="s">
        <v>32</v>
      </c>
      <c r="AP333" s="1" t="s">
        <v>15</v>
      </c>
      <c r="AQ333" s="1" t="s">
        <v>307</v>
      </c>
      <c r="AR333" s="1">
        <v>2017</v>
      </c>
      <c r="AS333" s="1" t="s">
        <v>18</v>
      </c>
      <c r="AT333" s="123" t="s">
        <v>172</v>
      </c>
      <c r="AU333" s="1">
        <v>42.83</v>
      </c>
      <c r="AV333" s="1">
        <v>7.71</v>
      </c>
      <c r="AW333" s="1">
        <v>3615</v>
      </c>
      <c r="AX333" s="1">
        <v>0.2</v>
      </c>
      <c r="AY333" s="1">
        <v>201810</v>
      </c>
      <c r="AZ333" s="1">
        <v>9</v>
      </c>
      <c r="BA333" s="19"/>
    </row>
    <row r="334" spans="33:53" x14ac:dyDescent="0.25">
      <c r="AG334" s="27" t="str">
        <f t="shared" si="34"/>
        <v>GymboreeWebUSA14</v>
      </c>
      <c r="AH334" s="1" t="s">
        <v>14</v>
      </c>
      <c r="AI334" s="1" t="s">
        <v>15</v>
      </c>
      <c r="AJ334" s="1" t="s">
        <v>307</v>
      </c>
      <c r="AK334" s="1">
        <v>14</v>
      </c>
      <c r="AL334" s="19">
        <v>0.5</v>
      </c>
      <c r="AN334" s="109" t="str">
        <f t="shared" si="35"/>
        <v>Janie &amp; JackUSAWeb(new)</v>
      </c>
      <c r="AO334" s="1" t="s">
        <v>32</v>
      </c>
      <c r="AP334" s="1" t="s">
        <v>15</v>
      </c>
      <c r="AQ334" s="1" t="s">
        <v>307</v>
      </c>
      <c r="AR334" s="1">
        <v>2017</v>
      </c>
      <c r="AS334" s="1" t="s">
        <v>18</v>
      </c>
      <c r="AT334" s="123" t="s">
        <v>371</v>
      </c>
      <c r="AU334" s="1">
        <v>38.049999999999997</v>
      </c>
      <c r="AV334" s="1">
        <v>7.29</v>
      </c>
      <c r="AW334" s="1">
        <v>22303</v>
      </c>
      <c r="AX334" s="1">
        <v>0.2</v>
      </c>
      <c r="AY334" s="1">
        <v>201808</v>
      </c>
      <c r="AZ334" s="1">
        <v>6</v>
      </c>
      <c r="BA334" s="19"/>
    </row>
    <row r="335" spans="33:53" x14ac:dyDescent="0.25">
      <c r="AG335" s="27" t="str">
        <f t="shared" si="34"/>
        <v>GymboreeWebUSA15</v>
      </c>
      <c r="AH335" s="1" t="s">
        <v>14</v>
      </c>
      <c r="AI335" s="1" t="s">
        <v>15</v>
      </c>
      <c r="AJ335" s="1" t="s">
        <v>307</v>
      </c>
      <c r="AK335" s="1">
        <v>15</v>
      </c>
      <c r="AL335" s="19">
        <v>0.5</v>
      </c>
      <c r="AN335" s="109" t="str">
        <f t="shared" si="35"/>
        <v>Janie &amp; JackUSAWebJJ 17 SUMMER 2</v>
      </c>
      <c r="AO335" s="1" t="s">
        <v>32</v>
      </c>
      <c r="AP335" s="1" t="s">
        <v>15</v>
      </c>
      <c r="AQ335" s="1" t="s">
        <v>307</v>
      </c>
      <c r="AR335" s="1">
        <v>2017</v>
      </c>
      <c r="AS335" s="1" t="s">
        <v>18</v>
      </c>
      <c r="AT335" s="123" t="s">
        <v>206</v>
      </c>
      <c r="AU335" s="1">
        <v>39.49</v>
      </c>
      <c r="AV335" s="1">
        <v>7.34</v>
      </c>
      <c r="AW335" s="1">
        <v>107144</v>
      </c>
      <c r="AX335" s="1">
        <v>0.1</v>
      </c>
      <c r="AY335" s="1">
        <v>201812</v>
      </c>
      <c r="AZ335" s="1">
        <v>6</v>
      </c>
      <c r="BA335" s="19"/>
    </row>
    <row r="336" spans="33:53" x14ac:dyDescent="0.25">
      <c r="AG336" s="27" t="str">
        <f t="shared" si="34"/>
        <v>GymboreeWebUSA16</v>
      </c>
      <c r="AH336" s="1" t="s">
        <v>14</v>
      </c>
      <c r="AI336" s="1" t="s">
        <v>15</v>
      </c>
      <c r="AJ336" s="1" t="s">
        <v>307</v>
      </c>
      <c r="AK336" s="1">
        <v>16</v>
      </c>
      <c r="AL336" s="19">
        <v>0.5</v>
      </c>
      <c r="AN336" s="109" t="str">
        <f t="shared" si="35"/>
        <v>Janie &amp; JackUSAWebJJ 17 4TH OF JULY</v>
      </c>
      <c r="AO336" s="1" t="s">
        <v>32</v>
      </c>
      <c r="AP336" s="1" t="s">
        <v>15</v>
      </c>
      <c r="AQ336" s="1" t="s">
        <v>307</v>
      </c>
      <c r="AR336" s="1">
        <v>2017</v>
      </c>
      <c r="AS336" s="1" t="s">
        <v>18</v>
      </c>
      <c r="AT336" s="123" t="s">
        <v>208</v>
      </c>
      <c r="AU336" s="1">
        <v>35.36</v>
      </c>
      <c r="AV336" s="1">
        <v>6.68</v>
      </c>
      <c r="AW336" s="1">
        <v>24726</v>
      </c>
      <c r="AX336" s="1">
        <v>0.11</v>
      </c>
      <c r="AY336" s="1">
        <v>201812</v>
      </c>
      <c r="AZ336" s="1">
        <v>6</v>
      </c>
      <c r="BA336" s="19"/>
    </row>
    <row r="337" spans="33:53" x14ac:dyDescent="0.25">
      <c r="AG337" s="27" t="str">
        <f t="shared" si="34"/>
        <v>GymboreeWebUSA17</v>
      </c>
      <c r="AH337" s="1" t="s">
        <v>14</v>
      </c>
      <c r="AI337" s="1" t="s">
        <v>15</v>
      </c>
      <c r="AJ337" s="1" t="s">
        <v>307</v>
      </c>
      <c r="AK337" s="1">
        <v>17</v>
      </c>
      <c r="AL337" s="19">
        <v>0.5</v>
      </c>
      <c r="AN337" s="109" t="str">
        <f t="shared" si="35"/>
        <v>Janie &amp; JackUSAWebJJ 17 TRANS GIFTING LAY</v>
      </c>
      <c r="AO337" s="1" t="s">
        <v>32</v>
      </c>
      <c r="AP337" s="1" t="s">
        <v>15</v>
      </c>
      <c r="AQ337" s="1" t="s">
        <v>307</v>
      </c>
      <c r="AR337" s="1">
        <v>2017</v>
      </c>
      <c r="AS337" s="1" t="s">
        <v>18</v>
      </c>
      <c r="AT337" s="123" t="s">
        <v>218</v>
      </c>
      <c r="AU337" s="1">
        <v>35.65</v>
      </c>
      <c r="AV337" s="1">
        <v>7.84</v>
      </c>
      <c r="AW337" s="1">
        <v>5266</v>
      </c>
      <c r="AX337" s="1">
        <v>0.23</v>
      </c>
      <c r="AY337" s="1">
        <v>201812</v>
      </c>
      <c r="AZ337" s="1">
        <v>9</v>
      </c>
      <c r="BA337" s="19"/>
    </row>
    <row r="338" spans="33:53" x14ac:dyDescent="0.25">
      <c r="AG338" s="27" t="str">
        <f t="shared" si="34"/>
        <v>GymboreeWebUSA18</v>
      </c>
      <c r="AH338" s="1" t="s">
        <v>14</v>
      </c>
      <c r="AI338" s="1" t="s">
        <v>15</v>
      </c>
      <c r="AJ338" s="1" t="s">
        <v>307</v>
      </c>
      <c r="AK338" s="1">
        <v>18</v>
      </c>
      <c r="AL338" s="19">
        <v>0.5</v>
      </c>
      <c r="AN338" s="109" t="str">
        <f t="shared" si="35"/>
        <v>Janie &amp; JackUSAWebJJ 17 SUMMER 3</v>
      </c>
      <c r="AO338" s="1" t="s">
        <v>32</v>
      </c>
      <c r="AP338" s="1" t="s">
        <v>15</v>
      </c>
      <c r="AQ338" s="1" t="s">
        <v>307</v>
      </c>
      <c r="AR338" s="1">
        <v>2017</v>
      </c>
      <c r="AS338" s="1" t="s">
        <v>18</v>
      </c>
      <c r="AT338" s="123" t="s">
        <v>211</v>
      </c>
      <c r="AU338" s="1">
        <v>37.270000000000003</v>
      </c>
      <c r="AV338" s="1">
        <v>6.87</v>
      </c>
      <c r="AW338" s="1">
        <v>81821</v>
      </c>
      <c r="AX338" s="1">
        <v>0.1</v>
      </c>
      <c r="AY338" s="1">
        <v>201814</v>
      </c>
      <c r="AZ338" s="1">
        <v>6</v>
      </c>
      <c r="BA338" s="19"/>
    </row>
    <row r="339" spans="33:53" x14ac:dyDescent="0.25">
      <c r="AG339" s="27" t="str">
        <f t="shared" si="34"/>
        <v>GymboreeWebUSA19</v>
      </c>
      <c r="AH339" s="1" t="s">
        <v>14</v>
      </c>
      <c r="AI339" s="1" t="s">
        <v>15</v>
      </c>
      <c r="AJ339" s="1" t="s">
        <v>307</v>
      </c>
      <c r="AK339" s="1">
        <v>19</v>
      </c>
      <c r="AL339" s="19">
        <v>0.55000000000000004</v>
      </c>
      <c r="AN339" s="109" t="str">
        <f t="shared" si="35"/>
        <v>Janie &amp; JackUSAWeb(new)</v>
      </c>
      <c r="AO339" s="1" t="s">
        <v>32</v>
      </c>
      <c r="AP339" s="1" t="s">
        <v>15</v>
      </c>
      <c r="AQ339" s="1" t="s">
        <v>307</v>
      </c>
      <c r="AR339" s="1">
        <v>2017</v>
      </c>
      <c r="AS339" s="1" t="s">
        <v>18</v>
      </c>
      <c r="AT339" s="123" t="s">
        <v>371</v>
      </c>
      <c r="AU339" s="1">
        <v>28.25</v>
      </c>
      <c r="AV339" s="1">
        <v>4.91</v>
      </c>
      <c r="AW339" s="1">
        <v>18869</v>
      </c>
      <c r="AX339" s="1">
        <v>7.0000000000000007E-2</v>
      </c>
      <c r="AY339" s="1">
        <v>201814</v>
      </c>
      <c r="AZ339" s="1">
        <v>6</v>
      </c>
      <c r="BA339" s="19"/>
    </row>
    <row r="340" spans="33:53" x14ac:dyDescent="0.25">
      <c r="AG340" s="27" t="str">
        <f t="shared" si="34"/>
        <v>GymboreeWebUSA20</v>
      </c>
      <c r="AH340" s="1" t="s">
        <v>14</v>
      </c>
      <c r="AI340" s="1" t="s">
        <v>15</v>
      </c>
      <c r="AJ340" s="1" t="s">
        <v>307</v>
      </c>
      <c r="AK340" s="1">
        <v>20</v>
      </c>
      <c r="AL340" s="19">
        <v>0.55000000000000004</v>
      </c>
      <c r="AN340" s="109" t="str">
        <f t="shared" si="35"/>
        <v>Janie &amp; JackUSAWebJJ 17 SUMMER 4</v>
      </c>
      <c r="AO340" s="1" t="s">
        <v>32</v>
      </c>
      <c r="AP340" s="1" t="s">
        <v>15</v>
      </c>
      <c r="AQ340" s="1" t="s">
        <v>307</v>
      </c>
      <c r="AR340" s="1">
        <v>2017</v>
      </c>
      <c r="AS340" s="1" t="s">
        <v>18</v>
      </c>
      <c r="AT340" s="123" t="s">
        <v>213</v>
      </c>
      <c r="AU340" s="1">
        <v>37.36</v>
      </c>
      <c r="AV340" s="1">
        <v>6.58</v>
      </c>
      <c r="AW340" s="1">
        <v>49615</v>
      </c>
      <c r="AX340" s="1">
        <v>7.0000000000000007E-2</v>
      </c>
      <c r="AY340" s="1">
        <v>201816</v>
      </c>
      <c r="AZ340" s="1">
        <v>6</v>
      </c>
      <c r="BA340" s="19"/>
    </row>
    <row r="341" spans="33:53" x14ac:dyDescent="0.25">
      <c r="AG341" s="27" t="str">
        <f t="shared" si="34"/>
        <v>GymboreeWebUSA21</v>
      </c>
      <c r="AH341" s="1" t="s">
        <v>14</v>
      </c>
      <c r="AI341" s="1" t="s">
        <v>15</v>
      </c>
      <c r="AJ341" s="1" t="s">
        <v>307</v>
      </c>
      <c r="AK341" s="1">
        <v>21</v>
      </c>
      <c r="AL341" s="19">
        <v>0.55000000000000004</v>
      </c>
      <c r="AN341" s="109" t="str">
        <f t="shared" si="35"/>
        <v>Janie &amp; JackUSAWebJJ 17 JULY TRANS 1</v>
      </c>
      <c r="AO341" s="1" t="s">
        <v>32</v>
      </c>
      <c r="AP341" s="1" t="s">
        <v>15</v>
      </c>
      <c r="AQ341" s="1" t="s">
        <v>307</v>
      </c>
      <c r="AR341" s="1">
        <v>2017</v>
      </c>
      <c r="AS341" s="1" t="s">
        <v>18</v>
      </c>
      <c r="AT341" s="123" t="s">
        <v>215</v>
      </c>
      <c r="AU341" s="1">
        <v>39.700000000000003</v>
      </c>
      <c r="AV341" s="1">
        <v>7.44</v>
      </c>
      <c r="AW341" s="1">
        <v>77707</v>
      </c>
      <c r="AX341" s="1">
        <v>0.11</v>
      </c>
      <c r="AY341" s="1">
        <v>201818</v>
      </c>
      <c r="AZ341" s="1">
        <v>6</v>
      </c>
      <c r="BA341" s="19"/>
    </row>
    <row r="342" spans="33:53" x14ac:dyDescent="0.25">
      <c r="AG342" s="27" t="str">
        <f t="shared" si="34"/>
        <v>GymboreeWebUSA22</v>
      </c>
      <c r="AH342" s="1" t="s">
        <v>14</v>
      </c>
      <c r="AI342" s="1" t="s">
        <v>15</v>
      </c>
      <c r="AJ342" s="1" t="s">
        <v>307</v>
      </c>
      <c r="AK342" s="1">
        <v>22</v>
      </c>
      <c r="AL342" s="19">
        <v>0.6</v>
      </c>
      <c r="AN342" s="109" t="str">
        <f t="shared" si="35"/>
        <v>Janie &amp; JackUSAWebJJ 17 TRANS 2</v>
      </c>
      <c r="AO342" s="1" t="s">
        <v>32</v>
      </c>
      <c r="AP342" s="1" t="s">
        <v>15</v>
      </c>
      <c r="AQ342" s="1" t="s">
        <v>307</v>
      </c>
      <c r="AR342" s="1">
        <v>2017</v>
      </c>
      <c r="AS342" s="1" t="s">
        <v>18</v>
      </c>
      <c r="AT342" s="123" t="s">
        <v>155</v>
      </c>
      <c r="AU342" s="1">
        <v>36.25</v>
      </c>
      <c r="AV342" s="1">
        <v>6.57</v>
      </c>
      <c r="AW342" s="1">
        <v>59768</v>
      </c>
      <c r="AX342" s="1">
        <v>0.08</v>
      </c>
      <c r="AY342" s="1">
        <v>201821</v>
      </c>
      <c r="AZ342" s="1">
        <v>6</v>
      </c>
      <c r="BA342" s="19"/>
    </row>
    <row r="343" spans="33:53" x14ac:dyDescent="0.25">
      <c r="AG343" s="27" t="str">
        <f t="shared" si="34"/>
        <v>GymboreeWebUSA23</v>
      </c>
      <c r="AH343" s="1" t="s">
        <v>14</v>
      </c>
      <c r="AI343" s="1" t="s">
        <v>15</v>
      </c>
      <c r="AJ343" s="1" t="s">
        <v>307</v>
      </c>
      <c r="AK343" s="1">
        <v>23</v>
      </c>
      <c r="AL343" s="19">
        <v>0.6</v>
      </c>
      <c r="AN343" s="109" t="str">
        <f t="shared" si="35"/>
        <v>Janie &amp; JackUSAWeb(new)</v>
      </c>
      <c r="AO343" s="1" t="s">
        <v>32</v>
      </c>
      <c r="AP343" s="1" t="s">
        <v>15</v>
      </c>
      <c r="AQ343" s="1" t="s">
        <v>307</v>
      </c>
      <c r="AR343" s="1">
        <v>2017</v>
      </c>
      <c r="AS343" s="1" t="s">
        <v>18</v>
      </c>
      <c r="AT343" s="123" t="s">
        <v>371</v>
      </c>
      <c r="AU343" s="1">
        <v>28.44</v>
      </c>
      <c r="AV343" s="1">
        <v>5.66</v>
      </c>
      <c r="AW343" s="1">
        <v>26727</v>
      </c>
      <c r="AX343" s="1">
        <v>0.06</v>
      </c>
      <c r="AY343" s="1">
        <v>201823</v>
      </c>
      <c r="AZ343" s="1">
        <v>13</v>
      </c>
      <c r="BA343" s="19"/>
    </row>
    <row r="344" spans="33:53" x14ac:dyDescent="0.25">
      <c r="AG344" s="27" t="str">
        <f t="shared" si="34"/>
        <v>GymboreeWebUSA24</v>
      </c>
      <c r="AH344" s="1" t="s">
        <v>14</v>
      </c>
      <c r="AI344" s="1" t="s">
        <v>15</v>
      </c>
      <c r="AJ344" s="1" t="s">
        <v>307</v>
      </c>
      <c r="AK344" s="1">
        <v>24</v>
      </c>
      <c r="AL344" s="19">
        <v>0.6</v>
      </c>
      <c r="AN344" s="109" t="str">
        <f t="shared" si="35"/>
        <v>Janie &amp; JackUSAWebJJ 17 SO SB2</v>
      </c>
      <c r="AO344" s="1" t="s">
        <v>32</v>
      </c>
      <c r="AP344" s="1" t="s">
        <v>15</v>
      </c>
      <c r="AQ344" s="1" t="s">
        <v>307</v>
      </c>
      <c r="AR344" s="1">
        <v>2017</v>
      </c>
      <c r="AS344" s="1" t="s">
        <v>18</v>
      </c>
      <c r="AT344" s="123" t="s">
        <v>179</v>
      </c>
      <c r="AU344" s="1">
        <v>73.66</v>
      </c>
      <c r="AV344" s="1">
        <v>15.83</v>
      </c>
      <c r="AW344" s="1">
        <v>22350</v>
      </c>
      <c r="AX344" s="1">
        <v>0.1</v>
      </c>
      <c r="AY344" s="1">
        <v>201823</v>
      </c>
      <c r="AZ344" s="1">
        <v>13</v>
      </c>
      <c r="BA344" s="19"/>
    </row>
    <row r="345" spans="33:53" x14ac:dyDescent="0.25">
      <c r="AG345" s="27" t="str">
        <f t="shared" si="34"/>
        <v>GymboreeWebUSA25</v>
      </c>
      <c r="AH345" s="1" t="s">
        <v>14</v>
      </c>
      <c r="AI345" s="1" t="s">
        <v>15</v>
      </c>
      <c r="AJ345" s="1" t="s">
        <v>307</v>
      </c>
      <c r="AK345" s="1">
        <v>25</v>
      </c>
      <c r="AL345" s="19">
        <v>0.6</v>
      </c>
      <c r="AN345" s="109" t="str">
        <f t="shared" si="35"/>
        <v>Janie &amp; JackUSAWebJJ 17 JULY TRANS 3 GIRL ONLY</v>
      </c>
      <c r="AO345" s="1" t="s">
        <v>32</v>
      </c>
      <c r="AP345" s="1" t="s">
        <v>15</v>
      </c>
      <c r="AQ345" s="1" t="s">
        <v>307</v>
      </c>
      <c r="AR345" s="1">
        <v>2017</v>
      </c>
      <c r="AS345" s="1" t="s">
        <v>18</v>
      </c>
      <c r="AT345" s="123" t="s">
        <v>157</v>
      </c>
      <c r="AU345" s="1">
        <v>44.06</v>
      </c>
      <c r="AV345" s="1">
        <v>8.2799999999999994</v>
      </c>
      <c r="AW345" s="1">
        <v>29911</v>
      </c>
      <c r="AX345" s="1">
        <v>0.06</v>
      </c>
      <c r="AY345" s="1">
        <v>201823</v>
      </c>
      <c r="AZ345" s="1">
        <v>6</v>
      </c>
      <c r="BA345" s="19"/>
    </row>
    <row r="346" spans="33:53" x14ac:dyDescent="0.25">
      <c r="AG346" s="27" t="str">
        <f t="shared" si="34"/>
        <v>GymboreeWebUSA26</v>
      </c>
      <c r="AH346" s="1" t="s">
        <v>14</v>
      </c>
      <c r="AI346" s="1" t="s">
        <v>15</v>
      </c>
      <c r="AJ346" s="1" t="s">
        <v>307</v>
      </c>
      <c r="AK346" s="1">
        <v>26</v>
      </c>
      <c r="AL346" s="19">
        <v>0.6</v>
      </c>
      <c r="AN346" s="109" t="str">
        <f t="shared" si="35"/>
        <v>Janie &amp; JackUSAWeb(new)</v>
      </c>
      <c r="AO346" s="1" t="s">
        <v>32</v>
      </c>
      <c r="AP346" s="1" t="s">
        <v>15</v>
      </c>
      <c r="AQ346" s="1" t="s">
        <v>307</v>
      </c>
      <c r="AR346" s="1">
        <v>2017</v>
      </c>
      <c r="AS346" s="1" t="s">
        <v>18</v>
      </c>
      <c r="AT346" s="123" t="s">
        <v>371</v>
      </c>
      <c r="AU346" s="1">
        <v>34.69</v>
      </c>
      <c r="AV346" s="1">
        <v>6.74</v>
      </c>
      <c r="AW346" s="1">
        <v>37842</v>
      </c>
      <c r="AX346" s="1">
        <v>0.08</v>
      </c>
      <c r="AY346" s="1">
        <v>201818</v>
      </c>
      <c r="AZ346" s="1">
        <v>6</v>
      </c>
      <c r="BA346" s="19"/>
    </row>
    <row r="347" spans="33:53" x14ac:dyDescent="0.25">
      <c r="AG347" s="27" t="str">
        <f t="shared" si="34"/>
        <v>GymboreeWebUSA27</v>
      </c>
      <c r="AH347" s="1" t="s">
        <v>14</v>
      </c>
      <c r="AI347" s="1" t="s">
        <v>15</v>
      </c>
      <c r="AJ347" s="1" t="s">
        <v>307</v>
      </c>
      <c r="AK347" s="1">
        <v>27</v>
      </c>
      <c r="AL347" s="19">
        <v>0.6</v>
      </c>
      <c r="AN347" s="109" t="str">
        <f t="shared" si="35"/>
        <v>Janie &amp; JackUSAWebJJ 17 FALL GIFTING LAY</v>
      </c>
      <c r="AO347" s="1" t="s">
        <v>32</v>
      </c>
      <c r="AP347" s="1" t="s">
        <v>15</v>
      </c>
      <c r="AQ347" s="1" t="s">
        <v>307</v>
      </c>
      <c r="AR347" s="1">
        <v>2017</v>
      </c>
      <c r="AS347" s="1" t="s">
        <v>18</v>
      </c>
      <c r="AT347" s="123" t="s">
        <v>347</v>
      </c>
      <c r="AU347" s="1">
        <v>29.87</v>
      </c>
      <c r="AV347" s="1">
        <v>7.43</v>
      </c>
      <c r="AW347" s="1">
        <v>6246</v>
      </c>
      <c r="AX347" s="1">
        <v>0.2</v>
      </c>
      <c r="AY347" s="1">
        <v>201823</v>
      </c>
      <c r="AZ347" s="1">
        <v>9</v>
      </c>
      <c r="BA347" s="19"/>
    </row>
    <row r="348" spans="33:53" x14ac:dyDescent="0.25">
      <c r="AG348" s="27" t="str">
        <f t="shared" si="34"/>
        <v>GymboreeWebUSA28</v>
      </c>
      <c r="AH348" s="1" t="s">
        <v>14</v>
      </c>
      <c r="AI348" s="1" t="s">
        <v>15</v>
      </c>
      <c r="AJ348" s="1" t="s">
        <v>307</v>
      </c>
      <c r="AK348" s="1">
        <v>28</v>
      </c>
      <c r="AL348" s="19">
        <v>0.65</v>
      </c>
      <c r="AN348" s="109" t="str">
        <f t="shared" si="35"/>
        <v>Janie &amp; JackUSAOutletJJ 3RD PARTY</v>
      </c>
      <c r="AO348" s="1" t="s">
        <v>32</v>
      </c>
      <c r="AP348" s="1" t="s">
        <v>17</v>
      </c>
      <c r="AQ348" s="1" t="s">
        <v>307</v>
      </c>
      <c r="AR348" s="1">
        <v>2017</v>
      </c>
      <c r="AS348" s="1" t="s">
        <v>35</v>
      </c>
      <c r="AT348" s="123" t="s">
        <v>302</v>
      </c>
      <c r="AU348" s="1"/>
      <c r="AV348" s="1"/>
      <c r="AW348" s="1">
        <v>0</v>
      </c>
      <c r="AX348" s="1">
        <v>0.2</v>
      </c>
      <c r="AY348" s="1">
        <v>201801</v>
      </c>
      <c r="AZ348" s="1">
        <v>13</v>
      </c>
      <c r="BA348" s="19"/>
    </row>
    <row r="349" spans="33:53" x14ac:dyDescent="0.25">
      <c r="AG349" s="27" t="str">
        <f t="shared" si="34"/>
        <v>GymboreeWebUSA29</v>
      </c>
      <c r="AH349" s="1" t="s">
        <v>14</v>
      </c>
      <c r="AI349" s="1" t="s">
        <v>15</v>
      </c>
      <c r="AJ349" s="1" t="s">
        <v>307</v>
      </c>
      <c r="AK349" s="1">
        <v>29</v>
      </c>
      <c r="AL349" s="19">
        <v>0.65</v>
      </c>
      <c r="AN349" s="109" t="str">
        <f t="shared" si="35"/>
        <v>Janie &amp; JackUSAOutletJJ 17 SB2</v>
      </c>
      <c r="AO349" s="1" t="s">
        <v>32</v>
      </c>
      <c r="AP349" s="1" t="s">
        <v>17</v>
      </c>
      <c r="AQ349" s="1" t="s">
        <v>307</v>
      </c>
      <c r="AR349" s="1">
        <v>2017</v>
      </c>
      <c r="AS349" s="1" t="s">
        <v>35</v>
      </c>
      <c r="AT349" s="123" t="s">
        <v>177</v>
      </c>
      <c r="AU349" s="1">
        <v>39.9</v>
      </c>
      <c r="AV349" s="1">
        <v>8.74</v>
      </c>
      <c r="AW349" s="1">
        <v>16166</v>
      </c>
      <c r="AX349" s="1">
        <v>0.14000000000000001</v>
      </c>
      <c r="AY349" s="1">
        <v>201825</v>
      </c>
      <c r="AZ349" s="1">
        <v>13</v>
      </c>
      <c r="BA349" s="19"/>
    </row>
    <row r="350" spans="33:53" x14ac:dyDescent="0.25">
      <c r="AG350" s="27" t="str">
        <f t="shared" si="34"/>
        <v>GymboreeWebUSA30</v>
      </c>
      <c r="AH350" s="1" t="s">
        <v>14</v>
      </c>
      <c r="AI350" s="1" t="s">
        <v>15</v>
      </c>
      <c r="AJ350" s="1" t="s">
        <v>307</v>
      </c>
      <c r="AK350" s="1">
        <v>30</v>
      </c>
      <c r="AL350" s="19">
        <v>0.65</v>
      </c>
      <c r="AN350" s="109" t="str">
        <f t="shared" si="35"/>
        <v>Janie &amp; JackUSAOutletJJ 17 FALL 0</v>
      </c>
      <c r="AO350" s="1" t="s">
        <v>32</v>
      </c>
      <c r="AP350" s="1" t="s">
        <v>17</v>
      </c>
      <c r="AQ350" s="1" t="s">
        <v>307</v>
      </c>
      <c r="AR350" s="1">
        <v>2017</v>
      </c>
      <c r="AS350" s="1" t="s">
        <v>33</v>
      </c>
      <c r="AT350" s="123" t="s">
        <v>159</v>
      </c>
      <c r="AU350" s="1">
        <v>36.270000000000003</v>
      </c>
      <c r="AV350" s="1">
        <v>6.65</v>
      </c>
      <c r="AW350" s="1">
        <v>77777</v>
      </c>
      <c r="AX350" s="1">
        <v>0.2</v>
      </c>
      <c r="AY350" s="1">
        <v>201829</v>
      </c>
      <c r="AZ350" s="1">
        <v>5</v>
      </c>
      <c r="BA350" s="19"/>
    </row>
    <row r="351" spans="33:53" x14ac:dyDescent="0.25">
      <c r="AG351" s="27" t="str">
        <f t="shared" si="34"/>
        <v>GymboreeWebUSA31</v>
      </c>
      <c r="AH351" s="1" t="s">
        <v>14</v>
      </c>
      <c r="AI351" s="1" t="s">
        <v>15</v>
      </c>
      <c r="AJ351" s="1" t="s">
        <v>307</v>
      </c>
      <c r="AK351" s="1">
        <v>31</v>
      </c>
      <c r="AL351" s="19">
        <v>0.65</v>
      </c>
      <c r="AN351" s="109" t="str">
        <f t="shared" si="35"/>
        <v>Janie &amp; JackUSAOutlet(new)</v>
      </c>
      <c r="AO351" s="1" t="s">
        <v>32</v>
      </c>
      <c r="AP351" s="1" t="s">
        <v>17</v>
      </c>
      <c r="AQ351" s="1" t="s">
        <v>307</v>
      </c>
      <c r="AR351" s="1">
        <v>2017</v>
      </c>
      <c r="AS351" s="1" t="s">
        <v>16</v>
      </c>
      <c r="AT351" s="123" t="s">
        <v>371</v>
      </c>
      <c r="AU351" s="1">
        <v>28.22</v>
      </c>
      <c r="AV351" s="1">
        <v>5.58</v>
      </c>
      <c r="AW351" s="1">
        <v>45465</v>
      </c>
      <c r="AX351" s="1">
        <v>0.31</v>
      </c>
      <c r="AY351" s="1">
        <v>201801</v>
      </c>
      <c r="AZ351" s="1">
        <v>13</v>
      </c>
      <c r="BA351" s="19"/>
    </row>
    <row r="352" spans="33:53" x14ac:dyDescent="0.25">
      <c r="AG352" s="27" t="str">
        <f t="shared" si="34"/>
        <v>GymboreeWebUSA32</v>
      </c>
      <c r="AH352" s="1" t="s">
        <v>14</v>
      </c>
      <c r="AI352" s="1" t="s">
        <v>15</v>
      </c>
      <c r="AJ352" s="1" t="s">
        <v>307</v>
      </c>
      <c r="AK352" s="1">
        <v>32</v>
      </c>
      <c r="AL352" s="19">
        <v>0.7</v>
      </c>
      <c r="AN352" s="109" t="str">
        <f t="shared" si="35"/>
        <v>Janie &amp; JackUSAOutletJJ 17 DEC SWIM</v>
      </c>
      <c r="AO352" s="1" t="s">
        <v>32</v>
      </c>
      <c r="AP352" s="1" t="s">
        <v>17</v>
      </c>
      <c r="AQ352" s="1" t="s">
        <v>307</v>
      </c>
      <c r="AR352" s="1">
        <v>2017</v>
      </c>
      <c r="AS352" s="1" t="s">
        <v>16</v>
      </c>
      <c r="AT352" s="123" t="s">
        <v>162</v>
      </c>
      <c r="AU352" s="1">
        <v>31.78</v>
      </c>
      <c r="AV352" s="1">
        <v>6.01</v>
      </c>
      <c r="AW352" s="1">
        <v>23925</v>
      </c>
      <c r="AX352" s="1">
        <v>0.2</v>
      </c>
      <c r="AY352" s="1">
        <v>201748</v>
      </c>
      <c r="AZ352" s="1">
        <v>8</v>
      </c>
      <c r="BA352" s="19"/>
    </row>
    <row r="353" spans="33:53" x14ac:dyDescent="0.25">
      <c r="AG353" s="27" t="str">
        <f t="shared" si="34"/>
        <v>GymboreeWebUSA33</v>
      </c>
      <c r="AH353" s="1" t="s">
        <v>14</v>
      </c>
      <c r="AI353" s="1" t="s">
        <v>15</v>
      </c>
      <c r="AJ353" s="1" t="s">
        <v>307</v>
      </c>
      <c r="AK353" s="1">
        <v>33</v>
      </c>
      <c r="AL353" s="19">
        <v>0.7</v>
      </c>
      <c r="AN353" s="109" t="str">
        <f t="shared" si="35"/>
        <v>Janie &amp; JackUSAOutletJJ 17 DEC VDAY</v>
      </c>
      <c r="AO353" s="1" t="s">
        <v>32</v>
      </c>
      <c r="AP353" s="1" t="s">
        <v>17</v>
      </c>
      <c r="AQ353" s="1" t="s">
        <v>307</v>
      </c>
      <c r="AR353" s="1">
        <v>2017</v>
      </c>
      <c r="AS353" s="1" t="s">
        <v>16</v>
      </c>
      <c r="AT353" s="123" t="s">
        <v>184</v>
      </c>
      <c r="AU353" s="1">
        <v>31.46</v>
      </c>
      <c r="AV353" s="1">
        <v>5.48</v>
      </c>
      <c r="AW353" s="1">
        <v>12851</v>
      </c>
      <c r="AX353" s="1">
        <v>0.2</v>
      </c>
      <c r="AY353" s="1">
        <v>201749</v>
      </c>
      <c r="AZ353" s="1">
        <v>5</v>
      </c>
      <c r="BA353" s="19"/>
    </row>
    <row r="354" spans="33:53" x14ac:dyDescent="0.25">
      <c r="AG354" s="27" t="str">
        <f t="shared" si="34"/>
        <v>GymboreeWebUSA34</v>
      </c>
      <c r="AH354" s="1" t="s">
        <v>14</v>
      </c>
      <c r="AI354" s="1" t="s">
        <v>15</v>
      </c>
      <c r="AJ354" s="1" t="s">
        <v>307</v>
      </c>
      <c r="AK354" s="1">
        <v>34</v>
      </c>
      <c r="AL354" s="19">
        <v>0.7</v>
      </c>
      <c r="AN354" s="109" t="str">
        <f t="shared" si="35"/>
        <v>Janie &amp; JackUSAOutletJJ 17 DEC RESORT 2</v>
      </c>
      <c r="AO354" s="1" t="s">
        <v>32</v>
      </c>
      <c r="AP354" s="1" t="s">
        <v>17</v>
      </c>
      <c r="AQ354" s="1" t="s">
        <v>307</v>
      </c>
      <c r="AR354" s="1">
        <v>2017</v>
      </c>
      <c r="AS354" s="1" t="s">
        <v>16</v>
      </c>
      <c r="AT354" s="123" t="s">
        <v>186</v>
      </c>
      <c r="AU354" s="1">
        <v>34.92</v>
      </c>
      <c r="AV354" s="1">
        <v>6.33</v>
      </c>
      <c r="AW354" s="1">
        <v>23532</v>
      </c>
      <c r="AX354" s="1">
        <v>0.2</v>
      </c>
      <c r="AY354" s="1">
        <v>201750</v>
      </c>
      <c r="AZ354" s="1">
        <v>5</v>
      </c>
      <c r="BA354" s="19"/>
    </row>
    <row r="355" spans="33:53" x14ac:dyDescent="0.25">
      <c r="AG355" s="27" t="str">
        <f t="shared" si="34"/>
        <v>GymboreeWebUSA35</v>
      </c>
      <c r="AH355" s="1" t="s">
        <v>14</v>
      </c>
      <c r="AI355" s="1" t="s">
        <v>15</v>
      </c>
      <c r="AJ355" s="1" t="s">
        <v>307</v>
      </c>
      <c r="AK355" s="1">
        <v>35</v>
      </c>
      <c r="AL355" s="19">
        <v>0.7</v>
      </c>
      <c r="AN355" s="109" t="str">
        <f t="shared" si="35"/>
        <v>Janie &amp; JackUSAOutletJJ 17 JAN SPRING TRANS</v>
      </c>
      <c r="AO355" s="1" t="s">
        <v>32</v>
      </c>
      <c r="AP355" s="1" t="s">
        <v>17</v>
      </c>
      <c r="AQ355" s="1" t="s">
        <v>307</v>
      </c>
      <c r="AR355" s="1">
        <v>2017</v>
      </c>
      <c r="AS355" s="1" t="s">
        <v>16</v>
      </c>
      <c r="AT355" s="123" t="s">
        <v>192</v>
      </c>
      <c r="AU355" s="1">
        <v>35.28</v>
      </c>
      <c r="AV355" s="1">
        <v>6.18</v>
      </c>
      <c r="AW355" s="1">
        <v>41866</v>
      </c>
      <c r="AX355" s="1">
        <v>0.2</v>
      </c>
      <c r="AY355" s="1">
        <v>201752</v>
      </c>
      <c r="AZ355" s="1">
        <v>5</v>
      </c>
      <c r="BA355" s="19"/>
    </row>
    <row r="356" spans="33:53" x14ac:dyDescent="0.25">
      <c r="AG356" s="27" t="str">
        <f t="shared" si="34"/>
        <v>GymboreeWebUSA36</v>
      </c>
      <c r="AH356" s="1" t="s">
        <v>14</v>
      </c>
      <c r="AI356" s="1" t="s">
        <v>15</v>
      </c>
      <c r="AJ356" s="1" t="s">
        <v>307</v>
      </c>
      <c r="AK356" s="1">
        <v>36</v>
      </c>
      <c r="AL356" s="19">
        <v>0.7</v>
      </c>
      <c r="AN356" s="109" t="str">
        <f t="shared" si="35"/>
        <v>Janie &amp; JackUSAOutletJJ 17 SB1/YEARLY BASICS</v>
      </c>
      <c r="AO356" s="1" t="s">
        <v>32</v>
      </c>
      <c r="AP356" s="1" t="s">
        <v>17</v>
      </c>
      <c r="AQ356" s="1" t="s">
        <v>307</v>
      </c>
      <c r="AR356" s="1">
        <v>2017</v>
      </c>
      <c r="AS356" s="1" t="s">
        <v>16</v>
      </c>
      <c r="AT356" s="123" t="s">
        <v>164</v>
      </c>
      <c r="AU356" s="1">
        <v>29.9</v>
      </c>
      <c r="AV356" s="1">
        <v>5.45</v>
      </c>
      <c r="AW356" s="1">
        <v>3614</v>
      </c>
      <c r="AX356" s="1">
        <v>0.2</v>
      </c>
      <c r="AY356" s="1">
        <v>201752</v>
      </c>
      <c r="AZ356" s="1">
        <v>13</v>
      </c>
      <c r="BA356" s="19"/>
    </row>
    <row r="357" spans="33:53" x14ac:dyDescent="0.25">
      <c r="AG357" s="27" t="str">
        <f t="shared" si="34"/>
        <v>GymboreeWebUSA37</v>
      </c>
      <c r="AH357" s="1" t="s">
        <v>14</v>
      </c>
      <c r="AI357" s="1" t="s">
        <v>15</v>
      </c>
      <c r="AJ357" s="1" t="s">
        <v>307</v>
      </c>
      <c r="AK357" s="1">
        <v>37</v>
      </c>
      <c r="AL357" s="19">
        <v>0.7</v>
      </c>
      <c r="AN357" s="109" t="str">
        <f t="shared" si="35"/>
        <v>Janie &amp; JackUSAOutletJJ 17 JAN SWIM 2</v>
      </c>
      <c r="AO357" s="1" t="s">
        <v>32</v>
      </c>
      <c r="AP357" s="1" t="s">
        <v>17</v>
      </c>
      <c r="AQ357" s="1" t="s">
        <v>307</v>
      </c>
      <c r="AR357" s="1">
        <v>2017</v>
      </c>
      <c r="AS357" s="1" t="s">
        <v>16</v>
      </c>
      <c r="AT357" s="123" t="s">
        <v>166</v>
      </c>
      <c r="AU357" s="1">
        <v>31.31</v>
      </c>
      <c r="AV357" s="1">
        <v>5.48</v>
      </c>
      <c r="AW357" s="1">
        <v>44312</v>
      </c>
      <c r="AX357" s="1">
        <v>0.2</v>
      </c>
      <c r="AY357" s="1">
        <v>201752</v>
      </c>
      <c r="AZ357" s="1">
        <v>8</v>
      </c>
      <c r="BA357" s="19"/>
    </row>
    <row r="358" spans="33:53" x14ac:dyDescent="0.25">
      <c r="AG358" s="27" t="str">
        <f t="shared" si="34"/>
        <v>GymboreeWebUSA38</v>
      </c>
      <c r="AH358" s="1" t="s">
        <v>14</v>
      </c>
      <c r="AI358" s="1" t="s">
        <v>15</v>
      </c>
      <c r="AJ358" s="1" t="s">
        <v>307</v>
      </c>
      <c r="AK358" s="1">
        <v>38</v>
      </c>
      <c r="AL358" s="19">
        <v>0.75</v>
      </c>
      <c r="AN358" s="109" t="str">
        <f t="shared" si="35"/>
        <v>Janie &amp; JackUSAOutletJJ 17 JAN SPR GIFTING LAYETTE</v>
      </c>
      <c r="AO358" s="1" t="s">
        <v>32</v>
      </c>
      <c r="AP358" s="1" t="s">
        <v>17</v>
      </c>
      <c r="AQ358" s="1" t="s">
        <v>307</v>
      </c>
      <c r="AR358" s="1">
        <v>2017</v>
      </c>
      <c r="AS358" s="1" t="s">
        <v>16</v>
      </c>
      <c r="AT358" s="123" t="s">
        <v>196</v>
      </c>
      <c r="AU358" s="1"/>
      <c r="AV358" s="1"/>
      <c r="AW358" s="1">
        <v>0</v>
      </c>
      <c r="AX358" s="1">
        <v>0.2</v>
      </c>
      <c r="AY358" s="1">
        <v>201752</v>
      </c>
      <c r="AZ358" s="1">
        <v>8</v>
      </c>
      <c r="BA358" s="19"/>
    </row>
    <row r="359" spans="33:53" x14ac:dyDescent="0.25">
      <c r="AG359" s="27" t="str">
        <f t="shared" si="34"/>
        <v>GymboreeWebUSA39</v>
      </c>
      <c r="AH359" s="1" t="s">
        <v>14</v>
      </c>
      <c r="AI359" s="1" t="s">
        <v>15</v>
      </c>
      <c r="AJ359" s="1" t="s">
        <v>307</v>
      </c>
      <c r="AK359" s="1">
        <v>39</v>
      </c>
      <c r="AL359" s="19">
        <v>0.75</v>
      </c>
      <c r="AN359" s="109" t="str">
        <f t="shared" si="35"/>
        <v>Janie &amp; JackUSAOutletJJ 17 JAN SPRING 1</v>
      </c>
      <c r="AO359" s="1" t="s">
        <v>32</v>
      </c>
      <c r="AP359" s="1" t="s">
        <v>17</v>
      </c>
      <c r="AQ359" s="1" t="s">
        <v>307</v>
      </c>
      <c r="AR359" s="1">
        <v>2017</v>
      </c>
      <c r="AS359" s="1" t="s">
        <v>16</v>
      </c>
      <c r="AT359" s="123" t="s">
        <v>182</v>
      </c>
      <c r="AU359" s="1">
        <v>35.590000000000003</v>
      </c>
      <c r="AV359" s="1">
        <v>6.54</v>
      </c>
      <c r="AW359" s="1">
        <v>58292</v>
      </c>
      <c r="AX359" s="1">
        <v>0.28000000000000003</v>
      </c>
      <c r="AY359" s="1">
        <v>201802</v>
      </c>
      <c r="AZ359" s="1">
        <v>5</v>
      </c>
      <c r="BA359" s="19"/>
    </row>
    <row r="360" spans="33:53" x14ac:dyDescent="0.25">
      <c r="AG360" s="27" t="str">
        <f t="shared" si="34"/>
        <v>GymboreeWebUSA40</v>
      </c>
      <c r="AH360" s="1" t="s">
        <v>14</v>
      </c>
      <c r="AI360" s="1" t="s">
        <v>15</v>
      </c>
      <c r="AJ360" s="1" t="s">
        <v>307</v>
      </c>
      <c r="AK360" s="1">
        <v>40</v>
      </c>
      <c r="AL360" s="19">
        <v>0.75</v>
      </c>
      <c r="AN360" s="109" t="str">
        <f t="shared" si="35"/>
        <v>Janie &amp; JackUSAOutletJJ 17 JAN SO SB1</v>
      </c>
      <c r="AO360" s="1" t="s">
        <v>32</v>
      </c>
      <c r="AP360" s="1" t="s">
        <v>17</v>
      </c>
      <c r="AQ360" s="1" t="s">
        <v>307</v>
      </c>
      <c r="AR360" s="1">
        <v>2017</v>
      </c>
      <c r="AS360" s="1" t="s">
        <v>16</v>
      </c>
      <c r="AT360" s="123" t="s">
        <v>168</v>
      </c>
      <c r="AU360" s="1"/>
      <c r="AV360" s="1"/>
      <c r="AW360" s="1">
        <v>0</v>
      </c>
      <c r="AX360" s="1">
        <v>0.2</v>
      </c>
      <c r="AY360" s="1">
        <v>201802</v>
      </c>
      <c r="AZ360" s="1">
        <v>13</v>
      </c>
      <c r="BA360" s="19"/>
    </row>
    <row r="361" spans="33:53" x14ac:dyDescent="0.25">
      <c r="AG361" s="27" t="str">
        <f t="shared" si="34"/>
        <v>GymboreeWebUSA41</v>
      </c>
      <c r="AH361" s="1" t="s">
        <v>14</v>
      </c>
      <c r="AI361" s="1" t="s">
        <v>15</v>
      </c>
      <c r="AJ361" s="1" t="s">
        <v>307</v>
      </c>
      <c r="AK361" s="1">
        <v>41</v>
      </c>
      <c r="AL361" s="19">
        <v>0.75</v>
      </c>
      <c r="AN361" s="109" t="str">
        <f t="shared" si="35"/>
        <v>Janie &amp; JackUSAOutletJJ 17 FEB EASTER 1</v>
      </c>
      <c r="AO361" s="1" t="s">
        <v>32</v>
      </c>
      <c r="AP361" s="1" t="s">
        <v>17</v>
      </c>
      <c r="AQ361" s="1" t="s">
        <v>307</v>
      </c>
      <c r="AR361" s="1">
        <v>2017</v>
      </c>
      <c r="AS361" s="1" t="s">
        <v>16</v>
      </c>
      <c r="AT361" s="123" t="s">
        <v>188</v>
      </c>
      <c r="AU361" s="1">
        <v>38.06</v>
      </c>
      <c r="AV361" s="1">
        <v>7.13</v>
      </c>
      <c r="AW361" s="1">
        <v>79820</v>
      </c>
      <c r="AX361" s="1">
        <v>0.24</v>
      </c>
      <c r="AY361" s="1">
        <v>201804</v>
      </c>
      <c r="AZ361" s="1">
        <v>5</v>
      </c>
      <c r="BA361" s="19"/>
    </row>
    <row r="362" spans="33:53" x14ac:dyDescent="0.25">
      <c r="AG362" s="27" t="str">
        <f t="shared" si="34"/>
        <v>GymboreeWebUSA42</v>
      </c>
      <c r="AH362" s="1" t="s">
        <v>14</v>
      </c>
      <c r="AI362" s="1" t="s">
        <v>15</v>
      </c>
      <c r="AJ362" s="1" t="s">
        <v>307</v>
      </c>
      <c r="AK362" s="1">
        <v>42</v>
      </c>
      <c r="AL362" s="19">
        <v>0.8</v>
      </c>
      <c r="AN362" s="109" t="str">
        <f t="shared" si="35"/>
        <v>Janie &amp; JackUSAOutletJJ 17 FEB EASTER GIFT LAY</v>
      </c>
      <c r="AO362" s="1" t="s">
        <v>32</v>
      </c>
      <c r="AP362" s="1" t="s">
        <v>17</v>
      </c>
      <c r="AQ362" s="1" t="s">
        <v>307</v>
      </c>
      <c r="AR362" s="1">
        <v>2017</v>
      </c>
      <c r="AS362" s="1" t="s">
        <v>16</v>
      </c>
      <c r="AT362" s="123" t="s">
        <v>190</v>
      </c>
      <c r="AU362" s="1">
        <v>39.229999999999997</v>
      </c>
      <c r="AV362" s="1">
        <v>8.5500000000000007</v>
      </c>
      <c r="AW362" s="1">
        <v>4263</v>
      </c>
      <c r="AX362" s="1">
        <v>0.2</v>
      </c>
      <c r="AY362" s="1">
        <v>201804</v>
      </c>
      <c r="AZ362" s="1">
        <v>8</v>
      </c>
      <c r="BA362" s="19"/>
    </row>
    <row r="363" spans="33:53" x14ac:dyDescent="0.25">
      <c r="AG363" s="27" t="str">
        <f t="shared" si="34"/>
        <v>GymboreeWebUSA43</v>
      </c>
      <c r="AH363" s="1" t="s">
        <v>14</v>
      </c>
      <c r="AI363" s="1" t="s">
        <v>15</v>
      </c>
      <c r="AJ363" s="1" t="s">
        <v>307</v>
      </c>
      <c r="AK363" s="1">
        <v>43</v>
      </c>
      <c r="AL363" s="19">
        <v>0.8</v>
      </c>
      <c r="AN363" s="109" t="str">
        <f t="shared" si="35"/>
        <v>Janie &amp; JackUSAOutletJJ 17 MAR EASTER 2 A+B</v>
      </c>
      <c r="AO363" s="1" t="s">
        <v>32</v>
      </c>
      <c r="AP363" s="1" t="s">
        <v>17</v>
      </c>
      <c r="AQ363" s="1" t="s">
        <v>307</v>
      </c>
      <c r="AR363" s="1">
        <v>2017</v>
      </c>
      <c r="AS363" s="1" t="s">
        <v>16</v>
      </c>
      <c r="AT363" s="123" t="s">
        <v>194</v>
      </c>
      <c r="AU363" s="1">
        <v>38.520000000000003</v>
      </c>
      <c r="AV363" s="1">
        <v>7.1</v>
      </c>
      <c r="AW363" s="1">
        <v>53503</v>
      </c>
      <c r="AX363" s="1">
        <v>0.21</v>
      </c>
      <c r="AY363" s="1">
        <v>201806</v>
      </c>
      <c r="AZ363" s="1">
        <v>5</v>
      </c>
      <c r="BA363" s="19"/>
    </row>
    <row r="364" spans="33:53" x14ac:dyDescent="0.25">
      <c r="AG364" s="27" t="str">
        <f t="shared" si="34"/>
        <v>GymboreeWebUSA44</v>
      </c>
      <c r="AH364" s="1" t="s">
        <v>14</v>
      </c>
      <c r="AI364" s="1" t="s">
        <v>15</v>
      </c>
      <c r="AJ364" s="1" t="s">
        <v>307</v>
      </c>
      <c r="AK364" s="1">
        <v>44</v>
      </c>
      <c r="AL364" s="19">
        <v>0.8</v>
      </c>
      <c r="AN364" s="109" t="str">
        <f t="shared" si="35"/>
        <v>Janie &amp; JackUSAOutletJJ 17 SPR SO REFRESH</v>
      </c>
      <c r="AO364" s="1" t="s">
        <v>32</v>
      </c>
      <c r="AP364" s="1" t="s">
        <v>17</v>
      </c>
      <c r="AQ364" s="1" t="s">
        <v>307</v>
      </c>
      <c r="AR364" s="1">
        <v>2017</v>
      </c>
      <c r="AS364" s="1" t="s">
        <v>16</v>
      </c>
      <c r="AT364" s="123" t="s">
        <v>170</v>
      </c>
      <c r="AU364" s="1"/>
      <c r="AV364" s="1"/>
      <c r="AW364" s="1">
        <v>0</v>
      </c>
      <c r="AX364" s="1">
        <v>0.2</v>
      </c>
      <c r="AY364" s="1">
        <v>201806</v>
      </c>
      <c r="AZ364" s="1">
        <v>8</v>
      </c>
      <c r="BA364" s="19"/>
    </row>
    <row r="365" spans="33:53" x14ac:dyDescent="0.25">
      <c r="AG365" s="27" t="str">
        <f t="shared" si="34"/>
        <v>GymboreeWebUSA45</v>
      </c>
      <c r="AH365" s="1" t="s">
        <v>14</v>
      </c>
      <c r="AI365" s="1" t="s">
        <v>15</v>
      </c>
      <c r="AJ365" s="1" t="s">
        <v>307</v>
      </c>
      <c r="AK365" s="1">
        <v>45</v>
      </c>
      <c r="AL365" s="19">
        <v>0.8</v>
      </c>
      <c r="AN365" s="109" t="str">
        <f t="shared" si="35"/>
        <v>Janie &amp; JackUSAOutletJJ 17 FEB SPR 2</v>
      </c>
      <c r="AO365" s="1" t="s">
        <v>32</v>
      </c>
      <c r="AP365" s="1" t="s">
        <v>17</v>
      </c>
      <c r="AQ365" s="1" t="s">
        <v>307</v>
      </c>
      <c r="AR365" s="1">
        <v>2017</v>
      </c>
      <c r="AS365" s="1" t="s">
        <v>16</v>
      </c>
      <c r="AT365" s="123" t="s">
        <v>198</v>
      </c>
      <c r="AU365" s="1">
        <v>35.89</v>
      </c>
      <c r="AV365" s="1">
        <v>6.97</v>
      </c>
      <c r="AW365" s="1">
        <v>49333</v>
      </c>
      <c r="AX365" s="1">
        <v>0.23</v>
      </c>
      <c r="AY365" s="1">
        <v>201809</v>
      </c>
      <c r="AZ365" s="1">
        <v>5</v>
      </c>
      <c r="BA365" s="19"/>
    </row>
    <row r="366" spans="33:53" x14ac:dyDescent="0.25">
      <c r="AG366" s="27" t="str">
        <f t="shared" si="34"/>
        <v>GymboreeWebUSA46</v>
      </c>
      <c r="AH366" s="1" t="s">
        <v>14</v>
      </c>
      <c r="AI366" s="1" t="s">
        <v>15</v>
      </c>
      <c r="AJ366" s="1" t="s">
        <v>307</v>
      </c>
      <c r="AK366" s="1">
        <v>46</v>
      </c>
      <c r="AL366" s="19">
        <v>0.8</v>
      </c>
      <c r="AN366" s="109" t="str">
        <f t="shared" si="35"/>
        <v>Janie &amp; JackUSAOutletJJ 17 APR LAY SWIM</v>
      </c>
      <c r="AO366" s="1" t="s">
        <v>32</v>
      </c>
      <c r="AP366" s="1" t="s">
        <v>17</v>
      </c>
      <c r="AQ366" s="1" t="s">
        <v>307</v>
      </c>
      <c r="AR366" s="1">
        <v>2017</v>
      </c>
      <c r="AS366" s="1" t="s">
        <v>16</v>
      </c>
      <c r="AT366" s="123" t="s">
        <v>175</v>
      </c>
      <c r="AU366" s="1">
        <v>27.31</v>
      </c>
      <c r="AV366" s="1">
        <v>5</v>
      </c>
      <c r="AW366" s="1">
        <v>5659</v>
      </c>
      <c r="AX366" s="1">
        <v>0.23</v>
      </c>
      <c r="AY366" s="1">
        <v>201809</v>
      </c>
      <c r="AZ366" s="1">
        <v>8</v>
      </c>
      <c r="BA366" s="19"/>
    </row>
    <row r="367" spans="33:53" x14ac:dyDescent="0.25">
      <c r="AG367" s="27" t="str">
        <f t="shared" si="34"/>
        <v>GymboreeWebUSA47</v>
      </c>
      <c r="AH367" s="1" t="s">
        <v>14</v>
      </c>
      <c r="AI367" s="1" t="s">
        <v>15</v>
      </c>
      <c r="AJ367" s="1" t="s">
        <v>307</v>
      </c>
      <c r="AK367" s="1">
        <v>47</v>
      </c>
      <c r="AL367" s="19">
        <v>0.8</v>
      </c>
      <c r="AN367" s="109" t="str">
        <f t="shared" si="35"/>
        <v>Janie &amp; JackUSAOutlet(new)</v>
      </c>
      <c r="AO367" s="1" t="s">
        <v>32</v>
      </c>
      <c r="AP367" s="1" t="s">
        <v>17</v>
      </c>
      <c r="AQ367" s="1" t="s">
        <v>307</v>
      </c>
      <c r="AR367" s="1">
        <v>2017</v>
      </c>
      <c r="AS367" s="1" t="s">
        <v>16</v>
      </c>
      <c r="AT367" s="123" t="s">
        <v>371</v>
      </c>
      <c r="AU367" s="1"/>
      <c r="AV367" s="1"/>
      <c r="AW367" s="1">
        <v>0</v>
      </c>
      <c r="AX367" s="1">
        <v>0.2</v>
      </c>
      <c r="AY367" s="1">
        <v>201810</v>
      </c>
      <c r="AZ367" s="1">
        <v>5</v>
      </c>
      <c r="BA367" s="19"/>
    </row>
    <row r="368" spans="33:53" x14ac:dyDescent="0.25">
      <c r="AG368" s="27" t="str">
        <f t="shared" si="34"/>
        <v>GymboreeWebUSA48</v>
      </c>
      <c r="AH368" s="1" t="s">
        <v>14</v>
      </c>
      <c r="AI368" s="1" t="s">
        <v>15</v>
      </c>
      <c r="AJ368" s="1" t="s">
        <v>307</v>
      </c>
      <c r="AK368" s="1">
        <v>48</v>
      </c>
      <c r="AL368" s="19">
        <v>0.8</v>
      </c>
      <c r="AN368" s="109" t="str">
        <f t="shared" si="35"/>
        <v>Janie &amp; JackUSAOutletJJ 17 MAR SUMMER 0</v>
      </c>
      <c r="AO368" s="1" t="s">
        <v>32</v>
      </c>
      <c r="AP368" s="1" t="s">
        <v>17</v>
      </c>
      <c r="AQ368" s="1" t="s">
        <v>307</v>
      </c>
      <c r="AR368" s="1">
        <v>2017</v>
      </c>
      <c r="AS368" s="1" t="s">
        <v>18</v>
      </c>
      <c r="AT368" s="123" t="s">
        <v>202</v>
      </c>
      <c r="AU368" s="1">
        <v>35.32</v>
      </c>
      <c r="AV368" s="1">
        <v>6.51</v>
      </c>
      <c r="AW368" s="1">
        <v>31867</v>
      </c>
      <c r="AX368" s="1">
        <v>0.19</v>
      </c>
      <c r="AY368" s="1">
        <v>201812</v>
      </c>
      <c r="AZ368" s="1">
        <v>5</v>
      </c>
      <c r="BA368" s="19"/>
    </row>
    <row r="369" spans="33:53" x14ac:dyDescent="0.25">
      <c r="AG369" s="27" t="str">
        <f t="shared" si="34"/>
        <v>GymboreeWebUSA49</v>
      </c>
      <c r="AH369" s="1" t="s">
        <v>14</v>
      </c>
      <c r="AI369" s="1" t="s">
        <v>15</v>
      </c>
      <c r="AJ369" s="1" t="s">
        <v>307</v>
      </c>
      <c r="AK369" s="1">
        <v>49</v>
      </c>
      <c r="AL369" s="19">
        <v>0.8</v>
      </c>
      <c r="AN369" s="109" t="str">
        <f t="shared" si="35"/>
        <v>Janie &amp; JackUSAOutletJJ 17 APR SMR 1 A+B</v>
      </c>
      <c r="AO369" s="1" t="s">
        <v>32</v>
      </c>
      <c r="AP369" s="1" t="s">
        <v>17</v>
      </c>
      <c r="AQ369" s="1" t="s">
        <v>307</v>
      </c>
      <c r="AR369" s="1">
        <v>2017</v>
      </c>
      <c r="AS369" s="1" t="s">
        <v>18</v>
      </c>
      <c r="AT369" s="123" t="s">
        <v>204</v>
      </c>
      <c r="AU369" s="1">
        <v>34.979999999999997</v>
      </c>
      <c r="AV369" s="1">
        <v>6.53</v>
      </c>
      <c r="AW369" s="1">
        <v>53777</v>
      </c>
      <c r="AX369" s="1">
        <v>0.15</v>
      </c>
      <c r="AY369" s="1">
        <v>201814</v>
      </c>
      <c r="AZ369" s="1">
        <v>5</v>
      </c>
      <c r="BA369" s="19"/>
    </row>
    <row r="370" spans="33:53" x14ac:dyDescent="0.25">
      <c r="AG370" s="27" t="str">
        <f t="shared" si="34"/>
        <v>GymboreeWebUSA50</v>
      </c>
      <c r="AH370" s="1" t="s">
        <v>14</v>
      </c>
      <c r="AI370" s="1" t="s">
        <v>15</v>
      </c>
      <c r="AJ370" s="1" t="s">
        <v>307</v>
      </c>
      <c r="AK370" s="1">
        <v>50</v>
      </c>
      <c r="AL370" s="19">
        <v>0.8</v>
      </c>
      <c r="AN370" s="109" t="str">
        <f t="shared" si="35"/>
        <v>Janie &amp; JackUSAOutletJJ 17 SMR BASICS</v>
      </c>
      <c r="AO370" s="1" t="s">
        <v>32</v>
      </c>
      <c r="AP370" s="1" t="s">
        <v>17</v>
      </c>
      <c r="AQ370" s="1" t="s">
        <v>307</v>
      </c>
      <c r="AR370" s="1">
        <v>2017</v>
      </c>
      <c r="AS370" s="1" t="s">
        <v>18</v>
      </c>
      <c r="AT370" s="123" t="s">
        <v>172</v>
      </c>
      <c r="AU370" s="1">
        <v>47.23</v>
      </c>
      <c r="AV370" s="1">
        <v>8.67</v>
      </c>
      <c r="AW370" s="1">
        <v>1976</v>
      </c>
      <c r="AX370" s="1">
        <v>0.2</v>
      </c>
      <c r="AY370" s="1">
        <v>201814</v>
      </c>
      <c r="AZ370" s="1">
        <v>8</v>
      </c>
      <c r="BA370" s="19"/>
    </row>
    <row r="371" spans="33:53" x14ac:dyDescent="0.25">
      <c r="AG371" s="27" t="str">
        <f t="shared" si="34"/>
        <v>GymboreeWebUSA51</v>
      </c>
      <c r="AH371" s="1" t="s">
        <v>14</v>
      </c>
      <c r="AI371" s="1" t="s">
        <v>15</v>
      </c>
      <c r="AJ371" s="1" t="s">
        <v>307</v>
      </c>
      <c r="AK371" s="1">
        <v>51</v>
      </c>
      <c r="AL371" s="19">
        <v>0.8</v>
      </c>
      <c r="AN371" s="109" t="str">
        <f t="shared" si="35"/>
        <v>Janie &amp; JackUSAOutlet(new)</v>
      </c>
      <c r="AO371" s="1" t="s">
        <v>32</v>
      </c>
      <c r="AP371" s="1" t="s">
        <v>17</v>
      </c>
      <c r="AQ371" s="1" t="s">
        <v>307</v>
      </c>
      <c r="AR371" s="1">
        <v>2017</v>
      </c>
      <c r="AS371" s="1" t="s">
        <v>18</v>
      </c>
      <c r="AT371" s="123" t="s">
        <v>371</v>
      </c>
      <c r="AU371" s="1">
        <v>37.5</v>
      </c>
      <c r="AV371" s="1">
        <v>7</v>
      </c>
      <c r="AW371" s="1">
        <v>11505</v>
      </c>
      <c r="AX371" s="1">
        <v>0.2</v>
      </c>
      <c r="AY371" s="1">
        <v>201812</v>
      </c>
      <c r="AZ371" s="1">
        <v>5</v>
      </c>
      <c r="BA371" s="19"/>
    </row>
    <row r="372" spans="33:53" x14ac:dyDescent="0.25">
      <c r="AG372" s="27" t="str">
        <f t="shared" si="34"/>
        <v>GymboreeWebUSA52</v>
      </c>
      <c r="AH372" s="1" t="s">
        <v>14</v>
      </c>
      <c r="AI372" s="1" t="s">
        <v>15</v>
      </c>
      <c r="AJ372" s="1" t="s">
        <v>307</v>
      </c>
      <c r="AK372" s="1">
        <v>52</v>
      </c>
      <c r="AL372" s="19">
        <v>0.8</v>
      </c>
      <c r="AN372" s="109" t="str">
        <f t="shared" si="35"/>
        <v>Janie &amp; JackUSAOutletJJ 17 SUMMER 2</v>
      </c>
      <c r="AO372" s="1" t="s">
        <v>32</v>
      </c>
      <c r="AP372" s="1" t="s">
        <v>17</v>
      </c>
      <c r="AQ372" s="1" t="s">
        <v>307</v>
      </c>
      <c r="AR372" s="1">
        <v>2017</v>
      </c>
      <c r="AS372" s="1" t="s">
        <v>18</v>
      </c>
      <c r="AT372" s="123" t="s">
        <v>206</v>
      </c>
      <c r="AU372" s="1">
        <v>36.75</v>
      </c>
      <c r="AV372" s="1">
        <v>6.46</v>
      </c>
      <c r="AW372" s="1">
        <v>46486</v>
      </c>
      <c r="AX372" s="1">
        <v>0.21</v>
      </c>
      <c r="AY372" s="1">
        <v>201816</v>
      </c>
      <c r="AZ372" s="1">
        <v>5</v>
      </c>
      <c r="BA372" s="19"/>
    </row>
    <row r="373" spans="33:53" x14ac:dyDescent="0.25">
      <c r="AG373" s="27" t="str">
        <f t="shared" si="34"/>
        <v>GymboreeWebUSA53</v>
      </c>
      <c r="AH373" s="1" t="s">
        <v>14</v>
      </c>
      <c r="AI373" s="1" t="s">
        <v>15</v>
      </c>
      <c r="AJ373" s="1" t="s">
        <v>307</v>
      </c>
      <c r="AK373" s="1">
        <v>53</v>
      </c>
      <c r="AL373" s="19">
        <v>0.8</v>
      </c>
      <c r="AN373" s="109" t="str">
        <f t="shared" si="35"/>
        <v>Janie &amp; JackUSAOutletJJ 17 4TH OF JULY</v>
      </c>
      <c r="AO373" s="1" t="s">
        <v>32</v>
      </c>
      <c r="AP373" s="1" t="s">
        <v>17</v>
      </c>
      <c r="AQ373" s="1" t="s">
        <v>307</v>
      </c>
      <c r="AR373" s="1">
        <v>2017</v>
      </c>
      <c r="AS373" s="1" t="s">
        <v>18</v>
      </c>
      <c r="AT373" s="123" t="s">
        <v>208</v>
      </c>
      <c r="AU373" s="1">
        <v>33.01</v>
      </c>
      <c r="AV373" s="1">
        <v>6.17</v>
      </c>
      <c r="AW373" s="1">
        <v>17065</v>
      </c>
      <c r="AX373" s="1">
        <v>0.23</v>
      </c>
      <c r="AY373" s="1">
        <v>201816</v>
      </c>
      <c r="AZ373" s="1">
        <v>5</v>
      </c>
      <c r="BA373" s="19"/>
    </row>
    <row r="374" spans="33:53" x14ac:dyDescent="0.25">
      <c r="AG374" s="27" t="str">
        <f t="shared" si="34"/>
        <v>Crazy 8RetailUSA1</v>
      </c>
      <c r="AH374" s="1" t="s">
        <v>60</v>
      </c>
      <c r="AI374" s="1" t="s">
        <v>5</v>
      </c>
      <c r="AJ374" s="1" t="s">
        <v>307</v>
      </c>
      <c r="AK374" s="1">
        <v>1</v>
      </c>
      <c r="AL374" s="19">
        <v>0.3</v>
      </c>
      <c r="AN374" s="109" t="str">
        <f t="shared" si="35"/>
        <v>Janie &amp; JackUSAOutletJJ 17 TRANS GIFTING LAY</v>
      </c>
      <c r="AO374" s="1" t="s">
        <v>32</v>
      </c>
      <c r="AP374" s="1" t="s">
        <v>17</v>
      </c>
      <c r="AQ374" s="1" t="s">
        <v>307</v>
      </c>
      <c r="AR374" s="1">
        <v>2017</v>
      </c>
      <c r="AS374" s="1" t="s">
        <v>18</v>
      </c>
      <c r="AT374" s="123" t="s">
        <v>218</v>
      </c>
      <c r="AU374" s="1">
        <v>35.97</v>
      </c>
      <c r="AV374" s="1">
        <v>7.7</v>
      </c>
      <c r="AW374" s="1">
        <v>5100</v>
      </c>
      <c r="AX374" s="1">
        <v>0.2</v>
      </c>
      <c r="AY374" s="1">
        <v>201816</v>
      </c>
      <c r="AZ374" s="1">
        <v>8</v>
      </c>
      <c r="BA374" s="19"/>
    </row>
    <row r="375" spans="33:53" x14ac:dyDescent="0.25">
      <c r="AG375" s="27" t="str">
        <f t="shared" si="34"/>
        <v>Crazy 8RetailUSA2</v>
      </c>
      <c r="AH375" s="1" t="s">
        <v>60</v>
      </c>
      <c r="AI375" s="1" t="s">
        <v>5</v>
      </c>
      <c r="AJ375" s="1" t="s">
        <v>307</v>
      </c>
      <c r="AK375" s="1">
        <v>2</v>
      </c>
      <c r="AL375" s="19">
        <v>0.3</v>
      </c>
      <c r="AN375" s="109" t="str">
        <f t="shared" si="35"/>
        <v>Janie &amp; JackUSAOutletJJ 17 SUMMER 3</v>
      </c>
      <c r="AO375" s="1" t="s">
        <v>32</v>
      </c>
      <c r="AP375" s="1" t="s">
        <v>17</v>
      </c>
      <c r="AQ375" s="1" t="s">
        <v>307</v>
      </c>
      <c r="AR375" s="1">
        <v>2017</v>
      </c>
      <c r="AS375" s="1" t="s">
        <v>18</v>
      </c>
      <c r="AT375" s="123" t="s">
        <v>211</v>
      </c>
      <c r="AU375" s="1">
        <v>36.58</v>
      </c>
      <c r="AV375" s="1">
        <v>6.73</v>
      </c>
      <c r="AW375" s="1">
        <v>52280</v>
      </c>
      <c r="AX375" s="1">
        <v>0.2</v>
      </c>
      <c r="AY375" s="1">
        <v>201818</v>
      </c>
      <c r="AZ375" s="1">
        <v>5</v>
      </c>
      <c r="BA375" s="19"/>
    </row>
    <row r="376" spans="33:53" x14ac:dyDescent="0.25">
      <c r="AG376" s="27" t="str">
        <f t="shared" si="34"/>
        <v>Crazy 8RetailUSA3</v>
      </c>
      <c r="AH376" s="1" t="s">
        <v>60</v>
      </c>
      <c r="AI376" s="1" t="s">
        <v>5</v>
      </c>
      <c r="AJ376" s="1" t="s">
        <v>307</v>
      </c>
      <c r="AK376" s="1">
        <v>3</v>
      </c>
      <c r="AL376" s="19">
        <v>0.3</v>
      </c>
      <c r="AN376" s="109" t="str">
        <f t="shared" si="35"/>
        <v>Janie &amp; JackUSAOutlet(new)</v>
      </c>
      <c r="AO376" s="1" t="s">
        <v>32</v>
      </c>
      <c r="AP376" s="1" t="s">
        <v>17</v>
      </c>
      <c r="AQ376" s="1" t="s">
        <v>307</v>
      </c>
      <c r="AR376" s="1">
        <v>2017</v>
      </c>
      <c r="AS376" s="1" t="s">
        <v>18</v>
      </c>
      <c r="AT376" s="123" t="s">
        <v>371</v>
      </c>
      <c r="AU376" s="1">
        <v>27.75</v>
      </c>
      <c r="AV376" s="1">
        <v>4.9000000000000004</v>
      </c>
      <c r="AW376" s="1">
        <v>10963</v>
      </c>
      <c r="AX376" s="1">
        <v>0.16</v>
      </c>
      <c r="AY376" s="1">
        <v>201818</v>
      </c>
      <c r="AZ376" s="1">
        <v>5</v>
      </c>
      <c r="BA376" s="19"/>
    </row>
    <row r="377" spans="33:53" x14ac:dyDescent="0.25">
      <c r="AG377" s="27" t="str">
        <f t="shared" si="34"/>
        <v>Crazy 8RetailUSA4</v>
      </c>
      <c r="AH377" s="1" t="s">
        <v>60</v>
      </c>
      <c r="AI377" s="1" t="s">
        <v>5</v>
      </c>
      <c r="AJ377" s="1" t="s">
        <v>307</v>
      </c>
      <c r="AK377" s="1">
        <v>4</v>
      </c>
      <c r="AL377" s="19">
        <v>0.3</v>
      </c>
      <c r="AN377" s="109" t="str">
        <f t="shared" si="35"/>
        <v>Janie &amp; JackUSAOutletJJ 17 SUMMER 4</v>
      </c>
      <c r="AO377" s="1" t="s">
        <v>32</v>
      </c>
      <c r="AP377" s="1" t="s">
        <v>17</v>
      </c>
      <c r="AQ377" s="1" t="s">
        <v>307</v>
      </c>
      <c r="AR377" s="1">
        <v>2017</v>
      </c>
      <c r="AS377" s="1" t="s">
        <v>18</v>
      </c>
      <c r="AT377" s="123" t="s">
        <v>213</v>
      </c>
      <c r="AU377" s="1">
        <v>35.619999999999997</v>
      </c>
      <c r="AV377" s="1">
        <v>6.19</v>
      </c>
      <c r="AW377" s="1">
        <v>27594</v>
      </c>
      <c r="AX377" s="1">
        <v>0.18</v>
      </c>
      <c r="AY377" s="1">
        <v>201820</v>
      </c>
      <c r="AZ377" s="1">
        <v>5</v>
      </c>
      <c r="BA377" s="19"/>
    </row>
    <row r="378" spans="33:53" x14ac:dyDescent="0.25">
      <c r="AG378" s="27" t="str">
        <f t="shared" si="34"/>
        <v>Crazy 8RetailUSA5</v>
      </c>
      <c r="AH378" s="1" t="s">
        <v>60</v>
      </c>
      <c r="AI378" s="1" t="s">
        <v>5</v>
      </c>
      <c r="AJ378" s="1" t="s">
        <v>307</v>
      </c>
      <c r="AK378" s="1">
        <v>5</v>
      </c>
      <c r="AL378" s="19">
        <v>0.35</v>
      </c>
      <c r="AN378" s="109" t="str">
        <f t="shared" si="35"/>
        <v>Janie &amp; JackUSAOutletJJ 17 JULY TRANS 1</v>
      </c>
      <c r="AO378" s="1" t="s">
        <v>32</v>
      </c>
      <c r="AP378" s="1" t="s">
        <v>17</v>
      </c>
      <c r="AQ378" s="1" t="s">
        <v>307</v>
      </c>
      <c r="AR378" s="1">
        <v>2017</v>
      </c>
      <c r="AS378" s="1" t="s">
        <v>18</v>
      </c>
      <c r="AT378" s="123" t="s">
        <v>215</v>
      </c>
      <c r="AU378" s="1">
        <v>37.36</v>
      </c>
      <c r="AV378" s="1">
        <v>6.79</v>
      </c>
      <c r="AW378" s="1">
        <v>39973</v>
      </c>
      <c r="AX378" s="1">
        <v>0.21</v>
      </c>
      <c r="AY378" s="1">
        <v>201822</v>
      </c>
      <c r="AZ378" s="1">
        <v>5</v>
      </c>
      <c r="BA378" s="19"/>
    </row>
    <row r="379" spans="33:53" x14ac:dyDescent="0.25">
      <c r="AG379" s="27" t="str">
        <f t="shared" si="34"/>
        <v>Crazy 8RetailUSA6</v>
      </c>
      <c r="AH379" s="1" t="s">
        <v>60</v>
      </c>
      <c r="AI379" s="1" t="s">
        <v>5</v>
      </c>
      <c r="AJ379" s="1" t="s">
        <v>307</v>
      </c>
      <c r="AK379" s="1">
        <v>6</v>
      </c>
      <c r="AL379" s="19">
        <v>0.35</v>
      </c>
      <c r="AN379" s="109" t="str">
        <f t="shared" si="35"/>
        <v>Janie &amp; JackUSAOutletJJ 17 TRANS 2</v>
      </c>
      <c r="AO379" s="1" t="s">
        <v>32</v>
      </c>
      <c r="AP379" s="1" t="s">
        <v>17</v>
      </c>
      <c r="AQ379" s="1" t="s">
        <v>307</v>
      </c>
      <c r="AR379" s="1">
        <v>2017</v>
      </c>
      <c r="AS379" s="1" t="s">
        <v>18</v>
      </c>
      <c r="AT379" s="123" t="s">
        <v>155</v>
      </c>
      <c r="AU379" s="1">
        <v>34.82</v>
      </c>
      <c r="AV379" s="1">
        <v>6.28</v>
      </c>
      <c r="AW379" s="1">
        <v>46649</v>
      </c>
      <c r="AX379" s="1">
        <v>0.16</v>
      </c>
      <c r="AY379" s="1">
        <v>201825</v>
      </c>
      <c r="AZ379" s="1">
        <v>5</v>
      </c>
      <c r="BA379" s="19"/>
    </row>
    <row r="380" spans="33:53" x14ac:dyDescent="0.25">
      <c r="AG380" s="27" t="str">
        <f t="shared" si="34"/>
        <v>Crazy 8RetailUSA7</v>
      </c>
      <c r="AH380" s="1" t="s">
        <v>60</v>
      </c>
      <c r="AI380" s="1" t="s">
        <v>5</v>
      </c>
      <c r="AJ380" s="1" t="s">
        <v>307</v>
      </c>
      <c r="AK380" s="1">
        <v>7</v>
      </c>
      <c r="AL380" s="19">
        <v>0.35</v>
      </c>
      <c r="AN380" s="109" t="str">
        <f t="shared" si="35"/>
        <v>Janie &amp; JackUSAOutlet(new)</v>
      </c>
      <c r="AO380" s="1" t="s">
        <v>32</v>
      </c>
      <c r="AP380" s="1" t="s">
        <v>17</v>
      </c>
      <c r="AQ380" s="1" t="s">
        <v>307</v>
      </c>
      <c r="AR380" s="1">
        <v>2017</v>
      </c>
      <c r="AS380" s="1" t="s">
        <v>18</v>
      </c>
      <c r="AT380" s="123" t="s">
        <v>371</v>
      </c>
      <c r="AU380" s="1">
        <v>28.66</v>
      </c>
      <c r="AV380" s="1">
        <v>5.89</v>
      </c>
      <c r="AW380" s="1">
        <v>37109</v>
      </c>
      <c r="AX380" s="1">
        <v>0.17</v>
      </c>
      <c r="AY380" s="1">
        <v>201827</v>
      </c>
      <c r="AZ380" s="1">
        <v>13</v>
      </c>
      <c r="BA380" s="19"/>
    </row>
    <row r="381" spans="33:53" x14ac:dyDescent="0.25">
      <c r="AG381" s="27" t="str">
        <f t="shared" si="34"/>
        <v>Crazy 8RetailUSA8</v>
      </c>
      <c r="AH381" s="1" t="s">
        <v>60</v>
      </c>
      <c r="AI381" s="1" t="s">
        <v>5</v>
      </c>
      <c r="AJ381" s="1" t="s">
        <v>307</v>
      </c>
      <c r="AK381" s="1">
        <v>8</v>
      </c>
      <c r="AL381" s="19">
        <v>0.35</v>
      </c>
      <c r="AN381" s="109" t="str">
        <f t="shared" si="35"/>
        <v>Janie &amp; JackUSAOutletJJ 17 SO SB2</v>
      </c>
      <c r="AO381" s="1" t="s">
        <v>32</v>
      </c>
      <c r="AP381" s="1" t="s">
        <v>17</v>
      </c>
      <c r="AQ381" s="1" t="s">
        <v>307</v>
      </c>
      <c r="AR381" s="1">
        <v>2017</v>
      </c>
      <c r="AS381" s="1" t="s">
        <v>18</v>
      </c>
      <c r="AT381" s="123" t="s">
        <v>179</v>
      </c>
      <c r="AU381" s="1"/>
      <c r="AV381" s="1"/>
      <c r="AW381" s="1">
        <v>0</v>
      </c>
      <c r="AX381" s="1">
        <v>0.2</v>
      </c>
      <c r="AY381" s="1">
        <v>201827</v>
      </c>
      <c r="AZ381" s="1">
        <v>13</v>
      </c>
      <c r="BA381" s="19"/>
    </row>
    <row r="382" spans="33:53" x14ac:dyDescent="0.25">
      <c r="AG382" s="27" t="str">
        <f t="shared" si="34"/>
        <v>Crazy 8RetailUSA9</v>
      </c>
      <c r="AH382" s="1" t="s">
        <v>60</v>
      </c>
      <c r="AI382" s="1" t="s">
        <v>5</v>
      </c>
      <c r="AJ382" s="1" t="s">
        <v>307</v>
      </c>
      <c r="AK382" s="1">
        <v>9</v>
      </c>
      <c r="AL382" s="19">
        <v>0.35</v>
      </c>
      <c r="AN382" s="109" t="str">
        <f t="shared" si="35"/>
        <v>Janie &amp; JackUSAOutletJJ 17 JULY TRANS 3 GIRL ONLY</v>
      </c>
      <c r="AO382" s="1" t="s">
        <v>32</v>
      </c>
      <c r="AP382" s="1" t="s">
        <v>17</v>
      </c>
      <c r="AQ382" s="1" t="s">
        <v>307</v>
      </c>
      <c r="AR382" s="1">
        <v>2017</v>
      </c>
      <c r="AS382" s="1" t="s">
        <v>18</v>
      </c>
      <c r="AT382" s="123" t="s">
        <v>157</v>
      </c>
      <c r="AU382" s="1">
        <v>41.81</v>
      </c>
      <c r="AV382" s="1">
        <v>7.73</v>
      </c>
      <c r="AW382" s="1">
        <v>17052</v>
      </c>
      <c r="AX382" s="1">
        <v>0.3</v>
      </c>
      <c r="AY382" s="1">
        <v>201827</v>
      </c>
      <c r="AZ382" s="1">
        <v>5</v>
      </c>
      <c r="BA382" s="19"/>
    </row>
    <row r="383" spans="33:53" x14ac:dyDescent="0.25">
      <c r="AG383" s="27" t="str">
        <f t="shared" si="34"/>
        <v>Crazy 8RetailUSA10</v>
      </c>
      <c r="AH383" s="1" t="s">
        <v>60</v>
      </c>
      <c r="AI383" s="1" t="s">
        <v>5</v>
      </c>
      <c r="AJ383" s="1" t="s">
        <v>307</v>
      </c>
      <c r="AK383" s="1">
        <v>10</v>
      </c>
      <c r="AL383" s="19">
        <v>0.4</v>
      </c>
      <c r="AN383" s="109" t="str">
        <f t="shared" si="35"/>
        <v>Janie &amp; JackUSAOutlet(new)</v>
      </c>
      <c r="AO383" s="1" t="s">
        <v>32</v>
      </c>
      <c r="AP383" s="1" t="s">
        <v>17</v>
      </c>
      <c r="AQ383" s="1" t="s">
        <v>307</v>
      </c>
      <c r="AR383" s="1">
        <v>2017</v>
      </c>
      <c r="AS383" s="1" t="s">
        <v>18</v>
      </c>
      <c r="AT383" s="123" t="s">
        <v>371</v>
      </c>
      <c r="AU383" s="1">
        <v>34.630000000000003</v>
      </c>
      <c r="AV383" s="1">
        <v>6.69</v>
      </c>
      <c r="AW383" s="1">
        <v>16586</v>
      </c>
      <c r="AX383" s="1">
        <v>0.2</v>
      </c>
      <c r="AY383" s="1">
        <v>201822</v>
      </c>
      <c r="AZ383" s="1">
        <v>5</v>
      </c>
      <c r="BA383" s="19"/>
    </row>
    <row r="384" spans="33:53" x14ac:dyDescent="0.25">
      <c r="AG384" s="27" t="str">
        <f t="shared" si="34"/>
        <v>Crazy 8RetailUSA11</v>
      </c>
      <c r="AH384" s="1" t="s">
        <v>60</v>
      </c>
      <c r="AI384" s="1" t="s">
        <v>5</v>
      </c>
      <c r="AJ384" s="1" t="s">
        <v>307</v>
      </c>
      <c r="AK384" s="1">
        <v>11</v>
      </c>
      <c r="AL384" s="19">
        <v>0.4</v>
      </c>
      <c r="AN384" s="109" t="str">
        <f t="shared" si="35"/>
        <v>Janie &amp; JackUSAOutletJJ 17 FALL GIFTING LAY</v>
      </c>
      <c r="AO384" s="1" t="s">
        <v>32</v>
      </c>
      <c r="AP384" s="1" t="s">
        <v>17</v>
      </c>
      <c r="AQ384" s="1" t="s">
        <v>307</v>
      </c>
      <c r="AR384" s="1">
        <v>2017</v>
      </c>
      <c r="AS384" s="1" t="s">
        <v>18</v>
      </c>
      <c r="AT384" s="123" t="s">
        <v>347</v>
      </c>
      <c r="AU384" s="1"/>
      <c r="AV384" s="1"/>
      <c r="AW384" s="1">
        <v>0</v>
      </c>
      <c r="AX384" s="1">
        <v>0.2</v>
      </c>
      <c r="AY384" s="1">
        <v>201827</v>
      </c>
      <c r="AZ384" s="1">
        <v>8</v>
      </c>
      <c r="BA384" s="19"/>
    </row>
    <row r="385" spans="33:53" x14ac:dyDescent="0.25">
      <c r="AG385" s="27" t="str">
        <f t="shared" si="34"/>
        <v>Crazy 8RetailUSA12</v>
      </c>
      <c r="AH385" s="1" t="s">
        <v>60</v>
      </c>
      <c r="AI385" s="1" t="s">
        <v>5</v>
      </c>
      <c r="AJ385" s="1" t="s">
        <v>307</v>
      </c>
      <c r="AK385" s="1">
        <v>12</v>
      </c>
      <c r="AL385" s="19">
        <v>0.4</v>
      </c>
      <c r="AN385" s="109" t="str">
        <f t="shared" si="35"/>
        <v>GymboreeUSARetailGY 17 JAN CAP</v>
      </c>
      <c r="AO385" s="1" t="s">
        <v>14</v>
      </c>
      <c r="AP385" s="1" t="s">
        <v>5</v>
      </c>
      <c r="AQ385" s="1" t="s">
        <v>307</v>
      </c>
      <c r="AR385" s="1">
        <v>2017</v>
      </c>
      <c r="AS385" s="1" t="s">
        <v>16</v>
      </c>
      <c r="AT385" s="123" t="s">
        <v>350</v>
      </c>
      <c r="AU385" s="1">
        <v>26.71</v>
      </c>
      <c r="AV385" s="1">
        <v>4.05</v>
      </c>
      <c r="AW385" s="1">
        <v>260441</v>
      </c>
      <c r="AX385" s="1">
        <v>0.5</v>
      </c>
      <c r="AY385" s="1">
        <v>201748</v>
      </c>
      <c r="AZ385" s="1">
        <v>7</v>
      </c>
      <c r="BA385" s="19"/>
    </row>
    <row r="386" spans="33:53" x14ac:dyDescent="0.25">
      <c r="AG386" s="27" t="str">
        <f t="shared" si="34"/>
        <v>Crazy 8RetailUSA13</v>
      </c>
      <c r="AH386" s="1" t="s">
        <v>60</v>
      </c>
      <c r="AI386" s="1" t="s">
        <v>5</v>
      </c>
      <c r="AJ386" s="1" t="s">
        <v>307</v>
      </c>
      <c r="AK386" s="1">
        <v>13</v>
      </c>
      <c r="AL386" s="19">
        <v>0.4</v>
      </c>
      <c r="AN386" s="109" t="str">
        <f t="shared" si="35"/>
        <v>GymboreeUSARetailGY 17 SPR</v>
      </c>
      <c r="AO386" s="1" t="s">
        <v>14</v>
      </c>
      <c r="AP386" s="1" t="s">
        <v>5</v>
      </c>
      <c r="AQ386" s="1" t="s">
        <v>307</v>
      </c>
      <c r="AR386" s="1">
        <v>2017</v>
      </c>
      <c r="AS386" s="1" t="s">
        <v>16</v>
      </c>
      <c r="AT386" s="123" t="s">
        <v>129</v>
      </c>
      <c r="AU386" s="1">
        <v>17.260000000000002</v>
      </c>
      <c r="AV386" s="1">
        <v>4.43</v>
      </c>
      <c r="AW386" s="1">
        <v>1034520</v>
      </c>
      <c r="AX386" s="1">
        <v>0.54</v>
      </c>
      <c r="AY386" s="1">
        <v>201746</v>
      </c>
      <c r="AZ386" s="1">
        <v>20</v>
      </c>
      <c r="BA386" s="19"/>
    </row>
    <row r="387" spans="33:53" x14ac:dyDescent="0.25">
      <c r="AG387" s="27" t="str">
        <f t="shared" si="34"/>
        <v>Crazy 8RetailUSA14</v>
      </c>
      <c r="AH387" s="1" t="s">
        <v>60</v>
      </c>
      <c r="AI387" s="1" t="s">
        <v>5</v>
      </c>
      <c r="AJ387" s="1" t="s">
        <v>307</v>
      </c>
      <c r="AK387" s="1">
        <v>14</v>
      </c>
      <c r="AL387" s="19">
        <v>0.4</v>
      </c>
      <c r="AN387" s="109" t="str">
        <f t="shared" si="35"/>
        <v>GymboreeUSARetailGY 17 SPRING BASICS</v>
      </c>
      <c r="AO387" s="1" t="s">
        <v>14</v>
      </c>
      <c r="AP387" s="1" t="s">
        <v>5</v>
      </c>
      <c r="AQ387" s="1" t="s">
        <v>307</v>
      </c>
      <c r="AR387" s="1">
        <v>2017</v>
      </c>
      <c r="AS387" s="1" t="s">
        <v>16</v>
      </c>
      <c r="AT387" s="123" t="s">
        <v>126</v>
      </c>
      <c r="AU387" s="1">
        <v>21.52</v>
      </c>
      <c r="AV387" s="1">
        <v>3.88</v>
      </c>
      <c r="AW387" s="1">
        <v>1011662</v>
      </c>
      <c r="AX387" s="1">
        <v>0.56000000000000005</v>
      </c>
      <c r="AY387" s="1">
        <v>201750</v>
      </c>
      <c r="AZ387" s="1">
        <v>20</v>
      </c>
      <c r="BA387" s="19"/>
    </row>
    <row r="388" spans="33:53" x14ac:dyDescent="0.25">
      <c r="AG388" s="27" t="str">
        <f t="shared" ref="AG388:AG451" si="36">AH388&amp;AI388&amp;AJ388&amp;AK388</f>
        <v>Crazy 8RetailUSA15</v>
      </c>
      <c r="AH388" s="1" t="s">
        <v>60</v>
      </c>
      <c r="AI388" s="1" t="s">
        <v>5</v>
      </c>
      <c r="AJ388" s="1" t="s">
        <v>307</v>
      </c>
      <c r="AK388" s="1">
        <v>15</v>
      </c>
      <c r="AL388" s="19">
        <v>0.45</v>
      </c>
      <c r="AN388" s="109" t="str">
        <f t="shared" ref="AN388:AN444" si="37">AO388&amp;AQ388&amp;AP388&amp;AT388</f>
        <v>GymboreeUSARetailGY 17 SPR 1</v>
      </c>
      <c r="AO388" s="1" t="s">
        <v>14</v>
      </c>
      <c r="AP388" s="1" t="s">
        <v>5</v>
      </c>
      <c r="AQ388" s="1" t="s">
        <v>307</v>
      </c>
      <c r="AR388" s="1">
        <v>2017</v>
      </c>
      <c r="AS388" s="1" t="s">
        <v>16</v>
      </c>
      <c r="AT388" s="123" t="s">
        <v>131</v>
      </c>
      <c r="AU388" s="1">
        <v>27.77</v>
      </c>
      <c r="AV388" s="1">
        <v>5.16</v>
      </c>
      <c r="AW388" s="1">
        <v>724430</v>
      </c>
      <c r="AX388" s="1">
        <v>0.43</v>
      </c>
      <c r="AY388" s="1">
        <v>201750</v>
      </c>
      <c r="AZ388" s="1">
        <v>6</v>
      </c>
      <c r="BA388" s="19"/>
    </row>
    <row r="389" spans="33:53" x14ac:dyDescent="0.25">
      <c r="AG389" s="27" t="str">
        <f t="shared" si="36"/>
        <v>Crazy 8RetailUSA16</v>
      </c>
      <c r="AH389" s="1" t="s">
        <v>60</v>
      </c>
      <c r="AI389" s="1" t="s">
        <v>5</v>
      </c>
      <c r="AJ389" s="1" t="s">
        <v>307</v>
      </c>
      <c r="AK389" s="1">
        <v>16</v>
      </c>
      <c r="AL389" s="19">
        <v>0.45</v>
      </c>
      <c r="AN389" s="109" t="str">
        <f t="shared" si="37"/>
        <v>GymboreeUSARetailGY 17 SPR 2</v>
      </c>
      <c r="AO389" s="1" t="s">
        <v>14</v>
      </c>
      <c r="AP389" s="1" t="s">
        <v>5</v>
      </c>
      <c r="AQ389" s="1" t="s">
        <v>307</v>
      </c>
      <c r="AR389" s="1">
        <v>2017</v>
      </c>
      <c r="AS389" s="1" t="s">
        <v>16</v>
      </c>
      <c r="AT389" s="123" t="s">
        <v>50</v>
      </c>
      <c r="AU389" s="1">
        <v>26.82</v>
      </c>
      <c r="AV389" s="1">
        <v>4.7300000000000004</v>
      </c>
      <c r="AW389" s="1">
        <v>499664</v>
      </c>
      <c r="AX389" s="1">
        <v>0.37</v>
      </c>
      <c r="AY389" s="1">
        <v>201753</v>
      </c>
      <c r="AZ389" s="1">
        <v>5</v>
      </c>
      <c r="BA389" s="19"/>
    </row>
    <row r="390" spans="33:53" x14ac:dyDescent="0.25">
      <c r="AG390" s="27" t="str">
        <f t="shared" si="36"/>
        <v>Crazy 8RetailUSA17</v>
      </c>
      <c r="AH390" s="1" t="s">
        <v>60</v>
      </c>
      <c r="AI390" s="1" t="s">
        <v>5</v>
      </c>
      <c r="AJ390" s="1" t="s">
        <v>307</v>
      </c>
      <c r="AK390" s="1">
        <v>17</v>
      </c>
      <c r="AL390" s="19">
        <v>0.45</v>
      </c>
      <c r="AN390" s="109" t="str">
        <f t="shared" si="37"/>
        <v>GymboreeUSARetailGY 17 SWIM 1</v>
      </c>
      <c r="AO390" s="1" t="s">
        <v>14</v>
      </c>
      <c r="AP390" s="1" t="s">
        <v>5</v>
      </c>
      <c r="AQ390" s="1" t="s">
        <v>307</v>
      </c>
      <c r="AR390" s="1">
        <v>2017</v>
      </c>
      <c r="AS390" s="1" t="s">
        <v>16</v>
      </c>
      <c r="AT390" s="123" t="s">
        <v>133</v>
      </c>
      <c r="AU390" s="1">
        <v>27.8</v>
      </c>
      <c r="AV390" s="1">
        <v>5.07</v>
      </c>
      <c r="AW390" s="1">
        <v>53807</v>
      </c>
      <c r="AX390" s="1">
        <v>0.52</v>
      </c>
      <c r="AY390" s="1">
        <v>201753</v>
      </c>
      <c r="AZ390" s="1">
        <v>8</v>
      </c>
      <c r="BA390" s="19"/>
    </row>
    <row r="391" spans="33:53" x14ac:dyDescent="0.25">
      <c r="AG391" s="27" t="str">
        <f t="shared" si="36"/>
        <v>Crazy 8RetailUSA18</v>
      </c>
      <c r="AH391" s="1" t="s">
        <v>60</v>
      </c>
      <c r="AI391" s="1" t="s">
        <v>5</v>
      </c>
      <c r="AJ391" s="1" t="s">
        <v>307</v>
      </c>
      <c r="AK391" s="1">
        <v>18</v>
      </c>
      <c r="AL391" s="19">
        <v>0.45</v>
      </c>
      <c r="AN391" s="109" t="str">
        <f t="shared" si="37"/>
        <v>GymboreeUSARetailGY 17 SPR VAC</v>
      </c>
      <c r="AO391" s="1" t="s">
        <v>14</v>
      </c>
      <c r="AP391" s="1" t="s">
        <v>5</v>
      </c>
      <c r="AQ391" s="1" t="s">
        <v>307</v>
      </c>
      <c r="AR391" s="1">
        <v>2017</v>
      </c>
      <c r="AS391" s="1" t="s">
        <v>16</v>
      </c>
      <c r="AT391" s="123" t="s">
        <v>137</v>
      </c>
      <c r="AU391" s="1">
        <v>25.66</v>
      </c>
      <c r="AV391" s="1">
        <v>4.6399999999999997</v>
      </c>
      <c r="AW391" s="1">
        <v>1045610</v>
      </c>
      <c r="AX391" s="1">
        <v>0.46</v>
      </c>
      <c r="AY391" s="1">
        <v>201804</v>
      </c>
      <c r="AZ391" s="1">
        <v>6</v>
      </c>
      <c r="BA391" s="19"/>
    </row>
    <row r="392" spans="33:53" x14ac:dyDescent="0.25">
      <c r="AG392" s="27" t="str">
        <f t="shared" si="36"/>
        <v>Crazy 8RetailUSA19</v>
      </c>
      <c r="AH392" s="1" t="s">
        <v>60</v>
      </c>
      <c r="AI392" s="1" t="s">
        <v>5</v>
      </c>
      <c r="AJ392" s="1" t="s">
        <v>307</v>
      </c>
      <c r="AK392" s="1">
        <v>19</v>
      </c>
      <c r="AL392" s="19">
        <v>0.45</v>
      </c>
      <c r="AN392" s="109" t="str">
        <f t="shared" si="37"/>
        <v>GymboreeUSARetailGY 17 SWIM 2</v>
      </c>
      <c r="AO392" s="1" t="s">
        <v>14</v>
      </c>
      <c r="AP392" s="1" t="s">
        <v>5</v>
      </c>
      <c r="AQ392" s="1" t="s">
        <v>307</v>
      </c>
      <c r="AR392" s="1">
        <v>2017</v>
      </c>
      <c r="AS392" s="1" t="s">
        <v>16</v>
      </c>
      <c r="AT392" s="123" t="s">
        <v>141</v>
      </c>
      <c r="AU392" s="1">
        <v>24.38</v>
      </c>
      <c r="AV392" s="1">
        <v>4.59</v>
      </c>
      <c r="AW392" s="1">
        <v>232290</v>
      </c>
      <c r="AX392" s="1">
        <v>0.52</v>
      </c>
      <c r="AY392" s="1">
        <v>201804</v>
      </c>
      <c r="AZ392" s="1">
        <v>8</v>
      </c>
      <c r="BA392" s="19"/>
    </row>
    <row r="393" spans="33:53" x14ac:dyDescent="0.25">
      <c r="AG393" s="27" t="str">
        <f t="shared" si="36"/>
        <v>Crazy 8RetailUSA20</v>
      </c>
      <c r="AH393" s="1" t="s">
        <v>60</v>
      </c>
      <c r="AI393" s="1" t="s">
        <v>5</v>
      </c>
      <c r="AJ393" s="1" t="s">
        <v>307</v>
      </c>
      <c r="AK393" s="1">
        <v>20</v>
      </c>
      <c r="AL393" s="19">
        <v>0.5</v>
      </c>
      <c r="AN393" s="109" t="str">
        <f t="shared" si="37"/>
        <v>GymboreeUSARetailGY 17 SUM 1</v>
      </c>
      <c r="AO393" s="1" t="s">
        <v>14</v>
      </c>
      <c r="AP393" s="1" t="s">
        <v>5</v>
      </c>
      <c r="AQ393" s="1" t="s">
        <v>307</v>
      </c>
      <c r="AR393" s="1">
        <v>2017</v>
      </c>
      <c r="AS393" s="1" t="s">
        <v>16</v>
      </c>
      <c r="AT393" s="123" t="s">
        <v>139</v>
      </c>
      <c r="AU393" s="1">
        <v>25.13</v>
      </c>
      <c r="AV393" s="1">
        <v>4.22</v>
      </c>
      <c r="AW393" s="1">
        <v>514552</v>
      </c>
      <c r="AX393" s="1">
        <v>0.41</v>
      </c>
      <c r="AY393" s="1">
        <v>201806</v>
      </c>
      <c r="AZ393" s="1">
        <v>6</v>
      </c>
      <c r="BA393" s="19"/>
    </row>
    <row r="394" spans="33:53" x14ac:dyDescent="0.25">
      <c r="AG394" s="27" t="str">
        <f t="shared" si="36"/>
        <v>Crazy 8RetailUSA21</v>
      </c>
      <c r="AH394" s="1" t="s">
        <v>60</v>
      </c>
      <c r="AI394" s="1" t="s">
        <v>5</v>
      </c>
      <c r="AJ394" s="1" t="s">
        <v>307</v>
      </c>
      <c r="AK394" s="1">
        <v>21</v>
      </c>
      <c r="AL394" s="19">
        <v>0.5</v>
      </c>
      <c r="AN394" s="109" t="str">
        <f t="shared" si="37"/>
        <v>GymboreeUSARetailGY 17 DRSY CAP</v>
      </c>
      <c r="AO394" s="1" t="s">
        <v>14</v>
      </c>
      <c r="AP394" s="1" t="s">
        <v>5</v>
      </c>
      <c r="AQ394" s="1" t="s">
        <v>307</v>
      </c>
      <c r="AR394" s="1">
        <v>2017</v>
      </c>
      <c r="AS394" s="1" t="s">
        <v>16</v>
      </c>
      <c r="AT394" s="123" t="s">
        <v>135</v>
      </c>
      <c r="AU394" s="1">
        <v>32.479999999999997</v>
      </c>
      <c r="AV394" s="1">
        <v>5.26</v>
      </c>
      <c r="AW394" s="1">
        <v>641856</v>
      </c>
      <c r="AX394" s="1">
        <v>0.48</v>
      </c>
      <c r="AY394" s="1">
        <v>201753</v>
      </c>
      <c r="AZ394" s="1">
        <v>8</v>
      </c>
      <c r="BA394" s="19"/>
    </row>
    <row r="395" spans="33:53" x14ac:dyDescent="0.25">
      <c r="AG395" s="27" t="str">
        <f t="shared" si="36"/>
        <v>Crazy 8RetailUSA22</v>
      </c>
      <c r="AH395" s="1" t="s">
        <v>60</v>
      </c>
      <c r="AI395" s="1" t="s">
        <v>5</v>
      </c>
      <c r="AJ395" s="1" t="s">
        <v>307</v>
      </c>
      <c r="AK395" s="1">
        <v>22</v>
      </c>
      <c r="AL395" s="19">
        <v>0.5</v>
      </c>
      <c r="AN395" s="109" t="str">
        <f t="shared" si="37"/>
        <v>GymboreeUSARetailGY 17 SMR</v>
      </c>
      <c r="AO395" s="1" t="s">
        <v>14</v>
      </c>
      <c r="AP395" s="1" t="s">
        <v>5</v>
      </c>
      <c r="AQ395" s="1" t="s">
        <v>307</v>
      </c>
      <c r="AR395" s="1">
        <v>2017</v>
      </c>
      <c r="AS395" s="1" t="s">
        <v>18</v>
      </c>
      <c r="AT395" s="123" t="s">
        <v>153</v>
      </c>
      <c r="AU395" s="1">
        <v>19.71</v>
      </c>
      <c r="AV395" s="1">
        <v>4.05</v>
      </c>
      <c r="AW395" s="1">
        <v>1413265</v>
      </c>
      <c r="AX395" s="1">
        <v>0.6</v>
      </c>
      <c r="AY395" s="1">
        <v>201806</v>
      </c>
      <c r="AZ395" s="1">
        <v>16</v>
      </c>
      <c r="BA395" s="19"/>
    </row>
    <row r="396" spans="33:53" x14ac:dyDescent="0.25">
      <c r="AG396" s="27" t="str">
        <f t="shared" si="36"/>
        <v>Crazy 8RetailUSA23</v>
      </c>
      <c r="AH396" s="1" t="s">
        <v>60</v>
      </c>
      <c r="AI396" s="1" t="s">
        <v>5</v>
      </c>
      <c r="AJ396" s="1" t="s">
        <v>307</v>
      </c>
      <c r="AK396" s="1">
        <v>23</v>
      </c>
      <c r="AL396" s="19">
        <v>0.5</v>
      </c>
      <c r="AN396" s="109" t="str">
        <f t="shared" si="37"/>
        <v>GymboreeUSARetailGY 17 SM2</v>
      </c>
      <c r="AO396" s="1" t="s">
        <v>14</v>
      </c>
      <c r="AP396" s="1" t="s">
        <v>5</v>
      </c>
      <c r="AQ396" s="1" t="s">
        <v>307</v>
      </c>
      <c r="AR396" s="1">
        <v>2017</v>
      </c>
      <c r="AS396" s="1" t="s">
        <v>18</v>
      </c>
      <c r="AT396" s="123" t="s">
        <v>143</v>
      </c>
      <c r="AU396" s="1">
        <v>24.94</v>
      </c>
      <c r="AV396" s="1">
        <v>4.4000000000000004</v>
      </c>
      <c r="AW396" s="1">
        <v>818643</v>
      </c>
      <c r="AX396" s="1">
        <v>0.54</v>
      </c>
      <c r="AY396" s="1">
        <v>201810</v>
      </c>
      <c r="AZ396" s="1">
        <v>6</v>
      </c>
      <c r="BA396" s="19"/>
    </row>
    <row r="397" spans="33:53" x14ac:dyDescent="0.25">
      <c r="AG397" s="27" t="str">
        <f t="shared" si="36"/>
        <v>Crazy 8RetailUSA24</v>
      </c>
      <c r="AH397" s="1" t="s">
        <v>60</v>
      </c>
      <c r="AI397" s="1" t="s">
        <v>5</v>
      </c>
      <c r="AJ397" s="1" t="s">
        <v>307</v>
      </c>
      <c r="AK397" s="1">
        <v>24</v>
      </c>
      <c r="AL397" s="19">
        <v>0.5</v>
      </c>
      <c r="AN397" s="109" t="str">
        <f t="shared" si="37"/>
        <v>GymboreeUSARetailGY 17 SWIM 3</v>
      </c>
      <c r="AO397" s="1" t="s">
        <v>14</v>
      </c>
      <c r="AP397" s="1" t="s">
        <v>5</v>
      </c>
      <c r="AQ397" s="1" t="s">
        <v>307</v>
      </c>
      <c r="AR397" s="1">
        <v>2017</v>
      </c>
      <c r="AS397" s="1" t="s">
        <v>18</v>
      </c>
      <c r="AT397" s="123" t="s">
        <v>147</v>
      </c>
      <c r="AU397" s="1">
        <v>26.42</v>
      </c>
      <c r="AV397" s="1">
        <v>4.79</v>
      </c>
      <c r="AW397" s="1">
        <v>189290</v>
      </c>
      <c r="AX397" s="1">
        <v>0.64</v>
      </c>
      <c r="AY397" s="1">
        <v>201810</v>
      </c>
      <c r="AZ397" s="1">
        <v>11</v>
      </c>
      <c r="BA397" s="19"/>
    </row>
    <row r="398" spans="33:53" x14ac:dyDescent="0.25">
      <c r="AG398" s="27" t="str">
        <f t="shared" si="36"/>
        <v>Crazy 8RetailUSA25</v>
      </c>
      <c r="AH398" s="1" t="s">
        <v>60</v>
      </c>
      <c r="AI398" s="1" t="s">
        <v>5</v>
      </c>
      <c r="AJ398" s="1" t="s">
        <v>307</v>
      </c>
      <c r="AK398" s="1">
        <v>25</v>
      </c>
      <c r="AL398" s="19">
        <v>0.55000000000000004</v>
      </c>
      <c r="AN398" s="109" t="str">
        <f t="shared" si="37"/>
        <v>GymboreeUSARetailGY 17 SM3</v>
      </c>
      <c r="AO398" s="1" t="s">
        <v>14</v>
      </c>
      <c r="AP398" s="1" t="s">
        <v>5</v>
      </c>
      <c r="AQ398" s="1" t="s">
        <v>307</v>
      </c>
      <c r="AR398" s="1">
        <v>2017</v>
      </c>
      <c r="AS398" s="1" t="s">
        <v>18</v>
      </c>
      <c r="AT398" s="123" t="s">
        <v>145</v>
      </c>
      <c r="AU398" s="1">
        <v>24.87</v>
      </c>
      <c r="AV398" s="1">
        <v>4.6500000000000004</v>
      </c>
      <c r="AW398" s="1">
        <v>525441</v>
      </c>
      <c r="AX398" s="1">
        <v>0.54</v>
      </c>
      <c r="AY398" s="1">
        <v>201813</v>
      </c>
      <c r="AZ398" s="1">
        <v>6</v>
      </c>
      <c r="BA398" s="19"/>
    </row>
    <row r="399" spans="33:53" x14ac:dyDescent="0.25">
      <c r="AG399" s="27" t="str">
        <f t="shared" si="36"/>
        <v>Crazy 8RetailUSA26</v>
      </c>
      <c r="AH399" s="1" t="s">
        <v>60</v>
      </c>
      <c r="AI399" s="1" t="s">
        <v>5</v>
      </c>
      <c r="AJ399" s="1" t="s">
        <v>307</v>
      </c>
      <c r="AK399" s="1">
        <v>26</v>
      </c>
      <c r="AL399" s="19">
        <v>0.55000000000000004</v>
      </c>
      <c r="AN399" s="109" t="str">
        <f t="shared" si="37"/>
        <v>GymboreeUSARetailGY 17 SM4</v>
      </c>
      <c r="AO399" s="1" t="s">
        <v>14</v>
      </c>
      <c r="AP399" s="1" t="s">
        <v>5</v>
      </c>
      <c r="AQ399" s="1" t="s">
        <v>307</v>
      </c>
      <c r="AR399" s="1">
        <v>2017</v>
      </c>
      <c r="AS399" s="1" t="s">
        <v>18</v>
      </c>
      <c r="AT399" s="123" t="s">
        <v>149</v>
      </c>
      <c r="AU399" s="1">
        <v>25.02</v>
      </c>
      <c r="AV399" s="1">
        <v>4.16</v>
      </c>
      <c r="AW399" s="1">
        <v>642137</v>
      </c>
      <c r="AX399" s="1">
        <v>0.6</v>
      </c>
      <c r="AY399" s="1">
        <v>201816</v>
      </c>
      <c r="AZ399" s="1">
        <v>7</v>
      </c>
      <c r="BA399" s="19"/>
    </row>
    <row r="400" spans="33:53" x14ac:dyDescent="0.25">
      <c r="AG400" s="27" t="str">
        <f t="shared" si="36"/>
        <v>Crazy 8RetailUSA27</v>
      </c>
      <c r="AH400" s="1" t="s">
        <v>60</v>
      </c>
      <c r="AI400" s="1" t="s">
        <v>5</v>
      </c>
      <c r="AJ400" s="1" t="s">
        <v>307</v>
      </c>
      <c r="AK400" s="1">
        <v>27</v>
      </c>
      <c r="AL400" s="19">
        <v>0.55000000000000004</v>
      </c>
      <c r="AN400" s="109" t="str">
        <f t="shared" si="37"/>
        <v>GymboreeUSARetailGY 17 TRANS</v>
      </c>
      <c r="AO400" s="1" t="s">
        <v>14</v>
      </c>
      <c r="AP400" s="1" t="s">
        <v>5</v>
      </c>
      <c r="AQ400" s="1" t="s">
        <v>307</v>
      </c>
      <c r="AR400" s="1">
        <v>2017</v>
      </c>
      <c r="AS400" s="1" t="s">
        <v>18</v>
      </c>
      <c r="AT400" s="123" t="s">
        <v>151</v>
      </c>
      <c r="AU400" s="1">
        <v>24.93</v>
      </c>
      <c r="AV400" s="1">
        <v>4.3</v>
      </c>
      <c r="AW400" s="1">
        <v>658766</v>
      </c>
      <c r="AX400" s="1">
        <v>0.53</v>
      </c>
      <c r="AY400" s="1">
        <v>201820</v>
      </c>
      <c r="AZ400" s="1">
        <v>6</v>
      </c>
      <c r="BA400" s="19"/>
    </row>
    <row r="401" spans="33:53" x14ac:dyDescent="0.25">
      <c r="AG401" s="27" t="str">
        <f t="shared" si="36"/>
        <v>Crazy 8RetailUSA28</v>
      </c>
      <c r="AH401" s="1" t="s">
        <v>60</v>
      </c>
      <c r="AI401" s="1" t="s">
        <v>5</v>
      </c>
      <c r="AJ401" s="1" t="s">
        <v>307</v>
      </c>
      <c r="AK401" s="1">
        <v>28</v>
      </c>
      <c r="AL401" s="19">
        <v>0.55000000000000004</v>
      </c>
      <c r="AN401" s="109" t="str">
        <f t="shared" si="37"/>
        <v>GymboreeUSAWebGY 17 JAN CAP</v>
      </c>
      <c r="AO401" s="1" t="s">
        <v>14</v>
      </c>
      <c r="AP401" s="1" t="s">
        <v>15</v>
      </c>
      <c r="AQ401" s="1" t="s">
        <v>307</v>
      </c>
      <c r="AR401" s="1">
        <v>2017</v>
      </c>
      <c r="AS401" s="1" t="s">
        <v>16</v>
      </c>
      <c r="AT401" s="123" t="s">
        <v>350</v>
      </c>
      <c r="AU401" s="1">
        <v>28.66</v>
      </c>
      <c r="AV401" s="1">
        <v>4.3</v>
      </c>
      <c r="AW401" s="1">
        <v>198582</v>
      </c>
      <c r="AX401" s="1">
        <v>0.5</v>
      </c>
      <c r="AY401" s="1">
        <v>201746</v>
      </c>
      <c r="AZ401" s="1">
        <v>9</v>
      </c>
      <c r="BA401" s="19"/>
    </row>
    <row r="402" spans="33:53" x14ac:dyDescent="0.25">
      <c r="AG402" s="27" t="str">
        <f t="shared" si="36"/>
        <v>Crazy 8RetailUSA29</v>
      </c>
      <c r="AH402" s="1" t="s">
        <v>60</v>
      </c>
      <c r="AI402" s="1" t="s">
        <v>5</v>
      </c>
      <c r="AJ402" s="1" t="s">
        <v>307</v>
      </c>
      <c r="AK402" s="1">
        <v>29</v>
      </c>
      <c r="AL402" s="19">
        <v>0.55000000000000004</v>
      </c>
      <c r="AN402" s="109" t="str">
        <f t="shared" si="37"/>
        <v>GymboreeUSAWebGY 17 SPR</v>
      </c>
      <c r="AO402" s="1" t="s">
        <v>14</v>
      </c>
      <c r="AP402" s="1" t="s">
        <v>15</v>
      </c>
      <c r="AQ402" s="1" t="s">
        <v>307</v>
      </c>
      <c r="AR402" s="1">
        <v>2017</v>
      </c>
      <c r="AS402" s="1" t="s">
        <v>16</v>
      </c>
      <c r="AT402" s="123" t="s">
        <v>129</v>
      </c>
      <c r="AU402" s="1">
        <v>17.88</v>
      </c>
      <c r="AV402" s="1">
        <v>3.99</v>
      </c>
      <c r="AW402" s="1">
        <v>668824</v>
      </c>
      <c r="AX402" s="1">
        <v>0.49</v>
      </c>
      <c r="AY402" s="1">
        <v>201744</v>
      </c>
      <c r="AZ402" s="1">
        <v>22</v>
      </c>
      <c r="BA402" s="19"/>
    </row>
    <row r="403" spans="33:53" x14ac:dyDescent="0.25">
      <c r="AG403" s="27" t="str">
        <f t="shared" si="36"/>
        <v>Crazy 8RetailUSA30</v>
      </c>
      <c r="AH403" s="1" t="s">
        <v>60</v>
      </c>
      <c r="AI403" s="1" t="s">
        <v>5</v>
      </c>
      <c r="AJ403" s="1" t="s">
        <v>307</v>
      </c>
      <c r="AK403" s="1">
        <v>30</v>
      </c>
      <c r="AL403" s="19">
        <v>0.6</v>
      </c>
      <c r="AN403" s="109" t="str">
        <f t="shared" si="37"/>
        <v>GymboreeUSAWebGY 17 SPRING BASICS</v>
      </c>
      <c r="AO403" s="1" t="s">
        <v>14</v>
      </c>
      <c r="AP403" s="1" t="s">
        <v>15</v>
      </c>
      <c r="AQ403" s="1" t="s">
        <v>307</v>
      </c>
      <c r="AR403" s="1">
        <v>2017</v>
      </c>
      <c r="AS403" s="1" t="s">
        <v>16</v>
      </c>
      <c r="AT403" s="123" t="s">
        <v>126</v>
      </c>
      <c r="AU403" s="1">
        <v>24.01</v>
      </c>
      <c r="AV403" s="1">
        <v>4.45</v>
      </c>
      <c r="AW403" s="1">
        <v>543098</v>
      </c>
      <c r="AX403" s="1">
        <v>0.54</v>
      </c>
      <c r="AY403" s="1">
        <v>201748</v>
      </c>
      <c r="AZ403" s="1">
        <v>22</v>
      </c>
      <c r="BA403" s="19"/>
    </row>
    <row r="404" spans="33:53" x14ac:dyDescent="0.25">
      <c r="AG404" s="27" t="str">
        <f t="shared" si="36"/>
        <v>Crazy 8RetailUSA31</v>
      </c>
      <c r="AH404" s="1" t="s">
        <v>60</v>
      </c>
      <c r="AI404" s="1" t="s">
        <v>5</v>
      </c>
      <c r="AJ404" s="1" t="s">
        <v>307</v>
      </c>
      <c r="AK404" s="1">
        <v>31</v>
      </c>
      <c r="AL404" s="19">
        <v>0.6</v>
      </c>
      <c r="AN404" s="109" t="str">
        <f t="shared" si="37"/>
        <v>GymboreeUSAWebGY 17 SPR 1</v>
      </c>
      <c r="AO404" s="1" t="s">
        <v>14</v>
      </c>
      <c r="AP404" s="1" t="s">
        <v>15</v>
      </c>
      <c r="AQ404" s="1" t="s">
        <v>307</v>
      </c>
      <c r="AR404" s="1">
        <v>2017</v>
      </c>
      <c r="AS404" s="1" t="s">
        <v>16</v>
      </c>
      <c r="AT404" s="123" t="s">
        <v>131</v>
      </c>
      <c r="AU404" s="1">
        <v>27.36</v>
      </c>
      <c r="AV404" s="1">
        <v>5.14</v>
      </c>
      <c r="AW404" s="1">
        <v>390524</v>
      </c>
      <c r="AX404" s="1">
        <v>0.45</v>
      </c>
      <c r="AY404" s="1">
        <v>201748</v>
      </c>
      <c r="AZ404" s="1">
        <v>8</v>
      </c>
      <c r="BA404" s="19"/>
    </row>
    <row r="405" spans="33:53" x14ac:dyDescent="0.25">
      <c r="AG405" s="27" t="str">
        <f t="shared" si="36"/>
        <v>Crazy 8RetailUSA32</v>
      </c>
      <c r="AH405" s="1" t="s">
        <v>60</v>
      </c>
      <c r="AI405" s="1" t="s">
        <v>5</v>
      </c>
      <c r="AJ405" s="1" t="s">
        <v>307</v>
      </c>
      <c r="AK405" s="1">
        <v>32</v>
      </c>
      <c r="AL405" s="19">
        <v>0.6</v>
      </c>
      <c r="AN405" s="109" t="str">
        <f t="shared" si="37"/>
        <v>GymboreeUSAWebGY 17 SPR 2</v>
      </c>
      <c r="AO405" s="1" t="s">
        <v>14</v>
      </c>
      <c r="AP405" s="1" t="s">
        <v>15</v>
      </c>
      <c r="AQ405" s="1" t="s">
        <v>307</v>
      </c>
      <c r="AR405" s="1">
        <v>2017</v>
      </c>
      <c r="AS405" s="1" t="s">
        <v>16</v>
      </c>
      <c r="AT405" s="123" t="s">
        <v>50</v>
      </c>
      <c r="AU405" s="1">
        <v>27.05</v>
      </c>
      <c r="AV405" s="1">
        <v>4.63</v>
      </c>
      <c r="AW405" s="1">
        <v>288702</v>
      </c>
      <c r="AX405" s="1">
        <v>0.28999999999999998</v>
      </c>
      <c r="AY405" s="1">
        <v>201751</v>
      </c>
      <c r="AZ405" s="1">
        <v>7</v>
      </c>
      <c r="BA405" s="19"/>
    </row>
    <row r="406" spans="33:53" x14ac:dyDescent="0.25">
      <c r="AG406" s="27" t="str">
        <f t="shared" si="36"/>
        <v>Crazy 8RetailUSA33</v>
      </c>
      <c r="AH406" s="1" t="s">
        <v>60</v>
      </c>
      <c r="AI406" s="1" t="s">
        <v>5</v>
      </c>
      <c r="AJ406" s="1" t="s">
        <v>307</v>
      </c>
      <c r="AK406" s="1">
        <v>33</v>
      </c>
      <c r="AL406" s="19">
        <v>0.6</v>
      </c>
      <c r="AN406" s="109" t="str">
        <f t="shared" si="37"/>
        <v>GymboreeUSAWebGY 17 SWIM 1</v>
      </c>
      <c r="AO406" s="1" t="s">
        <v>14</v>
      </c>
      <c r="AP406" s="1" t="s">
        <v>15</v>
      </c>
      <c r="AQ406" s="1" t="s">
        <v>307</v>
      </c>
      <c r="AR406" s="1">
        <v>2017</v>
      </c>
      <c r="AS406" s="1" t="s">
        <v>16</v>
      </c>
      <c r="AT406" s="123" t="s">
        <v>133</v>
      </c>
      <c r="AU406" s="1">
        <v>28.32</v>
      </c>
      <c r="AV406" s="1">
        <v>5.21</v>
      </c>
      <c r="AW406" s="1">
        <v>99972</v>
      </c>
      <c r="AX406" s="1">
        <v>0.48</v>
      </c>
      <c r="AY406" s="1">
        <v>201751</v>
      </c>
      <c r="AZ406" s="1">
        <v>10</v>
      </c>
      <c r="BA406" s="19"/>
    </row>
    <row r="407" spans="33:53" x14ac:dyDescent="0.25">
      <c r="AG407" s="27" t="str">
        <f t="shared" si="36"/>
        <v>Crazy 8RetailUSA34</v>
      </c>
      <c r="AH407" s="1" t="s">
        <v>60</v>
      </c>
      <c r="AI407" s="1" t="s">
        <v>5</v>
      </c>
      <c r="AJ407" s="1" t="s">
        <v>307</v>
      </c>
      <c r="AK407" s="1">
        <v>34</v>
      </c>
      <c r="AL407" s="19">
        <v>0.6</v>
      </c>
      <c r="AN407" s="109" t="str">
        <f t="shared" si="37"/>
        <v>GymboreeUSAWebGY 17 SPR VAC</v>
      </c>
      <c r="AO407" s="1" t="s">
        <v>14</v>
      </c>
      <c r="AP407" s="1" t="s">
        <v>15</v>
      </c>
      <c r="AQ407" s="1" t="s">
        <v>307</v>
      </c>
      <c r="AR407" s="1">
        <v>2017</v>
      </c>
      <c r="AS407" s="1" t="s">
        <v>16</v>
      </c>
      <c r="AT407" s="123" t="s">
        <v>137</v>
      </c>
      <c r="AU407" s="1">
        <v>25.81</v>
      </c>
      <c r="AV407" s="1">
        <v>4.7300000000000004</v>
      </c>
      <c r="AW407" s="1">
        <v>823915</v>
      </c>
      <c r="AX407" s="1">
        <v>0.37</v>
      </c>
      <c r="AY407" s="1">
        <v>201802</v>
      </c>
      <c r="AZ407" s="1">
        <v>8</v>
      </c>
      <c r="BA407" s="19"/>
    </row>
    <row r="408" spans="33:53" x14ac:dyDescent="0.25">
      <c r="AG408" s="27" t="str">
        <f t="shared" si="36"/>
        <v>Crazy 8RetailUSA35</v>
      </c>
      <c r="AH408" s="1" t="s">
        <v>60</v>
      </c>
      <c r="AI408" s="1" t="s">
        <v>5</v>
      </c>
      <c r="AJ408" s="1" t="s">
        <v>307</v>
      </c>
      <c r="AK408" s="1">
        <v>35</v>
      </c>
      <c r="AL408" s="19">
        <v>0.65</v>
      </c>
      <c r="AN408" s="109" t="str">
        <f t="shared" si="37"/>
        <v>GymboreeUSAWebGY 17 SWIM 2</v>
      </c>
      <c r="AO408" s="1" t="s">
        <v>14</v>
      </c>
      <c r="AP408" s="1" t="s">
        <v>15</v>
      </c>
      <c r="AQ408" s="1" t="s">
        <v>307</v>
      </c>
      <c r="AR408" s="1">
        <v>2017</v>
      </c>
      <c r="AS408" s="1" t="s">
        <v>16</v>
      </c>
      <c r="AT408" s="123" t="s">
        <v>141</v>
      </c>
      <c r="AU408" s="1">
        <v>24.35</v>
      </c>
      <c r="AV408" s="1">
        <v>4.6100000000000003</v>
      </c>
      <c r="AW408" s="1">
        <v>191568</v>
      </c>
      <c r="AX408" s="1">
        <v>0.43</v>
      </c>
      <c r="AY408" s="1">
        <v>201802</v>
      </c>
      <c r="AZ408" s="1">
        <v>10</v>
      </c>
      <c r="BA408" s="19"/>
    </row>
    <row r="409" spans="33:53" x14ac:dyDescent="0.25">
      <c r="AG409" s="27" t="str">
        <f t="shared" si="36"/>
        <v>Crazy 8RetailUSA36</v>
      </c>
      <c r="AH409" s="1" t="s">
        <v>60</v>
      </c>
      <c r="AI409" s="1" t="s">
        <v>5</v>
      </c>
      <c r="AJ409" s="1" t="s">
        <v>307</v>
      </c>
      <c r="AK409" s="1">
        <v>36</v>
      </c>
      <c r="AL409" s="19">
        <v>0.65</v>
      </c>
      <c r="AN409" s="109" t="str">
        <f t="shared" si="37"/>
        <v>GymboreeUSAWebGY 17 SUM 1</v>
      </c>
      <c r="AO409" s="1" t="s">
        <v>14</v>
      </c>
      <c r="AP409" s="1" t="s">
        <v>15</v>
      </c>
      <c r="AQ409" s="1" t="s">
        <v>307</v>
      </c>
      <c r="AR409" s="1">
        <v>2017</v>
      </c>
      <c r="AS409" s="1" t="s">
        <v>16</v>
      </c>
      <c r="AT409" s="123" t="s">
        <v>139</v>
      </c>
      <c r="AU409" s="1">
        <v>25.96</v>
      </c>
      <c r="AV409" s="1">
        <v>4.34</v>
      </c>
      <c r="AW409" s="1">
        <v>307653</v>
      </c>
      <c r="AX409" s="1">
        <v>0.34</v>
      </c>
      <c r="AY409" s="1">
        <v>201804</v>
      </c>
      <c r="AZ409" s="1">
        <v>8</v>
      </c>
      <c r="BA409" s="19"/>
    </row>
    <row r="410" spans="33:53" x14ac:dyDescent="0.25">
      <c r="AG410" s="27" t="str">
        <f t="shared" si="36"/>
        <v>Crazy 8RetailUSA37</v>
      </c>
      <c r="AH410" s="1" t="s">
        <v>60</v>
      </c>
      <c r="AI410" s="1" t="s">
        <v>5</v>
      </c>
      <c r="AJ410" s="1" t="s">
        <v>307</v>
      </c>
      <c r="AK410" s="1">
        <v>37</v>
      </c>
      <c r="AL410" s="19">
        <v>0.65</v>
      </c>
      <c r="AN410" s="109" t="str">
        <f t="shared" si="37"/>
        <v>GymboreeUSAWebGY 17 DRSY CAP</v>
      </c>
      <c r="AO410" s="1" t="s">
        <v>14</v>
      </c>
      <c r="AP410" s="1" t="s">
        <v>15</v>
      </c>
      <c r="AQ410" s="1" t="s">
        <v>307</v>
      </c>
      <c r="AR410" s="1">
        <v>2017</v>
      </c>
      <c r="AS410" s="1" t="s">
        <v>16</v>
      </c>
      <c r="AT410" s="123" t="s">
        <v>135</v>
      </c>
      <c r="AU410" s="1">
        <v>35.96</v>
      </c>
      <c r="AV410" s="1">
        <v>5.7</v>
      </c>
      <c r="AW410" s="1">
        <v>403370</v>
      </c>
      <c r="AX410" s="1">
        <v>0.41</v>
      </c>
      <c r="AY410" s="1">
        <v>201751</v>
      </c>
      <c r="AZ410" s="1">
        <v>10</v>
      </c>
      <c r="BA410" s="19"/>
    </row>
    <row r="411" spans="33:53" x14ac:dyDescent="0.25">
      <c r="AG411" s="27" t="str">
        <f t="shared" si="36"/>
        <v>Crazy 8RetailUSA38</v>
      </c>
      <c r="AH411" s="1" t="s">
        <v>60</v>
      </c>
      <c r="AI411" s="1" t="s">
        <v>5</v>
      </c>
      <c r="AJ411" s="1" t="s">
        <v>307</v>
      </c>
      <c r="AK411" s="1">
        <v>38</v>
      </c>
      <c r="AL411" s="19">
        <v>0.65</v>
      </c>
      <c r="AN411" s="109" t="str">
        <f t="shared" si="37"/>
        <v>GymboreeUSAWebGY 17 SMR</v>
      </c>
      <c r="AO411" s="1" t="s">
        <v>14</v>
      </c>
      <c r="AP411" s="1" t="s">
        <v>15</v>
      </c>
      <c r="AQ411" s="1" t="s">
        <v>307</v>
      </c>
      <c r="AR411" s="1">
        <v>2017</v>
      </c>
      <c r="AS411" s="1" t="s">
        <v>18</v>
      </c>
      <c r="AT411" s="123" t="s">
        <v>153</v>
      </c>
      <c r="AU411" s="1">
        <v>22.74</v>
      </c>
      <c r="AV411" s="1">
        <v>4.84</v>
      </c>
      <c r="AW411" s="1">
        <v>712601</v>
      </c>
      <c r="AX411" s="1">
        <v>0.51</v>
      </c>
      <c r="AY411" s="1">
        <v>201804</v>
      </c>
      <c r="AZ411" s="1">
        <v>18</v>
      </c>
      <c r="BA411" s="19"/>
    </row>
    <row r="412" spans="33:53" x14ac:dyDescent="0.25">
      <c r="AG412" s="27" t="str">
        <f t="shared" si="36"/>
        <v>Crazy 8RetailUSA39</v>
      </c>
      <c r="AH412" s="1" t="s">
        <v>60</v>
      </c>
      <c r="AI412" s="1" t="s">
        <v>5</v>
      </c>
      <c r="AJ412" s="1" t="s">
        <v>307</v>
      </c>
      <c r="AK412" s="1">
        <v>39</v>
      </c>
      <c r="AL412" s="19">
        <v>0.65</v>
      </c>
      <c r="AN412" s="109" t="str">
        <f t="shared" si="37"/>
        <v>GymboreeUSAWebGY 17 SM2</v>
      </c>
      <c r="AO412" s="1" t="s">
        <v>14</v>
      </c>
      <c r="AP412" s="1" t="s">
        <v>15</v>
      </c>
      <c r="AQ412" s="1" t="s">
        <v>307</v>
      </c>
      <c r="AR412" s="1">
        <v>2017</v>
      </c>
      <c r="AS412" s="1" t="s">
        <v>18</v>
      </c>
      <c r="AT412" s="123" t="s">
        <v>143</v>
      </c>
      <c r="AU412" s="1">
        <v>25.47</v>
      </c>
      <c r="AV412" s="1">
        <v>4.3899999999999997</v>
      </c>
      <c r="AW412" s="1">
        <v>516772</v>
      </c>
      <c r="AX412" s="1">
        <v>0.49</v>
      </c>
      <c r="AY412" s="1">
        <v>201808</v>
      </c>
      <c r="AZ412" s="1">
        <v>8</v>
      </c>
      <c r="BA412" s="19"/>
    </row>
    <row r="413" spans="33:53" x14ac:dyDescent="0.25">
      <c r="AG413" s="27" t="str">
        <f t="shared" si="36"/>
        <v>Crazy 8RetailUSA40</v>
      </c>
      <c r="AH413" s="1" t="s">
        <v>60</v>
      </c>
      <c r="AI413" s="1" t="s">
        <v>5</v>
      </c>
      <c r="AJ413" s="1" t="s">
        <v>307</v>
      </c>
      <c r="AK413" s="1">
        <v>40</v>
      </c>
      <c r="AL413" s="19">
        <v>0.7</v>
      </c>
      <c r="AN413" s="109" t="str">
        <f t="shared" si="37"/>
        <v>GymboreeUSAWebGY 17 SWIM 3</v>
      </c>
      <c r="AO413" s="1" t="s">
        <v>14</v>
      </c>
      <c r="AP413" s="1" t="s">
        <v>15</v>
      </c>
      <c r="AQ413" s="1" t="s">
        <v>307</v>
      </c>
      <c r="AR413" s="1">
        <v>2017</v>
      </c>
      <c r="AS413" s="1" t="s">
        <v>18</v>
      </c>
      <c r="AT413" s="123" t="s">
        <v>147</v>
      </c>
      <c r="AU413" s="1">
        <v>27.09</v>
      </c>
      <c r="AV413" s="1">
        <v>4.92</v>
      </c>
      <c r="AW413" s="1">
        <v>148944</v>
      </c>
      <c r="AX413" s="1">
        <v>0.52</v>
      </c>
      <c r="AY413" s="1">
        <v>201808</v>
      </c>
      <c r="AZ413" s="1">
        <v>13</v>
      </c>
      <c r="BA413" s="19"/>
    </row>
    <row r="414" spans="33:53" x14ac:dyDescent="0.25">
      <c r="AG414" s="27" t="str">
        <f t="shared" si="36"/>
        <v>Crazy 8RetailUSA41</v>
      </c>
      <c r="AH414" s="1" t="s">
        <v>60</v>
      </c>
      <c r="AI414" s="1" t="s">
        <v>5</v>
      </c>
      <c r="AJ414" s="1" t="s">
        <v>307</v>
      </c>
      <c r="AK414" s="1">
        <v>41</v>
      </c>
      <c r="AL414" s="19">
        <v>0.7</v>
      </c>
      <c r="AN414" s="109" t="str">
        <f t="shared" si="37"/>
        <v>GymboreeUSAWebGY 17 SM3</v>
      </c>
      <c r="AO414" s="1" t="s">
        <v>14</v>
      </c>
      <c r="AP414" s="1" t="s">
        <v>15</v>
      </c>
      <c r="AQ414" s="1" t="s">
        <v>307</v>
      </c>
      <c r="AR414" s="1">
        <v>2017</v>
      </c>
      <c r="AS414" s="1" t="s">
        <v>18</v>
      </c>
      <c r="AT414" s="123" t="s">
        <v>145</v>
      </c>
      <c r="AU414" s="1">
        <v>24.67</v>
      </c>
      <c r="AV414" s="1">
        <v>4.45</v>
      </c>
      <c r="AW414" s="1">
        <v>522778</v>
      </c>
      <c r="AX414" s="1">
        <v>0.43</v>
      </c>
      <c r="AY414" s="1">
        <v>201811</v>
      </c>
      <c r="AZ414" s="1">
        <v>8</v>
      </c>
      <c r="BA414" s="19"/>
    </row>
    <row r="415" spans="33:53" x14ac:dyDescent="0.25">
      <c r="AG415" s="27" t="str">
        <f t="shared" si="36"/>
        <v>Crazy 8RetailUSA42</v>
      </c>
      <c r="AH415" s="1" t="s">
        <v>60</v>
      </c>
      <c r="AI415" s="1" t="s">
        <v>5</v>
      </c>
      <c r="AJ415" s="1" t="s">
        <v>307</v>
      </c>
      <c r="AK415" s="1">
        <v>42</v>
      </c>
      <c r="AL415" s="19">
        <v>0.7</v>
      </c>
      <c r="AN415" s="109" t="str">
        <f t="shared" si="37"/>
        <v>GymboreeUSAWebGY 17 SM4</v>
      </c>
      <c r="AO415" s="1" t="s">
        <v>14</v>
      </c>
      <c r="AP415" s="1" t="s">
        <v>15</v>
      </c>
      <c r="AQ415" s="1" t="s">
        <v>307</v>
      </c>
      <c r="AR415" s="1">
        <v>2017</v>
      </c>
      <c r="AS415" s="1" t="s">
        <v>18</v>
      </c>
      <c r="AT415" s="123" t="s">
        <v>149</v>
      </c>
      <c r="AU415" s="1">
        <v>25.76</v>
      </c>
      <c r="AV415" s="1">
        <v>4.28</v>
      </c>
      <c r="AW415" s="1">
        <v>524784</v>
      </c>
      <c r="AX415" s="1">
        <v>0.49</v>
      </c>
      <c r="AY415" s="1">
        <v>201814</v>
      </c>
      <c r="AZ415" s="1">
        <v>9</v>
      </c>
      <c r="BA415" s="19"/>
    </row>
    <row r="416" spans="33:53" x14ac:dyDescent="0.25">
      <c r="AG416" s="27" t="str">
        <f t="shared" si="36"/>
        <v>Crazy 8RetailUSA43</v>
      </c>
      <c r="AH416" s="1" t="s">
        <v>60</v>
      </c>
      <c r="AI416" s="1" t="s">
        <v>5</v>
      </c>
      <c r="AJ416" s="1" t="s">
        <v>307</v>
      </c>
      <c r="AK416" s="1">
        <v>43</v>
      </c>
      <c r="AL416" s="19">
        <v>0.7</v>
      </c>
      <c r="AN416" s="109" t="str">
        <f t="shared" si="37"/>
        <v>GymboreeUSAWebGY 17 TRANS</v>
      </c>
      <c r="AO416" s="1" t="s">
        <v>14</v>
      </c>
      <c r="AP416" s="1" t="s">
        <v>15</v>
      </c>
      <c r="AQ416" s="1" t="s">
        <v>307</v>
      </c>
      <c r="AR416" s="1">
        <v>2017</v>
      </c>
      <c r="AS416" s="1" t="s">
        <v>18</v>
      </c>
      <c r="AT416" s="123" t="s">
        <v>151</v>
      </c>
      <c r="AU416" s="1">
        <v>24.18</v>
      </c>
      <c r="AV416" s="1">
        <v>4.1100000000000003</v>
      </c>
      <c r="AW416" s="1">
        <v>370583</v>
      </c>
      <c r="AX416" s="1">
        <v>0.45</v>
      </c>
      <c r="AY416" s="1">
        <v>201818</v>
      </c>
      <c r="AZ416" s="1">
        <v>8</v>
      </c>
      <c r="BA416" s="19"/>
    </row>
    <row r="417" spans="33:53" x14ac:dyDescent="0.25">
      <c r="AG417" s="27" t="str">
        <f t="shared" si="36"/>
        <v>Crazy 8RetailUSA44</v>
      </c>
      <c r="AH417" s="1" t="s">
        <v>60</v>
      </c>
      <c r="AI417" s="1" t="s">
        <v>5</v>
      </c>
      <c r="AJ417" s="1" t="s">
        <v>307</v>
      </c>
      <c r="AK417" s="1">
        <v>44</v>
      </c>
      <c r="AL417" s="19">
        <v>0.7</v>
      </c>
      <c r="AN417" s="109" t="str">
        <f t="shared" si="37"/>
        <v>GymboreeCanadaRetailGY 17 JAN CAP</v>
      </c>
      <c r="AO417" s="1" t="s">
        <v>14</v>
      </c>
      <c r="AP417" s="1" t="s">
        <v>5</v>
      </c>
      <c r="AQ417" s="1" t="s">
        <v>308</v>
      </c>
      <c r="AR417" s="1">
        <v>2017</v>
      </c>
      <c r="AS417" s="1" t="s">
        <v>16</v>
      </c>
      <c r="AT417" s="123" t="s">
        <v>350</v>
      </c>
      <c r="AU417" s="1">
        <v>34.72</v>
      </c>
      <c r="AV417" s="1">
        <v>5.26</v>
      </c>
      <c r="AW417" s="1">
        <v>48379</v>
      </c>
      <c r="AX417" s="1">
        <v>0.55000000000000004</v>
      </c>
      <c r="AY417" s="1">
        <v>201748</v>
      </c>
      <c r="AZ417" s="1">
        <v>7</v>
      </c>
      <c r="BA417" s="19"/>
    </row>
    <row r="418" spans="33:53" x14ac:dyDescent="0.25">
      <c r="AG418" s="27" t="str">
        <f t="shared" si="36"/>
        <v>Crazy 8RetailUSA45</v>
      </c>
      <c r="AH418" s="1" t="s">
        <v>60</v>
      </c>
      <c r="AI418" s="1" t="s">
        <v>5</v>
      </c>
      <c r="AJ418" s="1" t="s">
        <v>307</v>
      </c>
      <c r="AK418" s="1">
        <v>45</v>
      </c>
      <c r="AL418" s="19">
        <v>0.7</v>
      </c>
      <c r="AN418" s="109" t="str">
        <f t="shared" si="37"/>
        <v>GymboreeCanadaRetailGY 17 SPR</v>
      </c>
      <c r="AO418" s="1" t="s">
        <v>14</v>
      </c>
      <c r="AP418" s="1" t="s">
        <v>5</v>
      </c>
      <c r="AQ418" s="1" t="s">
        <v>308</v>
      </c>
      <c r="AR418" s="1">
        <v>2017</v>
      </c>
      <c r="AS418" s="1" t="s">
        <v>16</v>
      </c>
      <c r="AT418" s="123" t="s">
        <v>129</v>
      </c>
      <c r="AU418" s="1">
        <v>20.69</v>
      </c>
      <c r="AV418" s="1">
        <v>5.5</v>
      </c>
      <c r="AW418" s="1">
        <v>167162</v>
      </c>
      <c r="AX418" s="1">
        <v>0.6</v>
      </c>
      <c r="AY418" s="1">
        <v>201748</v>
      </c>
      <c r="AZ418" s="1">
        <v>20</v>
      </c>
      <c r="BA418" s="19"/>
    </row>
    <row r="419" spans="33:53" x14ac:dyDescent="0.25">
      <c r="AG419" s="27" t="str">
        <f t="shared" si="36"/>
        <v>Crazy 8RetailUSA46</v>
      </c>
      <c r="AH419" s="1" t="s">
        <v>60</v>
      </c>
      <c r="AI419" s="1" t="s">
        <v>5</v>
      </c>
      <c r="AJ419" s="1" t="s">
        <v>307</v>
      </c>
      <c r="AK419" s="1">
        <v>46</v>
      </c>
      <c r="AL419" s="19">
        <v>0.7</v>
      </c>
      <c r="AN419" s="109" t="str">
        <f t="shared" si="37"/>
        <v>GymboreeCanadaRetailGY 17 SPRING BASICS</v>
      </c>
      <c r="AO419" s="1" t="s">
        <v>14</v>
      </c>
      <c r="AP419" s="1" t="s">
        <v>5</v>
      </c>
      <c r="AQ419" s="1" t="s">
        <v>308</v>
      </c>
      <c r="AR419" s="1">
        <v>2017</v>
      </c>
      <c r="AS419" s="1" t="s">
        <v>16</v>
      </c>
      <c r="AT419" s="123" t="s">
        <v>126</v>
      </c>
      <c r="AU419" s="1">
        <v>25.4</v>
      </c>
      <c r="AV419" s="1">
        <v>4.51</v>
      </c>
      <c r="AW419" s="1">
        <v>176069</v>
      </c>
      <c r="AX419" s="1">
        <v>0.52</v>
      </c>
      <c r="AY419" s="1">
        <v>201746</v>
      </c>
      <c r="AZ419" s="1">
        <v>20</v>
      </c>
      <c r="BA419" s="19"/>
    </row>
    <row r="420" spans="33:53" x14ac:dyDescent="0.25">
      <c r="AG420" s="27" t="str">
        <f t="shared" si="36"/>
        <v>Crazy 8RetailUSA47</v>
      </c>
      <c r="AH420" s="1" t="s">
        <v>60</v>
      </c>
      <c r="AI420" s="1" t="s">
        <v>5</v>
      </c>
      <c r="AJ420" s="1" t="s">
        <v>307</v>
      </c>
      <c r="AK420" s="1">
        <v>47</v>
      </c>
      <c r="AL420" s="19">
        <v>0.7</v>
      </c>
      <c r="AN420" s="109" t="str">
        <f t="shared" si="37"/>
        <v>GymboreeCanadaRetailGY 17 SPR 1</v>
      </c>
      <c r="AO420" s="1" t="s">
        <v>14</v>
      </c>
      <c r="AP420" s="1" t="s">
        <v>5</v>
      </c>
      <c r="AQ420" s="1" t="s">
        <v>308</v>
      </c>
      <c r="AR420" s="1">
        <v>2017</v>
      </c>
      <c r="AS420" s="1" t="s">
        <v>16</v>
      </c>
      <c r="AT420" s="123" t="s">
        <v>131</v>
      </c>
      <c r="AU420" s="1">
        <v>34.909999999999997</v>
      </c>
      <c r="AV420" s="1">
        <v>6.36</v>
      </c>
      <c r="AW420" s="1">
        <v>127077</v>
      </c>
      <c r="AX420" s="1">
        <v>0.42</v>
      </c>
      <c r="AY420" s="1">
        <v>201750</v>
      </c>
      <c r="AZ420" s="1">
        <v>6</v>
      </c>
      <c r="BA420" s="19"/>
    </row>
    <row r="421" spans="33:53" x14ac:dyDescent="0.25">
      <c r="AG421" s="27" t="str">
        <f t="shared" si="36"/>
        <v>Crazy 8RetailUSA48</v>
      </c>
      <c r="AH421" s="1" t="s">
        <v>60</v>
      </c>
      <c r="AI421" s="1" t="s">
        <v>5</v>
      </c>
      <c r="AJ421" s="1" t="s">
        <v>307</v>
      </c>
      <c r="AK421" s="1">
        <v>48</v>
      </c>
      <c r="AL421" s="19">
        <v>0.7</v>
      </c>
      <c r="AN421" s="109" t="str">
        <f t="shared" si="37"/>
        <v>GymboreeCanadaRetailGY 17 SPR 2</v>
      </c>
      <c r="AO421" s="1" t="s">
        <v>14</v>
      </c>
      <c r="AP421" s="1" t="s">
        <v>5</v>
      </c>
      <c r="AQ421" s="1" t="s">
        <v>308</v>
      </c>
      <c r="AR421" s="1">
        <v>2017</v>
      </c>
      <c r="AS421" s="1" t="s">
        <v>16</v>
      </c>
      <c r="AT421" s="123" t="s">
        <v>50</v>
      </c>
      <c r="AU421" s="1">
        <v>34.36</v>
      </c>
      <c r="AV421" s="1">
        <v>5.93</v>
      </c>
      <c r="AW421" s="1">
        <v>67138</v>
      </c>
      <c r="AX421" s="1">
        <v>0.38</v>
      </c>
      <c r="AY421" s="1">
        <v>201750</v>
      </c>
      <c r="AZ421" s="1">
        <v>5</v>
      </c>
      <c r="BA421" s="19"/>
    </row>
    <row r="422" spans="33:53" x14ac:dyDescent="0.25">
      <c r="AG422" s="27" t="str">
        <f t="shared" si="36"/>
        <v>Crazy 8RetailUSA49</v>
      </c>
      <c r="AH422" s="1" t="s">
        <v>60</v>
      </c>
      <c r="AI422" s="1" t="s">
        <v>5</v>
      </c>
      <c r="AJ422" s="1" t="s">
        <v>307</v>
      </c>
      <c r="AK422" s="1">
        <v>49</v>
      </c>
      <c r="AL422" s="19">
        <v>0.7</v>
      </c>
      <c r="AN422" s="109" t="str">
        <f t="shared" si="37"/>
        <v>GymboreeCanadaRetailGY 17 SWIM 1</v>
      </c>
      <c r="AO422" s="1" t="s">
        <v>14</v>
      </c>
      <c r="AP422" s="1" t="s">
        <v>5</v>
      </c>
      <c r="AQ422" s="1" t="s">
        <v>308</v>
      </c>
      <c r="AR422" s="1">
        <v>2017</v>
      </c>
      <c r="AS422" s="1" t="s">
        <v>16</v>
      </c>
      <c r="AT422" s="123" t="s">
        <v>133</v>
      </c>
      <c r="AU422" s="1">
        <v>35.450000000000003</v>
      </c>
      <c r="AV422" s="1">
        <v>6.43</v>
      </c>
      <c r="AW422" s="1">
        <v>8711</v>
      </c>
      <c r="AX422" s="1">
        <v>0.52</v>
      </c>
      <c r="AY422" s="1">
        <v>201753</v>
      </c>
      <c r="AZ422" s="1">
        <v>8</v>
      </c>
      <c r="BA422" s="19"/>
    </row>
    <row r="423" spans="33:53" x14ac:dyDescent="0.25">
      <c r="AG423" s="27" t="str">
        <f t="shared" si="36"/>
        <v>Crazy 8RetailUSA50</v>
      </c>
      <c r="AH423" s="1" t="s">
        <v>60</v>
      </c>
      <c r="AI423" s="1" t="s">
        <v>5</v>
      </c>
      <c r="AJ423" s="1" t="s">
        <v>307</v>
      </c>
      <c r="AK423" s="1">
        <v>50</v>
      </c>
      <c r="AL423" s="19">
        <v>0.7</v>
      </c>
      <c r="AN423" s="109" t="str">
        <f t="shared" si="37"/>
        <v>GymboreeCanadaRetailGY 17 SPR VAC</v>
      </c>
      <c r="AO423" s="1" t="s">
        <v>14</v>
      </c>
      <c r="AP423" s="1" t="s">
        <v>5</v>
      </c>
      <c r="AQ423" s="1" t="s">
        <v>308</v>
      </c>
      <c r="AR423" s="1">
        <v>2017</v>
      </c>
      <c r="AS423" s="1" t="s">
        <v>16</v>
      </c>
      <c r="AT423" s="123" t="s">
        <v>137</v>
      </c>
      <c r="AU423" s="1">
        <v>32.83</v>
      </c>
      <c r="AV423" s="1">
        <v>5.89</v>
      </c>
      <c r="AW423" s="1">
        <v>149111</v>
      </c>
      <c r="AX423" s="1">
        <v>0.53</v>
      </c>
      <c r="AY423" s="1">
        <v>201753</v>
      </c>
      <c r="AZ423" s="1">
        <v>6</v>
      </c>
      <c r="BA423" s="19"/>
    </row>
    <row r="424" spans="33:53" x14ac:dyDescent="0.25">
      <c r="AG424" s="27" t="str">
        <f t="shared" si="36"/>
        <v>Crazy 8RetailUSA51</v>
      </c>
      <c r="AH424" s="1" t="s">
        <v>60</v>
      </c>
      <c r="AI424" s="1" t="s">
        <v>5</v>
      </c>
      <c r="AJ424" s="1" t="s">
        <v>307</v>
      </c>
      <c r="AK424" s="1">
        <v>51</v>
      </c>
      <c r="AL424" s="19">
        <v>0.7</v>
      </c>
      <c r="AN424" s="109" t="str">
        <f t="shared" si="37"/>
        <v>GymboreeCanadaRetailGY 17 SWIM 2</v>
      </c>
      <c r="AO424" s="1" t="s">
        <v>14</v>
      </c>
      <c r="AP424" s="1" t="s">
        <v>5</v>
      </c>
      <c r="AQ424" s="1" t="s">
        <v>308</v>
      </c>
      <c r="AR424" s="1">
        <v>2017</v>
      </c>
      <c r="AS424" s="1" t="s">
        <v>16</v>
      </c>
      <c r="AT424" s="123" t="s">
        <v>141</v>
      </c>
      <c r="AU424" s="1">
        <v>30.34</v>
      </c>
      <c r="AV424" s="1">
        <v>5.69</v>
      </c>
      <c r="AW424" s="1">
        <v>40515</v>
      </c>
      <c r="AX424" s="1">
        <v>0.51</v>
      </c>
      <c r="AY424" s="1">
        <v>201804</v>
      </c>
      <c r="AZ424" s="1">
        <v>8</v>
      </c>
      <c r="BA424" s="19"/>
    </row>
    <row r="425" spans="33:53" x14ac:dyDescent="0.25">
      <c r="AG425" s="27" t="str">
        <f t="shared" si="36"/>
        <v>Crazy 8RetailUSA52</v>
      </c>
      <c r="AH425" s="1" t="s">
        <v>60</v>
      </c>
      <c r="AI425" s="1" t="s">
        <v>5</v>
      </c>
      <c r="AJ425" s="1" t="s">
        <v>307</v>
      </c>
      <c r="AK425" s="1">
        <v>52</v>
      </c>
      <c r="AL425" s="19">
        <v>0.7</v>
      </c>
      <c r="AN425" s="109" t="str">
        <f t="shared" si="37"/>
        <v>GymboreeCanadaRetailGY 17 SUM 1</v>
      </c>
      <c r="AO425" s="1" t="s">
        <v>14</v>
      </c>
      <c r="AP425" s="1" t="s">
        <v>5</v>
      </c>
      <c r="AQ425" s="1" t="s">
        <v>308</v>
      </c>
      <c r="AR425" s="1">
        <v>2017</v>
      </c>
      <c r="AS425" s="1" t="s">
        <v>16</v>
      </c>
      <c r="AT425" s="123" t="s">
        <v>139</v>
      </c>
      <c r="AU425" s="1">
        <v>31.42</v>
      </c>
      <c r="AV425" s="1">
        <v>5.22</v>
      </c>
      <c r="AW425" s="1">
        <v>75152</v>
      </c>
      <c r="AX425" s="1">
        <v>0.46</v>
      </c>
      <c r="AY425" s="1">
        <v>201804</v>
      </c>
      <c r="AZ425" s="1">
        <v>6</v>
      </c>
      <c r="BA425" s="19"/>
    </row>
    <row r="426" spans="33:53" x14ac:dyDescent="0.25">
      <c r="AG426" s="27" t="str">
        <f t="shared" si="36"/>
        <v>Crazy 8RetailUSA53</v>
      </c>
      <c r="AH426" s="1" t="s">
        <v>60</v>
      </c>
      <c r="AI426" s="1" t="s">
        <v>5</v>
      </c>
      <c r="AJ426" s="1" t="s">
        <v>307</v>
      </c>
      <c r="AK426" s="1">
        <v>53</v>
      </c>
      <c r="AL426" s="19">
        <v>0.7</v>
      </c>
      <c r="AN426" s="109" t="str">
        <f t="shared" si="37"/>
        <v>GymboreeCanadaRetailGY 17 DRSY CAP</v>
      </c>
      <c r="AO426" s="1" t="s">
        <v>14</v>
      </c>
      <c r="AP426" s="1" t="s">
        <v>5</v>
      </c>
      <c r="AQ426" s="1" t="s">
        <v>308</v>
      </c>
      <c r="AR426" s="1">
        <v>2017</v>
      </c>
      <c r="AS426" s="1" t="s">
        <v>16</v>
      </c>
      <c r="AT426" s="123" t="s">
        <v>135</v>
      </c>
      <c r="AU426" s="1">
        <v>41.91</v>
      </c>
      <c r="AV426" s="1">
        <v>6.69</v>
      </c>
      <c r="AW426" s="1">
        <v>86945</v>
      </c>
      <c r="AX426" s="1">
        <v>0.52</v>
      </c>
      <c r="AY426" s="1">
        <v>201806</v>
      </c>
      <c r="AZ426" s="1">
        <v>8</v>
      </c>
      <c r="BA426" s="19"/>
    </row>
    <row r="427" spans="33:53" x14ac:dyDescent="0.25">
      <c r="AG427" s="27" t="str">
        <f t="shared" si="36"/>
        <v>Crazy 8WebUSA1</v>
      </c>
      <c r="AH427" s="1" t="s">
        <v>60</v>
      </c>
      <c r="AI427" s="1" t="s">
        <v>15</v>
      </c>
      <c r="AJ427" s="1" t="s">
        <v>307</v>
      </c>
      <c r="AK427" s="1">
        <v>1</v>
      </c>
      <c r="AL427" s="19">
        <v>0.3</v>
      </c>
      <c r="AN427" s="109" t="str">
        <f t="shared" si="37"/>
        <v>GymboreeCanadaRetailGY 17 SMR</v>
      </c>
      <c r="AO427" s="1" t="s">
        <v>14</v>
      </c>
      <c r="AP427" s="1" t="s">
        <v>5</v>
      </c>
      <c r="AQ427" s="1" t="s">
        <v>308</v>
      </c>
      <c r="AR427" s="1">
        <v>2017</v>
      </c>
      <c r="AS427" s="1" t="s">
        <v>18</v>
      </c>
      <c r="AT427" s="123" t="s">
        <v>153</v>
      </c>
      <c r="AU427" s="1">
        <v>23</v>
      </c>
      <c r="AV427" s="1">
        <v>5.0199999999999996</v>
      </c>
      <c r="AW427" s="1">
        <v>204232</v>
      </c>
      <c r="AX427" s="1">
        <v>0.68</v>
      </c>
      <c r="AY427" s="1">
        <v>201753</v>
      </c>
      <c r="AZ427" s="1">
        <v>16</v>
      </c>
      <c r="BA427" s="19"/>
    </row>
    <row r="428" spans="33:53" x14ac:dyDescent="0.25">
      <c r="AG428" s="27" t="str">
        <f t="shared" si="36"/>
        <v>Crazy 8WebUSA2</v>
      </c>
      <c r="AH428" s="1" t="s">
        <v>60</v>
      </c>
      <c r="AI428" s="1" t="s">
        <v>15</v>
      </c>
      <c r="AJ428" s="1" t="s">
        <v>307</v>
      </c>
      <c r="AK428" s="1">
        <v>2</v>
      </c>
      <c r="AL428" s="19">
        <v>0.3</v>
      </c>
      <c r="AN428" s="109" t="str">
        <f t="shared" si="37"/>
        <v>GymboreeCanadaRetailGY 17 SM2</v>
      </c>
      <c r="AO428" s="1" t="s">
        <v>14</v>
      </c>
      <c r="AP428" s="1" t="s">
        <v>5</v>
      </c>
      <c r="AQ428" s="1" t="s">
        <v>308</v>
      </c>
      <c r="AR428" s="1">
        <v>2017</v>
      </c>
      <c r="AS428" s="1" t="s">
        <v>18</v>
      </c>
      <c r="AT428" s="123" t="s">
        <v>143</v>
      </c>
      <c r="AU428" s="1">
        <v>31.83</v>
      </c>
      <c r="AV428" s="1">
        <v>5.5</v>
      </c>
      <c r="AW428" s="1">
        <v>133949</v>
      </c>
      <c r="AX428" s="1">
        <v>0.57999999999999996</v>
      </c>
      <c r="AY428" s="1">
        <v>201806</v>
      </c>
      <c r="AZ428" s="1">
        <v>6</v>
      </c>
      <c r="BA428" s="19"/>
    </row>
    <row r="429" spans="33:53" x14ac:dyDescent="0.25">
      <c r="AG429" s="27" t="str">
        <f t="shared" si="36"/>
        <v>Crazy 8WebUSA3</v>
      </c>
      <c r="AH429" s="1" t="s">
        <v>60</v>
      </c>
      <c r="AI429" s="1" t="s">
        <v>15</v>
      </c>
      <c r="AJ429" s="1" t="s">
        <v>307</v>
      </c>
      <c r="AK429" s="1">
        <v>3</v>
      </c>
      <c r="AL429" s="19">
        <v>0.3</v>
      </c>
      <c r="AN429" s="109" t="str">
        <f t="shared" si="37"/>
        <v>GymboreeCanadaRetailGY 17 SWIM 3</v>
      </c>
      <c r="AO429" s="1" t="s">
        <v>14</v>
      </c>
      <c r="AP429" s="1" t="s">
        <v>5</v>
      </c>
      <c r="AQ429" s="1" t="s">
        <v>308</v>
      </c>
      <c r="AR429" s="1">
        <v>2017</v>
      </c>
      <c r="AS429" s="1" t="s">
        <v>18</v>
      </c>
      <c r="AT429" s="123" t="s">
        <v>147</v>
      </c>
      <c r="AU429" s="1">
        <v>34</v>
      </c>
      <c r="AV429" s="1">
        <v>6.13</v>
      </c>
      <c r="AW429" s="1">
        <v>31741</v>
      </c>
      <c r="AX429" s="1">
        <v>0.69</v>
      </c>
      <c r="AY429" s="1">
        <v>201810</v>
      </c>
      <c r="AZ429" s="1">
        <v>11</v>
      </c>
      <c r="BA429" s="19"/>
    </row>
    <row r="430" spans="33:53" x14ac:dyDescent="0.25">
      <c r="AG430" s="27" t="str">
        <f t="shared" si="36"/>
        <v>Crazy 8WebUSA4</v>
      </c>
      <c r="AH430" s="1" t="s">
        <v>60</v>
      </c>
      <c r="AI430" s="1" t="s">
        <v>15</v>
      </c>
      <c r="AJ430" s="1" t="s">
        <v>307</v>
      </c>
      <c r="AK430" s="1">
        <v>4</v>
      </c>
      <c r="AL430" s="19">
        <v>0.3</v>
      </c>
      <c r="AN430" s="109" t="str">
        <f t="shared" si="37"/>
        <v>GymboreeCanadaRetailGY 17 SM3</v>
      </c>
      <c r="AO430" s="1" t="s">
        <v>14</v>
      </c>
      <c r="AP430" s="1" t="s">
        <v>5</v>
      </c>
      <c r="AQ430" s="1" t="s">
        <v>308</v>
      </c>
      <c r="AR430" s="1">
        <v>2017</v>
      </c>
      <c r="AS430" s="1" t="s">
        <v>18</v>
      </c>
      <c r="AT430" s="123" t="s">
        <v>145</v>
      </c>
      <c r="AU430" s="1">
        <v>30.72</v>
      </c>
      <c r="AV430" s="1">
        <v>5.7</v>
      </c>
      <c r="AW430" s="1">
        <v>111588</v>
      </c>
      <c r="AX430" s="1">
        <v>0.56999999999999995</v>
      </c>
      <c r="AY430" s="1">
        <v>201810</v>
      </c>
      <c r="AZ430" s="1">
        <v>6</v>
      </c>
      <c r="BA430" s="19"/>
    </row>
    <row r="431" spans="33:53" x14ac:dyDescent="0.25">
      <c r="AG431" s="27" t="str">
        <f t="shared" si="36"/>
        <v>Crazy 8WebUSA5</v>
      </c>
      <c r="AH431" s="1" t="s">
        <v>60</v>
      </c>
      <c r="AI431" s="1" t="s">
        <v>15</v>
      </c>
      <c r="AJ431" s="1" t="s">
        <v>307</v>
      </c>
      <c r="AK431" s="1">
        <v>5</v>
      </c>
      <c r="AL431" s="19">
        <v>0.35</v>
      </c>
      <c r="AN431" s="109" t="str">
        <f t="shared" si="37"/>
        <v>GymboreeCanadaRetailGY 17 SM4</v>
      </c>
      <c r="AO431" s="1" t="s">
        <v>14</v>
      </c>
      <c r="AP431" s="1" t="s">
        <v>5</v>
      </c>
      <c r="AQ431" s="1" t="s">
        <v>308</v>
      </c>
      <c r="AR431" s="1">
        <v>2017</v>
      </c>
      <c r="AS431" s="1" t="s">
        <v>18</v>
      </c>
      <c r="AT431" s="123" t="s">
        <v>149</v>
      </c>
      <c r="AU431" s="1">
        <v>31.47</v>
      </c>
      <c r="AV431" s="1">
        <v>5.18</v>
      </c>
      <c r="AW431" s="1">
        <v>117580</v>
      </c>
      <c r="AX431" s="1">
        <v>0.63</v>
      </c>
      <c r="AY431" s="1">
        <v>201813</v>
      </c>
      <c r="AZ431" s="1">
        <v>7</v>
      </c>
      <c r="BA431" s="19"/>
    </row>
    <row r="432" spans="33:53" x14ac:dyDescent="0.25">
      <c r="AG432" s="27" t="str">
        <f t="shared" si="36"/>
        <v>Crazy 8WebUSA6</v>
      </c>
      <c r="AH432" s="1" t="s">
        <v>60</v>
      </c>
      <c r="AI432" s="1" t="s">
        <v>15</v>
      </c>
      <c r="AJ432" s="1" t="s">
        <v>307</v>
      </c>
      <c r="AK432" s="1">
        <v>6</v>
      </c>
      <c r="AL432" s="19">
        <v>0.35</v>
      </c>
      <c r="AN432" s="109" t="str">
        <f t="shared" si="37"/>
        <v>GymboreeCanadaRetailGY 17 TRANS</v>
      </c>
      <c r="AO432" s="1" t="s">
        <v>14</v>
      </c>
      <c r="AP432" s="1" t="s">
        <v>5</v>
      </c>
      <c r="AQ432" s="1" t="s">
        <v>308</v>
      </c>
      <c r="AR432" s="1">
        <v>2017</v>
      </c>
      <c r="AS432" s="1" t="s">
        <v>18</v>
      </c>
      <c r="AT432" s="123" t="s">
        <v>151</v>
      </c>
      <c r="AU432" s="1">
        <v>31.79</v>
      </c>
      <c r="AV432" s="1">
        <v>5.42</v>
      </c>
      <c r="AW432" s="1">
        <v>122508</v>
      </c>
      <c r="AX432" s="1">
        <v>0.56000000000000005</v>
      </c>
      <c r="AY432" s="1">
        <v>201816</v>
      </c>
      <c r="AZ432" s="1">
        <v>6</v>
      </c>
      <c r="BA432" s="19"/>
    </row>
    <row r="433" spans="33:53" x14ac:dyDescent="0.25">
      <c r="AG433" s="27" t="str">
        <f t="shared" si="36"/>
        <v>Crazy 8WebUSA7</v>
      </c>
      <c r="AH433" s="1" t="s">
        <v>60</v>
      </c>
      <c r="AI433" s="1" t="s">
        <v>15</v>
      </c>
      <c r="AJ433" s="1" t="s">
        <v>307</v>
      </c>
      <c r="AK433" s="1">
        <v>7</v>
      </c>
      <c r="AL433" s="19">
        <v>0.35</v>
      </c>
      <c r="AN433" s="109" t="str">
        <f t="shared" si="37"/>
        <v>Crazy 8USARetailGY C8 17 UNIFORM CAP</v>
      </c>
      <c r="AO433" s="1" t="s">
        <v>60</v>
      </c>
      <c r="AP433" s="1" t="s">
        <v>5</v>
      </c>
      <c r="AQ433" s="1" t="s">
        <v>307</v>
      </c>
      <c r="AR433" s="1">
        <v>2017</v>
      </c>
      <c r="AS433" s="1" t="s">
        <v>35</v>
      </c>
      <c r="AT433" s="123" t="s">
        <v>352</v>
      </c>
      <c r="AU433" s="1">
        <v>17.190000000000001</v>
      </c>
      <c r="AV433" s="1">
        <v>3.85</v>
      </c>
      <c r="AW433" s="1">
        <v>35392</v>
      </c>
      <c r="AX433" s="1">
        <v>0.75</v>
      </c>
      <c r="AY433" s="1">
        <v>201809</v>
      </c>
      <c r="AZ433" s="1">
        <v>13</v>
      </c>
      <c r="BA433" s="19"/>
    </row>
    <row r="434" spans="33:53" x14ac:dyDescent="0.25">
      <c r="AG434" s="27" t="str">
        <f t="shared" si="36"/>
        <v>Crazy 8WebUSA8</v>
      </c>
      <c r="AH434" s="1" t="s">
        <v>60</v>
      </c>
      <c r="AI434" s="1" t="s">
        <v>15</v>
      </c>
      <c r="AJ434" s="1" t="s">
        <v>307</v>
      </c>
      <c r="AK434" s="1">
        <v>8</v>
      </c>
      <c r="AL434" s="19">
        <v>0.35</v>
      </c>
      <c r="AN434" s="109" t="str">
        <f t="shared" si="37"/>
        <v>Crazy 8USARetailGY C8 17 FAL</v>
      </c>
      <c r="AO434" s="1" t="s">
        <v>60</v>
      </c>
      <c r="AP434" s="1" t="s">
        <v>5</v>
      </c>
      <c r="AQ434" s="1" t="s">
        <v>307</v>
      </c>
      <c r="AR434" s="1">
        <v>2017</v>
      </c>
      <c r="AS434" s="1" t="s">
        <v>33</v>
      </c>
      <c r="AT434" s="123" t="s">
        <v>68</v>
      </c>
      <c r="AU434" s="1">
        <v>16.13</v>
      </c>
      <c r="AV434" s="1">
        <v>3.52</v>
      </c>
      <c r="AW434" s="1">
        <v>2777538</v>
      </c>
      <c r="AX434" s="1">
        <v>0.7</v>
      </c>
      <c r="AY434" s="1">
        <v>201832</v>
      </c>
      <c r="AZ434" s="1">
        <v>13</v>
      </c>
      <c r="BA434" s="19"/>
    </row>
    <row r="435" spans="33:53" x14ac:dyDescent="0.25">
      <c r="AG435" s="27" t="str">
        <f t="shared" si="36"/>
        <v>Crazy 8WebUSA9</v>
      </c>
      <c r="AH435" s="1" t="s">
        <v>60</v>
      </c>
      <c r="AI435" s="1" t="s">
        <v>15</v>
      </c>
      <c r="AJ435" s="1" t="s">
        <v>307</v>
      </c>
      <c r="AK435" s="1">
        <v>9</v>
      </c>
      <c r="AL435" s="19">
        <v>0.35</v>
      </c>
      <c r="AN435" s="109" t="str">
        <f t="shared" si="37"/>
        <v>Crazy 8USARetailGY C8 17 SB1</v>
      </c>
      <c r="AO435" s="1" t="s">
        <v>60</v>
      </c>
      <c r="AP435" s="1" t="s">
        <v>5</v>
      </c>
      <c r="AQ435" s="1" t="s">
        <v>307</v>
      </c>
      <c r="AR435" s="1">
        <v>2017</v>
      </c>
      <c r="AS435" s="1" t="s">
        <v>71</v>
      </c>
      <c r="AT435" s="123" t="s">
        <v>62</v>
      </c>
      <c r="AU435" s="1">
        <v>15.71</v>
      </c>
      <c r="AV435" s="1">
        <v>3.29</v>
      </c>
      <c r="AW435" s="1">
        <v>219427</v>
      </c>
      <c r="AX435" s="1">
        <v>0.77</v>
      </c>
      <c r="AY435" s="1">
        <v>201801</v>
      </c>
      <c r="AZ435" s="1">
        <v>13</v>
      </c>
      <c r="BA435" s="19"/>
    </row>
    <row r="436" spans="33:53" x14ac:dyDescent="0.25">
      <c r="AG436" s="27" t="str">
        <f t="shared" si="36"/>
        <v>Crazy 8WebUSA10</v>
      </c>
      <c r="AH436" s="1" t="s">
        <v>60</v>
      </c>
      <c r="AI436" s="1" t="s">
        <v>15</v>
      </c>
      <c r="AJ436" s="1" t="s">
        <v>307</v>
      </c>
      <c r="AK436" s="1">
        <v>10</v>
      </c>
      <c r="AL436" s="19">
        <v>0.4</v>
      </c>
      <c r="AN436" s="109" t="str">
        <f t="shared" si="37"/>
        <v>Crazy 8USARetailGY C8 17 VDAY CAP</v>
      </c>
      <c r="AO436" s="1" t="s">
        <v>60</v>
      </c>
      <c r="AP436" s="1" t="s">
        <v>5</v>
      </c>
      <c r="AQ436" s="1" t="s">
        <v>307</v>
      </c>
      <c r="AR436" s="1">
        <v>2017</v>
      </c>
      <c r="AS436" s="1" t="s">
        <v>16</v>
      </c>
      <c r="AT436" s="123" t="s">
        <v>86</v>
      </c>
      <c r="AU436" s="1">
        <v>0</v>
      </c>
      <c r="AV436" s="1">
        <v>0</v>
      </c>
      <c r="AW436" s="1">
        <v>0</v>
      </c>
      <c r="AX436" s="1">
        <v>0</v>
      </c>
      <c r="AY436" s="1">
        <v>201747</v>
      </c>
      <c r="AZ436" s="1">
        <v>5</v>
      </c>
      <c r="BA436" s="19"/>
    </row>
    <row r="437" spans="33:53" x14ac:dyDescent="0.25">
      <c r="AG437" s="27" t="str">
        <f t="shared" si="36"/>
        <v>Crazy 8WebUSA11</v>
      </c>
      <c r="AH437" s="1" t="s">
        <v>60</v>
      </c>
      <c r="AI437" s="1" t="s">
        <v>15</v>
      </c>
      <c r="AJ437" s="1" t="s">
        <v>307</v>
      </c>
      <c r="AK437" s="1">
        <v>11</v>
      </c>
      <c r="AL437" s="19">
        <v>0.4</v>
      </c>
      <c r="AN437" s="109" t="str">
        <f t="shared" si="37"/>
        <v>Crazy 8USARetailGY C8 17 SPRING TRANS</v>
      </c>
      <c r="AO437" s="1" t="s">
        <v>60</v>
      </c>
      <c r="AP437" s="1" t="s">
        <v>5</v>
      </c>
      <c r="AQ437" s="1" t="s">
        <v>307</v>
      </c>
      <c r="AR437" s="1">
        <v>2017</v>
      </c>
      <c r="AS437" s="1" t="s">
        <v>16</v>
      </c>
      <c r="AT437" s="123" t="s">
        <v>88</v>
      </c>
      <c r="AU437" s="1">
        <v>0</v>
      </c>
      <c r="AV437" s="1">
        <v>0</v>
      </c>
      <c r="AW437" s="1">
        <v>0</v>
      </c>
      <c r="AX437" s="1">
        <v>0</v>
      </c>
      <c r="AY437" s="1">
        <v>201748</v>
      </c>
      <c r="AZ437" s="1">
        <v>8</v>
      </c>
      <c r="BA437" s="19"/>
    </row>
    <row r="438" spans="33:53" x14ac:dyDescent="0.25">
      <c r="AG438" s="27" t="str">
        <f t="shared" si="36"/>
        <v>Crazy 8WebUSA12</v>
      </c>
      <c r="AH438" s="1" t="s">
        <v>60</v>
      </c>
      <c r="AI438" s="1" t="s">
        <v>15</v>
      </c>
      <c r="AJ438" s="1" t="s">
        <v>307</v>
      </c>
      <c r="AK438" s="1">
        <v>12</v>
      </c>
      <c r="AL438" s="19">
        <v>0.4</v>
      </c>
      <c r="AN438" s="109" t="str">
        <f t="shared" si="37"/>
        <v>Crazy 8USARetailGY C8 17 SPR</v>
      </c>
      <c r="AO438" s="1" t="s">
        <v>60</v>
      </c>
      <c r="AP438" s="1" t="s">
        <v>5</v>
      </c>
      <c r="AQ438" s="1" t="s">
        <v>307</v>
      </c>
      <c r="AR438" s="1">
        <v>2017</v>
      </c>
      <c r="AS438" s="1" t="s">
        <v>16</v>
      </c>
      <c r="AT438" s="123" t="s">
        <v>84</v>
      </c>
      <c r="AU438" s="1">
        <v>12.16</v>
      </c>
      <c r="AV438" s="1">
        <v>2.4900000000000002</v>
      </c>
      <c r="AW438" s="1">
        <v>68825</v>
      </c>
      <c r="AX438" s="1">
        <v>0.63</v>
      </c>
      <c r="AY438" s="1">
        <v>201806</v>
      </c>
      <c r="AZ438" s="1">
        <v>13</v>
      </c>
      <c r="BA438" s="19"/>
    </row>
    <row r="439" spans="33:53" x14ac:dyDescent="0.25">
      <c r="AG439" s="27" t="str">
        <f t="shared" si="36"/>
        <v>Crazy 8WebUSA13</v>
      </c>
      <c r="AH439" s="1" t="s">
        <v>60</v>
      </c>
      <c r="AI439" s="1" t="s">
        <v>15</v>
      </c>
      <c r="AJ439" s="1" t="s">
        <v>307</v>
      </c>
      <c r="AK439" s="1">
        <v>13</v>
      </c>
      <c r="AL439" s="19">
        <v>0.4</v>
      </c>
      <c r="AN439" s="109" t="str">
        <f t="shared" si="37"/>
        <v>Crazy 8USARetailGY C8 17 SPRING</v>
      </c>
      <c r="AO439" s="1" t="s">
        <v>60</v>
      </c>
      <c r="AP439" s="1" t="s">
        <v>5</v>
      </c>
      <c r="AQ439" s="1" t="s">
        <v>307</v>
      </c>
      <c r="AR439" s="1">
        <v>2017</v>
      </c>
      <c r="AS439" s="1" t="s">
        <v>16</v>
      </c>
      <c r="AT439" s="123" t="s">
        <v>92</v>
      </c>
      <c r="AU439" s="1">
        <v>14.88</v>
      </c>
      <c r="AV439" s="1">
        <v>2.63</v>
      </c>
      <c r="AW439" s="1">
        <v>5435</v>
      </c>
      <c r="AX439" s="1">
        <v>0.52</v>
      </c>
      <c r="AY439" s="1">
        <v>201750</v>
      </c>
      <c r="AZ439" s="1">
        <v>7</v>
      </c>
      <c r="BA439" s="19"/>
    </row>
    <row r="440" spans="33:53" x14ac:dyDescent="0.25">
      <c r="AG440" s="27" t="str">
        <f t="shared" si="36"/>
        <v>Crazy 8WebUSA14</v>
      </c>
      <c r="AH440" s="1" t="s">
        <v>60</v>
      </c>
      <c r="AI440" s="1" t="s">
        <v>15</v>
      </c>
      <c r="AJ440" s="1" t="s">
        <v>307</v>
      </c>
      <c r="AK440" s="1">
        <v>14</v>
      </c>
      <c r="AL440" s="19">
        <v>0.4</v>
      </c>
      <c r="AN440" s="109" t="str">
        <f t="shared" si="37"/>
        <v>Crazy 8USARetailGY C8 17 SPR DOORBUSTER</v>
      </c>
      <c r="AO440" s="1" t="s">
        <v>60</v>
      </c>
      <c r="AP440" s="1" t="s">
        <v>5</v>
      </c>
      <c r="AQ440" s="1" t="s">
        <v>307</v>
      </c>
      <c r="AR440" s="1">
        <v>2017</v>
      </c>
      <c r="AS440" s="1" t="s">
        <v>16</v>
      </c>
      <c r="AT440" s="123" t="s">
        <v>90</v>
      </c>
      <c r="AU440" s="1">
        <v>17.7</v>
      </c>
      <c r="AV440" s="1">
        <v>3.23</v>
      </c>
      <c r="AW440" s="1">
        <v>59348</v>
      </c>
      <c r="AX440" s="1">
        <v>0.57999999999999996</v>
      </c>
      <c r="AY440" s="1">
        <v>201801</v>
      </c>
      <c r="AZ440" s="1">
        <v>2</v>
      </c>
      <c r="BA440" s="19"/>
    </row>
    <row r="441" spans="33:53" x14ac:dyDescent="0.25">
      <c r="AG441" s="27" t="str">
        <f t="shared" si="36"/>
        <v>Crazy 8WebUSA15</v>
      </c>
      <c r="AH441" s="1" t="s">
        <v>60</v>
      </c>
      <c r="AI441" s="1" t="s">
        <v>15</v>
      </c>
      <c r="AJ441" s="1" t="s">
        <v>307</v>
      </c>
      <c r="AK441" s="1">
        <v>15</v>
      </c>
      <c r="AL441" s="19">
        <v>0.45</v>
      </c>
      <c r="AN441" s="109" t="str">
        <f t="shared" si="37"/>
        <v>Crazy 8USARetailGY C8 17 SWIM 1</v>
      </c>
      <c r="AO441" s="1" t="s">
        <v>60</v>
      </c>
      <c r="AP441" s="1" t="s">
        <v>5</v>
      </c>
      <c r="AQ441" s="1" t="s">
        <v>307</v>
      </c>
      <c r="AR441" s="1">
        <v>2017</v>
      </c>
      <c r="AS441" s="1" t="s">
        <v>16</v>
      </c>
      <c r="AT441" s="123" t="s">
        <v>94</v>
      </c>
      <c r="AU441" s="1">
        <v>0</v>
      </c>
      <c r="AV441" s="1">
        <v>0</v>
      </c>
      <c r="AW441" s="1">
        <v>0</v>
      </c>
      <c r="AX441" s="1">
        <v>0</v>
      </c>
      <c r="AY441" s="1">
        <v>201750</v>
      </c>
      <c r="AZ441" s="1">
        <v>22</v>
      </c>
      <c r="BA441" s="19"/>
    </row>
    <row r="442" spans="33:53" x14ac:dyDescent="0.25">
      <c r="AG442" s="27" t="str">
        <f t="shared" si="36"/>
        <v>Crazy 8WebUSA16</v>
      </c>
      <c r="AH442" s="1" t="s">
        <v>60</v>
      </c>
      <c r="AI442" s="1" t="s">
        <v>15</v>
      </c>
      <c r="AJ442" s="1" t="s">
        <v>307</v>
      </c>
      <c r="AK442" s="1">
        <v>16</v>
      </c>
      <c r="AL442" s="19">
        <v>0.45</v>
      </c>
      <c r="AN442" s="109" t="str">
        <f t="shared" si="37"/>
        <v>Crazy 8USARetailGY C8 17 SPRING CAP</v>
      </c>
      <c r="AO442" s="1" t="s">
        <v>60</v>
      </c>
      <c r="AP442" s="1" t="s">
        <v>5</v>
      </c>
      <c r="AQ442" s="1" t="s">
        <v>307</v>
      </c>
      <c r="AR442" s="1">
        <v>2017</v>
      </c>
      <c r="AS442" s="1" t="s">
        <v>16</v>
      </c>
      <c r="AT442" s="123" t="s">
        <v>96</v>
      </c>
      <c r="AU442" s="1">
        <v>14.88</v>
      </c>
      <c r="AV442" s="1">
        <v>2.62</v>
      </c>
      <c r="AW442" s="1">
        <v>6970</v>
      </c>
      <c r="AX442" s="1">
        <v>0.55000000000000004</v>
      </c>
      <c r="AY442" s="1">
        <v>201751</v>
      </c>
      <c r="AZ442" s="1">
        <v>6</v>
      </c>
      <c r="BA442" s="19"/>
    </row>
    <row r="443" spans="33:53" x14ac:dyDescent="0.25">
      <c r="AG443" s="27" t="str">
        <f t="shared" si="36"/>
        <v>Crazy 8WebUSA17</v>
      </c>
      <c r="AH443" s="1" t="s">
        <v>60</v>
      </c>
      <c r="AI443" s="1" t="s">
        <v>15</v>
      </c>
      <c r="AJ443" s="1" t="s">
        <v>307</v>
      </c>
      <c r="AK443" s="1">
        <v>17</v>
      </c>
      <c r="AL443" s="19">
        <v>0.45</v>
      </c>
      <c r="AN443" s="109" t="str">
        <f t="shared" si="37"/>
        <v>Crazy 8USARetailGY C8 17 SPRING BREAK</v>
      </c>
      <c r="AO443" s="1" t="s">
        <v>60</v>
      </c>
      <c r="AP443" s="1" t="s">
        <v>5</v>
      </c>
      <c r="AQ443" s="1" t="s">
        <v>307</v>
      </c>
      <c r="AR443" s="1">
        <v>2017</v>
      </c>
      <c r="AS443" s="1" t="s">
        <v>16</v>
      </c>
      <c r="AT443" s="123" t="s">
        <v>98</v>
      </c>
      <c r="AU443" s="1">
        <v>17.97</v>
      </c>
      <c r="AV443" s="1">
        <v>3.77</v>
      </c>
      <c r="AW443" s="1">
        <v>623491</v>
      </c>
      <c r="AX443" s="1">
        <v>0.49</v>
      </c>
      <c r="AY443" s="1">
        <v>201801</v>
      </c>
      <c r="AZ443" s="1">
        <v>7</v>
      </c>
      <c r="BA443" s="19"/>
    </row>
    <row r="444" spans="33:53" x14ac:dyDescent="0.25">
      <c r="AG444" s="27" t="str">
        <f t="shared" si="36"/>
        <v>Crazy 8WebUSA18</v>
      </c>
      <c r="AH444" s="1" t="s">
        <v>60</v>
      </c>
      <c r="AI444" s="1" t="s">
        <v>15</v>
      </c>
      <c r="AJ444" s="1" t="s">
        <v>307</v>
      </c>
      <c r="AK444" s="1">
        <v>18</v>
      </c>
      <c r="AL444" s="19">
        <v>0.45</v>
      </c>
      <c r="AN444" s="109" t="str">
        <f t="shared" si="37"/>
        <v>Crazy 8USARetailGY C8 17 SWIM 2</v>
      </c>
      <c r="AO444" s="1" t="s">
        <v>60</v>
      </c>
      <c r="AP444" s="1" t="s">
        <v>5</v>
      </c>
      <c r="AQ444" s="1" t="s">
        <v>307</v>
      </c>
      <c r="AR444" s="1">
        <v>2017</v>
      </c>
      <c r="AS444" s="1" t="s">
        <v>16</v>
      </c>
      <c r="AT444" s="123" t="s">
        <v>100</v>
      </c>
      <c r="AU444" s="1">
        <v>19.82</v>
      </c>
      <c r="AV444" s="1">
        <v>4.99</v>
      </c>
      <c r="AW444" s="1">
        <v>20447</v>
      </c>
      <c r="AX444" s="1">
        <v>0.69</v>
      </c>
      <c r="AY444" s="1">
        <v>201801</v>
      </c>
      <c r="AZ444" s="1">
        <v>18</v>
      </c>
      <c r="BA444" s="19"/>
    </row>
    <row r="445" spans="33:53" x14ac:dyDescent="0.25">
      <c r="AG445" s="27" t="str">
        <f t="shared" si="36"/>
        <v>Crazy 8WebUSA19</v>
      </c>
      <c r="AH445" s="1" t="s">
        <v>60</v>
      </c>
      <c r="AI445" s="1" t="s">
        <v>15</v>
      </c>
      <c r="AJ445" s="1" t="s">
        <v>307</v>
      </c>
      <c r="AK445" s="1">
        <v>19</v>
      </c>
      <c r="AL445" s="19">
        <v>0.45</v>
      </c>
      <c r="AN445" s="123"/>
      <c r="AO445" s="1" t="s">
        <v>60</v>
      </c>
      <c r="AP445" s="1" t="s">
        <v>5</v>
      </c>
      <c r="AQ445" s="1" t="s">
        <v>307</v>
      </c>
      <c r="AR445" s="1">
        <v>2017</v>
      </c>
      <c r="AS445" s="1" t="s">
        <v>16</v>
      </c>
      <c r="AT445" s="123"/>
      <c r="AU445" s="1">
        <v>27.45</v>
      </c>
      <c r="AV445" s="1">
        <v>5</v>
      </c>
      <c r="AW445" s="1">
        <v>82274</v>
      </c>
      <c r="AX445" s="1">
        <v>0.54</v>
      </c>
      <c r="AY445" s="1">
        <v>201803</v>
      </c>
      <c r="AZ445" s="1">
        <v>6</v>
      </c>
      <c r="BA445" s="19"/>
    </row>
    <row r="446" spans="33:53" x14ac:dyDescent="0.25">
      <c r="AG446" s="27" t="str">
        <f t="shared" si="36"/>
        <v>Crazy 8WebUSA20</v>
      </c>
      <c r="AH446" s="1" t="s">
        <v>60</v>
      </c>
      <c r="AI446" s="1" t="s">
        <v>15</v>
      </c>
      <c r="AJ446" s="1" t="s">
        <v>307</v>
      </c>
      <c r="AK446" s="1">
        <v>20</v>
      </c>
      <c r="AL446" s="19">
        <v>0.5</v>
      </c>
      <c r="AN446" s="123" t="s">
        <v>106</v>
      </c>
      <c r="AO446" s="1" t="s">
        <v>60</v>
      </c>
      <c r="AP446" s="1" t="s">
        <v>5</v>
      </c>
      <c r="AQ446" s="1" t="s">
        <v>307</v>
      </c>
      <c r="AR446" s="1">
        <v>2017</v>
      </c>
      <c r="AS446" s="1" t="s">
        <v>16</v>
      </c>
      <c r="AT446" s="123" t="s">
        <v>106</v>
      </c>
      <c r="AU446" s="1">
        <v>18.829999999999998</v>
      </c>
      <c r="AV446" s="1">
        <v>4.55</v>
      </c>
      <c r="AW446" s="1">
        <v>75795</v>
      </c>
      <c r="AX446" s="1">
        <v>0.69</v>
      </c>
      <c r="AY446" s="1">
        <v>201806</v>
      </c>
      <c r="AZ446" s="1">
        <v>14</v>
      </c>
      <c r="BA446" s="19"/>
    </row>
    <row r="447" spans="33:53" x14ac:dyDescent="0.25">
      <c r="AG447" s="27" t="str">
        <f t="shared" si="36"/>
        <v>Crazy 8WebUSA21</v>
      </c>
      <c r="AH447" s="1" t="s">
        <v>60</v>
      </c>
      <c r="AI447" s="1" t="s">
        <v>15</v>
      </c>
      <c r="AJ447" s="1" t="s">
        <v>307</v>
      </c>
      <c r="AK447" s="1">
        <v>21</v>
      </c>
      <c r="AL447" s="19">
        <v>0.5</v>
      </c>
      <c r="AN447" s="123" t="s">
        <v>104</v>
      </c>
      <c r="AO447" s="1" t="s">
        <v>60</v>
      </c>
      <c r="AP447" s="1" t="s">
        <v>5</v>
      </c>
      <c r="AQ447" s="1" t="s">
        <v>307</v>
      </c>
      <c r="AR447" s="1">
        <v>2017</v>
      </c>
      <c r="AS447" s="1" t="s">
        <v>16</v>
      </c>
      <c r="AT447" s="123" t="s">
        <v>104</v>
      </c>
      <c r="AU447" s="1">
        <v>14.43</v>
      </c>
      <c r="AV447" s="1">
        <v>2.89</v>
      </c>
      <c r="AW447" s="1">
        <v>921932</v>
      </c>
      <c r="AX447" s="1">
        <v>0.61</v>
      </c>
      <c r="AY447" s="1">
        <v>201806</v>
      </c>
      <c r="AZ447" s="1">
        <v>10</v>
      </c>
      <c r="BA447" s="19"/>
    </row>
    <row r="448" spans="33:53" x14ac:dyDescent="0.25">
      <c r="AG448" s="27" t="str">
        <f t="shared" si="36"/>
        <v>Crazy 8WebUSA22</v>
      </c>
      <c r="AH448" s="1" t="s">
        <v>60</v>
      </c>
      <c r="AI448" s="1" t="s">
        <v>15</v>
      </c>
      <c r="AJ448" s="1" t="s">
        <v>307</v>
      </c>
      <c r="AK448" s="1">
        <v>22</v>
      </c>
      <c r="AL448" s="19">
        <v>0.5</v>
      </c>
      <c r="AN448" s="123"/>
      <c r="AO448" s="1" t="s">
        <v>60</v>
      </c>
      <c r="AP448" s="1" t="s">
        <v>5</v>
      </c>
      <c r="AQ448" s="1" t="s">
        <v>307</v>
      </c>
      <c r="AR448" s="1">
        <v>2017</v>
      </c>
      <c r="AS448" s="1" t="s">
        <v>16</v>
      </c>
      <c r="AT448" s="123"/>
      <c r="AU448" s="1">
        <v>22.18</v>
      </c>
      <c r="AV448" s="1">
        <v>7.21</v>
      </c>
      <c r="AW448" s="1">
        <v>27686</v>
      </c>
      <c r="AX448" s="1">
        <v>0.65</v>
      </c>
      <c r="AY448" s="1">
        <v>201806</v>
      </c>
      <c r="AZ448" s="1">
        <v>13</v>
      </c>
      <c r="BA448" s="19"/>
    </row>
    <row r="449" spans="33:53" x14ac:dyDescent="0.25">
      <c r="AG449" s="27" t="str">
        <f t="shared" si="36"/>
        <v>Crazy 8WebUSA23</v>
      </c>
      <c r="AH449" s="1" t="s">
        <v>60</v>
      </c>
      <c r="AI449" s="1" t="s">
        <v>15</v>
      </c>
      <c r="AJ449" s="1" t="s">
        <v>307</v>
      </c>
      <c r="AK449" s="1">
        <v>23</v>
      </c>
      <c r="AL449" s="19">
        <v>0.5</v>
      </c>
      <c r="AN449" s="123" t="s">
        <v>110</v>
      </c>
      <c r="AO449" s="1" t="s">
        <v>60</v>
      </c>
      <c r="AP449" s="1" t="s">
        <v>5</v>
      </c>
      <c r="AQ449" s="1" t="s">
        <v>307</v>
      </c>
      <c r="AR449" s="1">
        <v>2017</v>
      </c>
      <c r="AS449" s="1" t="s">
        <v>18</v>
      </c>
      <c r="AT449" s="123" t="s">
        <v>110</v>
      </c>
      <c r="AU449" s="1">
        <v>13.2</v>
      </c>
      <c r="AV449" s="1">
        <v>2.88</v>
      </c>
      <c r="AW449" s="1">
        <v>1780550</v>
      </c>
      <c r="AX449" s="1">
        <v>0.72</v>
      </c>
      <c r="AY449" s="1">
        <v>201818</v>
      </c>
      <c r="AZ449" s="1">
        <v>12</v>
      </c>
      <c r="BA449" s="19"/>
    </row>
    <row r="450" spans="33:53" x14ac:dyDescent="0.25">
      <c r="AG450" s="27" t="str">
        <f t="shared" si="36"/>
        <v>Crazy 8WebUSA24</v>
      </c>
      <c r="AH450" s="1" t="s">
        <v>60</v>
      </c>
      <c r="AI450" s="1" t="s">
        <v>15</v>
      </c>
      <c r="AJ450" s="1" t="s">
        <v>307</v>
      </c>
      <c r="AK450" s="1">
        <v>24</v>
      </c>
      <c r="AL450" s="19">
        <v>0.5</v>
      </c>
      <c r="AN450" s="123" t="s">
        <v>108</v>
      </c>
      <c r="AO450" s="1" t="s">
        <v>60</v>
      </c>
      <c r="AP450" s="1" t="s">
        <v>5</v>
      </c>
      <c r="AQ450" s="1" t="s">
        <v>307</v>
      </c>
      <c r="AR450" s="1">
        <v>2017</v>
      </c>
      <c r="AS450" s="1" t="s">
        <v>18</v>
      </c>
      <c r="AT450" s="123" t="s">
        <v>108</v>
      </c>
      <c r="AU450" s="1">
        <v>19.260000000000002</v>
      </c>
      <c r="AV450" s="1">
        <v>4.43</v>
      </c>
      <c r="AW450" s="1">
        <v>111741</v>
      </c>
      <c r="AX450" s="1">
        <v>0.56999999999999995</v>
      </c>
      <c r="AY450" s="1">
        <v>201807</v>
      </c>
      <c r="AZ450" s="1">
        <v>7</v>
      </c>
      <c r="BA450" s="19"/>
    </row>
    <row r="451" spans="33:53" x14ac:dyDescent="0.25">
      <c r="AG451" s="27" t="str">
        <f t="shared" si="36"/>
        <v>Crazy 8WebUSA25</v>
      </c>
      <c r="AH451" s="1" t="s">
        <v>60</v>
      </c>
      <c r="AI451" s="1" t="s">
        <v>15</v>
      </c>
      <c r="AJ451" s="1" t="s">
        <v>307</v>
      </c>
      <c r="AK451" s="1">
        <v>25</v>
      </c>
      <c r="AL451" s="19">
        <v>0.55000000000000004</v>
      </c>
      <c r="AN451" s="123" t="s">
        <v>112</v>
      </c>
      <c r="AO451" s="1" t="s">
        <v>60</v>
      </c>
      <c r="AP451" s="1" t="s">
        <v>5</v>
      </c>
      <c r="AQ451" s="1" t="s">
        <v>307</v>
      </c>
      <c r="AR451" s="1">
        <v>2017</v>
      </c>
      <c r="AS451" s="1" t="s">
        <v>18</v>
      </c>
      <c r="AT451" s="123" t="s">
        <v>112</v>
      </c>
      <c r="AU451" s="1">
        <v>14.68</v>
      </c>
      <c r="AV451" s="1">
        <v>3</v>
      </c>
      <c r="AW451" s="1">
        <v>909933</v>
      </c>
      <c r="AX451" s="1">
        <v>0.7</v>
      </c>
      <c r="AY451" s="1">
        <v>201809</v>
      </c>
      <c r="AZ451" s="1">
        <v>9</v>
      </c>
      <c r="BA451" s="19"/>
    </row>
    <row r="452" spans="33:53" x14ac:dyDescent="0.25">
      <c r="AG452" s="27" t="str">
        <f t="shared" ref="AG452:AG479" si="38">AH452&amp;AI452&amp;AJ452&amp;AK452</f>
        <v>Crazy 8WebUSA26</v>
      </c>
      <c r="AH452" s="1" t="s">
        <v>60</v>
      </c>
      <c r="AI452" s="1" t="s">
        <v>15</v>
      </c>
      <c r="AJ452" s="1" t="s">
        <v>307</v>
      </c>
      <c r="AK452" s="1">
        <v>26</v>
      </c>
      <c r="AL452" s="19">
        <v>0.55000000000000004</v>
      </c>
      <c r="AN452" s="123" t="s">
        <v>118</v>
      </c>
      <c r="AO452" s="1" t="s">
        <v>60</v>
      </c>
      <c r="AP452" s="1" t="s">
        <v>5</v>
      </c>
      <c r="AQ452" s="1" t="s">
        <v>307</v>
      </c>
      <c r="AR452" s="1">
        <v>2017</v>
      </c>
      <c r="AS452" s="1" t="s">
        <v>18</v>
      </c>
      <c r="AT452" s="123" t="s">
        <v>118</v>
      </c>
      <c r="AU452" s="1">
        <v>18.989999999999998</v>
      </c>
      <c r="AV452" s="1">
        <v>3.49</v>
      </c>
      <c r="AW452" s="1">
        <v>113606</v>
      </c>
      <c r="AX452" s="1">
        <v>0.61</v>
      </c>
      <c r="AY452" s="1">
        <v>201814</v>
      </c>
      <c r="AZ452" s="1">
        <v>6</v>
      </c>
      <c r="BA452" s="19"/>
    </row>
    <row r="453" spans="33:53" x14ac:dyDescent="0.25">
      <c r="AG453" s="27" t="str">
        <f t="shared" si="38"/>
        <v>Crazy 8WebUSA27</v>
      </c>
      <c r="AH453" s="1" t="s">
        <v>60</v>
      </c>
      <c r="AI453" s="1" t="s">
        <v>15</v>
      </c>
      <c r="AJ453" s="1" t="s">
        <v>307</v>
      </c>
      <c r="AK453" s="1">
        <v>27</v>
      </c>
      <c r="AL453" s="19">
        <v>0.55000000000000004</v>
      </c>
      <c r="AN453" s="123" t="s">
        <v>114</v>
      </c>
      <c r="AO453" s="1" t="s">
        <v>60</v>
      </c>
      <c r="AP453" s="1" t="s">
        <v>5</v>
      </c>
      <c r="AQ453" s="1" t="s">
        <v>307</v>
      </c>
      <c r="AR453" s="1">
        <v>2017</v>
      </c>
      <c r="AS453" s="1" t="s">
        <v>18</v>
      </c>
      <c r="AT453" s="123" t="s">
        <v>114</v>
      </c>
      <c r="AU453" s="1">
        <v>19.600000000000001</v>
      </c>
      <c r="AV453" s="1">
        <v>5.19</v>
      </c>
      <c r="AW453" s="1">
        <v>16654</v>
      </c>
      <c r="AX453" s="1">
        <v>0.71</v>
      </c>
      <c r="AY453" s="1">
        <v>201809</v>
      </c>
      <c r="AZ453" s="1">
        <v>11</v>
      </c>
      <c r="BA453" s="19"/>
    </row>
    <row r="454" spans="33:53" x14ac:dyDescent="0.25">
      <c r="AG454" s="27" t="str">
        <f t="shared" si="38"/>
        <v>Crazy 8WebUSA28</v>
      </c>
      <c r="AH454" s="1" t="s">
        <v>60</v>
      </c>
      <c r="AI454" s="1" t="s">
        <v>15</v>
      </c>
      <c r="AJ454" s="1" t="s">
        <v>307</v>
      </c>
      <c r="AK454" s="1">
        <v>28</v>
      </c>
      <c r="AL454" s="19">
        <v>0.55000000000000004</v>
      </c>
      <c r="AN454" s="123" t="s">
        <v>116</v>
      </c>
      <c r="AO454" s="1" t="s">
        <v>60</v>
      </c>
      <c r="AP454" s="1" t="s">
        <v>5</v>
      </c>
      <c r="AQ454" s="1" t="s">
        <v>307</v>
      </c>
      <c r="AR454" s="1">
        <v>2017</v>
      </c>
      <c r="AS454" s="1" t="s">
        <v>18</v>
      </c>
      <c r="AT454" s="123" t="s">
        <v>116</v>
      </c>
      <c r="AU454" s="1">
        <v>20.16</v>
      </c>
      <c r="AV454" s="1">
        <v>4.28</v>
      </c>
      <c r="AW454" s="1">
        <v>165826</v>
      </c>
      <c r="AX454" s="1">
        <v>0.63</v>
      </c>
      <c r="AY454" s="1">
        <v>201811</v>
      </c>
      <c r="AZ454" s="1">
        <v>6</v>
      </c>
      <c r="BA454" s="19"/>
    </row>
    <row r="455" spans="33:53" x14ac:dyDescent="0.25">
      <c r="AG455" s="27" t="str">
        <f t="shared" si="38"/>
        <v>Crazy 8WebUSA29</v>
      </c>
      <c r="AH455" s="1" t="s">
        <v>60</v>
      </c>
      <c r="AI455" s="1" t="s">
        <v>15</v>
      </c>
      <c r="AJ455" s="1" t="s">
        <v>307</v>
      </c>
      <c r="AK455" s="1">
        <v>29</v>
      </c>
      <c r="AL455" s="19">
        <v>0.55000000000000004</v>
      </c>
      <c r="AN455" s="123" t="s">
        <v>120</v>
      </c>
      <c r="AO455" s="1" t="s">
        <v>60</v>
      </c>
      <c r="AP455" s="1" t="s">
        <v>5</v>
      </c>
      <c r="AQ455" s="1" t="s">
        <v>307</v>
      </c>
      <c r="AR455" s="1">
        <v>2017</v>
      </c>
      <c r="AS455" s="1" t="s">
        <v>18</v>
      </c>
      <c r="AT455" s="123" t="s">
        <v>120</v>
      </c>
      <c r="AU455" s="1">
        <v>15.44</v>
      </c>
      <c r="AV455" s="1">
        <v>3.13</v>
      </c>
      <c r="AW455" s="1">
        <v>664848</v>
      </c>
      <c r="AX455" s="1">
        <v>0.56000000000000005</v>
      </c>
      <c r="AY455" s="1">
        <v>201814</v>
      </c>
      <c r="AZ455" s="1">
        <v>7</v>
      </c>
      <c r="BA455" s="19"/>
    </row>
    <row r="456" spans="33:53" x14ac:dyDescent="0.25">
      <c r="AG456" s="27" t="str">
        <f t="shared" si="38"/>
        <v>Crazy 8WebUSA30</v>
      </c>
      <c r="AH456" s="1" t="s">
        <v>60</v>
      </c>
      <c r="AI456" s="1" t="s">
        <v>15</v>
      </c>
      <c r="AJ456" s="1" t="s">
        <v>307</v>
      </c>
      <c r="AK456" s="1">
        <v>30</v>
      </c>
      <c r="AL456" s="19">
        <v>0.6</v>
      </c>
      <c r="AN456" s="123" t="s">
        <v>122</v>
      </c>
      <c r="AO456" s="1" t="s">
        <v>60</v>
      </c>
      <c r="AP456" s="1" t="s">
        <v>5</v>
      </c>
      <c r="AQ456" s="1" t="s">
        <v>307</v>
      </c>
      <c r="AR456" s="1">
        <v>2017</v>
      </c>
      <c r="AS456" s="1" t="s">
        <v>18</v>
      </c>
      <c r="AT456" s="123" t="s">
        <v>122</v>
      </c>
      <c r="AU456" s="1">
        <v>18.36</v>
      </c>
      <c r="AV456" s="1">
        <v>3.87</v>
      </c>
      <c r="AW456" s="1">
        <v>330460</v>
      </c>
      <c r="AX456" s="1">
        <v>0.68</v>
      </c>
      <c r="AY456" s="1">
        <v>201818</v>
      </c>
      <c r="AZ456" s="1">
        <v>6</v>
      </c>
      <c r="BA456" s="19"/>
    </row>
    <row r="457" spans="33:53" x14ac:dyDescent="0.25">
      <c r="AG457" s="27" t="str">
        <f t="shared" si="38"/>
        <v>Crazy 8WebUSA31</v>
      </c>
      <c r="AH457" s="1" t="s">
        <v>60</v>
      </c>
      <c r="AI457" s="1" t="s">
        <v>15</v>
      </c>
      <c r="AJ457" s="1" t="s">
        <v>307</v>
      </c>
      <c r="AK457" s="1">
        <v>31</v>
      </c>
      <c r="AL457" s="19">
        <v>0.6</v>
      </c>
      <c r="AN457" s="123" t="s">
        <v>124</v>
      </c>
      <c r="AO457" s="1" t="s">
        <v>60</v>
      </c>
      <c r="AP457" s="1" t="s">
        <v>5</v>
      </c>
      <c r="AQ457" s="1" t="s">
        <v>307</v>
      </c>
      <c r="AR457" s="1">
        <v>2017</v>
      </c>
      <c r="AS457" s="1" t="s">
        <v>18</v>
      </c>
      <c r="AT457" s="123" t="s">
        <v>124</v>
      </c>
      <c r="AU457" s="1">
        <v>20.56</v>
      </c>
      <c r="AV457" s="1">
        <v>4.21</v>
      </c>
      <c r="AW457" s="1">
        <v>60673</v>
      </c>
      <c r="AX457" s="1">
        <v>0.6</v>
      </c>
      <c r="AY457" s="1">
        <v>201819</v>
      </c>
      <c r="AZ457" s="1">
        <v>4</v>
      </c>
      <c r="BA457" s="19"/>
    </row>
    <row r="458" spans="33:53" x14ac:dyDescent="0.25">
      <c r="AG458" s="27" t="str">
        <f t="shared" si="38"/>
        <v>Crazy 8WebUSA32</v>
      </c>
      <c r="AH458" s="1" t="s">
        <v>60</v>
      </c>
      <c r="AI458" s="1" t="s">
        <v>15</v>
      </c>
      <c r="AJ458" s="1" t="s">
        <v>307</v>
      </c>
      <c r="AK458" s="1">
        <v>32</v>
      </c>
      <c r="AL458" s="19">
        <v>0.6</v>
      </c>
      <c r="AN458" s="123" t="s">
        <v>352</v>
      </c>
      <c r="AO458" s="1" t="s">
        <v>60</v>
      </c>
      <c r="AP458" s="1" t="s">
        <v>15</v>
      </c>
      <c r="AQ458" s="1" t="s">
        <v>307</v>
      </c>
      <c r="AR458" s="1">
        <v>2017</v>
      </c>
      <c r="AS458" s="1" t="s">
        <v>35</v>
      </c>
      <c r="AT458" s="123" t="s">
        <v>352</v>
      </c>
      <c r="AU458" s="1">
        <v>19.53</v>
      </c>
      <c r="AV458" s="1">
        <v>4.71</v>
      </c>
      <c r="AW458" s="1">
        <v>17639</v>
      </c>
      <c r="AX458" s="1">
        <v>0.69</v>
      </c>
      <c r="AY458" s="1">
        <v>201822</v>
      </c>
      <c r="AZ458" s="1">
        <v>13</v>
      </c>
      <c r="BA458" s="19"/>
    </row>
    <row r="459" spans="33:53" x14ac:dyDescent="0.25">
      <c r="AG459" s="27" t="str">
        <f t="shared" si="38"/>
        <v>Crazy 8WebUSA33</v>
      </c>
      <c r="AH459" s="1" t="s">
        <v>60</v>
      </c>
      <c r="AI459" s="1" t="s">
        <v>15</v>
      </c>
      <c r="AJ459" s="1" t="s">
        <v>307</v>
      </c>
      <c r="AK459" s="1">
        <v>33</v>
      </c>
      <c r="AL459" s="19">
        <v>0.6</v>
      </c>
      <c r="AN459" s="123" t="s">
        <v>68</v>
      </c>
      <c r="AO459" s="1" t="s">
        <v>60</v>
      </c>
      <c r="AP459" s="1" t="s">
        <v>15</v>
      </c>
      <c r="AQ459" s="1" t="s">
        <v>307</v>
      </c>
      <c r="AR459" s="1">
        <v>2017</v>
      </c>
      <c r="AS459" s="1" t="s">
        <v>33</v>
      </c>
      <c r="AT459" s="123" t="s">
        <v>68</v>
      </c>
      <c r="AU459" s="1">
        <v>16.61</v>
      </c>
      <c r="AV459" s="1">
        <v>3.57</v>
      </c>
      <c r="AW459" s="1">
        <v>440232</v>
      </c>
      <c r="AX459" s="1">
        <v>0.7</v>
      </c>
      <c r="AY459" s="1">
        <v>201832</v>
      </c>
      <c r="AZ459" s="1">
        <v>12</v>
      </c>
      <c r="BA459" s="19"/>
    </row>
    <row r="460" spans="33:53" x14ac:dyDescent="0.25">
      <c r="AG460" s="27" t="str">
        <f t="shared" si="38"/>
        <v>Crazy 8WebUSA34</v>
      </c>
      <c r="AH460" s="1" t="s">
        <v>60</v>
      </c>
      <c r="AI460" s="1" t="s">
        <v>15</v>
      </c>
      <c r="AJ460" s="1" t="s">
        <v>307</v>
      </c>
      <c r="AK460" s="1">
        <v>34</v>
      </c>
      <c r="AL460" s="19">
        <v>0.6</v>
      </c>
      <c r="AN460" s="123" t="s">
        <v>62</v>
      </c>
      <c r="AO460" s="1" t="s">
        <v>60</v>
      </c>
      <c r="AP460" s="1" t="s">
        <v>15</v>
      </c>
      <c r="AQ460" s="1" t="s">
        <v>307</v>
      </c>
      <c r="AR460" s="1">
        <v>2017</v>
      </c>
      <c r="AS460" s="1" t="s">
        <v>71</v>
      </c>
      <c r="AT460" s="123" t="s">
        <v>62</v>
      </c>
      <c r="AU460" s="1">
        <v>16.04</v>
      </c>
      <c r="AV460" s="1">
        <v>3.2</v>
      </c>
      <c r="AW460" s="1">
        <v>59549</v>
      </c>
      <c r="AX460" s="1">
        <v>0.65</v>
      </c>
      <c r="AY460" s="1">
        <v>201801</v>
      </c>
      <c r="AZ460" s="1">
        <v>13</v>
      </c>
      <c r="BA460" s="19"/>
    </row>
    <row r="461" spans="33:53" x14ac:dyDescent="0.25">
      <c r="AG461" s="27" t="str">
        <f t="shared" si="38"/>
        <v>Crazy 8WebUSA35</v>
      </c>
      <c r="AH461" s="1" t="s">
        <v>60</v>
      </c>
      <c r="AI461" s="1" t="s">
        <v>15</v>
      </c>
      <c r="AJ461" s="1" t="s">
        <v>307</v>
      </c>
      <c r="AK461" s="1">
        <v>35</v>
      </c>
      <c r="AL461" s="19">
        <v>0.65</v>
      </c>
      <c r="AN461" s="123" t="s">
        <v>86</v>
      </c>
      <c r="AO461" s="1" t="s">
        <v>60</v>
      </c>
      <c r="AP461" s="1" t="s">
        <v>15</v>
      </c>
      <c r="AQ461" s="1" t="s">
        <v>307</v>
      </c>
      <c r="AR461" s="1">
        <v>2017</v>
      </c>
      <c r="AS461" s="1" t="s">
        <v>16</v>
      </c>
      <c r="AT461" s="123" t="s">
        <v>86</v>
      </c>
      <c r="AU461" s="1">
        <v>0</v>
      </c>
      <c r="AV461" s="1">
        <v>0</v>
      </c>
      <c r="AW461" s="1">
        <v>0</v>
      </c>
      <c r="AX461" s="1">
        <v>0</v>
      </c>
      <c r="AY461" s="1">
        <v>201747</v>
      </c>
      <c r="AZ461" s="1">
        <v>5</v>
      </c>
      <c r="BA461" s="19"/>
    </row>
    <row r="462" spans="33:53" x14ac:dyDescent="0.25">
      <c r="AG462" s="27" t="str">
        <f t="shared" si="38"/>
        <v>Crazy 8WebUSA36</v>
      </c>
      <c r="AH462" s="1" t="s">
        <v>60</v>
      </c>
      <c r="AI462" s="1" t="s">
        <v>15</v>
      </c>
      <c r="AJ462" s="1" t="s">
        <v>307</v>
      </c>
      <c r="AK462" s="1">
        <v>36</v>
      </c>
      <c r="AL462" s="19">
        <v>0.65</v>
      </c>
      <c r="AN462" s="123" t="s">
        <v>88</v>
      </c>
      <c r="AO462" s="1" t="s">
        <v>60</v>
      </c>
      <c r="AP462" s="1" t="s">
        <v>15</v>
      </c>
      <c r="AQ462" s="1" t="s">
        <v>307</v>
      </c>
      <c r="AR462" s="1">
        <v>2017</v>
      </c>
      <c r="AS462" s="1" t="s">
        <v>16</v>
      </c>
      <c r="AT462" s="123" t="s">
        <v>88</v>
      </c>
      <c r="AU462" s="1">
        <v>0</v>
      </c>
      <c r="AV462" s="1">
        <v>0</v>
      </c>
      <c r="AW462" s="1">
        <v>0</v>
      </c>
      <c r="AX462" s="1">
        <v>0</v>
      </c>
      <c r="AY462" s="1">
        <v>201748</v>
      </c>
      <c r="AZ462" s="1">
        <v>8</v>
      </c>
      <c r="BA462" s="19"/>
    </row>
    <row r="463" spans="33:53" x14ac:dyDescent="0.25">
      <c r="AG463" s="27" t="str">
        <f t="shared" si="38"/>
        <v>Crazy 8WebUSA37</v>
      </c>
      <c r="AH463" s="1" t="s">
        <v>60</v>
      </c>
      <c r="AI463" s="1" t="s">
        <v>15</v>
      </c>
      <c r="AJ463" s="1" t="s">
        <v>307</v>
      </c>
      <c r="AK463" s="1">
        <v>37</v>
      </c>
      <c r="AL463" s="19">
        <v>0.65</v>
      </c>
      <c r="AN463" s="123" t="s">
        <v>84</v>
      </c>
      <c r="AO463" s="1" t="s">
        <v>60</v>
      </c>
      <c r="AP463" s="1" t="s">
        <v>15</v>
      </c>
      <c r="AQ463" s="1" t="s">
        <v>307</v>
      </c>
      <c r="AR463" s="1">
        <v>2017</v>
      </c>
      <c r="AS463" s="1" t="s">
        <v>16</v>
      </c>
      <c r="AT463" s="123" t="s">
        <v>84</v>
      </c>
      <c r="AU463" s="1">
        <v>12.51</v>
      </c>
      <c r="AV463" s="1">
        <v>2.66</v>
      </c>
      <c r="AW463" s="1">
        <v>15085</v>
      </c>
      <c r="AX463" s="1">
        <v>0.52</v>
      </c>
      <c r="AY463" s="1">
        <v>201806</v>
      </c>
      <c r="AZ463" s="1">
        <v>13</v>
      </c>
      <c r="BA463" s="19"/>
    </row>
    <row r="464" spans="33:53" x14ac:dyDescent="0.25">
      <c r="AG464" s="27" t="str">
        <f t="shared" si="38"/>
        <v>Crazy 8WebUSA38</v>
      </c>
      <c r="AH464" s="1" t="s">
        <v>60</v>
      </c>
      <c r="AI464" s="1" t="s">
        <v>15</v>
      </c>
      <c r="AJ464" s="1" t="s">
        <v>307</v>
      </c>
      <c r="AK464" s="1">
        <v>38</v>
      </c>
      <c r="AL464" s="19">
        <v>0.65</v>
      </c>
      <c r="AN464" s="123" t="s">
        <v>92</v>
      </c>
      <c r="AO464" s="1" t="s">
        <v>60</v>
      </c>
      <c r="AP464" s="1" t="s">
        <v>15</v>
      </c>
      <c r="AQ464" s="1" t="s">
        <v>307</v>
      </c>
      <c r="AR464" s="1">
        <v>2017</v>
      </c>
      <c r="AS464" s="1" t="s">
        <v>16</v>
      </c>
      <c r="AT464" s="123" t="s">
        <v>92</v>
      </c>
      <c r="AU464" s="1">
        <v>14.88</v>
      </c>
      <c r="AV464" s="1">
        <v>2.63</v>
      </c>
      <c r="AW464" s="1">
        <v>1530</v>
      </c>
      <c r="AX464" s="1">
        <v>0.35</v>
      </c>
      <c r="AY464" s="1">
        <v>201750</v>
      </c>
      <c r="AZ464" s="1">
        <v>7</v>
      </c>
      <c r="BA464" s="19"/>
    </row>
    <row r="465" spans="33:53" x14ac:dyDescent="0.25">
      <c r="AG465" s="27" t="str">
        <f t="shared" si="38"/>
        <v>Crazy 8WebUSA39</v>
      </c>
      <c r="AH465" s="1" t="s">
        <v>60</v>
      </c>
      <c r="AI465" s="1" t="s">
        <v>15</v>
      </c>
      <c r="AJ465" s="1" t="s">
        <v>307</v>
      </c>
      <c r="AK465" s="1">
        <v>39</v>
      </c>
      <c r="AL465" s="19">
        <v>0.65</v>
      </c>
      <c r="AN465" s="123" t="s">
        <v>90</v>
      </c>
      <c r="AO465" s="1" t="s">
        <v>60</v>
      </c>
      <c r="AP465" s="1" t="s">
        <v>15</v>
      </c>
      <c r="AQ465" s="1" t="s">
        <v>307</v>
      </c>
      <c r="AR465" s="1">
        <v>2017</v>
      </c>
      <c r="AS465" s="1" t="s">
        <v>16</v>
      </c>
      <c r="AT465" s="123" t="s">
        <v>90</v>
      </c>
      <c r="AU465" s="1">
        <v>17.739999999999998</v>
      </c>
      <c r="AV465" s="1">
        <v>3.28</v>
      </c>
      <c r="AW465" s="1">
        <v>14056</v>
      </c>
      <c r="AX465" s="1">
        <v>0.41</v>
      </c>
      <c r="AY465" s="1">
        <v>201801</v>
      </c>
      <c r="AZ465" s="1">
        <v>2</v>
      </c>
      <c r="BA465" s="19"/>
    </row>
    <row r="466" spans="33:53" x14ac:dyDescent="0.25">
      <c r="AG466" s="27" t="str">
        <f t="shared" si="38"/>
        <v>Crazy 8WebUSA40</v>
      </c>
      <c r="AH466" s="1" t="s">
        <v>60</v>
      </c>
      <c r="AI466" s="1" t="s">
        <v>15</v>
      </c>
      <c r="AJ466" s="1" t="s">
        <v>307</v>
      </c>
      <c r="AK466" s="1">
        <v>40</v>
      </c>
      <c r="AL466" s="19">
        <v>0.7</v>
      </c>
      <c r="AN466" s="123" t="s">
        <v>94</v>
      </c>
      <c r="AO466" s="1" t="s">
        <v>60</v>
      </c>
      <c r="AP466" s="1" t="s">
        <v>15</v>
      </c>
      <c r="AQ466" s="1" t="s">
        <v>307</v>
      </c>
      <c r="AR466" s="1">
        <v>2017</v>
      </c>
      <c r="AS466" s="1" t="s">
        <v>16</v>
      </c>
      <c r="AT466" s="123" t="s">
        <v>94</v>
      </c>
      <c r="AU466" s="1">
        <v>0</v>
      </c>
      <c r="AV466" s="1">
        <v>0</v>
      </c>
      <c r="AW466" s="1">
        <v>0</v>
      </c>
      <c r="AX466" s="1">
        <v>0</v>
      </c>
      <c r="AY466" s="1">
        <v>201750</v>
      </c>
      <c r="AZ466" s="1">
        <v>22</v>
      </c>
      <c r="BA466" s="19"/>
    </row>
    <row r="467" spans="33:53" x14ac:dyDescent="0.25">
      <c r="AG467" s="27" t="str">
        <f t="shared" si="38"/>
        <v>Crazy 8WebUSA41</v>
      </c>
      <c r="AH467" s="1" t="s">
        <v>60</v>
      </c>
      <c r="AI467" s="1" t="s">
        <v>15</v>
      </c>
      <c r="AJ467" s="1" t="s">
        <v>307</v>
      </c>
      <c r="AK467" s="1">
        <v>41</v>
      </c>
      <c r="AL467" s="19">
        <v>0.7</v>
      </c>
      <c r="AN467" s="123" t="s">
        <v>96</v>
      </c>
      <c r="AO467" s="1" t="s">
        <v>60</v>
      </c>
      <c r="AP467" s="1" t="s">
        <v>15</v>
      </c>
      <c r="AQ467" s="1" t="s">
        <v>307</v>
      </c>
      <c r="AR467" s="1">
        <v>2017</v>
      </c>
      <c r="AS467" s="1" t="s">
        <v>16</v>
      </c>
      <c r="AT467" s="123" t="s">
        <v>96</v>
      </c>
      <c r="AU467" s="1">
        <v>14.88</v>
      </c>
      <c r="AV467" s="1">
        <v>2.62</v>
      </c>
      <c r="AW467" s="1">
        <v>1604</v>
      </c>
      <c r="AX467" s="1">
        <v>0.5</v>
      </c>
      <c r="AY467" s="1">
        <v>201751</v>
      </c>
      <c r="AZ467" s="1">
        <v>6</v>
      </c>
      <c r="BA467" s="19"/>
    </row>
    <row r="468" spans="33:53" x14ac:dyDescent="0.25">
      <c r="AG468" s="27" t="str">
        <f t="shared" si="38"/>
        <v>Crazy 8WebUSA42</v>
      </c>
      <c r="AH468" s="1" t="s">
        <v>60</v>
      </c>
      <c r="AI468" s="1" t="s">
        <v>15</v>
      </c>
      <c r="AJ468" s="1" t="s">
        <v>307</v>
      </c>
      <c r="AK468" s="1">
        <v>42</v>
      </c>
      <c r="AL468" s="19">
        <v>0.7</v>
      </c>
      <c r="AN468" s="123" t="s">
        <v>98</v>
      </c>
      <c r="AO468" s="1" t="s">
        <v>60</v>
      </c>
      <c r="AP468" s="1" t="s">
        <v>15</v>
      </c>
      <c r="AQ468" s="1" t="s">
        <v>307</v>
      </c>
      <c r="AR468" s="1">
        <v>2017</v>
      </c>
      <c r="AS468" s="1" t="s">
        <v>16</v>
      </c>
      <c r="AT468" s="123" t="s">
        <v>98</v>
      </c>
      <c r="AU468" s="1">
        <v>18.11</v>
      </c>
      <c r="AV468" s="1">
        <v>3.81</v>
      </c>
      <c r="AW468" s="1">
        <v>164543</v>
      </c>
      <c r="AX468" s="1">
        <v>0.4</v>
      </c>
      <c r="AY468" s="1">
        <v>201801</v>
      </c>
      <c r="AZ468" s="1">
        <v>7</v>
      </c>
      <c r="BA468" s="19"/>
    </row>
    <row r="469" spans="33:53" x14ac:dyDescent="0.25">
      <c r="AG469" s="27" t="str">
        <f t="shared" si="38"/>
        <v>Crazy 8WebUSA43</v>
      </c>
      <c r="AH469" s="1" t="s">
        <v>60</v>
      </c>
      <c r="AI469" s="1" t="s">
        <v>15</v>
      </c>
      <c r="AJ469" s="1" t="s">
        <v>307</v>
      </c>
      <c r="AK469" s="1">
        <v>43</v>
      </c>
      <c r="AL469" s="19">
        <v>0.7</v>
      </c>
      <c r="AN469" s="123" t="s">
        <v>100</v>
      </c>
      <c r="AO469" s="1" t="s">
        <v>60</v>
      </c>
      <c r="AP469" s="1" t="s">
        <v>15</v>
      </c>
      <c r="AQ469" s="1" t="s">
        <v>307</v>
      </c>
      <c r="AR469" s="1">
        <v>2017</v>
      </c>
      <c r="AS469" s="1" t="s">
        <v>16</v>
      </c>
      <c r="AT469" s="123" t="s">
        <v>100</v>
      </c>
      <c r="AU469" s="1">
        <v>19.29</v>
      </c>
      <c r="AV469" s="1">
        <v>5.37</v>
      </c>
      <c r="AW469" s="1">
        <v>40209</v>
      </c>
      <c r="AX469" s="1">
        <v>0.69</v>
      </c>
      <c r="AY469" s="1">
        <v>201801</v>
      </c>
      <c r="AZ469" s="1">
        <v>18</v>
      </c>
      <c r="BA469" s="19"/>
    </row>
    <row r="470" spans="33:53" x14ac:dyDescent="0.25">
      <c r="AG470" s="27" t="str">
        <f t="shared" si="38"/>
        <v>Crazy 8WebUSA44</v>
      </c>
      <c r="AH470" s="1" t="s">
        <v>60</v>
      </c>
      <c r="AI470" s="1" t="s">
        <v>15</v>
      </c>
      <c r="AJ470" s="1" t="s">
        <v>307</v>
      </c>
      <c r="AK470" s="1">
        <v>44</v>
      </c>
      <c r="AL470" s="19">
        <v>0.7</v>
      </c>
      <c r="AN470" s="123"/>
      <c r="AO470" s="1" t="s">
        <v>60</v>
      </c>
      <c r="AP470" s="1" t="s">
        <v>15</v>
      </c>
      <c r="AQ470" s="1" t="s">
        <v>307</v>
      </c>
      <c r="AR470" s="1">
        <v>2017</v>
      </c>
      <c r="AS470" s="1" t="s">
        <v>16</v>
      </c>
      <c r="AT470" s="123"/>
      <c r="AU470" s="1">
        <v>29.95</v>
      </c>
      <c r="AV470" s="1">
        <v>5.33</v>
      </c>
      <c r="AW470" s="1">
        <v>19511</v>
      </c>
      <c r="AX470" s="1">
        <v>0.39</v>
      </c>
      <c r="AY470" s="1">
        <v>201803</v>
      </c>
      <c r="AZ470" s="1">
        <v>6</v>
      </c>
      <c r="BA470" s="19"/>
    </row>
    <row r="471" spans="33:53" x14ac:dyDescent="0.25">
      <c r="AG471" s="27" t="str">
        <f t="shared" si="38"/>
        <v>Crazy 8WebUSA45</v>
      </c>
      <c r="AH471" s="1" t="s">
        <v>60</v>
      </c>
      <c r="AI471" s="1" t="s">
        <v>15</v>
      </c>
      <c r="AJ471" s="1" t="s">
        <v>307</v>
      </c>
      <c r="AK471" s="1">
        <v>45</v>
      </c>
      <c r="AL471" s="19">
        <v>0.7</v>
      </c>
      <c r="AN471" s="123" t="s">
        <v>106</v>
      </c>
      <c r="AO471" s="1" t="s">
        <v>60</v>
      </c>
      <c r="AP471" s="1" t="s">
        <v>15</v>
      </c>
      <c r="AQ471" s="1" t="s">
        <v>307</v>
      </c>
      <c r="AR471" s="1">
        <v>2017</v>
      </c>
      <c r="AS471" s="1" t="s">
        <v>16</v>
      </c>
      <c r="AT471" s="123" t="s">
        <v>106</v>
      </c>
      <c r="AU471" s="1">
        <v>18.48</v>
      </c>
      <c r="AV471" s="1">
        <v>4.3099999999999996</v>
      </c>
      <c r="AW471" s="1">
        <v>12042</v>
      </c>
      <c r="AX471" s="1">
        <v>0.69</v>
      </c>
      <c r="AY471" s="1">
        <v>201806</v>
      </c>
      <c r="AZ471" s="1">
        <v>14</v>
      </c>
      <c r="BA471" s="19"/>
    </row>
    <row r="472" spans="33:53" x14ac:dyDescent="0.25">
      <c r="AG472" s="27" t="str">
        <f t="shared" si="38"/>
        <v>Crazy 8WebUSA46</v>
      </c>
      <c r="AH472" s="1" t="s">
        <v>60</v>
      </c>
      <c r="AI472" s="1" t="s">
        <v>15</v>
      </c>
      <c r="AJ472" s="1" t="s">
        <v>307</v>
      </c>
      <c r="AK472" s="1">
        <v>46</v>
      </c>
      <c r="AL472" s="19">
        <v>0.7</v>
      </c>
      <c r="AN472" s="123" t="s">
        <v>104</v>
      </c>
      <c r="AO472" s="1" t="s">
        <v>60</v>
      </c>
      <c r="AP472" s="1" t="s">
        <v>15</v>
      </c>
      <c r="AQ472" s="1" t="s">
        <v>307</v>
      </c>
      <c r="AR472" s="1">
        <v>2017</v>
      </c>
      <c r="AS472" s="1" t="s">
        <v>16</v>
      </c>
      <c r="AT472" s="123" t="s">
        <v>104</v>
      </c>
      <c r="AU472" s="1">
        <v>14.64</v>
      </c>
      <c r="AV472" s="1">
        <v>2.96</v>
      </c>
      <c r="AW472" s="1">
        <v>198596</v>
      </c>
      <c r="AX472" s="1">
        <v>0.52</v>
      </c>
      <c r="AY472" s="1">
        <v>201806</v>
      </c>
      <c r="AZ472" s="1">
        <v>10</v>
      </c>
      <c r="BA472" s="19"/>
    </row>
    <row r="473" spans="33:53" x14ac:dyDescent="0.25">
      <c r="AG473" s="27" t="str">
        <f t="shared" si="38"/>
        <v>Crazy 8WebUSA47</v>
      </c>
      <c r="AH473" s="1" t="s">
        <v>60</v>
      </c>
      <c r="AI473" s="1" t="s">
        <v>15</v>
      </c>
      <c r="AJ473" s="1" t="s">
        <v>307</v>
      </c>
      <c r="AK473" s="1">
        <v>47</v>
      </c>
      <c r="AL473" s="19">
        <v>0.7</v>
      </c>
      <c r="AN473" s="123"/>
      <c r="AO473" s="1" t="s">
        <v>60</v>
      </c>
      <c r="AP473" s="1" t="s">
        <v>15</v>
      </c>
      <c r="AQ473" s="1" t="s">
        <v>307</v>
      </c>
      <c r="AR473" s="1">
        <v>2017</v>
      </c>
      <c r="AS473" s="1" t="s">
        <v>16</v>
      </c>
      <c r="AT473" s="123"/>
      <c r="AU473" s="1">
        <v>17.8</v>
      </c>
      <c r="AV473" s="1">
        <v>5.9</v>
      </c>
      <c r="AW473" s="1">
        <v>5882</v>
      </c>
      <c r="AX473" s="1">
        <v>0.52</v>
      </c>
      <c r="AY473" s="1">
        <v>201806</v>
      </c>
      <c r="AZ473" s="1">
        <v>12</v>
      </c>
      <c r="BA473" s="19"/>
    </row>
    <row r="474" spans="33:53" x14ac:dyDescent="0.25">
      <c r="AG474" s="27" t="str">
        <f t="shared" si="38"/>
        <v>Crazy 8WebUSA48</v>
      </c>
      <c r="AH474" s="1" t="s">
        <v>60</v>
      </c>
      <c r="AI474" s="1" t="s">
        <v>15</v>
      </c>
      <c r="AJ474" s="1" t="s">
        <v>307</v>
      </c>
      <c r="AK474" s="1">
        <v>48</v>
      </c>
      <c r="AL474" s="19">
        <v>0.7</v>
      </c>
      <c r="AN474" s="123" t="s">
        <v>110</v>
      </c>
      <c r="AO474" s="1" t="s">
        <v>60</v>
      </c>
      <c r="AP474" s="1" t="s">
        <v>15</v>
      </c>
      <c r="AQ474" s="1" t="s">
        <v>307</v>
      </c>
      <c r="AR474" s="1">
        <v>2017</v>
      </c>
      <c r="AS474" s="1" t="s">
        <v>18</v>
      </c>
      <c r="AT474" s="123" t="s">
        <v>110</v>
      </c>
      <c r="AU474" s="1">
        <v>13.39</v>
      </c>
      <c r="AV474" s="1">
        <v>2.96</v>
      </c>
      <c r="AW474" s="1">
        <v>403155</v>
      </c>
      <c r="AX474" s="1">
        <v>0.7</v>
      </c>
      <c r="AY474" s="1">
        <v>201818</v>
      </c>
      <c r="AZ474" s="1">
        <v>12</v>
      </c>
      <c r="BA474" s="19"/>
    </row>
    <row r="475" spans="33:53" x14ac:dyDescent="0.25">
      <c r="AG475" s="27" t="str">
        <f t="shared" si="38"/>
        <v>Crazy 8WebUSA49</v>
      </c>
      <c r="AH475" s="1" t="s">
        <v>60</v>
      </c>
      <c r="AI475" s="1" t="s">
        <v>15</v>
      </c>
      <c r="AJ475" s="1" t="s">
        <v>307</v>
      </c>
      <c r="AK475" s="1">
        <v>49</v>
      </c>
      <c r="AL475" s="19">
        <v>0.7</v>
      </c>
      <c r="AN475" s="123" t="s">
        <v>108</v>
      </c>
      <c r="AO475" s="1" t="s">
        <v>60</v>
      </c>
      <c r="AP475" s="1" t="s">
        <v>15</v>
      </c>
      <c r="AQ475" s="1" t="s">
        <v>307</v>
      </c>
      <c r="AR475" s="1">
        <v>2017</v>
      </c>
      <c r="AS475" s="1" t="s">
        <v>18</v>
      </c>
      <c r="AT475" s="123" t="s">
        <v>108</v>
      </c>
      <c r="AU475" s="1">
        <v>18.510000000000002</v>
      </c>
      <c r="AV475" s="1">
        <v>4.1399999999999997</v>
      </c>
      <c r="AW475" s="1">
        <v>29551</v>
      </c>
      <c r="AX475" s="1">
        <v>0.44</v>
      </c>
      <c r="AY475" s="1">
        <v>201807</v>
      </c>
      <c r="AZ475" s="1">
        <v>7</v>
      </c>
      <c r="BA475" s="19"/>
    </row>
    <row r="476" spans="33:53" x14ac:dyDescent="0.25">
      <c r="AG476" s="27" t="str">
        <f t="shared" si="38"/>
        <v>Crazy 8WebUSA50</v>
      </c>
      <c r="AH476" s="1" t="s">
        <v>60</v>
      </c>
      <c r="AI476" s="1" t="s">
        <v>15</v>
      </c>
      <c r="AJ476" s="1" t="s">
        <v>307</v>
      </c>
      <c r="AK476" s="1">
        <v>50</v>
      </c>
      <c r="AL476" s="19">
        <v>0.7</v>
      </c>
      <c r="AN476" s="123" t="s">
        <v>112</v>
      </c>
      <c r="AO476" s="1" t="s">
        <v>60</v>
      </c>
      <c r="AP476" s="1" t="s">
        <v>15</v>
      </c>
      <c r="AQ476" s="1" t="s">
        <v>307</v>
      </c>
      <c r="AR476" s="1">
        <v>2017</v>
      </c>
      <c r="AS476" s="1" t="s">
        <v>18</v>
      </c>
      <c r="AT476" s="123" t="s">
        <v>112</v>
      </c>
      <c r="AU476" s="1">
        <v>15.31</v>
      </c>
      <c r="AV476" s="1">
        <v>3.12</v>
      </c>
      <c r="AW476" s="1">
        <v>183917</v>
      </c>
      <c r="AX476" s="1">
        <v>0.62</v>
      </c>
      <c r="AY476" s="1">
        <v>201809</v>
      </c>
      <c r="AZ476" s="1">
        <v>9</v>
      </c>
      <c r="BA476" s="19"/>
    </row>
    <row r="477" spans="33:53" x14ac:dyDescent="0.25">
      <c r="AG477" s="27" t="str">
        <f t="shared" si="38"/>
        <v>Crazy 8WebUSA51</v>
      </c>
      <c r="AH477" s="1" t="s">
        <v>60</v>
      </c>
      <c r="AI477" s="1" t="s">
        <v>15</v>
      </c>
      <c r="AJ477" s="1" t="s">
        <v>307</v>
      </c>
      <c r="AK477" s="1">
        <v>51</v>
      </c>
      <c r="AL477" s="19">
        <v>0.7</v>
      </c>
      <c r="AN477" s="123" t="s">
        <v>118</v>
      </c>
      <c r="AO477" s="1" t="s">
        <v>60</v>
      </c>
      <c r="AP477" s="1" t="s">
        <v>15</v>
      </c>
      <c r="AQ477" s="1" t="s">
        <v>307</v>
      </c>
      <c r="AR477" s="1">
        <v>2017</v>
      </c>
      <c r="AS477" s="1" t="s">
        <v>18</v>
      </c>
      <c r="AT477" s="123" t="s">
        <v>118</v>
      </c>
      <c r="AU477" s="1">
        <v>18.84</v>
      </c>
      <c r="AV477" s="1">
        <v>3.47</v>
      </c>
      <c r="AW477" s="1">
        <v>47667</v>
      </c>
      <c r="AX477" s="1">
        <v>0.65</v>
      </c>
      <c r="AY477" s="1">
        <v>201814</v>
      </c>
      <c r="AZ477" s="1">
        <v>6</v>
      </c>
      <c r="BA477" s="19"/>
    </row>
    <row r="478" spans="33:53" x14ac:dyDescent="0.25">
      <c r="AG478" s="27" t="str">
        <f t="shared" si="38"/>
        <v>Crazy 8WebUSA52</v>
      </c>
      <c r="AH478" s="1" t="s">
        <v>60</v>
      </c>
      <c r="AI478" s="1" t="s">
        <v>15</v>
      </c>
      <c r="AJ478" s="1" t="s">
        <v>307</v>
      </c>
      <c r="AK478" s="1">
        <v>52</v>
      </c>
      <c r="AL478" s="19">
        <v>0.7</v>
      </c>
      <c r="AN478" s="123" t="s">
        <v>114</v>
      </c>
      <c r="AO478" s="1" t="s">
        <v>60</v>
      </c>
      <c r="AP478" s="1" t="s">
        <v>15</v>
      </c>
      <c r="AQ478" s="1" t="s">
        <v>307</v>
      </c>
      <c r="AR478" s="1">
        <v>2017</v>
      </c>
      <c r="AS478" s="1" t="s">
        <v>18</v>
      </c>
      <c r="AT478" s="123" t="s">
        <v>114</v>
      </c>
      <c r="AU478" s="1">
        <v>20.11</v>
      </c>
      <c r="AV478" s="1">
        <v>5.38</v>
      </c>
      <c r="AW478" s="1">
        <v>8457</v>
      </c>
      <c r="AX478" s="1">
        <v>0.59</v>
      </c>
      <c r="AY478" s="1">
        <v>201809</v>
      </c>
      <c r="AZ478" s="1">
        <v>11</v>
      </c>
      <c r="BA478" s="19"/>
    </row>
    <row r="479" spans="33:53" x14ac:dyDescent="0.25">
      <c r="AG479" s="35" t="str">
        <f t="shared" si="38"/>
        <v>Crazy 8WebUSA53</v>
      </c>
      <c r="AH479" s="29" t="s">
        <v>60</v>
      </c>
      <c r="AI479" s="29" t="s">
        <v>15</v>
      </c>
      <c r="AJ479" s="29" t="s">
        <v>307</v>
      </c>
      <c r="AK479" s="29">
        <v>53</v>
      </c>
      <c r="AL479" s="26">
        <v>0.7</v>
      </c>
      <c r="AN479" s="123" t="s">
        <v>116</v>
      </c>
      <c r="AO479" s="1" t="s">
        <v>60</v>
      </c>
      <c r="AP479" s="1" t="s">
        <v>15</v>
      </c>
      <c r="AQ479" s="1" t="s">
        <v>307</v>
      </c>
      <c r="AR479" s="1">
        <v>2017</v>
      </c>
      <c r="AS479" s="1" t="s">
        <v>18</v>
      </c>
      <c r="AT479" s="123" t="s">
        <v>116</v>
      </c>
      <c r="AU479" s="1">
        <v>19.54</v>
      </c>
      <c r="AV479" s="1">
        <v>4.04</v>
      </c>
      <c r="AW479" s="1">
        <v>41654</v>
      </c>
      <c r="AX479" s="1">
        <v>0.7</v>
      </c>
      <c r="AY479" s="1">
        <v>201811</v>
      </c>
      <c r="AZ479" s="1">
        <v>6</v>
      </c>
      <c r="BA479" s="19"/>
    </row>
    <row r="480" spans="33:53" x14ac:dyDescent="0.25">
      <c r="AN480" s="123" t="s">
        <v>120</v>
      </c>
      <c r="AO480" s="1" t="s">
        <v>60</v>
      </c>
      <c r="AP480" s="1" t="s">
        <v>15</v>
      </c>
      <c r="AQ480" s="1" t="s">
        <v>307</v>
      </c>
      <c r="AR480" s="1">
        <v>2017</v>
      </c>
      <c r="AS480" s="1" t="s">
        <v>18</v>
      </c>
      <c r="AT480" s="123" t="s">
        <v>120</v>
      </c>
      <c r="AU480" s="1">
        <v>15.96</v>
      </c>
      <c r="AV480" s="1">
        <v>3.24</v>
      </c>
      <c r="AW480" s="1">
        <v>133719</v>
      </c>
      <c r="AX480" s="1">
        <v>0.59</v>
      </c>
      <c r="AY480" s="1">
        <v>201814</v>
      </c>
      <c r="AZ480" s="1">
        <v>7</v>
      </c>
      <c r="BA480" s="19"/>
    </row>
    <row r="481" spans="40:53" x14ac:dyDescent="0.25">
      <c r="AN481" s="123" t="s">
        <v>122</v>
      </c>
      <c r="AO481" s="1" t="s">
        <v>60</v>
      </c>
      <c r="AP481" s="1" t="s">
        <v>15</v>
      </c>
      <c r="AQ481" s="1" t="s">
        <v>307</v>
      </c>
      <c r="AR481" s="1">
        <v>2017</v>
      </c>
      <c r="AS481" s="1" t="s">
        <v>18</v>
      </c>
      <c r="AT481" s="123" t="s">
        <v>122</v>
      </c>
      <c r="AU481" s="1">
        <v>18.47</v>
      </c>
      <c r="AV481" s="1">
        <v>3.74</v>
      </c>
      <c r="AW481" s="1">
        <v>69572</v>
      </c>
      <c r="AX481" s="1">
        <v>0.65</v>
      </c>
      <c r="AY481" s="1">
        <v>201818</v>
      </c>
      <c r="AZ481" s="1">
        <v>6</v>
      </c>
      <c r="BA481" s="19"/>
    </row>
    <row r="482" spans="40:53" x14ac:dyDescent="0.25">
      <c r="AN482" s="124" t="s">
        <v>124</v>
      </c>
      <c r="AO482" s="29" t="s">
        <v>60</v>
      </c>
      <c r="AP482" s="29" t="s">
        <v>15</v>
      </c>
      <c r="AQ482" s="29" t="s">
        <v>307</v>
      </c>
      <c r="AR482" s="1">
        <v>2017</v>
      </c>
      <c r="AS482" s="29" t="s">
        <v>18</v>
      </c>
      <c r="AT482" s="124" t="s">
        <v>124</v>
      </c>
      <c r="AU482" s="29">
        <v>20.260000000000002</v>
      </c>
      <c r="AV482" s="29">
        <v>4.16</v>
      </c>
      <c r="AW482" s="29">
        <v>14855</v>
      </c>
      <c r="AX482" s="29">
        <v>0.6</v>
      </c>
      <c r="AY482" s="29">
        <v>201819</v>
      </c>
      <c r="AZ482" s="29">
        <v>4</v>
      </c>
      <c r="BA482" s="26"/>
    </row>
  </sheetData>
  <autoFilter ref="Q1:W299"/>
  <sortState ref="Q2:X181">
    <sortCondition ref="T2:T181"/>
    <sortCondition ref="X2:X181"/>
    <sortCondition ref="U2:U181"/>
    <sortCondition ref="S2:S181"/>
    <sortCondition ref="V2:V181"/>
  </sortState>
  <mergeCells count="3">
    <mergeCell ref="K1:L1"/>
    <mergeCell ref="N1:O1"/>
    <mergeCell ref="C13:G13"/>
  </mergeCells>
  <dataValidations count="1">
    <dataValidation type="list" allowBlank="1" showInputMessage="1" showErrorMessage="1" sqref="C13">
      <formula1>"Test, Prod"</formula1>
    </dataValidation>
  </dataValidations>
  <hyperlinks>
    <hyperlink ref="C14" r:id="rId1"/>
  </hyperlinks>
  <pageMargins left="0.7" right="0.7" top="0.75" bottom="0.75" header="0.3" footer="0.3"/>
  <pageSetup orientation="portrait" verticalDpi="24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34</vt:i4>
      </vt:variant>
    </vt:vector>
  </HeadingPairs>
  <TitlesOfParts>
    <vt:vector size="39" baseType="lpstr">
      <vt:lpstr>Admin</vt:lpstr>
      <vt:lpstr>Forecast</vt:lpstr>
      <vt:lpstr>Formulas</vt:lpstr>
      <vt:lpstr>Source Data</vt:lpstr>
      <vt:lpstr>Settings</vt:lpstr>
      <vt:lpstr>Brand</vt:lpstr>
      <vt:lpstr>Channel</vt:lpstr>
      <vt:lpstr>ColumnLookup</vt:lpstr>
      <vt:lpstr>CompareVer</vt:lpstr>
      <vt:lpstr>Country</vt:lpstr>
      <vt:lpstr>DataPlan</vt:lpstr>
      <vt:lpstr>Display</vt:lpstr>
      <vt:lpstr>Environ</vt:lpstr>
      <vt:lpstr>ExportData</vt:lpstr>
      <vt:lpstr>ExportFields</vt:lpstr>
      <vt:lpstr>FC</vt:lpstr>
      <vt:lpstr>FCLY</vt:lpstr>
      <vt:lpstr>FiscalYr</vt:lpstr>
      <vt:lpstr>ForecastVer</vt:lpstr>
      <vt:lpstr>Formulas</vt:lpstr>
      <vt:lpstr>Host</vt:lpstr>
      <vt:lpstr>ListBrand</vt:lpstr>
      <vt:lpstr>ListChannel</vt:lpstr>
      <vt:lpstr>ListSeason</vt:lpstr>
      <vt:lpstr>ListVersions</vt:lpstr>
      <vt:lpstr>ListYr</vt:lpstr>
      <vt:lpstr>LY</vt:lpstr>
      <vt:lpstr>NewPlan</vt:lpstr>
      <vt:lpstr>Plan</vt:lpstr>
      <vt:lpstr>Plan_txt</vt:lpstr>
      <vt:lpstr>Season</vt:lpstr>
      <vt:lpstr>Status</vt:lpstr>
      <vt:lpstr>tblBrandChannel</vt:lpstr>
      <vt:lpstr>tblBrandCountry</vt:lpstr>
      <vt:lpstr>tblDiscount</vt:lpstr>
      <vt:lpstr>tblFC</vt:lpstr>
      <vt:lpstr>tblFCSettings</vt:lpstr>
      <vt:lpstr>tblForecast</vt:lpstr>
      <vt:lpstr>tblLYFC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svc-featurecode</cp:lastModifiedBy>
  <cp:lastPrinted>2018-04-10T17:09:40Z</cp:lastPrinted>
  <dcterms:created xsi:type="dcterms:W3CDTF">2018-04-05T03:35:03Z</dcterms:created>
  <dcterms:modified xsi:type="dcterms:W3CDTF">2018-07-09T16:05:21Z</dcterms:modified>
</cp:coreProperties>
</file>