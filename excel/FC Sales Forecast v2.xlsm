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80" windowWidth="19215" windowHeight="21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Data'!$A$6:$AA$226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A94" i="3" s="1"/>
  <c r="AM94" i="3" s="1"/>
  <c r="AR94" i="3"/>
  <c r="AH94" i="3"/>
  <c r="DC93" i="3"/>
  <c r="DB93" i="3"/>
  <c r="CZ93" i="3"/>
  <c r="DA93" i="3" s="1"/>
  <c r="AM93" i="3" s="1"/>
  <c r="AW93" i="3"/>
  <c r="AR93" i="3"/>
  <c r="AH93" i="3"/>
  <c r="DC92" i="3"/>
  <c r="DB92" i="3"/>
  <c r="AH92" i="3" s="1"/>
  <c r="CZ92" i="3"/>
  <c r="DA92" i="3" s="1"/>
  <c r="AM92" i="3" s="1"/>
  <c r="AR92" i="3"/>
  <c r="DC91" i="3"/>
  <c r="AR91" i="3" s="1"/>
  <c r="DB91" i="3"/>
  <c r="AH91" i="3" s="1"/>
  <c r="CZ91" i="3"/>
  <c r="DC89" i="3"/>
  <c r="DB89" i="3"/>
  <c r="DA89" i="3"/>
  <c r="AM89" i="3" s="1"/>
  <c r="CZ89" i="3"/>
  <c r="AR89" i="3"/>
  <c r="AH89" i="3"/>
  <c r="AD89" i="3"/>
  <c r="DC88" i="3"/>
  <c r="AR88" i="3" s="1"/>
  <c r="DB88" i="3"/>
  <c r="AH88" i="3" s="1"/>
  <c r="CZ88" i="3"/>
  <c r="DC87" i="3"/>
  <c r="DB87" i="3"/>
  <c r="DA87" i="3"/>
  <c r="AM87" i="3" s="1"/>
  <c r="CZ87" i="3"/>
  <c r="AR87" i="3"/>
  <c r="AH87" i="3"/>
  <c r="AD87" i="3"/>
  <c r="DC86" i="3"/>
  <c r="DB86" i="3"/>
  <c r="CZ86" i="3"/>
  <c r="AR86" i="3"/>
  <c r="DC85" i="3"/>
  <c r="DB85" i="3"/>
  <c r="DA85" i="3"/>
  <c r="AM85" i="3" s="1"/>
  <c r="CZ85" i="3"/>
  <c r="AR85" i="3"/>
  <c r="AH85" i="3"/>
  <c r="DC83" i="3"/>
  <c r="AR83" i="3" s="1"/>
  <c r="DB83" i="3"/>
  <c r="CZ83" i="3"/>
  <c r="DA83" i="3" s="1"/>
  <c r="AM83" i="3"/>
  <c r="AH83" i="3"/>
  <c r="AD83" i="3"/>
  <c r="DC82" i="3"/>
  <c r="AR82" i="3" s="1"/>
  <c r="DB82" i="3"/>
  <c r="DA82" i="3" s="1"/>
  <c r="AM82" i="3" s="1"/>
  <c r="AW82" i="3" s="1"/>
  <c r="CZ82" i="3"/>
  <c r="AH82" i="3"/>
  <c r="DC81" i="3"/>
  <c r="DB81" i="3"/>
  <c r="AH81" i="3" s="1"/>
  <c r="DA81" i="3"/>
  <c r="AM81" i="3" s="1"/>
  <c r="CZ81" i="3"/>
  <c r="AR81" i="3"/>
  <c r="DC80" i="3"/>
  <c r="DB80" i="3"/>
  <c r="DA80" i="3"/>
  <c r="AM80" i="3" s="1"/>
  <c r="CZ80" i="3"/>
  <c r="AR80" i="3"/>
  <c r="AH80" i="3"/>
  <c r="DC76" i="3"/>
  <c r="DB76" i="3"/>
  <c r="AH76" i="3" s="1"/>
  <c r="CZ76" i="3"/>
  <c r="AR76" i="3"/>
  <c r="DC75" i="3"/>
  <c r="DB75" i="3"/>
  <c r="DA75" i="3"/>
  <c r="AM75" i="3" s="1"/>
  <c r="AW75" i="3" s="1"/>
  <c r="CZ75" i="3"/>
  <c r="AR75" i="3"/>
  <c r="AH75" i="3"/>
  <c r="AD75" i="3"/>
  <c r="DC74" i="3"/>
  <c r="DB74" i="3"/>
  <c r="AH74" i="3" s="1"/>
  <c r="CZ74" i="3"/>
  <c r="AR74" i="3"/>
  <c r="DC73" i="3"/>
  <c r="DB73" i="3"/>
  <c r="CZ73" i="3"/>
  <c r="DA73" i="3" s="1"/>
  <c r="AR73" i="3"/>
  <c r="AM73" i="3"/>
  <c r="AH73" i="3"/>
  <c r="DC71" i="3"/>
  <c r="DB71" i="3"/>
  <c r="CZ71" i="3"/>
  <c r="AR71" i="3"/>
  <c r="DC70" i="3"/>
  <c r="DB70" i="3"/>
  <c r="DA70" i="3"/>
  <c r="CZ70" i="3"/>
  <c r="AR70" i="3"/>
  <c r="AM70" i="3"/>
  <c r="AH70" i="3"/>
  <c r="DC69" i="3"/>
  <c r="AR69" i="3" s="1"/>
  <c r="DB69" i="3"/>
  <c r="CZ69" i="3"/>
  <c r="DA69" i="3" s="1"/>
  <c r="AM69" i="3"/>
  <c r="AH69" i="3"/>
  <c r="DC68" i="3"/>
  <c r="DB68" i="3"/>
  <c r="DA68" i="3" s="1"/>
  <c r="AM68" i="3" s="1"/>
  <c r="CZ68" i="3"/>
  <c r="AR68" i="3"/>
  <c r="AH68" i="3"/>
  <c r="DC67" i="3"/>
  <c r="DB67" i="3"/>
  <c r="CZ67" i="3"/>
  <c r="AR67" i="3"/>
  <c r="DC65" i="3"/>
  <c r="AR65" i="3" s="1"/>
  <c r="DB65" i="3"/>
  <c r="CZ65" i="3"/>
  <c r="DA65" i="3" s="1"/>
  <c r="AM65" i="3"/>
  <c r="AH65" i="3"/>
  <c r="DC64" i="3"/>
  <c r="AR64" i="3" s="1"/>
  <c r="DB64" i="3"/>
  <c r="DA64" i="3" s="1"/>
  <c r="AM64" i="3" s="1"/>
  <c r="AW64" i="3" s="1"/>
  <c r="CZ64" i="3"/>
  <c r="AH64" i="3"/>
  <c r="AD64" i="3"/>
  <c r="DC63" i="3"/>
  <c r="DB63" i="3"/>
  <c r="AH63" i="3" s="1"/>
  <c r="DA63" i="3"/>
  <c r="AM63" i="3" s="1"/>
  <c r="CZ63" i="3"/>
  <c r="AW63" i="3"/>
  <c r="AR63" i="3"/>
  <c r="DC62" i="3"/>
  <c r="DB62" i="3"/>
  <c r="DA62" i="3"/>
  <c r="AM62" i="3" s="1"/>
  <c r="CZ62" i="3"/>
  <c r="AR62" i="3"/>
  <c r="AH62" i="3"/>
  <c r="DC59" i="3"/>
  <c r="AR59" i="3" s="1"/>
  <c r="DB59" i="3"/>
  <c r="CZ59" i="3"/>
  <c r="DA59" i="3" s="1"/>
  <c r="AM59" i="3"/>
  <c r="AH59" i="3"/>
  <c r="DC58" i="3"/>
  <c r="AR58" i="3" s="1"/>
  <c r="DB58" i="3"/>
  <c r="DA58" i="3" s="1"/>
  <c r="AM58" i="3" s="1"/>
  <c r="CZ58" i="3"/>
  <c r="AH58" i="3"/>
  <c r="DC57" i="3"/>
  <c r="DB57" i="3"/>
  <c r="AH57" i="3" s="1"/>
  <c r="CZ57" i="3"/>
  <c r="AR57" i="3"/>
  <c r="DC56" i="3"/>
  <c r="DB56" i="3"/>
  <c r="DA56" i="3"/>
  <c r="AM56" i="3" s="1"/>
  <c r="CZ56" i="3"/>
  <c r="AR56" i="3"/>
  <c r="AH56" i="3"/>
  <c r="DC54" i="3"/>
  <c r="DB54" i="3"/>
  <c r="AH54" i="3" s="1"/>
  <c r="DA54" i="3"/>
  <c r="AM54" i="3" s="1"/>
  <c r="CZ54" i="3"/>
  <c r="AW54" i="3"/>
  <c r="AR54" i="3"/>
  <c r="DC53" i="3"/>
  <c r="DB53" i="3"/>
  <c r="DA53" i="3"/>
  <c r="AM53" i="3" s="1"/>
  <c r="CZ53" i="3"/>
  <c r="AR53" i="3"/>
  <c r="AH53" i="3"/>
  <c r="DC52" i="3"/>
  <c r="AR52" i="3" s="1"/>
  <c r="DB52" i="3"/>
  <c r="CZ52" i="3"/>
  <c r="DA52" i="3" s="1"/>
  <c r="AM52" i="3"/>
  <c r="AH52" i="3"/>
  <c r="AD52" i="3"/>
  <c r="DC51" i="3"/>
  <c r="AR51" i="3" s="1"/>
  <c r="DB51" i="3"/>
  <c r="DA51" i="3" s="1"/>
  <c r="AM51" i="3" s="1"/>
  <c r="CZ51" i="3"/>
  <c r="AW51" i="3"/>
  <c r="AH51" i="3"/>
  <c r="AD51" i="3"/>
  <c r="DC50" i="3"/>
  <c r="DB50" i="3"/>
  <c r="AH50" i="3" s="1"/>
  <c r="DA50" i="3"/>
  <c r="AM50" i="3" s="1"/>
  <c r="CZ50" i="3"/>
  <c r="AR50" i="3"/>
  <c r="DC48" i="3"/>
  <c r="AR48" i="3" s="1"/>
  <c r="DB48" i="3"/>
  <c r="DA48" i="3" s="1"/>
  <c r="AM48" i="3" s="1"/>
  <c r="AW48" i="3" s="1"/>
  <c r="CZ48" i="3"/>
  <c r="AH48" i="3"/>
  <c r="DC47" i="3"/>
  <c r="DB47" i="3"/>
  <c r="DA47" i="3"/>
  <c r="CZ47" i="3"/>
  <c r="AR47" i="3"/>
  <c r="AM47" i="3"/>
  <c r="AH47" i="3"/>
  <c r="DC46" i="3"/>
  <c r="AR46" i="3" s="1"/>
  <c r="DB46" i="3"/>
  <c r="CZ46" i="3"/>
  <c r="DA46" i="3" s="1"/>
  <c r="AM46" i="3"/>
  <c r="AD46" i="3" s="1"/>
  <c r="AH46" i="3"/>
  <c r="DC45" i="3"/>
  <c r="AR45" i="3" s="1"/>
  <c r="DB45" i="3"/>
  <c r="DA45" i="3" s="1"/>
  <c r="AM45" i="3" s="1"/>
  <c r="CZ45" i="3"/>
  <c r="DC42" i="3"/>
  <c r="DB42" i="3"/>
  <c r="AH42" i="3" s="1"/>
  <c r="DA42" i="3"/>
  <c r="AM42" i="3" s="1"/>
  <c r="CZ42" i="3"/>
  <c r="AW42" i="3"/>
  <c r="AR42" i="3"/>
  <c r="DC41" i="3"/>
  <c r="DB41" i="3"/>
  <c r="CZ41" i="3"/>
  <c r="DA41" i="3" s="1"/>
  <c r="AM41" i="3" s="1"/>
  <c r="AR41" i="3"/>
  <c r="AH41" i="3"/>
  <c r="G41" i="3"/>
  <c r="DC40" i="3"/>
  <c r="AR40" i="3" s="1"/>
  <c r="DB40" i="3"/>
  <c r="CZ40" i="3"/>
  <c r="DA40" i="3" s="1"/>
  <c r="AM40" i="3" s="1"/>
  <c r="AH40" i="3"/>
  <c r="G40" i="3"/>
  <c r="DC39" i="3"/>
  <c r="AR39" i="3" s="1"/>
  <c r="DB39" i="3"/>
  <c r="DA39" i="3" s="1"/>
  <c r="AM39" i="3" s="1"/>
  <c r="CZ39" i="3"/>
  <c r="BM39" i="3"/>
  <c r="DC37" i="3"/>
  <c r="AR37" i="3" s="1"/>
  <c r="DB37" i="3"/>
  <c r="CZ37" i="3"/>
  <c r="DA37" i="3" s="1"/>
  <c r="CM37" i="3"/>
  <c r="BG37" i="3"/>
  <c r="BG38" i="3" s="1"/>
  <c r="AM37" i="3"/>
  <c r="AI37" i="3"/>
  <c r="AH37" i="3"/>
  <c r="K37" i="3"/>
  <c r="DC36" i="3"/>
  <c r="AR36" i="3" s="1"/>
  <c r="DB36" i="3"/>
  <c r="DA36" i="3" s="1"/>
  <c r="AM36" i="3" s="1"/>
  <c r="AW36" i="3" s="1"/>
  <c r="CZ36" i="3"/>
  <c r="CX36" i="3"/>
  <c r="BQ36" i="3"/>
  <c r="AK36" i="3"/>
  <c r="AL36" i="3" s="1"/>
  <c r="AH36" i="3"/>
  <c r="DC35" i="3"/>
  <c r="DB35" i="3"/>
  <c r="AH35" i="3" s="1"/>
  <c r="DA35" i="3"/>
  <c r="AM35" i="3" s="1"/>
  <c r="CZ35" i="3"/>
  <c r="CB35" i="3"/>
  <c r="AW35" i="3"/>
  <c r="AR35" i="3"/>
  <c r="DC34" i="3"/>
  <c r="DB34" i="3"/>
  <c r="CZ34" i="3"/>
  <c r="DA34" i="3" s="1"/>
  <c r="CL34" i="3"/>
  <c r="BF34" i="3"/>
  <c r="DC33" i="3"/>
  <c r="DB33" i="3"/>
  <c r="DA33" i="3" s="1"/>
  <c r="CZ33" i="3"/>
  <c r="BL33" i="3"/>
  <c r="DC31" i="3"/>
  <c r="DB31" i="3"/>
  <c r="DA31" i="3" s="1"/>
  <c r="CZ31" i="3"/>
  <c r="CF31" i="3"/>
  <c r="AO31" i="3"/>
  <c r="T31" i="3"/>
  <c r="DC30" i="3"/>
  <c r="DB30" i="3"/>
  <c r="CZ30" i="3"/>
  <c r="DA30" i="3" s="1"/>
  <c r="CM30" i="3"/>
  <c r="DC29" i="3"/>
  <c r="DB29" i="3"/>
  <c r="DA29" i="3"/>
  <c r="CZ29" i="3"/>
  <c r="CE29" i="3"/>
  <c r="AN29" i="3"/>
  <c r="S29" i="3"/>
  <c r="DC28" i="3"/>
  <c r="DB28" i="3"/>
  <c r="CZ28" i="3"/>
  <c r="DA28" i="3" s="1"/>
  <c r="CL28" i="3"/>
  <c r="BQ28" i="3"/>
  <c r="AU28" i="3"/>
  <c r="DC25" i="3"/>
  <c r="DB25" i="3"/>
  <c r="DA25" i="3" s="1"/>
  <c r="CZ25" i="3"/>
  <c r="CB25" i="3"/>
  <c r="BG25" i="3"/>
  <c r="BG26" i="3" s="1"/>
  <c r="BG27" i="3" s="1"/>
  <c r="AK25" i="3"/>
  <c r="DC24" i="3"/>
  <c r="DB24" i="3"/>
  <c r="DA24" i="3"/>
  <c r="CZ24" i="3"/>
  <c r="G24" i="3"/>
  <c r="DC23" i="3"/>
  <c r="DB23" i="3"/>
  <c r="DA23" i="3" s="1"/>
  <c r="CZ23" i="3"/>
  <c r="CX23" i="3"/>
  <c r="CA23" i="3"/>
  <c r="AJ23" i="3"/>
  <c r="DC22" i="3"/>
  <c r="DB22" i="3"/>
  <c r="CZ22" i="3"/>
  <c r="DA22" i="3" s="1"/>
  <c r="CH22" i="3"/>
  <c r="BM22" i="3"/>
  <c r="DC20" i="3"/>
  <c r="DB20" i="3"/>
  <c r="CZ20" i="3"/>
  <c r="DA20" i="3" s="1"/>
  <c r="AP20" i="3"/>
  <c r="DC19" i="3"/>
  <c r="DB19" i="3"/>
  <c r="DA19" i="3"/>
  <c r="CZ19" i="3"/>
  <c r="BX19" i="3"/>
  <c r="BC19" i="3"/>
  <c r="DC18" i="3"/>
  <c r="DB18" i="3"/>
  <c r="DA18" i="3"/>
  <c r="CZ18" i="3"/>
  <c r="BX18" i="3"/>
  <c r="AR18" i="3"/>
  <c r="DC17" i="3"/>
  <c r="DB17" i="3"/>
  <c r="CZ17" i="3"/>
  <c r="DA17" i="3" s="1"/>
  <c r="CL17" i="3"/>
  <c r="BV17" i="3"/>
  <c r="BF17" i="3"/>
  <c r="AP17" i="3"/>
  <c r="J17" i="3"/>
  <c r="DC16" i="3"/>
  <c r="DB16" i="3"/>
  <c r="DA16" i="3" s="1"/>
  <c r="CZ16" i="3"/>
  <c r="CJ16" i="3"/>
  <c r="BT16" i="3"/>
  <c r="AN16" i="3"/>
  <c r="H16" i="3"/>
  <c r="DC14" i="3"/>
  <c r="DB14" i="3"/>
  <c r="CZ14" i="3"/>
  <c r="DA14" i="3" s="1"/>
  <c r="CJ14" i="3"/>
  <c r="BT14" i="3"/>
  <c r="AN14" i="3"/>
  <c r="H14" i="3"/>
  <c r="DC13" i="3"/>
  <c r="DB13" i="3"/>
  <c r="CZ13" i="3"/>
  <c r="DA13" i="3" s="1"/>
  <c r="CH13" i="3"/>
  <c r="CD13" i="3"/>
  <c r="R13" i="3"/>
  <c r="DC12" i="3"/>
  <c r="DB12" i="3"/>
  <c r="CZ12" i="3"/>
  <c r="DA12" i="3" s="1"/>
  <c r="CX12" i="3"/>
  <c r="CF12" i="3"/>
  <c r="CB12" i="3"/>
  <c r="BT12" i="3"/>
  <c r="BP12" i="3"/>
  <c r="AN12" i="3"/>
  <c r="AJ12" i="3"/>
  <c r="T12" i="3"/>
  <c r="DC11" i="3"/>
  <c r="DB11" i="3"/>
  <c r="CZ11" i="3"/>
  <c r="DA11" i="3" s="1"/>
  <c r="CH11" i="3"/>
  <c r="CD11" i="3"/>
  <c r="BN11" i="3"/>
  <c r="AH11" i="3"/>
  <c r="BX41" i="3"/>
  <c r="AW40" i="3" l="1"/>
  <c r="AD40" i="3"/>
  <c r="N29" i="3"/>
  <c r="X33" i="3"/>
  <c r="CQ34" i="3"/>
  <c r="AD37" i="3"/>
  <c r="S11" i="3"/>
  <c r="BR11" i="3"/>
  <c r="AE12" i="3"/>
  <c r="CJ12" i="3"/>
  <c r="AP13" i="3"/>
  <c r="BF13" i="3"/>
  <c r="CL13" i="3"/>
  <c r="AR14" i="3"/>
  <c r="BX14" i="3"/>
  <c r="BL18" i="3"/>
  <c r="Q19" i="3"/>
  <c r="CC19" i="3"/>
  <c r="BQ20" i="3"/>
  <c r="T23" i="3"/>
  <c r="AO23" i="3"/>
  <c r="AH24" i="3"/>
  <c r="BY24" i="3"/>
  <c r="BL25" i="3"/>
  <c r="J28" i="3"/>
  <c r="BV28" i="3"/>
  <c r="BO29" i="3"/>
  <c r="CM33" i="3"/>
  <c r="BN34" i="3"/>
  <c r="AN35" i="3"/>
  <c r="AS36" i="3"/>
  <c r="S37" i="3"/>
  <c r="AJ41" i="3"/>
  <c r="BP41" i="3"/>
  <c r="CV91" i="3"/>
  <c r="G11" i="3"/>
  <c r="AP11" i="3"/>
  <c r="BF11" i="3"/>
  <c r="BV11" i="3"/>
  <c r="CL11" i="3"/>
  <c r="AR12" i="3"/>
  <c r="BX12" i="3"/>
  <c r="AT13" i="3"/>
  <c r="BL14" i="3"/>
  <c r="CB14" i="3"/>
  <c r="BL16" i="3"/>
  <c r="CB16" i="3"/>
  <c r="R17" i="3"/>
  <c r="AH17" i="3"/>
  <c r="BN17" i="3"/>
  <c r="CD17" i="3"/>
  <c r="T18" i="3"/>
  <c r="AJ18" i="3"/>
  <c r="BP18" i="3"/>
  <c r="CF18" i="3"/>
  <c r="CX18" i="3"/>
  <c r="AR19" i="3"/>
  <c r="BM19" i="3"/>
  <c r="CI19" i="3"/>
  <c r="J20" i="3"/>
  <c r="BV20" i="3"/>
  <c r="K22" i="3"/>
  <c r="BW22" i="3"/>
  <c r="AU23" i="3"/>
  <c r="BP23" i="3"/>
  <c r="CK23" i="3"/>
  <c r="R24" i="3"/>
  <c r="AM24" i="3"/>
  <c r="CD24" i="3"/>
  <c r="BQ25" i="3"/>
  <c r="CM25" i="3"/>
  <c r="CS25" i="3" s="1"/>
  <c r="AK28" i="3"/>
  <c r="BF28" i="3"/>
  <c r="CA28" i="3"/>
  <c r="H29" i="3"/>
  <c r="BT29" i="3"/>
  <c r="Q30" i="3"/>
  <c r="BG30" i="3"/>
  <c r="CC30" i="3"/>
  <c r="I31" i="3"/>
  <c r="BU31" i="3"/>
  <c r="K33" i="3"/>
  <c r="BW33" i="3"/>
  <c r="J34" i="3"/>
  <c r="AP34" i="3"/>
  <c r="BV34" i="3"/>
  <c r="BL35" i="3"/>
  <c r="BW37" i="3"/>
  <c r="AU40" i="3"/>
  <c r="CA40" i="3"/>
  <c r="AV41" i="3"/>
  <c r="AD41" i="3"/>
  <c r="AW41" i="3"/>
  <c r="X13" i="3"/>
  <c r="BI12" i="3"/>
  <c r="AE14" i="3"/>
  <c r="AE16" i="3"/>
  <c r="AX16" i="3"/>
  <c r="AF31" i="3"/>
  <c r="S85" i="3"/>
  <c r="CK81" i="3"/>
  <c r="AI80" i="3"/>
  <c r="AS75" i="3"/>
  <c r="AJ74" i="3"/>
  <c r="BN69" i="3"/>
  <c r="AI69" i="3"/>
  <c r="J69" i="3"/>
  <c r="CX68" i="3"/>
  <c r="AS68" i="3"/>
  <c r="AJ67" i="3"/>
  <c r="AN63" i="3"/>
  <c r="CM62" i="3"/>
  <c r="BG62" i="3"/>
  <c r="CD59" i="3"/>
  <c r="BN59" i="3"/>
  <c r="AI59" i="3"/>
  <c r="S59" i="3"/>
  <c r="CB57" i="3"/>
  <c r="BT56" i="3"/>
  <c r="BM54" i="3"/>
  <c r="H54" i="3"/>
  <c r="F54" i="3" s="1"/>
  <c r="BW53" i="3"/>
  <c r="AU52" i="3"/>
  <c r="CH51" i="3"/>
  <c r="I51" i="3"/>
  <c r="BC47" i="3"/>
  <c r="CL46" i="3"/>
  <c r="BN46" i="3"/>
  <c r="AP46" i="3"/>
  <c r="J46" i="3"/>
  <c r="CL45" i="3"/>
  <c r="CD45" i="3"/>
  <c r="BN45" i="3"/>
  <c r="BF45" i="3"/>
  <c r="AP45" i="3"/>
  <c r="R45" i="3"/>
  <c r="BU42" i="3"/>
  <c r="AO42" i="3"/>
  <c r="I42" i="3"/>
  <c r="AT85" i="3"/>
  <c r="AT82" i="3"/>
  <c r="CH75" i="3"/>
  <c r="CK74" i="3"/>
  <c r="BP73" i="3"/>
  <c r="BY71" i="3"/>
  <c r="AS71" i="3"/>
  <c r="CB70" i="3"/>
  <c r="BQ68" i="3"/>
  <c r="BW67" i="3"/>
  <c r="CV65" i="3"/>
  <c r="CE65" i="3"/>
  <c r="BO65" i="3"/>
  <c r="K65" i="3"/>
  <c r="BY64" i="3"/>
  <c r="AS64" i="3"/>
  <c r="BM63" i="3"/>
  <c r="H63" i="3"/>
  <c r="F63" i="3" s="1"/>
  <c r="BW62" i="3"/>
  <c r="CD58" i="3"/>
  <c r="BN58" i="3"/>
  <c r="R58" i="3"/>
  <c r="BL57" i="3"/>
  <c r="AK57" i="3"/>
  <c r="AN54" i="3"/>
  <c r="CM53" i="3"/>
  <c r="CS53" i="3" s="1"/>
  <c r="BG53" i="3"/>
  <c r="CA52" i="3"/>
  <c r="BX50" i="3"/>
  <c r="AT48" i="3"/>
  <c r="AU47" i="3"/>
  <c r="AV47" i="3" s="1"/>
  <c r="H47" i="3"/>
  <c r="F47" i="3" s="1"/>
  <c r="CD46" i="3"/>
  <c r="BF46" i="3"/>
  <c r="R46" i="3"/>
  <c r="J45" i="3"/>
  <c r="CK42" i="3"/>
  <c r="BM42" i="3"/>
  <c r="H12" i="3"/>
  <c r="J13" i="3"/>
  <c r="BV13" i="3"/>
  <c r="AR16" i="3"/>
  <c r="BX16" i="3"/>
  <c r="AT17" i="3"/>
  <c r="CB18" i="3"/>
  <c r="AM19" i="3"/>
  <c r="AU20" i="3"/>
  <c r="AG20" i="3" s="1"/>
  <c r="CL20" i="3"/>
  <c r="CM22" i="3"/>
  <c r="CF23" i="3"/>
  <c r="BC24" i="3"/>
  <c r="AS29" i="3"/>
  <c r="AE29" i="3" s="1"/>
  <c r="CJ29" i="3"/>
  <c r="K30" i="3"/>
  <c r="BW30" i="3"/>
  <c r="AU31" i="3"/>
  <c r="BP31" i="3"/>
  <c r="CK31" i="3"/>
  <c r="BQ33" i="3"/>
  <c r="AH34" i="3"/>
  <c r="H35" i="3"/>
  <c r="BY36" i="3"/>
  <c r="BO37" i="3"/>
  <c r="BS37" i="3" s="1"/>
  <c r="CV37" i="3"/>
  <c r="I39" i="3"/>
  <c r="AO39" i="3"/>
  <c r="BU39" i="3"/>
  <c r="K11" i="3"/>
  <c r="AT11" i="3"/>
  <c r="BL12" i="3"/>
  <c r="W14" i="3"/>
  <c r="W15" i="3" s="1"/>
  <c r="AH13" i="3"/>
  <c r="BN13" i="3"/>
  <c r="T14" i="3"/>
  <c r="AJ14" i="3"/>
  <c r="BP14" i="3"/>
  <c r="CF14" i="3"/>
  <c r="CX14" i="3"/>
  <c r="T16" i="3"/>
  <c r="AJ16" i="3"/>
  <c r="BP16" i="3"/>
  <c r="CF16" i="3"/>
  <c r="CX16" i="3"/>
  <c r="CH17" i="3"/>
  <c r="H18" i="3"/>
  <c r="F18" i="3" s="1"/>
  <c r="AN18" i="3"/>
  <c r="BT18" i="3"/>
  <c r="CJ18" i="3"/>
  <c r="G19" i="3"/>
  <c r="D19" i="3" s="1"/>
  <c r="AK20" i="3"/>
  <c r="AZ20" i="3" s="1"/>
  <c r="BF20" i="3"/>
  <c r="BF21" i="3" s="1"/>
  <c r="CA20" i="3"/>
  <c r="Q22" i="3"/>
  <c r="BG22" i="3"/>
  <c r="CC22" i="3"/>
  <c r="I23" i="3"/>
  <c r="BU23" i="3"/>
  <c r="AS24" i="3"/>
  <c r="BN24" i="3"/>
  <c r="CI24" i="3"/>
  <c r="K25" i="3"/>
  <c r="BW25" i="3"/>
  <c r="AP28" i="3"/>
  <c r="AI29" i="3"/>
  <c r="AX29" i="3" s="1"/>
  <c r="BY29" i="3"/>
  <c r="CW29" i="3"/>
  <c r="BM30" i="3"/>
  <c r="CH30" i="3"/>
  <c r="O31" i="3"/>
  <c r="AJ31" i="3"/>
  <c r="AY31" i="3" s="1"/>
  <c r="CA31" i="3"/>
  <c r="CX31" i="3"/>
  <c r="AK33" i="3"/>
  <c r="BG33" i="3"/>
  <c r="CB33" i="3"/>
  <c r="R34" i="3"/>
  <c r="CD34" i="3"/>
  <c r="BT35" i="3"/>
  <c r="AD36" i="3"/>
  <c r="CE37" i="3"/>
  <c r="CK39" i="3"/>
  <c r="BC40" i="3"/>
  <c r="CI40" i="3"/>
  <c r="CF41" i="3"/>
  <c r="AQ45" i="3"/>
  <c r="AD50" i="3"/>
  <c r="T11" i="3"/>
  <c r="AI11" i="3"/>
  <c r="AU11" i="3"/>
  <c r="BG11" i="3"/>
  <c r="BW11" i="3"/>
  <c r="CE11" i="3"/>
  <c r="CM11" i="3"/>
  <c r="I12" i="3"/>
  <c r="AK12" i="3"/>
  <c r="AS12" i="3"/>
  <c r="BM12" i="3"/>
  <c r="BQ12" i="3"/>
  <c r="BU12" i="3"/>
  <c r="BY12" i="3"/>
  <c r="CP12" i="3" s="1"/>
  <c r="CC12" i="3"/>
  <c r="CG12" i="3" s="1"/>
  <c r="CK12" i="3"/>
  <c r="G13" i="3"/>
  <c r="S13" i="3"/>
  <c r="AI13" i="3"/>
  <c r="AU13" i="3"/>
  <c r="BG13" i="3"/>
  <c r="BW13" i="3"/>
  <c r="CE13" i="3"/>
  <c r="CM13" i="3"/>
  <c r="I14" i="3"/>
  <c r="F14" i="3" s="1"/>
  <c r="AK14" i="3"/>
  <c r="AS14" i="3"/>
  <c r="BM14" i="3"/>
  <c r="BQ14" i="3"/>
  <c r="BU14" i="3"/>
  <c r="BY14" i="3"/>
  <c r="CC14" i="3"/>
  <c r="CK14" i="3"/>
  <c r="I16" i="3"/>
  <c r="F16" i="3" s="1"/>
  <c r="AK16" i="3"/>
  <c r="AS16" i="3"/>
  <c r="BM16" i="3"/>
  <c r="BQ16" i="3"/>
  <c r="BU16" i="3"/>
  <c r="BY16" i="3"/>
  <c r="CC16" i="3"/>
  <c r="CK16" i="3"/>
  <c r="G17" i="3"/>
  <c r="S17" i="3"/>
  <c r="AM17" i="3"/>
  <c r="BC17" i="3"/>
  <c r="BO17" i="3"/>
  <c r="CA17" i="3"/>
  <c r="CI17" i="3"/>
  <c r="CW17" i="3"/>
  <c r="Q18" i="3"/>
  <c r="AK18" i="3"/>
  <c r="AO18" i="3"/>
  <c r="BM18" i="3"/>
  <c r="BQ18" i="3"/>
  <c r="BU18" i="3"/>
  <c r="BY18" i="3"/>
  <c r="CC18" i="3"/>
  <c r="CG18" i="3" s="1"/>
  <c r="CK18" i="3"/>
  <c r="H19" i="3"/>
  <c r="AI19" i="3"/>
  <c r="AS19" i="3"/>
  <c r="BY19" i="3"/>
  <c r="CJ19" i="3"/>
  <c r="CW19" i="3"/>
  <c r="Q20" i="3"/>
  <c r="BG20" i="3"/>
  <c r="BG21" i="3" s="1"/>
  <c r="BM20" i="3"/>
  <c r="BW20" i="3"/>
  <c r="CC20" i="3"/>
  <c r="CH20" i="3"/>
  <c r="CM20" i="3"/>
  <c r="G22" i="3"/>
  <c r="AH22" i="3"/>
  <c r="AS22" i="3"/>
  <c r="BN22" i="3"/>
  <c r="CD22" i="3"/>
  <c r="K23" i="3"/>
  <c r="AK23" i="3"/>
  <c r="BG23" i="3"/>
  <c r="BD23" i="3" s="1"/>
  <c r="BK23" i="3" s="1"/>
  <c r="BL23" i="3"/>
  <c r="BQ23" i="3"/>
  <c r="BW23" i="3"/>
  <c r="CB23" i="3"/>
  <c r="CM23" i="3"/>
  <c r="I24" i="3"/>
  <c r="AI24" i="3"/>
  <c r="AT24" i="3"/>
  <c r="BO24" i="3"/>
  <c r="CE24" i="3"/>
  <c r="CW24" i="3"/>
  <c r="Q25" i="3"/>
  <c r="AR25" i="3"/>
  <c r="BM25" i="3"/>
  <c r="CC25" i="3"/>
  <c r="K28" i="3"/>
  <c r="Q28" i="3"/>
  <c r="BG28" i="3"/>
  <c r="BM28" i="3"/>
  <c r="BW28" i="3"/>
  <c r="CC28" i="3"/>
  <c r="CH28" i="3"/>
  <c r="CM28" i="3"/>
  <c r="I29" i="3"/>
  <c r="AJ29" i="3"/>
  <c r="AU29" i="3"/>
  <c r="BP29" i="3"/>
  <c r="BU29" i="3"/>
  <c r="CA29" i="3"/>
  <c r="CF29" i="3"/>
  <c r="CK29" i="3"/>
  <c r="CX29" i="3"/>
  <c r="G30" i="3"/>
  <c r="AM30" i="3"/>
  <c r="BC30" i="3"/>
  <c r="BN30" i="3"/>
  <c r="CD30" i="3"/>
  <c r="K31" i="3"/>
  <c r="BG31" i="3"/>
  <c r="BG32" i="3" s="1"/>
  <c r="BL31" i="3"/>
  <c r="BQ31" i="3"/>
  <c r="BW31" i="3"/>
  <c r="CB31" i="3"/>
  <c r="CM31" i="3"/>
  <c r="G33" i="3"/>
  <c r="AR33" i="3"/>
  <c r="BC33" i="3"/>
  <c r="BM33" i="3"/>
  <c r="BX33" i="3"/>
  <c r="CC33" i="3"/>
  <c r="CI33" i="3"/>
  <c r="CX33" i="3"/>
  <c r="K34" i="3"/>
  <c r="AI34" i="3"/>
  <c r="BO34" i="3"/>
  <c r="CM34" i="3"/>
  <c r="I35" i="3"/>
  <c r="AO35" i="3"/>
  <c r="BM35" i="3"/>
  <c r="AD35" i="3"/>
  <c r="AT36" i="3"/>
  <c r="CH36" i="3"/>
  <c r="AT37" i="3"/>
  <c r="CH37" i="3"/>
  <c r="J39" i="3"/>
  <c r="R39" i="3"/>
  <c r="AH39" i="3"/>
  <c r="AP39" i="3"/>
  <c r="BF39" i="3"/>
  <c r="BN39" i="3"/>
  <c r="CD39" i="3"/>
  <c r="CL39" i="3"/>
  <c r="J40" i="3"/>
  <c r="AP40" i="3"/>
  <c r="BF40" i="3"/>
  <c r="BN40" i="3"/>
  <c r="CD40" i="3"/>
  <c r="CL40" i="3"/>
  <c r="H41" i="3"/>
  <c r="F41" i="3" s="1"/>
  <c r="AU41" i="3"/>
  <c r="BC41" i="3"/>
  <c r="CA41" i="3"/>
  <c r="CI41" i="3"/>
  <c r="S46" i="3"/>
  <c r="AI46" i="3"/>
  <c r="BG46" i="3"/>
  <c r="BO46" i="3"/>
  <c r="BW46" i="3"/>
  <c r="CE46" i="3"/>
  <c r="CM46" i="3"/>
  <c r="CV46" i="3"/>
  <c r="K47" i="3"/>
  <c r="BL47" i="3"/>
  <c r="CE47" i="3"/>
  <c r="AK48" i="3"/>
  <c r="AL48" i="3" s="1"/>
  <c r="BQ48" i="3"/>
  <c r="CX48" i="3"/>
  <c r="AO51" i="3"/>
  <c r="CK51" i="3"/>
  <c r="CH52" i="3"/>
  <c r="AV53" i="3"/>
  <c r="BX53" i="3"/>
  <c r="AD53" i="3"/>
  <c r="AW53" i="3"/>
  <c r="AO54" i="3"/>
  <c r="S56" i="3"/>
  <c r="BG56" i="3"/>
  <c r="BW56" i="3"/>
  <c r="H57" i="3"/>
  <c r="BQ57" i="3"/>
  <c r="AK58" i="3"/>
  <c r="AL58" i="3" s="1"/>
  <c r="J59" i="3"/>
  <c r="AD59" i="3"/>
  <c r="CE59" i="3"/>
  <c r="CO59" i="3" s="1"/>
  <c r="T62" i="3"/>
  <c r="BX62" i="3"/>
  <c r="AD62" i="3"/>
  <c r="AW62" i="3"/>
  <c r="AO63" i="3"/>
  <c r="AT64" i="3"/>
  <c r="CH65" i="3"/>
  <c r="CJ65" i="3" s="1"/>
  <c r="AO74" i="3"/>
  <c r="BC75" i="3"/>
  <c r="CV80" i="3"/>
  <c r="I11" i="3"/>
  <c r="Q11" i="3"/>
  <c r="AJ11" i="3"/>
  <c r="AN11" i="3"/>
  <c r="AR11" i="3"/>
  <c r="AV11" i="3" s="1"/>
  <c r="BL11" i="3"/>
  <c r="BP11" i="3"/>
  <c r="BT11" i="3"/>
  <c r="BX11" i="3"/>
  <c r="CB11" i="3"/>
  <c r="CF11" i="3"/>
  <c r="CJ11" i="3"/>
  <c r="CX11" i="3"/>
  <c r="BD11" i="3" s="1"/>
  <c r="BK11" i="3" s="1"/>
  <c r="J12" i="3"/>
  <c r="R12" i="3"/>
  <c r="AH12" i="3"/>
  <c r="AP12" i="3"/>
  <c r="O12" i="3" s="1"/>
  <c r="AT12" i="3"/>
  <c r="BF12" i="3"/>
  <c r="BN12" i="3"/>
  <c r="BR12" i="3" s="1"/>
  <c r="BV12" i="3"/>
  <c r="CD12" i="3"/>
  <c r="CH12" i="3"/>
  <c r="CL12" i="3"/>
  <c r="H13" i="3"/>
  <c r="F13" i="3" s="1"/>
  <c r="T13" i="3"/>
  <c r="AJ13" i="3"/>
  <c r="AN13" i="3"/>
  <c r="M13" i="3" s="1"/>
  <c r="AR13" i="3"/>
  <c r="AV13" i="3" s="1"/>
  <c r="BL13" i="3"/>
  <c r="BP13" i="3"/>
  <c r="BT13" i="3"/>
  <c r="BX13" i="3"/>
  <c r="CB13" i="3"/>
  <c r="CF13" i="3"/>
  <c r="CJ13" i="3"/>
  <c r="CN13" i="3" s="1"/>
  <c r="CX13" i="3"/>
  <c r="BD13" i="3" s="1"/>
  <c r="BK13" i="3" s="1"/>
  <c r="J14" i="3"/>
  <c r="R14" i="3"/>
  <c r="AH14" i="3"/>
  <c r="AP14" i="3"/>
  <c r="AT14" i="3"/>
  <c r="BF14" i="3"/>
  <c r="BF15" i="3" s="1"/>
  <c r="BN14" i="3"/>
  <c r="BR14" i="3" s="1"/>
  <c r="BV14" i="3"/>
  <c r="BZ14" i="3" s="1"/>
  <c r="CD14" i="3"/>
  <c r="CH14" i="3"/>
  <c r="CH15" i="3" s="1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BL17" i="3"/>
  <c r="BP17" i="3"/>
  <c r="BT17" i="3"/>
  <c r="BX17" i="3"/>
  <c r="CR17" i="3" s="1"/>
  <c r="CB17" i="3"/>
  <c r="CF17" i="3"/>
  <c r="CP17" i="3" s="1"/>
  <c r="CQ17" i="3" s="1"/>
  <c r="CJ17" i="3"/>
  <c r="CX17" i="3"/>
  <c r="J18" i="3"/>
  <c r="R18" i="3"/>
  <c r="AH18" i="3"/>
  <c r="AL18" i="3" s="1"/>
  <c r="AP18" i="3"/>
  <c r="AT18" i="3"/>
  <c r="BF18" i="3"/>
  <c r="BN18" i="3"/>
  <c r="BV18" i="3"/>
  <c r="CD18" i="3"/>
  <c r="CH18" i="3"/>
  <c r="CL18" i="3"/>
  <c r="I19" i="3"/>
  <c r="T19" i="3"/>
  <c r="AJ19" i="3"/>
  <c r="AO19" i="3"/>
  <c r="AU19" i="3"/>
  <c r="BP19" i="3"/>
  <c r="BU19" i="3"/>
  <c r="CA19" i="3"/>
  <c r="CF19" i="3"/>
  <c r="CK19" i="3"/>
  <c r="CX19" i="3"/>
  <c r="BD19" i="3" s="1"/>
  <c r="BK19" i="3" s="1"/>
  <c r="G20" i="3"/>
  <c r="R20" i="3"/>
  <c r="AH20" i="3"/>
  <c r="AM20" i="3"/>
  <c r="AS20" i="3"/>
  <c r="BC20" i="3"/>
  <c r="BC21" i="3" s="1"/>
  <c r="BN20" i="3"/>
  <c r="BY20" i="3"/>
  <c r="CD20" i="3"/>
  <c r="CI20" i="3"/>
  <c r="I22" i="3"/>
  <c r="S22" i="3"/>
  <c r="AI22" i="3"/>
  <c r="AO22" i="3"/>
  <c r="AT22" i="3"/>
  <c r="BO22" i="3"/>
  <c r="BU22" i="3"/>
  <c r="CE22" i="3"/>
  <c r="CK22" i="3"/>
  <c r="CW22" i="3"/>
  <c r="G23" i="3"/>
  <c r="Q23" i="3"/>
  <c r="AM23" i="3"/>
  <c r="AR23" i="3"/>
  <c r="AV23" i="3" s="1"/>
  <c r="BC23" i="3"/>
  <c r="BM23" i="3"/>
  <c r="BX23" i="3"/>
  <c r="CC23" i="3"/>
  <c r="CG23" i="3" s="1"/>
  <c r="CI23" i="3"/>
  <c r="J24" i="3"/>
  <c r="AK24" i="3"/>
  <c r="AP24" i="3"/>
  <c r="AU24" i="3"/>
  <c r="BF24" i="3"/>
  <c r="BQ24" i="3"/>
  <c r="BV24" i="3"/>
  <c r="BZ24" i="3" s="1"/>
  <c r="CA24" i="3"/>
  <c r="CL24" i="3"/>
  <c r="H25" i="3"/>
  <c r="S25" i="3"/>
  <c r="N25" i="3" s="1"/>
  <c r="AI25" i="3"/>
  <c r="AN25" i="3"/>
  <c r="AS25" i="3"/>
  <c r="BO25" i="3"/>
  <c r="BS25" i="3" s="1"/>
  <c r="BT25" i="3"/>
  <c r="BY25" i="3"/>
  <c r="CE25" i="3"/>
  <c r="CO25" i="3" s="1"/>
  <c r="CT25" i="3" s="1"/>
  <c r="CJ25" i="3"/>
  <c r="CN25" i="3" s="1"/>
  <c r="CW25" i="3"/>
  <c r="G28" i="3"/>
  <c r="R28" i="3"/>
  <c r="AH28" i="3"/>
  <c r="AM28" i="3"/>
  <c r="AS28" i="3"/>
  <c r="BC28" i="3"/>
  <c r="BN28" i="3"/>
  <c r="BY28" i="3"/>
  <c r="CD28" i="3"/>
  <c r="CI28" i="3"/>
  <c r="K29" i="3"/>
  <c r="AK29" i="3"/>
  <c r="BG29" i="3"/>
  <c r="BL29" i="3"/>
  <c r="BQ29" i="3"/>
  <c r="BQ32" i="3" s="1"/>
  <c r="BW29" i="3"/>
  <c r="CB29" i="3"/>
  <c r="CM29" i="3"/>
  <c r="CS29" i="3" s="1"/>
  <c r="I30" i="3"/>
  <c r="S30" i="3"/>
  <c r="AI30" i="3"/>
  <c r="AO30" i="3"/>
  <c r="AT30" i="3"/>
  <c r="BO30" i="3"/>
  <c r="BU30" i="3"/>
  <c r="CE30" i="3"/>
  <c r="CO30" i="3" s="1"/>
  <c r="CK30" i="3"/>
  <c r="CW30" i="3"/>
  <c r="G31" i="3"/>
  <c r="Q31" i="3"/>
  <c r="AM31" i="3"/>
  <c r="AR31" i="3"/>
  <c r="BC31" i="3"/>
  <c r="BC32" i="3" s="1"/>
  <c r="BM31" i="3"/>
  <c r="BX31" i="3"/>
  <c r="CC31" i="3"/>
  <c r="CG31" i="3" s="1"/>
  <c r="CI31" i="3"/>
  <c r="H33" i="3"/>
  <c r="F33" i="3" s="1"/>
  <c r="S33" i="3"/>
  <c r="AI33" i="3"/>
  <c r="AN33" i="3"/>
  <c r="AS33" i="3"/>
  <c r="BO33" i="3"/>
  <c r="BT33" i="3"/>
  <c r="BY33" i="3"/>
  <c r="CE33" i="3"/>
  <c r="CJ33" i="3"/>
  <c r="AT34" i="3"/>
  <c r="CH34" i="3"/>
  <c r="T35" i="3"/>
  <c r="AJ35" i="3"/>
  <c r="BP35" i="3"/>
  <c r="BX35" i="3"/>
  <c r="CF35" i="3"/>
  <c r="CW35" i="3"/>
  <c r="I36" i="3"/>
  <c r="AO36" i="3"/>
  <c r="BM36" i="3"/>
  <c r="BU36" i="3"/>
  <c r="CK36" i="3"/>
  <c r="G37" i="3"/>
  <c r="AW37" i="3"/>
  <c r="AU37" i="3"/>
  <c r="AV37" i="3" s="1"/>
  <c r="BC37" i="3"/>
  <c r="BC38" i="3" s="1"/>
  <c r="CA37" i="3"/>
  <c r="CI37" i="3"/>
  <c r="AK39" i="3"/>
  <c r="AS39" i="3"/>
  <c r="BQ39" i="3"/>
  <c r="BY39" i="3"/>
  <c r="CX39" i="3"/>
  <c r="K40" i="3"/>
  <c r="S40" i="3"/>
  <c r="AI40" i="3"/>
  <c r="BG40" i="3"/>
  <c r="BO40" i="3"/>
  <c r="BW40" i="3"/>
  <c r="CE40" i="3"/>
  <c r="CM40" i="3"/>
  <c r="CV40" i="3"/>
  <c r="AV40" i="3"/>
  <c r="K41" i="3"/>
  <c r="S41" i="3"/>
  <c r="AN41" i="3"/>
  <c r="BL41" i="3"/>
  <c r="BT41" i="3"/>
  <c r="CB41" i="3"/>
  <c r="AK42" i="3"/>
  <c r="AL42" i="3" s="1"/>
  <c r="AS42" i="3"/>
  <c r="BQ42" i="3"/>
  <c r="BY42" i="3"/>
  <c r="CX42" i="3"/>
  <c r="AD45" i="3"/>
  <c r="AT45" i="3"/>
  <c r="CH45" i="3"/>
  <c r="AT46" i="3"/>
  <c r="CH46" i="3"/>
  <c r="T47" i="3"/>
  <c r="AI47" i="3"/>
  <c r="BG47" i="3"/>
  <c r="BO47" i="3"/>
  <c r="BX47" i="3"/>
  <c r="CI47" i="3"/>
  <c r="CH48" i="3"/>
  <c r="CJ48" i="3" s="1"/>
  <c r="T50" i="3"/>
  <c r="AJ50" i="3"/>
  <c r="BP50" i="3"/>
  <c r="CF50" i="3"/>
  <c r="AT51" i="3"/>
  <c r="AW52" i="3"/>
  <c r="BC52" i="3"/>
  <c r="CI52" i="3"/>
  <c r="G53" i="3"/>
  <c r="AI53" i="3"/>
  <c r="BO53" i="3"/>
  <c r="CE53" i="3"/>
  <c r="CV53" i="3"/>
  <c r="BU54" i="3"/>
  <c r="CK54" i="3"/>
  <c r="AD54" i="3"/>
  <c r="T56" i="3"/>
  <c r="AI56" i="3"/>
  <c r="BL56" i="3"/>
  <c r="CB56" i="3"/>
  <c r="BT57" i="3"/>
  <c r="J58" i="3"/>
  <c r="AP58" i="3"/>
  <c r="BF58" i="3"/>
  <c r="CL58" i="3"/>
  <c r="K59" i="3"/>
  <c r="AP59" i="3"/>
  <c r="BF59" i="3"/>
  <c r="BF60" i="3" s="1"/>
  <c r="BF61" i="3" s="1"/>
  <c r="CL59" i="3"/>
  <c r="G62" i="3"/>
  <c r="AI62" i="3"/>
  <c r="BO62" i="3"/>
  <c r="CE62" i="3"/>
  <c r="CV62" i="3"/>
  <c r="BU63" i="3"/>
  <c r="CK63" i="3"/>
  <c r="AD63" i="3"/>
  <c r="AK64" i="3"/>
  <c r="AL64" i="3" s="1"/>
  <c r="BQ64" i="3"/>
  <c r="CX64" i="3"/>
  <c r="S65" i="3"/>
  <c r="BG65" i="3"/>
  <c r="BG66" i="3" s="1"/>
  <c r="BW65" i="3"/>
  <c r="CM65" i="3"/>
  <c r="BL67" i="3"/>
  <c r="AW68" i="3"/>
  <c r="CD69" i="3"/>
  <c r="S70" i="3"/>
  <c r="BL70" i="3"/>
  <c r="H73" i="3"/>
  <c r="CF73" i="3"/>
  <c r="T74" i="3"/>
  <c r="BU74" i="3"/>
  <c r="BL75" i="3"/>
  <c r="BT76" i="3"/>
  <c r="G80" i="3"/>
  <c r="CH83" i="3"/>
  <c r="CX86" i="3"/>
  <c r="BD86" i="3" s="1"/>
  <c r="I87" i="3"/>
  <c r="AT87" i="3"/>
  <c r="AD42" i="3"/>
  <c r="AH45" i="3"/>
  <c r="AD47" i="3"/>
  <c r="AW47" i="3"/>
  <c r="AV58" i="3"/>
  <c r="AH71" i="3"/>
  <c r="DA71" i="3"/>
  <c r="AM71" i="3" s="1"/>
  <c r="AD73" i="3"/>
  <c r="AW73" i="3"/>
  <c r="K95" i="3"/>
  <c r="CL94" i="3"/>
  <c r="CH94" i="3"/>
  <c r="CD94" i="3"/>
  <c r="BN94" i="3"/>
  <c r="BF94" i="3"/>
  <c r="BF95" i="3" s="1"/>
  <c r="BF96" i="3" s="1"/>
  <c r="AT94" i="3"/>
  <c r="AP94" i="3"/>
  <c r="R94" i="3"/>
  <c r="M94" i="3" s="1"/>
  <c r="J94" i="3"/>
  <c r="CX94" i="3"/>
  <c r="CK94" i="3"/>
  <c r="BY94" i="3"/>
  <c r="BU94" i="3"/>
  <c r="BQ94" i="3"/>
  <c r="BM94" i="3"/>
  <c r="AS94" i="3"/>
  <c r="AO94" i="3"/>
  <c r="AK94" i="3"/>
  <c r="I94" i="3"/>
  <c r="CF93" i="3"/>
  <c r="CP93" i="3" s="1"/>
  <c r="CB93" i="3"/>
  <c r="BX93" i="3"/>
  <c r="BT93" i="3"/>
  <c r="BP93" i="3"/>
  <c r="BL93" i="3"/>
  <c r="CB94" i="3"/>
  <c r="BT94" i="3"/>
  <c r="BV94" i="3" s="1"/>
  <c r="BL94" i="3"/>
  <c r="AN94" i="3"/>
  <c r="S94" i="3"/>
  <c r="K94" i="3"/>
  <c r="CX93" i="3"/>
  <c r="CL93" i="3"/>
  <c r="CA93" i="3"/>
  <c r="BQ93" i="3"/>
  <c r="BG93" i="3"/>
  <c r="BC93" i="3"/>
  <c r="AU93" i="3"/>
  <c r="AI93" i="3"/>
  <c r="S93" i="3"/>
  <c r="K93" i="3"/>
  <c r="G93" i="3"/>
  <c r="CL92" i="3"/>
  <c r="CH92" i="3"/>
  <c r="CD92" i="3"/>
  <c r="BN92" i="3"/>
  <c r="BF92" i="3"/>
  <c r="AT92" i="3"/>
  <c r="AP92" i="3"/>
  <c r="R92" i="3"/>
  <c r="J92" i="3"/>
  <c r="CV94" i="3"/>
  <c r="CI94" i="3"/>
  <c r="BX94" i="3"/>
  <c r="BO94" i="3"/>
  <c r="BS94" i="3" s="1"/>
  <c r="BC94" i="3"/>
  <c r="BC95" i="3" s="1"/>
  <c r="BC96" i="3" s="1"/>
  <c r="AI94" i="3"/>
  <c r="G94" i="3"/>
  <c r="CK93" i="3"/>
  <c r="CD93" i="3"/>
  <c r="BW93" i="3"/>
  <c r="BO93" i="3"/>
  <c r="AS93" i="3"/>
  <c r="AN93" i="3"/>
  <c r="R93" i="3"/>
  <c r="H93" i="3"/>
  <c r="CX92" i="3"/>
  <c r="BD92" i="3" s="1"/>
  <c r="BK92" i="3" s="1"/>
  <c r="CM92" i="3"/>
  <c r="CB92" i="3"/>
  <c r="BW92" i="3"/>
  <c r="BQ92" i="3"/>
  <c r="BL92" i="3"/>
  <c r="BG92" i="3"/>
  <c r="AK92" i="3"/>
  <c r="K92" i="3"/>
  <c r="CF91" i="3"/>
  <c r="CB91" i="3"/>
  <c r="BX91" i="3"/>
  <c r="BT91" i="3"/>
  <c r="BV91" i="3" s="1"/>
  <c r="BP91" i="3"/>
  <c r="BL91" i="3"/>
  <c r="AN91" i="3"/>
  <c r="AJ91" i="3"/>
  <c r="T91" i="3"/>
  <c r="H91" i="3"/>
  <c r="CX89" i="3"/>
  <c r="CK89" i="3"/>
  <c r="BY89" i="3"/>
  <c r="BU89" i="3"/>
  <c r="BQ89" i="3"/>
  <c r="BM89" i="3"/>
  <c r="AS89" i="3"/>
  <c r="AO89" i="3"/>
  <c r="AK89" i="3"/>
  <c r="AL89" i="3" s="1"/>
  <c r="I89" i="3"/>
  <c r="CF88" i="3"/>
  <c r="CB88" i="3"/>
  <c r="BX88" i="3"/>
  <c r="BT88" i="3"/>
  <c r="BP88" i="3"/>
  <c r="BL88" i="3"/>
  <c r="AN88" i="3"/>
  <c r="AJ88" i="3"/>
  <c r="T88" i="3"/>
  <c r="H88" i="3"/>
  <c r="CV87" i="3"/>
  <c r="CM87" i="3"/>
  <c r="CS87" i="3" s="1"/>
  <c r="CI87" i="3"/>
  <c r="CE87" i="3"/>
  <c r="CA87" i="3"/>
  <c r="CA94" i="3"/>
  <c r="CC94" i="3" s="1"/>
  <c r="CG94" i="3" s="1"/>
  <c r="CV93" i="3"/>
  <c r="CM93" i="3"/>
  <c r="AO93" i="3"/>
  <c r="CV92" i="3"/>
  <c r="CF92" i="3"/>
  <c r="BY92" i="3"/>
  <c r="AO92" i="3"/>
  <c r="AI92" i="3"/>
  <c r="T92" i="3"/>
  <c r="G92" i="3"/>
  <c r="CI91" i="3"/>
  <c r="CD91" i="3"/>
  <c r="BY91" i="3"/>
  <c r="BN91" i="3"/>
  <c r="BC91" i="3"/>
  <c r="AS91" i="3"/>
  <c r="R91" i="3"/>
  <c r="G91" i="3"/>
  <c r="CI89" i="3"/>
  <c r="CD89" i="3"/>
  <c r="BX89" i="3"/>
  <c r="BN89" i="3"/>
  <c r="BC89" i="3"/>
  <c r="BC90" i="3" s="1"/>
  <c r="R89" i="3"/>
  <c r="G89" i="3"/>
  <c r="CV88" i="3"/>
  <c r="CK88" i="3"/>
  <c r="CE88" i="3"/>
  <c r="BU88" i="3"/>
  <c r="BO88" i="3"/>
  <c r="AT88" i="3"/>
  <c r="AO88" i="3"/>
  <c r="AI88" i="3"/>
  <c r="S88" i="3"/>
  <c r="I88" i="3"/>
  <c r="CH87" i="3"/>
  <c r="BX87" i="3"/>
  <c r="BT87" i="3"/>
  <c r="BP87" i="3"/>
  <c r="BL87" i="3"/>
  <c r="AN87" i="3"/>
  <c r="AJ87" i="3"/>
  <c r="T87" i="3"/>
  <c r="H87" i="3"/>
  <c r="CV86" i="3"/>
  <c r="CM86" i="3"/>
  <c r="CI86" i="3"/>
  <c r="CE86" i="3"/>
  <c r="CA86" i="3"/>
  <c r="BW86" i="3"/>
  <c r="BO86" i="3"/>
  <c r="BG86" i="3"/>
  <c r="BC86" i="3"/>
  <c r="AU86" i="3"/>
  <c r="AI86" i="3"/>
  <c r="S86" i="3"/>
  <c r="K86" i="3"/>
  <c r="G86" i="3"/>
  <c r="CM94" i="3"/>
  <c r="BW94" i="3"/>
  <c r="AU94" i="3"/>
  <c r="AJ94" i="3"/>
  <c r="CI93" i="3"/>
  <c r="AT93" i="3"/>
  <c r="T93" i="3"/>
  <c r="CK92" i="3"/>
  <c r="CE92" i="3"/>
  <c r="BX92" i="3"/>
  <c r="BP92" i="3"/>
  <c r="BC92" i="3"/>
  <c r="AU92" i="3"/>
  <c r="AN92" i="3"/>
  <c r="S92" i="3"/>
  <c r="CM91" i="3"/>
  <c r="CH91" i="3"/>
  <c r="CJ91" i="3" s="1"/>
  <c r="BW91" i="3"/>
  <c r="BM91" i="3"/>
  <c r="BG91" i="3"/>
  <c r="K91" i="3"/>
  <c r="CM89" i="3"/>
  <c r="CH89" i="3"/>
  <c r="CB89" i="3"/>
  <c r="BW89" i="3"/>
  <c r="BL89" i="3"/>
  <c r="BG89" i="3"/>
  <c r="BG90" i="3" s="1"/>
  <c r="K89" i="3"/>
  <c r="CI88" i="3"/>
  <c r="CD88" i="3"/>
  <c r="BY88" i="3"/>
  <c r="BN88" i="3"/>
  <c r="BC88" i="3"/>
  <c r="AS88" i="3"/>
  <c r="R88" i="3"/>
  <c r="G88" i="3"/>
  <c r="D88" i="3" s="1"/>
  <c r="CX87" i="3"/>
  <c r="CL87" i="3"/>
  <c r="CB87" i="3"/>
  <c r="BW87" i="3"/>
  <c r="BO87" i="3"/>
  <c r="BG87" i="3"/>
  <c r="BC87" i="3"/>
  <c r="AU87" i="3"/>
  <c r="AI87" i="3"/>
  <c r="S87" i="3"/>
  <c r="N87" i="3" s="1"/>
  <c r="K87" i="3"/>
  <c r="G87" i="3"/>
  <c r="CL86" i="3"/>
  <c r="CH86" i="3"/>
  <c r="CD86" i="3"/>
  <c r="BN86" i="3"/>
  <c r="BF86" i="3"/>
  <c r="AT86" i="3"/>
  <c r="AP86" i="3"/>
  <c r="R86" i="3"/>
  <c r="J86" i="3"/>
  <c r="CX85" i="3"/>
  <c r="BD85" i="3" s="1"/>
  <c r="BK85" i="3" s="1"/>
  <c r="CK85" i="3"/>
  <c r="BY85" i="3"/>
  <c r="BU85" i="3"/>
  <c r="BQ85" i="3"/>
  <c r="BM85" i="3"/>
  <c r="AS85" i="3"/>
  <c r="AO85" i="3"/>
  <c r="AK85" i="3"/>
  <c r="AL85" i="3" s="1"/>
  <c r="I85" i="3"/>
  <c r="CF94" i="3"/>
  <c r="BG94" i="3"/>
  <c r="BG95" i="3" s="1"/>
  <c r="BG96" i="3" s="1"/>
  <c r="H94" i="3"/>
  <c r="F94" i="3" s="1"/>
  <c r="CH93" i="3"/>
  <c r="BN93" i="3"/>
  <c r="AK93" i="3"/>
  <c r="AL93" i="3" s="1"/>
  <c r="BO92" i="3"/>
  <c r="BS92" i="3" s="1"/>
  <c r="I92" i="3"/>
  <c r="CE91" i="3"/>
  <c r="BU91" i="3"/>
  <c r="AO91" i="3"/>
  <c r="S91" i="3"/>
  <c r="I91" i="3"/>
  <c r="CV89" i="3"/>
  <c r="BO89" i="3"/>
  <c r="BS89" i="3" s="1"/>
  <c r="AT89" i="3"/>
  <c r="AJ89" i="3"/>
  <c r="S89" i="3"/>
  <c r="N89" i="3" s="1"/>
  <c r="H89" i="3"/>
  <c r="F89" i="3" s="1"/>
  <c r="AP88" i="3"/>
  <c r="J88" i="3"/>
  <c r="BY87" i="3"/>
  <c r="BQ87" i="3"/>
  <c r="AS87" i="3"/>
  <c r="CK86" i="3"/>
  <c r="BU86" i="3"/>
  <c r="BM86" i="3"/>
  <c r="AO86" i="3"/>
  <c r="I86" i="3"/>
  <c r="CI85" i="3"/>
  <c r="CD85" i="3"/>
  <c r="BX85" i="3"/>
  <c r="BN85" i="3"/>
  <c r="BC85" i="3"/>
  <c r="R85" i="3"/>
  <c r="G85" i="3"/>
  <c r="CX83" i="3"/>
  <c r="CK83" i="3"/>
  <c r="BY83" i="3"/>
  <c r="BU83" i="3"/>
  <c r="BQ83" i="3"/>
  <c r="BM83" i="3"/>
  <c r="AS83" i="3"/>
  <c r="AO83" i="3"/>
  <c r="AK83" i="3"/>
  <c r="AL83" i="3" s="1"/>
  <c r="I83" i="3"/>
  <c r="CF82" i="3"/>
  <c r="CB82" i="3"/>
  <c r="BX82" i="3"/>
  <c r="BT82" i="3"/>
  <c r="BP82" i="3"/>
  <c r="BL82" i="3"/>
  <c r="AN82" i="3"/>
  <c r="AJ82" i="3"/>
  <c r="T82" i="3"/>
  <c r="H82" i="3"/>
  <c r="CV81" i="3"/>
  <c r="CM81" i="3"/>
  <c r="CI81" i="3"/>
  <c r="CE81" i="3"/>
  <c r="CA81" i="3"/>
  <c r="BW81" i="3"/>
  <c r="BO81" i="3"/>
  <c r="BG81" i="3"/>
  <c r="BC81" i="3"/>
  <c r="AU81" i="3"/>
  <c r="AV81" i="3" s="1"/>
  <c r="AI81" i="3"/>
  <c r="S81" i="3"/>
  <c r="K81" i="3"/>
  <c r="G81" i="3"/>
  <c r="CL80" i="3"/>
  <c r="CH80" i="3"/>
  <c r="CD80" i="3"/>
  <c r="BN80" i="3"/>
  <c r="BF80" i="3"/>
  <c r="AT80" i="3"/>
  <c r="AP80" i="3"/>
  <c r="R80" i="3"/>
  <c r="J80" i="3"/>
  <c r="CV76" i="3"/>
  <c r="CM76" i="3"/>
  <c r="CI76" i="3"/>
  <c r="CE76" i="3"/>
  <c r="CA76" i="3"/>
  <c r="BW76" i="3"/>
  <c r="BO76" i="3"/>
  <c r="BS76" i="3" s="1"/>
  <c r="BG76" i="3"/>
  <c r="BG77" i="3" s="1"/>
  <c r="BG78" i="3" s="1"/>
  <c r="BG79" i="3" s="1"/>
  <c r="BC76" i="3"/>
  <c r="BC77" i="3" s="1"/>
  <c r="BC78" i="3" s="1"/>
  <c r="BC79" i="3" s="1"/>
  <c r="AU76" i="3"/>
  <c r="AV76" i="3" s="1"/>
  <c r="AI76" i="3"/>
  <c r="S76" i="3"/>
  <c r="K76" i="3"/>
  <c r="G76" i="3"/>
  <c r="CE94" i="3"/>
  <c r="CO94" i="3" s="1"/>
  <c r="CE93" i="3"/>
  <c r="CO93" i="3" s="1"/>
  <c r="BM93" i="3"/>
  <c r="AJ93" i="3"/>
  <c r="J93" i="3"/>
  <c r="CA92" i="3"/>
  <c r="BM92" i="3"/>
  <c r="AJ92" i="3"/>
  <c r="H92" i="3"/>
  <c r="F92" i="3" s="1"/>
  <c r="CX91" i="3"/>
  <c r="CL91" i="3"/>
  <c r="CA91" i="3"/>
  <c r="CC91" i="3" s="1"/>
  <c r="BQ91" i="3"/>
  <c r="BQ95" i="3" s="1"/>
  <c r="BF91" i="3"/>
  <c r="AU91" i="3"/>
  <c r="AK91" i="3"/>
  <c r="CF89" i="3"/>
  <c r="AI89" i="3"/>
  <c r="CM88" i="3"/>
  <c r="BG88" i="3"/>
  <c r="CF87" i="3"/>
  <c r="CP87" i="3" s="1"/>
  <c r="BN87" i="3"/>
  <c r="BF87" i="3"/>
  <c r="AK87" i="3"/>
  <c r="CB86" i="3"/>
  <c r="BT86" i="3"/>
  <c r="BL86" i="3"/>
  <c r="AN86" i="3"/>
  <c r="H86" i="3"/>
  <c r="F86" i="3" s="1"/>
  <c r="CV85" i="3"/>
  <c r="CM85" i="3"/>
  <c r="CH85" i="3"/>
  <c r="CB85" i="3"/>
  <c r="BW85" i="3"/>
  <c r="BL85" i="3"/>
  <c r="BG85" i="3"/>
  <c r="K85" i="3"/>
  <c r="CF83" i="3"/>
  <c r="CB83" i="3"/>
  <c r="BX83" i="3"/>
  <c r="BT83" i="3"/>
  <c r="BP83" i="3"/>
  <c r="BL83" i="3"/>
  <c r="AN83" i="3"/>
  <c r="AJ83" i="3"/>
  <c r="T83" i="3"/>
  <c r="H83" i="3"/>
  <c r="F83" i="3" s="1"/>
  <c r="CV82" i="3"/>
  <c r="CM82" i="3"/>
  <c r="CI82" i="3"/>
  <c r="CE82" i="3"/>
  <c r="CO82" i="3" s="1"/>
  <c r="CA82" i="3"/>
  <c r="BW82" i="3"/>
  <c r="BO82" i="3"/>
  <c r="BG82" i="3"/>
  <c r="BC82" i="3"/>
  <c r="AU82" i="3"/>
  <c r="AV82" i="3" s="1"/>
  <c r="AI82" i="3"/>
  <c r="S82" i="3"/>
  <c r="K82" i="3"/>
  <c r="G82" i="3"/>
  <c r="CL81" i="3"/>
  <c r="CH81" i="3"/>
  <c r="CD81" i="3"/>
  <c r="BN81" i="3"/>
  <c r="BF81" i="3"/>
  <c r="AT81" i="3"/>
  <c r="AP81" i="3"/>
  <c r="R81" i="3"/>
  <c r="J81" i="3"/>
  <c r="CX80" i="3"/>
  <c r="CK80" i="3"/>
  <c r="BY80" i="3"/>
  <c r="BU80" i="3"/>
  <c r="BQ80" i="3"/>
  <c r="BM80" i="3"/>
  <c r="AS80" i="3"/>
  <c r="AO80" i="3"/>
  <c r="AK80" i="3"/>
  <c r="I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K75" i="3"/>
  <c r="BY75" i="3"/>
  <c r="BU75" i="3"/>
  <c r="BQ75" i="3"/>
  <c r="BM75" i="3"/>
  <c r="T94" i="3"/>
  <c r="BF93" i="3"/>
  <c r="AP93" i="3"/>
  <c r="CI92" i="3"/>
  <c r="CK91" i="3"/>
  <c r="BO91" i="3"/>
  <c r="AT91" i="3"/>
  <c r="BT89" i="3"/>
  <c r="BV89" i="3" s="1"/>
  <c r="AN89" i="3"/>
  <c r="BW88" i="3"/>
  <c r="K88" i="3"/>
  <c r="CK87" i="3"/>
  <c r="AP87" i="3"/>
  <c r="AQ87" i="3" s="1"/>
  <c r="BY86" i="3"/>
  <c r="AS86" i="3"/>
  <c r="CF85" i="3"/>
  <c r="AI85" i="3"/>
  <c r="CL83" i="3"/>
  <c r="CD83" i="3"/>
  <c r="BN83" i="3"/>
  <c r="BF83" i="3"/>
  <c r="BF84" i="3" s="1"/>
  <c r="AP83" i="3"/>
  <c r="R83" i="3"/>
  <c r="J83" i="3"/>
  <c r="CL82" i="3"/>
  <c r="CD82" i="3"/>
  <c r="BN82" i="3"/>
  <c r="BF82" i="3"/>
  <c r="AP82" i="3"/>
  <c r="R82" i="3"/>
  <c r="J82" i="3"/>
  <c r="CX81" i="3"/>
  <c r="BY81" i="3"/>
  <c r="BQ81" i="3"/>
  <c r="AS81" i="3"/>
  <c r="AK81" i="3"/>
  <c r="CB80" i="3"/>
  <c r="BT80" i="3"/>
  <c r="BL80" i="3"/>
  <c r="AN80" i="3"/>
  <c r="S80" i="3"/>
  <c r="K80" i="3"/>
  <c r="CF76" i="3"/>
  <c r="BX76" i="3"/>
  <c r="BP76" i="3"/>
  <c r="AJ76" i="3"/>
  <c r="T76" i="3"/>
  <c r="CL75" i="3"/>
  <c r="CF75" i="3"/>
  <c r="CP75" i="3" s="1"/>
  <c r="CA75" i="3"/>
  <c r="BP75" i="3"/>
  <c r="BF75" i="3"/>
  <c r="AN75" i="3"/>
  <c r="AJ75" i="3"/>
  <c r="T75" i="3"/>
  <c r="H75" i="3"/>
  <c r="F75" i="3" s="1"/>
  <c r="CV74" i="3"/>
  <c r="CM74" i="3"/>
  <c r="CI74" i="3"/>
  <c r="CE74" i="3"/>
  <c r="CA74" i="3"/>
  <c r="BW74" i="3"/>
  <c r="BO74" i="3"/>
  <c r="BG74" i="3"/>
  <c r="BC74" i="3"/>
  <c r="AU74" i="3"/>
  <c r="AI74" i="3"/>
  <c r="S74" i="3"/>
  <c r="K74" i="3"/>
  <c r="G74" i="3"/>
  <c r="CL73" i="3"/>
  <c r="CH73" i="3"/>
  <c r="CD73" i="3"/>
  <c r="BN73" i="3"/>
  <c r="BF73" i="3"/>
  <c r="AT73" i="3"/>
  <c r="AP73" i="3"/>
  <c r="AQ73" i="3" s="1"/>
  <c r="R73" i="3"/>
  <c r="J73" i="3"/>
  <c r="CV71" i="3"/>
  <c r="CM71" i="3"/>
  <c r="CI71" i="3"/>
  <c r="CE71" i="3"/>
  <c r="CA71" i="3"/>
  <c r="BW71" i="3"/>
  <c r="BO71" i="3"/>
  <c r="BG71" i="3"/>
  <c r="BG72" i="3" s="1"/>
  <c r="BC71" i="3"/>
  <c r="BC72" i="3" s="1"/>
  <c r="AU71" i="3"/>
  <c r="AI71" i="3"/>
  <c r="S71" i="3"/>
  <c r="K71" i="3"/>
  <c r="G71" i="3"/>
  <c r="CL70" i="3"/>
  <c r="CH70" i="3"/>
  <c r="CD70" i="3"/>
  <c r="BN70" i="3"/>
  <c r="BF70" i="3"/>
  <c r="AT70" i="3"/>
  <c r="AP70" i="3"/>
  <c r="R70" i="3"/>
  <c r="J70" i="3"/>
  <c r="CX69" i="3"/>
  <c r="CK69" i="3"/>
  <c r="BY69" i="3"/>
  <c r="BU69" i="3"/>
  <c r="BQ69" i="3"/>
  <c r="BM69" i="3"/>
  <c r="AS69" i="3"/>
  <c r="AO69" i="3"/>
  <c r="AK69" i="3"/>
  <c r="AL69" i="3" s="1"/>
  <c r="I69" i="3"/>
  <c r="CF68" i="3"/>
  <c r="CB68" i="3"/>
  <c r="BX68" i="3"/>
  <c r="BT68" i="3"/>
  <c r="BP68" i="3"/>
  <c r="BL68" i="3"/>
  <c r="I93" i="3"/>
  <c r="BU92" i="3"/>
  <c r="AS92" i="3"/>
  <c r="AP91" i="3"/>
  <c r="CL89" i="3"/>
  <c r="BP89" i="3"/>
  <c r="AU89" i="3"/>
  <c r="T89" i="3"/>
  <c r="CL88" i="3"/>
  <c r="BQ88" i="3"/>
  <c r="AU88" i="3"/>
  <c r="AV88" i="3" s="1"/>
  <c r="CD87" i="3"/>
  <c r="BM87" i="3"/>
  <c r="AO87" i="3"/>
  <c r="J87" i="3"/>
  <c r="BX86" i="3"/>
  <c r="CE85" i="3"/>
  <c r="BT85" i="3"/>
  <c r="AP85" i="3"/>
  <c r="CI83" i="3"/>
  <c r="CA83" i="3"/>
  <c r="CC83" i="3" s="1"/>
  <c r="BC83" i="3"/>
  <c r="BC84" i="3" s="1"/>
  <c r="AU83" i="3"/>
  <c r="AV83" i="3" s="1"/>
  <c r="G83" i="3"/>
  <c r="D83" i="3" s="1"/>
  <c r="E83" i="3" s="1"/>
  <c r="CK82" i="3"/>
  <c r="BU82" i="3"/>
  <c r="BM82" i="3"/>
  <c r="AO82" i="3"/>
  <c r="I82" i="3"/>
  <c r="CF81" i="3"/>
  <c r="BX81" i="3"/>
  <c r="BP81" i="3"/>
  <c r="AJ81" i="3"/>
  <c r="T81" i="3"/>
  <c r="CI80" i="3"/>
  <c r="CA80" i="3"/>
  <c r="BC80" i="3"/>
  <c r="AU80" i="3"/>
  <c r="H80" i="3"/>
  <c r="F80" i="3" s="1"/>
  <c r="CK76" i="3"/>
  <c r="BU76" i="3"/>
  <c r="BM76" i="3"/>
  <c r="AO76" i="3"/>
  <c r="I76" i="3"/>
  <c r="CE75" i="3"/>
  <c r="BT75" i="3"/>
  <c r="BO75" i="3"/>
  <c r="AU75" i="3"/>
  <c r="AV75" i="3" s="1"/>
  <c r="AI75" i="3"/>
  <c r="S75" i="3"/>
  <c r="K75" i="3"/>
  <c r="G75" i="3"/>
  <c r="D75" i="3" s="1"/>
  <c r="E75" i="3" s="1"/>
  <c r="CL74" i="3"/>
  <c r="CH74" i="3"/>
  <c r="CD74" i="3"/>
  <c r="BN74" i="3"/>
  <c r="BF74" i="3"/>
  <c r="AT74" i="3"/>
  <c r="AP74" i="3"/>
  <c r="R74" i="3"/>
  <c r="J74" i="3"/>
  <c r="CX73" i="3"/>
  <c r="CK73" i="3"/>
  <c r="BY73" i="3"/>
  <c r="BY77" i="3" s="1"/>
  <c r="BU73" i="3"/>
  <c r="BQ73" i="3"/>
  <c r="BM73" i="3"/>
  <c r="BM77" i="3" s="1"/>
  <c r="AS73" i="3"/>
  <c r="AO73" i="3"/>
  <c r="AK73" i="3"/>
  <c r="I73" i="3"/>
  <c r="CL71" i="3"/>
  <c r="CH71" i="3"/>
  <c r="CD71" i="3"/>
  <c r="BN71" i="3"/>
  <c r="BR71" i="3" s="1"/>
  <c r="BF71" i="3"/>
  <c r="BF72" i="3" s="1"/>
  <c r="AT71" i="3"/>
  <c r="AP71" i="3"/>
  <c r="R71" i="3"/>
  <c r="J71" i="3"/>
  <c r="CX70" i="3"/>
  <c r="CK70" i="3"/>
  <c r="BY70" i="3"/>
  <c r="BU70" i="3"/>
  <c r="BQ70" i="3"/>
  <c r="BM70" i="3"/>
  <c r="AS70" i="3"/>
  <c r="AO70" i="3"/>
  <c r="AK70" i="3"/>
  <c r="AL70" i="3" s="1"/>
  <c r="I70" i="3"/>
  <c r="CF69" i="3"/>
  <c r="CP69" i="3" s="1"/>
  <c r="CB69" i="3"/>
  <c r="BX69" i="3"/>
  <c r="BT69" i="3"/>
  <c r="BP69" i="3"/>
  <c r="BL69" i="3"/>
  <c r="AN69" i="3"/>
  <c r="AJ69" i="3"/>
  <c r="T69" i="3"/>
  <c r="H69" i="3"/>
  <c r="F69" i="3" s="1"/>
  <c r="CV68" i="3"/>
  <c r="CM68" i="3"/>
  <c r="CI68" i="3"/>
  <c r="CE68" i="3"/>
  <c r="CA68" i="3"/>
  <c r="BW68" i="3"/>
  <c r="BO68" i="3"/>
  <c r="BS68" i="3" s="1"/>
  <c r="BG68" i="3"/>
  <c r="BC68" i="3"/>
  <c r="AU68" i="3"/>
  <c r="AI68" i="3"/>
  <c r="S68" i="3"/>
  <c r="K68" i="3"/>
  <c r="G68" i="3"/>
  <c r="CL67" i="3"/>
  <c r="CH67" i="3"/>
  <c r="CD67" i="3"/>
  <c r="BN67" i="3"/>
  <c r="BF67" i="3"/>
  <c r="AT67" i="3"/>
  <c r="AP67" i="3"/>
  <c r="R67" i="3"/>
  <c r="J67" i="3"/>
  <c r="AI91" i="3"/>
  <c r="J89" i="3"/>
  <c r="CX88" i="3"/>
  <c r="BD88" i="3" s="1"/>
  <c r="BK88" i="3" s="1"/>
  <c r="BF88" i="3"/>
  <c r="BU87" i="3"/>
  <c r="AJ86" i="3"/>
  <c r="AN85" i="3"/>
  <c r="H85" i="3"/>
  <c r="F85" i="3" s="1"/>
  <c r="CV83" i="3"/>
  <c r="CE83" i="3"/>
  <c r="BO83" i="3"/>
  <c r="BS83" i="3" s="1"/>
  <c r="K83" i="3"/>
  <c r="BY82" i="3"/>
  <c r="AS82" i="3"/>
  <c r="BM81" i="3"/>
  <c r="AN81" i="3"/>
  <c r="H81" i="3"/>
  <c r="CM80" i="3"/>
  <c r="BW80" i="3"/>
  <c r="BG80" i="3"/>
  <c r="CX76" i="3"/>
  <c r="BQ76" i="3"/>
  <c r="AN76" i="3"/>
  <c r="H76" i="3"/>
  <c r="CD75" i="3"/>
  <c r="AK75" i="3"/>
  <c r="AL75" i="3" s="1"/>
  <c r="CB74" i="3"/>
  <c r="BT74" i="3"/>
  <c r="BL74" i="3"/>
  <c r="AN74" i="3"/>
  <c r="H74" i="3"/>
  <c r="F74" i="3" s="1"/>
  <c r="CV73" i="3"/>
  <c r="CM73" i="3"/>
  <c r="CE73" i="3"/>
  <c r="BW73" i="3"/>
  <c r="BO73" i="3"/>
  <c r="BG73" i="3"/>
  <c r="AI73" i="3"/>
  <c r="T73" i="3"/>
  <c r="CK71" i="3"/>
  <c r="BU71" i="3"/>
  <c r="BM71" i="3"/>
  <c r="AO71" i="3"/>
  <c r="I71" i="3"/>
  <c r="CF70" i="3"/>
  <c r="BX70" i="3"/>
  <c r="BP70" i="3"/>
  <c r="AJ70" i="3"/>
  <c r="G70" i="3"/>
  <c r="CI69" i="3"/>
  <c r="CA69" i="3"/>
  <c r="BC69" i="3"/>
  <c r="AU69" i="3"/>
  <c r="AV69" i="3" s="1"/>
  <c r="G69" i="3"/>
  <c r="CK68" i="3"/>
  <c r="BU68" i="3"/>
  <c r="BM68" i="3"/>
  <c r="BF68" i="3"/>
  <c r="AP68" i="3"/>
  <c r="AK68" i="3"/>
  <c r="AL68" i="3" s="1"/>
  <c r="J68" i="3"/>
  <c r="CV67" i="3"/>
  <c r="CE67" i="3"/>
  <c r="BY67" i="3"/>
  <c r="BT67" i="3"/>
  <c r="BO67" i="3"/>
  <c r="AS67" i="3"/>
  <c r="AN67" i="3"/>
  <c r="AI67" i="3"/>
  <c r="S67" i="3"/>
  <c r="H67" i="3"/>
  <c r="F67" i="3" s="1"/>
  <c r="CX65" i="3"/>
  <c r="CK65" i="3"/>
  <c r="BY65" i="3"/>
  <c r="BU65" i="3"/>
  <c r="BQ65" i="3"/>
  <c r="BM65" i="3"/>
  <c r="AS65" i="3"/>
  <c r="AO65" i="3"/>
  <c r="AK65" i="3"/>
  <c r="AL65" i="3" s="1"/>
  <c r="I65" i="3"/>
  <c r="CF64" i="3"/>
  <c r="CB64" i="3"/>
  <c r="BX64" i="3"/>
  <c r="BT64" i="3"/>
  <c r="BP64" i="3"/>
  <c r="BL64" i="3"/>
  <c r="AN64" i="3"/>
  <c r="AJ64" i="3"/>
  <c r="T64" i="3"/>
  <c r="H64" i="3"/>
  <c r="F64" i="3" s="1"/>
  <c r="CV63" i="3"/>
  <c r="CM63" i="3"/>
  <c r="CI63" i="3"/>
  <c r="CE63" i="3"/>
  <c r="CA63" i="3"/>
  <c r="BW63" i="3"/>
  <c r="BO63" i="3"/>
  <c r="BG63" i="3"/>
  <c r="BC63" i="3"/>
  <c r="AU63" i="3"/>
  <c r="AV63" i="3" s="1"/>
  <c r="AI63" i="3"/>
  <c r="S63" i="3"/>
  <c r="N63" i="3" s="1"/>
  <c r="K63" i="3"/>
  <c r="G63" i="3"/>
  <c r="CL62" i="3"/>
  <c r="CH62" i="3"/>
  <c r="CD62" i="3"/>
  <c r="BN62" i="3"/>
  <c r="BF62" i="3"/>
  <c r="AT62" i="3"/>
  <c r="AP62" i="3"/>
  <c r="R62" i="3"/>
  <c r="J62" i="3"/>
  <c r="CX59" i="3"/>
  <c r="CK59" i="3"/>
  <c r="BY59" i="3"/>
  <c r="BU59" i="3"/>
  <c r="BQ59" i="3"/>
  <c r="BM59" i="3"/>
  <c r="AS59" i="3"/>
  <c r="AO59" i="3"/>
  <c r="AK59" i="3"/>
  <c r="I59" i="3"/>
  <c r="CF58" i="3"/>
  <c r="CB58" i="3"/>
  <c r="BX58" i="3"/>
  <c r="BT58" i="3"/>
  <c r="BP58" i="3"/>
  <c r="BL58" i="3"/>
  <c r="AN58" i="3"/>
  <c r="AJ58" i="3"/>
  <c r="T58" i="3"/>
  <c r="H58" i="3"/>
  <c r="F58" i="3" s="1"/>
  <c r="CV57" i="3"/>
  <c r="CM57" i="3"/>
  <c r="CI57" i="3"/>
  <c r="CE57" i="3"/>
  <c r="CA57" i="3"/>
  <c r="BW57" i="3"/>
  <c r="BO57" i="3"/>
  <c r="BG57" i="3"/>
  <c r="BC57" i="3"/>
  <c r="AU57" i="3"/>
  <c r="AV57" i="3" s="1"/>
  <c r="AI57" i="3"/>
  <c r="S57" i="3"/>
  <c r="K57" i="3"/>
  <c r="G57" i="3"/>
  <c r="CL56" i="3"/>
  <c r="CH56" i="3"/>
  <c r="CD56" i="3"/>
  <c r="BN56" i="3"/>
  <c r="BF56" i="3"/>
  <c r="AT56" i="3"/>
  <c r="AP56" i="3"/>
  <c r="R56" i="3"/>
  <c r="J56" i="3"/>
  <c r="CV54" i="3"/>
  <c r="CM54" i="3"/>
  <c r="CI54" i="3"/>
  <c r="CE54" i="3"/>
  <c r="CO54" i="3" s="1"/>
  <c r="CA54" i="3"/>
  <c r="BW54" i="3"/>
  <c r="BO54" i="3"/>
  <c r="BG54" i="3"/>
  <c r="BG55" i="3" s="1"/>
  <c r="BC54" i="3"/>
  <c r="BC55" i="3" s="1"/>
  <c r="AU54" i="3"/>
  <c r="AV54" i="3" s="1"/>
  <c r="AI54" i="3"/>
  <c r="S54" i="3"/>
  <c r="N54" i="3" s="1"/>
  <c r="K54" i="3"/>
  <c r="G54" i="3"/>
  <c r="CL53" i="3"/>
  <c r="CH53" i="3"/>
  <c r="CJ53" i="3" s="1"/>
  <c r="CN53" i="3" s="1"/>
  <c r="CD53" i="3"/>
  <c r="BN53" i="3"/>
  <c r="BF53" i="3"/>
  <c r="AT53" i="3"/>
  <c r="AP53" i="3"/>
  <c r="R53" i="3"/>
  <c r="J53" i="3"/>
  <c r="CX52" i="3"/>
  <c r="CK52" i="3"/>
  <c r="BY52" i="3"/>
  <c r="BU52" i="3"/>
  <c r="BQ52" i="3"/>
  <c r="BM52" i="3"/>
  <c r="AS52" i="3"/>
  <c r="AO52" i="3"/>
  <c r="AK52" i="3"/>
  <c r="AL52" i="3" s="1"/>
  <c r="I52" i="3"/>
  <c r="CF51" i="3"/>
  <c r="CB51" i="3"/>
  <c r="BX51" i="3"/>
  <c r="BT51" i="3"/>
  <c r="BP51" i="3"/>
  <c r="BL51" i="3"/>
  <c r="AN51" i="3"/>
  <c r="AJ51" i="3"/>
  <c r="T51" i="3"/>
  <c r="H51" i="3"/>
  <c r="F51" i="3" s="1"/>
  <c r="CV50" i="3"/>
  <c r="CM50" i="3"/>
  <c r="CI50" i="3"/>
  <c r="CE50" i="3"/>
  <c r="CA50" i="3"/>
  <c r="BW50" i="3"/>
  <c r="BO50" i="3"/>
  <c r="BG50" i="3"/>
  <c r="BC50" i="3"/>
  <c r="AU50" i="3"/>
  <c r="AV50" i="3" s="1"/>
  <c r="AI50" i="3"/>
  <c r="S50" i="3"/>
  <c r="K50" i="3"/>
  <c r="G50" i="3"/>
  <c r="CF48" i="3"/>
  <c r="CB48" i="3"/>
  <c r="BX48" i="3"/>
  <c r="BT48" i="3"/>
  <c r="BP48" i="3"/>
  <c r="BL48" i="3"/>
  <c r="AN48" i="3"/>
  <c r="AJ48" i="3"/>
  <c r="T48" i="3"/>
  <c r="H48" i="3"/>
  <c r="F48" i="3" s="1"/>
  <c r="BY93" i="3"/>
  <c r="BF89" i="3"/>
  <c r="BF90" i="3" s="1"/>
  <c r="CH88" i="3"/>
  <c r="CJ88" i="3" s="1"/>
  <c r="CN88" i="3" s="1"/>
  <c r="R87" i="3"/>
  <c r="CF86" i="3"/>
  <c r="CP86" i="3" s="1"/>
  <c r="CL85" i="3"/>
  <c r="BP85" i="3"/>
  <c r="AU85" i="3"/>
  <c r="AJ85" i="3"/>
  <c r="T85" i="3"/>
  <c r="AT83" i="3"/>
  <c r="AI83" i="3"/>
  <c r="CH82" i="3"/>
  <c r="CB81" i="3"/>
  <c r="BL81" i="3"/>
  <c r="CF80" i="3"/>
  <c r="BP80" i="3"/>
  <c r="AJ80" i="3"/>
  <c r="CB76" i="3"/>
  <c r="BL76" i="3"/>
  <c r="AK76" i="3"/>
  <c r="CM75" i="3"/>
  <c r="CB75" i="3"/>
  <c r="BG75" i="3"/>
  <c r="AP75" i="3"/>
  <c r="R75" i="3"/>
  <c r="J75" i="3"/>
  <c r="CX74" i="3"/>
  <c r="BY74" i="3"/>
  <c r="BQ74" i="3"/>
  <c r="AS74" i="3"/>
  <c r="AK74" i="3"/>
  <c r="CB73" i="3"/>
  <c r="BT73" i="3"/>
  <c r="BV73" i="3" s="1"/>
  <c r="BL73" i="3"/>
  <c r="AN73" i="3"/>
  <c r="S73" i="3"/>
  <c r="K73" i="3"/>
  <c r="CB71" i="3"/>
  <c r="BT71" i="3"/>
  <c r="BL71" i="3"/>
  <c r="AN71" i="3"/>
  <c r="H71" i="3"/>
  <c r="F71" i="3" s="1"/>
  <c r="CV70" i="3"/>
  <c r="CM70" i="3"/>
  <c r="CE70" i="3"/>
  <c r="CO70" i="3" s="1"/>
  <c r="BW70" i="3"/>
  <c r="BO70" i="3"/>
  <c r="BS70" i="3" s="1"/>
  <c r="BG70" i="3"/>
  <c r="AI70" i="3"/>
  <c r="T70" i="3"/>
  <c r="CH69" i="3"/>
  <c r="AT69" i="3"/>
  <c r="CH68" i="3"/>
  <c r="AT68" i="3"/>
  <c r="AO68" i="3"/>
  <c r="AJ68" i="3"/>
  <c r="T68" i="3"/>
  <c r="I68" i="3"/>
  <c r="CI67" i="3"/>
  <c r="BX67" i="3"/>
  <c r="BM67" i="3"/>
  <c r="BC67" i="3"/>
  <c r="G67" i="3"/>
  <c r="CF65" i="3"/>
  <c r="CP65" i="3" s="1"/>
  <c r="CB65" i="3"/>
  <c r="BX65" i="3"/>
  <c r="BT65" i="3"/>
  <c r="BP65" i="3"/>
  <c r="BL65" i="3"/>
  <c r="AN65" i="3"/>
  <c r="AJ65" i="3"/>
  <c r="T65" i="3"/>
  <c r="H65" i="3"/>
  <c r="F65" i="3" s="1"/>
  <c r="CV64" i="3"/>
  <c r="CM64" i="3"/>
  <c r="CI64" i="3"/>
  <c r="CE64" i="3"/>
  <c r="CA64" i="3"/>
  <c r="BW64" i="3"/>
  <c r="BO64" i="3"/>
  <c r="BG64" i="3"/>
  <c r="BC64" i="3"/>
  <c r="AU64" i="3"/>
  <c r="AV64" i="3" s="1"/>
  <c r="AI64" i="3"/>
  <c r="S64" i="3"/>
  <c r="K64" i="3"/>
  <c r="G64" i="3"/>
  <c r="CL63" i="3"/>
  <c r="CH63" i="3"/>
  <c r="CJ63" i="3" s="1"/>
  <c r="CD63" i="3"/>
  <c r="BN63" i="3"/>
  <c r="BF63" i="3"/>
  <c r="AT63" i="3"/>
  <c r="AP63" i="3"/>
  <c r="AQ63" i="3" s="1"/>
  <c r="R63" i="3"/>
  <c r="J63" i="3"/>
  <c r="CX62" i="3"/>
  <c r="CK62" i="3"/>
  <c r="BY62" i="3"/>
  <c r="BU62" i="3"/>
  <c r="BQ62" i="3"/>
  <c r="BM62" i="3"/>
  <c r="AS62" i="3"/>
  <c r="AO62" i="3"/>
  <c r="AK62" i="3"/>
  <c r="I62" i="3"/>
  <c r="CF59" i="3"/>
  <c r="CB59" i="3"/>
  <c r="BX59" i="3"/>
  <c r="BT59" i="3"/>
  <c r="BP59" i="3"/>
  <c r="BL59" i="3"/>
  <c r="AN59" i="3"/>
  <c r="AJ59" i="3"/>
  <c r="T59" i="3"/>
  <c r="H59" i="3"/>
  <c r="F59" i="3" s="1"/>
  <c r="CV58" i="3"/>
  <c r="CM58" i="3"/>
  <c r="CI58" i="3"/>
  <c r="CE58" i="3"/>
  <c r="CO58" i="3" s="1"/>
  <c r="CA58" i="3"/>
  <c r="BW58" i="3"/>
  <c r="BO58" i="3"/>
  <c r="BS58" i="3" s="1"/>
  <c r="BG58" i="3"/>
  <c r="BC58" i="3"/>
  <c r="AU58" i="3"/>
  <c r="AI58" i="3"/>
  <c r="S58" i="3"/>
  <c r="K58" i="3"/>
  <c r="G58" i="3"/>
  <c r="CL57" i="3"/>
  <c r="CH57" i="3"/>
  <c r="CD57" i="3"/>
  <c r="BN57" i="3"/>
  <c r="BR57" i="3" s="1"/>
  <c r="BF57" i="3"/>
  <c r="AT57" i="3"/>
  <c r="AP57" i="3"/>
  <c r="R57" i="3"/>
  <c r="J57" i="3"/>
  <c r="CX56" i="3"/>
  <c r="BD56" i="3" s="1"/>
  <c r="CK56" i="3"/>
  <c r="BY56" i="3"/>
  <c r="BU56" i="3"/>
  <c r="BQ56" i="3"/>
  <c r="BM56" i="3"/>
  <c r="AS56" i="3"/>
  <c r="AO56" i="3"/>
  <c r="AK56" i="3"/>
  <c r="I56" i="3"/>
  <c r="CL54" i="3"/>
  <c r="CH54" i="3"/>
  <c r="CJ54" i="3" s="1"/>
  <c r="CN54" i="3" s="1"/>
  <c r="CD54" i="3"/>
  <c r="BN54" i="3"/>
  <c r="BF54" i="3"/>
  <c r="BF55" i="3" s="1"/>
  <c r="AT54" i="3"/>
  <c r="AP54" i="3"/>
  <c r="R54" i="3"/>
  <c r="J54" i="3"/>
  <c r="CX53" i="3"/>
  <c r="CK53" i="3"/>
  <c r="BY53" i="3"/>
  <c r="BU53" i="3"/>
  <c r="BQ53" i="3"/>
  <c r="BM53" i="3"/>
  <c r="AS53" i="3"/>
  <c r="AO53" i="3"/>
  <c r="AK53" i="3"/>
  <c r="AL53" i="3" s="1"/>
  <c r="I53" i="3"/>
  <c r="CF52" i="3"/>
  <c r="CP52" i="3" s="1"/>
  <c r="CB52" i="3"/>
  <c r="BX52" i="3"/>
  <c r="BT52" i="3"/>
  <c r="BP52" i="3"/>
  <c r="BL52" i="3"/>
  <c r="AN52" i="3"/>
  <c r="AJ52" i="3"/>
  <c r="T52" i="3"/>
  <c r="H52" i="3"/>
  <c r="F52" i="3" s="1"/>
  <c r="CV51" i="3"/>
  <c r="CM51" i="3"/>
  <c r="CI51" i="3"/>
  <c r="CE51" i="3"/>
  <c r="CA51" i="3"/>
  <c r="BW51" i="3"/>
  <c r="BO51" i="3"/>
  <c r="BG51" i="3"/>
  <c r="BC51" i="3"/>
  <c r="AU51" i="3"/>
  <c r="AI51" i="3"/>
  <c r="S51" i="3"/>
  <c r="K51" i="3"/>
  <c r="G51" i="3"/>
  <c r="CL50" i="3"/>
  <c r="CH50" i="3"/>
  <c r="CD50" i="3"/>
  <c r="BN50" i="3"/>
  <c r="BF50" i="3"/>
  <c r="AT50" i="3"/>
  <c r="AP50" i="3"/>
  <c r="R50" i="3"/>
  <c r="J50" i="3"/>
  <c r="CV48" i="3"/>
  <c r="CM48" i="3"/>
  <c r="CI48" i="3"/>
  <c r="CE48" i="3"/>
  <c r="CA48" i="3"/>
  <c r="BW48" i="3"/>
  <c r="BO48" i="3"/>
  <c r="BG48" i="3"/>
  <c r="BG49" i="3" s="1"/>
  <c r="BC48" i="3"/>
  <c r="BC49" i="3" s="1"/>
  <c r="AU48" i="3"/>
  <c r="AI48" i="3"/>
  <c r="S48" i="3"/>
  <c r="K48" i="3"/>
  <c r="G48" i="3"/>
  <c r="CL47" i="3"/>
  <c r="CH47" i="3"/>
  <c r="CJ47" i="3" s="1"/>
  <c r="CD47" i="3"/>
  <c r="BT92" i="3"/>
  <c r="J91" i="3"/>
  <c r="AP89" i="3"/>
  <c r="BM88" i="3"/>
  <c r="AK86" i="3"/>
  <c r="CA85" i="3"/>
  <c r="J85" i="3"/>
  <c r="CX82" i="3"/>
  <c r="BQ82" i="3"/>
  <c r="AK82" i="3"/>
  <c r="AL82" i="3" s="1"/>
  <c r="BU81" i="3"/>
  <c r="CE80" i="3"/>
  <c r="BW75" i="3"/>
  <c r="AO75" i="3"/>
  <c r="BM74" i="3"/>
  <c r="CA73" i="3"/>
  <c r="CC73" i="3" s="1"/>
  <c r="AU73" i="3"/>
  <c r="AV73" i="3" s="1"/>
  <c r="G73" i="3"/>
  <c r="CX71" i="3"/>
  <c r="BQ71" i="3"/>
  <c r="AK71" i="3"/>
  <c r="BT70" i="3"/>
  <c r="CM69" i="3"/>
  <c r="BW69" i="3"/>
  <c r="BG69" i="3"/>
  <c r="R69" i="3"/>
  <c r="BY68" i="3"/>
  <c r="AN68" i="3"/>
  <c r="R68" i="3"/>
  <c r="H68" i="3"/>
  <c r="F68" i="3" s="1"/>
  <c r="CF67" i="3"/>
  <c r="BU67" i="3"/>
  <c r="K67" i="3"/>
  <c r="CL65" i="3"/>
  <c r="CD65" i="3"/>
  <c r="BN65" i="3"/>
  <c r="BF65" i="3"/>
  <c r="BF66" i="3" s="1"/>
  <c r="AP65" i="3"/>
  <c r="R65" i="3"/>
  <c r="J65" i="3"/>
  <c r="CL64" i="3"/>
  <c r="CD64" i="3"/>
  <c r="BN64" i="3"/>
  <c r="BF64" i="3"/>
  <c r="AP64" i="3"/>
  <c r="R64" i="3"/>
  <c r="J64" i="3"/>
  <c r="CX63" i="3"/>
  <c r="BY63" i="3"/>
  <c r="BQ63" i="3"/>
  <c r="AS63" i="3"/>
  <c r="AK63" i="3"/>
  <c r="CB62" i="3"/>
  <c r="BT62" i="3"/>
  <c r="BL62" i="3"/>
  <c r="AN62" i="3"/>
  <c r="S62" i="3"/>
  <c r="K62" i="3"/>
  <c r="CI59" i="3"/>
  <c r="CA59" i="3"/>
  <c r="BC59" i="3"/>
  <c r="BC60" i="3" s="1"/>
  <c r="BC61" i="3" s="1"/>
  <c r="AU59" i="3"/>
  <c r="AV59" i="3" s="1"/>
  <c r="G59" i="3"/>
  <c r="CK58" i="3"/>
  <c r="BU58" i="3"/>
  <c r="BM58" i="3"/>
  <c r="AO58" i="3"/>
  <c r="I58" i="3"/>
  <c r="CF57" i="3"/>
  <c r="BX57" i="3"/>
  <c r="BP57" i="3"/>
  <c r="AJ57" i="3"/>
  <c r="T57" i="3"/>
  <c r="CI56" i="3"/>
  <c r="CA56" i="3"/>
  <c r="BC56" i="3"/>
  <c r="AU56" i="3"/>
  <c r="AV56" i="3" s="1"/>
  <c r="H56" i="3"/>
  <c r="F56" i="3" s="1"/>
  <c r="CX54" i="3"/>
  <c r="BY54" i="3"/>
  <c r="BQ54" i="3"/>
  <c r="AS54" i="3"/>
  <c r="AK54" i="3"/>
  <c r="CB53" i="3"/>
  <c r="BT53" i="3"/>
  <c r="BL53" i="3"/>
  <c r="AN53" i="3"/>
  <c r="S53" i="3"/>
  <c r="K53" i="3"/>
  <c r="CV52" i="3"/>
  <c r="CM52" i="3"/>
  <c r="CE52" i="3"/>
  <c r="BW52" i="3"/>
  <c r="BO52" i="3"/>
  <c r="BG52" i="3"/>
  <c r="AI52" i="3"/>
  <c r="S52" i="3"/>
  <c r="K52" i="3"/>
  <c r="CX51" i="3"/>
  <c r="BY51" i="3"/>
  <c r="BQ51" i="3"/>
  <c r="AS51" i="3"/>
  <c r="AK51" i="3"/>
  <c r="CB50" i="3"/>
  <c r="BT50" i="3"/>
  <c r="BL50" i="3"/>
  <c r="AN50" i="3"/>
  <c r="H50" i="3"/>
  <c r="CL48" i="3"/>
  <c r="CD48" i="3"/>
  <c r="BN48" i="3"/>
  <c r="BF48" i="3"/>
  <c r="BF49" i="3" s="1"/>
  <c r="AP48" i="3"/>
  <c r="R48" i="3"/>
  <c r="J48" i="3"/>
  <c r="CX47" i="3"/>
  <c r="CM47" i="3"/>
  <c r="CB47" i="3"/>
  <c r="BW47" i="3"/>
  <c r="BN47" i="3"/>
  <c r="BF47" i="3"/>
  <c r="AT47" i="3"/>
  <c r="AP47" i="3"/>
  <c r="R47" i="3"/>
  <c r="J47" i="3"/>
  <c r="CX46" i="3"/>
  <c r="CK46" i="3"/>
  <c r="BY46" i="3"/>
  <c r="BU46" i="3"/>
  <c r="BQ46" i="3"/>
  <c r="BM46" i="3"/>
  <c r="AS46" i="3"/>
  <c r="AO46" i="3"/>
  <c r="AK46" i="3"/>
  <c r="AL46" i="3" s="1"/>
  <c r="I46" i="3"/>
  <c r="CF45" i="3"/>
  <c r="CB45" i="3"/>
  <c r="CB49" i="3" s="1"/>
  <c r="BX45" i="3"/>
  <c r="BT45" i="3"/>
  <c r="BP45" i="3"/>
  <c r="BL45" i="3"/>
  <c r="AN45" i="3"/>
  <c r="AJ45" i="3"/>
  <c r="T45" i="3"/>
  <c r="H45" i="3"/>
  <c r="F45" i="3" s="1"/>
  <c r="CV42" i="3"/>
  <c r="CM42" i="3"/>
  <c r="CI42" i="3"/>
  <c r="CE42" i="3"/>
  <c r="CA42" i="3"/>
  <c r="BW42" i="3"/>
  <c r="BO42" i="3"/>
  <c r="BG42" i="3"/>
  <c r="BC42" i="3"/>
  <c r="BC43" i="3" s="1"/>
  <c r="BC44" i="3" s="1"/>
  <c r="AU42" i="3"/>
  <c r="AV42" i="3" s="1"/>
  <c r="AI42" i="3"/>
  <c r="S42" i="3"/>
  <c r="K42" i="3"/>
  <c r="G42" i="3"/>
  <c r="CL41" i="3"/>
  <c r="CH41" i="3"/>
  <c r="CJ41" i="3" s="1"/>
  <c r="CD41" i="3"/>
  <c r="BN41" i="3"/>
  <c r="BF41" i="3"/>
  <c r="AT41" i="3"/>
  <c r="AP41" i="3"/>
  <c r="R41" i="3"/>
  <c r="J41" i="3"/>
  <c r="CX40" i="3"/>
  <c r="CK40" i="3"/>
  <c r="BY40" i="3"/>
  <c r="BU40" i="3"/>
  <c r="BQ40" i="3"/>
  <c r="BM40" i="3"/>
  <c r="AS40" i="3"/>
  <c r="AO40" i="3"/>
  <c r="AK40" i="3"/>
  <c r="AL40" i="3" s="1"/>
  <c r="I40" i="3"/>
  <c r="CF39" i="3"/>
  <c r="CB39" i="3"/>
  <c r="BX39" i="3"/>
  <c r="BT39" i="3"/>
  <c r="BP39" i="3"/>
  <c r="BL39" i="3"/>
  <c r="AN39" i="3"/>
  <c r="AJ39" i="3"/>
  <c r="T39" i="3"/>
  <c r="H39" i="3"/>
  <c r="F39" i="3" s="1"/>
  <c r="CX37" i="3"/>
  <c r="CK37" i="3"/>
  <c r="BY37" i="3"/>
  <c r="CS37" i="3" s="1"/>
  <c r="BU37" i="3"/>
  <c r="BQ37" i="3"/>
  <c r="BM37" i="3"/>
  <c r="AS37" i="3"/>
  <c r="AO37" i="3"/>
  <c r="AK37" i="3"/>
  <c r="AL37" i="3" s="1"/>
  <c r="I37" i="3"/>
  <c r="CW36" i="3"/>
  <c r="CY36" i="3" s="1"/>
  <c r="CF36" i="3"/>
  <c r="CP36" i="3" s="1"/>
  <c r="CB36" i="3"/>
  <c r="BX36" i="3"/>
  <c r="BT36" i="3"/>
  <c r="BP36" i="3"/>
  <c r="BL36" i="3"/>
  <c r="AN36" i="3"/>
  <c r="AJ36" i="3"/>
  <c r="T36" i="3"/>
  <c r="H36" i="3"/>
  <c r="CV35" i="3"/>
  <c r="CM35" i="3"/>
  <c r="CI35" i="3"/>
  <c r="CE35" i="3"/>
  <c r="CA35" i="3"/>
  <c r="CC35" i="3" s="1"/>
  <c r="BW35" i="3"/>
  <c r="BO35" i="3"/>
  <c r="BS35" i="3" s="1"/>
  <c r="BG35" i="3"/>
  <c r="BC35" i="3"/>
  <c r="AU35" i="3"/>
  <c r="AV35" i="3" s="1"/>
  <c r="AI35" i="3"/>
  <c r="S35" i="3"/>
  <c r="K35" i="3"/>
  <c r="G35" i="3"/>
  <c r="D35" i="3" s="1"/>
  <c r="CK34" i="3"/>
  <c r="CC34" i="3"/>
  <c r="BY34" i="3"/>
  <c r="BU34" i="3"/>
  <c r="BQ34" i="3"/>
  <c r="BM34" i="3"/>
  <c r="AS34" i="3"/>
  <c r="AO34" i="3"/>
  <c r="AK34" i="3"/>
  <c r="Q34" i="3"/>
  <c r="I34" i="3"/>
  <c r="CW33" i="3"/>
  <c r="BP94" i="3"/>
  <c r="CE89" i="3"/>
  <c r="AK88" i="3"/>
  <c r="BQ86" i="3"/>
  <c r="T86" i="3"/>
  <c r="BO85" i="3"/>
  <c r="CM83" i="3"/>
  <c r="BG83" i="3"/>
  <c r="BG84" i="3" s="1"/>
  <c r="BT81" i="3"/>
  <c r="BV81" i="3" s="1"/>
  <c r="BZ81" i="3" s="1"/>
  <c r="AO81" i="3"/>
  <c r="I81" i="3"/>
  <c r="BX80" i="3"/>
  <c r="T80" i="3"/>
  <c r="BY76" i="3"/>
  <c r="AS76" i="3"/>
  <c r="CI75" i="3"/>
  <c r="BN75" i="3"/>
  <c r="BR75" i="3" s="1"/>
  <c r="AT75" i="3"/>
  <c r="I75" i="3"/>
  <c r="BX74" i="3"/>
  <c r="BX73" i="3"/>
  <c r="BX77" i="3" s="1"/>
  <c r="CF71" i="3"/>
  <c r="BP71" i="3"/>
  <c r="AJ71" i="3"/>
  <c r="T71" i="3"/>
  <c r="CI70" i="3"/>
  <c r="BC70" i="3"/>
  <c r="AN70" i="3"/>
  <c r="K70" i="3"/>
  <c r="CL69" i="3"/>
  <c r="BF69" i="3"/>
  <c r="AP69" i="3"/>
  <c r="K69" i="3"/>
  <c r="CL68" i="3"/>
  <c r="CX67" i="3"/>
  <c r="CM67" i="3"/>
  <c r="CB67" i="3"/>
  <c r="BQ67" i="3"/>
  <c r="BG67" i="3"/>
  <c r="AO67" i="3"/>
  <c r="T67" i="3"/>
  <c r="I67" i="3"/>
  <c r="CI65" i="3"/>
  <c r="CA65" i="3"/>
  <c r="BC65" i="3"/>
  <c r="BC66" i="3" s="1"/>
  <c r="AU65" i="3"/>
  <c r="AV65" i="3" s="1"/>
  <c r="G65" i="3"/>
  <c r="CK64" i="3"/>
  <c r="BU64" i="3"/>
  <c r="BM64" i="3"/>
  <c r="AO64" i="3"/>
  <c r="I64" i="3"/>
  <c r="CF63" i="3"/>
  <c r="CP63" i="3" s="1"/>
  <c r="BX63" i="3"/>
  <c r="BP63" i="3"/>
  <c r="AJ63" i="3"/>
  <c r="T63" i="3"/>
  <c r="CI62" i="3"/>
  <c r="CA62" i="3"/>
  <c r="BC62" i="3"/>
  <c r="AU62" i="3"/>
  <c r="AV62" i="3" s="1"/>
  <c r="H62" i="3"/>
  <c r="F62" i="3" s="1"/>
  <c r="CH59" i="3"/>
  <c r="CJ59" i="3" s="1"/>
  <c r="AT59" i="3"/>
  <c r="CH58" i="3"/>
  <c r="AT58" i="3"/>
  <c r="CK57" i="3"/>
  <c r="BU57" i="3"/>
  <c r="BM57" i="3"/>
  <c r="AO57" i="3"/>
  <c r="I57" i="3"/>
  <c r="CF56" i="3"/>
  <c r="BX56" i="3"/>
  <c r="BP56" i="3"/>
  <c r="AJ56" i="3"/>
  <c r="G56" i="3"/>
  <c r="CF54" i="3"/>
  <c r="CP54" i="3" s="1"/>
  <c r="BX54" i="3"/>
  <c r="BP54" i="3"/>
  <c r="AJ54" i="3"/>
  <c r="T54" i="3"/>
  <c r="CI53" i="3"/>
  <c r="CA53" i="3"/>
  <c r="BC53" i="3"/>
  <c r="AU53" i="3"/>
  <c r="H53" i="3"/>
  <c r="F53" i="3" s="1"/>
  <c r="CL52" i="3"/>
  <c r="CD52" i="3"/>
  <c r="BN52" i="3"/>
  <c r="BF52" i="3"/>
  <c r="AP52" i="3"/>
  <c r="R52" i="3"/>
  <c r="J52" i="3"/>
  <c r="CL51" i="3"/>
  <c r="CD51" i="3"/>
  <c r="BN51" i="3"/>
  <c r="BF51" i="3"/>
  <c r="AP51" i="3"/>
  <c r="R51" i="3"/>
  <c r="J51" i="3"/>
  <c r="CX50" i="3"/>
  <c r="BY50" i="3"/>
  <c r="BQ50" i="3"/>
  <c r="AS50" i="3"/>
  <c r="AK50" i="3"/>
  <c r="AL50" i="3" s="1"/>
  <c r="CK48" i="3"/>
  <c r="BU48" i="3"/>
  <c r="BM48" i="3"/>
  <c r="AO48" i="3"/>
  <c r="I48" i="3"/>
  <c r="CK47" i="3"/>
  <c r="CF47" i="3"/>
  <c r="CA47" i="3"/>
  <c r="BU47" i="3"/>
  <c r="BQ47" i="3"/>
  <c r="BM47" i="3"/>
  <c r="AS47" i="3"/>
  <c r="AO47" i="3"/>
  <c r="AK47" i="3"/>
  <c r="AL47" i="3" s="1"/>
  <c r="I47" i="3"/>
  <c r="CF46" i="3"/>
  <c r="CB46" i="3"/>
  <c r="BX46" i="3"/>
  <c r="BT46" i="3"/>
  <c r="BP46" i="3"/>
  <c r="BL46" i="3"/>
  <c r="AN46" i="3"/>
  <c r="AJ46" i="3"/>
  <c r="T46" i="3"/>
  <c r="H46" i="3"/>
  <c r="F46" i="3" s="1"/>
  <c r="CV45" i="3"/>
  <c r="CM45" i="3"/>
  <c r="CI45" i="3"/>
  <c r="CE45" i="3"/>
  <c r="CA45" i="3"/>
  <c r="BW45" i="3"/>
  <c r="BO45" i="3"/>
  <c r="BG45" i="3"/>
  <c r="BC45" i="3"/>
  <c r="AU45" i="3"/>
  <c r="AV45" i="3" s="1"/>
  <c r="AI45" i="3"/>
  <c r="S45" i="3"/>
  <c r="K45" i="3"/>
  <c r="G45" i="3"/>
  <c r="CL42" i="3"/>
  <c r="CH42" i="3"/>
  <c r="CD42" i="3"/>
  <c r="BN42" i="3"/>
  <c r="BF42" i="3"/>
  <c r="AT42" i="3"/>
  <c r="AP42" i="3"/>
  <c r="AQ42" i="3" s="1"/>
  <c r="R42" i="3"/>
  <c r="J42" i="3"/>
  <c r="CX41" i="3"/>
  <c r="CK41" i="3"/>
  <c r="BY41" i="3"/>
  <c r="BU41" i="3"/>
  <c r="BQ41" i="3"/>
  <c r="BM41" i="3"/>
  <c r="BM43" i="3" s="1"/>
  <c r="AS41" i="3"/>
  <c r="AO41" i="3"/>
  <c r="AK41" i="3"/>
  <c r="AL41" i="3" s="1"/>
  <c r="I41" i="3"/>
  <c r="CF40" i="3"/>
  <c r="CB40" i="3"/>
  <c r="BX40" i="3"/>
  <c r="BT40" i="3"/>
  <c r="BP40" i="3"/>
  <c r="BL40" i="3"/>
  <c r="AN40" i="3"/>
  <c r="AJ40" i="3"/>
  <c r="T40" i="3"/>
  <c r="H40" i="3"/>
  <c r="F40" i="3" s="1"/>
  <c r="CV39" i="3"/>
  <c r="CM39" i="3"/>
  <c r="CI39" i="3"/>
  <c r="CE39" i="3"/>
  <c r="CA39" i="3"/>
  <c r="BW39" i="3"/>
  <c r="BO39" i="3"/>
  <c r="BG39" i="3"/>
  <c r="BC39" i="3"/>
  <c r="AU39" i="3"/>
  <c r="AV39" i="3" s="1"/>
  <c r="AI39" i="3"/>
  <c r="S39" i="3"/>
  <c r="K39" i="3"/>
  <c r="G39" i="3"/>
  <c r="CW37" i="3"/>
  <c r="CF37" i="3"/>
  <c r="CB37" i="3"/>
  <c r="BX37" i="3"/>
  <c r="BT37" i="3"/>
  <c r="BP37" i="3"/>
  <c r="BL37" i="3"/>
  <c r="AN37" i="3"/>
  <c r="AJ37" i="3"/>
  <c r="T37" i="3"/>
  <c r="H37" i="3"/>
  <c r="F37" i="3" s="1"/>
  <c r="CV36" i="3"/>
  <c r="CM36" i="3"/>
  <c r="CS36" i="3" s="1"/>
  <c r="CI36" i="3"/>
  <c r="CE36" i="3"/>
  <c r="CO36" i="3" s="1"/>
  <c r="CA36" i="3"/>
  <c r="CC36" i="3" s="1"/>
  <c r="BW36" i="3"/>
  <c r="BO36" i="3"/>
  <c r="BS36" i="3" s="1"/>
  <c r="BG36" i="3"/>
  <c r="BD36" i="3" s="1"/>
  <c r="BK36" i="3" s="1"/>
  <c r="BC36" i="3"/>
  <c r="AU36" i="3"/>
  <c r="AV36" i="3" s="1"/>
  <c r="AI36" i="3"/>
  <c r="S36" i="3"/>
  <c r="N36" i="3" s="1"/>
  <c r="K36" i="3"/>
  <c r="G36" i="3"/>
  <c r="D36" i="3" s="1"/>
  <c r="CL35" i="3"/>
  <c r="CH35" i="3"/>
  <c r="CD35" i="3"/>
  <c r="BN35" i="3"/>
  <c r="BR35" i="3" s="1"/>
  <c r="BF35" i="3"/>
  <c r="AT35" i="3"/>
  <c r="AP35" i="3"/>
  <c r="AQ35" i="3" s="1"/>
  <c r="R35" i="3"/>
  <c r="J35" i="3"/>
  <c r="CX34" i="3"/>
  <c r="CJ34" i="3"/>
  <c r="CF34" i="3"/>
  <c r="CP34" i="3" s="1"/>
  <c r="CB34" i="3"/>
  <c r="BX34" i="3"/>
  <c r="CR34" i="3" s="1"/>
  <c r="BT34" i="3"/>
  <c r="BP34" i="3"/>
  <c r="BL34" i="3"/>
  <c r="AR34" i="3"/>
  <c r="AN34" i="3"/>
  <c r="AJ34" i="3"/>
  <c r="T34" i="3"/>
  <c r="H34" i="3"/>
  <c r="F34" i="3" s="1"/>
  <c r="CL33" i="3"/>
  <c r="CH33" i="3"/>
  <c r="CD33" i="3"/>
  <c r="BV33" i="3"/>
  <c r="BN33" i="3"/>
  <c r="BF33" i="3"/>
  <c r="AT33" i="3"/>
  <c r="AP33" i="3"/>
  <c r="AH33" i="3"/>
  <c r="AL33" i="3" s="1"/>
  <c r="R33" i="3"/>
  <c r="J33" i="3"/>
  <c r="CL31" i="3"/>
  <c r="CH31" i="3"/>
  <c r="CD31" i="3"/>
  <c r="BV31" i="3"/>
  <c r="BN31" i="3"/>
  <c r="BR31" i="3" s="1"/>
  <c r="BF31" i="3"/>
  <c r="BF32" i="3" s="1"/>
  <c r="AT31" i="3"/>
  <c r="AP31" i="3"/>
  <c r="AH31" i="3"/>
  <c r="R31" i="3"/>
  <c r="J31" i="3"/>
  <c r="CX30" i="3"/>
  <c r="BD30" i="3" s="1"/>
  <c r="BK30" i="3" s="1"/>
  <c r="CJ30" i="3"/>
  <c r="CN30" i="3" s="1"/>
  <c r="CF30" i="3"/>
  <c r="CP30" i="3" s="1"/>
  <c r="CB30" i="3"/>
  <c r="BX30" i="3"/>
  <c r="BT30" i="3"/>
  <c r="BP30" i="3"/>
  <c r="BL30" i="3"/>
  <c r="AR30" i="3"/>
  <c r="AN30" i="3"/>
  <c r="AJ30" i="3"/>
  <c r="T30" i="3"/>
  <c r="H30" i="3"/>
  <c r="CL29" i="3"/>
  <c r="CL32" i="3" s="1"/>
  <c r="CH29" i="3"/>
  <c r="CD29" i="3"/>
  <c r="BV29" i="3"/>
  <c r="BN29" i="3"/>
  <c r="BR29" i="3" s="1"/>
  <c r="BF29" i="3"/>
  <c r="AT29" i="3"/>
  <c r="AP29" i="3"/>
  <c r="AH29" i="3"/>
  <c r="AL29" i="3" s="1"/>
  <c r="R29" i="3"/>
  <c r="J29" i="3"/>
  <c r="CX28" i="3"/>
  <c r="CJ28" i="3"/>
  <c r="CF28" i="3"/>
  <c r="CB28" i="3"/>
  <c r="BX28" i="3"/>
  <c r="CR28" i="3" s="1"/>
  <c r="BT28" i="3"/>
  <c r="BP28" i="3"/>
  <c r="BL28" i="3"/>
  <c r="AR28" i="3"/>
  <c r="AV28" i="3" s="1"/>
  <c r="AN28" i="3"/>
  <c r="AJ28" i="3"/>
  <c r="T28" i="3"/>
  <c r="H28" i="3"/>
  <c r="F28" i="3" s="1"/>
  <c r="CL25" i="3"/>
  <c r="CH25" i="3"/>
  <c r="CD25" i="3"/>
  <c r="BV25" i="3"/>
  <c r="BZ25" i="3" s="1"/>
  <c r="BN25" i="3"/>
  <c r="BF25" i="3"/>
  <c r="BF26" i="3" s="1"/>
  <c r="BF27" i="3" s="1"/>
  <c r="AT25" i="3"/>
  <c r="AP25" i="3"/>
  <c r="AH25" i="3"/>
  <c r="AL25" i="3" s="1"/>
  <c r="R25" i="3"/>
  <c r="M25" i="3" s="1"/>
  <c r="J25" i="3"/>
  <c r="CX24" i="3"/>
  <c r="CJ24" i="3"/>
  <c r="CF24" i="3"/>
  <c r="CB24" i="3"/>
  <c r="BX24" i="3"/>
  <c r="BT24" i="3"/>
  <c r="BP24" i="3"/>
  <c r="BL24" i="3"/>
  <c r="AR24" i="3"/>
  <c r="AV24" i="3" s="1"/>
  <c r="AN24" i="3"/>
  <c r="AJ24" i="3"/>
  <c r="T24" i="3"/>
  <c r="H24" i="3"/>
  <c r="F24" i="3" s="1"/>
  <c r="CL23" i="3"/>
  <c r="CH23" i="3"/>
  <c r="CH26" i="3" s="1"/>
  <c r="CD23" i="3"/>
  <c r="BV23" i="3"/>
  <c r="BN23" i="3"/>
  <c r="BR23" i="3" s="1"/>
  <c r="BF23" i="3"/>
  <c r="AT23" i="3"/>
  <c r="AP23" i="3"/>
  <c r="AH23" i="3"/>
  <c r="AL23" i="3" s="1"/>
  <c r="R23" i="3"/>
  <c r="J23" i="3"/>
  <c r="CX22" i="3"/>
  <c r="CJ22" i="3"/>
  <c r="CF22" i="3"/>
  <c r="CB22" i="3"/>
  <c r="CB26" i="3" s="1"/>
  <c r="BX22" i="3"/>
  <c r="BT22" i="3"/>
  <c r="BP22" i="3"/>
  <c r="BL22" i="3"/>
  <c r="AR22" i="3"/>
  <c r="AN22" i="3"/>
  <c r="AJ22" i="3"/>
  <c r="T22" i="3"/>
  <c r="H22" i="3"/>
  <c r="CX20" i="3"/>
  <c r="CJ20" i="3"/>
  <c r="CN20" i="3" s="1"/>
  <c r="CF20" i="3"/>
  <c r="CB20" i="3"/>
  <c r="BX20" i="3"/>
  <c r="BT20" i="3"/>
  <c r="BP20" i="3"/>
  <c r="BL20" i="3"/>
  <c r="AR20" i="3"/>
  <c r="AV20" i="3" s="1"/>
  <c r="AN20" i="3"/>
  <c r="AJ20" i="3"/>
  <c r="T20" i="3"/>
  <c r="H20" i="3"/>
  <c r="CL19" i="3"/>
  <c r="CH19" i="3"/>
  <c r="CD19" i="3"/>
  <c r="BV19" i="3"/>
  <c r="BZ19" i="3" s="1"/>
  <c r="BN19" i="3"/>
  <c r="BR19" i="3" s="1"/>
  <c r="BF19" i="3"/>
  <c r="AT19" i="3"/>
  <c r="AP19" i="3"/>
  <c r="AH19" i="3"/>
  <c r="AL19" i="3" s="1"/>
  <c r="R19" i="3"/>
  <c r="J19" i="3"/>
  <c r="H11" i="3"/>
  <c r="F11" i="3" s="1"/>
  <c r="AM11" i="3"/>
  <c r="BC11" i="3"/>
  <c r="BO11" i="3"/>
  <c r="CA11" i="3"/>
  <c r="CI11" i="3"/>
  <c r="CW11" i="3"/>
  <c r="Q12" i="3"/>
  <c r="AO12" i="3"/>
  <c r="K13" i="3"/>
  <c r="AM13" i="3"/>
  <c r="BC13" i="3"/>
  <c r="BO13" i="3"/>
  <c r="CA13" i="3"/>
  <c r="CI13" i="3"/>
  <c r="CW13" i="3"/>
  <c r="Q14" i="3"/>
  <c r="AO14" i="3"/>
  <c r="Q16" i="3"/>
  <c r="AO16" i="3"/>
  <c r="K17" i="3"/>
  <c r="AI17" i="3"/>
  <c r="AU17" i="3"/>
  <c r="AG17" i="3" s="1"/>
  <c r="BG17" i="3"/>
  <c r="BW17" i="3"/>
  <c r="CE17" i="3"/>
  <c r="CO17" i="3" s="1"/>
  <c r="CM17" i="3"/>
  <c r="I18" i="3"/>
  <c r="AS18" i="3"/>
  <c r="S19" i="3"/>
  <c r="N19" i="3" s="1"/>
  <c r="AN19" i="3"/>
  <c r="BO19" i="3"/>
  <c r="BT19" i="3"/>
  <c r="CE19" i="3"/>
  <c r="CO19" i="3" s="1"/>
  <c r="CT19" i="3" s="1"/>
  <c r="K20" i="3"/>
  <c r="R22" i="3"/>
  <c r="AM22" i="3"/>
  <c r="BC22" i="3"/>
  <c r="BY22" i="3"/>
  <c r="CI22" i="3"/>
  <c r="S24" i="3"/>
  <c r="AO24" i="3"/>
  <c r="BU24" i="3"/>
  <c r="CK24" i="3"/>
  <c r="G25" i="3"/>
  <c r="D25" i="3" s="1"/>
  <c r="AM25" i="3"/>
  <c r="BC25" i="3"/>
  <c r="BC26" i="3" s="1"/>
  <c r="BC27" i="3" s="1"/>
  <c r="BX25" i="3"/>
  <c r="CI25" i="3"/>
  <c r="T29" i="3"/>
  <c r="AO29" i="3"/>
  <c r="R30" i="3"/>
  <c r="AH30" i="3"/>
  <c r="AS30" i="3"/>
  <c r="BY30" i="3"/>
  <c r="CS30" i="3" s="1"/>
  <c r="CI30" i="3"/>
  <c r="AK31" i="3"/>
  <c r="Q33" i="3"/>
  <c r="AM33" i="3"/>
  <c r="S34" i="3"/>
  <c r="BG34" i="3"/>
  <c r="BW34" i="3"/>
  <c r="CE34" i="3"/>
  <c r="CW34" i="3"/>
  <c r="BU35" i="3"/>
  <c r="CK35" i="3"/>
  <c r="AQ39" i="3"/>
  <c r="R40" i="3"/>
  <c r="T42" i="3"/>
  <c r="AJ42" i="3"/>
  <c r="BP42" i="3"/>
  <c r="BX42" i="3"/>
  <c r="CF42" i="3"/>
  <c r="AK45" i="3"/>
  <c r="AS45" i="3"/>
  <c r="BQ45" i="3"/>
  <c r="BQ49" i="3" s="1"/>
  <c r="BY45" i="3"/>
  <c r="CX45" i="3"/>
  <c r="K46" i="3"/>
  <c r="AV46" i="3"/>
  <c r="S47" i="3"/>
  <c r="AN47" i="3"/>
  <c r="BT47" i="3"/>
  <c r="BV47" i="3" s="1"/>
  <c r="AV48" i="3"/>
  <c r="AW50" i="3"/>
  <c r="BM50" i="3"/>
  <c r="BU51" i="3"/>
  <c r="G52" i="3"/>
  <c r="D52" i="3" s="1"/>
  <c r="E52" i="3" s="1"/>
  <c r="T53" i="3"/>
  <c r="I54" i="3"/>
  <c r="BT54" i="3"/>
  <c r="BV54" i="3" s="1"/>
  <c r="BZ54" i="3" s="1"/>
  <c r="CM56" i="3"/>
  <c r="AD56" i="3"/>
  <c r="AW56" i="3"/>
  <c r="AN57" i="3"/>
  <c r="CX57" i="3"/>
  <c r="BQ58" i="3"/>
  <c r="CX58" i="3"/>
  <c r="BO59" i="3"/>
  <c r="BS59" i="3" s="1"/>
  <c r="CV59" i="3"/>
  <c r="I63" i="3"/>
  <c r="BT63" i="3"/>
  <c r="BV63" i="3" s="1"/>
  <c r="AD65" i="3"/>
  <c r="AK67" i="3"/>
  <c r="CA67" i="3"/>
  <c r="CD68" i="3"/>
  <c r="S69" i="3"/>
  <c r="AD69" i="3"/>
  <c r="BO69" i="3"/>
  <c r="CV69" i="3"/>
  <c r="H70" i="3"/>
  <c r="F70" i="3" s="1"/>
  <c r="AD70" i="3"/>
  <c r="AW70" i="3"/>
  <c r="AQ70" i="3"/>
  <c r="I74" i="3"/>
  <c r="BP74" i="3"/>
  <c r="CV75" i="3"/>
  <c r="BW83" i="3"/>
  <c r="BF85" i="3"/>
  <c r="BP86" i="3"/>
  <c r="CA88" i="3"/>
  <c r="CC88" i="3" s="1"/>
  <c r="CA89" i="3"/>
  <c r="J11" i="3"/>
  <c r="R11" i="3"/>
  <c r="AK11" i="3"/>
  <c r="AL11" i="3" s="1"/>
  <c r="AO11" i="3"/>
  <c r="AS11" i="3"/>
  <c r="BM11" i="3"/>
  <c r="BM15" i="3" s="1"/>
  <c r="BQ11" i="3"/>
  <c r="BU11" i="3"/>
  <c r="BY11" i="3"/>
  <c r="CC11" i="3"/>
  <c r="CK11" i="3"/>
  <c r="G12" i="3"/>
  <c r="K12" i="3"/>
  <c r="S12" i="3"/>
  <c r="AI12" i="3"/>
  <c r="AX12" i="3" s="1"/>
  <c r="AM12" i="3"/>
  <c r="AU12" i="3"/>
  <c r="BC12" i="3"/>
  <c r="BG12" i="3"/>
  <c r="BD12" i="3" s="1"/>
  <c r="BK12" i="3" s="1"/>
  <c r="BO12" i="3"/>
  <c r="BS12" i="3" s="1"/>
  <c r="BW12" i="3"/>
  <c r="CA12" i="3"/>
  <c r="CE12" i="3"/>
  <c r="CI12" i="3"/>
  <c r="CM12" i="3"/>
  <c r="CW12" i="3"/>
  <c r="I13" i="3"/>
  <c r="Q13" i="3"/>
  <c r="AK13" i="3"/>
  <c r="AO13" i="3"/>
  <c r="AS13" i="3"/>
  <c r="BM13" i="3"/>
  <c r="BQ13" i="3"/>
  <c r="BU13" i="3"/>
  <c r="BY13" i="3"/>
  <c r="CC13" i="3"/>
  <c r="CG13" i="3" s="1"/>
  <c r="CK13" i="3"/>
  <c r="G14" i="3"/>
  <c r="D14" i="3" s="1"/>
  <c r="K14" i="3"/>
  <c r="S14" i="3"/>
  <c r="AI14" i="3"/>
  <c r="AX14" i="3" s="1"/>
  <c r="AM14" i="3"/>
  <c r="AU14" i="3"/>
  <c r="BC14" i="3"/>
  <c r="BC15" i="3" s="1"/>
  <c r="BG14" i="3"/>
  <c r="BG15" i="3" s="1"/>
  <c r="BO14" i="3"/>
  <c r="BS14" i="3" s="1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I21" i="3" s="1"/>
  <c r="CM16" i="3"/>
  <c r="CW16" i="3"/>
  <c r="I17" i="3"/>
  <c r="Q17" i="3"/>
  <c r="AK17" i="3"/>
  <c r="AZ17" i="3" s="1"/>
  <c r="AO17" i="3"/>
  <c r="AS17" i="3"/>
  <c r="BM17" i="3"/>
  <c r="BQ17" i="3"/>
  <c r="BU17" i="3"/>
  <c r="BY17" i="3"/>
  <c r="BZ17" i="3" s="1"/>
  <c r="CC17" i="3"/>
  <c r="CK17" i="3"/>
  <c r="G18" i="3"/>
  <c r="K18" i="3"/>
  <c r="S18" i="3"/>
  <c r="N18" i="3" s="1"/>
  <c r="AI18" i="3"/>
  <c r="AM18" i="3"/>
  <c r="AU18" i="3"/>
  <c r="AV18" i="3" s="1"/>
  <c r="BC18" i="3"/>
  <c r="BG18" i="3"/>
  <c r="BO18" i="3"/>
  <c r="BW18" i="3"/>
  <c r="CA18" i="3"/>
  <c r="CE18" i="3"/>
  <c r="CO18" i="3" s="1"/>
  <c r="CI18" i="3"/>
  <c r="CM18" i="3"/>
  <c r="CW18" i="3"/>
  <c r="K19" i="3"/>
  <c r="AK19" i="3"/>
  <c r="BG19" i="3"/>
  <c r="BL19" i="3"/>
  <c r="BQ19" i="3"/>
  <c r="BW19" i="3"/>
  <c r="CB19" i="3"/>
  <c r="CM19" i="3"/>
  <c r="CS19" i="3" s="1"/>
  <c r="I20" i="3"/>
  <c r="S20" i="3"/>
  <c r="AI20" i="3"/>
  <c r="AO20" i="3"/>
  <c r="AT20" i="3"/>
  <c r="BO20" i="3"/>
  <c r="BU20" i="3"/>
  <c r="CE20" i="3"/>
  <c r="CK20" i="3"/>
  <c r="CW20" i="3"/>
  <c r="J22" i="3"/>
  <c r="AK22" i="3"/>
  <c r="AP22" i="3"/>
  <c r="AU22" i="3"/>
  <c r="BF22" i="3"/>
  <c r="BQ22" i="3"/>
  <c r="BV22" i="3"/>
  <c r="CA22" i="3"/>
  <c r="CL22" i="3"/>
  <c r="H23" i="3"/>
  <c r="F23" i="3" s="1"/>
  <c r="S23" i="3"/>
  <c r="N23" i="3" s="1"/>
  <c r="AI23" i="3"/>
  <c r="AN23" i="3"/>
  <c r="AS23" i="3"/>
  <c r="BO23" i="3"/>
  <c r="BT23" i="3"/>
  <c r="BY23" i="3"/>
  <c r="CE23" i="3"/>
  <c r="CJ23" i="3"/>
  <c r="CN23" i="3" s="1"/>
  <c r="CW23" i="3"/>
  <c r="K24" i="3"/>
  <c r="Q24" i="3"/>
  <c r="BG24" i="3"/>
  <c r="BM24" i="3"/>
  <c r="BW24" i="3"/>
  <c r="CC24" i="3"/>
  <c r="CH24" i="3"/>
  <c r="CM24" i="3"/>
  <c r="I25" i="3"/>
  <c r="T25" i="3"/>
  <c r="AJ25" i="3"/>
  <c r="AO25" i="3"/>
  <c r="AU25" i="3"/>
  <c r="BP25" i="3"/>
  <c r="BU25" i="3"/>
  <c r="CA25" i="3"/>
  <c r="CF25" i="3"/>
  <c r="CP25" i="3" s="1"/>
  <c r="CK25" i="3"/>
  <c r="CX25" i="3"/>
  <c r="I28" i="3"/>
  <c r="S28" i="3"/>
  <c r="AI28" i="3"/>
  <c r="AO28" i="3"/>
  <c r="AT28" i="3"/>
  <c r="BO28" i="3"/>
  <c r="BU28" i="3"/>
  <c r="BU32" i="3" s="1"/>
  <c r="CE28" i="3"/>
  <c r="CK28" i="3"/>
  <c r="CW28" i="3"/>
  <c r="G29" i="3"/>
  <c r="D29" i="3" s="1"/>
  <c r="Q29" i="3"/>
  <c r="AM29" i="3"/>
  <c r="AR29" i="3"/>
  <c r="BC29" i="3"/>
  <c r="BM29" i="3"/>
  <c r="BX29" i="3"/>
  <c r="CO29" i="3" s="1"/>
  <c r="CT29" i="3" s="1"/>
  <c r="CC29" i="3"/>
  <c r="CI29" i="3"/>
  <c r="J30" i="3"/>
  <c r="AK30" i="3"/>
  <c r="AP30" i="3"/>
  <c r="AU30" i="3"/>
  <c r="BF30" i="3"/>
  <c r="BQ30" i="3"/>
  <c r="BV30" i="3"/>
  <c r="CA30" i="3"/>
  <c r="CL30" i="3"/>
  <c r="H31" i="3"/>
  <c r="S31" i="3"/>
  <c r="N31" i="3" s="1"/>
  <c r="AI31" i="3"/>
  <c r="AN31" i="3"/>
  <c r="AS31" i="3"/>
  <c r="BO31" i="3"/>
  <c r="BS31" i="3" s="1"/>
  <c r="BT31" i="3"/>
  <c r="BY31" i="3"/>
  <c r="CP31" i="3" s="1"/>
  <c r="CE31" i="3"/>
  <c r="CJ31" i="3"/>
  <c r="CW31" i="3"/>
  <c r="I33" i="3"/>
  <c r="T33" i="3"/>
  <c r="AJ33" i="3"/>
  <c r="AO33" i="3"/>
  <c r="AU33" i="3"/>
  <c r="BP33" i="3"/>
  <c r="BU33" i="3"/>
  <c r="CA33" i="3"/>
  <c r="CF33" i="3"/>
  <c r="CK33" i="3"/>
  <c r="G34" i="3"/>
  <c r="AM34" i="3"/>
  <c r="AU34" i="3"/>
  <c r="BC34" i="3"/>
  <c r="CA34" i="3"/>
  <c r="CI34" i="3"/>
  <c r="AK35" i="3"/>
  <c r="AL35" i="3" s="1"/>
  <c r="AS35" i="3"/>
  <c r="BQ35" i="3"/>
  <c r="BY35" i="3"/>
  <c r="CX35" i="3"/>
  <c r="BD35" i="3" s="1"/>
  <c r="J36" i="3"/>
  <c r="R36" i="3"/>
  <c r="AP36" i="3"/>
  <c r="BF36" i="3"/>
  <c r="BN36" i="3"/>
  <c r="CD36" i="3"/>
  <c r="CL36" i="3"/>
  <c r="J37" i="3"/>
  <c r="R37" i="3"/>
  <c r="AP37" i="3"/>
  <c r="BF37" i="3"/>
  <c r="BF38" i="3" s="1"/>
  <c r="BN37" i="3"/>
  <c r="CD37" i="3"/>
  <c r="CL37" i="3"/>
  <c r="AD39" i="3"/>
  <c r="AT39" i="3"/>
  <c r="CH39" i="3"/>
  <c r="AT40" i="3"/>
  <c r="CH40" i="3"/>
  <c r="CJ40" i="3" s="1"/>
  <c r="CN40" i="3" s="1"/>
  <c r="T41" i="3"/>
  <c r="AI41" i="3"/>
  <c r="BG41" i="3"/>
  <c r="BO41" i="3"/>
  <c r="BW41" i="3"/>
  <c r="CE41" i="3"/>
  <c r="CO41" i="3" s="1"/>
  <c r="CM41" i="3"/>
  <c r="CS41" i="3" s="1"/>
  <c r="CV41" i="3"/>
  <c r="H42" i="3"/>
  <c r="F42" i="3" s="1"/>
  <c r="AN42" i="3"/>
  <c r="BL42" i="3"/>
  <c r="BT42" i="3"/>
  <c r="BV42" i="3" s="1"/>
  <c r="CB42" i="3"/>
  <c r="I45" i="3"/>
  <c r="AO45" i="3"/>
  <c r="BM45" i="3"/>
  <c r="BM49" i="3" s="1"/>
  <c r="BU45" i="3"/>
  <c r="CK45" i="3"/>
  <c r="G46" i="3"/>
  <c r="D46" i="3" s="1"/>
  <c r="E46" i="3" s="1"/>
  <c r="AW46" i="3"/>
  <c r="AU46" i="3"/>
  <c r="BC46" i="3"/>
  <c r="CA46" i="3"/>
  <c r="CC46" i="3" s="1"/>
  <c r="CG46" i="3" s="1"/>
  <c r="CI46" i="3"/>
  <c r="G47" i="3"/>
  <c r="AJ47" i="3"/>
  <c r="BP47" i="3"/>
  <c r="BY47" i="3"/>
  <c r="CV47" i="3"/>
  <c r="AD48" i="3"/>
  <c r="AS48" i="3"/>
  <c r="BY48" i="3"/>
  <c r="I50" i="3"/>
  <c r="AO50" i="3"/>
  <c r="BU50" i="3"/>
  <c r="CK50" i="3"/>
  <c r="CK55" i="3" s="1"/>
  <c r="BM51" i="3"/>
  <c r="AT52" i="3"/>
  <c r="AJ53" i="3"/>
  <c r="BP53" i="3"/>
  <c r="CF53" i="3"/>
  <c r="BL54" i="3"/>
  <c r="CB54" i="3"/>
  <c r="K56" i="3"/>
  <c r="K60" i="3" s="1"/>
  <c r="AN56" i="3"/>
  <c r="BO56" i="3"/>
  <c r="CE56" i="3"/>
  <c r="CV56" i="3"/>
  <c r="AS57" i="3"/>
  <c r="BY57" i="3"/>
  <c r="AS58" i="3"/>
  <c r="BY58" i="3"/>
  <c r="AQ58" i="3"/>
  <c r="AW58" i="3"/>
  <c r="AD58" i="3"/>
  <c r="R59" i="3"/>
  <c r="AL59" i="3"/>
  <c r="BG59" i="3"/>
  <c r="BG60" i="3" s="1"/>
  <c r="BG61" i="3" s="1"/>
  <c r="BW59" i="3"/>
  <c r="CM59" i="3"/>
  <c r="CS59" i="3" s="1"/>
  <c r="AJ62" i="3"/>
  <c r="BP62" i="3"/>
  <c r="CF62" i="3"/>
  <c r="BL63" i="3"/>
  <c r="CB63" i="3"/>
  <c r="CH64" i="3"/>
  <c r="CJ64" i="3" s="1"/>
  <c r="CN64" i="3" s="1"/>
  <c r="AI65" i="3"/>
  <c r="AT65" i="3"/>
  <c r="AU67" i="3"/>
  <c r="AV67" i="3" s="1"/>
  <c r="BP67" i="3"/>
  <c r="CK67" i="3"/>
  <c r="CK72" i="3" s="1"/>
  <c r="AH67" i="3"/>
  <c r="DA67" i="3"/>
  <c r="AM67" i="3" s="1"/>
  <c r="AV68" i="3"/>
  <c r="BN68" i="3"/>
  <c r="BR68" i="3" s="1"/>
  <c r="CE69" i="3"/>
  <c r="CO69" i="3" s="1"/>
  <c r="AU70" i="3"/>
  <c r="AV70" i="3" s="1"/>
  <c r="CA70" i="3"/>
  <c r="CC70" i="3" s="1"/>
  <c r="AV71" i="3"/>
  <c r="BX71" i="3"/>
  <c r="AJ73" i="3"/>
  <c r="BC73" i="3"/>
  <c r="CI73" i="3"/>
  <c r="CF74" i="3"/>
  <c r="CP74" i="3" s="1"/>
  <c r="BX75" i="3"/>
  <c r="BO80" i="3"/>
  <c r="S83" i="3"/>
  <c r="BU93" i="3"/>
  <c r="AL54" i="3"/>
  <c r="DA57" i="3"/>
  <c r="AM57" i="3" s="1"/>
  <c r="AL63" i="3"/>
  <c r="AW65" i="3"/>
  <c r="AV74" i="3"/>
  <c r="DA74" i="3"/>
  <c r="AM74" i="3" s="1"/>
  <c r="AV80" i="3"/>
  <c r="AD82" i="3"/>
  <c r="AW85" i="3"/>
  <c r="AQ85" i="3"/>
  <c r="AD85" i="3"/>
  <c r="AQ48" i="3"/>
  <c r="AV51" i="3"/>
  <c r="AV52" i="3"/>
  <c r="AL57" i="3"/>
  <c r="AW59" i="3"/>
  <c r="AQ64" i="3"/>
  <c r="AQ68" i="3"/>
  <c r="AD68" i="3"/>
  <c r="AL74" i="3"/>
  <c r="AD80" i="3"/>
  <c r="AW80" i="3"/>
  <c r="AQ81" i="3"/>
  <c r="AD81" i="3"/>
  <c r="AW81" i="3"/>
  <c r="AV91" i="3"/>
  <c r="AL73" i="3"/>
  <c r="AL87" i="3"/>
  <c r="AW87" i="3"/>
  <c r="AL56" i="3"/>
  <c r="AL62" i="3"/>
  <c r="AW69" i="3"/>
  <c r="AQ75" i="3"/>
  <c r="AV92" i="3"/>
  <c r="AV93" i="3"/>
  <c r="AD93" i="3"/>
  <c r="DA76" i="3"/>
  <c r="AM76" i="3" s="1"/>
  <c r="AL81" i="3"/>
  <c r="AW83" i="3"/>
  <c r="AV86" i="3"/>
  <c r="AL88" i="3"/>
  <c r="AD92" i="3"/>
  <c r="AQ92" i="3"/>
  <c r="AW92" i="3"/>
  <c r="AL76" i="3"/>
  <c r="AV85" i="3"/>
  <c r="AH86" i="3"/>
  <c r="DA86" i="3"/>
  <c r="AM86" i="3" s="1"/>
  <c r="AV87" i="3"/>
  <c r="AV89" i="3"/>
  <c r="AW89" i="3"/>
  <c r="AD94" i="3"/>
  <c r="AW94" i="3"/>
  <c r="DA88" i="3"/>
  <c r="AM88" i="3" s="1"/>
  <c r="DA91" i="3"/>
  <c r="AM91" i="3" s="1"/>
  <c r="AL92" i="3"/>
  <c r="AV94" i="3"/>
  <c r="AL94" i="3"/>
  <c r="CD15" i="3" l="1"/>
  <c r="CB15" i="3"/>
  <c r="CJ82" i="3"/>
  <c r="CN82" i="3" s="1"/>
  <c r="D82" i="3"/>
  <c r="E82" i="3" s="1"/>
  <c r="CP89" i="3"/>
  <c r="CP82" i="3"/>
  <c r="CJ87" i="3"/>
  <c r="CN87" i="3" s="1"/>
  <c r="CD95" i="3"/>
  <c r="BV88" i="3"/>
  <c r="N83" i="3"/>
  <c r="CB72" i="3"/>
  <c r="BL43" i="3"/>
  <c r="CN41" i="3"/>
  <c r="N42" i="3"/>
  <c r="BL49" i="3"/>
  <c r="CP57" i="3"/>
  <c r="BD53" i="3"/>
  <c r="BU60" i="3"/>
  <c r="CP59" i="3"/>
  <c r="CQ59" i="3" s="1"/>
  <c r="CS64" i="3"/>
  <c r="BV71" i="3"/>
  <c r="CK77" i="3"/>
  <c r="CD77" i="3"/>
  <c r="CB84" i="3"/>
  <c r="BV57" i="3"/>
  <c r="BZ57" i="3" s="1"/>
  <c r="BM26" i="3"/>
  <c r="BV35" i="3"/>
  <c r="BZ35" i="3" s="1"/>
  <c r="BL15" i="3"/>
  <c r="AL30" i="3"/>
  <c r="BD76" i="3"/>
  <c r="BK76" i="3" s="1"/>
  <c r="BV83" i="3"/>
  <c r="CB90" i="3"/>
  <c r="BS81" i="3"/>
  <c r="CD90" i="3"/>
  <c r="CS89" i="3"/>
  <c r="BV93" i="3"/>
  <c r="BZ93" i="3" s="1"/>
  <c r="BZ12" i="3"/>
  <c r="BS23" i="3"/>
  <c r="BW21" i="3"/>
  <c r="N12" i="3"/>
  <c r="CG70" i="3"/>
  <c r="CA38" i="3"/>
  <c r="CG24" i="3"/>
  <c r="CO23" i="3"/>
  <c r="BQ26" i="3"/>
  <c r="CO20" i="3"/>
  <c r="CG17" i="3"/>
  <c r="N69" i="3"/>
  <c r="BV36" i="3"/>
  <c r="BZ36" i="3" s="1"/>
  <c r="BS42" i="3"/>
  <c r="CO52" i="3"/>
  <c r="N51" i="3"/>
  <c r="CO51" i="3"/>
  <c r="CT51" i="3" s="1"/>
  <c r="BL77" i="3"/>
  <c r="CN48" i="3"/>
  <c r="CK43" i="3"/>
  <c r="BS18" i="3"/>
  <c r="CS14" i="3"/>
  <c r="CG88" i="3"/>
  <c r="CO34" i="3"/>
  <c r="CP20" i="3"/>
  <c r="CQ20" i="3" s="1"/>
  <c r="BL26" i="3"/>
  <c r="CP37" i="3"/>
  <c r="CJ42" i="3"/>
  <c r="CN42" i="3" s="1"/>
  <c r="BY55" i="3"/>
  <c r="BP60" i="3"/>
  <c r="CO89" i="3"/>
  <c r="CT89" i="3" s="1"/>
  <c r="N35" i="3"/>
  <c r="BD46" i="3"/>
  <c r="BK46" i="3" s="1"/>
  <c r="BL55" i="3"/>
  <c r="BS52" i="3"/>
  <c r="CI60" i="3"/>
  <c r="K66" i="3"/>
  <c r="K78" i="3" s="1"/>
  <c r="BV70" i="3"/>
  <c r="BZ70" i="3" s="1"/>
  <c r="CJ57" i="3"/>
  <c r="CN57" i="3" s="1"/>
  <c r="N58" i="3"/>
  <c r="BS64" i="3"/>
  <c r="N57" i="3"/>
  <c r="CP64" i="3"/>
  <c r="D69" i="3"/>
  <c r="E69" i="3" s="1"/>
  <c r="CJ71" i="3"/>
  <c r="CN71" i="3" s="1"/>
  <c r="CO75" i="3"/>
  <c r="CT75" i="3" s="1"/>
  <c r="CG83" i="3"/>
  <c r="BD69" i="3"/>
  <c r="CJ70" i="3"/>
  <c r="CN70" i="3" s="1"/>
  <c r="CO71" i="3"/>
  <c r="CT71" i="3" s="1"/>
  <c r="BD75" i="3"/>
  <c r="BK75" i="3" s="1"/>
  <c r="BL90" i="3"/>
  <c r="D87" i="3"/>
  <c r="BR88" i="3"/>
  <c r="CS86" i="3"/>
  <c r="BV87" i="3"/>
  <c r="N88" i="3"/>
  <c r="BS88" i="3"/>
  <c r="BR89" i="3"/>
  <c r="CS65" i="3"/>
  <c r="CN17" i="3"/>
  <c r="BT21" i="3"/>
  <c r="CS34" i="3"/>
  <c r="BD33" i="3"/>
  <c r="BK33" i="3" s="1"/>
  <c r="BM38" i="3"/>
  <c r="CS31" i="3"/>
  <c r="BD29" i="3"/>
  <c r="BW32" i="3"/>
  <c r="CG14" i="3"/>
  <c r="BD16" i="3"/>
  <c r="BK16" i="3" s="1"/>
  <c r="D40" i="3"/>
  <c r="E40" i="3" s="1"/>
  <c r="AV19" i="3"/>
  <c r="CG19" i="3"/>
  <c r="AV14" i="3"/>
  <c r="D34" i="3"/>
  <c r="E34" i="3" s="1"/>
  <c r="AA31" i="3"/>
  <c r="BZ30" i="3"/>
  <c r="CG29" i="3"/>
  <c r="AV29" i="3"/>
  <c r="D12" i="3"/>
  <c r="BZ63" i="3"/>
  <c r="BZ23" i="3"/>
  <c r="BD24" i="3"/>
  <c r="BK24" i="3" s="1"/>
  <c r="BD28" i="3"/>
  <c r="BK28" i="3" s="1"/>
  <c r="CD38" i="3"/>
  <c r="BL38" i="3"/>
  <c r="CJ35" i="3"/>
  <c r="CN35" i="3" s="1"/>
  <c r="CT36" i="3"/>
  <c r="K43" i="3"/>
  <c r="BD41" i="3"/>
  <c r="BK41" i="3" s="1"/>
  <c r="K49" i="3"/>
  <c r="BQ55" i="3"/>
  <c r="CC53" i="3"/>
  <c r="CG53" i="3" s="1"/>
  <c r="CS69" i="3"/>
  <c r="CT69" i="3" s="1"/>
  <c r="J90" i="3"/>
  <c r="CN47" i="3"/>
  <c r="N48" i="3"/>
  <c r="AA48" i="3" s="1"/>
  <c r="CO48" i="3"/>
  <c r="J55" i="3"/>
  <c r="CN63" i="3"/>
  <c r="N64" i="3"/>
  <c r="AA64" i="3" s="1"/>
  <c r="CO64" i="3"/>
  <c r="CT64" i="3" s="1"/>
  <c r="BM72" i="3"/>
  <c r="CJ68" i="3"/>
  <c r="CN68" i="3" s="1"/>
  <c r="CS75" i="3"/>
  <c r="CP51" i="3"/>
  <c r="CO63" i="3"/>
  <c r="CC69" i="3"/>
  <c r="CG69" i="3" s="1"/>
  <c r="BW77" i="3"/>
  <c r="BW84" i="3"/>
  <c r="CS68" i="3"/>
  <c r="BV69" i="3"/>
  <c r="BZ69" i="3" s="1"/>
  <c r="BD81" i="3"/>
  <c r="BK81" i="3" s="1"/>
  <c r="BR83" i="3"/>
  <c r="BZ89" i="3"/>
  <c r="BQ84" i="3"/>
  <c r="BD80" i="3"/>
  <c r="BK80" i="3" s="1"/>
  <c r="CC82" i="3"/>
  <c r="CG82" i="3" s="1"/>
  <c r="D76" i="3"/>
  <c r="CS76" i="3"/>
  <c r="D81" i="3"/>
  <c r="BV82" i="3"/>
  <c r="BZ82" i="3" s="1"/>
  <c r="CO92" i="3"/>
  <c r="CS94" i="3"/>
  <c r="CT94" i="3" s="1"/>
  <c r="BS86" i="3"/>
  <c r="BX95" i="3"/>
  <c r="BS93" i="3"/>
  <c r="CJ94" i="3"/>
  <c r="BS53" i="3"/>
  <c r="BS40" i="3"/>
  <c r="CP19" i="3"/>
  <c r="AV25" i="3"/>
  <c r="BS24" i="3"/>
  <c r="CS23" i="3"/>
  <c r="CT23" i="3" s="1"/>
  <c r="CD26" i="3"/>
  <c r="CP41" i="3"/>
  <c r="CO37" i="3"/>
  <c r="CT37" i="3" s="1"/>
  <c r="CN29" i="3"/>
  <c r="BZ13" i="3"/>
  <c r="BS65" i="3"/>
  <c r="BR17" i="3"/>
  <c r="BL21" i="3"/>
  <c r="BL27" i="3" s="1"/>
  <c r="CN14" i="3"/>
  <c r="AA83" i="3"/>
  <c r="BI41" i="3"/>
  <c r="X42" i="3"/>
  <c r="X43" i="3" s="1"/>
  <c r="X44" i="3" s="1"/>
  <c r="O41" i="3"/>
  <c r="CJ39" i="3"/>
  <c r="CH43" i="3"/>
  <c r="AG37" i="3"/>
  <c r="AZ37" i="3"/>
  <c r="AQ37" i="3"/>
  <c r="AZ36" i="3"/>
  <c r="AG36" i="3"/>
  <c r="AW34" i="3"/>
  <c r="AD34" i="3"/>
  <c r="AQ34" i="3"/>
  <c r="CW32" i="3"/>
  <c r="CY31" i="3"/>
  <c r="BA31" i="3"/>
  <c r="BZ22" i="3"/>
  <c r="BV26" i="3"/>
  <c r="CM21" i="3"/>
  <c r="CS21" i="3" s="1"/>
  <c r="CS16" i="3"/>
  <c r="K21" i="3"/>
  <c r="AQ14" i="3"/>
  <c r="AD14" i="3"/>
  <c r="AW14" i="3"/>
  <c r="AF13" i="3"/>
  <c r="AY13" i="3"/>
  <c r="CC15" i="3"/>
  <c r="CG11" i="3"/>
  <c r="W12" i="3"/>
  <c r="M11" i="3"/>
  <c r="R15" i="3"/>
  <c r="AI15" i="3" s="1"/>
  <c r="AE57" i="3"/>
  <c r="AX57" i="3"/>
  <c r="BH33" i="3"/>
  <c r="L33" i="3"/>
  <c r="U33" i="3"/>
  <c r="AF24" i="3"/>
  <c r="AY24" i="3"/>
  <c r="AY14" i="3"/>
  <c r="AF14" i="3"/>
  <c r="AW11" i="3"/>
  <c r="AQ11" i="3"/>
  <c r="AD11" i="3"/>
  <c r="T26" i="3"/>
  <c r="X23" i="3"/>
  <c r="O22" i="3"/>
  <c r="AZ25" i="3"/>
  <c r="AG25" i="3"/>
  <c r="BR25" i="3"/>
  <c r="AX28" i="3"/>
  <c r="AE28" i="3"/>
  <c r="BT32" i="3"/>
  <c r="R38" i="3"/>
  <c r="M33" i="3"/>
  <c r="CA49" i="3"/>
  <c r="CC45" i="3"/>
  <c r="AE46" i="3"/>
  <c r="AX46" i="3"/>
  <c r="M51" i="3"/>
  <c r="W52" i="3"/>
  <c r="CR52" i="3"/>
  <c r="CQ52" i="3"/>
  <c r="T72" i="3"/>
  <c r="X68" i="3"/>
  <c r="O67" i="3"/>
  <c r="X87" i="3"/>
  <c r="O86" i="3"/>
  <c r="BI86" i="3"/>
  <c r="X37" i="3"/>
  <c r="X38" i="3" s="1"/>
  <c r="O36" i="3"/>
  <c r="AB36" i="3" s="1"/>
  <c r="BI36" i="3"/>
  <c r="BT66" i="3"/>
  <c r="BV62" i="3"/>
  <c r="W65" i="3"/>
  <c r="W66" i="3" s="1"/>
  <c r="M64" i="3"/>
  <c r="CR65" i="3"/>
  <c r="CQ65" i="3"/>
  <c r="M69" i="3"/>
  <c r="Z69" i="3" s="1"/>
  <c r="W70" i="3"/>
  <c r="AF75" i="3"/>
  <c r="AY75" i="3"/>
  <c r="AG89" i="3"/>
  <c r="AZ89" i="3"/>
  <c r="AF62" i="3"/>
  <c r="AY62" i="3"/>
  <c r="BU66" i="3"/>
  <c r="O70" i="3"/>
  <c r="X71" i="3"/>
  <c r="X72" i="3" s="1"/>
  <c r="W88" i="3"/>
  <c r="M87" i="3"/>
  <c r="S55" i="3"/>
  <c r="AO55" i="3" s="1"/>
  <c r="N50" i="3"/>
  <c r="CE55" i="3"/>
  <c r="CO50" i="3"/>
  <c r="J60" i="3"/>
  <c r="CH60" i="3"/>
  <c r="CJ56" i="3"/>
  <c r="AF59" i="3"/>
  <c r="AY59" i="3"/>
  <c r="AA63" i="3"/>
  <c r="AZ68" i="3"/>
  <c r="AG68" i="3"/>
  <c r="T77" i="3"/>
  <c r="X74" i="3"/>
  <c r="O73" i="3"/>
  <c r="CB77" i="3"/>
  <c r="AX85" i="3"/>
  <c r="AE85" i="3"/>
  <c r="CL72" i="3"/>
  <c r="CR67" i="3"/>
  <c r="BI69" i="3"/>
  <c r="O69" i="3"/>
  <c r="X70" i="3"/>
  <c r="W73" i="3"/>
  <c r="M71" i="3"/>
  <c r="CQ74" i="3"/>
  <c r="CR74" i="3"/>
  <c r="CR89" i="3"/>
  <c r="CQ89" i="3"/>
  <c r="AZ82" i="3"/>
  <c r="AG82" i="3"/>
  <c r="CR80" i="3"/>
  <c r="CL84" i="3"/>
  <c r="W89" i="3"/>
  <c r="W90" i="3" s="1"/>
  <c r="M88" i="3"/>
  <c r="X88" i="3"/>
  <c r="O87" i="3"/>
  <c r="BI87" i="3"/>
  <c r="AF92" i="3"/>
  <c r="AY92" i="3"/>
  <c r="BZ88" i="3"/>
  <c r="CH95" i="3"/>
  <c r="CJ92" i="3"/>
  <c r="CN92" i="3" s="1"/>
  <c r="BV76" i="3"/>
  <c r="BZ76" i="3" s="1"/>
  <c r="CF55" i="3"/>
  <c r="CP50" i="3"/>
  <c r="CJ46" i="3"/>
  <c r="CN46" i="3" s="1"/>
  <c r="BQ43" i="3"/>
  <c r="D37" i="3"/>
  <c r="E37" i="3" s="1"/>
  <c r="CP35" i="3"/>
  <c r="X36" i="3"/>
  <c r="O35" i="3"/>
  <c r="BI35" i="3"/>
  <c r="BS33" i="3"/>
  <c r="BO38" i="3"/>
  <c r="BR28" i="3"/>
  <c r="BN32" i="3"/>
  <c r="AZ24" i="3"/>
  <c r="AG24" i="3"/>
  <c r="N22" i="3"/>
  <c r="S26" i="3"/>
  <c r="AO26" i="3" s="1"/>
  <c r="CL21" i="3"/>
  <c r="CQ16" i="3"/>
  <c r="CR16" i="3"/>
  <c r="AG16" i="3"/>
  <c r="AZ16" i="3"/>
  <c r="AY74" i="3"/>
  <c r="AF74" i="3"/>
  <c r="N56" i="3"/>
  <c r="S60" i="3"/>
  <c r="AO60" i="3" s="1"/>
  <c r="BR30" i="3"/>
  <c r="D22" i="3"/>
  <c r="G26" i="3"/>
  <c r="I26" i="3" s="1"/>
  <c r="CK21" i="3"/>
  <c r="BQ21" i="3"/>
  <c r="N13" i="3"/>
  <c r="AA13" i="3" s="1"/>
  <c r="O16" i="3"/>
  <c r="X17" i="3"/>
  <c r="T21" i="3"/>
  <c r="BI16" i="3"/>
  <c r="K15" i="3"/>
  <c r="W59" i="3"/>
  <c r="W60" i="3" s="1"/>
  <c r="W61" i="3" s="1"/>
  <c r="M58" i="3"/>
  <c r="BW72" i="3"/>
  <c r="CJ21" i="3"/>
  <c r="BS29" i="3"/>
  <c r="AQ82" i="3"/>
  <c r="BP72" i="3"/>
  <c r="BS41" i="3"/>
  <c r="AZ30" i="3"/>
  <c r="AG30" i="3"/>
  <c r="BS28" i="3"/>
  <c r="BO32" i="3"/>
  <c r="CY18" i="3"/>
  <c r="BA18" i="3"/>
  <c r="U17" i="3"/>
  <c r="V18" i="3"/>
  <c r="L17" i="3"/>
  <c r="AQ16" i="3"/>
  <c r="AD16" i="3"/>
  <c r="AW16" i="3"/>
  <c r="CO14" i="3"/>
  <c r="CS12" i="3"/>
  <c r="J15" i="3"/>
  <c r="N24" i="3"/>
  <c r="AA24" i="3" s="1"/>
  <c r="AY12" i="3"/>
  <c r="AF12" i="3"/>
  <c r="AA12" i="3" s="1"/>
  <c r="CA15" i="3"/>
  <c r="AZ19" i="3"/>
  <c r="AG19" i="3"/>
  <c r="AX20" i="3"/>
  <c r="AE20" i="3"/>
  <c r="BP26" i="3"/>
  <c r="M23" i="3"/>
  <c r="W24" i="3"/>
  <c r="X25" i="3"/>
  <c r="X26" i="3" s="1"/>
  <c r="X27" i="3" s="1"/>
  <c r="O24" i="3"/>
  <c r="BI24" i="3"/>
  <c r="CH38" i="3"/>
  <c r="CQ35" i="3"/>
  <c r="CR35" i="3"/>
  <c r="X39" i="3"/>
  <c r="O37" i="3"/>
  <c r="AB37" i="3" s="1"/>
  <c r="S43" i="3"/>
  <c r="AO43" i="3" s="1"/>
  <c r="N39" i="3"/>
  <c r="CE43" i="3"/>
  <c r="CO39" i="3"/>
  <c r="AY41" i="3"/>
  <c r="AF41" i="3"/>
  <c r="S49" i="3"/>
  <c r="AJ49" i="3" s="1"/>
  <c r="N45" i="3"/>
  <c r="CE49" i="3"/>
  <c r="CO45" i="3"/>
  <c r="AF47" i="3"/>
  <c r="AY47" i="3"/>
  <c r="AZ51" i="3"/>
  <c r="AG51" i="3"/>
  <c r="AY57" i="3"/>
  <c r="AF57" i="3"/>
  <c r="CC65" i="3"/>
  <c r="CG65" i="3" s="1"/>
  <c r="CM72" i="3"/>
  <c r="CS67" i="3"/>
  <c r="BX84" i="3"/>
  <c r="BX96" i="3" s="1"/>
  <c r="AF34" i="3"/>
  <c r="AY34" i="3"/>
  <c r="T43" i="3"/>
  <c r="AK43" i="3" s="1"/>
  <c r="X40" i="3"/>
  <c r="O39" i="3"/>
  <c r="BP43" i="3"/>
  <c r="CR41" i="3"/>
  <c r="CQ41" i="3"/>
  <c r="T49" i="3"/>
  <c r="X46" i="3"/>
  <c r="O45" i="3"/>
  <c r="BI45" i="3"/>
  <c r="CF49" i="3"/>
  <c r="CP45" i="3"/>
  <c r="CS47" i="3"/>
  <c r="AZ48" i="3"/>
  <c r="AG48" i="3"/>
  <c r="X58" i="3"/>
  <c r="O57" i="3"/>
  <c r="BI57" i="3"/>
  <c r="N62" i="3"/>
  <c r="S66" i="3"/>
  <c r="K72" i="3"/>
  <c r="W69" i="3"/>
  <c r="M68" i="3"/>
  <c r="J95" i="3"/>
  <c r="BS48" i="3"/>
  <c r="CQ50" i="3"/>
  <c r="CL55" i="3"/>
  <c r="CR50" i="3"/>
  <c r="BI52" i="3"/>
  <c r="X53" i="3"/>
  <c r="O52" i="3"/>
  <c r="M54" i="3"/>
  <c r="W56" i="3"/>
  <c r="BY60" i="3"/>
  <c r="W58" i="3"/>
  <c r="M57" i="3"/>
  <c r="Z57" i="3" s="1"/>
  <c r="CQ63" i="3"/>
  <c r="CR63" i="3"/>
  <c r="X67" i="3"/>
  <c r="O65" i="3"/>
  <c r="K77" i="3"/>
  <c r="BZ73" i="3"/>
  <c r="W76" i="3"/>
  <c r="W77" i="3" s="1"/>
  <c r="W78" i="3" s="1"/>
  <c r="W79" i="3" s="1"/>
  <c r="M75" i="3"/>
  <c r="W80" i="3"/>
  <c r="CP48" i="3"/>
  <c r="CQ48" i="3" s="1"/>
  <c r="X52" i="3"/>
  <c r="O51" i="3"/>
  <c r="AB51" i="3" s="1"/>
  <c r="W54" i="3"/>
  <c r="W55" i="3" s="1"/>
  <c r="M53" i="3"/>
  <c r="BS54" i="3"/>
  <c r="CL60" i="3"/>
  <c r="CR56" i="3"/>
  <c r="X59" i="3"/>
  <c r="X60" i="3" s="1"/>
  <c r="X61" i="3" s="1"/>
  <c r="O58" i="3"/>
  <c r="BI58" i="3"/>
  <c r="R66" i="3"/>
  <c r="AI66" i="3" s="1"/>
  <c r="W63" i="3"/>
  <c r="M62" i="3"/>
  <c r="BS63" i="3"/>
  <c r="S72" i="3"/>
  <c r="AO72" i="3" s="1"/>
  <c r="N67" i="3"/>
  <c r="CE77" i="3"/>
  <c r="CO77" i="3" s="1"/>
  <c r="CO73" i="3"/>
  <c r="CM84" i="3"/>
  <c r="CS80" i="3"/>
  <c r="AG67" i="3"/>
  <c r="AZ67" i="3"/>
  <c r="D68" i="3"/>
  <c r="E68" i="3" s="1"/>
  <c r="AG74" i="3"/>
  <c r="AZ74" i="3"/>
  <c r="BR74" i="3"/>
  <c r="AF82" i="3"/>
  <c r="AY82" i="3"/>
  <c r="X91" i="3"/>
  <c r="O89" i="3"/>
  <c r="CJ73" i="3"/>
  <c r="CQ75" i="3"/>
  <c r="CR75" i="3"/>
  <c r="CF90" i="3"/>
  <c r="CP85" i="3"/>
  <c r="CQ85" i="3" s="1"/>
  <c r="AF80" i="3"/>
  <c r="AY80" i="3"/>
  <c r="BU84" i="3"/>
  <c r="CJ81" i="3"/>
  <c r="CN81" i="3" s="1"/>
  <c r="CG91" i="3"/>
  <c r="BN84" i="3"/>
  <c r="BR80" i="3"/>
  <c r="CI90" i="3"/>
  <c r="AF85" i="3"/>
  <c r="AY85" i="3"/>
  <c r="BU90" i="3"/>
  <c r="CQ87" i="3"/>
  <c r="CR87" i="3"/>
  <c r="CJ89" i="3"/>
  <c r="CN89" i="3" s="1"/>
  <c r="CM95" i="3"/>
  <c r="CS91" i="3"/>
  <c r="BN95" i="3"/>
  <c r="BR91" i="3"/>
  <c r="CC87" i="3"/>
  <c r="CG87" i="3" s="1"/>
  <c r="AX88" i="3"/>
  <c r="AE88" i="3"/>
  <c r="CX90" i="3"/>
  <c r="BD89" i="3"/>
  <c r="AX91" i="3"/>
  <c r="AE91" i="3"/>
  <c r="F93" i="3"/>
  <c r="CR92" i="3"/>
  <c r="CQ92" i="3"/>
  <c r="BZ94" i="3"/>
  <c r="AQ71" i="3"/>
  <c r="AD71" i="3"/>
  <c r="AW71" i="3"/>
  <c r="F73" i="3"/>
  <c r="CE66" i="3"/>
  <c r="CO62" i="3"/>
  <c r="CR58" i="3"/>
  <c r="BP55" i="3"/>
  <c r="BV41" i="3"/>
  <c r="BZ41" i="3" s="1"/>
  <c r="CS40" i="3"/>
  <c r="CO33" i="3"/>
  <c r="CE38" i="3"/>
  <c r="V33" i="3"/>
  <c r="BH31" i="3"/>
  <c r="L31" i="3"/>
  <c r="U31" i="3"/>
  <c r="AF30" i="3"/>
  <c r="AY30" i="3"/>
  <c r="CI32" i="3"/>
  <c r="BR20" i="3"/>
  <c r="CH21" i="3"/>
  <c r="CH27" i="3" s="1"/>
  <c r="AL16" i="3"/>
  <c r="AL14" i="3"/>
  <c r="CQ12" i="3"/>
  <c r="CR12" i="3"/>
  <c r="AG12" i="3"/>
  <c r="AZ12" i="3"/>
  <c r="I15" i="3"/>
  <c r="CN65" i="3"/>
  <c r="AY54" i="3"/>
  <c r="AF54" i="3"/>
  <c r="AA54" i="3" s="1"/>
  <c r="CR40" i="3"/>
  <c r="BR39" i="3"/>
  <c r="BN43" i="3"/>
  <c r="BR43" i="3" s="1"/>
  <c r="BS34" i="3"/>
  <c r="CI38" i="3"/>
  <c r="K32" i="3"/>
  <c r="L25" i="3"/>
  <c r="U25" i="3"/>
  <c r="BN26" i="3"/>
  <c r="BR22" i="3"/>
  <c r="CY19" i="3"/>
  <c r="BA19" i="3"/>
  <c r="AY18" i="3"/>
  <c r="AF18" i="3"/>
  <c r="AA18" i="3" s="1"/>
  <c r="CC21" i="3"/>
  <c r="CG16" i="3"/>
  <c r="D13" i="3"/>
  <c r="E13" i="3" s="1"/>
  <c r="BI11" i="3"/>
  <c r="T15" i="3"/>
  <c r="X12" i="3"/>
  <c r="O11" i="3"/>
  <c r="CP16" i="3"/>
  <c r="CF21" i="3"/>
  <c r="O14" i="3"/>
  <c r="X16" i="3"/>
  <c r="BU43" i="3"/>
  <c r="BQ38" i="3"/>
  <c r="J49" i="3"/>
  <c r="BN49" i="3"/>
  <c r="BR45" i="3"/>
  <c r="N59" i="3"/>
  <c r="AA59" i="3" s="1"/>
  <c r="BW38" i="3"/>
  <c r="BW44" i="3" s="1"/>
  <c r="F29" i="3"/>
  <c r="E29" i="3" s="1"/>
  <c r="W25" i="3"/>
  <c r="W26" i="3" s="1"/>
  <c r="W27" i="3" s="1"/>
  <c r="M24" i="3"/>
  <c r="BZ20" i="3"/>
  <c r="AL17" i="3"/>
  <c r="AV12" i="3"/>
  <c r="AG11" i="3"/>
  <c r="AZ11" i="3"/>
  <c r="AE35" i="3"/>
  <c r="AX35" i="3"/>
  <c r="BZ28" i="3"/>
  <c r="BV32" i="3"/>
  <c r="AL24" i="3"/>
  <c r="CN12" i="3"/>
  <c r="AD88" i="3"/>
  <c r="AW88" i="3"/>
  <c r="AQ88" i="3"/>
  <c r="AQ86" i="3"/>
  <c r="AD86" i="3"/>
  <c r="AW86" i="3"/>
  <c r="AD67" i="3"/>
  <c r="AW67" i="3"/>
  <c r="AQ67" i="3"/>
  <c r="BP66" i="3"/>
  <c r="AF45" i="3"/>
  <c r="AY45" i="3"/>
  <c r="BR36" i="3"/>
  <c r="CK38" i="3"/>
  <c r="CO31" i="3"/>
  <c r="AY25" i="3"/>
  <c r="AF25" i="3"/>
  <c r="AA25" i="3" s="1"/>
  <c r="AX23" i="3"/>
  <c r="AE23" i="3"/>
  <c r="CR22" i="3"/>
  <c r="CQ22" i="3"/>
  <c r="CL26" i="3"/>
  <c r="J26" i="3"/>
  <c r="CS18" i="3"/>
  <c r="CT18" i="3" s="1"/>
  <c r="CO16" i="3"/>
  <c r="CT16" i="3" s="1"/>
  <c r="CE21" i="3"/>
  <c r="CW15" i="3"/>
  <c r="CY14" i="3"/>
  <c r="BA14" i="3"/>
  <c r="N14" i="3"/>
  <c r="U13" i="3"/>
  <c r="V14" i="3"/>
  <c r="V15" i="3" s="1"/>
  <c r="BH13" i="3"/>
  <c r="L13" i="3"/>
  <c r="AQ12" i="3"/>
  <c r="AD12" i="3"/>
  <c r="AW12" i="3"/>
  <c r="BU15" i="3"/>
  <c r="AF11" i="3"/>
  <c r="AY11" i="3"/>
  <c r="CC89" i="3"/>
  <c r="CG89" i="3" s="1"/>
  <c r="BM55" i="3"/>
  <c r="AX47" i="3"/>
  <c r="AE47" i="3"/>
  <c r="BD45" i="3"/>
  <c r="BK45" i="3" s="1"/>
  <c r="AK49" i="3"/>
  <c r="CY34" i="3"/>
  <c r="BA34" i="3"/>
  <c r="N34" i="3"/>
  <c r="M30" i="3"/>
  <c r="CI26" i="3"/>
  <c r="R26" i="3"/>
  <c r="W23" i="3"/>
  <c r="M22" i="3"/>
  <c r="BS19" i="3"/>
  <c r="AY16" i="3"/>
  <c r="AF16" i="3"/>
  <c r="CY13" i="3"/>
  <c r="BA13" i="3"/>
  <c r="U12" i="3"/>
  <c r="V13" i="3"/>
  <c r="BH12" i="3"/>
  <c r="L12" i="3"/>
  <c r="BO15" i="3"/>
  <c r="BS11" i="3"/>
  <c r="F20" i="3"/>
  <c r="BD20" i="3"/>
  <c r="CX21" i="3"/>
  <c r="AE22" i="3"/>
  <c r="AX22" i="3"/>
  <c r="BT26" i="3"/>
  <c r="CJ26" i="3"/>
  <c r="CN22" i="3"/>
  <c r="CP24" i="3"/>
  <c r="T32" i="3"/>
  <c r="AK32" i="3" s="1"/>
  <c r="X30" i="3"/>
  <c r="BI28" i="3"/>
  <c r="O28" i="3"/>
  <c r="BL32" i="3"/>
  <c r="CB32" i="3"/>
  <c r="BZ29" i="3"/>
  <c r="F30" i="3"/>
  <c r="AV30" i="3"/>
  <c r="AG31" i="3"/>
  <c r="AB31" i="3" s="1"/>
  <c r="AZ31" i="3"/>
  <c r="CR31" i="3"/>
  <c r="CQ31" i="3"/>
  <c r="AZ33" i="3"/>
  <c r="AG33" i="3"/>
  <c r="BN38" i="3"/>
  <c r="BR33" i="3"/>
  <c r="CL38" i="3"/>
  <c r="CL44" i="3" s="1"/>
  <c r="CR33" i="3"/>
  <c r="AE34" i="3"/>
  <c r="AX34" i="3"/>
  <c r="CN34" i="3"/>
  <c r="AG35" i="3"/>
  <c r="AZ35" i="3"/>
  <c r="BV37" i="3"/>
  <c r="BZ37" i="3" s="1"/>
  <c r="CY37" i="3"/>
  <c r="CW38" i="3"/>
  <c r="BO43" i="3"/>
  <c r="BS39" i="3"/>
  <c r="CI43" i="3"/>
  <c r="X41" i="3"/>
  <c r="O40" i="3"/>
  <c r="CP40" i="3"/>
  <c r="CQ40" i="3" s="1"/>
  <c r="W45" i="3"/>
  <c r="M42" i="3"/>
  <c r="CR42" i="3"/>
  <c r="BS45" i="3"/>
  <c r="BO49" i="3"/>
  <c r="CI49" i="3"/>
  <c r="BI46" i="3"/>
  <c r="O46" i="3"/>
  <c r="X47" i="3"/>
  <c r="CP46" i="3"/>
  <c r="CC47" i="3"/>
  <c r="CG47" i="3" s="1"/>
  <c r="AF48" i="3"/>
  <c r="AY48" i="3"/>
  <c r="BD50" i="3"/>
  <c r="BK50" i="3" s="1"/>
  <c r="BR52" i="3"/>
  <c r="O54" i="3"/>
  <c r="X56" i="3"/>
  <c r="BI54" i="3"/>
  <c r="BX60" i="3"/>
  <c r="CN59" i="3"/>
  <c r="CA66" i="3"/>
  <c r="CC62" i="3"/>
  <c r="AF64" i="3"/>
  <c r="AY64" i="3"/>
  <c r="D65" i="3"/>
  <c r="E65" i="3" s="1"/>
  <c r="BD67" i="3"/>
  <c r="BK67" i="3" s="1"/>
  <c r="CS83" i="3"/>
  <c r="CG35" i="3"/>
  <c r="Q35" i="3"/>
  <c r="AE36" i="3"/>
  <c r="AX36" i="3"/>
  <c r="BT43" i="3"/>
  <c r="BV39" i="3"/>
  <c r="AG41" i="3"/>
  <c r="AZ41" i="3"/>
  <c r="BR41" i="3"/>
  <c r="D42" i="3"/>
  <c r="E42" i="3" s="1"/>
  <c r="CS42" i="3"/>
  <c r="BT49" i="3"/>
  <c r="BV45" i="3"/>
  <c r="AG47" i="3"/>
  <c r="AZ47" i="3"/>
  <c r="BR47" i="3"/>
  <c r="BD47" i="3"/>
  <c r="BK47" i="3" s="1"/>
  <c r="F50" i="3"/>
  <c r="CB55" i="3"/>
  <c r="N53" i="3"/>
  <c r="CC59" i="3"/>
  <c r="CG59" i="3" s="1"/>
  <c r="AX62" i="3"/>
  <c r="AE62" i="3"/>
  <c r="BD63" i="3"/>
  <c r="BK63" i="3" s="1"/>
  <c r="BR65" i="3"/>
  <c r="BU72" i="3"/>
  <c r="AE68" i="3"/>
  <c r="AX68" i="3"/>
  <c r="CG73" i="3"/>
  <c r="BV92" i="3"/>
  <c r="BZ92" i="3" s="1"/>
  <c r="BT95" i="3"/>
  <c r="D48" i="3"/>
  <c r="E48" i="3" s="1"/>
  <c r="CS48" i="3"/>
  <c r="AG50" i="3"/>
  <c r="AZ50" i="3"/>
  <c r="BR50" i="3"/>
  <c r="BN55" i="3"/>
  <c r="D51" i="3"/>
  <c r="E51" i="3" s="1"/>
  <c r="CS51" i="3"/>
  <c r="BV52" i="3"/>
  <c r="BZ52" i="3" s="1"/>
  <c r="AZ54" i="3"/>
  <c r="AG54" i="3"/>
  <c r="BR54" i="3"/>
  <c r="BM60" i="3"/>
  <c r="CK60" i="3"/>
  <c r="AZ57" i="3"/>
  <c r="AG57" i="3"/>
  <c r="D58" i="3"/>
  <c r="E58" i="3" s="1"/>
  <c r="CS58" i="3"/>
  <c r="BV59" i="3"/>
  <c r="BZ59" i="3" s="1"/>
  <c r="BM66" i="3"/>
  <c r="BM78" i="3" s="1"/>
  <c r="CK66" i="3"/>
  <c r="AZ63" i="3"/>
  <c r="AG63" i="3"/>
  <c r="BR63" i="3"/>
  <c r="D64" i="3"/>
  <c r="E64" i="3" s="1"/>
  <c r="BV65" i="3"/>
  <c r="BZ65" i="3" s="1"/>
  <c r="G72" i="3"/>
  <c r="D67" i="3"/>
  <c r="CI72" i="3"/>
  <c r="AY68" i="3"/>
  <c r="AF68" i="3"/>
  <c r="CS70" i="3"/>
  <c r="CT70" i="3" s="1"/>
  <c r="S77" i="3"/>
  <c r="AO77" i="3" s="1"/>
  <c r="N73" i="3"/>
  <c r="AZ75" i="3"/>
  <c r="AG75" i="3"/>
  <c r="BP84" i="3"/>
  <c r="T90" i="3"/>
  <c r="AK90" i="3" s="1"/>
  <c r="BI85" i="3"/>
  <c r="X86" i="3"/>
  <c r="O85" i="3"/>
  <c r="CL90" i="3"/>
  <c r="CR85" i="3"/>
  <c r="BV48" i="3"/>
  <c r="BZ48" i="3" s="1"/>
  <c r="G55" i="3"/>
  <c r="D50" i="3"/>
  <c r="BW55" i="3"/>
  <c r="CM55" i="3"/>
  <c r="CS55" i="3" s="1"/>
  <c r="CS50" i="3"/>
  <c r="BV51" i="3"/>
  <c r="BZ51" i="3" s="1"/>
  <c r="AG53" i="3"/>
  <c r="AZ53" i="3"/>
  <c r="AQ53" i="3"/>
  <c r="BR53" i="3"/>
  <c r="D54" i="3"/>
  <c r="E54" i="3" s="1"/>
  <c r="CS54" i="3"/>
  <c r="AG56" i="3"/>
  <c r="AZ56" i="3"/>
  <c r="AQ56" i="3"/>
  <c r="BN60" i="3"/>
  <c r="BR56" i="3"/>
  <c r="D57" i="3"/>
  <c r="CS57" i="3"/>
  <c r="BV58" i="3"/>
  <c r="BZ58" i="3" s="1"/>
  <c r="AG62" i="3"/>
  <c r="AZ62" i="3"/>
  <c r="AQ62" i="3"/>
  <c r="BR62" i="3"/>
  <c r="BN66" i="3"/>
  <c r="D63" i="3"/>
  <c r="E63" i="3" s="1"/>
  <c r="CS63" i="3"/>
  <c r="CT63" i="3" s="1"/>
  <c r="BV64" i="3"/>
  <c r="BZ64" i="3" s="1"/>
  <c r="BT72" i="3"/>
  <c r="BV67" i="3"/>
  <c r="D70" i="3"/>
  <c r="E70" i="3" s="1"/>
  <c r="CP70" i="3"/>
  <c r="CM77" i="3"/>
  <c r="CS77" i="3" s="1"/>
  <c r="CS73" i="3"/>
  <c r="BD77" i="3"/>
  <c r="F81" i="3"/>
  <c r="CD72" i="3"/>
  <c r="CC68" i="3"/>
  <c r="CG68" i="3" s="1"/>
  <c r="AE69" i="3"/>
  <c r="AX69" i="3"/>
  <c r="BD70" i="3"/>
  <c r="BK70" i="3" s="1"/>
  <c r="BQ77" i="3"/>
  <c r="CX77" i="3"/>
  <c r="BD73" i="3"/>
  <c r="BK73" i="3" s="1"/>
  <c r="BS75" i="3"/>
  <c r="AY76" i="3"/>
  <c r="AF76" i="3"/>
  <c r="CI84" i="3"/>
  <c r="AG85" i="3"/>
  <c r="AZ85" i="3"/>
  <c r="CP68" i="3"/>
  <c r="W71" i="3"/>
  <c r="W72" i="3" s="1"/>
  <c r="M70" i="3"/>
  <c r="CQ70" i="3"/>
  <c r="CR70" i="3"/>
  <c r="BS71" i="3"/>
  <c r="W74" i="3"/>
  <c r="M73" i="3"/>
  <c r="R77" i="3"/>
  <c r="AN77" i="3" s="1"/>
  <c r="CR73" i="3"/>
  <c r="CL77" i="3"/>
  <c r="BS74" i="3"/>
  <c r="CI77" i="3"/>
  <c r="BI75" i="3"/>
  <c r="O75" i="3"/>
  <c r="X76" i="3"/>
  <c r="X77" i="3" s="1"/>
  <c r="X78" i="3" s="1"/>
  <c r="X79" i="3" s="1"/>
  <c r="O76" i="3"/>
  <c r="X80" i="3"/>
  <c r="BI76" i="3"/>
  <c r="CP76" i="3"/>
  <c r="BL84" i="3"/>
  <c r="BR82" i="3"/>
  <c r="W85" i="3"/>
  <c r="M83" i="3"/>
  <c r="AX89" i="3"/>
  <c r="AE89" i="3"/>
  <c r="CK95" i="3"/>
  <c r="O94" i="3"/>
  <c r="M76" i="3"/>
  <c r="CQ76" i="3"/>
  <c r="CR76" i="3"/>
  <c r="BY84" i="3"/>
  <c r="W82" i="3"/>
  <c r="M81" i="3"/>
  <c r="Z81" i="3" s="1"/>
  <c r="CR81" i="3"/>
  <c r="BS82" i="3"/>
  <c r="BI83" i="3"/>
  <c r="X85" i="3"/>
  <c r="O83" i="3"/>
  <c r="CP83" i="3"/>
  <c r="CS85" i="3"/>
  <c r="CM90" i="3"/>
  <c r="CS88" i="3"/>
  <c r="CL95" i="3"/>
  <c r="CR91" i="3"/>
  <c r="CC76" i="3"/>
  <c r="CG76" i="3" s="1"/>
  <c r="CD84" i="3"/>
  <c r="CD96" i="3" s="1"/>
  <c r="CC81" i="3"/>
  <c r="CG81" i="3" s="1"/>
  <c r="AE82" i="3"/>
  <c r="AX82" i="3"/>
  <c r="CX84" i="3"/>
  <c r="CX96" i="3" s="1"/>
  <c r="BD83" i="3"/>
  <c r="BN90" i="3"/>
  <c r="BR85" i="3"/>
  <c r="CE95" i="3"/>
  <c r="CO95" i="3" s="1"/>
  <c r="CO91" i="3"/>
  <c r="BR93" i="3"/>
  <c r="CP94" i="3"/>
  <c r="CQ94" i="3" s="1"/>
  <c r="BY90" i="3"/>
  <c r="W87" i="3"/>
  <c r="M86" i="3"/>
  <c r="CQ86" i="3"/>
  <c r="CR86" i="3"/>
  <c r="BS87" i="3"/>
  <c r="BD87" i="3"/>
  <c r="BK87" i="3" s="1"/>
  <c r="BM95" i="3"/>
  <c r="N92" i="3"/>
  <c r="AA92" i="3" s="1"/>
  <c r="O93" i="3"/>
  <c r="X94" i="3"/>
  <c r="X95" i="3" s="1"/>
  <c r="X96" i="3" s="1"/>
  <c r="CC86" i="3"/>
  <c r="CG86" i="3" s="1"/>
  <c r="AE87" i="3"/>
  <c r="AX87" i="3"/>
  <c r="D89" i="3"/>
  <c r="E89" i="3" s="1"/>
  <c r="R95" i="3"/>
  <c r="AN95" i="3" s="1"/>
  <c r="M91" i="3"/>
  <c r="W92" i="3"/>
  <c r="BY95" i="3"/>
  <c r="X93" i="3"/>
  <c r="BI92" i="3"/>
  <c r="O92" i="3"/>
  <c r="CP92" i="3"/>
  <c r="CS93" i="3"/>
  <c r="CT93" i="3" s="1"/>
  <c r="CO87" i="3"/>
  <c r="CT87" i="3" s="1"/>
  <c r="F88" i="3"/>
  <c r="E88" i="3" s="1"/>
  <c r="AF89" i="3"/>
  <c r="AA89" i="3" s="1"/>
  <c r="AY89" i="3"/>
  <c r="F91" i="3"/>
  <c r="BL95" i="3"/>
  <c r="CB95" i="3"/>
  <c r="M93" i="3"/>
  <c r="W94" i="3"/>
  <c r="W95" i="3" s="1"/>
  <c r="W96" i="3" s="1"/>
  <c r="AG92" i="3"/>
  <c r="AZ92" i="3"/>
  <c r="BR92" i="3"/>
  <c r="D93" i="3"/>
  <c r="E93" i="3" s="1"/>
  <c r="CC93" i="3"/>
  <c r="CG93" i="3" s="1"/>
  <c r="N94" i="3"/>
  <c r="BD94" i="3"/>
  <c r="AL71" i="3"/>
  <c r="CJ83" i="3"/>
  <c r="CN83" i="3" s="1"/>
  <c r="BU77" i="3"/>
  <c r="BO66" i="3"/>
  <c r="BS62" i="3"/>
  <c r="CB60" i="3"/>
  <c r="CB61" i="3" s="1"/>
  <c r="D53" i="3"/>
  <c r="E53" i="3" s="1"/>
  <c r="CO40" i="3"/>
  <c r="BD39" i="3"/>
  <c r="BK39" i="3" s="1"/>
  <c r="BY38" i="3"/>
  <c r="AX33" i="3"/>
  <c r="AE33" i="3"/>
  <c r="D31" i="3"/>
  <c r="CD32" i="3"/>
  <c r="D28" i="3"/>
  <c r="G32" i="3"/>
  <c r="AX25" i="3"/>
  <c r="AE25" i="3"/>
  <c r="Z25" i="3" s="1"/>
  <c r="CR24" i="3"/>
  <c r="CQ24" i="3"/>
  <c r="V24" i="3"/>
  <c r="U23" i="3"/>
  <c r="L23" i="3"/>
  <c r="CO22" i="3"/>
  <c r="CE26" i="3"/>
  <c r="AF22" i="3"/>
  <c r="AY22" i="3"/>
  <c r="M20" i="3"/>
  <c r="Z20" i="3" s="1"/>
  <c r="W22" i="3"/>
  <c r="BZ18" i="3"/>
  <c r="BI17" i="3"/>
  <c r="O17" i="3"/>
  <c r="AB17" i="3" s="1"/>
  <c r="X18" i="3"/>
  <c r="CD21" i="3"/>
  <c r="CD27" i="3" s="1"/>
  <c r="R21" i="3"/>
  <c r="AI21" i="3" s="1"/>
  <c r="W17" i="3"/>
  <c r="M16" i="3"/>
  <c r="W16" i="3"/>
  <c r="M14" i="3"/>
  <c r="Z14" i="3" s="1"/>
  <c r="CP13" i="3"/>
  <c r="CQ13" i="3" s="1"/>
  <c r="AL12" i="3"/>
  <c r="CJ15" i="3"/>
  <c r="CN11" i="3"/>
  <c r="BT15" i="3"/>
  <c r="BT27" i="3" s="1"/>
  <c r="AE11" i="3"/>
  <c r="AX11" i="3"/>
  <c r="BX66" i="3"/>
  <c r="BX78" i="3" s="1"/>
  <c r="BW60" i="3"/>
  <c r="CJ52" i="3"/>
  <c r="CN52" i="3" s="1"/>
  <c r="CO47" i="3"/>
  <c r="BS46" i="3"/>
  <c r="BF43" i="3"/>
  <c r="BF44" i="3" s="1"/>
  <c r="J43" i="3"/>
  <c r="AY35" i="3"/>
  <c r="AF35" i="3"/>
  <c r="AA35" i="3" s="1"/>
  <c r="AI38" i="3"/>
  <c r="CG33" i="3"/>
  <c r="AV33" i="3"/>
  <c r="AD30" i="3"/>
  <c r="AQ30" i="3"/>
  <c r="AW30" i="3"/>
  <c r="CP29" i="3"/>
  <c r="CH32" i="3"/>
  <c r="CG25" i="3"/>
  <c r="CY24" i="3"/>
  <c r="BA24" i="3"/>
  <c r="CN19" i="3"/>
  <c r="F19" i="3"/>
  <c r="E19" i="3" s="1"/>
  <c r="N17" i="3"/>
  <c r="BY21" i="3"/>
  <c r="CS13" i="3"/>
  <c r="W35" i="3"/>
  <c r="M34" i="3"/>
  <c r="CX32" i="3"/>
  <c r="BD31" i="3"/>
  <c r="CN18" i="3"/>
  <c r="BP21" i="3"/>
  <c r="CP14" i="3"/>
  <c r="CQ14" i="3" s="1"/>
  <c r="BR13" i="3"/>
  <c r="AF39" i="3"/>
  <c r="AY39" i="3"/>
  <c r="BX21" i="3"/>
  <c r="F12" i="3"/>
  <c r="E12" i="3" s="1"/>
  <c r="M46" i="3"/>
  <c r="Z46" i="3" s="1"/>
  <c r="W47" i="3"/>
  <c r="CC52" i="3"/>
  <c r="CG52" i="3" s="1"/>
  <c r="CO65" i="3"/>
  <c r="CT65" i="3" s="1"/>
  <c r="R49" i="3"/>
  <c r="W46" i="3"/>
  <c r="M45" i="3"/>
  <c r="CD49" i="3"/>
  <c r="BR46" i="3"/>
  <c r="CJ51" i="3"/>
  <c r="CN51" i="3" s="1"/>
  <c r="CS62" i="3"/>
  <c r="CM66" i="3"/>
  <c r="BD68" i="3"/>
  <c r="BK68" i="3" s="1"/>
  <c r="S90" i="3"/>
  <c r="AO90" i="3" s="1"/>
  <c r="N85" i="3"/>
  <c r="AQ41" i="3"/>
  <c r="CC40" i="3"/>
  <c r="CG40" i="3" s="1"/>
  <c r="BZ34" i="3"/>
  <c r="K38" i="3"/>
  <c r="CA32" i="3"/>
  <c r="BD18" i="3"/>
  <c r="BK18" i="3" s="1"/>
  <c r="O18" i="3"/>
  <c r="X19" i="3"/>
  <c r="BI18" i="3"/>
  <c r="W18" i="3"/>
  <c r="M17" i="3"/>
  <c r="CR11" i="3"/>
  <c r="CQ11" i="3"/>
  <c r="CL15" i="3"/>
  <c r="G15" i="3"/>
  <c r="D11" i="3"/>
  <c r="BR34" i="3"/>
  <c r="J32" i="3"/>
  <c r="AY23" i="3"/>
  <c r="AF23" i="3"/>
  <c r="AA23" i="3" s="1"/>
  <c r="U19" i="3"/>
  <c r="V20" i="3"/>
  <c r="V21" i="3" s="1"/>
  <c r="BH19" i="3"/>
  <c r="L19" i="3"/>
  <c r="CR13" i="3"/>
  <c r="N11" i="3"/>
  <c r="S15" i="3"/>
  <c r="AQ57" i="3"/>
  <c r="AD57" i="3"/>
  <c r="AW57" i="3"/>
  <c r="M59" i="3"/>
  <c r="W62" i="3"/>
  <c r="CR37" i="3"/>
  <c r="CQ37" i="3"/>
  <c r="CR36" i="3"/>
  <c r="CQ36" i="3"/>
  <c r="AY33" i="3"/>
  <c r="AF33" i="3"/>
  <c r="O25" i="3"/>
  <c r="AZ22" i="3"/>
  <c r="AG22" i="3"/>
  <c r="AK21" i="3"/>
  <c r="E14" i="3"/>
  <c r="CY12" i="3"/>
  <c r="BA12" i="3"/>
  <c r="CA72" i="3"/>
  <c r="CC67" i="3"/>
  <c r="M40" i="3"/>
  <c r="W41" i="3"/>
  <c r="X31" i="3"/>
  <c r="X32" i="3" s="1"/>
  <c r="O29" i="3"/>
  <c r="BI29" i="3"/>
  <c r="AD25" i="3"/>
  <c r="AW25" i="3"/>
  <c r="AQ25" i="3"/>
  <c r="CI15" i="3"/>
  <c r="CI27" i="3" s="1"/>
  <c r="CQ25" i="3"/>
  <c r="CR25" i="3"/>
  <c r="CJ32" i="3"/>
  <c r="CN28" i="3"/>
  <c r="M31" i="3"/>
  <c r="W33" i="3"/>
  <c r="O34" i="3"/>
  <c r="X35" i="3"/>
  <c r="CA43" i="3"/>
  <c r="CC39" i="3"/>
  <c r="AX40" i="3"/>
  <c r="AE40" i="3"/>
  <c r="AG52" i="3"/>
  <c r="AZ52" i="3"/>
  <c r="X64" i="3"/>
  <c r="O63" i="3"/>
  <c r="BI63" i="3"/>
  <c r="O71" i="3"/>
  <c r="X73" i="3"/>
  <c r="BI71" i="3"/>
  <c r="BI80" i="3"/>
  <c r="X81" i="3"/>
  <c r="O80" i="3"/>
  <c r="T84" i="3"/>
  <c r="AK84" i="3" s="1"/>
  <c r="AF37" i="3"/>
  <c r="AY37" i="3"/>
  <c r="CB43" i="3"/>
  <c r="AF40" i="3"/>
  <c r="AY40" i="3"/>
  <c r="CO42" i="3"/>
  <c r="CT42" i="3" s="1"/>
  <c r="AF46" i="3"/>
  <c r="AY46" i="3"/>
  <c r="W50" i="3"/>
  <c r="M48" i="3"/>
  <c r="AG65" i="3"/>
  <c r="AZ65" i="3"/>
  <c r="AQ65" i="3"/>
  <c r="G77" i="3"/>
  <c r="I77" i="3" s="1"/>
  <c r="D73" i="3"/>
  <c r="CJ50" i="3"/>
  <c r="CH55" i="3"/>
  <c r="AF53" i="3"/>
  <c r="AY53" i="3"/>
  <c r="AF56" i="3"/>
  <c r="AY56" i="3"/>
  <c r="CT58" i="3"/>
  <c r="X69" i="3"/>
  <c r="O68" i="3"/>
  <c r="BI68" i="3"/>
  <c r="AF52" i="3"/>
  <c r="AY52" i="3"/>
  <c r="CT54" i="3"/>
  <c r="AA57" i="3"/>
  <c r="CO57" i="3"/>
  <c r="J66" i="3"/>
  <c r="CJ62" i="3"/>
  <c r="CH66" i="3"/>
  <c r="AF65" i="3"/>
  <c r="AY65" i="3"/>
  <c r="CE72" i="3"/>
  <c r="CO67" i="3"/>
  <c r="CT67" i="3" s="1"/>
  <c r="AY71" i="3"/>
  <c r="AF71" i="3"/>
  <c r="AE76" i="3"/>
  <c r="AX76" i="3"/>
  <c r="W68" i="3"/>
  <c r="M67" i="3"/>
  <c r="R72" i="3"/>
  <c r="AN72" i="3" s="1"/>
  <c r="CR71" i="3"/>
  <c r="W75" i="3"/>
  <c r="M74" i="3"/>
  <c r="CE90" i="3"/>
  <c r="CO85" i="3"/>
  <c r="CT85" i="3" s="1"/>
  <c r="CR88" i="3"/>
  <c r="BK69" i="3"/>
  <c r="CC71" i="3"/>
  <c r="CG71" i="3" s="1"/>
  <c r="CA77" i="3"/>
  <c r="CC74" i="3"/>
  <c r="CG74" i="3" s="1"/>
  <c r="AE75" i="3"/>
  <c r="AX75" i="3"/>
  <c r="N80" i="3"/>
  <c r="S84" i="3"/>
  <c r="CB96" i="3"/>
  <c r="CR82" i="3"/>
  <c r="CQ82" i="3"/>
  <c r="AZ87" i="3"/>
  <c r="AG87" i="3"/>
  <c r="AG93" i="3"/>
  <c r="AZ93" i="3"/>
  <c r="AX83" i="3"/>
  <c r="AE83" i="3"/>
  <c r="R84" i="3"/>
  <c r="AI84" i="3" s="1"/>
  <c r="W81" i="3"/>
  <c r="M80" i="3"/>
  <c r="X83" i="3"/>
  <c r="X84" i="3" s="1"/>
  <c r="O82" i="3"/>
  <c r="AB82" i="3" s="1"/>
  <c r="BI82" i="3"/>
  <c r="R90" i="3"/>
  <c r="AN90" i="3" s="1"/>
  <c r="W86" i="3"/>
  <c r="M85" i="3"/>
  <c r="AF91" i="3"/>
  <c r="AY91" i="3"/>
  <c r="BQ90" i="3"/>
  <c r="BQ96" i="3" s="1"/>
  <c r="CJ95" i="3"/>
  <c r="CN95" i="3" s="1"/>
  <c r="CN91" i="3"/>
  <c r="AI90" i="3"/>
  <c r="AY93" i="3"/>
  <c r="AF93" i="3"/>
  <c r="BZ91" i="3"/>
  <c r="N93" i="3"/>
  <c r="BD93" i="3"/>
  <c r="BK93" i="3" s="1"/>
  <c r="CR94" i="3"/>
  <c r="AL45" i="3"/>
  <c r="CF77" i="3"/>
  <c r="CP77" i="3" s="1"/>
  <c r="CP73" i="3"/>
  <c r="CQ73" i="3" s="1"/>
  <c r="G66" i="3"/>
  <c r="D62" i="3"/>
  <c r="BS47" i="3"/>
  <c r="CC37" i="3"/>
  <c r="CG37" i="3" s="1"/>
  <c r="AF36" i="3"/>
  <c r="AA36" i="3" s="1"/>
  <c r="AY36" i="3"/>
  <c r="CN33" i="3"/>
  <c r="N33" i="3"/>
  <c r="S38" i="3"/>
  <c r="AO38" i="3" s="1"/>
  <c r="AD31" i="3"/>
  <c r="AW31" i="3"/>
  <c r="AQ31" i="3"/>
  <c r="AL28" i="3"/>
  <c r="CY22" i="3"/>
  <c r="BA22" i="3"/>
  <c r="BS22" i="3"/>
  <c r="BO26" i="3"/>
  <c r="AD20" i="3"/>
  <c r="AW20" i="3"/>
  <c r="AQ20" i="3"/>
  <c r="AE17" i="3"/>
  <c r="AX17" i="3"/>
  <c r="BN21" i="3"/>
  <c r="BR21" i="3" s="1"/>
  <c r="BR16" i="3"/>
  <c r="CR14" i="3"/>
  <c r="AG14" i="3"/>
  <c r="AZ14" i="3"/>
  <c r="Q15" i="3"/>
  <c r="L11" i="3"/>
  <c r="V12" i="3"/>
  <c r="BH11" i="3"/>
  <c r="U11" i="3"/>
  <c r="CT59" i="3"/>
  <c r="CO46" i="3"/>
  <c r="CD43" i="3"/>
  <c r="AL39" i="3"/>
  <c r="AW39" i="3"/>
  <c r="BK29" i="3"/>
  <c r="L28" i="3"/>
  <c r="Q32" i="3"/>
  <c r="V30" i="3"/>
  <c r="U28" i="3"/>
  <c r="BH20" i="3"/>
  <c r="L20" i="3"/>
  <c r="V22" i="3"/>
  <c r="U20" i="3"/>
  <c r="CY17" i="3"/>
  <c r="BA17" i="3"/>
  <c r="BH17" i="3" s="1"/>
  <c r="CO11" i="3"/>
  <c r="CE15" i="3"/>
  <c r="CY29" i="3"/>
  <c r="BA29" i="3"/>
  <c r="AE18" i="3"/>
  <c r="AX18" i="3"/>
  <c r="AL34" i="3"/>
  <c r="CM26" i="3"/>
  <c r="CS22" i="3"/>
  <c r="BX55" i="3"/>
  <c r="AY42" i="3"/>
  <c r="AF42" i="3"/>
  <c r="AA42" i="3" s="1"/>
  <c r="AB12" i="3"/>
  <c r="AW24" i="3"/>
  <c r="AQ24" i="3"/>
  <c r="AD24" i="3"/>
  <c r="AG13" i="3"/>
  <c r="AZ13" i="3"/>
  <c r="D41" i="3"/>
  <c r="E41" i="3" s="1"/>
  <c r="CN16" i="3"/>
  <c r="AW91" i="3"/>
  <c r="AQ91" i="3"/>
  <c r="AD91" i="3"/>
  <c r="AQ76" i="3"/>
  <c r="AD76" i="3"/>
  <c r="AW76" i="3"/>
  <c r="BS80" i="3"/>
  <c r="BO84" i="3"/>
  <c r="CF66" i="3"/>
  <c r="CP62" i="3"/>
  <c r="CQ62" i="3" s="1"/>
  <c r="CO56" i="3"/>
  <c r="CE60" i="3"/>
  <c r="CO60" i="3" s="1"/>
  <c r="BU55" i="3"/>
  <c r="AW45" i="3"/>
  <c r="BZ42" i="3"/>
  <c r="M37" i="3"/>
  <c r="W39" i="3"/>
  <c r="W37" i="3"/>
  <c r="W38" i="3" s="1"/>
  <c r="M36" i="3"/>
  <c r="Z36" i="3" s="1"/>
  <c r="BU38" i="3"/>
  <c r="BU44" i="3" s="1"/>
  <c r="CN31" i="3"/>
  <c r="CY28" i="3"/>
  <c r="BA28" i="3"/>
  <c r="N28" i="3"/>
  <c r="S32" i="3"/>
  <c r="AJ32" i="3" s="1"/>
  <c r="V25" i="3"/>
  <c r="V26" i="3" s="1"/>
  <c r="V27" i="3" s="1"/>
  <c r="BH24" i="3"/>
  <c r="L24" i="3"/>
  <c r="U24" i="3"/>
  <c r="AK26" i="3"/>
  <c r="AF20" i="3"/>
  <c r="AY20" i="3"/>
  <c r="BS16" i="3"/>
  <c r="BO21" i="3"/>
  <c r="BS21" i="3" s="1"/>
  <c r="G21" i="3"/>
  <c r="I21" i="3" s="1"/>
  <c r="D16" i="3"/>
  <c r="BY15" i="3"/>
  <c r="BD58" i="3"/>
  <c r="BK58" i="3" s="1"/>
  <c r="BZ47" i="3"/>
  <c r="AD22" i="3"/>
  <c r="AW22" i="3"/>
  <c r="AQ22" i="3"/>
  <c r="V16" i="3"/>
  <c r="U14" i="3"/>
  <c r="BH14" i="3"/>
  <c r="L14" i="3"/>
  <c r="BS13" i="3"/>
  <c r="CR19" i="3"/>
  <c r="CQ19" i="3"/>
  <c r="AJ26" i="3"/>
  <c r="CF26" i="3"/>
  <c r="CP22" i="3"/>
  <c r="BX32" i="3"/>
  <c r="AG29" i="3"/>
  <c r="AZ29" i="3"/>
  <c r="CR29" i="3"/>
  <c r="CQ29" i="3"/>
  <c r="AE30" i="3"/>
  <c r="AX30" i="3"/>
  <c r="AL31" i="3"/>
  <c r="AJ38" i="3"/>
  <c r="W36" i="3"/>
  <c r="M35" i="3"/>
  <c r="Z35" i="3" s="1"/>
  <c r="BG43" i="3"/>
  <c r="BG44" i="3" s="1"/>
  <c r="CR51" i="3"/>
  <c r="CQ51" i="3"/>
  <c r="AY67" i="3"/>
  <c r="AF67" i="3"/>
  <c r="AG69" i="3"/>
  <c r="AZ69" i="3"/>
  <c r="AQ69" i="3"/>
  <c r="AX70" i="3"/>
  <c r="AE70" i="3"/>
  <c r="CY33" i="3"/>
  <c r="BA33" i="3"/>
  <c r="CS35" i="3"/>
  <c r="CF43" i="3"/>
  <c r="CP39" i="3"/>
  <c r="W42" i="3"/>
  <c r="W43" i="3" s="1"/>
  <c r="W44" i="3" s="1"/>
  <c r="M41" i="3"/>
  <c r="BP49" i="3"/>
  <c r="BP61" i="3" s="1"/>
  <c r="W48" i="3"/>
  <c r="W49" i="3" s="1"/>
  <c r="M47" i="3"/>
  <c r="CR48" i="3"/>
  <c r="BT55" i="3"/>
  <c r="BV50" i="3"/>
  <c r="N52" i="3"/>
  <c r="AA52" i="3" s="1"/>
  <c r="BV53" i="3"/>
  <c r="BZ53" i="3" s="1"/>
  <c r="CB66" i="3"/>
  <c r="AZ64" i="3"/>
  <c r="AG64" i="3"/>
  <c r="CR64" i="3"/>
  <c r="CQ64" i="3"/>
  <c r="CA90" i="3"/>
  <c r="CC85" i="3"/>
  <c r="CR47" i="3"/>
  <c r="W51" i="3"/>
  <c r="R55" i="3"/>
  <c r="M50" i="3"/>
  <c r="BS51" i="3"/>
  <c r="CQ54" i="3"/>
  <c r="CR54" i="3"/>
  <c r="CQ57" i="3"/>
  <c r="CR57" i="3"/>
  <c r="O59" i="3"/>
  <c r="X62" i="3"/>
  <c r="BY66" i="3"/>
  <c r="W64" i="3"/>
  <c r="M63" i="3"/>
  <c r="BX72" i="3"/>
  <c r="AE71" i="3"/>
  <c r="AX71" i="3"/>
  <c r="AJ84" i="3"/>
  <c r="BP90" i="3"/>
  <c r="O48" i="3"/>
  <c r="AB48" i="3" s="1"/>
  <c r="X50" i="3"/>
  <c r="BS50" i="3"/>
  <c r="BO55" i="3"/>
  <c r="BS55" i="3" s="1"/>
  <c r="CI55" i="3"/>
  <c r="CR53" i="3"/>
  <c r="R60" i="3"/>
  <c r="AN60" i="3" s="1"/>
  <c r="W57" i="3"/>
  <c r="M56" i="3"/>
  <c r="BS57" i="3"/>
  <c r="CP58" i="3"/>
  <c r="CQ58" i="3" s="1"/>
  <c r="CL66" i="3"/>
  <c r="CR62" i="3"/>
  <c r="X65" i="3"/>
  <c r="X66" i="3" s="1"/>
  <c r="O64" i="3"/>
  <c r="BO72" i="3"/>
  <c r="BS72" i="3" s="1"/>
  <c r="BS67" i="3"/>
  <c r="AE74" i="3"/>
  <c r="AX74" i="3"/>
  <c r="CO83" i="3"/>
  <c r="CT83" i="3" s="1"/>
  <c r="BR67" i="3"/>
  <c r="BN72" i="3"/>
  <c r="AG71" i="3"/>
  <c r="AZ71" i="3"/>
  <c r="CA84" i="3"/>
  <c r="CC80" i="3"/>
  <c r="AZ91" i="3"/>
  <c r="AG91" i="3"/>
  <c r="AF69" i="3"/>
  <c r="AA69" i="3" s="1"/>
  <c r="AY69" i="3"/>
  <c r="N71" i="3"/>
  <c r="AA71" i="3" s="1"/>
  <c r="J77" i="3"/>
  <c r="N74" i="3"/>
  <c r="AA74" i="3" s="1"/>
  <c r="CO74" i="3"/>
  <c r="AX80" i="3"/>
  <c r="AE80" i="3"/>
  <c r="BO95" i="3"/>
  <c r="BS95" i="3" s="1"/>
  <c r="BS91" i="3"/>
  <c r="CJ76" i="3"/>
  <c r="CN76" i="3" s="1"/>
  <c r="N82" i="3"/>
  <c r="AA82" i="3" s="1"/>
  <c r="CH90" i="3"/>
  <c r="CJ85" i="3"/>
  <c r="AE86" i="3"/>
  <c r="AX86" i="3"/>
  <c r="AG80" i="3"/>
  <c r="AZ80" i="3"/>
  <c r="E81" i="3"/>
  <c r="CS81" i="3"/>
  <c r="CJ86" i="3"/>
  <c r="CN86" i="3" s="1"/>
  <c r="D86" i="3"/>
  <c r="E86" i="3" s="1"/>
  <c r="BZ87" i="3"/>
  <c r="G95" i="3"/>
  <c r="I95" i="3" s="1"/>
  <c r="D91" i="3"/>
  <c r="D92" i="3"/>
  <c r="E92" i="3" s="1"/>
  <c r="D94" i="3"/>
  <c r="E94" i="3" s="1"/>
  <c r="W93" i="3"/>
  <c r="M92" i="3"/>
  <c r="AG94" i="3"/>
  <c r="AZ94" i="3"/>
  <c r="AQ94" i="3"/>
  <c r="BR94" i="3"/>
  <c r="BK86" i="3"/>
  <c r="BD64" i="3"/>
  <c r="BK64" i="3" s="1"/>
  <c r="CR59" i="3"/>
  <c r="BI56" i="3"/>
  <c r="T60" i="3"/>
  <c r="O56" i="3"/>
  <c r="X57" i="3"/>
  <c r="AQ52" i="3"/>
  <c r="N41" i="3"/>
  <c r="AA41" i="3" s="1"/>
  <c r="CT30" i="3"/>
  <c r="M28" i="3"/>
  <c r="W30" i="3"/>
  <c r="R32" i="3"/>
  <c r="F25" i="3"/>
  <c r="E25" i="3" s="1"/>
  <c r="AD23" i="3"/>
  <c r="AW23" i="3"/>
  <c r="AQ23" i="3"/>
  <c r="CK26" i="3"/>
  <c r="AL20" i="3"/>
  <c r="X20" i="3"/>
  <c r="X21" i="3" s="1"/>
  <c r="O19" i="3"/>
  <c r="AB19" i="3" s="1"/>
  <c r="BI19" i="3"/>
  <c r="M18" i="3"/>
  <c r="Z18" i="3" s="1"/>
  <c r="W19" i="3"/>
  <c r="AE13" i="3"/>
  <c r="Z13" i="3" s="1"/>
  <c r="AX13" i="3"/>
  <c r="BX15" i="3"/>
  <c r="F57" i="3"/>
  <c r="AF51" i="3"/>
  <c r="AA51" i="3" s="1"/>
  <c r="AY51" i="3"/>
  <c r="N46" i="3"/>
  <c r="CC41" i="3"/>
  <c r="CG41" i="3" s="1"/>
  <c r="AG40" i="3"/>
  <c r="AZ40" i="3"/>
  <c r="R43" i="3"/>
  <c r="M39" i="3"/>
  <c r="W40" i="3"/>
  <c r="CJ36" i="3"/>
  <c r="CN36" i="3" s="1"/>
  <c r="CM32" i="3"/>
  <c r="CS28" i="3"/>
  <c r="BM32" i="3"/>
  <c r="BM44" i="3" s="1"/>
  <c r="CS20" i="3"/>
  <c r="CT20" i="3" s="1"/>
  <c r="AW17" i="3"/>
  <c r="AQ17" i="3"/>
  <c r="AD17" i="3"/>
  <c r="BM21" i="3"/>
  <c r="BM27" i="3" s="1"/>
  <c r="BW15" i="3"/>
  <c r="V23" i="3"/>
  <c r="L22" i="3"/>
  <c r="U22" i="3"/>
  <c r="Q26" i="3"/>
  <c r="CX15" i="3"/>
  <c r="BD14" i="3"/>
  <c r="CR20" i="3"/>
  <c r="AE54" i="3"/>
  <c r="AX54" i="3"/>
  <c r="BR58" i="3"/>
  <c r="BP77" i="3"/>
  <c r="AG46" i="3"/>
  <c r="AZ46" i="3"/>
  <c r="AQ46" i="3"/>
  <c r="BR69" i="3"/>
  <c r="CG30" i="3"/>
  <c r="BW26" i="3"/>
  <c r="AQ89" i="3"/>
  <c r="AQ80" i="3"/>
  <c r="AQ51" i="3"/>
  <c r="BS56" i="3"/>
  <c r="BO60" i="3"/>
  <c r="AY50" i="3"/>
  <c r="AF50" i="3"/>
  <c r="CK49" i="3"/>
  <c r="BR37" i="3"/>
  <c r="BP38" i="3"/>
  <c r="O33" i="3"/>
  <c r="T38" i="3"/>
  <c r="BI33" i="3"/>
  <c r="F31" i="3"/>
  <c r="AD29" i="3"/>
  <c r="AW29" i="3"/>
  <c r="AQ29" i="3"/>
  <c r="CK32" i="3"/>
  <c r="CS24" i="3"/>
  <c r="AQ93" i="3"/>
  <c r="AL80" i="3"/>
  <c r="AL91" i="3"/>
  <c r="AL86" i="3"/>
  <c r="AQ74" i="3"/>
  <c r="AD74" i="3"/>
  <c r="AW74" i="3"/>
  <c r="AL67" i="3"/>
  <c r="AJ66" i="3"/>
  <c r="AX56" i="3"/>
  <c r="AE56" i="3"/>
  <c r="CP53" i="3"/>
  <c r="CQ53" i="3" s="1"/>
  <c r="I55" i="3"/>
  <c r="D47" i="3"/>
  <c r="E47" i="3" s="1"/>
  <c r="BU49" i="3"/>
  <c r="I49" i="3"/>
  <c r="AE42" i="3"/>
  <c r="AX42" i="3"/>
  <c r="CT41" i="3"/>
  <c r="AQ36" i="3"/>
  <c r="BK35" i="3"/>
  <c r="CP33" i="3"/>
  <c r="CQ33" i="3" s="1"/>
  <c r="CF38" i="3"/>
  <c r="CP38" i="3" s="1"/>
  <c r="AX31" i="3"/>
  <c r="AE31" i="3"/>
  <c r="CR30" i="3"/>
  <c r="CQ30" i="3"/>
  <c r="V31" i="3"/>
  <c r="V32" i="3" s="1"/>
  <c r="BH29" i="3"/>
  <c r="L29" i="3"/>
  <c r="U29" i="3"/>
  <c r="CE32" i="3"/>
  <c r="CO28" i="3"/>
  <c r="CT28" i="3" s="1"/>
  <c r="AF28" i="3"/>
  <c r="AY28" i="3"/>
  <c r="CX26" i="3"/>
  <c r="CX27" i="3" s="1"/>
  <c r="BD25" i="3"/>
  <c r="BI25" i="3" s="1"/>
  <c r="CY23" i="3"/>
  <c r="BA23" i="3"/>
  <c r="CA26" i="3"/>
  <c r="CY20" i="3"/>
  <c r="CW21" i="3"/>
  <c r="BA20" i="3"/>
  <c r="BS20" i="3"/>
  <c r="N20" i="3"/>
  <c r="AA20" i="3" s="1"/>
  <c r="AQ18" i="3"/>
  <c r="AD18" i="3"/>
  <c r="AW18" i="3"/>
  <c r="D18" i="3"/>
  <c r="E18" i="3" s="1"/>
  <c r="AY17" i="3"/>
  <c r="AF17" i="3"/>
  <c r="BA16" i="3"/>
  <c r="CY16" i="3"/>
  <c r="CA21" i="3"/>
  <c r="N16" i="3"/>
  <c r="S21" i="3"/>
  <c r="AO21" i="3" s="1"/>
  <c r="CO12" i="3"/>
  <c r="CT12" i="3" s="1"/>
  <c r="CK15" i="3"/>
  <c r="BQ15" i="3"/>
  <c r="AK15" i="3"/>
  <c r="BS69" i="3"/>
  <c r="BD57" i="3"/>
  <c r="BK57" i="3" s="1"/>
  <c r="CS56" i="3"/>
  <c r="CM60" i="3"/>
  <c r="BI53" i="3"/>
  <c r="X54" i="3"/>
  <c r="X55" i="3" s="1"/>
  <c r="O53" i="3"/>
  <c r="N47" i="3"/>
  <c r="AA47" i="3" s="1"/>
  <c r="BY49" i="3"/>
  <c r="BY61" i="3" s="1"/>
  <c r="CP42" i="3"/>
  <c r="CQ42" i="3" s="1"/>
  <c r="X45" i="3"/>
  <c r="O42" i="3"/>
  <c r="AB42" i="3" s="1"/>
  <c r="CT34" i="3"/>
  <c r="AD33" i="3"/>
  <c r="AW33" i="3"/>
  <c r="AQ33" i="3"/>
  <c r="AF29" i="3"/>
  <c r="AA29" i="3" s="1"/>
  <c r="AY29" i="3"/>
  <c r="BY26" i="3"/>
  <c r="AX19" i="3"/>
  <c r="AE19" i="3"/>
  <c r="CS17" i="3"/>
  <c r="CT17" i="3" s="1"/>
  <c r="Q21" i="3"/>
  <c r="U16" i="3"/>
  <c r="V17" i="3"/>
  <c r="BH16" i="3"/>
  <c r="L16" i="3"/>
  <c r="AW13" i="3"/>
  <c r="AQ13" i="3"/>
  <c r="AD13" i="3"/>
  <c r="CY11" i="3"/>
  <c r="BA11" i="3"/>
  <c r="W20" i="3"/>
  <c r="W21" i="3" s="1"/>
  <c r="M19" i="3"/>
  <c r="X22" i="3"/>
  <c r="O20" i="3"/>
  <c r="AB20" i="3" s="1"/>
  <c r="F22" i="3"/>
  <c r="AV22" i="3"/>
  <c r="BX26" i="3"/>
  <c r="BD22" i="3"/>
  <c r="BK22" i="3" s="1"/>
  <c r="AG23" i="3"/>
  <c r="AZ23" i="3"/>
  <c r="CR23" i="3"/>
  <c r="AE24" i="3"/>
  <c r="AX24" i="3"/>
  <c r="CN24" i="3"/>
  <c r="BP32" i="3"/>
  <c r="BP44" i="3" s="1"/>
  <c r="CF32" i="3"/>
  <c r="CP28" i="3"/>
  <c r="CQ28" i="3" s="1"/>
  <c r="W31" i="3"/>
  <c r="W32" i="3" s="1"/>
  <c r="M29" i="3"/>
  <c r="Z29" i="3" s="1"/>
  <c r="O30" i="3"/>
  <c r="AB30" i="3" s="1"/>
  <c r="BI30" i="3"/>
  <c r="BZ31" i="3"/>
  <c r="J38" i="3"/>
  <c r="BV38" i="3"/>
  <c r="BZ38" i="3" s="1"/>
  <c r="BZ33" i="3"/>
  <c r="AV34" i="3"/>
  <c r="BD34" i="3"/>
  <c r="BK34" i="3" s="1"/>
  <c r="CG36" i="3"/>
  <c r="AX37" i="3"/>
  <c r="AE37" i="3"/>
  <c r="D39" i="3"/>
  <c r="G43" i="3"/>
  <c r="I43" i="3" s="1"/>
  <c r="BW43" i="3"/>
  <c r="CM43" i="3"/>
  <c r="CS39" i="3"/>
  <c r="BV40" i="3"/>
  <c r="BZ40" i="3" s="1"/>
  <c r="AZ42" i="3"/>
  <c r="AG42" i="3"/>
  <c r="BR42" i="3"/>
  <c r="D45" i="3"/>
  <c r="G49" i="3"/>
  <c r="BW49" i="3"/>
  <c r="CM49" i="3"/>
  <c r="CS45" i="3"/>
  <c r="BV46" i="3"/>
  <c r="BZ46" i="3" s="1"/>
  <c r="CP47" i="3"/>
  <c r="CQ47" i="3" s="1"/>
  <c r="BR51" i="3"/>
  <c r="M52" i="3"/>
  <c r="Z52" i="3" s="1"/>
  <c r="W53" i="3"/>
  <c r="G60" i="3"/>
  <c r="I60" i="3" s="1"/>
  <c r="D56" i="3"/>
  <c r="CP56" i="3"/>
  <c r="CQ56" i="3" s="1"/>
  <c r="CF60" i="3"/>
  <c r="CJ58" i="3"/>
  <c r="CN58" i="3" s="1"/>
  <c r="CI66" i="3"/>
  <c r="I72" i="3"/>
  <c r="BQ72" i="3"/>
  <c r="CR68" i="3"/>
  <c r="CQ68" i="3"/>
  <c r="CR69" i="3"/>
  <c r="CQ69" i="3"/>
  <c r="CP71" i="3"/>
  <c r="CQ71" i="3" s="1"/>
  <c r="AY81" i="3"/>
  <c r="AF81" i="3"/>
  <c r="BO90" i="3"/>
  <c r="BS85" i="3"/>
  <c r="U34" i="3"/>
  <c r="L34" i="3"/>
  <c r="CG34" i="3"/>
  <c r="CO35" i="3"/>
  <c r="F36" i="3"/>
  <c r="E36" i="3" s="1"/>
  <c r="BD37" i="3"/>
  <c r="CX38" i="3"/>
  <c r="AE39" i="3"/>
  <c r="AX39" i="3"/>
  <c r="BX43" i="3"/>
  <c r="BD40" i="3"/>
  <c r="BK40" i="3" s="1"/>
  <c r="CC42" i="3"/>
  <c r="CG42" i="3" s="1"/>
  <c r="AE45" i="3"/>
  <c r="AX45" i="3"/>
  <c r="BX49" i="3"/>
  <c r="BX61" i="3" s="1"/>
  <c r="BR48" i="3"/>
  <c r="AE50" i="3"/>
  <c r="AX50" i="3"/>
  <c r="AL51" i="3"/>
  <c r="BD51" i="3"/>
  <c r="BK51" i="3" s="1"/>
  <c r="CS52" i="3"/>
  <c r="CT52" i="3" s="1"/>
  <c r="AX53" i="3"/>
  <c r="AE53" i="3"/>
  <c r="CX55" i="3"/>
  <c r="BD54" i="3"/>
  <c r="CC56" i="3"/>
  <c r="CA60" i="3"/>
  <c r="AF58" i="3"/>
  <c r="AA58" i="3" s="1"/>
  <c r="AY58" i="3"/>
  <c r="D59" i="3"/>
  <c r="E59" i="3" s="1"/>
  <c r="BL66" i="3"/>
  <c r="BR64" i="3"/>
  <c r="M65" i="3"/>
  <c r="W67" i="3"/>
  <c r="CF72" i="3"/>
  <c r="CP67" i="3"/>
  <c r="CQ67" i="3" s="1"/>
  <c r="CX72" i="3"/>
  <c r="BD71" i="3"/>
  <c r="CE84" i="3"/>
  <c r="CO80" i="3"/>
  <c r="CT80" i="3" s="1"/>
  <c r="BD82" i="3"/>
  <c r="BK82" i="3" s="1"/>
  <c r="CC48" i="3"/>
  <c r="CG48" i="3" s="1"/>
  <c r="CD55" i="3"/>
  <c r="CC51" i="3"/>
  <c r="CG51" i="3" s="1"/>
  <c r="AX52" i="3"/>
  <c r="AE52" i="3"/>
  <c r="BK53" i="3"/>
  <c r="AK60" i="3"/>
  <c r="BQ60" i="3"/>
  <c r="BQ61" i="3" s="1"/>
  <c r="BK56" i="3"/>
  <c r="CC58" i="3"/>
  <c r="CG58" i="3" s="1"/>
  <c r="AE59" i="3"/>
  <c r="AX59" i="3"/>
  <c r="BQ66" i="3"/>
  <c r="BQ78" i="3" s="1"/>
  <c r="BD62" i="3"/>
  <c r="BK62" i="3" s="1"/>
  <c r="CC64" i="3"/>
  <c r="CG64" i="3" s="1"/>
  <c r="AX65" i="3"/>
  <c r="AE65" i="3"/>
  <c r="CJ69" i="3"/>
  <c r="CN69" i="3" s="1"/>
  <c r="BZ71" i="3"/>
  <c r="AX73" i="3"/>
  <c r="AE73" i="3"/>
  <c r="BD74" i="3"/>
  <c r="BK74" i="3" s="1"/>
  <c r="CF84" i="3"/>
  <c r="CP80" i="3"/>
  <c r="CQ80" i="3" s="1"/>
  <c r="AE48" i="3"/>
  <c r="AX48" i="3"/>
  <c r="K55" i="3"/>
  <c r="K61" i="3" s="1"/>
  <c r="CA55" i="3"/>
  <c r="CC50" i="3"/>
  <c r="AE51" i="3"/>
  <c r="AX51" i="3"/>
  <c r="BD52" i="3"/>
  <c r="BK52" i="3" s="1"/>
  <c r="CC54" i="3"/>
  <c r="CG54" i="3" s="1"/>
  <c r="CD60" i="3"/>
  <c r="CC57" i="3"/>
  <c r="CG57" i="3" s="1"/>
  <c r="AE58" i="3"/>
  <c r="AX58" i="3"/>
  <c r="BD59" i="3"/>
  <c r="BI59" i="3" s="1"/>
  <c r="CX60" i="3"/>
  <c r="CX61" i="3" s="1"/>
  <c r="CD66" i="3"/>
  <c r="CC63" i="3"/>
  <c r="CG63" i="3" s="1"/>
  <c r="AE64" i="3"/>
  <c r="AX64" i="3"/>
  <c r="CX66" i="3"/>
  <c r="BD65" i="3"/>
  <c r="AX67" i="3"/>
  <c r="AE67" i="3"/>
  <c r="BY72" i="3"/>
  <c r="BO77" i="3"/>
  <c r="BS77" i="3" s="1"/>
  <c r="BS73" i="3"/>
  <c r="BT77" i="3"/>
  <c r="BV74" i="3"/>
  <c r="BZ74" i="3" s="1"/>
  <c r="F76" i="3"/>
  <c r="E76" i="3" s="1"/>
  <c r="AE81" i="3"/>
  <c r="AX81" i="3"/>
  <c r="J72" i="3"/>
  <c r="CH72" i="3"/>
  <c r="CJ67" i="3"/>
  <c r="N68" i="3"/>
  <c r="AA68" i="3" s="1"/>
  <c r="CO68" i="3"/>
  <c r="CT68" i="3" s="1"/>
  <c r="AY70" i="3"/>
  <c r="AF70" i="3"/>
  <c r="AY73" i="3"/>
  <c r="AF73" i="3"/>
  <c r="CH77" i="3"/>
  <c r="CJ74" i="3"/>
  <c r="CN74" i="3" s="1"/>
  <c r="N75" i="3"/>
  <c r="AA75" i="3" s="1"/>
  <c r="BV75" i="3"/>
  <c r="BZ75" i="3" s="1"/>
  <c r="X82" i="3"/>
  <c r="O81" i="3"/>
  <c r="BI81" i="3"/>
  <c r="CP81" i="3"/>
  <c r="CQ81" i="3" s="1"/>
  <c r="BT90" i="3"/>
  <c r="BV85" i="3"/>
  <c r="AF87" i="3"/>
  <c r="AA87" i="3" s="1"/>
  <c r="AY87" i="3"/>
  <c r="BU95" i="3"/>
  <c r="BV68" i="3"/>
  <c r="BZ68" i="3" s="1"/>
  <c r="AG70" i="3"/>
  <c r="AZ70" i="3"/>
  <c r="BR70" i="3"/>
  <c r="D71" i="3"/>
  <c r="E71" i="3" s="1"/>
  <c r="CS71" i="3"/>
  <c r="AG73" i="3"/>
  <c r="AZ73" i="3"/>
  <c r="BR73" i="3"/>
  <c r="BN77" i="3"/>
  <c r="D74" i="3"/>
  <c r="E74" i="3" s="1"/>
  <c r="CS74" i="3"/>
  <c r="CC75" i="3"/>
  <c r="CG75" i="3" s="1"/>
  <c r="K84" i="3"/>
  <c r="K96" i="3" s="1"/>
  <c r="BV80" i="3"/>
  <c r="BT84" i="3"/>
  <c r="W83" i="3"/>
  <c r="W84" i="3" s="1"/>
  <c r="M82" i="3"/>
  <c r="Z82" i="3" s="1"/>
  <c r="AG83" i="3"/>
  <c r="AZ83" i="3"/>
  <c r="AQ83" i="3"/>
  <c r="CR83" i="3"/>
  <c r="CQ83" i="3"/>
  <c r="CI95" i="3"/>
  <c r="AZ76" i="3"/>
  <c r="AG76" i="3"/>
  <c r="BR76" i="3"/>
  <c r="I84" i="3"/>
  <c r="BM84" i="3"/>
  <c r="CK84" i="3"/>
  <c r="AZ81" i="3"/>
  <c r="AG81" i="3"/>
  <c r="BR81" i="3"/>
  <c r="CS82" i="3"/>
  <c r="CT82" i="3" s="1"/>
  <c r="BZ83" i="3"/>
  <c r="K90" i="3"/>
  <c r="BW90" i="3"/>
  <c r="BV86" i="3"/>
  <c r="BZ86" i="3" s="1"/>
  <c r="BR87" i="3"/>
  <c r="BD91" i="3"/>
  <c r="BK91" i="3" s="1"/>
  <c r="CX95" i="3"/>
  <c r="CA95" i="3"/>
  <c r="CC92" i="3"/>
  <c r="CG92" i="3" s="1"/>
  <c r="N76" i="3"/>
  <c r="CO76" i="3"/>
  <c r="CT76" i="3" s="1"/>
  <c r="J84" i="3"/>
  <c r="J96" i="3" s="1"/>
  <c r="CJ80" i="3"/>
  <c r="CH84" i="3"/>
  <c r="N81" i="3"/>
  <c r="AA81" i="3" s="1"/>
  <c r="CO81" i="3"/>
  <c r="F82" i="3"/>
  <c r="AF83" i="3"/>
  <c r="AY83" i="3"/>
  <c r="G90" i="3"/>
  <c r="I90" i="3" s="1"/>
  <c r="D85" i="3"/>
  <c r="BX90" i="3"/>
  <c r="AY86" i="3"/>
  <c r="AF86" i="3"/>
  <c r="AZ88" i="3"/>
  <c r="AG88" i="3"/>
  <c r="S95" i="3"/>
  <c r="AO95" i="3" s="1"/>
  <c r="N91" i="3"/>
  <c r="CJ93" i="3"/>
  <c r="CN93" i="3" s="1"/>
  <c r="BM90" i="3"/>
  <c r="CK90" i="3"/>
  <c r="AG86" i="3"/>
  <c r="AZ86" i="3"/>
  <c r="BR86" i="3"/>
  <c r="E87" i="3"/>
  <c r="BW95" i="3"/>
  <c r="AX92" i="3"/>
  <c r="AE92" i="3"/>
  <c r="N86" i="3"/>
  <c r="CO86" i="3"/>
  <c r="CT86" i="3" s="1"/>
  <c r="F87" i="3"/>
  <c r="AF88" i="3"/>
  <c r="AA88" i="3" s="1"/>
  <c r="AY88" i="3"/>
  <c r="CO88" i="3"/>
  <c r="M89" i="3"/>
  <c r="Z89" i="3" s="1"/>
  <c r="W91" i="3"/>
  <c r="BI88" i="3"/>
  <c r="X89" i="3"/>
  <c r="X90" i="3" s="1"/>
  <c r="O88" i="3"/>
  <c r="CP88" i="3"/>
  <c r="CQ88" i="3" s="1"/>
  <c r="BI91" i="3"/>
  <c r="T95" i="3"/>
  <c r="X92" i="3"/>
  <c r="O91" i="3"/>
  <c r="BP95" i="3"/>
  <c r="CP91" i="3"/>
  <c r="CQ91" i="3" s="1"/>
  <c r="CF95" i="3"/>
  <c r="CP95" i="3" s="1"/>
  <c r="CS92" i="3"/>
  <c r="CT92" i="3" s="1"/>
  <c r="AE93" i="3"/>
  <c r="AX93" i="3"/>
  <c r="CR93" i="3"/>
  <c r="CQ93" i="3"/>
  <c r="AX94" i="3"/>
  <c r="AE94" i="3"/>
  <c r="Z94" i="3" s="1"/>
  <c r="AY94" i="3"/>
  <c r="AF94" i="3"/>
  <c r="CN94" i="3"/>
  <c r="G84" i="3"/>
  <c r="D80" i="3"/>
  <c r="X75" i="3"/>
  <c r="O74" i="3"/>
  <c r="AB74" i="3" s="1"/>
  <c r="N70" i="3"/>
  <c r="AA70" i="3" s="1"/>
  <c r="BL72" i="3"/>
  <c r="N65" i="3"/>
  <c r="AA65" i="3" s="1"/>
  <c r="AG59" i="3"/>
  <c r="AZ59" i="3"/>
  <c r="AQ59" i="3"/>
  <c r="AZ58" i="3"/>
  <c r="AG58" i="3"/>
  <c r="BL60" i="3"/>
  <c r="AQ54" i="3"/>
  <c r="CO53" i="3"/>
  <c r="CT53" i="3" s="1"/>
  <c r="T55" i="3"/>
  <c r="X51" i="3"/>
  <c r="O50" i="3"/>
  <c r="X48" i="3"/>
  <c r="X49" i="3" s="1"/>
  <c r="O47" i="3"/>
  <c r="AB47" i="3" s="1"/>
  <c r="CJ45" i="3"/>
  <c r="CH49" i="3"/>
  <c r="CX43" i="3"/>
  <c r="CX44" i="3" s="1"/>
  <c r="BD42" i="3"/>
  <c r="AX41" i="3"/>
  <c r="AE41" i="3"/>
  <c r="N40" i="3"/>
  <c r="AA40" i="3" s="1"/>
  <c r="BY43" i="3"/>
  <c r="CY35" i="3"/>
  <c r="BT38" i="3"/>
  <c r="AV31" i="3"/>
  <c r="CY30" i="3"/>
  <c r="BA30" i="3"/>
  <c r="BS30" i="3"/>
  <c r="N30" i="3"/>
  <c r="AA30" i="3" s="1"/>
  <c r="BY32" i="3"/>
  <c r="BY44" i="3" s="1"/>
  <c r="AD28" i="3"/>
  <c r="AW28" i="3"/>
  <c r="AQ28" i="3"/>
  <c r="BA25" i="3"/>
  <c r="CW26" i="3"/>
  <c r="CY25" i="3"/>
  <c r="D23" i="3"/>
  <c r="E23" i="3" s="1"/>
  <c r="BU26" i="3"/>
  <c r="D20" i="3"/>
  <c r="AF19" i="3"/>
  <c r="AA19" i="3" s="1"/>
  <c r="AY19" i="3"/>
  <c r="CR18" i="3"/>
  <c r="BR18" i="3"/>
  <c r="AG18" i="3"/>
  <c r="AZ18" i="3"/>
  <c r="BD17" i="3"/>
  <c r="BK17" i="3" s="1"/>
  <c r="AV17" i="3"/>
  <c r="F17" i="3"/>
  <c r="BV21" i="3"/>
  <c r="BZ16" i="3"/>
  <c r="J21" i="3"/>
  <c r="BI13" i="3"/>
  <c r="O13" i="3"/>
  <c r="AB13" i="3" s="1"/>
  <c r="X14" i="3"/>
  <c r="X15" i="3" s="1"/>
  <c r="W13" i="3"/>
  <c r="M12" i="3"/>
  <c r="Z12" i="3" s="1"/>
  <c r="CF15" i="3"/>
  <c r="CP11" i="3"/>
  <c r="BP15" i="3"/>
  <c r="AJ15" i="3"/>
  <c r="AY63" i="3"/>
  <c r="AF63" i="3"/>
  <c r="T66" i="3"/>
  <c r="X63" i="3"/>
  <c r="O62" i="3"/>
  <c r="BD48" i="3"/>
  <c r="BI48" i="3" s="1"/>
  <c r="CX49" i="3"/>
  <c r="CS46" i="3"/>
  <c r="BR40" i="3"/>
  <c r="CR39" i="3"/>
  <c r="CQ39" i="3"/>
  <c r="CL43" i="3"/>
  <c r="AZ39" i="3"/>
  <c r="AG39" i="3"/>
  <c r="CJ37" i="3"/>
  <c r="CN37" i="3" s="1"/>
  <c r="BX38" i="3"/>
  <c r="D33" i="3"/>
  <c r="G38" i="3"/>
  <c r="I38" i="3" s="1"/>
  <c r="D30" i="3"/>
  <c r="E30" i="3" s="1"/>
  <c r="CC32" i="3"/>
  <c r="CG28" i="3"/>
  <c r="CO24" i="3"/>
  <c r="AH26" i="3"/>
  <c r="AL22" i="3"/>
  <c r="CG20" i="3"/>
  <c r="V19" i="3"/>
  <c r="U18" i="3"/>
  <c r="L18" i="3"/>
  <c r="BS17" i="3"/>
  <c r="D17" i="3"/>
  <c r="BU21" i="3"/>
  <c r="CO13" i="3"/>
  <c r="CS11" i="3"/>
  <c r="CM15" i="3"/>
  <c r="AQ50" i="3"/>
  <c r="CB38" i="3"/>
  <c r="AZ28" i="3"/>
  <c r="AG28" i="3"/>
  <c r="BR24" i="3"/>
  <c r="CG22" i="3"/>
  <c r="CC26" i="3"/>
  <c r="CG26" i="3" s="1"/>
  <c r="AL13" i="3"/>
  <c r="F35" i="3"/>
  <c r="E35" i="3" s="1"/>
  <c r="CP23" i="3"/>
  <c r="CQ23" i="3" s="1"/>
  <c r="AD19" i="3"/>
  <c r="AQ19" i="3"/>
  <c r="AW19" i="3"/>
  <c r="AV16" i="3"/>
  <c r="BW66" i="3"/>
  <c r="CJ75" i="3"/>
  <c r="CN75" i="3" s="1"/>
  <c r="AZ45" i="3"/>
  <c r="AG45" i="3"/>
  <c r="CL49" i="3"/>
  <c r="CR45" i="3"/>
  <c r="CQ45" i="3"/>
  <c r="CR46" i="3"/>
  <c r="CQ46" i="3"/>
  <c r="BV56" i="3"/>
  <c r="BT60" i="3"/>
  <c r="BR59" i="3"/>
  <c r="AE63" i="3"/>
  <c r="AX63" i="3"/>
  <c r="D24" i="3"/>
  <c r="E24" i="3" s="1"/>
  <c r="AG34" i="3"/>
  <c r="AZ34" i="3"/>
  <c r="BH30" i="3"/>
  <c r="L30" i="3"/>
  <c r="U30" i="3"/>
  <c r="K26" i="3"/>
  <c r="CP18" i="3"/>
  <c r="CQ18" i="3" s="1"/>
  <c r="CB21" i="3"/>
  <c r="CB27" i="3" s="1"/>
  <c r="BZ11" i="3"/>
  <c r="BV15" i="3"/>
  <c r="N37" i="3"/>
  <c r="CM38" i="3"/>
  <c r="CS38" i="3" s="1"/>
  <c r="CS33" i="3"/>
  <c r="X24" i="3"/>
  <c r="BI23" i="3"/>
  <c r="O23" i="3"/>
  <c r="AQ47" i="3"/>
  <c r="AQ40" i="3"/>
  <c r="BN15" i="3"/>
  <c r="CA78" i="3" l="1"/>
  <c r="CA61" i="3"/>
  <c r="BL61" i="3"/>
  <c r="BL79" i="3" s="1"/>
  <c r="Z41" i="3"/>
  <c r="AA93" i="3"/>
  <c r="CA44" i="3"/>
  <c r="AI95" i="3"/>
  <c r="AI96" i="3" s="1"/>
  <c r="BT61" i="3"/>
  <c r="Z24" i="3"/>
  <c r="BQ44" i="3"/>
  <c r="CT73" i="3"/>
  <c r="Z88" i="3"/>
  <c r="E17" i="3"/>
  <c r="CT24" i="3"/>
  <c r="CT88" i="3"/>
  <c r="AX72" i="3"/>
  <c r="CP72" i="3"/>
  <c r="BQ27" i="3"/>
  <c r="BU61" i="3"/>
  <c r="CK44" i="3"/>
  <c r="BR72" i="3"/>
  <c r="BY78" i="3"/>
  <c r="AB63" i="3"/>
  <c r="Z86" i="3"/>
  <c r="Z76" i="3"/>
  <c r="AB76" i="3"/>
  <c r="AJ55" i="3"/>
  <c r="BR55" i="3"/>
  <c r="CT48" i="3"/>
  <c r="BL44" i="3"/>
  <c r="CN26" i="3"/>
  <c r="AJ90" i="3"/>
  <c r="AJ96" i="3" s="1"/>
  <c r="CT77" i="3"/>
  <c r="AB58" i="3"/>
  <c r="Z54" i="3"/>
  <c r="AB24" i="3"/>
  <c r="CT14" i="3"/>
  <c r="Z58" i="3"/>
  <c r="AB29" i="3"/>
  <c r="AL26" i="3"/>
  <c r="E20" i="3"/>
  <c r="BW96" i="3"/>
  <c r="CS60" i="3"/>
  <c r="CO90" i="3"/>
  <c r="CH44" i="3"/>
  <c r="AB57" i="3"/>
  <c r="AI72" i="3"/>
  <c r="BW78" i="3"/>
  <c r="CT81" i="3"/>
  <c r="BT96" i="3"/>
  <c r="BS90" i="3"/>
  <c r="CP60" i="3"/>
  <c r="CQ60" i="3" s="1"/>
  <c r="Z19" i="3"/>
  <c r="AX60" i="3"/>
  <c r="BS60" i="3"/>
  <c r="CT56" i="3"/>
  <c r="BS26" i="3"/>
  <c r="G78" i="3"/>
  <c r="AJ95" i="3"/>
  <c r="CT57" i="3"/>
  <c r="E31" i="3"/>
  <c r="BY96" i="3"/>
  <c r="Z83" i="3"/>
  <c r="BR60" i="3"/>
  <c r="BP96" i="3"/>
  <c r="CK78" i="3"/>
  <c r="BM61" i="3"/>
  <c r="BM79" i="3" s="1"/>
  <c r="CI61" i="3"/>
  <c r="BR38" i="3"/>
  <c r="CT31" i="3"/>
  <c r="CP90" i="3"/>
  <c r="BV77" i="3"/>
  <c r="BZ77" i="3" s="1"/>
  <c r="CP55" i="3"/>
  <c r="CO55" i="3"/>
  <c r="BU78" i="3"/>
  <c r="BT44" i="3"/>
  <c r="T78" i="3"/>
  <c r="AP66" i="3"/>
  <c r="BJ25" i="3"/>
  <c r="BE25" i="3"/>
  <c r="BA26" i="3"/>
  <c r="BB25" i="3"/>
  <c r="BB26" i="3" s="1"/>
  <c r="BB27" i="3" s="1"/>
  <c r="BD43" i="3"/>
  <c r="BK42" i="3"/>
  <c r="O55" i="3"/>
  <c r="AB50" i="3"/>
  <c r="AX49" i="3"/>
  <c r="BD38" i="3"/>
  <c r="BK38" i="3" s="1"/>
  <c r="BK37" i="3"/>
  <c r="D49" i="3"/>
  <c r="E45" i="3"/>
  <c r="E49" i="3" s="1"/>
  <c r="CF44" i="3"/>
  <c r="CP44" i="3" s="1"/>
  <c r="CP32" i="3"/>
  <c r="CQ32" i="3" s="1"/>
  <c r="U21" i="3"/>
  <c r="U26" i="3"/>
  <c r="V28" i="3"/>
  <c r="CJ90" i="3"/>
  <c r="CN90" i="3" s="1"/>
  <c r="CN85" i="3"/>
  <c r="BJ28" i="3"/>
  <c r="BE28" i="3"/>
  <c r="BB28" i="3"/>
  <c r="V34" i="3"/>
  <c r="U32" i="3"/>
  <c r="Z80" i="3"/>
  <c r="M84" i="3"/>
  <c r="CD61" i="3"/>
  <c r="BD32" i="3"/>
  <c r="BK32" i="3" s="1"/>
  <c r="BK31" i="3"/>
  <c r="BI31" i="3"/>
  <c r="AB92" i="3"/>
  <c r="CI96" i="3"/>
  <c r="BK77" i="3"/>
  <c r="BD78" i="3"/>
  <c r="CG62" i="3"/>
  <c r="CC66" i="3"/>
  <c r="BO27" i="3"/>
  <c r="BS15" i="3"/>
  <c r="BE34" i="3"/>
  <c r="BA35" i="3"/>
  <c r="BB35" i="3" s="1"/>
  <c r="BJ34" i="3"/>
  <c r="BB34" i="3"/>
  <c r="BA15" i="3"/>
  <c r="BJ14" i="3"/>
  <c r="BE14" i="3"/>
  <c r="BB14" i="3"/>
  <c r="BB15" i="3" s="1"/>
  <c r="AB14" i="3"/>
  <c r="Y25" i="3"/>
  <c r="AC25" i="3" s="1"/>
  <c r="P25" i="3"/>
  <c r="AX95" i="3"/>
  <c r="CJ77" i="3"/>
  <c r="CN77" i="3" s="1"/>
  <c r="CN73" i="3"/>
  <c r="Y17" i="3"/>
  <c r="AC17" i="3" s="1"/>
  <c r="P17" i="3"/>
  <c r="N26" i="3"/>
  <c r="AA22" i="3"/>
  <c r="AA26" i="3" s="1"/>
  <c r="AF26" i="3" s="1"/>
  <c r="Z71" i="3"/>
  <c r="AP77" i="3"/>
  <c r="Z64" i="3"/>
  <c r="R27" i="3"/>
  <c r="BP27" i="3"/>
  <c r="BV84" i="3"/>
  <c r="BZ80" i="3"/>
  <c r="BD66" i="3"/>
  <c r="BK66" i="3" s="1"/>
  <c r="BK65" i="3"/>
  <c r="CE96" i="3"/>
  <c r="CO96" i="3" s="1"/>
  <c r="CO84" i="3"/>
  <c r="CT84" i="3" s="1"/>
  <c r="BL78" i="3"/>
  <c r="Y34" i="3"/>
  <c r="P34" i="3"/>
  <c r="D43" i="3"/>
  <c r="H43" i="3" s="1"/>
  <c r="F43" i="3" s="1"/>
  <c r="E39" i="3"/>
  <c r="E43" i="3" s="1"/>
  <c r="BJ16" i="3"/>
  <c r="BE16" i="3"/>
  <c r="BB16" i="3"/>
  <c r="CK61" i="3"/>
  <c r="R44" i="3"/>
  <c r="W34" i="3"/>
  <c r="AP60" i="3"/>
  <c r="AK95" i="3"/>
  <c r="CT74" i="3"/>
  <c r="CG80" i="3"/>
  <c r="CC84" i="3"/>
  <c r="Z47" i="3"/>
  <c r="L32" i="3"/>
  <c r="AM32" i="3" s="1"/>
  <c r="P28" i="3"/>
  <c r="Y28" i="3"/>
  <c r="CI79" i="3"/>
  <c r="BE12" i="3"/>
  <c r="BJ12" i="3"/>
  <c r="BB12" i="3"/>
  <c r="AO15" i="3"/>
  <c r="AY15" i="3" s="1"/>
  <c r="S27" i="3"/>
  <c r="BJ24" i="3"/>
  <c r="BE24" i="3"/>
  <c r="BB24" i="3"/>
  <c r="G44" i="3"/>
  <c r="M95" i="3"/>
  <c r="Z91" i="3"/>
  <c r="AB93" i="3"/>
  <c r="CQ95" i="3"/>
  <c r="CR95" i="3"/>
  <c r="U35" i="3"/>
  <c r="L35" i="3"/>
  <c r="BD21" i="3"/>
  <c r="BK21" i="3" s="1"/>
  <c r="BK20" i="3"/>
  <c r="Y12" i="3"/>
  <c r="AC12" i="3" s="1"/>
  <c r="P12" i="3"/>
  <c r="BR26" i="3"/>
  <c r="BH25" i="3"/>
  <c r="AJ21" i="3"/>
  <c r="AJ27" i="3" s="1"/>
  <c r="CT62" i="3"/>
  <c r="BD90" i="3"/>
  <c r="BK89" i="3"/>
  <c r="BN96" i="3"/>
  <c r="BR96" i="3" s="1"/>
  <c r="BR84" i="3"/>
  <c r="CR60" i="3"/>
  <c r="BI65" i="3"/>
  <c r="AA45" i="3"/>
  <c r="N49" i="3"/>
  <c r="BO44" i="3"/>
  <c r="BS44" i="3" s="1"/>
  <c r="BS32" i="3"/>
  <c r="CN21" i="3"/>
  <c r="AB87" i="3"/>
  <c r="O77" i="3"/>
  <c r="AB73" i="3"/>
  <c r="AB77" i="3" s="1"/>
  <c r="AG77" i="3" s="1"/>
  <c r="AB23" i="3"/>
  <c r="P30" i="3"/>
  <c r="Y30" i="3"/>
  <c r="AC30" i="3" s="1"/>
  <c r="CT13" i="3"/>
  <c r="Y18" i="3"/>
  <c r="P18" i="3"/>
  <c r="D38" i="3"/>
  <c r="H38" i="3" s="1"/>
  <c r="F38" i="3" s="1"/>
  <c r="E33" i="3"/>
  <c r="E38" i="3" s="1"/>
  <c r="O66" i="3"/>
  <c r="AB62" i="3"/>
  <c r="CH61" i="3"/>
  <c r="E80" i="3"/>
  <c r="E84" i="3" s="1"/>
  <c r="D84" i="3"/>
  <c r="O95" i="3"/>
  <c r="AB91" i="3"/>
  <c r="CH96" i="3"/>
  <c r="AA76" i="3"/>
  <c r="CK96" i="3"/>
  <c r="BR77" i="3"/>
  <c r="CX78" i="3"/>
  <c r="CX79" i="3" s="1"/>
  <c r="CD78" i="3"/>
  <c r="AX77" i="3"/>
  <c r="AK66" i="3"/>
  <c r="BD72" i="3"/>
  <c r="BK72" i="3" s="1"/>
  <c r="BK71" i="3"/>
  <c r="CC60" i="3"/>
  <c r="CG60" i="3" s="1"/>
  <c r="CG56" i="3"/>
  <c r="AK55" i="3"/>
  <c r="AK61" i="3" s="1"/>
  <c r="CT35" i="3"/>
  <c r="BH34" i="3"/>
  <c r="BW61" i="3"/>
  <c r="CS43" i="3"/>
  <c r="AB53" i="3"/>
  <c r="BQ79" i="3"/>
  <c r="N21" i="3"/>
  <c r="AA16" i="3"/>
  <c r="BJ20" i="3"/>
  <c r="BE20" i="3"/>
  <c r="BA21" i="3"/>
  <c r="BB20" i="3"/>
  <c r="BB21" i="3" s="1"/>
  <c r="BJ23" i="3"/>
  <c r="BE23" i="3"/>
  <c r="BB23" i="3"/>
  <c r="I32" i="3"/>
  <c r="I44" i="3" s="1"/>
  <c r="O38" i="3"/>
  <c r="AB33" i="3"/>
  <c r="AJ77" i="3"/>
  <c r="BK14" i="3"/>
  <c r="BD15" i="3"/>
  <c r="BK15" i="3" s="1"/>
  <c r="L26" i="3"/>
  <c r="P22" i="3"/>
  <c r="Y22" i="3"/>
  <c r="BW27" i="3"/>
  <c r="CM44" i="3"/>
  <c r="CS44" i="3" s="1"/>
  <c r="CS32" i="3"/>
  <c r="AA46" i="3"/>
  <c r="BX27" i="3"/>
  <c r="CA96" i="3"/>
  <c r="BI64" i="3"/>
  <c r="Z56" i="3"/>
  <c r="Z60" i="3" s="1"/>
  <c r="AE60" i="3" s="1"/>
  <c r="M60" i="3"/>
  <c r="CB78" i="3"/>
  <c r="BJ33" i="3"/>
  <c r="BE33" i="3"/>
  <c r="BB33" i="3"/>
  <c r="CP26" i="3"/>
  <c r="CQ26" i="3" s="1"/>
  <c r="BY27" i="3"/>
  <c r="BY79" i="3" s="1"/>
  <c r="S44" i="3"/>
  <c r="AO44" i="3" s="1"/>
  <c r="AO32" i="3"/>
  <c r="AY32" i="3" s="1"/>
  <c r="CF78" i="3"/>
  <c r="CP78" i="3" s="1"/>
  <c r="CP66" i="3"/>
  <c r="CT11" i="3"/>
  <c r="BH28" i="3"/>
  <c r="BH32" i="3" s="1"/>
  <c r="AH32" i="3"/>
  <c r="CJ38" i="3"/>
  <c r="CN38" i="3" s="1"/>
  <c r="R96" i="3"/>
  <c r="AN84" i="3"/>
  <c r="S96" i="3"/>
  <c r="AO96" i="3" s="1"/>
  <c r="AO84" i="3"/>
  <c r="Z74" i="3"/>
  <c r="CO72" i="3"/>
  <c r="CJ66" i="3"/>
  <c r="CN62" i="3"/>
  <c r="AB68" i="3"/>
  <c r="CJ55" i="3"/>
  <c r="CN55" i="3" s="1"/>
  <c r="CN50" i="3"/>
  <c r="O84" i="3"/>
  <c r="AB80" i="3"/>
  <c r="CG39" i="3"/>
  <c r="CC43" i="3"/>
  <c r="CG43" i="3" s="1"/>
  <c r="BI34" i="3"/>
  <c r="CN32" i="3"/>
  <c r="AB25" i="3"/>
  <c r="AA11" i="3"/>
  <c r="N15" i="3"/>
  <c r="G27" i="3"/>
  <c r="Z17" i="3"/>
  <c r="AB18" i="3"/>
  <c r="Z34" i="3"/>
  <c r="AA17" i="3"/>
  <c r="CT47" i="3"/>
  <c r="CJ27" i="3"/>
  <c r="CN15" i="3"/>
  <c r="BH23" i="3"/>
  <c r="BH26" i="3" s="1"/>
  <c r="D32" i="3"/>
  <c r="E28" i="3"/>
  <c r="E32" i="3" s="1"/>
  <c r="CT40" i="3"/>
  <c r="BO78" i="3"/>
  <c r="BS78" i="3" s="1"/>
  <c r="BS66" i="3"/>
  <c r="BD95" i="3"/>
  <c r="BK94" i="3"/>
  <c r="Z93" i="3"/>
  <c r="CT91" i="3"/>
  <c r="BR90" i="3"/>
  <c r="AB83" i="3"/>
  <c r="AB94" i="3"/>
  <c r="AB75" i="3"/>
  <c r="CR77" i="3"/>
  <c r="CQ77" i="3"/>
  <c r="Z73" i="3"/>
  <c r="M77" i="3"/>
  <c r="BN78" i="3"/>
  <c r="BR66" i="3"/>
  <c r="D55" i="3"/>
  <c r="H55" i="3" s="1"/>
  <c r="F55" i="3" s="1"/>
  <c r="E50" i="3"/>
  <c r="E55" i="3" s="1"/>
  <c r="I66" i="3"/>
  <c r="I78" i="3" s="1"/>
  <c r="AX66" i="3"/>
  <c r="AX78" i="3" s="1"/>
  <c r="AJ43" i="3"/>
  <c r="AJ44" i="3" s="1"/>
  <c r="AB54" i="3"/>
  <c r="AB46" i="3"/>
  <c r="Z42" i="3"/>
  <c r="BS43" i="3"/>
  <c r="M26" i="3"/>
  <c r="Z22" i="3"/>
  <c r="Z26" i="3" s="1"/>
  <c r="AE26" i="3" s="1"/>
  <c r="Z30" i="3"/>
  <c r="BU27" i="3"/>
  <c r="CY15" i="3"/>
  <c r="BN61" i="3"/>
  <c r="BR61" i="3" s="1"/>
  <c r="BR49" i="3"/>
  <c r="BJ19" i="3"/>
  <c r="BE19" i="3"/>
  <c r="BB19" i="3"/>
  <c r="K44" i="3"/>
  <c r="CO38" i="3"/>
  <c r="CT38" i="3" s="1"/>
  <c r="CE78" i="3"/>
  <c r="CO78" i="3" s="1"/>
  <c r="CO66" i="3"/>
  <c r="CS95" i="3"/>
  <c r="CT95" i="3" s="1"/>
  <c r="AB89" i="3"/>
  <c r="N72" i="3"/>
  <c r="AA67" i="3"/>
  <c r="AA72" i="3" s="1"/>
  <c r="AF72" i="3" s="1"/>
  <c r="Z75" i="3"/>
  <c r="AB52" i="3"/>
  <c r="S78" i="3"/>
  <c r="AO78" i="3" s="1"/>
  <c r="AO66" i="3"/>
  <c r="AP43" i="3"/>
  <c r="AZ43" i="3" s="1"/>
  <c r="AO49" i="3"/>
  <c r="S61" i="3"/>
  <c r="AO61" i="3" s="1"/>
  <c r="CO43" i="3"/>
  <c r="BI37" i="3"/>
  <c r="J27" i="3"/>
  <c r="K27" i="3"/>
  <c r="O21" i="3"/>
  <c r="AB16" i="3"/>
  <c r="AB21" i="3" s="1"/>
  <c r="AG21" i="3" s="1"/>
  <c r="CR21" i="3"/>
  <c r="BS38" i="3"/>
  <c r="AX90" i="3"/>
  <c r="AB70" i="3"/>
  <c r="BV66" i="3"/>
  <c r="BZ62" i="3"/>
  <c r="M38" i="3"/>
  <c r="Z33" i="3"/>
  <c r="BI22" i="3"/>
  <c r="BZ26" i="3"/>
  <c r="AB41" i="3"/>
  <c r="BV27" i="3"/>
  <c r="BZ15" i="3"/>
  <c r="CR49" i="3"/>
  <c r="CL61" i="3"/>
  <c r="CM27" i="3"/>
  <c r="CS15" i="3"/>
  <c r="N95" i="3"/>
  <c r="AA91" i="3"/>
  <c r="BK59" i="3"/>
  <c r="BD60" i="3"/>
  <c r="L21" i="3"/>
  <c r="AM21" i="3" s="1"/>
  <c r="Y16" i="3"/>
  <c r="P16" i="3"/>
  <c r="BD26" i="3"/>
  <c r="BK25" i="3"/>
  <c r="O60" i="3"/>
  <c r="AB56" i="3"/>
  <c r="AX84" i="3"/>
  <c r="CG85" i="3"/>
  <c r="CC90" i="3"/>
  <c r="CG90" i="3" s="1"/>
  <c r="BX44" i="3"/>
  <c r="CR44" i="3" s="1"/>
  <c r="BE17" i="3"/>
  <c r="BJ17" i="3"/>
  <c r="BB17" i="3"/>
  <c r="P20" i="3"/>
  <c r="Y20" i="3"/>
  <c r="AC20" i="3" s="1"/>
  <c r="Y11" i="3"/>
  <c r="P11" i="3"/>
  <c r="L15" i="3"/>
  <c r="BJ22" i="3"/>
  <c r="BE22" i="3"/>
  <c r="BB22" i="3"/>
  <c r="N38" i="3"/>
  <c r="AA33" i="3"/>
  <c r="D77" i="3"/>
  <c r="H77" i="3" s="1"/>
  <c r="F77" i="3" s="1"/>
  <c r="E73" i="3"/>
  <c r="E77" i="3" s="1"/>
  <c r="Z31" i="3"/>
  <c r="CM78" i="3"/>
  <c r="CS78" i="3" s="1"/>
  <c r="CS66" i="3"/>
  <c r="CT22" i="3"/>
  <c r="BI93" i="3"/>
  <c r="O90" i="3"/>
  <c r="AP90" i="3" s="1"/>
  <c r="AB85" i="3"/>
  <c r="AA53" i="3"/>
  <c r="BV49" i="3"/>
  <c r="BZ45" i="3"/>
  <c r="BZ39" i="3"/>
  <c r="BV43" i="3"/>
  <c r="BZ43" i="3" s="1"/>
  <c r="CY38" i="3"/>
  <c r="X34" i="3"/>
  <c r="T44" i="3"/>
  <c r="BI32" i="3"/>
  <c r="W28" i="3"/>
  <c r="AB65" i="3"/>
  <c r="AB39" i="3"/>
  <c r="O43" i="3"/>
  <c r="CO49" i="3"/>
  <c r="CE61" i="3"/>
  <c r="CO61" i="3" s="1"/>
  <c r="CT61" i="3" s="1"/>
  <c r="BN44" i="3"/>
  <c r="BR44" i="3" s="1"/>
  <c r="BR32" i="3"/>
  <c r="CT55" i="3"/>
  <c r="Z51" i="3"/>
  <c r="CG15" i="3"/>
  <c r="CC27" i="3"/>
  <c r="CQ44" i="3"/>
  <c r="BD49" i="3"/>
  <c r="BK49" i="3" s="1"/>
  <c r="BK48" i="3"/>
  <c r="BI62" i="3"/>
  <c r="BI66" i="3" s="1"/>
  <c r="BI47" i="3"/>
  <c r="AK72" i="3"/>
  <c r="CC55" i="3"/>
  <c r="CG55" i="3" s="1"/>
  <c r="CG50" i="3"/>
  <c r="CI78" i="3"/>
  <c r="E56" i="3"/>
  <c r="D60" i="3"/>
  <c r="H60" i="3" s="1"/>
  <c r="F60" i="3" s="1"/>
  <c r="CS49" i="3"/>
  <c r="CM61" i="3"/>
  <c r="CS61" i="3" s="1"/>
  <c r="CE44" i="3"/>
  <c r="CO44" i="3" s="1"/>
  <c r="CO32" i="3"/>
  <c r="CT32" i="3" s="1"/>
  <c r="M43" i="3"/>
  <c r="Z39" i="3"/>
  <c r="BZ50" i="3"/>
  <c r="BV55" i="3"/>
  <c r="BZ55" i="3" s="1"/>
  <c r="CS26" i="3"/>
  <c r="CO15" i="3"/>
  <c r="CE27" i="3"/>
  <c r="U15" i="3"/>
  <c r="BH15" i="3"/>
  <c r="AM15" i="3"/>
  <c r="Q27" i="3"/>
  <c r="AH15" i="3"/>
  <c r="M90" i="3"/>
  <c r="Z85" i="3"/>
  <c r="CH78" i="3"/>
  <c r="Z48" i="3"/>
  <c r="T96" i="3"/>
  <c r="AP84" i="3"/>
  <c r="AB34" i="3"/>
  <c r="CC72" i="3"/>
  <c r="CG72" i="3" s="1"/>
  <c r="CG67" i="3"/>
  <c r="Z59" i="3"/>
  <c r="P19" i="3"/>
  <c r="Y19" i="3"/>
  <c r="AC19" i="3" s="1"/>
  <c r="D15" i="3"/>
  <c r="E11" i="3"/>
  <c r="E15" i="3" s="1"/>
  <c r="N90" i="3"/>
  <c r="AA85" i="3"/>
  <c r="AA90" i="3" s="1"/>
  <c r="AF90" i="3" s="1"/>
  <c r="M49" i="3"/>
  <c r="Z45" i="3"/>
  <c r="P23" i="3"/>
  <c r="Y23" i="3"/>
  <c r="AC23" i="3" s="1"/>
  <c r="BZ67" i="3"/>
  <c r="BV72" i="3"/>
  <c r="BZ72" i="3" s="1"/>
  <c r="E57" i="3"/>
  <c r="D72" i="3"/>
  <c r="H72" i="3" s="1"/>
  <c r="F72" i="3" s="1"/>
  <c r="E67" i="3"/>
  <c r="E72" i="3" s="1"/>
  <c r="BO61" i="3"/>
  <c r="BS61" i="3" s="1"/>
  <c r="BS49" i="3"/>
  <c r="AB40" i="3"/>
  <c r="AB28" i="3"/>
  <c r="O32" i="3"/>
  <c r="BE13" i="3"/>
  <c r="BB13" i="3"/>
  <c r="BJ13" i="3"/>
  <c r="CP21" i="3"/>
  <c r="CQ21" i="3" s="1"/>
  <c r="AB11" i="3"/>
  <c r="O15" i="3"/>
  <c r="BU96" i="3"/>
  <c r="Z62" i="3"/>
  <c r="M66" i="3"/>
  <c r="BI51" i="3"/>
  <c r="AI55" i="3"/>
  <c r="AB45" i="3"/>
  <c r="O49" i="3"/>
  <c r="CT39" i="3"/>
  <c r="CA27" i="3"/>
  <c r="CA79" i="3" s="1"/>
  <c r="BJ18" i="3"/>
  <c r="BE18" i="3"/>
  <c r="BB18" i="3"/>
  <c r="D26" i="3"/>
  <c r="H26" i="3" s="1"/>
  <c r="F26" i="3" s="1"/>
  <c r="E22" i="3"/>
  <c r="E26" i="3" s="1"/>
  <c r="N60" i="3"/>
  <c r="AA56" i="3"/>
  <c r="AA60" i="3" s="1"/>
  <c r="AF60" i="3" s="1"/>
  <c r="AB35" i="3"/>
  <c r="AI60" i="3"/>
  <c r="AA50" i="3"/>
  <c r="N55" i="3"/>
  <c r="AK38" i="3"/>
  <c r="O72" i="3"/>
  <c r="AB67" i="3"/>
  <c r="X28" i="3"/>
  <c r="BI26" i="3"/>
  <c r="M15" i="3"/>
  <c r="Z11" i="3"/>
  <c r="Z15" i="3" s="1"/>
  <c r="BJ31" i="3"/>
  <c r="BA32" i="3"/>
  <c r="BE31" i="3"/>
  <c r="BB31" i="3"/>
  <c r="BB32" i="3" s="1"/>
  <c r="CJ43" i="3"/>
  <c r="CN43" i="3" s="1"/>
  <c r="CN39" i="3"/>
  <c r="BN27" i="3"/>
  <c r="BR15" i="3"/>
  <c r="AA37" i="3"/>
  <c r="BV60" i="3"/>
  <c r="BZ60" i="3" s="1"/>
  <c r="BZ56" i="3"/>
  <c r="BH18" i="3"/>
  <c r="CG32" i="3"/>
  <c r="CR43" i="3"/>
  <c r="CF27" i="3"/>
  <c r="CP15" i="3"/>
  <c r="CQ15" i="3" s="1"/>
  <c r="BZ21" i="3"/>
  <c r="AI26" i="3"/>
  <c r="CW27" i="3"/>
  <c r="CY26" i="3"/>
  <c r="BJ30" i="3"/>
  <c r="BE30" i="3"/>
  <c r="BB30" i="3"/>
  <c r="CJ49" i="3"/>
  <c r="CN45" i="3"/>
  <c r="BI50" i="3"/>
  <c r="BI74" i="3"/>
  <c r="G96" i="3"/>
  <c r="I96" i="3" s="1"/>
  <c r="AB88" i="3"/>
  <c r="AA86" i="3"/>
  <c r="D90" i="3"/>
  <c r="H90" i="3" s="1"/>
  <c r="F90" i="3" s="1"/>
  <c r="E85" i="3"/>
  <c r="E90" i="3" s="1"/>
  <c r="CJ84" i="3"/>
  <c r="CN80" i="3"/>
  <c r="BM96" i="3"/>
  <c r="BV90" i="3"/>
  <c r="BZ90" i="3" s="1"/>
  <c r="BZ85" i="3"/>
  <c r="AB81" i="3"/>
  <c r="CJ72" i="3"/>
  <c r="CN72" i="3" s="1"/>
  <c r="CN67" i="3"/>
  <c r="CF96" i="3"/>
  <c r="CP96" i="3" s="1"/>
  <c r="CP84" i="3"/>
  <c r="Z65" i="3"/>
  <c r="BD55" i="3"/>
  <c r="BK55" i="3" s="1"/>
  <c r="BK54" i="3"/>
  <c r="AX55" i="3"/>
  <c r="V35" i="3"/>
  <c r="G61" i="3"/>
  <c r="I61" i="3" s="1"/>
  <c r="BI20" i="3"/>
  <c r="BE11" i="3"/>
  <c r="BJ11" i="3"/>
  <c r="BB11" i="3"/>
  <c r="BI42" i="3"/>
  <c r="CK27" i="3"/>
  <c r="CY21" i="3"/>
  <c r="P29" i="3"/>
  <c r="Y29" i="3"/>
  <c r="BH22" i="3"/>
  <c r="M32" i="3"/>
  <c r="Z28" i="3"/>
  <c r="Z32" i="3" s="1"/>
  <c r="Z92" i="3"/>
  <c r="E91" i="3"/>
  <c r="E95" i="3" s="1"/>
  <c r="D95" i="3"/>
  <c r="H95" i="3" s="1"/>
  <c r="F95" i="3" s="1"/>
  <c r="AI77" i="3"/>
  <c r="AI78" i="3" s="1"/>
  <c r="AB64" i="3"/>
  <c r="CL78" i="3"/>
  <c r="CR66" i="3"/>
  <c r="CQ66" i="3"/>
  <c r="Z63" i="3"/>
  <c r="AB59" i="3"/>
  <c r="Z50" i="3"/>
  <c r="M55" i="3"/>
  <c r="AN55" i="3" s="1"/>
  <c r="CP43" i="3"/>
  <c r="CQ43" i="3" s="1"/>
  <c r="Y14" i="3"/>
  <c r="P14" i="3"/>
  <c r="D21" i="3"/>
  <c r="H21" i="3" s="1"/>
  <c r="F21" i="3" s="1"/>
  <c r="E16" i="3"/>
  <c r="E21" i="3" s="1"/>
  <c r="P24" i="3"/>
  <c r="Y24" i="3"/>
  <c r="N32" i="3"/>
  <c r="AA28" i="3"/>
  <c r="AA32" i="3" s="1"/>
  <c r="Z37" i="3"/>
  <c r="CT60" i="3"/>
  <c r="BO96" i="3"/>
  <c r="BS96" i="3" s="1"/>
  <c r="BS84" i="3"/>
  <c r="BJ29" i="3"/>
  <c r="BE29" i="3"/>
  <c r="BB29" i="3"/>
  <c r="CT46" i="3"/>
  <c r="AY38" i="3"/>
  <c r="E62" i="3"/>
  <c r="E66" i="3" s="1"/>
  <c r="E78" i="3" s="1"/>
  <c r="D66" i="3"/>
  <c r="BV95" i="3"/>
  <c r="BZ95" i="3" s="1"/>
  <c r="N84" i="3"/>
  <c r="AA80" i="3"/>
  <c r="AA84" i="3" s="1"/>
  <c r="Z67" i="3"/>
  <c r="M72" i="3"/>
  <c r="J78" i="3"/>
  <c r="AB71" i="3"/>
  <c r="AJ60" i="3"/>
  <c r="AJ61" i="3" s="1"/>
  <c r="Z40" i="3"/>
  <c r="AI32" i="3"/>
  <c r="J44" i="3"/>
  <c r="CL27" i="3"/>
  <c r="CR15" i="3"/>
  <c r="AN49" i="3"/>
  <c r="R61" i="3"/>
  <c r="CC38" i="3"/>
  <c r="CG38" i="3" s="1"/>
  <c r="Z16" i="3"/>
  <c r="Z21" i="3" s="1"/>
  <c r="M21" i="3"/>
  <c r="AN21" i="3" s="1"/>
  <c r="AX21" i="3" s="1"/>
  <c r="CO26" i="3"/>
  <c r="CD44" i="3"/>
  <c r="AA94" i="3"/>
  <c r="BD84" i="3"/>
  <c r="BK83" i="3"/>
  <c r="CS90" i="3"/>
  <c r="BI94" i="3"/>
  <c r="BL96" i="3"/>
  <c r="Z70" i="3"/>
  <c r="AK77" i="3"/>
  <c r="CQ90" i="3"/>
  <c r="CR90" i="3"/>
  <c r="N77" i="3"/>
  <c r="AA73" i="3"/>
  <c r="AA77" i="3" s="1"/>
  <c r="CC77" i="3"/>
  <c r="CG77" i="3" s="1"/>
  <c r="AI49" i="3"/>
  <c r="BI40" i="3"/>
  <c r="BI43" i="3" s="1"/>
  <c r="AI43" i="3"/>
  <c r="CR38" i="3"/>
  <c r="CQ38" i="3"/>
  <c r="CB44" i="3"/>
  <c r="AA34" i="3"/>
  <c r="Y13" i="3"/>
  <c r="AC13" i="3" s="1"/>
  <c r="P13" i="3"/>
  <c r="AA14" i="3"/>
  <c r="CO21" i="3"/>
  <c r="CT21" i="3" s="1"/>
  <c r="CR26" i="3"/>
  <c r="BP78" i="3"/>
  <c r="BV44" i="3"/>
  <c r="BZ44" i="3" s="1"/>
  <c r="BZ32" i="3"/>
  <c r="J61" i="3"/>
  <c r="BI14" i="3"/>
  <c r="T27" i="3"/>
  <c r="AP15" i="3"/>
  <c r="AZ15" i="3" s="1"/>
  <c r="CG21" i="3"/>
  <c r="AH21" i="3"/>
  <c r="AL21" i="3" s="1"/>
  <c r="CI44" i="3"/>
  <c r="P31" i="3"/>
  <c r="Y31" i="3"/>
  <c r="AC31" i="3" s="1"/>
  <c r="CT33" i="3"/>
  <c r="BR95" i="3"/>
  <c r="CC95" i="3"/>
  <c r="CG95" i="3" s="1"/>
  <c r="BI89" i="3"/>
  <c r="CM96" i="3"/>
  <c r="CS96" i="3" s="1"/>
  <c r="CS84" i="3"/>
  <c r="R78" i="3"/>
  <c r="AN78" i="3" s="1"/>
  <c r="AN66" i="3"/>
  <c r="Z53" i="3"/>
  <c r="AJ72" i="3"/>
  <c r="CR55" i="3"/>
  <c r="CQ55" i="3"/>
  <c r="Z68" i="3"/>
  <c r="N66" i="3"/>
  <c r="AA62" i="3"/>
  <c r="AA66" i="3" s="1"/>
  <c r="CF61" i="3"/>
  <c r="CP61" i="3" s="1"/>
  <c r="CP49" i="3"/>
  <c r="CQ49" i="3" s="1"/>
  <c r="T61" i="3"/>
  <c r="BI49" i="3"/>
  <c r="AP49" i="3"/>
  <c r="BI39" i="3"/>
  <c r="CS72" i="3"/>
  <c r="CT45" i="3"/>
  <c r="AA39" i="3"/>
  <c r="AA43" i="3" s="1"/>
  <c r="N43" i="3"/>
  <c r="Z23" i="3"/>
  <c r="AY26" i="3"/>
  <c r="CQ84" i="3"/>
  <c r="CL96" i="3"/>
  <c r="CR84" i="3"/>
  <c r="AB69" i="3"/>
  <c r="CR72" i="3"/>
  <c r="CQ72" i="3"/>
  <c r="BI73" i="3"/>
  <c r="BI77" i="3" s="1"/>
  <c r="CN56" i="3"/>
  <c r="CJ60" i="3"/>
  <c r="CN60" i="3" s="1"/>
  <c r="CT50" i="3"/>
  <c r="Z87" i="3"/>
  <c r="BI70" i="3"/>
  <c r="BT78" i="3"/>
  <c r="AB86" i="3"/>
  <c r="BI67" i="3"/>
  <c r="CC49" i="3"/>
  <c r="CG45" i="3"/>
  <c r="AN38" i="3"/>
  <c r="AX38" i="3" s="1"/>
  <c r="AB22" i="3"/>
  <c r="O26" i="3"/>
  <c r="Y33" i="3"/>
  <c r="P33" i="3"/>
  <c r="CY32" i="3"/>
  <c r="CR32" i="3"/>
  <c r="AC24" i="3" l="1"/>
  <c r="Z55" i="3"/>
  <c r="E44" i="3"/>
  <c r="CH79" i="3"/>
  <c r="AF77" i="3"/>
  <c r="CT90" i="3"/>
  <c r="AI44" i="3"/>
  <c r="AI27" i="3"/>
  <c r="AB49" i="3"/>
  <c r="Z66" i="3"/>
  <c r="Z90" i="3"/>
  <c r="AE90" i="3" s="1"/>
  <c r="CT15" i="3"/>
  <c r="Z43" i="3"/>
  <c r="AE43" i="3" s="1"/>
  <c r="K79" i="3"/>
  <c r="CT72" i="3"/>
  <c r="AB38" i="3"/>
  <c r="AG38" i="3" s="1"/>
  <c r="AU38" i="3" s="1"/>
  <c r="CT96" i="3"/>
  <c r="AA49" i="3"/>
  <c r="BT79" i="3"/>
  <c r="AA38" i="3"/>
  <c r="AF38" i="3" s="1"/>
  <c r="AT38" i="3" s="1"/>
  <c r="AB26" i="3"/>
  <c r="AJ78" i="3"/>
  <c r="CB79" i="3"/>
  <c r="CD79" i="3"/>
  <c r="AC29" i="3"/>
  <c r="AK44" i="3"/>
  <c r="AB32" i="3"/>
  <c r="AB44" i="3" s="1"/>
  <c r="AG44" i="3" s="1"/>
  <c r="BU79" i="3"/>
  <c r="Z77" i="3"/>
  <c r="AE77" i="3" s="1"/>
  <c r="G79" i="3"/>
  <c r="BX79" i="3"/>
  <c r="BW79" i="3"/>
  <c r="Z84" i="3"/>
  <c r="AW21" i="3"/>
  <c r="AW32" i="3"/>
  <c r="N44" i="3"/>
  <c r="AE32" i="3"/>
  <c r="CJ96" i="3"/>
  <c r="CN96" i="3" s="1"/>
  <c r="CN84" i="3"/>
  <c r="AP26" i="3"/>
  <c r="AZ26" i="3" s="1"/>
  <c r="AE66" i="3"/>
  <c r="BJ21" i="3"/>
  <c r="BE21" i="3"/>
  <c r="D96" i="3"/>
  <c r="H96" i="3" s="1"/>
  <c r="F96" i="3" s="1"/>
  <c r="H84" i="3"/>
  <c r="F84" i="3" s="1"/>
  <c r="AF49" i="3"/>
  <c r="AT49" i="3" s="1"/>
  <c r="R79" i="3"/>
  <c r="W29" i="3"/>
  <c r="BJ35" i="3"/>
  <c r="BE35" i="3"/>
  <c r="Q36" i="3"/>
  <c r="BA36" i="3" s="1"/>
  <c r="BB36" i="3" s="1"/>
  <c r="CC78" i="3"/>
  <c r="CG78" i="3" s="1"/>
  <c r="CG66" i="3"/>
  <c r="AE84" i="3"/>
  <c r="AS84" i="3" s="1"/>
  <c r="AB55" i="3"/>
  <c r="AG55" i="3" s="1"/>
  <c r="AU55" i="3" s="1"/>
  <c r="N78" i="3"/>
  <c r="AT66" i="3"/>
  <c r="AI61" i="3"/>
  <c r="AI79" i="3" s="1"/>
  <c r="AT77" i="3"/>
  <c r="M44" i="3"/>
  <c r="AS32" i="3"/>
  <c r="BN79" i="3"/>
  <c r="BR79" i="3" s="1"/>
  <c r="BR27" i="3"/>
  <c r="Z27" i="3"/>
  <c r="AE15" i="3"/>
  <c r="AS15" i="3" s="1"/>
  <c r="O44" i="3"/>
  <c r="AS43" i="3"/>
  <c r="I27" i="3"/>
  <c r="P15" i="3"/>
  <c r="L27" i="3"/>
  <c r="BD27" i="3"/>
  <c r="BK26" i="3"/>
  <c r="AA95" i="3"/>
  <c r="AF95" i="3" s="1"/>
  <c r="BV78" i="3"/>
  <c r="BZ78" i="3" s="1"/>
  <c r="BZ66" i="3"/>
  <c r="CT43" i="3"/>
  <c r="I79" i="3"/>
  <c r="AB84" i="3"/>
  <c r="AK78" i="3"/>
  <c r="E96" i="3"/>
  <c r="BV96" i="3"/>
  <c r="BZ96" i="3" s="1"/>
  <c r="BZ84" i="3"/>
  <c r="AP72" i="3"/>
  <c r="AT26" i="3"/>
  <c r="CR96" i="3"/>
  <c r="CQ96" i="3"/>
  <c r="T79" i="3"/>
  <c r="X29" i="3"/>
  <c r="AC14" i="3"/>
  <c r="CQ78" i="3"/>
  <c r="CR78" i="3"/>
  <c r="CJ61" i="3"/>
  <c r="CN61" i="3" s="1"/>
  <c r="CN49" i="3"/>
  <c r="M27" i="3"/>
  <c r="AN27" i="3" s="1"/>
  <c r="O27" i="3"/>
  <c r="AP27" i="3" s="1"/>
  <c r="AG32" i="3"/>
  <c r="AU32" i="3" s="1"/>
  <c r="AT90" i="3"/>
  <c r="AH27" i="3"/>
  <c r="AL15" i="3"/>
  <c r="BI38" i="3"/>
  <c r="AY21" i="3"/>
  <c r="E60" i="3"/>
  <c r="AU43" i="3"/>
  <c r="AP44" i="3"/>
  <c r="AZ44" i="3" s="1"/>
  <c r="AB60" i="3"/>
  <c r="AG60" i="3" s="1"/>
  <c r="AT95" i="3"/>
  <c r="BV79" i="3"/>
  <c r="BZ79" i="3" s="1"/>
  <c r="BZ27" i="3"/>
  <c r="Z38" i="3"/>
  <c r="AE38" i="3" s="1"/>
  <c r="AZ90" i="3"/>
  <c r="BK95" i="3"/>
  <c r="BD96" i="3"/>
  <c r="BI95" i="3"/>
  <c r="CN27" i="3"/>
  <c r="AA15" i="3"/>
  <c r="O96" i="3"/>
  <c r="AY44" i="3"/>
  <c r="AN43" i="3"/>
  <c r="AX43" i="3" s="1"/>
  <c r="AC22" i="3"/>
  <c r="Y26" i="3"/>
  <c r="AB95" i="3"/>
  <c r="AG95" i="3" s="1"/>
  <c r="AU95" i="3" s="1"/>
  <c r="BI55" i="3"/>
  <c r="O78" i="3"/>
  <c r="AC18" i="3"/>
  <c r="Y35" i="3"/>
  <c r="AC35" i="3" s="1"/>
  <c r="P35" i="3"/>
  <c r="AC28" i="3"/>
  <c r="Y32" i="3"/>
  <c r="AN32" i="3"/>
  <c r="AX32" i="3" s="1"/>
  <c r="AK27" i="3"/>
  <c r="AC34" i="3"/>
  <c r="BP79" i="3"/>
  <c r="BI72" i="3"/>
  <c r="BI21" i="3"/>
  <c r="AY43" i="3"/>
  <c r="BD79" i="3"/>
  <c r="BK78" i="3"/>
  <c r="BI78" i="3"/>
  <c r="E61" i="3"/>
  <c r="AX61" i="3"/>
  <c r="AP78" i="3"/>
  <c r="CG49" i="3"/>
  <c r="CC61" i="3"/>
  <c r="CG61" i="3" s="1"/>
  <c r="AA78" i="3"/>
  <c r="AF78" i="3" s="1"/>
  <c r="AF66" i="3"/>
  <c r="AA96" i="3"/>
  <c r="AF84" i="3"/>
  <c r="D78" i="3"/>
  <c r="H78" i="3" s="1"/>
  <c r="F78" i="3" s="1"/>
  <c r="H66" i="3"/>
  <c r="F66" i="3" s="1"/>
  <c r="AS55" i="3"/>
  <c r="AG49" i="3"/>
  <c r="AU49" i="3" s="1"/>
  <c r="M61" i="3"/>
  <c r="D27" i="3"/>
  <c r="H15" i="3"/>
  <c r="F15" i="3" s="1"/>
  <c r="AP96" i="3"/>
  <c r="AW15" i="3"/>
  <c r="AQ15" i="3"/>
  <c r="P21" i="3"/>
  <c r="CT78" i="3"/>
  <c r="CJ44" i="3"/>
  <c r="CN44" i="3" s="1"/>
  <c r="P26" i="3"/>
  <c r="P32" i="3"/>
  <c r="AK96" i="3"/>
  <c r="AG26" i="3"/>
  <c r="AU26" i="3" s="1"/>
  <c r="AE21" i="3"/>
  <c r="AS21" i="3" s="1"/>
  <c r="N96" i="3"/>
  <c r="AT84" i="3"/>
  <c r="AE55" i="3"/>
  <c r="AZ66" i="3"/>
  <c r="AS90" i="3"/>
  <c r="CT44" i="3"/>
  <c r="CG27" i="3"/>
  <c r="CT49" i="3"/>
  <c r="AP32" i="3"/>
  <c r="AZ32" i="3" s="1"/>
  <c r="BV61" i="3"/>
  <c r="BZ61" i="3" s="1"/>
  <c r="BZ49" i="3"/>
  <c r="AX96" i="3"/>
  <c r="BD61" i="3"/>
  <c r="BK60" i="3"/>
  <c r="CM79" i="3"/>
  <c r="CS79" i="3" s="1"/>
  <c r="CS27" i="3"/>
  <c r="AU21" i="3"/>
  <c r="AS26" i="3"/>
  <c r="BR78" i="3"/>
  <c r="N27" i="3"/>
  <c r="AB66" i="3"/>
  <c r="AU77" i="3"/>
  <c r="AZ60" i="3"/>
  <c r="Z95" i="3"/>
  <c r="BE15" i="3"/>
  <c r="BJ15" i="3"/>
  <c r="BA27" i="3"/>
  <c r="BJ26" i="3"/>
  <c r="BE26" i="3"/>
  <c r="AC33" i="3"/>
  <c r="AF43" i="3"/>
  <c r="AT43" i="3" s="1"/>
  <c r="BI15" i="3"/>
  <c r="AZ55" i="3"/>
  <c r="BK84" i="3"/>
  <c r="BI84" i="3"/>
  <c r="CT26" i="3"/>
  <c r="CL79" i="3"/>
  <c r="CR27" i="3"/>
  <c r="Z72" i="3"/>
  <c r="Z78" i="3" s="1"/>
  <c r="AE78" i="3" s="1"/>
  <c r="AF32" i="3"/>
  <c r="AT32" i="3" s="1"/>
  <c r="CK79" i="3"/>
  <c r="CY27" i="3"/>
  <c r="CF79" i="3"/>
  <c r="CP79" i="3" s="1"/>
  <c r="CP27" i="3"/>
  <c r="CQ27" i="3" s="1"/>
  <c r="CC44" i="3"/>
  <c r="CG44" i="3" s="1"/>
  <c r="BJ32" i="3"/>
  <c r="BE32" i="3"/>
  <c r="AB72" i="3"/>
  <c r="AG72" i="3" s="1"/>
  <c r="AU72" i="3" s="1"/>
  <c r="AA55" i="3"/>
  <c r="AF55" i="3" s="1"/>
  <c r="AT55" i="3" s="1"/>
  <c r="AT60" i="3"/>
  <c r="O61" i="3"/>
  <c r="M78" i="3"/>
  <c r="AS66" i="3"/>
  <c r="AB15" i="3"/>
  <c r="Z49" i="3"/>
  <c r="E27" i="3"/>
  <c r="V29" i="3"/>
  <c r="U27" i="3"/>
  <c r="AM27" i="3"/>
  <c r="CE79" i="3"/>
  <c r="CO79" i="3" s="1"/>
  <c r="CO27" i="3"/>
  <c r="AP38" i="3"/>
  <c r="AZ38" i="3" s="1"/>
  <c r="AB43" i="3"/>
  <c r="AG43" i="3" s="1"/>
  <c r="AN26" i="3"/>
  <c r="AX26" i="3" s="1"/>
  <c r="AB90" i="3"/>
  <c r="AG90" i="3" s="1"/>
  <c r="AU90" i="3" s="1"/>
  <c r="Y15" i="3"/>
  <c r="AC11" i="3"/>
  <c r="AU60" i="3"/>
  <c r="AC16" i="3"/>
  <c r="Y21" i="3"/>
  <c r="AZ77" i="3"/>
  <c r="CR61" i="3"/>
  <c r="CQ61" i="3"/>
  <c r="AS38" i="3"/>
  <c r="J79" i="3"/>
  <c r="AT72" i="3"/>
  <c r="CT66" i="3"/>
  <c r="AS77" i="3"/>
  <c r="H32" i="3"/>
  <c r="F32" i="3" s="1"/>
  <c r="D44" i="3"/>
  <c r="H44" i="3" s="1"/>
  <c r="F44" i="3" s="1"/>
  <c r="CN66" i="3"/>
  <c r="CJ78" i="3"/>
  <c r="CN78" i="3" s="1"/>
  <c r="AL32" i="3"/>
  <c r="AS60" i="3"/>
  <c r="AZ84" i="3"/>
  <c r="AA21" i="3"/>
  <c r="AF21" i="3" s="1"/>
  <c r="AT21" i="3" s="1"/>
  <c r="AP55" i="3"/>
  <c r="N61" i="3"/>
  <c r="BK90" i="3"/>
  <c r="BI90" i="3"/>
  <c r="BH35" i="3"/>
  <c r="S79" i="3"/>
  <c r="AO79" i="3" s="1"/>
  <c r="AO27" i="3"/>
  <c r="AY27" i="3" s="1"/>
  <c r="CC96" i="3"/>
  <c r="CG96" i="3" s="1"/>
  <c r="CG84" i="3"/>
  <c r="BI60" i="3"/>
  <c r="AN44" i="3"/>
  <c r="AX44" i="3" s="1"/>
  <c r="AN15" i="3"/>
  <c r="AX15" i="3" s="1"/>
  <c r="AP21" i="3"/>
  <c r="AZ21" i="3" s="1"/>
  <c r="BO79" i="3"/>
  <c r="BS79" i="3" s="1"/>
  <c r="BS27" i="3"/>
  <c r="M96" i="3"/>
  <c r="AM26" i="3"/>
  <c r="BH21" i="3"/>
  <c r="D61" i="3"/>
  <c r="H61" i="3" s="1"/>
  <c r="F61" i="3" s="1"/>
  <c r="H49" i="3"/>
  <c r="F49" i="3" s="1"/>
  <c r="AP95" i="3"/>
  <c r="BK43" i="3"/>
  <c r="BD44" i="3"/>
  <c r="BK44" i="3" s="1"/>
  <c r="AF96" i="3" l="1"/>
  <c r="AZ27" i="3"/>
  <c r="AJ79" i="3"/>
  <c r="AA44" i="3"/>
  <c r="AF44" i="3" s="1"/>
  <c r="AT44" i="3" s="1"/>
  <c r="AA61" i="3"/>
  <c r="AF61" i="3" s="1"/>
  <c r="AT61" i="3" s="1"/>
  <c r="AX27" i="3"/>
  <c r="AX79" i="3" s="1"/>
  <c r="AD21" i="3"/>
  <c r="AR21" i="3" s="1"/>
  <c r="AV21" i="3" s="1"/>
  <c r="AC21" i="3"/>
  <c r="Z61" i="3"/>
  <c r="AE61" i="3" s="1"/>
  <c r="AS61" i="3" s="1"/>
  <c r="AE49" i="3"/>
  <c r="AS49" i="3" s="1"/>
  <c r="AZ49" i="3"/>
  <c r="AZ61" i="3" s="1"/>
  <c r="N79" i="3"/>
  <c r="AU44" i="3"/>
  <c r="CT27" i="3"/>
  <c r="AB78" i="3"/>
  <c r="AG78" i="3" s="1"/>
  <c r="AU78" i="3" s="1"/>
  <c r="AG66" i="3"/>
  <c r="AU66" i="3" s="1"/>
  <c r="AL27" i="3"/>
  <c r="AN96" i="3"/>
  <c r="BK27" i="3"/>
  <c r="BI27" i="3"/>
  <c r="Q37" i="3"/>
  <c r="BA37" i="3" s="1"/>
  <c r="BB37" i="3" s="1"/>
  <c r="BB38" i="3" s="1"/>
  <c r="BJ36" i="3"/>
  <c r="BE36" i="3"/>
  <c r="CT79" i="3"/>
  <c r="CR79" i="3"/>
  <c r="CQ79" i="3"/>
  <c r="BJ27" i="3"/>
  <c r="BE27" i="3"/>
  <c r="BH27" i="3"/>
  <c r="AE95" i="3"/>
  <c r="AS95" i="3" s="1"/>
  <c r="AZ95" i="3"/>
  <c r="AB96" i="3"/>
  <c r="AG96" i="3" s="1"/>
  <c r="AU96" i="3" s="1"/>
  <c r="AG84" i="3"/>
  <c r="AU84" i="3" s="1"/>
  <c r="P27" i="3"/>
  <c r="AE27" i="3"/>
  <c r="AT78" i="3"/>
  <c r="Z96" i="3"/>
  <c r="AE96" i="3" s="1"/>
  <c r="AS96" i="3" s="1"/>
  <c r="BH36" i="3"/>
  <c r="L36" i="3"/>
  <c r="V37" i="3"/>
  <c r="V38" i="3" s="1"/>
  <c r="U36" i="3"/>
  <c r="V36" i="3"/>
  <c r="Z44" i="3"/>
  <c r="AE44" i="3" s="1"/>
  <c r="AS44" i="3" s="1"/>
  <c r="AQ32" i="3"/>
  <c r="AQ21" i="3"/>
  <c r="AZ96" i="3"/>
  <c r="AC15" i="3"/>
  <c r="Y27" i="3"/>
  <c r="AD15" i="3"/>
  <c r="AR15" i="3" s="1"/>
  <c r="AG15" i="3"/>
  <c r="AU15" i="3" s="1"/>
  <c r="AB27" i="3"/>
  <c r="AT96" i="3"/>
  <c r="AK79" i="3"/>
  <c r="AC26" i="3"/>
  <c r="AD26" i="3"/>
  <c r="AR26" i="3" s="1"/>
  <c r="AV26" i="3" s="1"/>
  <c r="CJ79" i="3"/>
  <c r="CN79" i="3" s="1"/>
  <c r="M79" i="3"/>
  <c r="AN79" i="3" s="1"/>
  <c r="AS27" i="3"/>
  <c r="AW26" i="3"/>
  <c r="AQ26" i="3"/>
  <c r="AQ27" i="3"/>
  <c r="AW27" i="3"/>
  <c r="E79" i="3"/>
  <c r="AS78" i="3"/>
  <c r="AE72" i="3"/>
  <c r="AS72" i="3" s="1"/>
  <c r="AZ72" i="3"/>
  <c r="AZ78" i="3" s="1"/>
  <c r="AN61" i="3"/>
  <c r="BK61" i="3"/>
  <c r="BI61" i="3"/>
  <c r="CC79" i="3"/>
  <c r="CG79" i="3" s="1"/>
  <c r="D79" i="3"/>
  <c r="H79" i="3" s="1"/>
  <c r="F79" i="3" s="1"/>
  <c r="H27" i="3"/>
  <c r="F27" i="3" s="1"/>
  <c r="AB61" i="3"/>
  <c r="AG61" i="3" s="1"/>
  <c r="AU61" i="3" s="1"/>
  <c r="BK79" i="3"/>
  <c r="BI79" i="3"/>
  <c r="AD32" i="3"/>
  <c r="AR32" i="3" s="1"/>
  <c r="AV32" i="3" s="1"/>
  <c r="AC32" i="3"/>
  <c r="AA27" i="3"/>
  <c r="AF15" i="3"/>
  <c r="AT15" i="3" s="1"/>
  <c r="BK96" i="3"/>
  <c r="BI96" i="3"/>
  <c r="BI44" i="3"/>
  <c r="O79" i="3"/>
  <c r="AP61" i="3"/>
  <c r="Q38" i="3" l="1"/>
  <c r="BH38" i="3" s="1"/>
  <c r="AA79" i="3"/>
  <c r="AF79" i="3" s="1"/>
  <c r="AT79" i="3" s="1"/>
  <c r="AF27" i="3"/>
  <c r="AT27" i="3" s="1"/>
  <c r="AV15" i="3"/>
  <c r="U37" i="3"/>
  <c r="BH37" i="3"/>
  <c r="L37" i="3"/>
  <c r="P36" i="3"/>
  <c r="Y36" i="3"/>
  <c r="L38" i="3"/>
  <c r="AP79" i="3"/>
  <c r="AB79" i="3"/>
  <c r="AG79" i="3" s="1"/>
  <c r="AU79" i="3" s="1"/>
  <c r="AG27" i="3"/>
  <c r="AU27" i="3" s="1"/>
  <c r="AD27" i="3"/>
  <c r="AR27" i="3" s="1"/>
  <c r="AC27" i="3"/>
  <c r="Z79" i="3"/>
  <c r="AE79" i="3" s="1"/>
  <c r="AS79" i="3" s="1"/>
  <c r="BE37" i="3"/>
  <c r="BA38" i="3"/>
  <c r="BJ37" i="3"/>
  <c r="Q39" i="3"/>
  <c r="AZ79" i="3"/>
  <c r="U38" i="3" l="1"/>
  <c r="AH38" i="3"/>
  <c r="L39" i="3"/>
  <c r="U39" i="3"/>
  <c r="CW39" i="3"/>
  <c r="P38" i="3"/>
  <c r="AM38" i="3"/>
  <c r="AC36" i="3"/>
  <c r="V39" i="3"/>
  <c r="BJ38" i="3"/>
  <c r="BE38" i="3"/>
  <c r="BA39" i="3"/>
  <c r="BB39" i="3" s="1"/>
  <c r="AV27" i="3"/>
  <c r="Y37" i="3"/>
  <c r="AC37" i="3" s="1"/>
  <c r="P37" i="3"/>
  <c r="AL38" i="3"/>
  <c r="AW38" i="3" l="1"/>
  <c r="AQ38" i="3"/>
  <c r="CY39" i="3"/>
  <c r="P39" i="3"/>
  <c r="Y39" i="3"/>
  <c r="Q40" i="3"/>
  <c r="CW40" i="3" s="1"/>
  <c r="BJ39" i="3"/>
  <c r="BE39" i="3"/>
  <c r="Y38" i="3"/>
  <c r="BH39" i="3"/>
  <c r="CY40" i="3" l="1"/>
  <c r="U40" i="3"/>
  <c r="L40" i="3"/>
  <c r="V40" i="3"/>
  <c r="AC39" i="3"/>
  <c r="AD38" i="3"/>
  <c r="AR38" i="3" s="1"/>
  <c r="AV38" i="3" s="1"/>
  <c r="AC38" i="3"/>
  <c r="BA40" i="3"/>
  <c r="BB40" i="3" s="1"/>
  <c r="BE40" i="3" l="1"/>
  <c r="Q41" i="3"/>
  <c r="BJ40" i="3"/>
  <c r="Y40" i="3"/>
  <c r="P40" i="3"/>
  <c r="BH40" i="3"/>
  <c r="U41" i="3" l="1"/>
  <c r="L41" i="3"/>
  <c r="CW41" i="3"/>
  <c r="V41" i="3"/>
  <c r="BA41" i="3"/>
  <c r="BB41" i="3" s="1"/>
  <c r="AC40" i="3"/>
  <c r="Y41" i="3" l="1"/>
  <c r="P41" i="3"/>
  <c r="CY41" i="3"/>
  <c r="BJ41" i="3"/>
  <c r="BE41" i="3"/>
  <c r="Q42" i="3"/>
  <c r="BA42" i="3" s="1"/>
  <c r="BB42" i="3" s="1"/>
  <c r="BB43" i="3" s="1"/>
  <c r="BB44" i="3" s="1"/>
  <c r="BH41" i="3"/>
  <c r="BJ42" i="3" l="1"/>
  <c r="Q45" i="3"/>
  <c r="BA43" i="3"/>
  <c r="BE42" i="3"/>
  <c r="BH42" i="3"/>
  <c r="L42" i="3"/>
  <c r="V45" i="3"/>
  <c r="U42" i="3"/>
  <c r="V42" i="3"/>
  <c r="V43" i="3" s="1"/>
  <c r="V44" i="3" s="1"/>
  <c r="Q43" i="3"/>
  <c r="CW42" i="3"/>
  <c r="AC41" i="3"/>
  <c r="BH43" i="3" l="1"/>
  <c r="AM43" i="3"/>
  <c r="U43" i="3"/>
  <c r="Q44" i="3"/>
  <c r="AH43" i="3"/>
  <c r="P42" i="3"/>
  <c r="Y42" i="3"/>
  <c r="L43" i="3"/>
  <c r="L45" i="3"/>
  <c r="U45" i="3"/>
  <c r="CW43" i="3"/>
  <c r="CY42" i="3"/>
  <c r="BA44" i="3"/>
  <c r="BE43" i="3"/>
  <c r="BJ43" i="3"/>
  <c r="AQ43" i="3" l="1"/>
  <c r="AW43" i="3"/>
  <c r="BJ44" i="3"/>
  <c r="BE44" i="3"/>
  <c r="BA45" i="3"/>
  <c r="BB45" i="3" s="1"/>
  <c r="AL43" i="3"/>
  <c r="AH44" i="3"/>
  <c r="CW44" i="3"/>
  <c r="CY43" i="3"/>
  <c r="P45" i="3"/>
  <c r="Y45" i="3"/>
  <c r="AC42" i="3"/>
  <c r="Y43" i="3"/>
  <c r="P43" i="3"/>
  <c r="L44" i="3"/>
  <c r="U44" i="3"/>
  <c r="BH44" i="3"/>
  <c r="AM44" i="3"/>
  <c r="AC45" i="3" l="1"/>
  <c r="AC43" i="3"/>
  <c r="AD43" i="3"/>
  <c r="AR43" i="3" s="1"/>
  <c r="AV43" i="3" s="1"/>
  <c r="Y44" i="3"/>
  <c r="AL44" i="3"/>
  <c r="AW44" i="3"/>
  <c r="AQ44" i="3"/>
  <c r="CW45" i="3"/>
  <c r="CY44" i="3"/>
  <c r="P44" i="3"/>
  <c r="Q46" i="3"/>
  <c r="BE45" i="3"/>
  <c r="BJ45" i="3"/>
  <c r="BH45" i="3"/>
  <c r="CW4" i="3"/>
  <c r="U46" i="3" l="1"/>
  <c r="BH46" i="3"/>
  <c r="L46" i="3"/>
  <c r="V46" i="3"/>
  <c r="CW46" i="3"/>
  <c r="CY45" i="3"/>
  <c r="AD44" i="3"/>
  <c r="AR44" i="3" s="1"/>
  <c r="AV44" i="3" s="1"/>
  <c r="AC44" i="3"/>
  <c r="BA46" i="3"/>
  <c r="CW35" i="5"/>
  <c r="CW36" i="5"/>
  <c r="CW37" i="5"/>
  <c r="AP94" i="5"/>
  <c r="AO94" i="5"/>
  <c r="AK94" i="5"/>
  <c r="AJ94" i="5"/>
  <c r="AP93" i="5"/>
  <c r="AO93" i="5"/>
  <c r="AK93" i="5"/>
  <c r="AJ93" i="5"/>
  <c r="AP92" i="5"/>
  <c r="AO92" i="5"/>
  <c r="AK92" i="5"/>
  <c r="AJ92" i="5"/>
  <c r="AP91" i="5"/>
  <c r="AO91" i="5"/>
  <c r="AK91" i="5"/>
  <c r="AJ91" i="5"/>
  <c r="AP89" i="5"/>
  <c r="AO89" i="5"/>
  <c r="AK89" i="5"/>
  <c r="AJ89" i="5"/>
  <c r="AP88" i="5"/>
  <c r="AO88" i="5"/>
  <c r="AK88" i="5"/>
  <c r="AJ88" i="5"/>
  <c r="AP87" i="5"/>
  <c r="AO87" i="5"/>
  <c r="AK87" i="5"/>
  <c r="AJ87" i="5"/>
  <c r="AP86" i="5"/>
  <c r="AO86" i="5"/>
  <c r="AK86" i="5"/>
  <c r="AJ86" i="5"/>
  <c r="AP85" i="5"/>
  <c r="AO85" i="5"/>
  <c r="AK85" i="5"/>
  <c r="AJ85" i="5"/>
  <c r="AP83" i="5"/>
  <c r="AO83" i="5"/>
  <c r="AK83" i="5"/>
  <c r="AJ83" i="5"/>
  <c r="AP82" i="5"/>
  <c r="AO82" i="5"/>
  <c r="AK82" i="5"/>
  <c r="AJ82" i="5"/>
  <c r="AP81" i="5"/>
  <c r="AO81" i="5"/>
  <c r="AK81" i="5"/>
  <c r="AJ81" i="5"/>
  <c r="AP80" i="5"/>
  <c r="AO80" i="5"/>
  <c r="AK80" i="5"/>
  <c r="AJ80" i="5"/>
  <c r="AP76" i="5"/>
  <c r="AO76" i="5"/>
  <c r="AK76" i="5"/>
  <c r="AJ76" i="5"/>
  <c r="AP75" i="5"/>
  <c r="AO75" i="5"/>
  <c r="AK75" i="5"/>
  <c r="AJ75" i="5"/>
  <c r="AP74" i="5"/>
  <c r="AO74" i="5"/>
  <c r="AK74" i="5"/>
  <c r="AJ74" i="5"/>
  <c r="AP73" i="5"/>
  <c r="AO73" i="5"/>
  <c r="AK73" i="5"/>
  <c r="AJ73" i="5"/>
  <c r="AP71" i="5"/>
  <c r="AO71" i="5"/>
  <c r="AK71" i="5"/>
  <c r="AJ71" i="5"/>
  <c r="AP70" i="5"/>
  <c r="AO70" i="5"/>
  <c r="AK70" i="5"/>
  <c r="AJ70" i="5"/>
  <c r="AP69" i="5"/>
  <c r="AO69" i="5"/>
  <c r="AK69" i="5"/>
  <c r="AJ69" i="5"/>
  <c r="AP68" i="5"/>
  <c r="AO68" i="5"/>
  <c r="AK68" i="5"/>
  <c r="AJ68" i="5"/>
  <c r="AP67" i="5"/>
  <c r="AO67" i="5"/>
  <c r="AK67" i="5"/>
  <c r="AJ67" i="5"/>
  <c r="AP65" i="5"/>
  <c r="AO65" i="5"/>
  <c r="AK65" i="5"/>
  <c r="AJ65" i="5"/>
  <c r="AP64" i="5"/>
  <c r="AO64" i="5"/>
  <c r="AK64" i="5"/>
  <c r="AJ64" i="5"/>
  <c r="AP63" i="5"/>
  <c r="AO63" i="5"/>
  <c r="AK63" i="5"/>
  <c r="AJ63" i="5"/>
  <c r="AP62" i="5"/>
  <c r="AO62" i="5"/>
  <c r="AK62" i="5"/>
  <c r="AJ62" i="5"/>
  <c r="AP59" i="5"/>
  <c r="AO59" i="5"/>
  <c r="AK59" i="5"/>
  <c r="AJ59" i="5"/>
  <c r="AP58" i="5"/>
  <c r="AO58" i="5"/>
  <c r="AK58" i="5"/>
  <c r="AJ58" i="5"/>
  <c r="AP57" i="5"/>
  <c r="AO57" i="5"/>
  <c r="AK57" i="5"/>
  <c r="AJ57" i="5"/>
  <c r="AP56" i="5"/>
  <c r="AO56" i="5"/>
  <c r="AK56" i="5"/>
  <c r="AJ56" i="5"/>
  <c r="AP54" i="5"/>
  <c r="AO54" i="5"/>
  <c r="AK54" i="5"/>
  <c r="AJ54" i="5"/>
  <c r="AP53" i="5"/>
  <c r="AO53" i="5"/>
  <c r="AK53" i="5"/>
  <c r="AJ53" i="5"/>
  <c r="AP52" i="5"/>
  <c r="AO52" i="5"/>
  <c r="AK52" i="5"/>
  <c r="AJ52" i="5"/>
  <c r="AP51" i="5"/>
  <c r="AO51" i="5"/>
  <c r="AK51" i="5"/>
  <c r="AJ51" i="5"/>
  <c r="AP50" i="5"/>
  <c r="AO50" i="5"/>
  <c r="AK50" i="5"/>
  <c r="AJ50" i="5"/>
  <c r="AP48" i="5"/>
  <c r="AO48" i="5"/>
  <c r="AK48" i="5"/>
  <c r="AJ48" i="5"/>
  <c r="AP47" i="5"/>
  <c r="AO47" i="5"/>
  <c r="AK47" i="5"/>
  <c r="AJ47" i="5"/>
  <c r="AP46" i="5"/>
  <c r="AO46" i="5"/>
  <c r="AK46" i="5"/>
  <c r="AJ46" i="5"/>
  <c r="AP45" i="5"/>
  <c r="AO45" i="5"/>
  <c r="AK45" i="5"/>
  <c r="AJ45" i="5"/>
  <c r="AP42" i="5"/>
  <c r="AO42" i="5"/>
  <c r="AK42" i="5"/>
  <c r="AJ42" i="5"/>
  <c r="AP41" i="5"/>
  <c r="AO41" i="5"/>
  <c r="AK41" i="5"/>
  <c r="AJ41" i="5"/>
  <c r="AP40" i="5"/>
  <c r="AO40" i="5"/>
  <c r="AK40" i="5"/>
  <c r="AJ40" i="5"/>
  <c r="AP39" i="5"/>
  <c r="AO39" i="5"/>
  <c r="AK39" i="5"/>
  <c r="AJ39" i="5"/>
  <c r="AP37" i="5"/>
  <c r="AO37" i="5"/>
  <c r="AK37" i="5"/>
  <c r="AJ37" i="5"/>
  <c r="AP36" i="5"/>
  <c r="AO36" i="5"/>
  <c r="AK36" i="5"/>
  <c r="AJ36" i="5"/>
  <c r="Y46" i="3" l="1"/>
  <c r="P46" i="3"/>
  <c r="CY46" i="3"/>
  <c r="BE46" i="3"/>
  <c r="Q47" i="3"/>
  <c r="BJ46" i="3"/>
  <c r="BB46" i="3"/>
  <c r="AA2" i="6"/>
  <c r="W2" i="6"/>
  <c r="X2" i="6" s="1"/>
  <c r="Y2" i="6" s="1"/>
  <c r="Z2" i="6" s="1"/>
  <c r="CV4" i="3"/>
  <c r="DC34" i="5"/>
  <c r="DB34" i="5"/>
  <c r="CZ34" i="5"/>
  <c r="U47" i="3" l="1"/>
  <c r="BH47" i="3"/>
  <c r="L47" i="3"/>
  <c r="V48" i="3"/>
  <c r="V49" i="3" s="1"/>
  <c r="AW49" i="3" s="1"/>
  <c r="V47" i="3"/>
  <c r="CW47" i="3"/>
  <c r="BA47" i="3"/>
  <c r="AC46" i="3"/>
  <c r="DA34" i="5"/>
  <c r="AH34" i="5"/>
  <c r="CE34" i="5"/>
  <c r="AR34" i="5"/>
  <c r="H34" i="5"/>
  <c r="BL34" i="5"/>
  <c r="CW34" i="5"/>
  <c r="K34" i="5"/>
  <c r="BV34" i="5"/>
  <c r="CV65" i="5"/>
  <c r="CV70" i="5"/>
  <c r="AM34" i="5"/>
  <c r="CV86" i="5"/>
  <c r="CV75" i="5"/>
  <c r="I34" i="5"/>
  <c r="CV81" i="5"/>
  <c r="CV59" i="5"/>
  <c r="CV39" i="5"/>
  <c r="CL34" i="5"/>
  <c r="CC34" i="5"/>
  <c r="BX34" i="5"/>
  <c r="BN34" i="5"/>
  <c r="BF34" i="5"/>
  <c r="AT34" i="5"/>
  <c r="AO34" i="5"/>
  <c r="AF34" i="5" s="1"/>
  <c r="AJ34" i="5"/>
  <c r="S34" i="5"/>
  <c r="J34" i="5"/>
  <c r="CV94" i="5"/>
  <c r="CV54" i="5"/>
  <c r="BC34" i="5"/>
  <c r="Q34" i="5"/>
  <c r="BP34" i="5"/>
  <c r="CJ34" i="5"/>
  <c r="CV45" i="5"/>
  <c r="G34" i="5"/>
  <c r="CV50" i="5"/>
  <c r="CV91" i="5"/>
  <c r="CV35" i="5"/>
  <c r="CV40" i="5"/>
  <c r="CV46" i="5"/>
  <c r="CV51" i="5"/>
  <c r="CV56" i="5"/>
  <c r="CV62" i="5"/>
  <c r="CV67" i="5"/>
  <c r="CV71" i="5"/>
  <c r="CV76" i="5"/>
  <c r="CV82" i="5"/>
  <c r="CV87" i="5"/>
  <c r="CV92" i="5"/>
  <c r="CV36" i="5"/>
  <c r="CV41" i="5"/>
  <c r="CV47" i="5"/>
  <c r="CV52" i="5"/>
  <c r="CV57" i="5"/>
  <c r="CV63" i="5"/>
  <c r="CV68" i="5"/>
  <c r="CV73" i="5"/>
  <c r="CV83" i="5"/>
  <c r="CV88" i="5"/>
  <c r="CV93" i="5"/>
  <c r="CV37" i="5"/>
  <c r="CV42" i="5"/>
  <c r="CV48" i="5"/>
  <c r="CV53" i="5"/>
  <c r="CV58" i="5"/>
  <c r="CV64" i="5"/>
  <c r="CV69" i="5"/>
  <c r="CV74" i="5"/>
  <c r="CV80" i="5"/>
  <c r="CV85" i="5"/>
  <c r="CV89" i="5"/>
  <c r="BJ47" i="3" l="1"/>
  <c r="Q48" i="3"/>
  <c r="BA48" i="3" s="1"/>
  <c r="BE47" i="3"/>
  <c r="BB47" i="3"/>
  <c r="CW48" i="3"/>
  <c r="CY47" i="3"/>
  <c r="Y47" i="3"/>
  <c r="P47" i="3"/>
  <c r="L34" i="5"/>
  <c r="CO34" i="5"/>
  <c r="BR34" i="5"/>
  <c r="AD34" i="5"/>
  <c r="AW34" i="5"/>
  <c r="F34" i="5"/>
  <c r="N34" i="5"/>
  <c r="AA34" i="5" s="1"/>
  <c r="AY34" i="5"/>
  <c r="D34" i="5"/>
  <c r="BA34" i="5"/>
  <c r="CR34" i="5"/>
  <c r="CW49" i="3" l="1"/>
  <c r="CY48" i="3"/>
  <c r="BH48" i="3"/>
  <c r="L48" i="3"/>
  <c r="V50" i="3"/>
  <c r="U48" i="3"/>
  <c r="Q49" i="3"/>
  <c r="BA49" i="3"/>
  <c r="BE48" i="3"/>
  <c r="Q50" i="3"/>
  <c r="BJ48" i="3"/>
  <c r="BB48" i="3"/>
  <c r="BB49" i="3" s="1"/>
  <c r="AC47" i="3"/>
  <c r="BH34" i="5"/>
  <c r="Y34" i="5"/>
  <c r="BJ34" i="5"/>
  <c r="E34" i="5"/>
  <c r="BE49" i="3" l="1"/>
  <c r="BA50" i="3"/>
  <c r="BJ49" i="3"/>
  <c r="U49" i="3"/>
  <c r="BH49" i="3"/>
  <c r="AH49" i="3"/>
  <c r="U50" i="3"/>
  <c r="V51" i="3"/>
  <c r="BH50" i="3"/>
  <c r="L50" i="3"/>
  <c r="P48" i="3"/>
  <c r="Y48" i="3"/>
  <c r="L49" i="3"/>
  <c r="AM49" i="3" s="1"/>
  <c r="AQ49" i="3" s="1"/>
  <c r="CY49" i="3"/>
  <c r="CW50" i="3"/>
  <c r="C14" i="8"/>
  <c r="AL49" i="3" l="1"/>
  <c r="CW51" i="3"/>
  <c r="CY50" i="3"/>
  <c r="AC48" i="3"/>
  <c r="Y49" i="3"/>
  <c r="BJ50" i="3"/>
  <c r="BA51" i="3"/>
  <c r="BE50" i="3"/>
  <c r="Q51" i="3"/>
  <c r="BB50" i="3"/>
  <c r="P49" i="3"/>
  <c r="P50" i="3"/>
  <c r="Y50" i="3"/>
  <c r="D7" i="3"/>
  <c r="S58" i="5"/>
  <c r="K57" i="5"/>
  <c r="G54" i="5"/>
  <c r="AT53" i="5"/>
  <c r="CL51" i="5"/>
  <c r="S46" i="5"/>
  <c r="BX42" i="5"/>
  <c r="H42" i="5"/>
  <c r="G42" i="5"/>
  <c r="CL39" i="5"/>
  <c r="CL36" i="5"/>
  <c r="CW31" i="5"/>
  <c r="AR31" i="5"/>
  <c r="CE30" i="5"/>
  <c r="BX30" i="5"/>
  <c r="AR30" i="5"/>
  <c r="AM29" i="5"/>
  <c r="CL28" i="5"/>
  <c r="AJ28" i="5"/>
  <c r="CL25" i="5"/>
  <c r="BP25" i="5"/>
  <c r="AM25" i="5"/>
  <c r="CL24" i="5"/>
  <c r="BN24" i="5"/>
  <c r="AO24" i="5"/>
  <c r="CW23" i="5"/>
  <c r="BX23" i="5"/>
  <c r="AT23" i="5"/>
  <c r="K23" i="5"/>
  <c r="BN22" i="5"/>
  <c r="AM22" i="5"/>
  <c r="AR20" i="5"/>
  <c r="K20" i="5"/>
  <c r="H20" i="5"/>
  <c r="CE19" i="5"/>
  <c r="AM19" i="5"/>
  <c r="H19" i="5"/>
  <c r="G19" i="5"/>
  <c r="CC18" i="5"/>
  <c r="BN18" i="5"/>
  <c r="AR18" i="5"/>
  <c r="S18" i="5"/>
  <c r="CJ17" i="5"/>
  <c r="BX17" i="5"/>
  <c r="BN17" i="5"/>
  <c r="AR17" i="5"/>
  <c r="AH17" i="5"/>
  <c r="CC16" i="5"/>
  <c r="BC16" i="5"/>
  <c r="AM16" i="5"/>
  <c r="K16" i="5"/>
  <c r="I16" i="5"/>
  <c r="CJ14" i="5"/>
  <c r="AT14" i="5"/>
  <c r="AJ14" i="5"/>
  <c r="I14" i="5"/>
  <c r="H14" i="5"/>
  <c r="CJ13" i="5"/>
  <c r="BP13" i="5"/>
  <c r="AM13" i="5"/>
  <c r="Q13" i="5"/>
  <c r="K13" i="5"/>
  <c r="CL12" i="5"/>
  <c r="CC12" i="5"/>
  <c r="BF12" i="5"/>
  <c r="BC12" i="5"/>
  <c r="AO12" i="5"/>
  <c r="S12" i="5"/>
  <c r="CW11" i="5"/>
  <c r="CE11" i="5"/>
  <c r="BV11" i="5"/>
  <c r="BL11" i="5"/>
  <c r="AR11" i="5"/>
  <c r="AH11" i="5"/>
  <c r="G11" i="5"/>
  <c r="J14" i="5"/>
  <c r="J17" i="5"/>
  <c r="J16" i="5"/>
  <c r="J29" i="5"/>
  <c r="J28" i="5"/>
  <c r="J41" i="5"/>
  <c r="J40" i="5"/>
  <c r="J53" i="5"/>
  <c r="J52" i="5"/>
  <c r="J65" i="5"/>
  <c r="J64" i="5"/>
  <c r="J67" i="5"/>
  <c r="J76" i="5"/>
  <c r="J91" i="5"/>
  <c r="J89" i="5"/>
  <c r="J81" i="5"/>
  <c r="J80" i="5"/>
  <c r="CZ11" i="5"/>
  <c r="DB11" i="5"/>
  <c r="DC11" i="5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Q52" i="3" l="1"/>
  <c r="BJ51" i="3"/>
  <c r="BE51" i="3"/>
  <c r="BB51" i="3"/>
  <c r="BH51" i="3"/>
  <c r="L51" i="3"/>
  <c r="U51" i="3"/>
  <c r="V52" i="3"/>
  <c r="AC49" i="3"/>
  <c r="AD49" i="3"/>
  <c r="AR49" i="3" s="1"/>
  <c r="AV49" i="3" s="1"/>
  <c r="AY49" i="3"/>
  <c r="CW52" i="3"/>
  <c r="CY51" i="3"/>
  <c r="AC50" i="3"/>
  <c r="AY76" i="5"/>
  <c r="J92" i="5"/>
  <c r="J42" i="5"/>
  <c r="H11" i="5"/>
  <c r="K14" i="5"/>
  <c r="BF16" i="5"/>
  <c r="AT17" i="5"/>
  <c r="AH18" i="5"/>
  <c r="AR19" i="5"/>
  <c r="CW20" i="5"/>
  <c r="AH23" i="5"/>
  <c r="BC23" i="5"/>
  <c r="I24" i="5"/>
  <c r="AR24" i="5"/>
  <c r="CW25" i="5"/>
  <c r="AO28" i="5"/>
  <c r="AF28" i="5" s="1"/>
  <c r="AT29" i="5"/>
  <c r="BF31" i="5"/>
  <c r="BF32" i="5" s="1"/>
  <c r="Q33" i="5"/>
  <c r="I35" i="5"/>
  <c r="K37" i="5"/>
  <c r="CL46" i="5"/>
  <c r="AT48" i="5"/>
  <c r="G50" i="5"/>
  <c r="K52" i="5"/>
  <c r="CE54" i="5"/>
  <c r="BX59" i="5"/>
  <c r="H70" i="5"/>
  <c r="J83" i="5"/>
  <c r="J93" i="5"/>
  <c r="J69" i="5"/>
  <c r="J57" i="5"/>
  <c r="J45" i="5"/>
  <c r="J33" i="5"/>
  <c r="J31" i="5"/>
  <c r="J19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BA12" i="5" s="1"/>
  <c r="S13" i="5"/>
  <c r="AO13" i="5"/>
  <c r="BF13" i="5"/>
  <c r="CC13" i="5"/>
  <c r="CL13" i="5"/>
  <c r="Q14" i="5"/>
  <c r="V14" i="5" s="1"/>
  <c r="V15" i="5" s="1"/>
  <c r="AM14" i="5"/>
  <c r="CC14" i="5"/>
  <c r="CL14" i="5"/>
  <c r="AO16" i="5"/>
  <c r="H17" i="5"/>
  <c r="AJ17" i="5"/>
  <c r="BP17" i="5"/>
  <c r="CW17" i="5"/>
  <c r="Q19" i="5"/>
  <c r="BC20" i="5"/>
  <c r="BC21" i="5" s="1"/>
  <c r="I22" i="5"/>
  <c r="CJ22" i="5"/>
  <c r="K24" i="5"/>
  <c r="BV24" i="5"/>
  <c r="G25" i="5"/>
  <c r="AR25" i="5"/>
  <c r="H29" i="5"/>
  <c r="AT30" i="5"/>
  <c r="CW30" i="5"/>
  <c r="K35" i="5"/>
  <c r="S40" i="5"/>
  <c r="H50" i="5"/>
  <c r="BX50" i="5"/>
  <c r="BC53" i="5"/>
  <c r="I75" i="5"/>
  <c r="G74" i="5"/>
  <c r="AT71" i="5"/>
  <c r="CL69" i="5"/>
  <c r="CE65" i="5"/>
  <c r="K63" i="5"/>
  <c r="BX62" i="5"/>
  <c r="H62" i="5"/>
  <c r="G59" i="5"/>
  <c r="K58" i="5"/>
  <c r="G57" i="5"/>
  <c r="CE56" i="5"/>
  <c r="AT56" i="5"/>
  <c r="I53" i="5"/>
  <c r="BX52" i="5"/>
  <c r="H52" i="5"/>
  <c r="AT50" i="5"/>
  <c r="K47" i="5"/>
  <c r="BX46" i="5"/>
  <c r="H46" i="5"/>
  <c r="BC42" i="5"/>
  <c r="BC43" i="5" s="1"/>
  <c r="BC44" i="5" s="1"/>
  <c r="S42" i="5"/>
  <c r="CL41" i="5"/>
  <c r="I40" i="5"/>
  <c r="BX39" i="5"/>
  <c r="H39" i="5"/>
  <c r="H37" i="5"/>
  <c r="AY36" i="5"/>
  <c r="G36" i="5"/>
  <c r="AJ35" i="5"/>
  <c r="G35" i="5"/>
  <c r="BX33" i="5"/>
  <c r="BN33" i="5"/>
  <c r="AT33" i="5"/>
  <c r="AJ33" i="5"/>
  <c r="I33" i="5"/>
  <c r="CJ31" i="5"/>
  <c r="BP31" i="5"/>
  <c r="AM31" i="5"/>
  <c r="Q31" i="5"/>
  <c r="CL30" i="5"/>
  <c r="CC30" i="5"/>
  <c r="BF30" i="5"/>
  <c r="AO30" i="5"/>
  <c r="AF30" i="5" s="1"/>
  <c r="S30" i="5"/>
  <c r="CW29" i="5"/>
  <c r="CE29" i="5"/>
  <c r="BV29" i="5"/>
  <c r="BL29" i="5"/>
  <c r="AR29" i="5"/>
  <c r="BC65" i="5"/>
  <c r="BC66" i="5" s="1"/>
  <c r="S65" i="5"/>
  <c r="K64" i="5"/>
  <c r="I63" i="5"/>
  <c r="G62" i="5"/>
  <c r="AT58" i="5"/>
  <c r="I58" i="5"/>
  <c r="BC56" i="5"/>
  <c r="S56" i="5"/>
  <c r="CL54" i="5"/>
  <c r="K54" i="5"/>
  <c r="BX53" i="5"/>
  <c r="H53" i="5"/>
  <c r="G52" i="5"/>
  <c r="CE51" i="5"/>
  <c r="AT51" i="5"/>
  <c r="BC50" i="5"/>
  <c r="S50" i="5"/>
  <c r="CL48" i="5"/>
  <c r="AY48" i="5"/>
  <c r="K48" i="5"/>
  <c r="BX47" i="5"/>
  <c r="I47" i="5"/>
  <c r="G46" i="5"/>
  <c r="CE45" i="5"/>
  <c r="AT45" i="5"/>
  <c r="K41" i="5"/>
  <c r="BX40" i="5"/>
  <c r="H40" i="5"/>
  <c r="G39" i="5"/>
  <c r="G37" i="5"/>
  <c r="H33" i="5"/>
  <c r="K31" i="5"/>
  <c r="BC30" i="5"/>
  <c r="G64" i="5"/>
  <c r="CL59" i="5"/>
  <c r="BX57" i="5"/>
  <c r="AT57" i="5"/>
  <c r="I54" i="5"/>
  <c r="G53" i="5"/>
  <c r="BC51" i="5"/>
  <c r="S51" i="5"/>
  <c r="CL50" i="5"/>
  <c r="I48" i="5"/>
  <c r="H47" i="5"/>
  <c r="BC45" i="5"/>
  <c r="S45" i="5"/>
  <c r="CL42" i="5"/>
  <c r="K42" i="5"/>
  <c r="I41" i="5"/>
  <c r="G40" i="5"/>
  <c r="CE39" i="5"/>
  <c r="CE37" i="5"/>
  <c r="CE36" i="5"/>
  <c r="AT36" i="5"/>
  <c r="CE35" i="5"/>
  <c r="AT35" i="5"/>
  <c r="CW33" i="5"/>
  <c r="CE33" i="5"/>
  <c r="BV33" i="5"/>
  <c r="BL33" i="5"/>
  <c r="AR33" i="5"/>
  <c r="AH33" i="5"/>
  <c r="G33" i="5"/>
  <c r="BX31" i="5"/>
  <c r="BN31" i="5"/>
  <c r="AT31" i="5"/>
  <c r="AJ31" i="5"/>
  <c r="I31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AH28" i="5"/>
  <c r="G28" i="5"/>
  <c r="K25" i="5"/>
  <c r="K68" i="5"/>
  <c r="BX67" i="5"/>
  <c r="H67" i="5"/>
  <c r="CL63" i="5"/>
  <c r="S57" i="5"/>
  <c r="CL56" i="5"/>
  <c r="K56" i="5"/>
  <c r="BX54" i="5"/>
  <c r="H54" i="5"/>
  <c r="CE52" i="5"/>
  <c r="AT52" i="5"/>
  <c r="K50" i="5"/>
  <c r="BX48" i="5"/>
  <c r="H48" i="5"/>
  <c r="G47" i="5"/>
  <c r="CE46" i="5"/>
  <c r="AT46" i="5"/>
  <c r="I42" i="5"/>
  <c r="BX41" i="5"/>
  <c r="H41" i="5"/>
  <c r="AT39" i="5"/>
  <c r="AT37" i="5"/>
  <c r="BC36" i="5"/>
  <c r="S36" i="5"/>
  <c r="BC35" i="5"/>
  <c r="S35" i="5"/>
  <c r="H31" i="5"/>
  <c r="K30" i="5"/>
  <c r="BC29" i="5"/>
  <c r="BX25" i="5"/>
  <c r="BN25" i="5"/>
  <c r="AT25" i="5"/>
  <c r="AJ25" i="5"/>
  <c r="I25" i="5"/>
  <c r="CJ24" i="5"/>
  <c r="BP24" i="5"/>
  <c r="AM24" i="5"/>
  <c r="Q24" i="5"/>
  <c r="CL23" i="5"/>
  <c r="CC23" i="5"/>
  <c r="BF23" i="5"/>
  <c r="BA23" i="5" s="1"/>
  <c r="AO23" i="5"/>
  <c r="S23" i="5"/>
  <c r="CW22" i="5"/>
  <c r="CE22" i="5"/>
  <c r="BV22" i="5"/>
  <c r="BL22" i="5"/>
  <c r="AR22" i="5"/>
  <c r="AH22" i="5"/>
  <c r="G22" i="5"/>
  <c r="BX20" i="5"/>
  <c r="BN20" i="5"/>
  <c r="AT20" i="5"/>
  <c r="AJ20" i="5"/>
  <c r="I20" i="5"/>
  <c r="S76" i="5"/>
  <c r="BX74" i="5"/>
  <c r="H74" i="5"/>
  <c r="AT70" i="5"/>
  <c r="BC64" i="5"/>
  <c r="S70" i="5"/>
  <c r="BX68" i="5"/>
  <c r="I68" i="5"/>
  <c r="CE73" i="5"/>
  <c r="BC71" i="5"/>
  <c r="BC72" i="5" s="1"/>
  <c r="H68" i="5"/>
  <c r="CL64" i="5"/>
  <c r="CE71" i="5"/>
  <c r="BC70" i="5"/>
  <c r="K69" i="5"/>
  <c r="G67" i="5"/>
  <c r="AT65" i="5"/>
  <c r="CL57" i="5"/>
  <c r="CE75" i="5"/>
  <c r="K73" i="5"/>
  <c r="BX70" i="5"/>
  <c r="S62" i="5"/>
  <c r="BC58" i="5"/>
  <c r="I57" i="5"/>
  <c r="G56" i="5"/>
  <c r="AT54" i="5"/>
  <c r="CE48" i="5"/>
  <c r="BC47" i="5"/>
  <c r="S47" i="5"/>
  <c r="K46" i="5"/>
  <c r="BX45" i="5"/>
  <c r="H45" i="5"/>
  <c r="AT41" i="5"/>
  <c r="CJ33" i="5"/>
  <c r="BP33" i="5"/>
  <c r="AM33" i="5"/>
  <c r="CL31" i="5"/>
  <c r="AO31" i="5"/>
  <c r="AF31" i="5" s="1"/>
  <c r="G73" i="5"/>
  <c r="S64" i="5"/>
  <c r="I62" i="5"/>
  <c r="H57" i="5"/>
  <c r="CL53" i="5"/>
  <c r="AY51" i="5"/>
  <c r="CE50" i="5"/>
  <c r="BC48" i="5"/>
  <c r="BC49" i="5" s="1"/>
  <c r="S48" i="5"/>
  <c r="I46" i="5"/>
  <c r="G45" i="5"/>
  <c r="AT42" i="5"/>
  <c r="CL40" i="5"/>
  <c r="Q29" i="5"/>
  <c r="CJ28" i="5"/>
  <c r="BX28" i="5"/>
  <c r="BF28" i="5"/>
  <c r="AM28" i="5"/>
  <c r="I28" i="5"/>
  <c r="BC25" i="5"/>
  <c r="BC26" i="5" s="1"/>
  <c r="BC27" i="5" s="1"/>
  <c r="AJ24" i="5"/>
  <c r="H24" i="5"/>
  <c r="BL23" i="5"/>
  <c r="CL22" i="5"/>
  <c r="BP22" i="5"/>
  <c r="AJ22" i="5"/>
  <c r="H22" i="5"/>
  <c r="BV20" i="5"/>
  <c r="AO20" i="5"/>
  <c r="CL19" i="5"/>
  <c r="CC19" i="5"/>
  <c r="BF19" i="5"/>
  <c r="AO19" i="5"/>
  <c r="S19" i="5"/>
  <c r="CW18" i="5"/>
  <c r="CE18" i="5"/>
  <c r="CL76" i="5"/>
  <c r="I69" i="5"/>
  <c r="CE59" i="5"/>
  <c r="CE53" i="5"/>
  <c r="BC52" i="5"/>
  <c r="S52" i="5"/>
  <c r="K51" i="5"/>
  <c r="I50" i="5"/>
  <c r="G48" i="5"/>
  <c r="CL45" i="5"/>
  <c r="CE40" i="5"/>
  <c r="BC39" i="5"/>
  <c r="S39" i="5"/>
  <c r="BC37" i="5"/>
  <c r="BC38" i="5" s="1"/>
  <c r="S37" i="5"/>
  <c r="CC33" i="5"/>
  <c r="BF33" i="5"/>
  <c r="S33" i="5"/>
  <c r="CE31" i="5"/>
  <c r="BL31" i="5"/>
  <c r="AH31" i="5"/>
  <c r="BN30" i="5"/>
  <c r="AJ30" i="5"/>
  <c r="CJ29" i="5"/>
  <c r="BP29" i="5"/>
  <c r="K29" i="5"/>
  <c r="BC28" i="5"/>
  <c r="H28" i="5"/>
  <c r="CE25" i="5"/>
  <c r="AH25" i="5"/>
  <c r="CW24" i="5"/>
  <c r="CC24" i="5"/>
  <c r="AT24" i="5"/>
  <c r="G24" i="5"/>
  <c r="BV23" i="5"/>
  <c r="Q23" i="5"/>
  <c r="AT22" i="5"/>
  <c r="CE20" i="5"/>
  <c r="BF20" i="5"/>
  <c r="BF21" i="5" s="1"/>
  <c r="Q20" i="5"/>
  <c r="BC19" i="5"/>
  <c r="BC76" i="5"/>
  <c r="BC77" i="5" s="1"/>
  <c r="BC78" i="5" s="1"/>
  <c r="BC79" i="5" s="1"/>
  <c r="K75" i="5"/>
  <c r="BC62" i="5"/>
  <c r="BC54" i="5"/>
  <c r="BC55" i="5" s="1"/>
  <c r="S54" i="5"/>
  <c r="K53" i="5"/>
  <c r="I52" i="5"/>
  <c r="G51" i="5"/>
  <c r="CL47" i="5"/>
  <c r="CE42" i="5"/>
  <c r="BC41" i="5"/>
  <c r="S41" i="5"/>
  <c r="K40" i="5"/>
  <c r="I39" i="5"/>
  <c r="BX37" i="5"/>
  <c r="I37" i="5"/>
  <c r="BX36" i="5"/>
  <c r="H36" i="5"/>
  <c r="BX35" i="5"/>
  <c r="H35" i="5"/>
  <c r="K33" i="5"/>
  <c r="BC31" i="5"/>
  <c r="BC32" i="5" s="1"/>
  <c r="AJ29" i="5"/>
  <c r="G29" i="5"/>
  <c r="CC28" i="5"/>
  <c r="BP28" i="5"/>
  <c r="AT28" i="5"/>
  <c r="S28" i="5"/>
  <c r="BL24" i="5"/>
  <c r="S24" i="5"/>
  <c r="BP23" i="5"/>
  <c r="AJ23" i="5"/>
  <c r="H23" i="5"/>
  <c r="AO22" i="5"/>
  <c r="CL20" i="5"/>
  <c r="BP20" i="5"/>
  <c r="G20" i="5"/>
  <c r="BX19" i="5"/>
  <c r="BN19" i="5"/>
  <c r="AT19" i="5"/>
  <c r="AJ19" i="5"/>
  <c r="I19" i="5"/>
  <c r="CJ18" i="5"/>
  <c r="BP18" i="5"/>
  <c r="AM18" i="5"/>
  <c r="Q18" i="5"/>
  <c r="CL17" i="5"/>
  <c r="CC17" i="5"/>
  <c r="BF17" i="5"/>
  <c r="AO17" i="5"/>
  <c r="S17" i="5"/>
  <c r="CW16" i="5"/>
  <c r="CE16" i="5"/>
  <c r="BV16" i="5"/>
  <c r="BL16" i="5"/>
  <c r="AR16" i="5"/>
  <c r="AH16" i="5"/>
  <c r="G16" i="5"/>
  <c r="BX14" i="5"/>
  <c r="BN14" i="5"/>
  <c r="J68" i="5"/>
  <c r="J30" i="5"/>
  <c r="Q16" i="5"/>
  <c r="BV25" i="5"/>
  <c r="J70" i="5"/>
  <c r="S16" i="5"/>
  <c r="BX16" i="5"/>
  <c r="I17" i="5"/>
  <c r="AJ18" i="5"/>
  <c r="BV19" i="5"/>
  <c r="BL20" i="5"/>
  <c r="H25" i="5"/>
  <c r="K28" i="5"/>
  <c r="I29" i="5"/>
  <c r="G30" i="5"/>
  <c r="BX56" i="5"/>
  <c r="AT68" i="5"/>
  <c r="J86" i="5"/>
  <c r="J73" i="5"/>
  <c r="J71" i="5"/>
  <c r="J59" i="5"/>
  <c r="J47" i="5"/>
  <c r="J35" i="5"/>
  <c r="J23" i="5"/>
  <c r="J11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BV13" i="5"/>
  <c r="CE13" i="5"/>
  <c r="CW13" i="5"/>
  <c r="S14" i="5"/>
  <c r="AO14" i="5"/>
  <c r="BF14" i="5"/>
  <c r="BF15" i="5" s="1"/>
  <c r="CE14" i="5"/>
  <c r="CW14" i="5"/>
  <c r="BN16" i="5"/>
  <c r="CJ16" i="5"/>
  <c r="K17" i="5"/>
  <c r="AM17" i="5"/>
  <c r="BC17" i="5"/>
  <c r="CE17" i="5"/>
  <c r="H18" i="5"/>
  <c r="BF18" i="5"/>
  <c r="AH19" i="5"/>
  <c r="Q22" i="5"/>
  <c r="BX22" i="5"/>
  <c r="AM23" i="5"/>
  <c r="BF24" i="5"/>
  <c r="Q25" i="5"/>
  <c r="BF25" i="5"/>
  <c r="BF26" i="5" s="1"/>
  <c r="BF27" i="5" s="1"/>
  <c r="CC25" i="5"/>
  <c r="Q28" i="5"/>
  <c r="BN29" i="5"/>
  <c r="H30" i="5"/>
  <c r="G31" i="5"/>
  <c r="BV31" i="5"/>
  <c r="AO33" i="5"/>
  <c r="CL33" i="5"/>
  <c r="CL35" i="5"/>
  <c r="AT40" i="5"/>
  <c r="G41" i="5"/>
  <c r="K45" i="5"/>
  <c r="BC46" i="5"/>
  <c r="CE47" i="5"/>
  <c r="I56" i="5"/>
  <c r="BC57" i="5"/>
  <c r="S71" i="5"/>
  <c r="J56" i="5"/>
  <c r="J18" i="5"/>
  <c r="AT18" i="5"/>
  <c r="K19" i="5"/>
  <c r="S20" i="5"/>
  <c r="J85" i="5"/>
  <c r="J58" i="5"/>
  <c r="J22" i="5"/>
  <c r="K11" i="5"/>
  <c r="H12" i="5"/>
  <c r="BC14" i="5"/>
  <c r="BC15" i="5" s="1"/>
  <c r="BC18" i="5"/>
  <c r="CJ19" i="5"/>
  <c r="CC20" i="5"/>
  <c r="CE23" i="5"/>
  <c r="BX24" i="5"/>
  <c r="BL30" i="5"/>
  <c r="AO35" i="5"/>
  <c r="J87" i="5"/>
  <c r="J74" i="5"/>
  <c r="J62" i="5"/>
  <c r="J50" i="5"/>
  <c r="J48" i="5"/>
  <c r="J36" i="5"/>
  <c r="J24" i="5"/>
  <c r="J12" i="5"/>
  <c r="BC11" i="5"/>
  <c r="K12" i="5"/>
  <c r="H13" i="5"/>
  <c r="BV14" i="5"/>
  <c r="AT16" i="5"/>
  <c r="Q17" i="5"/>
  <c r="BV17" i="5"/>
  <c r="I18" i="5"/>
  <c r="BL18" i="5"/>
  <c r="BX18" i="5"/>
  <c r="CL18" i="5"/>
  <c r="CW19" i="5"/>
  <c r="AM20" i="5"/>
  <c r="S22" i="5"/>
  <c r="BC22" i="5"/>
  <c r="G23" i="5"/>
  <c r="AR23" i="5"/>
  <c r="CJ23" i="5"/>
  <c r="AH24" i="5"/>
  <c r="CE24" i="5"/>
  <c r="S25" i="5"/>
  <c r="AH29" i="5"/>
  <c r="I30" i="5"/>
  <c r="BV30" i="5"/>
  <c r="S31" i="5"/>
  <c r="CC31" i="5"/>
  <c r="I36" i="5"/>
  <c r="K39" i="5"/>
  <c r="CE41" i="5"/>
  <c r="H51" i="5"/>
  <c r="BX51" i="5"/>
  <c r="CE58" i="5"/>
  <c r="J82" i="5"/>
  <c r="J54" i="5"/>
  <c r="BC13" i="5"/>
  <c r="BP14" i="5"/>
  <c r="G17" i="5"/>
  <c r="BP19" i="5"/>
  <c r="AO25" i="5"/>
  <c r="J94" i="5"/>
  <c r="J46" i="5"/>
  <c r="J20" i="5"/>
  <c r="G18" i="5"/>
  <c r="BV18" i="5"/>
  <c r="AH20" i="5"/>
  <c r="K22" i="5"/>
  <c r="BN23" i="5"/>
  <c r="BC24" i="5"/>
  <c r="CL37" i="5"/>
  <c r="I45" i="5"/>
  <c r="CL52" i="5"/>
  <c r="H56" i="5"/>
  <c r="I71" i="5"/>
  <c r="J88" i="5"/>
  <c r="J75" i="5"/>
  <c r="J63" i="5"/>
  <c r="J51" i="5"/>
  <c r="J39" i="5"/>
  <c r="J37" i="5"/>
  <c r="J25" i="5"/>
  <c r="J13" i="5"/>
  <c r="S11" i="5"/>
  <c r="AO11" i="5"/>
  <c r="BF11" i="5"/>
  <c r="BA11" i="5" s="1"/>
  <c r="CC11" i="5"/>
  <c r="CL11" i="5"/>
  <c r="Q12" i="5"/>
  <c r="V13" i="5" s="1"/>
  <c r="AM12" i="5"/>
  <c r="BP12" i="5"/>
  <c r="CJ12" i="5"/>
  <c r="I13" i="5"/>
  <c r="AJ13" i="5"/>
  <c r="AT13" i="5"/>
  <c r="BN13" i="5"/>
  <c r="BX13" i="5"/>
  <c r="G14" i="5"/>
  <c r="AH14" i="5"/>
  <c r="AR14" i="5"/>
  <c r="BL14" i="5"/>
  <c r="H16" i="5"/>
  <c r="AJ16" i="5"/>
  <c r="BP16" i="5"/>
  <c r="CL16" i="5"/>
  <c r="BL17" i="5"/>
  <c r="K18" i="5"/>
  <c r="AO18" i="5"/>
  <c r="BL19" i="5"/>
  <c r="CJ20" i="5"/>
  <c r="BF22" i="5"/>
  <c r="CC22" i="5"/>
  <c r="I23" i="5"/>
  <c r="BL25" i="5"/>
  <c r="CJ25" i="5"/>
  <c r="BN28" i="5"/>
  <c r="BX29" i="5"/>
  <c r="AH30" i="5"/>
  <c r="BC33" i="5"/>
  <c r="K36" i="5"/>
  <c r="BC40" i="5"/>
  <c r="AT47" i="5"/>
  <c r="I51" i="5"/>
  <c r="S53" i="5"/>
  <c r="H59" i="5"/>
  <c r="CL75" i="5"/>
  <c r="I65" i="5"/>
  <c r="AT75" i="5"/>
  <c r="G76" i="5"/>
  <c r="CL70" i="5"/>
  <c r="AT73" i="5"/>
  <c r="H75" i="5"/>
  <c r="BX75" i="5"/>
  <c r="K76" i="5"/>
  <c r="I76" i="5"/>
  <c r="G75" i="5"/>
  <c r="CE74" i="5"/>
  <c r="AT74" i="5"/>
  <c r="BC73" i="5"/>
  <c r="S73" i="5"/>
  <c r="CL71" i="5"/>
  <c r="K70" i="5"/>
  <c r="BX69" i="5"/>
  <c r="H69" i="5"/>
  <c r="G68" i="5"/>
  <c r="CE67" i="5"/>
  <c r="AT67" i="5"/>
  <c r="I64" i="5"/>
  <c r="BX63" i="5"/>
  <c r="H63" i="5"/>
  <c r="AT59" i="5"/>
  <c r="BX76" i="5"/>
  <c r="H76" i="5"/>
  <c r="BC74" i="5"/>
  <c r="S74" i="5"/>
  <c r="CL73" i="5"/>
  <c r="K71" i="5"/>
  <c r="I70" i="5"/>
  <c r="G69" i="5"/>
  <c r="CE68" i="5"/>
  <c r="BC67" i="5"/>
  <c r="S67" i="5"/>
  <c r="CL65" i="5"/>
  <c r="K65" i="5"/>
  <c r="BX64" i="5"/>
  <c r="H64" i="5"/>
  <c r="G63" i="5"/>
  <c r="CE62" i="5"/>
  <c r="AT62" i="5"/>
  <c r="BC59" i="5"/>
  <c r="BC60" i="5" s="1"/>
  <c r="BC61" i="5" s="1"/>
  <c r="S59" i="5"/>
  <c r="CL58" i="5"/>
  <c r="BC75" i="5"/>
  <c r="S75" i="5"/>
  <c r="CL74" i="5"/>
  <c r="K74" i="5"/>
  <c r="I73" i="5"/>
  <c r="BX71" i="5"/>
  <c r="H71" i="5"/>
  <c r="G70" i="5"/>
  <c r="CE69" i="5"/>
  <c r="AT69" i="5"/>
  <c r="BC68" i="5"/>
  <c r="S68" i="5"/>
  <c r="CL67" i="5"/>
  <c r="K67" i="5"/>
  <c r="BX65" i="5"/>
  <c r="H65" i="5"/>
  <c r="CE63" i="5"/>
  <c r="AT63" i="5"/>
  <c r="K59" i="5"/>
  <c r="BX58" i="5"/>
  <c r="H58" i="5"/>
  <c r="CE76" i="5"/>
  <c r="AT76" i="5"/>
  <c r="I74" i="5"/>
  <c r="BX73" i="5"/>
  <c r="H73" i="5"/>
  <c r="G71" i="5"/>
  <c r="CE70" i="5"/>
  <c r="BC69" i="5"/>
  <c r="S69" i="5"/>
  <c r="CL68" i="5"/>
  <c r="I67" i="5"/>
  <c r="G65" i="5"/>
  <c r="CE64" i="5"/>
  <c r="AT64" i="5"/>
  <c r="BC63" i="5"/>
  <c r="S63" i="5"/>
  <c r="CL62" i="5"/>
  <c r="K62" i="5"/>
  <c r="I59" i="5"/>
  <c r="G58" i="5"/>
  <c r="CE57" i="5"/>
  <c r="K95" i="5"/>
  <c r="DA11" i="5"/>
  <c r="AJ2" i="3"/>
  <c r="AK2" i="3" s="1"/>
  <c r="AT2" i="3"/>
  <c r="AU2" i="3" s="1"/>
  <c r="AO2" i="3"/>
  <c r="AP2" i="3" s="1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P51" i="3" l="1"/>
  <c r="Y51" i="3"/>
  <c r="V53" i="3"/>
  <c r="U52" i="3"/>
  <c r="BH52" i="3"/>
  <c r="L52" i="3"/>
  <c r="CY52" i="3"/>
  <c r="BA52" i="3"/>
  <c r="V31" i="5"/>
  <c r="V32" i="5" s="1"/>
  <c r="V33" i="5"/>
  <c r="BA13" i="5"/>
  <c r="V19" i="5"/>
  <c r="V30" i="5"/>
  <c r="V23" i="5"/>
  <c r="V18" i="5"/>
  <c r="V22" i="5"/>
  <c r="V24" i="5"/>
  <c r="V25" i="5"/>
  <c r="V26" i="5" s="1"/>
  <c r="V27" i="5" s="1"/>
  <c r="V20" i="5"/>
  <c r="V21" i="5" s="1"/>
  <c r="V12" i="5"/>
  <c r="V17" i="5"/>
  <c r="V16" i="5"/>
  <c r="AY73" i="5"/>
  <c r="AY67" i="5"/>
  <c r="AY35" i="5"/>
  <c r="AY74" i="5"/>
  <c r="AY40" i="5"/>
  <c r="AY37" i="5"/>
  <c r="AY39" i="5"/>
  <c r="AY42" i="5"/>
  <c r="AY62" i="5"/>
  <c r="AY53" i="5"/>
  <c r="AW33" i="5"/>
  <c r="AY64" i="5"/>
  <c r="AY58" i="5"/>
  <c r="AY47" i="5"/>
  <c r="AY69" i="5"/>
  <c r="AY46" i="5"/>
  <c r="BA24" i="5"/>
  <c r="BA33" i="5"/>
  <c r="AY54" i="5"/>
  <c r="AY59" i="5"/>
  <c r="AY65" i="5"/>
  <c r="BA19" i="5"/>
  <c r="AF33" i="5"/>
  <c r="AY33" i="5"/>
  <c r="AY50" i="5"/>
  <c r="AY41" i="5"/>
  <c r="BA17" i="5"/>
  <c r="BA25" i="5"/>
  <c r="BA26" i="5" s="1"/>
  <c r="BA27" i="5" s="1"/>
  <c r="AY71" i="5"/>
  <c r="AY75" i="5"/>
  <c r="AY45" i="5"/>
  <c r="BA30" i="5"/>
  <c r="BJ30" i="5" s="1"/>
  <c r="BA20" i="5"/>
  <c r="BA21" i="5" s="1"/>
  <c r="AY70" i="5"/>
  <c r="BA14" i="5"/>
  <c r="BA15" i="5" s="1"/>
  <c r="BA16" i="5"/>
  <c r="BA18" i="5"/>
  <c r="AY52" i="5"/>
  <c r="AY63" i="5"/>
  <c r="AY68" i="5"/>
  <c r="BA22" i="5"/>
  <c r="AY56" i="5"/>
  <c r="BA28" i="5"/>
  <c r="BJ28" i="5" s="1"/>
  <c r="BA29" i="5"/>
  <c r="BJ29" i="5" s="1"/>
  <c r="AY57" i="5"/>
  <c r="BA31" i="5"/>
  <c r="BA32" i="5" s="1"/>
  <c r="K26" i="5"/>
  <c r="J43" i="5"/>
  <c r="CE43" i="5"/>
  <c r="CC26" i="5"/>
  <c r="CE49" i="5"/>
  <c r="CE55" i="5"/>
  <c r="CE60" i="5"/>
  <c r="CC32" i="5"/>
  <c r="CE26" i="5"/>
  <c r="CE32" i="5"/>
  <c r="CE38" i="5"/>
  <c r="CC21" i="5"/>
  <c r="CE21" i="5"/>
  <c r="CE72" i="5"/>
  <c r="CE66" i="5"/>
  <c r="CC15" i="5"/>
  <c r="CE15" i="5"/>
  <c r="CE77" i="5"/>
  <c r="F28" i="5"/>
  <c r="F29" i="5"/>
  <c r="F30" i="5"/>
  <c r="F31" i="5"/>
  <c r="F33" i="5"/>
  <c r="BP26" i="5"/>
  <c r="N33" i="5"/>
  <c r="BL32" i="5"/>
  <c r="D28" i="5"/>
  <c r="BL21" i="5"/>
  <c r="BN32" i="5"/>
  <c r="BL15" i="5"/>
  <c r="CJ21" i="5"/>
  <c r="CJ32" i="5"/>
  <c r="BP32" i="5"/>
  <c r="CJ26" i="5"/>
  <c r="BL26" i="5"/>
  <c r="CR29" i="5"/>
  <c r="BV32" i="5"/>
  <c r="BN26" i="5"/>
  <c r="BN15" i="5"/>
  <c r="CR28" i="5"/>
  <c r="CR33" i="5"/>
  <c r="BN21" i="5"/>
  <c r="BP15" i="5"/>
  <c r="BP21" i="5"/>
  <c r="BV21" i="5"/>
  <c r="CO31" i="5"/>
  <c r="CJ15" i="5"/>
  <c r="BV15" i="5"/>
  <c r="BV26" i="5"/>
  <c r="AD30" i="5"/>
  <c r="AD33" i="5"/>
  <c r="BR28" i="5"/>
  <c r="CR30" i="5"/>
  <c r="D30" i="5"/>
  <c r="BR31" i="5"/>
  <c r="CR31" i="5"/>
  <c r="CO28" i="5"/>
  <c r="CO29" i="5"/>
  <c r="D33" i="5"/>
  <c r="CO30" i="5"/>
  <c r="CO33" i="5"/>
  <c r="AY29" i="5"/>
  <c r="N29" i="5"/>
  <c r="AA29" i="5" s="1"/>
  <c r="AD29" i="5"/>
  <c r="N28" i="5"/>
  <c r="AA28" i="5" s="1"/>
  <c r="D29" i="5"/>
  <c r="AD28" i="5"/>
  <c r="AY31" i="5"/>
  <c r="BR33" i="5"/>
  <c r="BR29" i="5"/>
  <c r="N30" i="5"/>
  <c r="AA30" i="5" s="1"/>
  <c r="D31" i="5"/>
  <c r="N31" i="5"/>
  <c r="AA31" i="5" s="1"/>
  <c r="BR30" i="5"/>
  <c r="AD31" i="5"/>
  <c r="L33" i="5"/>
  <c r="L28" i="5"/>
  <c r="AW28" i="5"/>
  <c r="L30" i="5"/>
  <c r="AW30" i="5"/>
  <c r="AY28" i="5"/>
  <c r="L29" i="5"/>
  <c r="AW29" i="5"/>
  <c r="AY30" i="5"/>
  <c r="L31" i="5"/>
  <c r="AW31" i="5"/>
  <c r="Y52" i="3" l="1"/>
  <c r="AC52" i="3" s="1"/>
  <c r="P52" i="3"/>
  <c r="AC51" i="3"/>
  <c r="BE52" i="3"/>
  <c r="Q53" i="3"/>
  <c r="BJ52" i="3"/>
  <c r="BB52" i="3"/>
  <c r="CE44" i="5"/>
  <c r="BH31" i="5"/>
  <c r="AA33" i="5"/>
  <c r="BJ33" i="5"/>
  <c r="E28" i="5"/>
  <c r="CE61" i="5"/>
  <c r="CC27" i="5"/>
  <c r="CE27" i="5"/>
  <c r="CE78" i="5"/>
  <c r="BH29" i="5"/>
  <c r="BH33" i="5"/>
  <c r="E30" i="5"/>
  <c r="BH30" i="5"/>
  <c r="BH28" i="5"/>
  <c r="E31" i="5"/>
  <c r="E29" i="5"/>
  <c r="BJ31" i="5"/>
  <c r="CJ27" i="5"/>
  <c r="BN27" i="5"/>
  <c r="BL27" i="5"/>
  <c r="BV27" i="5"/>
  <c r="BP27" i="5"/>
  <c r="E33" i="5"/>
  <c r="Y33" i="5"/>
  <c r="Y30" i="5"/>
  <c r="Y29" i="5"/>
  <c r="Y31" i="5"/>
  <c r="Y28" i="5"/>
  <c r="V54" i="3" l="1"/>
  <c r="V55" i="3" s="1"/>
  <c r="AW55" i="3" s="1"/>
  <c r="U53" i="3"/>
  <c r="L53" i="3"/>
  <c r="BH53" i="3"/>
  <c r="CW53" i="3"/>
  <c r="BA53" i="3"/>
  <c r="CE79" i="5"/>
  <c r="BJ53" i="3" l="1"/>
  <c r="BE53" i="3"/>
  <c r="Q54" i="3"/>
  <c r="BB53" i="3"/>
  <c r="Y53" i="3"/>
  <c r="P53" i="3"/>
  <c r="CY53" i="3"/>
  <c r="BV4" i="5"/>
  <c r="CM4" i="5"/>
  <c r="CM34" i="5" s="1"/>
  <c r="CK4" i="5"/>
  <c r="CK34" i="5" s="1"/>
  <c r="CJ4" i="5"/>
  <c r="CF4" i="5"/>
  <c r="CF34" i="5" s="1"/>
  <c r="CD4" i="5"/>
  <c r="CD34" i="5" s="1"/>
  <c r="CC4" i="5"/>
  <c r="BY4" i="5"/>
  <c r="BY34" i="5" s="1"/>
  <c r="BZ34" i="5" s="1"/>
  <c r="BW4" i="5"/>
  <c r="BW34" i="5" s="1"/>
  <c r="BD4" i="5"/>
  <c r="BB4" i="5"/>
  <c r="BA4" i="5"/>
  <c r="AU4" i="5"/>
  <c r="AU34" i="5" s="1"/>
  <c r="AV34" i="5" s="1"/>
  <c r="AS4" i="5"/>
  <c r="AS34" i="5" s="1"/>
  <c r="AR4" i="5"/>
  <c r="AP4" i="5"/>
  <c r="AP34" i="5" s="1"/>
  <c r="AN4" i="5"/>
  <c r="AM4" i="5"/>
  <c r="AK4" i="5"/>
  <c r="AK34" i="5" s="1"/>
  <c r="AL34" i="5" s="1"/>
  <c r="AI4" i="5"/>
  <c r="AH4" i="5"/>
  <c r="R4" i="5"/>
  <c r="R34" i="5" s="1"/>
  <c r="BM2" i="5"/>
  <c r="BM4" i="5"/>
  <c r="BM34" i="5" s="1"/>
  <c r="BL4" i="5"/>
  <c r="BQ4" i="5"/>
  <c r="BQ34" i="5" s="1"/>
  <c r="BP4" i="5"/>
  <c r="BO4" i="5"/>
  <c r="BO34" i="5" s="1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G34" i="5" s="1"/>
  <c r="BF4" i="5"/>
  <c r="CI4" i="5"/>
  <c r="CI34" i="5" s="1"/>
  <c r="CH4" i="5"/>
  <c r="CH34" i="5" s="1"/>
  <c r="CB4" i="5"/>
  <c r="CB34" i="5" s="1"/>
  <c r="CA4" i="5"/>
  <c r="CA34" i="5" s="1"/>
  <c r="V56" i="3" l="1"/>
  <c r="U54" i="3"/>
  <c r="BH54" i="3"/>
  <c r="L54" i="3"/>
  <c r="Q55" i="3"/>
  <c r="BA54" i="3"/>
  <c r="CW54" i="3"/>
  <c r="AC53" i="3"/>
  <c r="AI34" i="5"/>
  <c r="AI92" i="5"/>
  <c r="AI85" i="5"/>
  <c r="AI80" i="5"/>
  <c r="AI73" i="5"/>
  <c r="AI65" i="5"/>
  <c r="AI59" i="5"/>
  <c r="AI54" i="5"/>
  <c r="AI50" i="5"/>
  <c r="AI45" i="5"/>
  <c r="AI39" i="5"/>
  <c r="AI93" i="5"/>
  <c r="AI91" i="5"/>
  <c r="AI88" i="5"/>
  <c r="AI86" i="5"/>
  <c r="AI83" i="5"/>
  <c r="AI81" i="5"/>
  <c r="AI76" i="5"/>
  <c r="AI74" i="5"/>
  <c r="AI71" i="5"/>
  <c r="AI69" i="5"/>
  <c r="AI67" i="5"/>
  <c r="AI64" i="5"/>
  <c r="AI62" i="5"/>
  <c r="AI58" i="5"/>
  <c r="AI56" i="5"/>
  <c r="AI53" i="5"/>
  <c r="AI51" i="5"/>
  <c r="AI48" i="5"/>
  <c r="AI46" i="5"/>
  <c r="AI42" i="5"/>
  <c r="AI40" i="5"/>
  <c r="AI37" i="5"/>
  <c r="AI94" i="5"/>
  <c r="AI89" i="5"/>
  <c r="AI87" i="5"/>
  <c r="AI82" i="5"/>
  <c r="AI75" i="5"/>
  <c r="AI70" i="5"/>
  <c r="AI68" i="5"/>
  <c r="AI63" i="5"/>
  <c r="AI57" i="5"/>
  <c r="AI52" i="5"/>
  <c r="AI47" i="5"/>
  <c r="AI41" i="5"/>
  <c r="AI36" i="5"/>
  <c r="AN34" i="5"/>
  <c r="M34" i="5" s="1"/>
  <c r="AN91" i="5"/>
  <c r="AN62" i="5"/>
  <c r="AN51" i="5"/>
  <c r="AN40" i="5"/>
  <c r="AN93" i="5"/>
  <c r="AN88" i="5"/>
  <c r="AN86" i="5"/>
  <c r="AN83" i="5"/>
  <c r="AN81" i="5"/>
  <c r="AN76" i="5"/>
  <c r="AN74" i="5"/>
  <c r="AN71" i="5"/>
  <c r="AN69" i="5"/>
  <c r="AN67" i="5"/>
  <c r="AN64" i="5"/>
  <c r="AN58" i="5"/>
  <c r="AN56" i="5"/>
  <c r="AN53" i="5"/>
  <c r="AN48" i="5"/>
  <c r="AN46" i="5"/>
  <c r="AN42" i="5"/>
  <c r="AN37" i="5"/>
  <c r="AN85" i="5"/>
  <c r="AN92" i="5"/>
  <c r="AN82" i="5"/>
  <c r="AN70" i="5"/>
  <c r="AN59" i="5"/>
  <c r="AN50" i="5"/>
  <c r="AN39" i="5"/>
  <c r="AN89" i="5"/>
  <c r="AN80" i="5"/>
  <c r="AN68" i="5"/>
  <c r="AN57" i="5"/>
  <c r="AN47" i="5"/>
  <c r="AN36" i="5"/>
  <c r="AN87" i="5"/>
  <c r="AN75" i="5"/>
  <c r="AN65" i="5"/>
  <c r="AN54" i="5"/>
  <c r="AN45" i="5"/>
  <c r="AN94" i="5"/>
  <c r="AN73" i="5"/>
  <c r="AN63" i="5"/>
  <c r="AN52" i="5"/>
  <c r="AN41" i="5"/>
  <c r="BS34" i="5"/>
  <c r="BB33" i="5"/>
  <c r="BB28" i="5"/>
  <c r="BB22" i="5"/>
  <c r="BB17" i="5"/>
  <c r="BB12" i="5"/>
  <c r="BB31" i="5"/>
  <c r="BB32" i="5" s="1"/>
  <c r="BB25" i="5"/>
  <c r="BB26" i="5" s="1"/>
  <c r="BB27" i="5" s="1"/>
  <c r="BB20" i="5"/>
  <c r="BB21" i="5" s="1"/>
  <c r="BB16" i="5"/>
  <c r="BB11" i="5"/>
  <c r="BB34" i="5"/>
  <c r="BB29" i="5"/>
  <c r="BB23" i="5"/>
  <c r="BB18" i="5"/>
  <c r="BB13" i="5"/>
  <c r="BB30" i="5"/>
  <c r="BB24" i="5"/>
  <c r="BB19" i="5"/>
  <c r="BB14" i="5"/>
  <c r="BB15" i="5" s="1"/>
  <c r="AZ34" i="5"/>
  <c r="AG34" i="5"/>
  <c r="AQ34" i="5"/>
  <c r="CS34" i="5"/>
  <c r="CT34" i="5" s="1"/>
  <c r="CN34" i="5"/>
  <c r="CG34" i="5"/>
  <c r="CP34" i="5"/>
  <c r="CQ34" i="5" s="1"/>
  <c r="CH93" i="5"/>
  <c r="CH53" i="5"/>
  <c r="CH80" i="5"/>
  <c r="CH81" i="5"/>
  <c r="CH39" i="5"/>
  <c r="CH70" i="5"/>
  <c r="CH40" i="5"/>
  <c r="CH62" i="5"/>
  <c r="CH82" i="5"/>
  <c r="CH41" i="5"/>
  <c r="CH63" i="5"/>
  <c r="CH88" i="5"/>
  <c r="CH86" i="5"/>
  <c r="CH48" i="5"/>
  <c r="CH42" i="5"/>
  <c r="CH74" i="5"/>
  <c r="CH45" i="5"/>
  <c r="CH75" i="5"/>
  <c r="CH46" i="5"/>
  <c r="CH67" i="5"/>
  <c r="CH87" i="5"/>
  <c r="CH47" i="5"/>
  <c r="CH68" i="5"/>
  <c r="CH89" i="5"/>
  <c r="CH64" i="5"/>
  <c r="CH94" i="5"/>
  <c r="CH37" i="5"/>
  <c r="CH50" i="5"/>
  <c r="CH54" i="5"/>
  <c r="CH91" i="5"/>
  <c r="CH51" i="5"/>
  <c r="CH71" i="5"/>
  <c r="CH92" i="5"/>
  <c r="CH52" i="5"/>
  <c r="CH73" i="5"/>
  <c r="CH69" i="5"/>
  <c r="CH85" i="5"/>
  <c r="CH58" i="5"/>
  <c r="CH65" i="5"/>
  <c r="CH59" i="5"/>
  <c r="CH35" i="5"/>
  <c r="CH56" i="5"/>
  <c r="CH76" i="5"/>
  <c r="CH36" i="5"/>
  <c r="CH57" i="5"/>
  <c r="CH83" i="5"/>
  <c r="CA47" i="5"/>
  <c r="CA89" i="5"/>
  <c r="CA68" i="5"/>
  <c r="CA85" i="5"/>
  <c r="CA57" i="5"/>
  <c r="CA81" i="5"/>
  <c r="CA64" i="5"/>
  <c r="CA39" i="5"/>
  <c r="CA59" i="5"/>
  <c r="CA82" i="5"/>
  <c r="CA40" i="5"/>
  <c r="CA62" i="5"/>
  <c r="CA83" i="5"/>
  <c r="CA52" i="5"/>
  <c r="CA80" i="5"/>
  <c r="CA37" i="5"/>
  <c r="CA42" i="5"/>
  <c r="CA74" i="5"/>
  <c r="CA45" i="5"/>
  <c r="CA65" i="5"/>
  <c r="CA87" i="5"/>
  <c r="CA46" i="5"/>
  <c r="CA67" i="5"/>
  <c r="CA88" i="5"/>
  <c r="CA41" i="5"/>
  <c r="CA73" i="5"/>
  <c r="CA53" i="5"/>
  <c r="CA48" i="5"/>
  <c r="CA86" i="5"/>
  <c r="CA50" i="5"/>
  <c r="CA70" i="5"/>
  <c r="CA92" i="5"/>
  <c r="CA51" i="5"/>
  <c r="CA71" i="5"/>
  <c r="CA93" i="5"/>
  <c r="CA63" i="5"/>
  <c r="CA94" i="5"/>
  <c r="CA36" i="5"/>
  <c r="CA69" i="5"/>
  <c r="CA58" i="5"/>
  <c r="CA91" i="5"/>
  <c r="CA54" i="5"/>
  <c r="CA75" i="5"/>
  <c r="CA35" i="5"/>
  <c r="CA56" i="5"/>
  <c r="CA76" i="5"/>
  <c r="CH11" i="5"/>
  <c r="CH14" i="5"/>
  <c r="CH16" i="5"/>
  <c r="CH13" i="5"/>
  <c r="CH24" i="5"/>
  <c r="CH12" i="5"/>
  <c r="CH29" i="5"/>
  <c r="CH18" i="5"/>
  <c r="CH33" i="5"/>
  <c r="CH25" i="5"/>
  <c r="CH23" i="5"/>
  <c r="CH20" i="5"/>
  <c r="CH30" i="5"/>
  <c r="CH22" i="5"/>
  <c r="CH31" i="5"/>
  <c r="CH19" i="5"/>
  <c r="CH17" i="5"/>
  <c r="CH28" i="5"/>
  <c r="CI57" i="5"/>
  <c r="CI14" i="5"/>
  <c r="CI12" i="5"/>
  <c r="CI11" i="5"/>
  <c r="CI16" i="5"/>
  <c r="CI13" i="5"/>
  <c r="CI53" i="5"/>
  <c r="CI47" i="5"/>
  <c r="CI19" i="5"/>
  <c r="CI52" i="5"/>
  <c r="CI29" i="5"/>
  <c r="CI68" i="5"/>
  <c r="CI46" i="5"/>
  <c r="CI31" i="5"/>
  <c r="CI48" i="5"/>
  <c r="CI41" i="5"/>
  <c r="CI54" i="5"/>
  <c r="CI30" i="5"/>
  <c r="CI51" i="5"/>
  <c r="CI37" i="5"/>
  <c r="CI33" i="5"/>
  <c r="CI40" i="5"/>
  <c r="CI62" i="5"/>
  <c r="CI35" i="5"/>
  <c r="CI24" i="5"/>
  <c r="CI23" i="5"/>
  <c r="CI50" i="5"/>
  <c r="CI25" i="5"/>
  <c r="CI75" i="5"/>
  <c r="CI28" i="5"/>
  <c r="CI18" i="5"/>
  <c r="CI67" i="5"/>
  <c r="CI36" i="5"/>
  <c r="CI42" i="5"/>
  <c r="CI45" i="5"/>
  <c r="CI22" i="5"/>
  <c r="CI17" i="5"/>
  <c r="CI20" i="5"/>
  <c r="CI56" i="5"/>
  <c r="CI74" i="5"/>
  <c r="CI76" i="5"/>
  <c r="CI58" i="5"/>
  <c r="CI59" i="5"/>
  <c r="CI70" i="5"/>
  <c r="CI69" i="5"/>
  <c r="CI63" i="5"/>
  <c r="CI64" i="5"/>
  <c r="CI71" i="5"/>
  <c r="CI73" i="5"/>
  <c r="CI39" i="5"/>
  <c r="CI65" i="5"/>
  <c r="AK29" i="5"/>
  <c r="AL29" i="5" s="1"/>
  <c r="AK22" i="5"/>
  <c r="AK16" i="5"/>
  <c r="AK13" i="5"/>
  <c r="AK25" i="5"/>
  <c r="AK35" i="5"/>
  <c r="AK33" i="5"/>
  <c r="AL33" i="5" s="1"/>
  <c r="AK28" i="5"/>
  <c r="AL28" i="5" s="1"/>
  <c r="AK14" i="5"/>
  <c r="AK17" i="5"/>
  <c r="AK31" i="5"/>
  <c r="AL31" i="5" s="1"/>
  <c r="AK23" i="5"/>
  <c r="AK30" i="5"/>
  <c r="AL30" i="5" s="1"/>
  <c r="AK20" i="5"/>
  <c r="AK18" i="5"/>
  <c r="AK11" i="5"/>
  <c r="AK19" i="5"/>
  <c r="AK24" i="5"/>
  <c r="AK12" i="5"/>
  <c r="CA14" i="5"/>
  <c r="CA11" i="5"/>
  <c r="CA12" i="5"/>
  <c r="CA29" i="5"/>
  <c r="CA13" i="5"/>
  <c r="CA16" i="5"/>
  <c r="CA20" i="5"/>
  <c r="CA31" i="5"/>
  <c r="CA33" i="5"/>
  <c r="CA23" i="5"/>
  <c r="CA30" i="5"/>
  <c r="CA24" i="5"/>
  <c r="CA22" i="5"/>
  <c r="CA18" i="5"/>
  <c r="CA25" i="5"/>
  <c r="CA19" i="5"/>
  <c r="CA28" i="5"/>
  <c r="CA17" i="5"/>
  <c r="BF47" i="5"/>
  <c r="BF73" i="5"/>
  <c r="BF41" i="5"/>
  <c r="BF50" i="5"/>
  <c r="BF65" i="5"/>
  <c r="BF66" i="5" s="1"/>
  <c r="BF51" i="5"/>
  <c r="BF36" i="5"/>
  <c r="BF70" i="5"/>
  <c r="BF37" i="5"/>
  <c r="BF38" i="5" s="1"/>
  <c r="BF52" i="5"/>
  <c r="BF39" i="5"/>
  <c r="BF71" i="5"/>
  <c r="BF72" i="5" s="1"/>
  <c r="BF58" i="5"/>
  <c r="BF45" i="5"/>
  <c r="BF46" i="5"/>
  <c r="BF40" i="5"/>
  <c r="BF56" i="5"/>
  <c r="BF48" i="5"/>
  <c r="BF49" i="5" s="1"/>
  <c r="BF42" i="5"/>
  <c r="BF35" i="5"/>
  <c r="BF53" i="5"/>
  <c r="BF57" i="5"/>
  <c r="BF54" i="5"/>
  <c r="BF55" i="5" s="1"/>
  <c r="BF59" i="5"/>
  <c r="BF60" i="5" s="1"/>
  <c r="BF61" i="5" s="1"/>
  <c r="BF62" i="5"/>
  <c r="BF69" i="5"/>
  <c r="BF74" i="5"/>
  <c r="BF63" i="5"/>
  <c r="BF64" i="5"/>
  <c r="BF75" i="5"/>
  <c r="BF68" i="5"/>
  <c r="BF67" i="5"/>
  <c r="BF76" i="5"/>
  <c r="BF77" i="5" s="1"/>
  <c r="BF78" i="5" s="1"/>
  <c r="BF79" i="5" s="1"/>
  <c r="BQ33" i="5"/>
  <c r="BQ40" i="5"/>
  <c r="BQ25" i="5"/>
  <c r="BQ52" i="5"/>
  <c r="BQ37" i="5"/>
  <c r="BQ28" i="5"/>
  <c r="BQ16" i="5"/>
  <c r="BQ12" i="5"/>
  <c r="BQ13" i="5"/>
  <c r="BQ47" i="5"/>
  <c r="BQ58" i="5"/>
  <c r="BQ14" i="5"/>
  <c r="BQ42" i="5"/>
  <c r="BQ62" i="5"/>
  <c r="BQ56" i="5"/>
  <c r="BQ36" i="5"/>
  <c r="BQ54" i="5"/>
  <c r="BQ41" i="5"/>
  <c r="BQ31" i="5"/>
  <c r="BQ24" i="5"/>
  <c r="BQ70" i="5"/>
  <c r="BQ50" i="5"/>
  <c r="BQ64" i="5"/>
  <c r="BQ35" i="5"/>
  <c r="BQ29" i="5"/>
  <c r="BQ46" i="5"/>
  <c r="BQ17" i="5"/>
  <c r="BQ53" i="5"/>
  <c r="BQ39" i="5"/>
  <c r="BQ51" i="5"/>
  <c r="BQ65" i="5"/>
  <c r="BQ45" i="5"/>
  <c r="BQ30" i="5"/>
  <c r="BQ23" i="5"/>
  <c r="BQ57" i="5"/>
  <c r="BQ22" i="5"/>
  <c r="BQ18" i="5"/>
  <c r="BQ67" i="5"/>
  <c r="BQ59" i="5"/>
  <c r="BQ20" i="5"/>
  <c r="BQ76" i="5"/>
  <c r="BQ74" i="5"/>
  <c r="BQ68" i="5"/>
  <c r="BQ69" i="5"/>
  <c r="BQ73" i="5"/>
  <c r="BQ63" i="5"/>
  <c r="BQ48" i="5"/>
  <c r="BQ71" i="5"/>
  <c r="BQ19" i="5"/>
  <c r="BQ11" i="5"/>
  <c r="BQ75" i="5"/>
  <c r="R46" i="5"/>
  <c r="R18" i="5"/>
  <c r="R13" i="5"/>
  <c r="R57" i="5"/>
  <c r="R14" i="5"/>
  <c r="R16" i="5"/>
  <c r="R12" i="5"/>
  <c r="W13" i="5" s="1"/>
  <c r="R11" i="5"/>
  <c r="R41" i="5"/>
  <c r="R40" i="5"/>
  <c r="R37" i="5"/>
  <c r="R52" i="5"/>
  <c r="R74" i="5"/>
  <c r="R76" i="5"/>
  <c r="R33" i="5"/>
  <c r="R48" i="5"/>
  <c r="R42" i="5"/>
  <c r="R30" i="5"/>
  <c r="R69" i="5"/>
  <c r="R64" i="5"/>
  <c r="R54" i="5"/>
  <c r="R45" i="5"/>
  <c r="R63" i="5"/>
  <c r="R23" i="5"/>
  <c r="R50" i="5"/>
  <c r="R51" i="5"/>
  <c r="R70" i="5"/>
  <c r="R47" i="5"/>
  <c r="R59" i="5"/>
  <c r="R35" i="5"/>
  <c r="R22" i="5"/>
  <c r="R56" i="5"/>
  <c r="R20" i="5"/>
  <c r="R36" i="5"/>
  <c r="R19" i="5"/>
  <c r="R29" i="5"/>
  <c r="R31" i="5"/>
  <c r="R24" i="5"/>
  <c r="R53" i="5"/>
  <c r="R17" i="5"/>
  <c r="R67" i="5"/>
  <c r="R39" i="5"/>
  <c r="R58" i="5"/>
  <c r="R62" i="5"/>
  <c r="R73" i="5"/>
  <c r="R68" i="5"/>
  <c r="R25" i="5"/>
  <c r="R28" i="5"/>
  <c r="R71" i="5"/>
  <c r="R65" i="5"/>
  <c r="R75" i="5"/>
  <c r="AS11" i="5"/>
  <c r="AS53" i="5"/>
  <c r="AS12" i="5"/>
  <c r="AS39" i="5"/>
  <c r="AS20" i="5"/>
  <c r="AS18" i="5"/>
  <c r="AS14" i="5"/>
  <c r="AS17" i="5"/>
  <c r="AS13" i="5"/>
  <c r="AS16" i="5"/>
  <c r="AS56" i="5"/>
  <c r="AS50" i="5"/>
  <c r="AS62" i="5"/>
  <c r="AS45" i="5"/>
  <c r="AS30" i="5"/>
  <c r="AS24" i="5"/>
  <c r="AS42" i="5"/>
  <c r="AS19" i="5"/>
  <c r="AS28" i="5"/>
  <c r="AS70" i="5"/>
  <c r="AS51" i="5"/>
  <c r="AS58" i="5"/>
  <c r="AS57" i="5"/>
  <c r="AS35" i="5"/>
  <c r="AS33" i="5"/>
  <c r="AS36" i="5"/>
  <c r="AS48" i="5"/>
  <c r="AS29" i="5"/>
  <c r="AS22" i="5"/>
  <c r="AS65" i="5"/>
  <c r="AS54" i="5"/>
  <c r="AS46" i="5"/>
  <c r="AS37" i="5"/>
  <c r="AS52" i="5"/>
  <c r="AS40" i="5"/>
  <c r="AS25" i="5"/>
  <c r="AS64" i="5"/>
  <c r="AS41" i="5"/>
  <c r="AS47" i="5"/>
  <c r="AS76" i="5"/>
  <c r="AS73" i="5"/>
  <c r="AS63" i="5"/>
  <c r="AS75" i="5"/>
  <c r="AS71" i="5"/>
  <c r="AS67" i="5"/>
  <c r="AS59" i="5"/>
  <c r="AS31" i="5"/>
  <c r="AS23" i="5"/>
  <c r="AS68" i="5"/>
  <c r="AS74" i="5"/>
  <c r="AS69" i="5"/>
  <c r="CD22" i="5"/>
  <c r="CD16" i="5"/>
  <c r="CD13" i="5"/>
  <c r="CD46" i="5"/>
  <c r="CD12" i="5"/>
  <c r="CD19" i="5"/>
  <c r="CD14" i="5"/>
  <c r="CD11" i="5"/>
  <c r="CD51" i="5"/>
  <c r="CD40" i="5"/>
  <c r="CD50" i="5"/>
  <c r="CD56" i="5"/>
  <c r="CD23" i="5"/>
  <c r="CD39" i="5"/>
  <c r="CD36" i="5"/>
  <c r="CD65" i="5"/>
  <c r="CD45" i="5"/>
  <c r="CD62" i="5"/>
  <c r="CD70" i="5"/>
  <c r="CD33" i="5"/>
  <c r="CD57" i="5"/>
  <c r="CD54" i="5"/>
  <c r="CD30" i="5"/>
  <c r="CD25" i="5"/>
  <c r="CD42" i="5"/>
  <c r="CD29" i="5"/>
  <c r="CD58" i="5"/>
  <c r="CD47" i="5"/>
  <c r="CD64" i="5"/>
  <c r="CD41" i="5"/>
  <c r="CD37" i="5"/>
  <c r="CD24" i="5"/>
  <c r="CD52" i="5"/>
  <c r="CD17" i="5"/>
  <c r="CD35" i="5"/>
  <c r="CD76" i="5"/>
  <c r="CD71" i="5"/>
  <c r="CD20" i="5"/>
  <c r="CD31" i="5"/>
  <c r="CD68" i="5"/>
  <c r="CD74" i="5"/>
  <c r="CD69" i="5"/>
  <c r="CD53" i="5"/>
  <c r="CD73" i="5"/>
  <c r="CD63" i="5"/>
  <c r="CD59" i="5"/>
  <c r="CD75" i="5"/>
  <c r="CD28" i="5"/>
  <c r="CD48" i="5"/>
  <c r="CD18" i="5"/>
  <c r="CD67" i="5"/>
  <c r="CM16" i="5"/>
  <c r="CM31" i="5"/>
  <c r="CM36" i="5"/>
  <c r="CM20" i="5"/>
  <c r="CM11" i="5"/>
  <c r="CN11" i="5" s="1"/>
  <c r="CM39" i="5"/>
  <c r="CM56" i="5"/>
  <c r="CM70" i="5"/>
  <c r="CM54" i="5"/>
  <c r="CM46" i="5"/>
  <c r="CM42" i="5"/>
  <c r="CM57" i="5"/>
  <c r="CM51" i="5"/>
  <c r="CM45" i="5"/>
  <c r="CM33" i="5"/>
  <c r="CN33" i="5" s="1"/>
  <c r="CM29" i="5"/>
  <c r="CN29" i="5" s="1"/>
  <c r="CM48" i="5"/>
  <c r="CM35" i="5"/>
  <c r="CM28" i="5"/>
  <c r="CM53" i="5"/>
  <c r="CM30" i="5"/>
  <c r="CM13" i="5"/>
  <c r="CM40" i="5"/>
  <c r="CM25" i="5"/>
  <c r="CN25" i="5" s="1"/>
  <c r="CM23" i="5"/>
  <c r="CM50" i="5"/>
  <c r="CM17" i="5"/>
  <c r="CN17" i="5" s="1"/>
  <c r="CM19" i="5"/>
  <c r="CM64" i="5"/>
  <c r="CM67" i="5"/>
  <c r="CM41" i="5"/>
  <c r="CM18" i="5"/>
  <c r="CM47" i="5"/>
  <c r="CM14" i="5"/>
  <c r="CM22" i="5"/>
  <c r="CM71" i="5"/>
  <c r="CM73" i="5"/>
  <c r="CM62" i="5"/>
  <c r="CM63" i="5"/>
  <c r="CM74" i="5"/>
  <c r="CM65" i="5"/>
  <c r="CM75" i="5"/>
  <c r="CM76" i="5"/>
  <c r="CM69" i="5"/>
  <c r="CM52" i="5"/>
  <c r="CM12" i="5"/>
  <c r="CM37" i="5"/>
  <c r="CM24" i="5"/>
  <c r="CM58" i="5"/>
  <c r="CM59" i="5"/>
  <c r="CM68" i="5"/>
  <c r="BM19" i="5"/>
  <c r="BM22" i="5"/>
  <c r="BM17" i="5"/>
  <c r="BM14" i="5"/>
  <c r="BM50" i="5"/>
  <c r="BM46" i="5"/>
  <c r="BM39" i="5"/>
  <c r="BM68" i="5"/>
  <c r="BM57" i="5"/>
  <c r="BM52" i="5"/>
  <c r="BM37" i="5"/>
  <c r="BM11" i="5"/>
  <c r="BM40" i="5"/>
  <c r="BM45" i="5"/>
  <c r="BM33" i="5"/>
  <c r="BM56" i="5"/>
  <c r="BM74" i="5"/>
  <c r="BM31" i="5"/>
  <c r="BM36" i="5"/>
  <c r="BM42" i="5"/>
  <c r="BM59" i="5"/>
  <c r="BM54" i="5"/>
  <c r="BM29" i="5"/>
  <c r="BM20" i="5"/>
  <c r="BM13" i="5"/>
  <c r="BM53" i="5"/>
  <c r="BM51" i="5"/>
  <c r="BM35" i="5"/>
  <c r="BM47" i="5"/>
  <c r="BM67" i="5"/>
  <c r="BM25" i="5"/>
  <c r="BM30" i="5"/>
  <c r="BM41" i="5"/>
  <c r="BM75" i="5"/>
  <c r="BM48" i="5"/>
  <c r="BM62" i="5"/>
  <c r="BM28" i="5"/>
  <c r="BM69" i="5"/>
  <c r="BM63" i="5"/>
  <c r="BM64" i="5"/>
  <c r="BM71" i="5"/>
  <c r="BM73" i="5"/>
  <c r="BM18" i="5"/>
  <c r="BM70" i="5"/>
  <c r="BM65" i="5"/>
  <c r="BM76" i="5"/>
  <c r="BM58" i="5"/>
  <c r="BM23" i="5"/>
  <c r="BM12" i="5"/>
  <c r="BM16" i="5"/>
  <c r="BM24" i="5"/>
  <c r="CB46" i="5"/>
  <c r="CB13" i="5"/>
  <c r="CB12" i="5"/>
  <c r="CB16" i="5"/>
  <c r="CB14" i="5"/>
  <c r="CB11" i="5"/>
  <c r="CB18" i="5"/>
  <c r="CB17" i="5"/>
  <c r="CB33" i="5"/>
  <c r="CB64" i="5"/>
  <c r="CB41" i="5"/>
  <c r="CB59" i="5"/>
  <c r="CB76" i="5"/>
  <c r="CB57" i="5"/>
  <c r="CB48" i="5"/>
  <c r="CB40" i="5"/>
  <c r="CB52" i="5"/>
  <c r="CB54" i="5"/>
  <c r="CB29" i="5"/>
  <c r="CB42" i="5"/>
  <c r="CB30" i="5"/>
  <c r="CB69" i="5"/>
  <c r="CB56" i="5"/>
  <c r="CB22" i="5"/>
  <c r="CB37" i="5"/>
  <c r="CB25" i="5"/>
  <c r="CB50" i="5"/>
  <c r="CB51" i="5"/>
  <c r="CB45" i="5"/>
  <c r="CB63" i="5"/>
  <c r="CB36" i="5"/>
  <c r="CB31" i="5"/>
  <c r="CB70" i="5"/>
  <c r="CB47" i="5"/>
  <c r="CB23" i="5"/>
  <c r="CB28" i="5"/>
  <c r="CB35" i="5"/>
  <c r="CB19" i="5"/>
  <c r="CB20" i="5"/>
  <c r="CB24" i="5"/>
  <c r="CB58" i="5"/>
  <c r="CB68" i="5"/>
  <c r="CB39" i="5"/>
  <c r="CB67" i="5"/>
  <c r="CB62" i="5"/>
  <c r="CB73" i="5"/>
  <c r="CB74" i="5"/>
  <c r="CB53" i="5"/>
  <c r="CB71" i="5"/>
  <c r="CB75" i="5"/>
  <c r="CB65" i="5"/>
  <c r="BG11" i="5"/>
  <c r="BG59" i="5"/>
  <c r="BG60" i="5" s="1"/>
  <c r="BG61" i="5" s="1"/>
  <c r="BG47" i="5"/>
  <c r="BG67" i="5"/>
  <c r="BG36" i="5"/>
  <c r="BG52" i="5"/>
  <c r="BG51" i="5"/>
  <c r="BG63" i="5"/>
  <c r="BG16" i="5"/>
  <c r="BG31" i="5"/>
  <c r="BG32" i="5" s="1"/>
  <c r="BG35" i="5"/>
  <c r="BG57" i="5"/>
  <c r="BG39" i="5"/>
  <c r="BG40" i="5"/>
  <c r="BG45" i="5"/>
  <c r="BG71" i="5"/>
  <c r="BG72" i="5" s="1"/>
  <c r="BG58" i="5"/>
  <c r="BG53" i="5"/>
  <c r="BG33" i="5"/>
  <c r="BG73" i="5"/>
  <c r="BG65" i="5"/>
  <c r="BG66" i="5" s="1"/>
  <c r="BG41" i="5"/>
  <c r="BG29" i="5"/>
  <c r="BG24" i="5"/>
  <c r="BG46" i="5"/>
  <c r="BG28" i="5"/>
  <c r="BG18" i="5"/>
  <c r="BG56" i="5"/>
  <c r="BG37" i="5"/>
  <c r="BG38" i="5" s="1"/>
  <c r="BG74" i="5"/>
  <c r="BG23" i="5"/>
  <c r="BG50" i="5"/>
  <c r="BG22" i="5"/>
  <c r="BG13" i="5"/>
  <c r="BG17" i="5"/>
  <c r="BG25" i="5"/>
  <c r="BG26" i="5" s="1"/>
  <c r="BG27" i="5" s="1"/>
  <c r="BG20" i="5"/>
  <c r="BG21" i="5" s="1"/>
  <c r="BG30" i="5"/>
  <c r="BG48" i="5"/>
  <c r="BG49" i="5" s="1"/>
  <c r="BG14" i="5"/>
  <c r="BG15" i="5" s="1"/>
  <c r="BG75" i="5"/>
  <c r="BG70" i="5"/>
  <c r="BG76" i="5"/>
  <c r="BG77" i="5" s="1"/>
  <c r="BG78" i="5" s="1"/>
  <c r="BG79" i="5" s="1"/>
  <c r="BG54" i="5"/>
  <c r="BG55" i="5" s="1"/>
  <c r="BG69" i="5"/>
  <c r="BG62" i="5"/>
  <c r="BG12" i="5"/>
  <c r="BG19" i="5"/>
  <c r="BG42" i="5"/>
  <c r="BG64" i="5"/>
  <c r="BG68" i="5"/>
  <c r="BN50" i="5"/>
  <c r="BN68" i="5"/>
  <c r="BN57" i="5"/>
  <c r="BN54" i="5"/>
  <c r="BN45" i="5"/>
  <c r="BN53" i="5"/>
  <c r="BN40" i="5"/>
  <c r="BN47" i="5"/>
  <c r="BN58" i="5"/>
  <c r="BN48" i="5"/>
  <c r="BN41" i="5"/>
  <c r="BN62" i="5"/>
  <c r="BN42" i="5"/>
  <c r="BN65" i="5"/>
  <c r="BN63" i="5"/>
  <c r="BN39" i="5"/>
  <c r="BN75" i="5"/>
  <c r="BN37" i="5"/>
  <c r="BN56" i="5"/>
  <c r="BN51" i="5"/>
  <c r="BN36" i="5"/>
  <c r="BN52" i="5"/>
  <c r="BN71" i="5"/>
  <c r="BN69" i="5"/>
  <c r="BN76" i="5"/>
  <c r="BN67" i="5"/>
  <c r="BN64" i="5"/>
  <c r="BN73" i="5"/>
  <c r="BN74" i="5"/>
  <c r="BN59" i="5"/>
  <c r="BN35" i="5"/>
  <c r="BN46" i="5"/>
  <c r="BN70" i="5"/>
  <c r="BL52" i="5"/>
  <c r="BL46" i="5"/>
  <c r="BL36" i="5"/>
  <c r="BL56" i="5"/>
  <c r="BL76" i="5"/>
  <c r="BL67" i="5"/>
  <c r="BL35" i="5"/>
  <c r="BL39" i="5"/>
  <c r="BL53" i="5"/>
  <c r="BL50" i="5"/>
  <c r="BL51" i="5"/>
  <c r="BL37" i="5"/>
  <c r="BL40" i="5"/>
  <c r="BL73" i="5"/>
  <c r="BL54" i="5"/>
  <c r="BL59" i="5"/>
  <c r="BL45" i="5"/>
  <c r="BL41" i="5"/>
  <c r="BL47" i="5"/>
  <c r="BL64" i="5"/>
  <c r="BL48" i="5"/>
  <c r="BL62" i="5"/>
  <c r="BL58" i="5"/>
  <c r="BL42" i="5"/>
  <c r="BL68" i="5"/>
  <c r="BL69" i="5"/>
  <c r="BL63" i="5"/>
  <c r="BL70" i="5"/>
  <c r="BL71" i="5"/>
  <c r="BL75" i="5"/>
  <c r="BL74" i="5"/>
  <c r="BL57" i="5"/>
  <c r="BL65" i="5"/>
  <c r="AN13" i="5"/>
  <c r="AN12" i="5"/>
  <c r="AN28" i="5"/>
  <c r="AN25" i="5"/>
  <c r="AN16" i="5"/>
  <c r="AN11" i="5"/>
  <c r="AN24" i="5"/>
  <c r="AN14" i="5"/>
  <c r="AN30" i="5"/>
  <c r="AN29" i="5"/>
  <c r="AN35" i="5"/>
  <c r="AN19" i="5"/>
  <c r="AN33" i="5"/>
  <c r="AN17" i="5"/>
  <c r="AN20" i="5"/>
  <c r="AN31" i="5"/>
  <c r="AN23" i="5"/>
  <c r="AN18" i="5"/>
  <c r="AN22" i="5"/>
  <c r="AU41" i="5"/>
  <c r="AU13" i="5"/>
  <c r="AU48" i="5"/>
  <c r="AU73" i="5"/>
  <c r="AU58" i="5"/>
  <c r="AU18" i="5"/>
  <c r="AU45" i="5"/>
  <c r="AU59" i="5"/>
  <c r="AU17" i="5"/>
  <c r="AU36" i="5"/>
  <c r="AU46" i="5"/>
  <c r="AU65" i="5"/>
  <c r="AU53" i="5"/>
  <c r="AU30" i="5"/>
  <c r="AV30" i="5" s="1"/>
  <c r="AU29" i="5"/>
  <c r="AV29" i="5" s="1"/>
  <c r="AU35" i="5"/>
  <c r="AU31" i="5"/>
  <c r="AV31" i="5" s="1"/>
  <c r="AU52" i="5"/>
  <c r="AU39" i="5"/>
  <c r="AU40" i="5"/>
  <c r="AU22" i="5"/>
  <c r="AU47" i="5"/>
  <c r="AU51" i="5"/>
  <c r="AU37" i="5"/>
  <c r="AU67" i="5"/>
  <c r="AU69" i="5"/>
  <c r="AU56" i="5"/>
  <c r="AU23" i="5"/>
  <c r="AU14" i="5"/>
  <c r="AU54" i="5"/>
  <c r="AU12" i="5"/>
  <c r="AU57" i="5"/>
  <c r="AU20" i="5"/>
  <c r="AU25" i="5"/>
  <c r="AU42" i="5"/>
  <c r="AU50" i="5"/>
  <c r="AU71" i="5"/>
  <c r="AU33" i="5"/>
  <c r="AV33" i="5" s="1"/>
  <c r="AU28" i="5"/>
  <c r="AV28" i="5" s="1"/>
  <c r="AU16" i="5"/>
  <c r="AU74" i="5"/>
  <c r="AU68" i="5"/>
  <c r="AU64" i="5"/>
  <c r="AU75" i="5"/>
  <c r="AU70" i="5"/>
  <c r="AU63" i="5"/>
  <c r="AU24" i="5"/>
  <c r="AU11" i="5"/>
  <c r="AU19" i="5"/>
  <c r="AU62" i="5"/>
  <c r="AU76" i="5"/>
  <c r="BW42" i="5"/>
  <c r="BW16" i="5"/>
  <c r="BW13" i="5"/>
  <c r="BW14" i="5"/>
  <c r="BW54" i="5"/>
  <c r="BW11" i="5"/>
  <c r="BW20" i="5"/>
  <c r="BW12" i="5"/>
  <c r="BW50" i="5"/>
  <c r="BW36" i="5"/>
  <c r="BW39" i="5"/>
  <c r="BW25" i="5"/>
  <c r="BW74" i="5"/>
  <c r="BW59" i="5"/>
  <c r="BW62" i="5"/>
  <c r="BW46" i="5"/>
  <c r="BW33" i="5"/>
  <c r="BW53" i="5"/>
  <c r="BW31" i="5"/>
  <c r="BW37" i="5"/>
  <c r="BW47" i="5"/>
  <c r="BW68" i="5"/>
  <c r="BW48" i="5"/>
  <c r="BW52" i="5"/>
  <c r="BW57" i="5"/>
  <c r="BW45" i="5"/>
  <c r="BW29" i="5"/>
  <c r="BW73" i="5"/>
  <c r="BW22" i="5"/>
  <c r="BW24" i="5"/>
  <c r="BW40" i="5"/>
  <c r="BW56" i="5"/>
  <c r="BW28" i="5"/>
  <c r="BW18" i="5"/>
  <c r="BW67" i="5"/>
  <c r="BW23" i="5"/>
  <c r="BW51" i="5"/>
  <c r="BW41" i="5"/>
  <c r="BW64" i="5"/>
  <c r="BW69" i="5"/>
  <c r="BW17" i="5"/>
  <c r="BW63" i="5"/>
  <c r="BW70" i="5"/>
  <c r="BW71" i="5"/>
  <c r="BW30" i="5"/>
  <c r="BW75" i="5"/>
  <c r="BW65" i="5"/>
  <c r="BW76" i="5"/>
  <c r="BW35" i="5"/>
  <c r="BW19" i="5"/>
  <c r="BW58" i="5"/>
  <c r="CF48" i="5"/>
  <c r="CF22" i="5"/>
  <c r="CF45" i="5"/>
  <c r="CF35" i="5"/>
  <c r="CF33" i="5"/>
  <c r="CF42" i="5"/>
  <c r="CF54" i="5"/>
  <c r="CF51" i="5"/>
  <c r="CF67" i="5"/>
  <c r="CF30" i="5"/>
  <c r="CF63" i="5"/>
  <c r="CF39" i="5"/>
  <c r="CF71" i="5"/>
  <c r="CF37" i="5"/>
  <c r="CF52" i="5"/>
  <c r="CF47" i="5"/>
  <c r="CF65" i="5"/>
  <c r="CF36" i="5"/>
  <c r="CF46" i="5"/>
  <c r="CF53" i="5"/>
  <c r="CF40" i="5"/>
  <c r="CF73" i="5"/>
  <c r="CF59" i="5"/>
  <c r="CF25" i="5"/>
  <c r="CF23" i="5"/>
  <c r="CG23" i="5" s="1"/>
  <c r="CF18" i="5"/>
  <c r="CF58" i="5"/>
  <c r="CF16" i="5"/>
  <c r="CF50" i="5"/>
  <c r="CF20" i="5"/>
  <c r="CF29" i="5"/>
  <c r="CF31" i="5"/>
  <c r="CF19" i="5"/>
  <c r="CF74" i="5"/>
  <c r="CF11" i="5"/>
  <c r="CF14" i="5"/>
  <c r="CF28" i="5"/>
  <c r="CF13" i="5"/>
  <c r="CF69" i="5"/>
  <c r="CF17" i="5"/>
  <c r="CG17" i="5" s="1"/>
  <c r="CF12" i="5"/>
  <c r="CF24" i="5"/>
  <c r="CF41" i="5"/>
  <c r="CF68" i="5"/>
  <c r="CF62" i="5"/>
  <c r="CF70" i="5"/>
  <c r="CF64" i="5"/>
  <c r="CF75" i="5"/>
  <c r="CF57" i="5"/>
  <c r="CF56" i="5"/>
  <c r="CF76" i="5"/>
  <c r="AI30" i="5"/>
  <c r="AI14" i="5"/>
  <c r="AI11" i="5"/>
  <c r="AI16" i="5"/>
  <c r="AI12" i="5"/>
  <c r="AI13" i="5"/>
  <c r="AI35" i="5"/>
  <c r="AI33" i="5"/>
  <c r="AI23" i="5"/>
  <c r="AI17" i="5"/>
  <c r="AI18" i="5"/>
  <c r="AI31" i="5"/>
  <c r="AI20" i="5"/>
  <c r="AI22" i="5"/>
  <c r="AI25" i="5"/>
  <c r="AI24" i="5"/>
  <c r="AI19" i="5"/>
  <c r="AI28" i="5"/>
  <c r="AI29" i="5"/>
  <c r="AP31" i="5"/>
  <c r="AP19" i="5"/>
  <c r="AP11" i="5"/>
  <c r="AZ54" i="5"/>
  <c r="AP22" i="5"/>
  <c r="AP33" i="5"/>
  <c r="AP30" i="5"/>
  <c r="AP28" i="5"/>
  <c r="AP14" i="5"/>
  <c r="AP23" i="5"/>
  <c r="AZ59" i="5"/>
  <c r="AP18" i="5"/>
  <c r="AP29" i="5"/>
  <c r="AP25" i="5"/>
  <c r="AP24" i="5"/>
  <c r="AP12" i="5"/>
  <c r="AP13" i="5"/>
  <c r="AP20" i="5"/>
  <c r="AZ68" i="5"/>
  <c r="AP35" i="5"/>
  <c r="AP17" i="5"/>
  <c r="AP16" i="5"/>
  <c r="BY23" i="5"/>
  <c r="BY14" i="5"/>
  <c r="BY69" i="5"/>
  <c r="BY17" i="5"/>
  <c r="BY13" i="5"/>
  <c r="BY29" i="5"/>
  <c r="BY35" i="5"/>
  <c r="BY28" i="5"/>
  <c r="BZ28" i="5" s="1"/>
  <c r="BY53" i="5"/>
  <c r="BY63" i="5"/>
  <c r="BY48" i="5"/>
  <c r="BY47" i="5"/>
  <c r="BY37" i="5"/>
  <c r="BY54" i="5"/>
  <c r="BY25" i="5"/>
  <c r="BY31" i="5"/>
  <c r="BZ31" i="5" s="1"/>
  <c r="BY75" i="5"/>
  <c r="BY40" i="5"/>
  <c r="BY68" i="5"/>
  <c r="BY42" i="5"/>
  <c r="BY11" i="5"/>
  <c r="BY41" i="5"/>
  <c r="BY30" i="5"/>
  <c r="BZ30" i="5" s="1"/>
  <c r="BY33" i="5"/>
  <c r="BY39" i="5"/>
  <c r="BY36" i="5"/>
  <c r="BY20" i="5"/>
  <c r="BY46" i="5"/>
  <c r="BY52" i="5"/>
  <c r="BY56" i="5"/>
  <c r="BY18" i="5"/>
  <c r="BY62" i="5"/>
  <c r="BY50" i="5"/>
  <c r="BY24" i="5"/>
  <c r="BY58" i="5"/>
  <c r="BY12" i="5"/>
  <c r="BY19" i="5"/>
  <c r="BZ19" i="5" s="1"/>
  <c r="BY76" i="5"/>
  <c r="BY67" i="5"/>
  <c r="BY64" i="5"/>
  <c r="BY73" i="5"/>
  <c r="BY74" i="5"/>
  <c r="BY59" i="5"/>
  <c r="BY51" i="5"/>
  <c r="BY71" i="5"/>
  <c r="BY65" i="5"/>
  <c r="BY57" i="5"/>
  <c r="BY70" i="5"/>
  <c r="BY16" i="5"/>
  <c r="BY45" i="5"/>
  <c r="BY22" i="5"/>
  <c r="BO28" i="5"/>
  <c r="BO13" i="5"/>
  <c r="BO35" i="5"/>
  <c r="BO14" i="5"/>
  <c r="BO19" i="5"/>
  <c r="BO18" i="5"/>
  <c r="BO54" i="5"/>
  <c r="BO48" i="5"/>
  <c r="BO31" i="5"/>
  <c r="BO42" i="5"/>
  <c r="BO69" i="5"/>
  <c r="BO47" i="5"/>
  <c r="BO50" i="5"/>
  <c r="BO56" i="5"/>
  <c r="BO41" i="5"/>
  <c r="BO25" i="5"/>
  <c r="BO30" i="5"/>
  <c r="BO76" i="5"/>
  <c r="BO52" i="5"/>
  <c r="BO37" i="5"/>
  <c r="BO24" i="5"/>
  <c r="BO53" i="5"/>
  <c r="BO45" i="5"/>
  <c r="BO68" i="5"/>
  <c r="BO36" i="5"/>
  <c r="BO40" i="5"/>
  <c r="BO23" i="5"/>
  <c r="BO39" i="5"/>
  <c r="BO22" i="5"/>
  <c r="BO51" i="5"/>
  <c r="BO11" i="5"/>
  <c r="BO12" i="5"/>
  <c r="BO29" i="5"/>
  <c r="BO17" i="5"/>
  <c r="BO59" i="5"/>
  <c r="BO62" i="5"/>
  <c r="BO71" i="5"/>
  <c r="BO74" i="5"/>
  <c r="BO75" i="5"/>
  <c r="BO73" i="5"/>
  <c r="BO70" i="5"/>
  <c r="BO65" i="5"/>
  <c r="BO58" i="5"/>
  <c r="BO63" i="5"/>
  <c r="BO16" i="5"/>
  <c r="BO20" i="5"/>
  <c r="BO46" i="5"/>
  <c r="BO33" i="5"/>
  <c r="BO64" i="5"/>
  <c r="BO57" i="5"/>
  <c r="BO67" i="5"/>
  <c r="BP52" i="5"/>
  <c r="BP37" i="5"/>
  <c r="BP35" i="5"/>
  <c r="BP48" i="5"/>
  <c r="BP41" i="5"/>
  <c r="BP67" i="5"/>
  <c r="BP54" i="5"/>
  <c r="BP56" i="5"/>
  <c r="BP50" i="5"/>
  <c r="BP42" i="5"/>
  <c r="BP59" i="5"/>
  <c r="BP51" i="5"/>
  <c r="BP69" i="5"/>
  <c r="BP40" i="5"/>
  <c r="BP45" i="5"/>
  <c r="BP76" i="5"/>
  <c r="BP64" i="5"/>
  <c r="BP63" i="5"/>
  <c r="BP53" i="5"/>
  <c r="BP47" i="5"/>
  <c r="BP39" i="5"/>
  <c r="BP36" i="5"/>
  <c r="BP57" i="5"/>
  <c r="BP46" i="5"/>
  <c r="BP70" i="5"/>
  <c r="BP71" i="5"/>
  <c r="BP65" i="5"/>
  <c r="BP75" i="5"/>
  <c r="BP74" i="5"/>
  <c r="BP58" i="5"/>
  <c r="BP62" i="5"/>
  <c r="BP73" i="5"/>
  <c r="BP68" i="5"/>
  <c r="CK25" i="5"/>
  <c r="CK13" i="5"/>
  <c r="CK12" i="5"/>
  <c r="CK51" i="5"/>
  <c r="CK28" i="5"/>
  <c r="CK17" i="5"/>
  <c r="CK16" i="5"/>
  <c r="CK65" i="5"/>
  <c r="CK20" i="5"/>
  <c r="CK14" i="5"/>
  <c r="CK11" i="5"/>
  <c r="CK47" i="5"/>
  <c r="CK30" i="5"/>
  <c r="CK58" i="5"/>
  <c r="CK40" i="5"/>
  <c r="CK53" i="5"/>
  <c r="CK41" i="5"/>
  <c r="CK54" i="5"/>
  <c r="CK36" i="5"/>
  <c r="CK24" i="5"/>
  <c r="CK39" i="5"/>
  <c r="CK56" i="5"/>
  <c r="CK19" i="5"/>
  <c r="CK46" i="5"/>
  <c r="CK29" i="5"/>
  <c r="CK37" i="5"/>
  <c r="CK31" i="5"/>
  <c r="CK22" i="5"/>
  <c r="CK48" i="5"/>
  <c r="CK63" i="5"/>
  <c r="CK62" i="5"/>
  <c r="CK50" i="5"/>
  <c r="CK42" i="5"/>
  <c r="CK75" i="5"/>
  <c r="CK52" i="5"/>
  <c r="CK18" i="5"/>
  <c r="CK35" i="5"/>
  <c r="CK70" i="5"/>
  <c r="CK64" i="5"/>
  <c r="CK74" i="5"/>
  <c r="CK76" i="5"/>
  <c r="CK23" i="5"/>
  <c r="CK57" i="5"/>
  <c r="CK69" i="5"/>
  <c r="CK59" i="5"/>
  <c r="CK33" i="5"/>
  <c r="CK45" i="5"/>
  <c r="CK73" i="5"/>
  <c r="CK68" i="5"/>
  <c r="CK71" i="5"/>
  <c r="CK67" i="5"/>
  <c r="CO13" i="5"/>
  <c r="CO23" i="5"/>
  <c r="CO18" i="5"/>
  <c r="CO16" i="5"/>
  <c r="CO25" i="5"/>
  <c r="CR19" i="5"/>
  <c r="CR13" i="5"/>
  <c r="CR17" i="5"/>
  <c r="CO20" i="5"/>
  <c r="CO14" i="5"/>
  <c r="CR20" i="5"/>
  <c r="CO24" i="5"/>
  <c r="CR24" i="5"/>
  <c r="CO12" i="5"/>
  <c r="CR18" i="5"/>
  <c r="CO22" i="5"/>
  <c r="CR23" i="5"/>
  <c r="CR12" i="5"/>
  <c r="CR22" i="5"/>
  <c r="CO17" i="5"/>
  <c r="CR14" i="5"/>
  <c r="CR16" i="5"/>
  <c r="CO19" i="5"/>
  <c r="CR25" i="5"/>
  <c r="F74" i="5"/>
  <c r="F64" i="5"/>
  <c r="F53" i="5"/>
  <c r="F42" i="5"/>
  <c r="F19" i="5"/>
  <c r="F24" i="5"/>
  <c r="F12" i="5"/>
  <c r="D74" i="5"/>
  <c r="F68" i="5"/>
  <c r="D64" i="5"/>
  <c r="F57" i="5"/>
  <c r="D53" i="5"/>
  <c r="F47" i="5"/>
  <c r="D42" i="5"/>
  <c r="F36" i="5"/>
  <c r="D24" i="5"/>
  <c r="F16" i="5"/>
  <c r="D12" i="5"/>
  <c r="F17" i="5"/>
  <c r="AF75" i="5"/>
  <c r="AF74" i="5"/>
  <c r="AF73" i="5"/>
  <c r="AF71" i="5"/>
  <c r="AF70" i="5"/>
  <c r="AF69" i="5"/>
  <c r="AF68" i="5"/>
  <c r="AF65" i="5"/>
  <c r="AF63" i="5"/>
  <c r="AF59" i="5"/>
  <c r="AF58" i="5"/>
  <c r="AF57" i="5"/>
  <c r="AF54" i="5"/>
  <c r="AF53" i="5"/>
  <c r="AF52" i="5"/>
  <c r="AF51" i="5"/>
  <c r="AF50" i="5"/>
  <c r="AF47" i="5"/>
  <c r="AF46" i="5"/>
  <c r="AF45" i="5"/>
  <c r="AF41" i="5"/>
  <c r="AF40" i="5"/>
  <c r="AF39" i="5"/>
  <c r="AF36" i="5"/>
  <c r="AF35" i="5"/>
  <c r="AF25" i="5"/>
  <c r="AF20" i="5"/>
  <c r="AF18" i="5"/>
  <c r="AF16" i="5"/>
  <c r="AF11" i="5"/>
  <c r="CW4" i="5"/>
  <c r="Q56" i="3" l="1"/>
  <c r="BJ54" i="3"/>
  <c r="BA55" i="3"/>
  <c r="BE54" i="3"/>
  <c r="BB54" i="3"/>
  <c r="BB55" i="3" s="1"/>
  <c r="Y54" i="3"/>
  <c r="P54" i="3"/>
  <c r="L55" i="3"/>
  <c r="CW55" i="3"/>
  <c r="CY54" i="3"/>
  <c r="BH55" i="3"/>
  <c r="AM55" i="3"/>
  <c r="AQ55" i="3" s="1"/>
  <c r="U55" i="3"/>
  <c r="AH55" i="3"/>
  <c r="AX34" i="5"/>
  <c r="AE34" i="5"/>
  <c r="Z34" i="5" s="1"/>
  <c r="W57" i="5"/>
  <c r="W48" i="5"/>
  <c r="W49" i="5" s="1"/>
  <c r="W40" i="5"/>
  <c r="W74" i="5"/>
  <c r="AZ62" i="5"/>
  <c r="W30" i="5"/>
  <c r="W18" i="5"/>
  <c r="W24" i="5"/>
  <c r="AZ56" i="5"/>
  <c r="W73" i="5"/>
  <c r="W31" i="5"/>
  <c r="W32" i="5" s="1"/>
  <c r="W50" i="5"/>
  <c r="AZ47" i="5"/>
  <c r="W67" i="5"/>
  <c r="W52" i="5"/>
  <c r="W46" i="5"/>
  <c r="W41" i="5"/>
  <c r="W59" i="5"/>
  <c r="W60" i="5" s="1"/>
  <c r="W61" i="5" s="1"/>
  <c r="W54" i="5"/>
  <c r="W55" i="5" s="1"/>
  <c r="W20" i="5"/>
  <c r="W21" i="5" s="1"/>
  <c r="W23" i="5"/>
  <c r="W71" i="5"/>
  <c r="W72" i="5" s="1"/>
  <c r="W64" i="5"/>
  <c r="W39" i="5"/>
  <c r="W14" i="5"/>
  <c r="W15" i="5" s="1"/>
  <c r="CH95" i="5"/>
  <c r="W63" i="5"/>
  <c r="W65" i="5"/>
  <c r="W66" i="5" s="1"/>
  <c r="W53" i="5"/>
  <c r="W12" i="5"/>
  <c r="W58" i="5"/>
  <c r="W76" i="5"/>
  <c r="W77" i="5" s="1"/>
  <c r="W78" i="5" s="1"/>
  <c r="W79" i="5" s="1"/>
  <c r="W70" i="5"/>
  <c r="W69" i="5"/>
  <c r="W25" i="5"/>
  <c r="W26" i="5" s="1"/>
  <c r="W27" i="5" s="1"/>
  <c r="W37" i="5"/>
  <c r="W38" i="5" s="1"/>
  <c r="W36" i="5"/>
  <c r="W35" i="5"/>
  <c r="Q35" i="5" s="1"/>
  <c r="W17" i="5"/>
  <c r="W19" i="5"/>
  <c r="AZ46" i="5"/>
  <c r="AZ39" i="5"/>
  <c r="W68" i="5"/>
  <c r="W33" i="5"/>
  <c r="W22" i="5"/>
  <c r="W62" i="5"/>
  <c r="W51" i="5"/>
  <c r="W56" i="5"/>
  <c r="W45" i="5"/>
  <c r="W75" i="5"/>
  <c r="W42" i="5"/>
  <c r="W43" i="5" s="1"/>
  <c r="W44" i="5" s="1"/>
  <c r="W16" i="5"/>
  <c r="W47" i="5"/>
  <c r="AZ64" i="5"/>
  <c r="AZ73" i="5"/>
  <c r="AZ65" i="5"/>
  <c r="AZ76" i="5"/>
  <c r="AZ36" i="5"/>
  <c r="AZ42" i="5"/>
  <c r="AZ69" i="5"/>
  <c r="CA38" i="5"/>
  <c r="CA49" i="5"/>
  <c r="CA84" i="5"/>
  <c r="CH90" i="5"/>
  <c r="CH49" i="5"/>
  <c r="AZ53" i="5"/>
  <c r="AZ67" i="5"/>
  <c r="CJ48" i="5"/>
  <c r="CH38" i="5"/>
  <c r="CH77" i="5"/>
  <c r="CH66" i="5"/>
  <c r="AZ70" i="5"/>
  <c r="AZ40" i="5"/>
  <c r="AZ45" i="5"/>
  <c r="AZ41" i="5"/>
  <c r="CA95" i="5"/>
  <c r="CA66" i="5"/>
  <c r="CA43" i="5"/>
  <c r="CA90" i="5"/>
  <c r="CH60" i="5"/>
  <c r="CH84" i="5"/>
  <c r="CA72" i="5"/>
  <c r="AZ37" i="5"/>
  <c r="AZ50" i="5"/>
  <c r="CJ64" i="5"/>
  <c r="CA60" i="5"/>
  <c r="CA55" i="5"/>
  <c r="CA77" i="5"/>
  <c r="CH55" i="5"/>
  <c r="CH72" i="5"/>
  <c r="CH43" i="5"/>
  <c r="AX48" i="5"/>
  <c r="AX76" i="5"/>
  <c r="AZ58" i="5"/>
  <c r="AZ35" i="5"/>
  <c r="AX45" i="5"/>
  <c r="AX67" i="5"/>
  <c r="AX73" i="5"/>
  <c r="AX54" i="5"/>
  <c r="AX40" i="5"/>
  <c r="AX58" i="5"/>
  <c r="AZ75" i="5"/>
  <c r="AZ57" i="5"/>
  <c r="AX50" i="5"/>
  <c r="AX70" i="5"/>
  <c r="AX64" i="5"/>
  <c r="AX41" i="5"/>
  <c r="AX39" i="5"/>
  <c r="AX37" i="5"/>
  <c r="AX56" i="5"/>
  <c r="AX42" i="5"/>
  <c r="AX68" i="5"/>
  <c r="AX57" i="5"/>
  <c r="AX59" i="5"/>
  <c r="AX69" i="5"/>
  <c r="AX52" i="5"/>
  <c r="AX35" i="5"/>
  <c r="AX62" i="5"/>
  <c r="AZ71" i="5"/>
  <c r="AZ74" i="5"/>
  <c r="AZ52" i="5"/>
  <c r="AZ48" i="5"/>
  <c r="AZ63" i="5"/>
  <c r="AZ51" i="5"/>
  <c r="AX71" i="5"/>
  <c r="AX74" i="5"/>
  <c r="AX65" i="5"/>
  <c r="AX46" i="5"/>
  <c r="AX33" i="5"/>
  <c r="AX36" i="5"/>
  <c r="AX75" i="5"/>
  <c r="AX53" i="5"/>
  <c r="AX47" i="5"/>
  <c r="AX63" i="5"/>
  <c r="AX51" i="5"/>
  <c r="CC62" i="5"/>
  <c r="CC58" i="5"/>
  <c r="CC71" i="5"/>
  <c r="CC56" i="5"/>
  <c r="CC73" i="5"/>
  <c r="CC48" i="5"/>
  <c r="CC50" i="5"/>
  <c r="CC63" i="5"/>
  <c r="CC64" i="5"/>
  <c r="CJ69" i="5"/>
  <c r="CJ58" i="5"/>
  <c r="CJ75" i="5"/>
  <c r="CJ50" i="5"/>
  <c r="CJ54" i="5"/>
  <c r="CJ45" i="5"/>
  <c r="CJ73" i="5"/>
  <c r="CJ74" i="5"/>
  <c r="CJ67" i="5"/>
  <c r="CJ39" i="5"/>
  <c r="CC59" i="5"/>
  <c r="CC68" i="5"/>
  <c r="CC65" i="5"/>
  <c r="CC76" i="5"/>
  <c r="CC45" i="5"/>
  <c r="CC42" i="5"/>
  <c r="CC40" i="5"/>
  <c r="CC47" i="5"/>
  <c r="CC35" i="5"/>
  <c r="CJ70" i="5"/>
  <c r="CJ71" i="5"/>
  <c r="CJ41" i="5"/>
  <c r="CJ40" i="5"/>
  <c r="CJ53" i="5"/>
  <c r="CC67" i="5"/>
  <c r="CC70" i="5"/>
  <c r="CC53" i="5"/>
  <c r="CC51" i="5"/>
  <c r="CC46" i="5"/>
  <c r="CC54" i="5"/>
  <c r="CC52" i="5"/>
  <c r="CC41" i="5"/>
  <c r="CJ56" i="5"/>
  <c r="CJ63" i="5"/>
  <c r="CJ59" i="5"/>
  <c r="CJ76" i="5"/>
  <c r="CJ62" i="5"/>
  <c r="CJ47" i="5"/>
  <c r="CJ35" i="5"/>
  <c r="CJ68" i="5"/>
  <c r="CC36" i="5"/>
  <c r="CC74" i="5"/>
  <c r="CC39" i="5"/>
  <c r="CC75" i="5"/>
  <c r="CC69" i="5"/>
  <c r="CC37" i="5"/>
  <c r="CC57" i="5"/>
  <c r="CJ46" i="5"/>
  <c r="CJ65" i="5"/>
  <c r="CJ51" i="5"/>
  <c r="CJ57" i="5"/>
  <c r="CJ52" i="5"/>
  <c r="CJ36" i="5"/>
  <c r="CJ37" i="5"/>
  <c r="CJ42" i="5"/>
  <c r="CB55" i="5"/>
  <c r="CA15" i="5"/>
  <c r="CD72" i="5"/>
  <c r="CD55" i="5"/>
  <c r="CF55" i="5"/>
  <c r="CA26" i="5"/>
  <c r="CD77" i="5"/>
  <c r="CB15" i="5"/>
  <c r="CF72" i="5"/>
  <c r="CB77" i="5"/>
  <c r="CF21" i="5"/>
  <c r="CF49" i="5"/>
  <c r="CD38" i="5"/>
  <c r="CB38" i="5"/>
  <c r="CB60" i="5"/>
  <c r="CD26" i="5"/>
  <c r="CF43" i="5"/>
  <c r="CF77" i="5"/>
  <c r="CA32" i="5"/>
  <c r="CD49" i="5"/>
  <c r="CF38" i="5"/>
  <c r="CF26" i="5"/>
  <c r="CB72" i="5"/>
  <c r="CB32" i="5"/>
  <c r="CB49" i="5"/>
  <c r="CD60" i="5"/>
  <c r="CD15" i="5"/>
  <c r="CB26" i="5"/>
  <c r="CD66" i="5"/>
  <c r="CB21" i="5"/>
  <c r="CD32" i="5"/>
  <c r="CD43" i="5"/>
  <c r="CF32" i="5"/>
  <c r="CF44" i="5" s="1"/>
  <c r="CF66" i="5"/>
  <c r="CA21" i="5"/>
  <c r="CD21" i="5"/>
  <c r="CG16" i="5"/>
  <c r="CB66" i="5"/>
  <c r="CB43" i="5"/>
  <c r="CF15" i="5"/>
  <c r="CG11" i="5"/>
  <c r="CF60" i="5"/>
  <c r="CP11" i="5"/>
  <c r="CQ11" i="5" s="1"/>
  <c r="CS11" i="5"/>
  <c r="CP23" i="5"/>
  <c r="CQ23" i="5" s="1"/>
  <c r="CS19" i="5"/>
  <c r="CT19" i="5" s="1"/>
  <c r="CS65" i="5"/>
  <c r="CS18" i="5"/>
  <c r="CT18" i="5" s="1"/>
  <c r="CS45" i="5"/>
  <c r="CP69" i="5"/>
  <c r="CS47" i="5"/>
  <c r="CS12" i="5"/>
  <c r="CT12" i="5" s="1"/>
  <c r="CS24" i="5"/>
  <c r="CT24" i="5" s="1"/>
  <c r="CS62" i="5"/>
  <c r="CS35" i="5"/>
  <c r="CS74" i="5"/>
  <c r="CS59" i="5"/>
  <c r="CS58" i="5"/>
  <c r="CS48" i="5"/>
  <c r="CS46" i="5"/>
  <c r="CP54" i="5"/>
  <c r="CS73" i="5"/>
  <c r="M33" i="5"/>
  <c r="CP35" i="5"/>
  <c r="CP40" i="5"/>
  <c r="CP70" i="5"/>
  <c r="CP42" i="5"/>
  <c r="CP71" i="5"/>
  <c r="CP20" i="5"/>
  <c r="CQ20" i="5" s="1"/>
  <c r="CP74" i="5"/>
  <c r="CS53" i="5"/>
  <c r="CS36" i="5"/>
  <c r="CS22" i="5"/>
  <c r="CT22" i="5" s="1"/>
  <c r="CP51" i="5"/>
  <c r="CP47" i="5"/>
  <c r="BM55" i="5"/>
  <c r="M30" i="5"/>
  <c r="CS42" i="5"/>
  <c r="CP14" i="5"/>
  <c r="CQ14" i="5" s="1"/>
  <c r="CP12" i="5"/>
  <c r="CQ12" i="5" s="1"/>
  <c r="CP36" i="5"/>
  <c r="CS16" i="5"/>
  <c r="CT16" i="5" s="1"/>
  <c r="CP22" i="5"/>
  <c r="CQ22" i="5" s="1"/>
  <c r="CS14" i="5"/>
  <c r="CT14" i="5" s="1"/>
  <c r="F48" i="5"/>
  <c r="F69" i="5"/>
  <c r="CP46" i="5"/>
  <c r="CP52" i="5"/>
  <c r="AZ33" i="5"/>
  <c r="AG33" i="5"/>
  <c r="AQ33" i="5"/>
  <c r="CP56" i="5"/>
  <c r="CP45" i="5"/>
  <c r="AG31" i="5"/>
  <c r="AZ31" i="5"/>
  <c r="AQ31" i="5"/>
  <c r="AE30" i="5"/>
  <c r="AX30" i="5"/>
  <c r="CS54" i="5"/>
  <c r="CS52" i="5"/>
  <c r="CS28" i="5"/>
  <c r="CT28" i="5" s="1"/>
  <c r="CN28" i="5"/>
  <c r="CS13" i="5"/>
  <c r="CT13" i="5" s="1"/>
  <c r="CS39" i="5"/>
  <c r="CS23" i="5"/>
  <c r="CT23" i="5" s="1"/>
  <c r="CS20" i="5"/>
  <c r="CT20" i="5" s="1"/>
  <c r="BS30" i="5"/>
  <c r="CP57" i="5"/>
  <c r="CP62" i="5"/>
  <c r="CP63" i="5"/>
  <c r="CP19" i="5"/>
  <c r="CQ19" i="5" s="1"/>
  <c r="CP68" i="5"/>
  <c r="CP73" i="5"/>
  <c r="CP58" i="5"/>
  <c r="CS33" i="5"/>
  <c r="CT33" i="5" s="1"/>
  <c r="BZ33" i="5"/>
  <c r="CS30" i="5"/>
  <c r="CT30" i="5" s="1"/>
  <c r="CN30" i="5"/>
  <c r="CS63" i="5"/>
  <c r="CP50" i="5"/>
  <c r="F41" i="5"/>
  <c r="F76" i="5"/>
  <c r="CN22" i="5"/>
  <c r="AG30" i="5"/>
  <c r="AQ30" i="5"/>
  <c r="AZ30" i="5"/>
  <c r="AE33" i="5"/>
  <c r="CS25" i="5"/>
  <c r="CT25" i="5" s="1"/>
  <c r="CS64" i="5"/>
  <c r="CS67" i="5"/>
  <c r="CS17" i="5"/>
  <c r="CT17" i="5" s="1"/>
  <c r="BS33" i="5"/>
  <c r="M31" i="5"/>
  <c r="CG31" i="5"/>
  <c r="CP31" i="5"/>
  <c r="CQ31" i="5" s="1"/>
  <c r="CP41" i="5"/>
  <c r="CG30" i="5"/>
  <c r="CP30" i="5"/>
  <c r="CQ30" i="5" s="1"/>
  <c r="CP39" i="5"/>
  <c r="CP48" i="5"/>
  <c r="AG29" i="5"/>
  <c r="AZ29" i="5"/>
  <c r="AQ29" i="5"/>
  <c r="CP13" i="5"/>
  <c r="CQ13" i="5" s="1"/>
  <c r="AX28" i="5"/>
  <c r="AE28" i="5"/>
  <c r="CS75" i="5"/>
  <c r="CG29" i="5"/>
  <c r="CP29" i="5"/>
  <c r="CQ29" i="5" s="1"/>
  <c r="CP37" i="5"/>
  <c r="CP25" i="5"/>
  <c r="CQ25" i="5" s="1"/>
  <c r="F20" i="5"/>
  <c r="F40" i="5"/>
  <c r="F51" i="5"/>
  <c r="F62" i="5"/>
  <c r="F71" i="5"/>
  <c r="CS29" i="5"/>
  <c r="CT29" i="5" s="1"/>
  <c r="BZ29" i="5"/>
  <c r="CP16" i="5"/>
  <c r="CQ16" i="5" s="1"/>
  <c r="AG28" i="5"/>
  <c r="AQ28" i="5"/>
  <c r="AZ28" i="5"/>
  <c r="AX29" i="5"/>
  <c r="AE29" i="5"/>
  <c r="CS76" i="5"/>
  <c r="CS68" i="5"/>
  <c r="CS40" i="5"/>
  <c r="CS69" i="5"/>
  <c r="CS41" i="5"/>
  <c r="CS70" i="5"/>
  <c r="M28" i="5"/>
  <c r="CP65" i="5"/>
  <c r="CP59" i="5"/>
  <c r="CP53" i="5"/>
  <c r="CP67" i="5"/>
  <c r="CP17" i="5"/>
  <c r="CQ17" i="5" s="1"/>
  <c r="CG33" i="5"/>
  <c r="CP33" i="5"/>
  <c r="CQ33" i="5" s="1"/>
  <c r="CN31" i="5"/>
  <c r="CS31" i="5"/>
  <c r="CT31" i="5" s="1"/>
  <c r="CS56" i="5"/>
  <c r="CS50" i="5"/>
  <c r="CP76" i="5"/>
  <c r="CG14" i="5"/>
  <c r="AX31" i="5"/>
  <c r="AE31" i="5"/>
  <c r="CS57" i="5"/>
  <c r="CS71" i="5"/>
  <c r="CS51" i="5"/>
  <c r="CS37" i="5"/>
  <c r="BS31" i="5"/>
  <c r="BS29" i="5"/>
  <c r="BS28" i="5"/>
  <c r="M29" i="5"/>
  <c r="CP24" i="5"/>
  <c r="CQ24" i="5" s="1"/>
  <c r="CP18" i="5"/>
  <c r="CQ18" i="5" s="1"/>
  <c r="CP75" i="5"/>
  <c r="CP64" i="5"/>
  <c r="CP28" i="5"/>
  <c r="CQ28" i="5" s="1"/>
  <c r="CG28" i="5"/>
  <c r="F73" i="5"/>
  <c r="F52" i="5"/>
  <c r="F45" i="5"/>
  <c r="F54" i="5"/>
  <c r="F65" i="5"/>
  <c r="F75" i="5"/>
  <c r="F22" i="5"/>
  <c r="F11" i="5"/>
  <c r="D59" i="5"/>
  <c r="F59" i="5"/>
  <c r="F63" i="5"/>
  <c r="F13" i="5"/>
  <c r="F25" i="5"/>
  <c r="D39" i="5"/>
  <c r="F39" i="5"/>
  <c r="F70" i="5"/>
  <c r="F37" i="5"/>
  <c r="F58" i="5"/>
  <c r="F23" i="5"/>
  <c r="D18" i="5"/>
  <c r="F18" i="5"/>
  <c r="D50" i="5"/>
  <c r="F50" i="5"/>
  <c r="F14" i="5"/>
  <c r="F35" i="5"/>
  <c r="F46" i="5"/>
  <c r="F56" i="5"/>
  <c r="F67" i="5"/>
  <c r="AE35" i="5"/>
  <c r="CN12" i="5"/>
  <c r="BZ23" i="5"/>
  <c r="BO43" i="5"/>
  <c r="BO38" i="5"/>
  <c r="BO26" i="5"/>
  <c r="AE57" i="5"/>
  <c r="CG18" i="5"/>
  <c r="BO66" i="5"/>
  <c r="BO49" i="5"/>
  <c r="BW60" i="5"/>
  <c r="CG22" i="5"/>
  <c r="AE25" i="5"/>
  <c r="BM49" i="5"/>
  <c r="CN14" i="5"/>
  <c r="BW26" i="5"/>
  <c r="AE64" i="5"/>
  <c r="CG13" i="5"/>
  <c r="BZ20" i="5"/>
  <c r="AE41" i="5"/>
  <c r="BM32" i="5"/>
  <c r="BQ43" i="5"/>
  <c r="BG43" i="5"/>
  <c r="BG44" i="5" s="1"/>
  <c r="CN18" i="5"/>
  <c r="BP60" i="5"/>
  <c r="BZ25" i="5"/>
  <c r="BN77" i="5"/>
  <c r="AE46" i="5"/>
  <c r="BW15" i="5"/>
  <c r="BM60" i="5"/>
  <c r="BW38" i="5"/>
  <c r="BW21" i="5"/>
  <c r="CG12" i="5"/>
  <c r="BQ21" i="5"/>
  <c r="BQ72" i="5"/>
  <c r="BQ32" i="5"/>
  <c r="BP43" i="5"/>
  <c r="CN19" i="5"/>
  <c r="BZ16" i="5"/>
  <c r="BP55" i="5"/>
  <c r="BP38" i="5"/>
  <c r="BP44" i="5" s="1"/>
  <c r="BP77" i="5"/>
  <c r="BZ13" i="5"/>
  <c r="BZ18" i="5"/>
  <c r="BZ14" i="5"/>
  <c r="BM66" i="5"/>
  <c r="CN13" i="5"/>
  <c r="BN66" i="5"/>
  <c r="BW43" i="5"/>
  <c r="BO77" i="5"/>
  <c r="BO15" i="5"/>
  <c r="BW66" i="5"/>
  <c r="BO72" i="5"/>
  <c r="BO21" i="5"/>
  <c r="CG25" i="5"/>
  <c r="BO60" i="5"/>
  <c r="AE42" i="5"/>
  <c r="AE76" i="5"/>
  <c r="BW49" i="5"/>
  <c r="BF43" i="5"/>
  <c r="BF44" i="5" s="1"/>
  <c r="BN60" i="5"/>
  <c r="CG20" i="5"/>
  <c r="BQ77" i="5"/>
  <c r="CN24" i="5"/>
  <c r="BZ12" i="5"/>
  <c r="BO55" i="5"/>
  <c r="AE71" i="5"/>
  <c r="BW77" i="5"/>
  <c r="BZ17" i="5"/>
  <c r="BW55" i="5"/>
  <c r="BW72" i="5"/>
  <c r="CG19" i="5"/>
  <c r="CG24" i="5"/>
  <c r="BN55" i="5"/>
  <c r="CN16" i="5"/>
  <c r="BO32" i="5"/>
  <c r="BM72" i="5"/>
  <c r="BZ22" i="5"/>
  <c r="BM38" i="5"/>
  <c r="AE40" i="5"/>
  <c r="AE47" i="5"/>
  <c r="AE52" i="5"/>
  <c r="AE56" i="5"/>
  <c r="AE59" i="5"/>
  <c r="D14" i="5"/>
  <c r="D19" i="5"/>
  <c r="D35" i="5"/>
  <c r="D56" i="5"/>
  <c r="CN23" i="5"/>
  <c r="BZ24" i="5"/>
  <c r="BN43" i="5"/>
  <c r="BN72" i="5"/>
  <c r="BN49" i="5"/>
  <c r="BP49" i="5"/>
  <c r="BP72" i="5"/>
  <c r="BL60" i="5"/>
  <c r="BN38" i="5"/>
  <c r="AE37" i="5"/>
  <c r="AE69" i="5"/>
  <c r="BQ15" i="5"/>
  <c r="BQ26" i="5"/>
  <c r="BQ38" i="5"/>
  <c r="BQ49" i="5"/>
  <c r="BQ55" i="5"/>
  <c r="BQ66" i="5"/>
  <c r="BQ60" i="5"/>
  <c r="BP66" i="5"/>
  <c r="BM77" i="5"/>
  <c r="BM43" i="5"/>
  <c r="CN20" i="5"/>
  <c r="AE39" i="5"/>
  <c r="AE48" i="5"/>
  <c r="AE58" i="5"/>
  <c r="AE62" i="5"/>
  <c r="D22" i="5"/>
  <c r="D40" i="5"/>
  <c r="D62" i="5"/>
  <c r="D51" i="5"/>
  <c r="AE54" i="5"/>
  <c r="AE65" i="5"/>
  <c r="AE75" i="5"/>
  <c r="AE53" i="5"/>
  <c r="AE68" i="5"/>
  <c r="AE74" i="5"/>
  <c r="D57" i="5"/>
  <c r="D71" i="5"/>
  <c r="D16" i="5"/>
  <c r="K15" i="5"/>
  <c r="D45" i="5"/>
  <c r="J32" i="5"/>
  <c r="D36" i="5"/>
  <c r="D25" i="5"/>
  <c r="D65" i="5"/>
  <c r="J26" i="5"/>
  <c r="J66" i="5"/>
  <c r="G32" i="5"/>
  <c r="D48" i="5"/>
  <c r="D70" i="5"/>
  <c r="D69" i="5"/>
  <c r="K49" i="5"/>
  <c r="G15" i="5"/>
  <c r="I15" i="5" s="1"/>
  <c r="D13" i="5"/>
  <c r="G21" i="5"/>
  <c r="I21" i="5" s="1"/>
  <c r="D68" i="5"/>
  <c r="D52" i="5"/>
  <c r="D37" i="5"/>
  <c r="K32" i="5"/>
  <c r="K72" i="5"/>
  <c r="D11" i="5"/>
  <c r="D76" i="5"/>
  <c r="D73" i="5"/>
  <c r="CL21" i="5"/>
  <c r="D20" i="5"/>
  <c r="K55" i="5"/>
  <c r="D75" i="5"/>
  <c r="D58" i="5"/>
  <c r="K77" i="5"/>
  <c r="K66" i="5"/>
  <c r="G72" i="5"/>
  <c r="I72" i="5" s="1"/>
  <c r="D23" i="5"/>
  <c r="D41" i="5"/>
  <c r="D63" i="5"/>
  <c r="K21" i="5"/>
  <c r="G43" i="5"/>
  <c r="I43" i="5" s="1"/>
  <c r="G49" i="5"/>
  <c r="I49" i="5" s="1"/>
  <c r="J15" i="5"/>
  <c r="J38" i="5"/>
  <c r="D46" i="5"/>
  <c r="D67" i="5"/>
  <c r="G77" i="5"/>
  <c r="I77" i="5" s="1"/>
  <c r="J49" i="5"/>
  <c r="G55" i="5"/>
  <c r="I55" i="5" s="1"/>
  <c r="K38" i="5"/>
  <c r="J55" i="5"/>
  <c r="J21" i="5"/>
  <c r="G38" i="5"/>
  <c r="I38" i="5" s="1"/>
  <c r="J72" i="5"/>
  <c r="AE36" i="5"/>
  <c r="CL26" i="5"/>
  <c r="K43" i="5"/>
  <c r="J60" i="5"/>
  <c r="G26" i="5"/>
  <c r="I26" i="5" s="1"/>
  <c r="K60" i="5"/>
  <c r="J77" i="5"/>
  <c r="G66" i="5"/>
  <c r="D54" i="5"/>
  <c r="D47" i="5"/>
  <c r="G60" i="5"/>
  <c r="I60" i="5" s="1"/>
  <c r="D17" i="5"/>
  <c r="M47" i="5"/>
  <c r="N54" i="5"/>
  <c r="AA54" i="5" s="1"/>
  <c r="M20" i="5"/>
  <c r="N20" i="5"/>
  <c r="AA20" i="5" s="1"/>
  <c r="AY12" i="5"/>
  <c r="AY14" i="5"/>
  <c r="AY17" i="5"/>
  <c r="AY22" i="5"/>
  <c r="N47" i="5"/>
  <c r="AA47" i="5" s="1"/>
  <c r="N50" i="5"/>
  <c r="AA50" i="5" s="1"/>
  <c r="N52" i="5"/>
  <c r="AA52" i="5" s="1"/>
  <c r="N57" i="5"/>
  <c r="AA57" i="5" s="1"/>
  <c r="N59" i="5"/>
  <c r="AA59" i="5" s="1"/>
  <c r="N11" i="5"/>
  <c r="AA11" i="5" s="1"/>
  <c r="N16" i="5"/>
  <c r="AA16" i="5" s="1"/>
  <c r="N18" i="5"/>
  <c r="AA18" i="5" s="1"/>
  <c r="N23" i="5"/>
  <c r="N25" i="5"/>
  <c r="AA25" i="5" s="1"/>
  <c r="N36" i="5"/>
  <c r="AA36" i="5" s="1"/>
  <c r="N68" i="5"/>
  <c r="AA68" i="5" s="1"/>
  <c r="N70" i="5"/>
  <c r="AA70" i="5" s="1"/>
  <c r="N73" i="5"/>
  <c r="AA73" i="5" s="1"/>
  <c r="AE14" i="5"/>
  <c r="AX14" i="5"/>
  <c r="AE17" i="5"/>
  <c r="AX17" i="5"/>
  <c r="AE22" i="5"/>
  <c r="AX22" i="5"/>
  <c r="BS70" i="5"/>
  <c r="BS59" i="5"/>
  <c r="BS41" i="5"/>
  <c r="CW21" i="5"/>
  <c r="AE11" i="5"/>
  <c r="AX11" i="5"/>
  <c r="AE13" i="5"/>
  <c r="AX13" i="5"/>
  <c r="AX16" i="5"/>
  <c r="AE18" i="5"/>
  <c r="AX18" i="5"/>
  <c r="AE20" i="5"/>
  <c r="AX20" i="5"/>
  <c r="AE23" i="5"/>
  <c r="AX23" i="5"/>
  <c r="AX25" i="5"/>
  <c r="AE12" i="5"/>
  <c r="AX12" i="5"/>
  <c r="AE19" i="5"/>
  <c r="AX19" i="5"/>
  <c r="AE24" i="5"/>
  <c r="AX24" i="5"/>
  <c r="AF19" i="5"/>
  <c r="AY19" i="5"/>
  <c r="AF24" i="5"/>
  <c r="AY24" i="5"/>
  <c r="CL32" i="5"/>
  <c r="AY11" i="5"/>
  <c r="AF13" i="5"/>
  <c r="AY13" i="5"/>
  <c r="AY16" i="5"/>
  <c r="AY18" i="5"/>
  <c r="AY20" i="5"/>
  <c r="AF23" i="5"/>
  <c r="AY23" i="5"/>
  <c r="AY25" i="5"/>
  <c r="S66" i="5"/>
  <c r="AO66" i="5" s="1"/>
  <c r="M40" i="5"/>
  <c r="M46" i="5"/>
  <c r="M64" i="5"/>
  <c r="M67" i="5"/>
  <c r="M74" i="5"/>
  <c r="M58" i="5"/>
  <c r="M42" i="5"/>
  <c r="M48" i="5"/>
  <c r="M56" i="5"/>
  <c r="S15" i="5"/>
  <c r="AO15" i="5" s="1"/>
  <c r="M12" i="5"/>
  <c r="M14" i="5"/>
  <c r="M22" i="5"/>
  <c r="M24" i="5"/>
  <c r="M35" i="5"/>
  <c r="M62" i="5"/>
  <c r="M19" i="5"/>
  <c r="S38" i="5"/>
  <c r="AO38" i="5" s="1"/>
  <c r="M76" i="5"/>
  <c r="N40" i="5"/>
  <c r="AA40" i="5" s="1"/>
  <c r="N46" i="5"/>
  <c r="AA46" i="5" s="1"/>
  <c r="M68" i="5"/>
  <c r="M11" i="5"/>
  <c r="M41" i="5"/>
  <c r="M36" i="5"/>
  <c r="R55" i="5"/>
  <c r="AF12" i="5"/>
  <c r="N12" i="5"/>
  <c r="AF17" i="5"/>
  <c r="AF22" i="5"/>
  <c r="N37" i="5"/>
  <c r="AF37" i="5"/>
  <c r="N42" i="5"/>
  <c r="AF42" i="5"/>
  <c r="AF56" i="5"/>
  <c r="AF76" i="5"/>
  <c r="N76" i="5"/>
  <c r="N74" i="5"/>
  <c r="M57" i="5"/>
  <c r="AE70" i="5"/>
  <c r="M70" i="5"/>
  <c r="AE73" i="5"/>
  <c r="M23" i="5"/>
  <c r="N35" i="5"/>
  <c r="AA35" i="5" s="1"/>
  <c r="N69" i="5"/>
  <c r="AA69" i="5" s="1"/>
  <c r="N24" i="5"/>
  <c r="N62" i="5"/>
  <c r="AF14" i="5"/>
  <c r="N14" i="5"/>
  <c r="AF48" i="5"/>
  <c r="N48" i="5"/>
  <c r="AF62" i="5"/>
  <c r="AF64" i="5"/>
  <c r="N64" i="5"/>
  <c r="AE16" i="5"/>
  <c r="M16" i="5"/>
  <c r="M50" i="5"/>
  <c r="AE50" i="5"/>
  <c r="M63" i="5"/>
  <c r="AE63" i="5"/>
  <c r="M54" i="5"/>
  <c r="R32" i="5"/>
  <c r="S49" i="5"/>
  <c r="AO49" i="5" s="1"/>
  <c r="N53" i="5"/>
  <c r="AA53" i="5" s="1"/>
  <c r="S43" i="5"/>
  <c r="N58" i="5"/>
  <c r="AA58" i="5" s="1"/>
  <c r="S21" i="5"/>
  <c r="AO21" i="5" s="1"/>
  <c r="M52" i="5"/>
  <c r="R77" i="5"/>
  <c r="M73" i="5"/>
  <c r="M18" i="5"/>
  <c r="R49" i="5"/>
  <c r="S55" i="5"/>
  <c r="AO55" i="5" s="1"/>
  <c r="S60" i="5"/>
  <c r="AO60" i="5" s="1"/>
  <c r="N67" i="5"/>
  <c r="N41" i="5"/>
  <c r="AA41" i="5" s="1"/>
  <c r="N63" i="5"/>
  <c r="AA63" i="5" s="1"/>
  <c r="M13" i="5"/>
  <c r="M39" i="5"/>
  <c r="M51" i="5"/>
  <c r="AE51" i="5"/>
  <c r="AE67" i="5"/>
  <c r="N13" i="5"/>
  <c r="N17" i="5"/>
  <c r="N19" i="5"/>
  <c r="M37" i="5"/>
  <c r="N39" i="5"/>
  <c r="AA39" i="5" s="1"/>
  <c r="M45" i="5"/>
  <c r="N51" i="5"/>
  <c r="AA51" i="5" s="1"/>
  <c r="M65" i="5"/>
  <c r="N71" i="5"/>
  <c r="AA71" i="5" s="1"/>
  <c r="M75" i="5"/>
  <c r="M69" i="5"/>
  <c r="AE45" i="5"/>
  <c r="AF67" i="5"/>
  <c r="M17" i="5"/>
  <c r="M71" i="5"/>
  <c r="M59" i="5"/>
  <c r="N45" i="5"/>
  <c r="AA45" i="5" s="1"/>
  <c r="M53" i="5"/>
  <c r="N65" i="5"/>
  <c r="AA65" i="5" s="1"/>
  <c r="N75" i="5"/>
  <c r="AA75" i="5" s="1"/>
  <c r="M25" i="5"/>
  <c r="S26" i="5"/>
  <c r="AO26" i="5" s="1"/>
  <c r="N56" i="5"/>
  <c r="R21" i="5"/>
  <c r="S72" i="5"/>
  <c r="AO72" i="5" s="1"/>
  <c r="R72" i="5"/>
  <c r="N22" i="5"/>
  <c r="R38" i="5"/>
  <c r="R60" i="5"/>
  <c r="AI60" i="5" s="1"/>
  <c r="R15" i="5"/>
  <c r="R43" i="5"/>
  <c r="AI43" i="5" s="1"/>
  <c r="R66" i="5"/>
  <c r="S77" i="5"/>
  <c r="AO77" i="5" s="1"/>
  <c r="R26" i="5"/>
  <c r="W28" i="5" s="1"/>
  <c r="S32" i="5"/>
  <c r="CW26" i="5"/>
  <c r="CW27" i="5" s="1"/>
  <c r="CW15" i="5"/>
  <c r="P55" i="3" l="1"/>
  <c r="AL55" i="3"/>
  <c r="BA56" i="3"/>
  <c r="BE55" i="3"/>
  <c r="BJ55" i="3"/>
  <c r="AC54" i="3"/>
  <c r="Y55" i="3"/>
  <c r="CW56" i="3"/>
  <c r="CY55" i="3"/>
  <c r="V57" i="3"/>
  <c r="U56" i="3"/>
  <c r="BH56" i="3"/>
  <c r="L56" i="3"/>
  <c r="S44" i="5"/>
  <c r="AO44" i="5" s="1"/>
  <c r="BO44" i="5"/>
  <c r="BQ44" i="5"/>
  <c r="BS43" i="5"/>
  <c r="K44" i="5"/>
  <c r="BR43" i="5"/>
  <c r="CD44" i="5"/>
  <c r="CA44" i="5"/>
  <c r="J44" i="5"/>
  <c r="AO43" i="5"/>
  <c r="AJ43" i="5"/>
  <c r="BN44" i="5"/>
  <c r="BM44" i="5"/>
  <c r="W34" i="5"/>
  <c r="R44" i="5"/>
  <c r="I32" i="5"/>
  <c r="G44" i="5"/>
  <c r="CB44" i="5"/>
  <c r="CA61" i="5"/>
  <c r="CA96" i="5"/>
  <c r="CH61" i="5"/>
  <c r="CH96" i="5"/>
  <c r="CA78" i="5"/>
  <c r="CH78" i="5"/>
  <c r="AI26" i="5"/>
  <c r="AI21" i="5"/>
  <c r="AI66" i="5"/>
  <c r="AI72" i="5"/>
  <c r="AI49" i="5"/>
  <c r="CD78" i="5"/>
  <c r="CA27" i="5"/>
  <c r="CF78" i="5"/>
  <c r="CC66" i="5"/>
  <c r="CF27" i="5"/>
  <c r="CB27" i="5"/>
  <c r="CB78" i="5"/>
  <c r="CC38" i="5"/>
  <c r="CC77" i="5"/>
  <c r="CC49" i="5"/>
  <c r="CB61" i="5"/>
  <c r="CF61" i="5"/>
  <c r="CC60" i="5"/>
  <c r="CC55" i="5"/>
  <c r="CC43" i="5"/>
  <c r="CG43" i="5" s="1"/>
  <c r="CD27" i="5"/>
  <c r="CC72" i="5"/>
  <c r="CD61" i="5"/>
  <c r="Z33" i="5"/>
  <c r="CR11" i="5"/>
  <c r="CO11" i="5"/>
  <c r="CT11" i="5" s="1"/>
  <c r="CN64" i="5"/>
  <c r="Z28" i="5"/>
  <c r="E23" i="5"/>
  <c r="Z30" i="5"/>
  <c r="E70" i="5"/>
  <c r="Z35" i="5"/>
  <c r="Z29" i="5"/>
  <c r="CO39" i="5"/>
  <c r="CT39" i="5" s="1"/>
  <c r="E25" i="5"/>
  <c r="Z31" i="5"/>
  <c r="Z46" i="5"/>
  <c r="Z41" i="5"/>
  <c r="AJ72" i="5"/>
  <c r="AJ60" i="5"/>
  <c r="AJ21" i="5"/>
  <c r="AY21" i="5" s="1"/>
  <c r="AJ15" i="5"/>
  <c r="AO32" i="5"/>
  <c r="AJ32" i="5"/>
  <c r="BM61" i="5"/>
  <c r="AJ66" i="5"/>
  <c r="AJ26" i="5"/>
  <c r="AY26" i="5" s="1"/>
  <c r="AI38" i="5"/>
  <c r="AJ77" i="5"/>
  <c r="CO41" i="5"/>
  <c r="CT41" i="5" s="1"/>
  <c r="CO46" i="5"/>
  <c r="CT46" i="5" s="1"/>
  <c r="CO47" i="5"/>
  <c r="CT47" i="5" s="1"/>
  <c r="CO48" i="5"/>
  <c r="CT48" i="5" s="1"/>
  <c r="CO64" i="5"/>
  <c r="CT64" i="5" s="1"/>
  <c r="CO74" i="5"/>
  <c r="CT74" i="5" s="1"/>
  <c r="AJ49" i="5"/>
  <c r="AI77" i="5"/>
  <c r="AI32" i="5"/>
  <c r="AI55" i="5"/>
  <c r="AJ55" i="5"/>
  <c r="AI15" i="5"/>
  <c r="AJ38" i="5"/>
  <c r="AY38" i="5" s="1"/>
  <c r="CO70" i="5"/>
  <c r="CT70" i="5" s="1"/>
  <c r="CO50" i="5"/>
  <c r="CT50" i="5" s="1"/>
  <c r="CO42" i="5"/>
  <c r="CT42" i="5" s="1"/>
  <c r="CO45" i="5"/>
  <c r="CT45" i="5" s="1"/>
  <c r="CO62" i="5"/>
  <c r="CT62" i="5" s="1"/>
  <c r="CO52" i="5"/>
  <c r="CT52" i="5" s="1"/>
  <c r="CO59" i="5"/>
  <c r="CT59" i="5" s="1"/>
  <c r="CR74" i="5"/>
  <c r="CQ74" i="5"/>
  <c r="CR41" i="5"/>
  <c r="CQ41" i="5"/>
  <c r="CO73" i="5"/>
  <c r="CT73" i="5" s="1"/>
  <c r="CR69" i="5"/>
  <c r="CQ69" i="5"/>
  <c r="CR36" i="5"/>
  <c r="CQ36" i="5"/>
  <c r="CR51" i="5"/>
  <c r="CQ51" i="5"/>
  <c r="CR57" i="5"/>
  <c r="CQ57" i="5"/>
  <c r="CR76" i="5"/>
  <c r="CQ76" i="5"/>
  <c r="CO35" i="5"/>
  <c r="CT35" i="5" s="1"/>
  <c r="CO51" i="5"/>
  <c r="CT51" i="5" s="1"/>
  <c r="CO57" i="5"/>
  <c r="CT57" i="5" s="1"/>
  <c r="CO67" i="5"/>
  <c r="CT67" i="5" s="1"/>
  <c r="CR37" i="5"/>
  <c r="CQ37" i="5"/>
  <c r="CR48" i="5"/>
  <c r="CQ48" i="5"/>
  <c r="CL15" i="5"/>
  <c r="CL27" i="5" s="1"/>
  <c r="CR54" i="5"/>
  <c r="CQ54" i="5"/>
  <c r="CR35" i="5"/>
  <c r="CQ35" i="5"/>
  <c r="CQ46" i="5"/>
  <c r="CR46" i="5"/>
  <c r="CQ53" i="5"/>
  <c r="CR53" i="5"/>
  <c r="CR59" i="5"/>
  <c r="CQ59" i="5"/>
  <c r="CR65" i="5"/>
  <c r="CQ65" i="5"/>
  <c r="CO36" i="5"/>
  <c r="CT36" i="5" s="1"/>
  <c r="CO53" i="5"/>
  <c r="CT53" i="5" s="1"/>
  <c r="CO63" i="5"/>
  <c r="CT63" i="5" s="1"/>
  <c r="CO71" i="5"/>
  <c r="CT71" i="5" s="1"/>
  <c r="CR39" i="5"/>
  <c r="CQ39" i="5"/>
  <c r="CO58" i="5"/>
  <c r="CT58" i="5" s="1"/>
  <c r="CR75" i="5"/>
  <c r="CQ75" i="5"/>
  <c r="CR42" i="5"/>
  <c r="CQ42" i="5"/>
  <c r="CR45" i="5"/>
  <c r="CQ45" i="5"/>
  <c r="CO76" i="5"/>
  <c r="CT76" i="5" s="1"/>
  <c r="CR62" i="5"/>
  <c r="CQ62" i="5"/>
  <c r="CR50" i="5"/>
  <c r="CQ50" i="5"/>
  <c r="CR58" i="5"/>
  <c r="CQ58" i="5"/>
  <c r="CQ70" i="5"/>
  <c r="CR70" i="5"/>
  <c r="CR67" i="5"/>
  <c r="CQ67" i="5"/>
  <c r="CO37" i="5"/>
  <c r="CT37" i="5" s="1"/>
  <c r="CO54" i="5"/>
  <c r="CT54" i="5" s="1"/>
  <c r="CO65" i="5"/>
  <c r="CT65" i="5" s="1"/>
  <c r="CO75" i="5"/>
  <c r="CT75" i="5" s="1"/>
  <c r="CR68" i="5"/>
  <c r="CQ68" i="5"/>
  <c r="CR40" i="5"/>
  <c r="CQ40" i="5"/>
  <c r="CR47" i="5"/>
  <c r="CQ47" i="5"/>
  <c r="CR52" i="5"/>
  <c r="CQ52" i="5"/>
  <c r="CR64" i="5"/>
  <c r="CQ64" i="5"/>
  <c r="CR56" i="5"/>
  <c r="CQ56" i="5"/>
  <c r="CR63" i="5"/>
  <c r="CQ63" i="5"/>
  <c r="CR73" i="5"/>
  <c r="CQ73" i="5"/>
  <c r="CR71" i="5"/>
  <c r="CQ71" i="5"/>
  <c r="CO40" i="5"/>
  <c r="CT40" i="5" s="1"/>
  <c r="CO69" i="5"/>
  <c r="CT69" i="5" s="1"/>
  <c r="CO56" i="5"/>
  <c r="CT56" i="5" s="1"/>
  <c r="CO68" i="5"/>
  <c r="CT68" i="5" s="1"/>
  <c r="BO78" i="5"/>
  <c r="BS60" i="5"/>
  <c r="BO61" i="5"/>
  <c r="BP61" i="5"/>
  <c r="Z48" i="5"/>
  <c r="BS49" i="5"/>
  <c r="Z57" i="5"/>
  <c r="BS77" i="5"/>
  <c r="BW61" i="5"/>
  <c r="BN61" i="5"/>
  <c r="Z25" i="5"/>
  <c r="Z42" i="5"/>
  <c r="Z52" i="5"/>
  <c r="BS66" i="5"/>
  <c r="Z64" i="5"/>
  <c r="BP78" i="5"/>
  <c r="BQ27" i="5"/>
  <c r="BN78" i="5"/>
  <c r="BQ78" i="5"/>
  <c r="BO27" i="5"/>
  <c r="BW27" i="5"/>
  <c r="Z59" i="5"/>
  <c r="Z76" i="5"/>
  <c r="Z58" i="5"/>
  <c r="Z53" i="5"/>
  <c r="Z37" i="5"/>
  <c r="Z40" i="5"/>
  <c r="Z75" i="5"/>
  <c r="BM78" i="5"/>
  <c r="BW78" i="5"/>
  <c r="Z71" i="5"/>
  <c r="BQ61" i="5"/>
  <c r="Z69" i="5"/>
  <c r="Z54" i="5"/>
  <c r="Z62" i="5"/>
  <c r="Z56" i="5"/>
  <c r="Z47" i="5"/>
  <c r="D43" i="5"/>
  <c r="H43" i="5" s="1"/>
  <c r="F43" i="5" s="1"/>
  <c r="Z65" i="5"/>
  <c r="Z68" i="5"/>
  <c r="Z74" i="5"/>
  <c r="Z39" i="5"/>
  <c r="D15" i="5"/>
  <c r="D32" i="5"/>
  <c r="D66" i="5"/>
  <c r="CN68" i="5"/>
  <c r="D72" i="5"/>
  <c r="K27" i="5"/>
  <c r="J27" i="5"/>
  <c r="CN36" i="5"/>
  <c r="D38" i="5"/>
  <c r="D49" i="5"/>
  <c r="H49" i="5" s="1"/>
  <c r="F49" i="5" s="1"/>
  <c r="E41" i="5"/>
  <c r="Z36" i="5"/>
  <c r="K61" i="5"/>
  <c r="BW32" i="5"/>
  <c r="BW44" i="5" s="1"/>
  <c r="D60" i="5"/>
  <c r="G78" i="5"/>
  <c r="J78" i="5"/>
  <c r="D21" i="5"/>
  <c r="E52" i="5"/>
  <c r="CN53" i="5"/>
  <c r="K78" i="5"/>
  <c r="D26" i="5"/>
  <c r="H26" i="5" s="1"/>
  <c r="F26" i="5" s="1"/>
  <c r="D77" i="5"/>
  <c r="H77" i="5" s="1"/>
  <c r="F77" i="5" s="1"/>
  <c r="J61" i="5"/>
  <c r="E14" i="5"/>
  <c r="E35" i="5"/>
  <c r="E62" i="5"/>
  <c r="CG70" i="5"/>
  <c r="E16" i="5"/>
  <c r="E56" i="5"/>
  <c r="E51" i="5"/>
  <c r="E71" i="5"/>
  <c r="BR71" i="5"/>
  <c r="E24" i="5"/>
  <c r="E75" i="5"/>
  <c r="E73" i="5"/>
  <c r="E50" i="5"/>
  <c r="E76" i="5"/>
  <c r="BR76" i="5"/>
  <c r="E40" i="5"/>
  <c r="E19" i="5"/>
  <c r="E68" i="5"/>
  <c r="BR68" i="5"/>
  <c r="E39" i="5"/>
  <c r="I66" i="5"/>
  <c r="G27" i="5"/>
  <c r="I27" i="5" s="1"/>
  <c r="E53" i="5"/>
  <c r="E65" i="5"/>
  <c r="E18" i="5"/>
  <c r="E42" i="5"/>
  <c r="E13" i="5"/>
  <c r="E69" i="5"/>
  <c r="E74" i="5"/>
  <c r="E22" i="5"/>
  <c r="E63" i="5"/>
  <c r="E37" i="5"/>
  <c r="E45" i="5"/>
  <c r="E11" i="5"/>
  <c r="E59" i="5"/>
  <c r="E36" i="5"/>
  <c r="BR36" i="5"/>
  <c r="E57" i="5"/>
  <c r="E48" i="5"/>
  <c r="E64" i="5"/>
  <c r="E58" i="5"/>
  <c r="E20" i="5"/>
  <c r="BS36" i="5"/>
  <c r="CN65" i="5"/>
  <c r="CN70" i="5"/>
  <c r="CN37" i="5"/>
  <c r="CN51" i="5"/>
  <c r="D55" i="5"/>
  <c r="H55" i="5" s="1"/>
  <c r="F55" i="5" s="1"/>
  <c r="G61" i="5"/>
  <c r="Z14" i="5"/>
  <c r="Z23" i="5"/>
  <c r="Z13" i="5"/>
  <c r="Z22" i="5"/>
  <c r="Z18" i="5"/>
  <c r="CN42" i="5"/>
  <c r="AA23" i="5"/>
  <c r="Z20" i="5"/>
  <c r="CN47" i="5"/>
  <c r="BS58" i="5"/>
  <c r="BS53" i="5"/>
  <c r="BS76" i="5"/>
  <c r="BS40" i="5"/>
  <c r="BS52" i="5"/>
  <c r="BS62" i="5"/>
  <c r="Z11" i="5"/>
  <c r="BS73" i="5"/>
  <c r="CN35" i="5"/>
  <c r="BS39" i="5"/>
  <c r="BS63" i="5"/>
  <c r="CG59" i="5"/>
  <c r="CG48" i="5"/>
  <c r="CN71" i="5"/>
  <c r="BS57" i="5"/>
  <c r="BS56" i="5"/>
  <c r="BS64" i="5"/>
  <c r="BS65" i="5"/>
  <c r="BS74" i="5"/>
  <c r="Z63" i="5"/>
  <c r="Z12" i="5"/>
  <c r="CN40" i="5"/>
  <c r="CH32" i="5"/>
  <c r="CH44" i="5" s="1"/>
  <c r="CN48" i="5"/>
  <c r="CN58" i="5"/>
  <c r="CN75" i="5"/>
  <c r="CM49" i="5"/>
  <c r="CM60" i="5"/>
  <c r="BX38" i="5"/>
  <c r="CO38" i="5" s="1"/>
  <c r="BX66" i="5"/>
  <c r="BS68" i="5"/>
  <c r="CG57" i="5"/>
  <c r="CG71" i="5"/>
  <c r="BR59" i="5"/>
  <c r="CI60" i="5"/>
  <c r="CN63" i="5"/>
  <c r="BS51" i="5"/>
  <c r="BS35" i="5"/>
  <c r="BS45" i="5"/>
  <c r="CG52" i="5"/>
  <c r="AA22" i="5"/>
  <c r="AA19" i="5"/>
  <c r="Z70" i="5"/>
  <c r="Z24" i="5"/>
  <c r="CL66" i="5"/>
  <c r="CH21" i="5"/>
  <c r="CN54" i="5"/>
  <c r="CM21" i="5"/>
  <c r="CG47" i="5"/>
  <c r="BS54" i="5"/>
  <c r="BS46" i="5"/>
  <c r="BS75" i="5"/>
  <c r="BR70" i="5"/>
  <c r="CI49" i="5"/>
  <c r="CK49" i="5"/>
  <c r="CM66" i="5"/>
  <c r="CM72" i="5"/>
  <c r="BX55" i="5"/>
  <c r="CK60" i="5"/>
  <c r="CK66" i="5"/>
  <c r="CK72" i="5"/>
  <c r="CK77" i="5"/>
  <c r="BS69" i="5"/>
  <c r="BS71" i="5"/>
  <c r="BR40" i="5"/>
  <c r="BR62" i="5"/>
  <c r="BR69" i="5"/>
  <c r="BR75" i="5"/>
  <c r="BR73" i="5"/>
  <c r="CI26" i="5"/>
  <c r="CI55" i="5"/>
  <c r="CI77" i="5"/>
  <c r="BS37" i="5"/>
  <c r="BS11" i="5"/>
  <c r="BR52" i="5"/>
  <c r="Z73" i="5"/>
  <c r="Z19" i="5"/>
  <c r="CL60" i="5"/>
  <c r="CM55" i="5"/>
  <c r="BX49" i="5"/>
  <c r="BX60" i="5"/>
  <c r="BX72" i="5"/>
  <c r="BX77" i="5"/>
  <c r="CK43" i="5"/>
  <c r="CK38" i="5"/>
  <c r="BS50" i="5"/>
  <c r="BS67" i="5"/>
  <c r="BR11" i="5"/>
  <c r="BR42" i="5"/>
  <c r="BR37" i="5"/>
  <c r="BR35" i="5"/>
  <c r="BR51" i="5"/>
  <c r="BR48" i="5"/>
  <c r="BR41" i="5"/>
  <c r="BR57" i="5"/>
  <c r="BR63" i="5"/>
  <c r="BR74" i="5"/>
  <c r="CI21" i="5"/>
  <c r="CI72" i="5"/>
  <c r="BS47" i="5"/>
  <c r="CK55" i="5"/>
  <c r="BR64" i="5"/>
  <c r="CI15" i="5"/>
  <c r="CI43" i="5"/>
  <c r="CL55" i="5"/>
  <c r="Z50" i="5"/>
  <c r="CL43" i="5"/>
  <c r="CL38" i="5"/>
  <c r="CH26" i="5"/>
  <c r="CM32" i="5"/>
  <c r="CM15" i="5"/>
  <c r="CM26" i="5"/>
  <c r="CM77" i="5"/>
  <c r="AA13" i="5"/>
  <c r="AA64" i="5"/>
  <c r="AA24" i="5"/>
  <c r="CL49" i="5"/>
  <c r="CL72" i="5"/>
  <c r="CL77" i="5"/>
  <c r="CH15" i="5"/>
  <c r="CM38" i="5"/>
  <c r="CM43" i="5"/>
  <c r="BX43" i="5"/>
  <c r="CO43" i="5" s="1"/>
  <c r="BS42" i="5"/>
  <c r="BS48" i="5"/>
  <c r="CG76" i="5"/>
  <c r="BR56" i="5"/>
  <c r="BR39" i="5"/>
  <c r="BR53" i="5"/>
  <c r="BR45" i="5"/>
  <c r="BR58" i="5"/>
  <c r="BR65" i="5"/>
  <c r="CI32" i="5"/>
  <c r="CI38" i="5"/>
  <c r="CI66" i="5"/>
  <c r="N15" i="5"/>
  <c r="AA48" i="5"/>
  <c r="AA49" i="5" s="1"/>
  <c r="Z51" i="5"/>
  <c r="AA14" i="5"/>
  <c r="Z16" i="5"/>
  <c r="M21" i="5"/>
  <c r="AN21" i="5" s="1"/>
  <c r="Z17" i="5"/>
  <c r="AA42" i="5"/>
  <c r="AA43" i="5" s="1"/>
  <c r="Z45" i="5"/>
  <c r="Z67" i="5"/>
  <c r="AA62" i="5"/>
  <c r="AA67" i="5"/>
  <c r="AA72" i="5" s="1"/>
  <c r="AA17" i="5"/>
  <c r="AA76" i="5"/>
  <c r="AA12" i="5"/>
  <c r="AA55" i="5"/>
  <c r="AA56" i="5"/>
  <c r="AA60" i="5" s="1"/>
  <c r="M55" i="5"/>
  <c r="M66" i="5"/>
  <c r="AN66" i="5" s="1"/>
  <c r="M32" i="5"/>
  <c r="N77" i="5"/>
  <c r="AA74" i="5"/>
  <c r="AA37" i="5"/>
  <c r="S61" i="5"/>
  <c r="M72" i="5"/>
  <c r="AN72" i="5" s="1"/>
  <c r="N21" i="5"/>
  <c r="M43" i="5"/>
  <c r="AN43" i="5" s="1"/>
  <c r="AX43" i="5" s="1"/>
  <c r="S78" i="5"/>
  <c r="AO78" i="5" s="1"/>
  <c r="N55" i="5"/>
  <c r="R27" i="5"/>
  <c r="W29" i="5" s="1"/>
  <c r="S27" i="5"/>
  <c r="AO27" i="5" s="1"/>
  <c r="N38" i="5"/>
  <c r="N32" i="5"/>
  <c r="M60" i="5"/>
  <c r="N66" i="5"/>
  <c r="N43" i="5"/>
  <c r="M26" i="5"/>
  <c r="AN26" i="5" s="1"/>
  <c r="M15" i="5"/>
  <c r="AN15" i="5" s="1"/>
  <c r="N49" i="5"/>
  <c r="M77" i="5"/>
  <c r="AN77" i="5" s="1"/>
  <c r="M49" i="5"/>
  <c r="N72" i="5"/>
  <c r="M38" i="5"/>
  <c r="R78" i="5"/>
  <c r="N60" i="5"/>
  <c r="N26" i="5"/>
  <c r="CY56" i="3" l="1"/>
  <c r="AC55" i="3"/>
  <c r="AD55" i="3"/>
  <c r="AR55" i="3" s="1"/>
  <c r="AV55" i="3" s="1"/>
  <c r="AY55" i="3"/>
  <c r="BJ56" i="3"/>
  <c r="BE56" i="3"/>
  <c r="Q57" i="3"/>
  <c r="BA57" i="3" s="1"/>
  <c r="BB56" i="3"/>
  <c r="Y56" i="3"/>
  <c r="P56" i="3"/>
  <c r="CL44" i="5"/>
  <c r="N44" i="5"/>
  <c r="CI44" i="5"/>
  <c r="AJ44" i="5"/>
  <c r="AY44" i="5" s="1"/>
  <c r="I44" i="5"/>
  <c r="AI44" i="5"/>
  <c r="M44" i="5"/>
  <c r="AN44" i="5" s="1"/>
  <c r="D44" i="5"/>
  <c r="AF43" i="5"/>
  <c r="AT43" i="5" s="1"/>
  <c r="CR43" i="5"/>
  <c r="CM44" i="5"/>
  <c r="CC44" i="5"/>
  <c r="AY43" i="5"/>
  <c r="AX21" i="5"/>
  <c r="AI27" i="5"/>
  <c r="AJ27" i="5"/>
  <c r="AY27" i="5" s="1"/>
  <c r="AI78" i="5"/>
  <c r="AJ61" i="5"/>
  <c r="AJ78" i="5"/>
  <c r="AY32" i="5"/>
  <c r="AX26" i="5"/>
  <c r="CA79" i="5"/>
  <c r="CF79" i="5"/>
  <c r="CC78" i="5"/>
  <c r="CC61" i="5"/>
  <c r="CD79" i="5"/>
  <c r="CB79" i="5"/>
  <c r="CR38" i="5"/>
  <c r="CR66" i="5"/>
  <c r="CR77" i="5"/>
  <c r="CO66" i="5"/>
  <c r="AN60" i="5"/>
  <c r="Z38" i="5"/>
  <c r="CR49" i="5"/>
  <c r="AO61" i="5"/>
  <c r="Z60" i="5"/>
  <c r="AZ60" i="5" s="1"/>
  <c r="AN32" i="5"/>
  <c r="AX32" i="5" s="1"/>
  <c r="AN38" i="5"/>
  <c r="AX38" i="5" s="1"/>
  <c r="AN55" i="5"/>
  <c r="AN49" i="5"/>
  <c r="BP79" i="5"/>
  <c r="BN79" i="5"/>
  <c r="CO55" i="5"/>
  <c r="CO60" i="5"/>
  <c r="CR72" i="5"/>
  <c r="CO72" i="5"/>
  <c r="CR55" i="5"/>
  <c r="CO49" i="5"/>
  <c r="CR60" i="5"/>
  <c r="CO77" i="5"/>
  <c r="BO79" i="5"/>
  <c r="H15" i="5"/>
  <c r="F15" i="5" s="1"/>
  <c r="Z43" i="5"/>
  <c r="AE43" i="5" s="1"/>
  <c r="AS43" i="5" s="1"/>
  <c r="BQ79" i="5"/>
  <c r="BW79" i="5"/>
  <c r="Z77" i="5"/>
  <c r="AZ77" i="5" s="1"/>
  <c r="Z66" i="5"/>
  <c r="AZ66" i="5" s="1"/>
  <c r="H66" i="5"/>
  <c r="F66" i="5" s="1"/>
  <c r="H32" i="5"/>
  <c r="F32" i="5" s="1"/>
  <c r="I78" i="5"/>
  <c r="H38" i="5"/>
  <c r="F38" i="5" s="1"/>
  <c r="H72" i="5"/>
  <c r="F72" i="5" s="1"/>
  <c r="G79" i="5"/>
  <c r="D78" i="5"/>
  <c r="H78" i="5" s="1"/>
  <c r="D61" i="5"/>
  <c r="J79" i="5"/>
  <c r="K79" i="5"/>
  <c r="H60" i="5"/>
  <c r="F60" i="5" s="1"/>
  <c r="H21" i="5"/>
  <c r="F21" i="5" s="1"/>
  <c r="D27" i="5"/>
  <c r="E26" i="5"/>
  <c r="E32" i="5"/>
  <c r="E67" i="5"/>
  <c r="E72" i="5" s="1"/>
  <c r="E66" i="5"/>
  <c r="E46" i="5"/>
  <c r="BR46" i="5"/>
  <c r="E54" i="5"/>
  <c r="E55" i="5" s="1"/>
  <c r="BR55" i="5"/>
  <c r="E43" i="5"/>
  <c r="E17" i="5"/>
  <c r="E21" i="5" s="1"/>
  <c r="BR38" i="5"/>
  <c r="BR50" i="5"/>
  <c r="E38" i="5"/>
  <c r="BR54" i="5"/>
  <c r="E47" i="5"/>
  <c r="BR47" i="5"/>
  <c r="E77" i="5"/>
  <c r="E60" i="5"/>
  <c r="I61" i="5"/>
  <c r="BR60" i="5"/>
  <c r="Z26" i="5"/>
  <c r="AE26" i="5" s="1"/>
  <c r="AS26" i="5" s="1"/>
  <c r="CG32" i="5"/>
  <c r="AA21" i="5"/>
  <c r="AF21" i="5" s="1"/>
  <c r="AT21" i="5" s="1"/>
  <c r="CI61" i="5"/>
  <c r="AA26" i="5"/>
  <c r="AF26" i="5" s="1"/>
  <c r="AT26" i="5" s="1"/>
  <c r="Z15" i="5"/>
  <c r="AE15" i="5" s="1"/>
  <c r="AS15" i="5" s="1"/>
  <c r="CN32" i="5"/>
  <c r="AA32" i="5"/>
  <c r="CL78" i="5"/>
  <c r="CM61" i="5"/>
  <c r="AA66" i="5"/>
  <c r="AF66" i="5" s="1"/>
  <c r="AT66" i="5" s="1"/>
  <c r="CH27" i="5"/>
  <c r="CH79" i="5" s="1"/>
  <c r="BX15" i="5"/>
  <c r="CR15" i="5" s="1"/>
  <c r="CL61" i="5"/>
  <c r="BX61" i="5"/>
  <c r="AA38" i="5"/>
  <c r="AF38" i="5" s="1"/>
  <c r="AT38" i="5" s="1"/>
  <c r="Z32" i="5"/>
  <c r="Z55" i="5"/>
  <c r="AE55" i="5" s="1"/>
  <c r="AS55" i="5" s="1"/>
  <c r="CI27" i="5"/>
  <c r="CM27" i="5"/>
  <c r="BX78" i="5"/>
  <c r="CG26" i="5"/>
  <c r="CG42" i="5"/>
  <c r="CN59" i="5"/>
  <c r="CG65" i="5"/>
  <c r="CG51" i="5"/>
  <c r="CG45" i="5"/>
  <c r="CN62" i="5"/>
  <c r="CJ66" i="5"/>
  <c r="CK61" i="5"/>
  <c r="CN74" i="5"/>
  <c r="CI78" i="5"/>
  <c r="CG41" i="5"/>
  <c r="CG58" i="5"/>
  <c r="BR77" i="5"/>
  <c r="CJ38" i="5"/>
  <c r="CN15" i="5"/>
  <c r="CG15" i="5"/>
  <c r="CG21" i="5"/>
  <c r="CG75" i="5"/>
  <c r="CG73" i="5"/>
  <c r="CG53" i="5"/>
  <c r="CG50" i="5"/>
  <c r="BS72" i="5"/>
  <c r="BS78" i="5"/>
  <c r="CG37" i="5"/>
  <c r="CJ72" i="5"/>
  <c r="CN67" i="5"/>
  <c r="BR66" i="5"/>
  <c r="CG54" i="5"/>
  <c r="CG36" i="5"/>
  <c r="BS38" i="5"/>
  <c r="CN45" i="5"/>
  <c r="CJ49" i="5"/>
  <c r="CG68" i="5"/>
  <c r="CG56" i="5"/>
  <c r="CG64" i="5"/>
  <c r="CN46" i="5"/>
  <c r="BX21" i="5"/>
  <c r="CR21" i="5" s="1"/>
  <c r="CN39" i="5"/>
  <c r="CJ43" i="5"/>
  <c r="CN43" i="5" s="1"/>
  <c r="CN41" i="5"/>
  <c r="CG67" i="5"/>
  <c r="CG35" i="5"/>
  <c r="BS55" i="5"/>
  <c r="BS61" i="5"/>
  <c r="CN57" i="5"/>
  <c r="CG39" i="5"/>
  <c r="CG46" i="5"/>
  <c r="CN21" i="5"/>
  <c r="CJ77" i="5"/>
  <c r="CN73" i="5"/>
  <c r="CN69" i="5"/>
  <c r="CN76" i="5"/>
  <c r="CJ55" i="5"/>
  <c r="CN50" i="5"/>
  <c r="CG40" i="5"/>
  <c r="CN52" i="5"/>
  <c r="CG69" i="5"/>
  <c r="CG63" i="5"/>
  <c r="CJ60" i="5"/>
  <c r="CN56" i="5"/>
  <c r="BX26" i="5"/>
  <c r="CR26" i="5" s="1"/>
  <c r="CG62" i="5"/>
  <c r="CG74" i="5"/>
  <c r="CK78" i="5"/>
  <c r="CM78" i="5"/>
  <c r="CN26" i="5"/>
  <c r="AA15" i="5"/>
  <c r="AF15" i="5" s="1"/>
  <c r="AT15" i="5" s="1"/>
  <c r="AF55" i="5"/>
  <c r="AT55" i="5" s="1"/>
  <c r="Z49" i="5"/>
  <c r="AE49" i="5" s="1"/>
  <c r="AS49" i="5" s="1"/>
  <c r="Z72" i="5"/>
  <c r="AZ72" i="5" s="1"/>
  <c r="AA61" i="5"/>
  <c r="M61" i="5"/>
  <c r="AA77" i="5"/>
  <c r="AF77" i="5" s="1"/>
  <c r="AT77" i="5" s="1"/>
  <c r="AF72" i="5"/>
  <c r="AT72" i="5" s="1"/>
  <c r="Z21" i="5"/>
  <c r="AE21" i="5" s="1"/>
  <c r="AS21" i="5" s="1"/>
  <c r="AF49" i="5"/>
  <c r="AT49" i="5" s="1"/>
  <c r="M27" i="5"/>
  <c r="AN27" i="5" s="1"/>
  <c r="M78" i="5"/>
  <c r="N27" i="5"/>
  <c r="N61" i="5"/>
  <c r="N78" i="5"/>
  <c r="S79" i="5"/>
  <c r="AO79" i="5" s="1"/>
  <c r="AF60" i="5"/>
  <c r="AT60" i="5" s="1"/>
  <c r="CW57" i="3" l="1"/>
  <c r="BJ57" i="3"/>
  <c r="Q58" i="3"/>
  <c r="CW58" i="3" s="1"/>
  <c r="BE57" i="3"/>
  <c r="BB57" i="3"/>
  <c r="CY57" i="3"/>
  <c r="BH57" i="3"/>
  <c r="L57" i="3"/>
  <c r="V58" i="3"/>
  <c r="U57" i="3"/>
  <c r="AC56" i="3"/>
  <c r="E44" i="5"/>
  <c r="Z44" i="5"/>
  <c r="CJ44" i="5"/>
  <c r="AF32" i="5"/>
  <c r="AT32" i="5" s="1"/>
  <c r="AA44" i="5"/>
  <c r="AF44" i="5" s="1"/>
  <c r="AT44" i="5" s="1"/>
  <c r="AX27" i="5"/>
  <c r="AJ79" i="5"/>
  <c r="AX44" i="5"/>
  <c r="CC79" i="5"/>
  <c r="F78" i="5"/>
  <c r="AE38" i="5"/>
  <c r="AS38" i="5" s="1"/>
  <c r="CO78" i="5"/>
  <c r="AN78" i="5"/>
  <c r="AE44" i="5"/>
  <c r="AS44" i="5" s="1"/>
  <c r="AE60" i="5"/>
  <c r="AS60" i="5" s="1"/>
  <c r="CR78" i="5"/>
  <c r="AE66" i="5"/>
  <c r="AS66" i="5" s="1"/>
  <c r="CO15" i="5"/>
  <c r="CO26" i="5"/>
  <c r="CO61" i="5"/>
  <c r="CR61" i="5"/>
  <c r="CO21" i="5"/>
  <c r="AE77" i="5"/>
  <c r="AS77" i="5" s="1"/>
  <c r="H44" i="5"/>
  <c r="F44" i="5" s="1"/>
  <c r="H61" i="5"/>
  <c r="F61" i="5" s="1"/>
  <c r="I79" i="5"/>
  <c r="E49" i="5"/>
  <c r="E61" i="5" s="1"/>
  <c r="D79" i="5"/>
  <c r="H79" i="5" s="1"/>
  <c r="H27" i="5"/>
  <c r="F27" i="5" s="1"/>
  <c r="BR72" i="5"/>
  <c r="BR67" i="5"/>
  <c r="BR78" i="5"/>
  <c r="E78" i="5"/>
  <c r="AZ55" i="5"/>
  <c r="AE32" i="5"/>
  <c r="AS32" i="5" s="1"/>
  <c r="CI79" i="5"/>
  <c r="CL79" i="5"/>
  <c r="AA27" i="5"/>
  <c r="AF27" i="5" s="1"/>
  <c r="AT27" i="5" s="1"/>
  <c r="AA78" i="5"/>
  <c r="AF78" i="5" s="1"/>
  <c r="AT78" i="5" s="1"/>
  <c r="CM79" i="5"/>
  <c r="BX32" i="5"/>
  <c r="BX44" i="5" s="1"/>
  <c r="CK15" i="5"/>
  <c r="CN77" i="5"/>
  <c r="CK26" i="5"/>
  <c r="CG72" i="5"/>
  <c r="CG60" i="5"/>
  <c r="CJ61" i="5"/>
  <c r="CN49" i="5"/>
  <c r="CN72" i="5"/>
  <c r="CG66" i="5"/>
  <c r="CK32" i="5"/>
  <c r="CK44" i="5" s="1"/>
  <c r="CG27" i="5"/>
  <c r="AE72" i="5"/>
  <c r="AS72" i="5" s="1"/>
  <c r="CG38" i="5"/>
  <c r="CG77" i="5"/>
  <c r="CK21" i="5"/>
  <c r="CG49" i="5"/>
  <c r="CN60" i="5"/>
  <c r="CN55" i="5"/>
  <c r="BX27" i="5"/>
  <c r="CR27" i="5" s="1"/>
  <c r="CG55" i="5"/>
  <c r="CN27" i="5"/>
  <c r="CN38" i="5"/>
  <c r="CJ78" i="5"/>
  <c r="CN66" i="5"/>
  <c r="AF61" i="5"/>
  <c r="AT61" i="5" s="1"/>
  <c r="Z61" i="5"/>
  <c r="AE61" i="5" s="1"/>
  <c r="Z78" i="5"/>
  <c r="AZ78" i="5" s="1"/>
  <c r="AZ49" i="5"/>
  <c r="Z27" i="5"/>
  <c r="M79" i="5"/>
  <c r="N79" i="5"/>
  <c r="BH58" i="3" l="1"/>
  <c r="L58" i="3"/>
  <c r="V59" i="3"/>
  <c r="V60" i="3" s="1"/>
  <c r="V61" i="3" s="1"/>
  <c r="U58" i="3"/>
  <c r="BA58" i="3"/>
  <c r="CY58" i="3"/>
  <c r="Y57" i="3"/>
  <c r="P57" i="3"/>
  <c r="F79" i="5"/>
  <c r="CO32" i="5"/>
  <c r="CO27" i="5"/>
  <c r="CR44" i="5"/>
  <c r="CR32" i="5"/>
  <c r="BR49" i="5"/>
  <c r="AA79" i="5"/>
  <c r="AF79" i="5" s="1"/>
  <c r="AT79" i="5" s="1"/>
  <c r="CJ79" i="5"/>
  <c r="CN79" i="5" s="1"/>
  <c r="AZ61" i="5"/>
  <c r="AE78" i="5"/>
  <c r="AS78" i="5" s="1"/>
  <c r="CG44" i="5"/>
  <c r="CN44" i="5"/>
  <c r="CN61" i="5"/>
  <c r="CG78" i="5"/>
  <c r="CK27" i="5"/>
  <c r="CG61" i="5"/>
  <c r="CN78" i="5"/>
  <c r="Z79" i="5"/>
  <c r="AE79" i="5" s="1"/>
  <c r="AE27" i="5"/>
  <c r="AS27" i="5" s="1"/>
  <c r="Q59" i="3" l="1"/>
  <c r="BE58" i="3"/>
  <c r="BJ58" i="3"/>
  <c r="BB58" i="3"/>
  <c r="P58" i="3"/>
  <c r="Y58" i="3"/>
  <c r="AC58" i="3" s="1"/>
  <c r="AC57" i="3"/>
  <c r="BX79" i="5"/>
  <c r="CR79" i="5" s="1"/>
  <c r="CO44" i="5"/>
  <c r="BR61" i="5"/>
  <c r="CK79" i="5"/>
  <c r="CG79" i="5"/>
  <c r="V62" i="3" l="1"/>
  <c r="BH61" i="3"/>
  <c r="U59" i="3"/>
  <c r="BH59" i="3"/>
  <c r="L59" i="3"/>
  <c r="Q60" i="3"/>
  <c r="CW59" i="3"/>
  <c r="BA59" i="3"/>
  <c r="CO79" i="5"/>
  <c r="BE59" i="3" l="1"/>
  <c r="Q62" i="3"/>
  <c r="BA60" i="3"/>
  <c r="BJ59" i="3"/>
  <c r="BB59" i="3"/>
  <c r="BB60" i="3" s="1"/>
  <c r="BB61" i="3" s="1"/>
  <c r="Y59" i="3"/>
  <c r="P59" i="3"/>
  <c r="L60" i="3"/>
  <c r="CY59" i="3"/>
  <c r="CW60" i="3"/>
  <c r="U60" i="3"/>
  <c r="AM60" i="3"/>
  <c r="AQ60" i="3" s="1"/>
  <c r="BH60" i="3"/>
  <c r="Q61" i="3"/>
  <c r="AH60" i="3"/>
  <c r="AW60" i="3"/>
  <c r="AW61" i="3" s="1"/>
  <c r="C5" i="3"/>
  <c r="C6" i="3"/>
  <c r="AL60" i="3" l="1"/>
  <c r="AH61" i="3"/>
  <c r="P60" i="3"/>
  <c r="L61" i="3"/>
  <c r="AM61" i="3"/>
  <c r="AQ61" i="3" s="1"/>
  <c r="U61" i="3"/>
  <c r="CW61" i="3"/>
  <c r="CY60" i="3"/>
  <c r="BJ60" i="3"/>
  <c r="BE60" i="3"/>
  <c r="BA61" i="3"/>
  <c r="AC59" i="3"/>
  <c r="Y60" i="3"/>
  <c r="V63" i="3"/>
  <c r="U62" i="3"/>
  <c r="L62" i="3"/>
  <c r="BH62" i="3"/>
  <c r="BS18" i="5"/>
  <c r="BS19" i="5"/>
  <c r="BS14" i="5"/>
  <c r="BS20" i="5"/>
  <c r="BS17" i="5"/>
  <c r="BS13" i="5"/>
  <c r="BS23" i="5"/>
  <c r="BS24" i="5"/>
  <c r="BS25" i="5"/>
  <c r="Y62" i="3" l="1"/>
  <c r="P62" i="3"/>
  <c r="AD60" i="3"/>
  <c r="AR60" i="3" s="1"/>
  <c r="AV60" i="3" s="1"/>
  <c r="AC60" i="3"/>
  <c r="Y61" i="3"/>
  <c r="AY60" i="3"/>
  <c r="AY61" i="3" s="1"/>
  <c r="BA62" i="3"/>
  <c r="BJ61" i="3"/>
  <c r="BE61" i="3"/>
  <c r="CY61" i="3"/>
  <c r="CW62" i="3"/>
  <c r="P61" i="3"/>
  <c r="AL61" i="3"/>
  <c r="BS12" i="5"/>
  <c r="BS26" i="5"/>
  <c r="BS22" i="5"/>
  <c r="BS21" i="5"/>
  <c r="BS16" i="5"/>
  <c r="CY62" i="3" l="1"/>
  <c r="BJ62" i="3"/>
  <c r="BE62" i="3"/>
  <c r="BA63" i="3"/>
  <c r="Q63" i="3"/>
  <c r="BB62" i="3"/>
  <c r="AC62" i="3"/>
  <c r="AC61" i="3"/>
  <c r="AD61" i="3"/>
  <c r="AR61" i="3" s="1"/>
  <c r="AV61" i="3" s="1"/>
  <c r="BS15" i="5"/>
  <c r="BJ63" i="3" l="1"/>
  <c r="Q64" i="3"/>
  <c r="BA64" i="3" s="1"/>
  <c r="BE63" i="3"/>
  <c r="BB63" i="3"/>
  <c r="U63" i="3"/>
  <c r="BH63" i="3"/>
  <c r="L63" i="3"/>
  <c r="V64" i="3"/>
  <c r="CW63" i="3"/>
  <c r="BS27" i="5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Y63" i="3" l="1"/>
  <c r="P63" i="3"/>
  <c r="CW64" i="3"/>
  <c r="CY63" i="3"/>
  <c r="Q65" i="3"/>
  <c r="BE64" i="3"/>
  <c r="BJ64" i="3"/>
  <c r="BB64" i="3"/>
  <c r="BH64" i="3"/>
  <c r="L64" i="3"/>
  <c r="V65" i="3"/>
  <c r="V66" i="3" s="1"/>
  <c r="AW66" i="3" s="1"/>
  <c r="U64" i="3"/>
  <c r="DB93" i="5"/>
  <c r="AH93" i="5" s="1"/>
  <c r="AL93" i="5" s="1"/>
  <c r="DC91" i="5"/>
  <c r="AR91" i="5" s="1"/>
  <c r="DC87" i="5"/>
  <c r="AR87" i="5" s="1"/>
  <c r="DB86" i="5"/>
  <c r="AH86" i="5" s="1"/>
  <c r="AL86" i="5" s="1"/>
  <c r="DB85" i="5"/>
  <c r="AH85" i="5" s="1"/>
  <c r="AL85" i="5" s="1"/>
  <c r="DB82" i="5"/>
  <c r="AH82" i="5" s="1"/>
  <c r="AL82" i="5" s="1"/>
  <c r="DC81" i="5"/>
  <c r="AR81" i="5" s="1"/>
  <c r="DC80" i="5"/>
  <c r="AR80" i="5" s="1"/>
  <c r="DB94" i="5"/>
  <c r="AH94" i="5" s="1"/>
  <c r="AL94" i="5" s="1"/>
  <c r="DB92" i="5"/>
  <c r="AH92" i="5" s="1"/>
  <c r="AL92" i="5" s="1"/>
  <c r="DC89" i="5"/>
  <c r="AR89" i="5" s="1"/>
  <c r="DC83" i="5"/>
  <c r="AR83" i="5" s="1"/>
  <c r="DB89" i="5"/>
  <c r="AH89" i="5" s="1"/>
  <c r="AL89" i="5" s="1"/>
  <c r="DC85" i="5"/>
  <c r="AR85" i="5" s="1"/>
  <c r="DC82" i="5"/>
  <c r="AR82" i="5" s="1"/>
  <c r="DC94" i="5"/>
  <c r="AR94" i="5" s="1"/>
  <c r="DC92" i="5"/>
  <c r="AR92" i="5" s="1"/>
  <c r="DB91" i="5"/>
  <c r="AH91" i="5" s="1"/>
  <c r="AL91" i="5" s="1"/>
  <c r="DB87" i="5"/>
  <c r="AH87" i="5" s="1"/>
  <c r="AL87" i="5" s="1"/>
  <c r="DB81" i="5"/>
  <c r="AH81" i="5" s="1"/>
  <c r="AL81" i="5" s="1"/>
  <c r="DB80" i="5"/>
  <c r="AH80" i="5" s="1"/>
  <c r="AL80" i="5" s="1"/>
  <c r="DC88" i="5"/>
  <c r="AR88" i="5" s="1"/>
  <c r="DC93" i="5"/>
  <c r="AR93" i="5" s="1"/>
  <c r="DB88" i="5"/>
  <c r="AH88" i="5" s="1"/>
  <c r="AL88" i="5" s="1"/>
  <c r="DC86" i="5"/>
  <c r="AR86" i="5" s="1"/>
  <c r="DB83" i="5"/>
  <c r="AH83" i="5" s="1"/>
  <c r="AL83" i="5" s="1"/>
  <c r="DC45" i="5"/>
  <c r="AR45" i="5" s="1"/>
  <c r="DC56" i="5"/>
  <c r="AR56" i="5" s="1"/>
  <c r="DC23" i="5"/>
  <c r="DC24" i="5"/>
  <c r="DC46" i="5"/>
  <c r="AR46" i="5" s="1"/>
  <c r="DC29" i="5"/>
  <c r="DC30" i="5"/>
  <c r="DC51" i="5"/>
  <c r="AR51" i="5" s="1"/>
  <c r="DB13" i="5"/>
  <c r="DC62" i="5"/>
  <c r="AR62" i="5" s="1"/>
  <c r="DB12" i="5"/>
  <c r="DC35" i="5"/>
  <c r="AR35" i="5" s="1"/>
  <c r="DC67" i="5"/>
  <c r="AR67" i="5" s="1"/>
  <c r="DC18" i="5"/>
  <c r="DC39" i="5"/>
  <c r="AR39" i="5" s="1"/>
  <c r="DC71" i="5"/>
  <c r="AR71" i="5" s="1"/>
  <c r="DC19" i="5"/>
  <c r="DC40" i="5"/>
  <c r="AR40" i="5" s="1"/>
  <c r="DC76" i="5"/>
  <c r="AR76" i="5" s="1"/>
  <c r="DC50" i="5"/>
  <c r="AR50" i="5" s="1"/>
  <c r="DC54" i="5"/>
  <c r="AR54" i="5" s="1"/>
  <c r="DC59" i="5"/>
  <c r="AR59" i="5" s="1"/>
  <c r="DC65" i="5"/>
  <c r="AR65" i="5" s="1"/>
  <c r="DC70" i="5"/>
  <c r="AR70" i="5" s="1"/>
  <c r="DC75" i="5"/>
  <c r="AR75" i="5" s="1"/>
  <c r="DC12" i="5"/>
  <c r="DB19" i="5"/>
  <c r="DB24" i="5"/>
  <c r="DB30" i="5"/>
  <c r="DB35" i="5"/>
  <c r="AH35" i="5" s="1"/>
  <c r="DB40" i="5"/>
  <c r="AH40" i="5" s="1"/>
  <c r="AL40" i="5" s="1"/>
  <c r="DB46" i="5"/>
  <c r="AH46" i="5" s="1"/>
  <c r="AL46" i="5" s="1"/>
  <c r="DB51" i="5"/>
  <c r="AH51" i="5" s="1"/>
  <c r="AL51" i="5" s="1"/>
  <c r="DB56" i="5"/>
  <c r="AH56" i="5" s="1"/>
  <c r="AL56" i="5" s="1"/>
  <c r="DB62" i="5"/>
  <c r="AH62" i="5" s="1"/>
  <c r="AL62" i="5" s="1"/>
  <c r="DB67" i="5"/>
  <c r="AH67" i="5" s="1"/>
  <c r="AL67" i="5" s="1"/>
  <c r="DB71" i="5"/>
  <c r="AH71" i="5" s="1"/>
  <c r="AL71" i="5" s="1"/>
  <c r="DB76" i="5"/>
  <c r="AH76" i="5" s="1"/>
  <c r="AL76" i="5" s="1"/>
  <c r="DB16" i="5"/>
  <c r="DB31" i="5"/>
  <c r="DB47" i="5"/>
  <c r="AH47" i="5" s="1"/>
  <c r="AL47" i="5" s="1"/>
  <c r="DB63" i="5"/>
  <c r="AH63" i="5" s="1"/>
  <c r="AL63" i="5" s="1"/>
  <c r="DC16" i="5"/>
  <c r="DC20" i="5"/>
  <c r="DC25" i="5"/>
  <c r="DC31" i="5"/>
  <c r="DC36" i="5"/>
  <c r="AR36" i="5" s="1"/>
  <c r="DC41" i="5"/>
  <c r="AR41" i="5" s="1"/>
  <c r="DC47" i="5"/>
  <c r="AR47" i="5" s="1"/>
  <c r="DC52" i="5"/>
  <c r="AR52" i="5" s="1"/>
  <c r="DC57" i="5"/>
  <c r="AR57" i="5" s="1"/>
  <c r="DC63" i="5"/>
  <c r="AR63" i="5" s="1"/>
  <c r="DC68" i="5"/>
  <c r="AR68" i="5" s="1"/>
  <c r="DC73" i="5"/>
  <c r="AR73" i="5" s="1"/>
  <c r="DB20" i="5"/>
  <c r="DB36" i="5"/>
  <c r="AH36" i="5" s="1"/>
  <c r="AL36" i="5" s="1"/>
  <c r="DB52" i="5"/>
  <c r="AH52" i="5" s="1"/>
  <c r="AL52" i="5" s="1"/>
  <c r="DB68" i="5"/>
  <c r="AH68" i="5" s="1"/>
  <c r="AL68" i="5" s="1"/>
  <c r="DB17" i="5"/>
  <c r="DB28" i="5"/>
  <c r="DB37" i="5"/>
  <c r="AH37" i="5" s="1"/>
  <c r="AL37" i="5" s="1"/>
  <c r="DB48" i="5"/>
  <c r="AH48" i="5" s="1"/>
  <c r="AL48" i="5" s="1"/>
  <c r="DB58" i="5"/>
  <c r="AH58" i="5" s="1"/>
  <c r="AL58" i="5" s="1"/>
  <c r="DB69" i="5"/>
  <c r="AH69" i="5" s="1"/>
  <c r="AL69" i="5" s="1"/>
  <c r="DB14" i="5"/>
  <c r="DC17" i="5"/>
  <c r="DC22" i="5"/>
  <c r="DC28" i="5"/>
  <c r="DC33" i="5"/>
  <c r="DC37" i="5"/>
  <c r="AR37" i="5" s="1"/>
  <c r="DC42" i="5"/>
  <c r="AR42" i="5" s="1"/>
  <c r="DC48" i="5"/>
  <c r="AR48" i="5" s="1"/>
  <c r="DC53" i="5"/>
  <c r="AR53" i="5" s="1"/>
  <c r="DC58" i="5"/>
  <c r="AR58" i="5" s="1"/>
  <c r="DC64" i="5"/>
  <c r="AR64" i="5" s="1"/>
  <c r="DC69" i="5"/>
  <c r="AR69" i="5" s="1"/>
  <c r="DC74" i="5"/>
  <c r="AR74" i="5" s="1"/>
  <c r="DB25" i="5"/>
  <c r="DB41" i="5"/>
  <c r="AH41" i="5" s="1"/>
  <c r="AL41" i="5" s="1"/>
  <c r="DB57" i="5"/>
  <c r="AH57" i="5" s="1"/>
  <c r="AL57" i="5" s="1"/>
  <c r="DB73" i="5"/>
  <c r="AH73" i="5" s="1"/>
  <c r="AL73" i="5" s="1"/>
  <c r="DC14" i="5"/>
  <c r="DB22" i="5"/>
  <c r="DB33" i="5"/>
  <c r="DB42" i="5"/>
  <c r="AH42" i="5" s="1"/>
  <c r="AL42" i="5" s="1"/>
  <c r="DB53" i="5"/>
  <c r="AH53" i="5" s="1"/>
  <c r="AL53" i="5" s="1"/>
  <c r="DB64" i="5"/>
  <c r="AH64" i="5" s="1"/>
  <c r="AL64" i="5" s="1"/>
  <c r="DB74" i="5"/>
  <c r="AH74" i="5" s="1"/>
  <c r="AL74" i="5" s="1"/>
  <c r="DC13" i="5"/>
  <c r="DB18" i="5"/>
  <c r="DB23" i="5"/>
  <c r="DB29" i="5"/>
  <c r="DB39" i="5"/>
  <c r="AH39" i="5" s="1"/>
  <c r="AL39" i="5" s="1"/>
  <c r="DB45" i="5"/>
  <c r="AH45" i="5" s="1"/>
  <c r="AL45" i="5" s="1"/>
  <c r="DB50" i="5"/>
  <c r="AH50" i="5" s="1"/>
  <c r="AL50" i="5" s="1"/>
  <c r="DB54" i="5"/>
  <c r="AH54" i="5" s="1"/>
  <c r="AL54" i="5" s="1"/>
  <c r="DB59" i="5"/>
  <c r="AH59" i="5" s="1"/>
  <c r="AL59" i="5" s="1"/>
  <c r="DB65" i="5"/>
  <c r="AH65" i="5" s="1"/>
  <c r="AL65" i="5" s="1"/>
  <c r="DB70" i="5"/>
  <c r="AH70" i="5" s="1"/>
  <c r="AL70" i="5" s="1"/>
  <c r="DB75" i="5"/>
  <c r="AH75" i="5" s="1"/>
  <c r="AL75" i="5" s="1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P64" i="3" l="1"/>
  <c r="Y64" i="3"/>
  <c r="AC64" i="3" s="1"/>
  <c r="CW65" i="3"/>
  <c r="CY64" i="3"/>
  <c r="V67" i="3"/>
  <c r="U65" i="3"/>
  <c r="BH65" i="3"/>
  <c r="L65" i="3"/>
  <c r="Q66" i="3"/>
  <c r="BA65" i="3"/>
  <c r="AC63" i="3"/>
  <c r="CZ94" i="5"/>
  <c r="DA94" i="5" s="1"/>
  <c r="AM94" i="5" s="1"/>
  <c r="AQ94" i="5" s="1"/>
  <c r="CZ89" i="5"/>
  <c r="DA89" i="5" s="1"/>
  <c r="AM89" i="5" s="1"/>
  <c r="AQ89" i="5" s="1"/>
  <c r="CZ88" i="5"/>
  <c r="DA88" i="5" s="1"/>
  <c r="AM88" i="5" s="1"/>
  <c r="AQ88" i="5" s="1"/>
  <c r="CZ83" i="5"/>
  <c r="DA83" i="5" s="1"/>
  <c r="AM83" i="5" s="1"/>
  <c r="AQ83" i="5" s="1"/>
  <c r="CZ87" i="5"/>
  <c r="DA87" i="5" s="1"/>
  <c r="AM87" i="5" s="1"/>
  <c r="AQ87" i="5" s="1"/>
  <c r="CZ81" i="5"/>
  <c r="DA81" i="5" s="1"/>
  <c r="AM81" i="5" s="1"/>
  <c r="AQ81" i="5" s="1"/>
  <c r="CZ92" i="5"/>
  <c r="DA92" i="5" s="1"/>
  <c r="AM92" i="5" s="1"/>
  <c r="AQ92" i="5" s="1"/>
  <c r="CZ80" i="5"/>
  <c r="DA80" i="5" s="1"/>
  <c r="AM80" i="5" s="1"/>
  <c r="AQ80" i="5" s="1"/>
  <c r="CZ93" i="5"/>
  <c r="DA93" i="5" s="1"/>
  <c r="AM93" i="5" s="1"/>
  <c r="AQ93" i="5" s="1"/>
  <c r="CZ85" i="5"/>
  <c r="DA85" i="5" s="1"/>
  <c r="AM85" i="5" s="1"/>
  <c r="AQ85" i="5" s="1"/>
  <c r="CZ82" i="5"/>
  <c r="DA82" i="5" s="1"/>
  <c r="AM82" i="5" s="1"/>
  <c r="AQ82" i="5" s="1"/>
  <c r="CZ91" i="5"/>
  <c r="DA91" i="5" s="1"/>
  <c r="AM91" i="5" s="1"/>
  <c r="AQ91" i="5" s="1"/>
  <c r="CZ86" i="5"/>
  <c r="DA86" i="5" s="1"/>
  <c r="AM86" i="5" s="1"/>
  <c r="AQ86" i="5" s="1"/>
  <c r="AL35" i="5"/>
  <c r="CZ45" i="5"/>
  <c r="CZ75" i="5"/>
  <c r="CZ17" i="5"/>
  <c r="CZ48" i="5"/>
  <c r="CZ58" i="5"/>
  <c r="CZ20" i="5"/>
  <c r="CZ22" i="5"/>
  <c r="CZ28" i="5"/>
  <c r="CZ69" i="5"/>
  <c r="CZ65" i="5"/>
  <c r="CZ56" i="5"/>
  <c r="CZ31" i="5"/>
  <c r="CZ13" i="5"/>
  <c r="CZ67" i="5"/>
  <c r="CZ46" i="5"/>
  <c r="CZ19" i="5"/>
  <c r="CZ73" i="5"/>
  <c r="CZ76" i="5"/>
  <c r="CZ35" i="5"/>
  <c r="CZ24" i="5"/>
  <c r="CZ63" i="5"/>
  <c r="CZ52" i="5"/>
  <c r="CZ41" i="5"/>
  <c r="CZ37" i="5"/>
  <c r="CZ54" i="5"/>
  <c r="CZ14" i="5"/>
  <c r="CZ25" i="5"/>
  <c r="CZ30" i="5"/>
  <c r="CZ40" i="5"/>
  <c r="CZ51" i="5"/>
  <c r="CZ62" i="5"/>
  <c r="CZ71" i="5"/>
  <c r="CZ16" i="5"/>
  <c r="CZ29" i="5"/>
  <c r="CZ39" i="5"/>
  <c r="CZ50" i="5"/>
  <c r="CZ59" i="5"/>
  <c r="CZ70" i="5"/>
  <c r="CZ12" i="5"/>
  <c r="CZ23" i="5"/>
  <c r="CZ33" i="5"/>
  <c r="CZ42" i="5"/>
  <c r="CZ53" i="5"/>
  <c r="CZ64" i="5"/>
  <c r="CZ74" i="5"/>
  <c r="CZ18" i="5"/>
  <c r="CZ36" i="5"/>
  <c r="CZ47" i="5"/>
  <c r="CZ57" i="5"/>
  <c r="CZ68" i="5"/>
  <c r="BH66" i="3" l="1"/>
  <c r="U66" i="3"/>
  <c r="AM66" i="3"/>
  <c r="AQ66" i="3" s="1"/>
  <c r="AH66" i="3"/>
  <c r="Y65" i="3"/>
  <c r="P65" i="3"/>
  <c r="L66" i="3"/>
  <c r="CW66" i="3"/>
  <c r="CY65" i="3"/>
  <c r="BE65" i="3"/>
  <c r="Q67" i="3"/>
  <c r="BA66" i="3"/>
  <c r="BJ65" i="3"/>
  <c r="BB65" i="3"/>
  <c r="BB66" i="3" s="1"/>
  <c r="DA20" i="5"/>
  <c r="DA63" i="5"/>
  <c r="AM63" i="5" s="1"/>
  <c r="AQ63" i="5" s="1"/>
  <c r="DA62" i="5"/>
  <c r="AM62" i="5" s="1"/>
  <c r="AQ62" i="5" s="1"/>
  <c r="DA65" i="5"/>
  <c r="AM65" i="5" s="1"/>
  <c r="AQ65" i="5" s="1"/>
  <c r="DA24" i="5"/>
  <c r="DA33" i="5"/>
  <c r="DA35" i="5"/>
  <c r="AM35" i="5" s="1"/>
  <c r="DA22" i="5"/>
  <c r="DA13" i="5"/>
  <c r="DA57" i="5"/>
  <c r="AM57" i="5" s="1"/>
  <c r="AQ57" i="5" s="1"/>
  <c r="DA71" i="5"/>
  <c r="AM71" i="5" s="1"/>
  <c r="AQ71" i="5" s="1"/>
  <c r="DA37" i="5"/>
  <c r="AM37" i="5" s="1"/>
  <c r="AQ37" i="5" s="1"/>
  <c r="DA42" i="5"/>
  <c r="AM42" i="5" s="1"/>
  <c r="AQ42" i="5" s="1"/>
  <c r="DA39" i="5"/>
  <c r="AM39" i="5" s="1"/>
  <c r="AQ39" i="5" s="1"/>
  <c r="DA56" i="5"/>
  <c r="AM56" i="5" s="1"/>
  <c r="AQ56" i="5" s="1"/>
  <c r="DA28" i="5"/>
  <c r="DA45" i="5"/>
  <c r="AM45" i="5" s="1"/>
  <c r="AQ45" i="5" s="1"/>
  <c r="DA68" i="5"/>
  <c r="AM68" i="5" s="1"/>
  <c r="AQ68" i="5" s="1"/>
  <c r="DA54" i="5"/>
  <c r="AM54" i="5" s="1"/>
  <c r="AQ54" i="5" s="1"/>
  <c r="DA58" i="5"/>
  <c r="AM58" i="5" s="1"/>
  <c r="AQ58" i="5" s="1"/>
  <c r="DA48" i="5"/>
  <c r="AM48" i="5" s="1"/>
  <c r="AQ48" i="5" s="1"/>
  <c r="DA53" i="5"/>
  <c r="AM53" i="5" s="1"/>
  <c r="AQ53" i="5" s="1"/>
  <c r="DA50" i="5"/>
  <c r="AM50" i="5" s="1"/>
  <c r="AQ50" i="5" s="1"/>
  <c r="DA16" i="5"/>
  <c r="DA30" i="5"/>
  <c r="DA76" i="5"/>
  <c r="AM76" i="5" s="1"/>
  <c r="AQ76" i="5" s="1"/>
  <c r="DA75" i="5"/>
  <c r="AM75" i="5" s="1"/>
  <c r="AQ75" i="5" s="1"/>
  <c r="DA31" i="5"/>
  <c r="DA17" i="5"/>
  <c r="DA52" i="5"/>
  <c r="AM52" i="5" s="1"/>
  <c r="AQ52" i="5" s="1"/>
  <c r="DA25" i="5"/>
  <c r="DA74" i="5"/>
  <c r="AM74" i="5" s="1"/>
  <c r="AQ74" i="5" s="1"/>
  <c r="DA18" i="5"/>
  <c r="DA64" i="5"/>
  <c r="AM64" i="5" s="1"/>
  <c r="AQ64" i="5" s="1"/>
  <c r="DA59" i="5"/>
  <c r="AM59" i="5" s="1"/>
  <c r="AQ59" i="5" s="1"/>
  <c r="DA14" i="5"/>
  <c r="DA46" i="5"/>
  <c r="AM46" i="5" s="1"/>
  <c r="AQ46" i="5" s="1"/>
  <c r="DA29" i="5"/>
  <c r="DA73" i="5"/>
  <c r="AM73" i="5" s="1"/>
  <c r="AQ73" i="5" s="1"/>
  <c r="DA12" i="5"/>
  <c r="DA70" i="5"/>
  <c r="AM70" i="5" s="1"/>
  <c r="AQ70" i="5" s="1"/>
  <c r="DA67" i="5"/>
  <c r="AM67" i="5" s="1"/>
  <c r="AQ67" i="5" s="1"/>
  <c r="DA51" i="5"/>
  <c r="AM51" i="5" s="1"/>
  <c r="AQ51" i="5" s="1"/>
  <c r="DA69" i="5"/>
  <c r="AM69" i="5" s="1"/>
  <c r="AQ69" i="5" s="1"/>
  <c r="DA47" i="5"/>
  <c r="AM47" i="5" s="1"/>
  <c r="AQ47" i="5" s="1"/>
  <c r="DA40" i="5"/>
  <c r="AM40" i="5" s="1"/>
  <c r="AQ40" i="5" s="1"/>
  <c r="DA41" i="5"/>
  <c r="AM41" i="5" s="1"/>
  <c r="AQ41" i="5" s="1"/>
  <c r="DA36" i="5"/>
  <c r="DA23" i="5"/>
  <c r="DA19" i="5"/>
  <c r="AC65" i="3" l="1"/>
  <c r="Y66" i="3"/>
  <c r="BJ66" i="3"/>
  <c r="BE66" i="3"/>
  <c r="BA67" i="3"/>
  <c r="CY66" i="3"/>
  <c r="CW67" i="3"/>
  <c r="BH67" i="3"/>
  <c r="L67" i="3"/>
  <c r="U67" i="3"/>
  <c r="V68" i="3"/>
  <c r="P66" i="3"/>
  <c r="AL66" i="3"/>
  <c r="AM36" i="5"/>
  <c r="AQ36" i="5" s="1"/>
  <c r="AW51" i="5"/>
  <c r="AW59" i="5"/>
  <c r="AW50" i="5"/>
  <c r="AW54" i="5"/>
  <c r="AW56" i="5"/>
  <c r="AW37" i="5"/>
  <c r="AW65" i="5"/>
  <c r="AW40" i="5"/>
  <c r="AW67" i="5"/>
  <c r="AW64" i="5"/>
  <c r="AW52" i="5"/>
  <c r="AW76" i="5"/>
  <c r="AW53" i="5"/>
  <c r="AW68" i="5"/>
  <c r="AW39" i="5"/>
  <c r="AW71" i="5"/>
  <c r="AQ35" i="5"/>
  <c r="AW35" i="5"/>
  <c r="AW62" i="5"/>
  <c r="AW41" i="5"/>
  <c r="AW73" i="5"/>
  <c r="AW75" i="5"/>
  <c r="AW47" i="5"/>
  <c r="AW70" i="5"/>
  <c r="AW46" i="5"/>
  <c r="AW48" i="5"/>
  <c r="AW45" i="5"/>
  <c r="AW42" i="5"/>
  <c r="AW57" i="5"/>
  <c r="AW63" i="5"/>
  <c r="AW69" i="5"/>
  <c r="AW74" i="5"/>
  <c r="AW58" i="5"/>
  <c r="Q2" i="8"/>
  <c r="C8" i="8"/>
  <c r="BU4" i="5"/>
  <c r="BU34" i="5" s="1"/>
  <c r="BT4" i="5"/>
  <c r="BT34" i="5" s="1"/>
  <c r="CX4" i="5"/>
  <c r="CX34" i="5" s="1"/>
  <c r="T4" i="5"/>
  <c r="T34" i="5" s="1"/>
  <c r="Q4" i="5"/>
  <c r="CY67" i="3" l="1"/>
  <c r="P67" i="3"/>
  <c r="Y67" i="3"/>
  <c r="AD66" i="3"/>
  <c r="AR66" i="3" s="1"/>
  <c r="AV66" i="3" s="1"/>
  <c r="AC66" i="3"/>
  <c r="AY66" i="3"/>
  <c r="BJ67" i="3"/>
  <c r="Q68" i="3"/>
  <c r="BA68" i="3" s="1"/>
  <c r="BE67" i="3"/>
  <c r="BB67" i="3"/>
  <c r="AW36" i="5"/>
  <c r="U34" i="5"/>
  <c r="O34" i="5"/>
  <c r="CY34" i="5"/>
  <c r="BD34" i="5"/>
  <c r="BI34" i="5" s="1"/>
  <c r="BT20" i="5"/>
  <c r="BT14" i="5"/>
  <c r="BT11" i="5"/>
  <c r="BT16" i="5"/>
  <c r="BT40" i="5"/>
  <c r="BT12" i="5"/>
  <c r="BT33" i="5"/>
  <c r="BT24" i="5"/>
  <c r="BT13" i="5"/>
  <c r="BT18" i="5"/>
  <c r="BT47" i="5"/>
  <c r="BT58" i="5"/>
  <c r="BT28" i="5"/>
  <c r="BT56" i="5"/>
  <c r="BT22" i="5"/>
  <c r="BT71" i="5"/>
  <c r="BT30" i="5"/>
  <c r="BT50" i="5"/>
  <c r="BT29" i="5"/>
  <c r="BT52" i="5"/>
  <c r="BT46" i="5"/>
  <c r="BT45" i="5"/>
  <c r="BT37" i="5"/>
  <c r="BT54" i="5"/>
  <c r="BT31" i="5"/>
  <c r="BT35" i="5"/>
  <c r="BT23" i="5"/>
  <c r="BT65" i="5"/>
  <c r="BT19" i="5"/>
  <c r="BT17" i="5"/>
  <c r="BT53" i="5"/>
  <c r="BT36" i="5"/>
  <c r="BT42" i="5"/>
  <c r="BT70" i="5"/>
  <c r="BT25" i="5"/>
  <c r="BT41" i="5"/>
  <c r="BT51" i="5"/>
  <c r="BT68" i="5"/>
  <c r="BT75" i="5"/>
  <c r="BT74" i="5"/>
  <c r="BT63" i="5"/>
  <c r="BT64" i="5"/>
  <c r="BT57" i="5"/>
  <c r="BT73" i="5"/>
  <c r="BT67" i="5"/>
  <c r="BT76" i="5"/>
  <c r="BT39" i="5"/>
  <c r="BT48" i="5"/>
  <c r="BT69" i="5"/>
  <c r="BT62" i="5"/>
  <c r="BT59" i="5"/>
  <c r="BU69" i="5"/>
  <c r="BU12" i="5"/>
  <c r="BU54" i="5"/>
  <c r="BU16" i="5"/>
  <c r="BU13" i="5"/>
  <c r="BU14" i="5"/>
  <c r="BU11" i="5"/>
  <c r="BU19" i="5"/>
  <c r="BU73" i="5"/>
  <c r="BU51" i="5"/>
  <c r="BU29" i="5"/>
  <c r="BU63" i="5"/>
  <c r="BU46" i="5"/>
  <c r="BU45" i="5"/>
  <c r="BU59" i="5"/>
  <c r="BU24" i="5"/>
  <c r="BU37" i="5"/>
  <c r="BU65" i="5"/>
  <c r="BU28" i="5"/>
  <c r="BU57" i="5"/>
  <c r="BU42" i="5"/>
  <c r="BU67" i="5"/>
  <c r="BU20" i="5"/>
  <c r="BU18" i="5"/>
  <c r="BU50" i="5"/>
  <c r="BU31" i="5"/>
  <c r="BU17" i="5"/>
  <c r="BU41" i="5"/>
  <c r="BU35" i="5"/>
  <c r="BU53" i="5"/>
  <c r="BU33" i="5"/>
  <c r="BU56" i="5"/>
  <c r="BU47" i="5"/>
  <c r="BU40" i="5"/>
  <c r="BU71" i="5"/>
  <c r="BU39" i="5"/>
  <c r="BU30" i="5"/>
  <c r="BU22" i="5"/>
  <c r="BU36" i="5"/>
  <c r="BU52" i="5"/>
  <c r="BU23" i="5"/>
  <c r="BU74" i="5"/>
  <c r="BU62" i="5"/>
  <c r="BU68" i="5"/>
  <c r="BU64" i="5"/>
  <c r="BU76" i="5"/>
  <c r="BU48" i="5"/>
  <c r="BU25" i="5"/>
  <c r="BU58" i="5"/>
  <c r="BU70" i="5"/>
  <c r="BU75" i="5"/>
  <c r="CX53" i="5"/>
  <c r="BD53" i="5" s="1"/>
  <c r="CX65" i="5"/>
  <c r="BD65" i="5" s="1"/>
  <c r="BD66" i="5" s="1"/>
  <c r="CX23" i="5"/>
  <c r="BD23" i="5" s="1"/>
  <c r="BE23" i="5" s="1"/>
  <c r="CX16" i="5"/>
  <c r="BD16" i="5" s="1"/>
  <c r="BE16" i="5" s="1"/>
  <c r="CX50" i="5"/>
  <c r="BD50" i="5" s="1"/>
  <c r="CX58" i="5"/>
  <c r="BD58" i="5" s="1"/>
  <c r="CX56" i="5"/>
  <c r="BD56" i="5" s="1"/>
  <c r="CX45" i="5"/>
  <c r="BD45" i="5" s="1"/>
  <c r="CX42" i="5"/>
  <c r="BD42" i="5" s="1"/>
  <c r="BD43" i="5" s="1"/>
  <c r="CX71" i="5"/>
  <c r="BD71" i="5" s="1"/>
  <c r="BD72" i="5" s="1"/>
  <c r="CX51" i="5"/>
  <c r="BD51" i="5" s="1"/>
  <c r="CX35" i="5"/>
  <c r="BD35" i="5" s="1"/>
  <c r="CX41" i="5"/>
  <c r="BD41" i="5" s="1"/>
  <c r="CX25" i="5"/>
  <c r="BD25" i="5" s="1"/>
  <c r="CX62" i="5"/>
  <c r="BD62" i="5" s="1"/>
  <c r="CX57" i="5"/>
  <c r="BD57" i="5" s="1"/>
  <c r="CX37" i="5"/>
  <c r="BD37" i="5" s="1"/>
  <c r="BD38" i="5" s="1"/>
  <c r="CX52" i="5"/>
  <c r="BD52" i="5" s="1"/>
  <c r="CX39" i="5"/>
  <c r="BD39" i="5" s="1"/>
  <c r="CX31" i="5"/>
  <c r="BD31" i="5" s="1"/>
  <c r="CX70" i="5"/>
  <c r="BD70" i="5" s="1"/>
  <c r="CX24" i="5"/>
  <c r="BD24" i="5" s="1"/>
  <c r="BE24" i="5" s="1"/>
  <c r="CX17" i="5"/>
  <c r="BD17" i="5" s="1"/>
  <c r="BE17" i="5" s="1"/>
  <c r="CX14" i="5"/>
  <c r="BD14" i="5" s="1"/>
  <c r="CX54" i="5"/>
  <c r="BD54" i="5" s="1"/>
  <c r="BD55" i="5" s="1"/>
  <c r="CX46" i="5"/>
  <c r="BD46" i="5" s="1"/>
  <c r="CX20" i="5"/>
  <c r="BD20" i="5" s="1"/>
  <c r="CX28" i="5"/>
  <c r="BD28" i="5" s="1"/>
  <c r="BE28" i="5" s="1"/>
  <c r="CX33" i="5"/>
  <c r="BD33" i="5" s="1"/>
  <c r="BE33" i="5" s="1"/>
  <c r="CX36" i="5"/>
  <c r="BD36" i="5" s="1"/>
  <c r="CX64" i="5"/>
  <c r="BD64" i="5" s="1"/>
  <c r="CX48" i="5"/>
  <c r="BD48" i="5" s="1"/>
  <c r="BD49" i="5" s="1"/>
  <c r="CX11" i="5"/>
  <c r="CY11" i="5" s="1"/>
  <c r="CX13" i="5"/>
  <c r="BD13" i="5" s="1"/>
  <c r="BE13" i="5" s="1"/>
  <c r="CX29" i="5"/>
  <c r="BD29" i="5" s="1"/>
  <c r="BE29" i="5" s="1"/>
  <c r="CX12" i="5"/>
  <c r="BD12" i="5" s="1"/>
  <c r="BE12" i="5" s="1"/>
  <c r="CX30" i="5"/>
  <c r="BD30" i="5" s="1"/>
  <c r="BE30" i="5" s="1"/>
  <c r="CX68" i="5"/>
  <c r="BD68" i="5" s="1"/>
  <c r="CX59" i="5"/>
  <c r="BD59" i="5" s="1"/>
  <c r="BD60" i="5" s="1"/>
  <c r="BD61" i="5" s="1"/>
  <c r="CX75" i="5"/>
  <c r="BD75" i="5" s="1"/>
  <c r="CX47" i="5"/>
  <c r="BD47" i="5" s="1"/>
  <c r="CX76" i="5"/>
  <c r="BD76" i="5" s="1"/>
  <c r="BD77" i="5" s="1"/>
  <c r="BD78" i="5" s="1"/>
  <c r="BD79" i="5" s="1"/>
  <c r="CX67" i="5"/>
  <c r="BD67" i="5" s="1"/>
  <c r="CX63" i="5"/>
  <c r="BD63" i="5" s="1"/>
  <c r="CX40" i="5"/>
  <c r="BD40" i="5" s="1"/>
  <c r="CX18" i="5"/>
  <c r="BD18" i="5" s="1"/>
  <c r="BE18" i="5" s="1"/>
  <c r="CX19" i="5"/>
  <c r="BD19" i="5" s="1"/>
  <c r="BE19" i="5" s="1"/>
  <c r="CX73" i="5"/>
  <c r="CX22" i="5"/>
  <c r="BD22" i="5" s="1"/>
  <c r="BE22" i="5" s="1"/>
  <c r="CX74" i="5"/>
  <c r="BD74" i="5" s="1"/>
  <c r="CX69" i="5"/>
  <c r="BD69" i="5" s="1"/>
  <c r="T11" i="5"/>
  <c r="T23" i="5"/>
  <c r="T17" i="5"/>
  <c r="T56" i="5"/>
  <c r="T51" i="5"/>
  <c r="T45" i="5"/>
  <c r="T54" i="5"/>
  <c r="T50" i="5"/>
  <c r="T12" i="5"/>
  <c r="T65" i="5"/>
  <c r="T35" i="5"/>
  <c r="T39" i="5"/>
  <c r="T20" i="5"/>
  <c r="T46" i="5"/>
  <c r="T48" i="5"/>
  <c r="T52" i="5"/>
  <c r="T37" i="5"/>
  <c r="T71" i="5"/>
  <c r="T53" i="5"/>
  <c r="T42" i="5"/>
  <c r="T13" i="5"/>
  <c r="T57" i="5"/>
  <c r="T30" i="5"/>
  <c r="T33" i="5"/>
  <c r="T28" i="5"/>
  <c r="T58" i="5"/>
  <c r="T36" i="5"/>
  <c r="T18" i="5"/>
  <c r="T16" i="5"/>
  <c r="T24" i="5"/>
  <c r="T29" i="5"/>
  <c r="T70" i="5"/>
  <c r="T40" i="5"/>
  <c r="T75" i="5"/>
  <c r="T25" i="5"/>
  <c r="T67" i="5"/>
  <c r="T76" i="5"/>
  <c r="T68" i="5"/>
  <c r="T59" i="5"/>
  <c r="T62" i="5"/>
  <c r="T69" i="5"/>
  <c r="T14" i="5"/>
  <c r="T41" i="5"/>
  <c r="T22" i="5"/>
  <c r="T31" i="5"/>
  <c r="T74" i="5"/>
  <c r="T73" i="5"/>
  <c r="T47" i="5"/>
  <c r="T19" i="5"/>
  <c r="T64" i="5"/>
  <c r="T63" i="5"/>
  <c r="BR23" i="5"/>
  <c r="BR20" i="5"/>
  <c r="BR24" i="5"/>
  <c r="BR13" i="5"/>
  <c r="BR25" i="5"/>
  <c r="BR19" i="5"/>
  <c r="BR14" i="5"/>
  <c r="BR18" i="5"/>
  <c r="BR17" i="5"/>
  <c r="BJ25" i="5"/>
  <c r="AV64" i="5"/>
  <c r="AV57" i="5"/>
  <c r="C10" i="8"/>
  <c r="Q69" i="3" l="1"/>
  <c r="BJ68" i="3"/>
  <c r="BE68" i="3"/>
  <c r="BB68" i="3"/>
  <c r="AC67" i="3"/>
  <c r="U68" i="3"/>
  <c r="V69" i="3"/>
  <c r="BH68" i="3"/>
  <c r="L68" i="3"/>
  <c r="CW68" i="3"/>
  <c r="BD44" i="5"/>
  <c r="BK34" i="5"/>
  <c r="BE34" i="5"/>
  <c r="P34" i="5"/>
  <c r="AB34" i="5"/>
  <c r="AC34" i="5" s="1"/>
  <c r="BD73" i="5"/>
  <c r="BI73" i="5" s="1"/>
  <c r="CX77" i="5"/>
  <c r="BV59" i="5"/>
  <c r="BZ59" i="5" s="1"/>
  <c r="BV39" i="5"/>
  <c r="BV57" i="5"/>
  <c r="BV65" i="5"/>
  <c r="BV54" i="5"/>
  <c r="BV52" i="5"/>
  <c r="BZ52" i="5" s="1"/>
  <c r="BV75" i="5"/>
  <c r="BV36" i="5"/>
  <c r="BV71" i="5"/>
  <c r="BV58" i="5"/>
  <c r="BZ58" i="5" s="1"/>
  <c r="BV62" i="5"/>
  <c r="BV76" i="5"/>
  <c r="BV64" i="5"/>
  <c r="BV68" i="5"/>
  <c r="BV70" i="5"/>
  <c r="BV53" i="5"/>
  <c r="BV37" i="5"/>
  <c r="BV47" i="5"/>
  <c r="BV69" i="5"/>
  <c r="BV67" i="5"/>
  <c r="BV63" i="5"/>
  <c r="BZ63" i="5" s="1"/>
  <c r="BV51" i="5"/>
  <c r="BZ51" i="5" s="1"/>
  <c r="BV42" i="5"/>
  <c r="BZ42" i="5" s="1"/>
  <c r="BV35" i="5"/>
  <c r="BA35" i="5" s="1"/>
  <c r="BV45" i="5"/>
  <c r="BV50" i="5"/>
  <c r="BV56" i="5"/>
  <c r="BV48" i="5"/>
  <c r="BV73" i="5"/>
  <c r="BV74" i="5"/>
  <c r="BV41" i="5"/>
  <c r="BV46" i="5"/>
  <c r="BV40" i="5"/>
  <c r="BD11" i="5"/>
  <c r="BE11" i="5" s="1"/>
  <c r="BI78" i="5"/>
  <c r="BI61" i="5"/>
  <c r="BK42" i="5"/>
  <c r="BE14" i="5"/>
  <c r="BD15" i="5"/>
  <c r="BE15" i="5" s="1"/>
  <c r="BE20" i="5"/>
  <c r="BD21" i="5"/>
  <c r="BE21" i="5" s="1"/>
  <c r="BE31" i="5"/>
  <c r="BD32" i="5"/>
  <c r="BE32" i="5" s="1"/>
  <c r="BE25" i="5"/>
  <c r="BD26" i="5"/>
  <c r="BK76" i="5"/>
  <c r="BK25" i="5"/>
  <c r="X31" i="5"/>
  <c r="X32" i="5" s="1"/>
  <c r="O29" i="5"/>
  <c r="BI29" i="5"/>
  <c r="U29" i="5"/>
  <c r="BK29" i="5"/>
  <c r="U28" i="5"/>
  <c r="BI28" i="5"/>
  <c r="X30" i="5"/>
  <c r="O28" i="5"/>
  <c r="BK28" i="5"/>
  <c r="U31" i="5"/>
  <c r="O31" i="5"/>
  <c r="X33" i="5"/>
  <c r="BI31" i="5"/>
  <c r="BK31" i="5"/>
  <c r="BI30" i="5"/>
  <c r="U30" i="5"/>
  <c r="O30" i="5"/>
  <c r="BK30" i="5"/>
  <c r="BK59" i="5"/>
  <c r="BI33" i="5"/>
  <c r="O33" i="5"/>
  <c r="U33" i="5"/>
  <c r="BK33" i="5"/>
  <c r="BH13" i="5"/>
  <c r="BJ13" i="5"/>
  <c r="BH17" i="5"/>
  <c r="BJ17" i="5"/>
  <c r="BH12" i="5"/>
  <c r="BJ12" i="5"/>
  <c r="BH18" i="5"/>
  <c r="BJ18" i="5"/>
  <c r="BH14" i="5"/>
  <c r="BJ14" i="5"/>
  <c r="BH19" i="5"/>
  <c r="BJ19" i="5"/>
  <c r="BH16" i="5"/>
  <c r="BJ16" i="5"/>
  <c r="BH20" i="5"/>
  <c r="BJ20" i="5"/>
  <c r="BH22" i="5"/>
  <c r="BJ22" i="5"/>
  <c r="BH23" i="5"/>
  <c r="BJ23" i="5"/>
  <c r="BH24" i="5"/>
  <c r="BJ24" i="5"/>
  <c r="BI14" i="5"/>
  <c r="BK14" i="5"/>
  <c r="BI13" i="5"/>
  <c r="BK13" i="5"/>
  <c r="BI23" i="5"/>
  <c r="BK23" i="5"/>
  <c r="BI18" i="5"/>
  <c r="BK18" i="5"/>
  <c r="BI20" i="5"/>
  <c r="BK20" i="5"/>
  <c r="BI12" i="5"/>
  <c r="BK12" i="5"/>
  <c r="BI24" i="5"/>
  <c r="BK24" i="5"/>
  <c r="BI16" i="5"/>
  <c r="BK16" i="5"/>
  <c r="BI19" i="5"/>
  <c r="BK19" i="5"/>
  <c r="BI22" i="5"/>
  <c r="BK22" i="5"/>
  <c r="BI50" i="5"/>
  <c r="BK50" i="5"/>
  <c r="BI62" i="5"/>
  <c r="BK62" i="5"/>
  <c r="BI41" i="5"/>
  <c r="BK41" i="5"/>
  <c r="BI54" i="5"/>
  <c r="BK54" i="5"/>
  <c r="BI40" i="5"/>
  <c r="BK40" i="5"/>
  <c r="BI51" i="5"/>
  <c r="BK51" i="5"/>
  <c r="BI71" i="5"/>
  <c r="BK71" i="5"/>
  <c r="BI46" i="5"/>
  <c r="BK46" i="5"/>
  <c r="BI68" i="5"/>
  <c r="BK68" i="5"/>
  <c r="BI75" i="5"/>
  <c r="BK75" i="5"/>
  <c r="BI74" i="5"/>
  <c r="BK74" i="5"/>
  <c r="BI36" i="5"/>
  <c r="BK36" i="5"/>
  <c r="BI67" i="5"/>
  <c r="BK67" i="5"/>
  <c r="BI37" i="5"/>
  <c r="BK37" i="5"/>
  <c r="BI47" i="5"/>
  <c r="BK47" i="5"/>
  <c r="BI69" i="5"/>
  <c r="BK69" i="5"/>
  <c r="BI35" i="5"/>
  <c r="BK35" i="5"/>
  <c r="BI63" i="5"/>
  <c r="BK63" i="5"/>
  <c r="BI53" i="5"/>
  <c r="BK53" i="5"/>
  <c r="BI56" i="5"/>
  <c r="BK56" i="5"/>
  <c r="BI39" i="5"/>
  <c r="BK39" i="5"/>
  <c r="BI52" i="5"/>
  <c r="BK52" i="5"/>
  <c r="BI58" i="5"/>
  <c r="BK58" i="5"/>
  <c r="BI45" i="5"/>
  <c r="BK45" i="5"/>
  <c r="BI48" i="5"/>
  <c r="BK48" i="5"/>
  <c r="BI70" i="5"/>
  <c r="BK70" i="5"/>
  <c r="BI64" i="5"/>
  <c r="BK64" i="5"/>
  <c r="BI65" i="5"/>
  <c r="BK65" i="5"/>
  <c r="BI57" i="5"/>
  <c r="BK57" i="5"/>
  <c r="BY66" i="5"/>
  <c r="BT66" i="5"/>
  <c r="BU72" i="5"/>
  <c r="BU49" i="5"/>
  <c r="BY43" i="5"/>
  <c r="BU15" i="5"/>
  <c r="BT21" i="5"/>
  <c r="AG24" i="5"/>
  <c r="AZ24" i="5"/>
  <c r="AG20" i="5"/>
  <c r="AZ20" i="5"/>
  <c r="BT38" i="5"/>
  <c r="BL38" i="5"/>
  <c r="AG12" i="5"/>
  <c r="AZ12" i="5"/>
  <c r="AG17" i="5"/>
  <c r="AZ17" i="5"/>
  <c r="BM21" i="5"/>
  <c r="BT43" i="5"/>
  <c r="BT72" i="5"/>
  <c r="BR12" i="5"/>
  <c r="BU26" i="5"/>
  <c r="BU38" i="5"/>
  <c r="BU43" i="5"/>
  <c r="BL43" i="5"/>
  <c r="BL77" i="5"/>
  <c r="BY21" i="5"/>
  <c r="BY26" i="5"/>
  <c r="BY38" i="5"/>
  <c r="BY77" i="5"/>
  <c r="AG14" i="5"/>
  <c r="AZ14" i="5"/>
  <c r="AG11" i="5"/>
  <c r="AZ11" i="5"/>
  <c r="AG23" i="5"/>
  <c r="AZ23" i="5"/>
  <c r="BH25" i="5"/>
  <c r="BT15" i="5"/>
  <c r="BT49" i="5"/>
  <c r="BU32" i="5"/>
  <c r="BU66" i="5"/>
  <c r="BL49" i="5"/>
  <c r="BY32" i="5"/>
  <c r="BY72" i="5"/>
  <c r="BY55" i="5"/>
  <c r="AG18" i="5"/>
  <c r="AZ18" i="5"/>
  <c r="AG16" i="5"/>
  <c r="AZ16" i="5"/>
  <c r="BT26" i="5"/>
  <c r="BT60" i="5"/>
  <c r="BL66" i="5"/>
  <c r="BY15" i="5"/>
  <c r="BZ11" i="5"/>
  <c r="BY60" i="5"/>
  <c r="AG25" i="5"/>
  <c r="AZ25" i="5"/>
  <c r="AG22" i="5"/>
  <c r="AZ22" i="5"/>
  <c r="AG13" i="5"/>
  <c r="AZ13" i="5"/>
  <c r="AG19" i="5"/>
  <c r="AZ19" i="5"/>
  <c r="BM15" i="5"/>
  <c r="BM26" i="5"/>
  <c r="BT32" i="5"/>
  <c r="BT55" i="5"/>
  <c r="BT77" i="5"/>
  <c r="BU60" i="5"/>
  <c r="BU21" i="5"/>
  <c r="BU55" i="5"/>
  <c r="BU77" i="5"/>
  <c r="BL55" i="5"/>
  <c r="BL72" i="5"/>
  <c r="BY49" i="5"/>
  <c r="BI25" i="5"/>
  <c r="BI59" i="5"/>
  <c r="BI76" i="5"/>
  <c r="BI42" i="5"/>
  <c r="O25" i="5"/>
  <c r="U16" i="5"/>
  <c r="U23" i="5"/>
  <c r="AG52" i="5"/>
  <c r="AG68" i="5"/>
  <c r="AG47" i="5"/>
  <c r="AG71" i="5"/>
  <c r="AG51" i="5"/>
  <c r="X76" i="5"/>
  <c r="X77" i="5" s="1"/>
  <c r="X78" i="5" s="1"/>
  <c r="X79" i="5" s="1"/>
  <c r="O75" i="5"/>
  <c r="X18" i="5"/>
  <c r="O17" i="5"/>
  <c r="X19" i="5"/>
  <c r="O18" i="5"/>
  <c r="X37" i="5"/>
  <c r="X38" i="5" s="1"/>
  <c r="O36" i="5"/>
  <c r="X63" i="5"/>
  <c r="O62" i="5"/>
  <c r="T66" i="5"/>
  <c r="Q26" i="5"/>
  <c r="V28" i="5" s="1"/>
  <c r="U22" i="5"/>
  <c r="AG40" i="5"/>
  <c r="AG62" i="5"/>
  <c r="AG35" i="5"/>
  <c r="O16" i="5"/>
  <c r="T21" i="5"/>
  <c r="X17" i="5"/>
  <c r="X56" i="5"/>
  <c r="O54" i="5"/>
  <c r="X62" i="5"/>
  <c r="O59" i="5"/>
  <c r="X20" i="5"/>
  <c r="X21" i="5" s="1"/>
  <c r="O19" i="5"/>
  <c r="X73" i="5"/>
  <c r="O71" i="5"/>
  <c r="T32" i="5"/>
  <c r="X69" i="5"/>
  <c r="O68" i="5"/>
  <c r="U17" i="5"/>
  <c r="AG67" i="5"/>
  <c r="AG59" i="5"/>
  <c r="AG56" i="5"/>
  <c r="AG39" i="5"/>
  <c r="AG50" i="5"/>
  <c r="AG41" i="5"/>
  <c r="AG57" i="5"/>
  <c r="AG63" i="5"/>
  <c r="AG54" i="5"/>
  <c r="X35" i="5"/>
  <c r="V35" i="5" s="1"/>
  <c r="O47" i="5"/>
  <c r="X48" i="5"/>
  <c r="X49" i="5" s="1"/>
  <c r="O69" i="5"/>
  <c r="X70" i="5"/>
  <c r="O35" i="5"/>
  <c r="X36" i="5"/>
  <c r="X64" i="5"/>
  <c r="O63" i="5"/>
  <c r="X54" i="5"/>
  <c r="X55" i="5" s="1"/>
  <c r="O53" i="5"/>
  <c r="X57" i="5"/>
  <c r="O56" i="5"/>
  <c r="T60" i="5"/>
  <c r="O76" i="5"/>
  <c r="X24" i="5"/>
  <c r="O23" i="5"/>
  <c r="T43" i="5"/>
  <c r="AK43" i="5" s="1"/>
  <c r="X40" i="5"/>
  <c r="O39" i="5"/>
  <c r="X53" i="5"/>
  <c r="O52" i="5"/>
  <c r="X74" i="5"/>
  <c r="O73" i="5"/>
  <c r="T77" i="5"/>
  <c r="BI79" i="5" s="1"/>
  <c r="U24" i="5"/>
  <c r="U18" i="5"/>
  <c r="AG36" i="5"/>
  <c r="AG48" i="5"/>
  <c r="AG65" i="5"/>
  <c r="AG70" i="5"/>
  <c r="AG75" i="5"/>
  <c r="AG64" i="5"/>
  <c r="AG69" i="5"/>
  <c r="X16" i="5"/>
  <c r="O14" i="5"/>
  <c r="X14" i="5"/>
  <c r="X15" i="5" s="1"/>
  <c r="O13" i="5"/>
  <c r="O50" i="5"/>
  <c r="T55" i="5"/>
  <c r="X51" i="5"/>
  <c r="X75" i="5"/>
  <c r="O74" i="5"/>
  <c r="T72" i="5"/>
  <c r="X68" i="5"/>
  <c r="O67" i="5"/>
  <c r="X22" i="5"/>
  <c r="O20" i="5"/>
  <c r="X39" i="5"/>
  <c r="O37" i="5"/>
  <c r="AG45" i="5"/>
  <c r="AG74" i="5"/>
  <c r="AG53" i="5"/>
  <c r="AG37" i="5"/>
  <c r="X42" i="5"/>
  <c r="X43" i="5" s="1"/>
  <c r="X44" i="5" s="1"/>
  <c r="O41" i="5"/>
  <c r="X41" i="5"/>
  <c r="O40" i="5"/>
  <c r="X52" i="5"/>
  <c r="O51" i="5"/>
  <c r="X23" i="5"/>
  <c r="O22" i="5"/>
  <c r="T26" i="5"/>
  <c r="X47" i="5"/>
  <c r="O46" i="5"/>
  <c r="U20" i="5"/>
  <c r="AG42" i="5"/>
  <c r="AG58" i="5"/>
  <c r="AG73" i="5"/>
  <c r="AG46" i="5"/>
  <c r="AG76" i="5"/>
  <c r="X13" i="5"/>
  <c r="O12" i="5"/>
  <c r="X59" i="5"/>
  <c r="X60" i="5" s="1"/>
  <c r="X61" i="5" s="1"/>
  <c r="O58" i="5"/>
  <c r="X46" i="5"/>
  <c r="O45" i="5"/>
  <c r="T49" i="5"/>
  <c r="X50" i="5"/>
  <c r="O48" i="5"/>
  <c r="X71" i="5"/>
  <c r="X72" i="5" s="1"/>
  <c r="O70" i="5"/>
  <c r="O64" i="5"/>
  <c r="X65" i="5"/>
  <c r="X66" i="5" s="1"/>
  <c r="X45" i="5"/>
  <c r="O42" i="5"/>
  <c r="X67" i="5"/>
  <c r="O65" i="5"/>
  <c r="X12" i="5"/>
  <c r="O11" i="5"/>
  <c r="X25" i="5"/>
  <c r="X26" i="5" s="1"/>
  <c r="X27" i="5" s="1"/>
  <c r="O24" i="5"/>
  <c r="X58" i="5"/>
  <c r="O57" i="5"/>
  <c r="U25" i="5"/>
  <c r="Q21" i="5"/>
  <c r="U19" i="5"/>
  <c r="AV70" i="5"/>
  <c r="AV42" i="5"/>
  <c r="AV54" i="5"/>
  <c r="AV75" i="5"/>
  <c r="AV58" i="5"/>
  <c r="AV45" i="5"/>
  <c r="AV65" i="5"/>
  <c r="AV36" i="5"/>
  <c r="AV76" i="5"/>
  <c r="AV56" i="5"/>
  <c r="AV50" i="5"/>
  <c r="AV39" i="5"/>
  <c r="AV67" i="5"/>
  <c r="AV40" i="5"/>
  <c r="AV48" i="5"/>
  <c r="AV46" i="5"/>
  <c r="AV37" i="5"/>
  <c r="AV47" i="5"/>
  <c r="AV68" i="5"/>
  <c r="AV63" i="5"/>
  <c r="AV69" i="5"/>
  <c r="AV41" i="5"/>
  <c r="AV51" i="5"/>
  <c r="AV59" i="5"/>
  <c r="AV74" i="5"/>
  <c r="AV35" i="5"/>
  <c r="AV73" i="5"/>
  <c r="AV52" i="5"/>
  <c r="AV71" i="5"/>
  <c r="AV62" i="5"/>
  <c r="AV53" i="5"/>
  <c r="V70" i="3" l="1"/>
  <c r="U69" i="3"/>
  <c r="BH69" i="3"/>
  <c r="L69" i="3"/>
  <c r="CW69" i="3"/>
  <c r="CY68" i="3"/>
  <c r="P68" i="3"/>
  <c r="Y68" i="3"/>
  <c r="BA69" i="3"/>
  <c r="BU44" i="5"/>
  <c r="X34" i="5"/>
  <c r="BY44" i="5"/>
  <c r="BT44" i="5"/>
  <c r="BI43" i="5"/>
  <c r="BL44" i="5"/>
  <c r="CP43" i="5"/>
  <c r="CQ43" i="5" s="1"/>
  <c r="CS43" i="5"/>
  <c r="CT43" i="5" s="1"/>
  <c r="BK43" i="5"/>
  <c r="BK73" i="5"/>
  <c r="BI11" i="5"/>
  <c r="BK11" i="5"/>
  <c r="BD27" i="5"/>
  <c r="BE26" i="5"/>
  <c r="BH26" i="5"/>
  <c r="AB28" i="5"/>
  <c r="AC28" i="5" s="1"/>
  <c r="P28" i="5"/>
  <c r="AB33" i="5"/>
  <c r="AC33" i="5" s="1"/>
  <c r="P33" i="5"/>
  <c r="P30" i="5"/>
  <c r="AB30" i="5"/>
  <c r="AC30" i="5" s="1"/>
  <c r="AB29" i="5"/>
  <c r="AC29" i="5" s="1"/>
  <c r="P29" i="5"/>
  <c r="P31" i="5"/>
  <c r="AB31" i="5"/>
  <c r="AC31" i="5" s="1"/>
  <c r="BI26" i="5"/>
  <c r="AK32" i="5"/>
  <c r="AK66" i="5"/>
  <c r="AH21" i="5"/>
  <c r="AH26" i="5"/>
  <c r="X28" i="5"/>
  <c r="AK26" i="5"/>
  <c r="AK55" i="5"/>
  <c r="AK60" i="5"/>
  <c r="BK77" i="5"/>
  <c r="AK77" i="5"/>
  <c r="AK21" i="5"/>
  <c r="AK49" i="5"/>
  <c r="AK72" i="5"/>
  <c r="CP55" i="5"/>
  <c r="CQ55" i="5" s="1"/>
  <c r="CS55" i="5"/>
  <c r="CT55" i="5" s="1"/>
  <c r="CS66" i="5"/>
  <c r="CT66" i="5" s="1"/>
  <c r="CP66" i="5"/>
  <c r="CQ66" i="5" s="1"/>
  <c r="CS26" i="5"/>
  <c r="CT26" i="5" s="1"/>
  <c r="CP26" i="5"/>
  <c r="CQ26" i="5" s="1"/>
  <c r="BZ15" i="5"/>
  <c r="CS15" i="5"/>
  <c r="CT15" i="5" s="1"/>
  <c r="CP15" i="5"/>
  <c r="CQ15" i="5" s="1"/>
  <c r="CP72" i="5"/>
  <c r="CQ72" i="5" s="1"/>
  <c r="CS72" i="5"/>
  <c r="CT72" i="5" s="1"/>
  <c r="CS60" i="5"/>
  <c r="CT60" i="5" s="1"/>
  <c r="CP60" i="5"/>
  <c r="CQ60" i="5" s="1"/>
  <c r="CP32" i="5"/>
  <c r="CQ32" i="5" s="1"/>
  <c r="CS32" i="5"/>
  <c r="CT32" i="5" s="1"/>
  <c r="CS77" i="5"/>
  <c r="CT77" i="5" s="1"/>
  <c r="CP77" i="5"/>
  <c r="CQ77" i="5" s="1"/>
  <c r="CP49" i="5"/>
  <c r="CQ49" i="5" s="1"/>
  <c r="CS49" i="5"/>
  <c r="CT49" i="5" s="1"/>
  <c r="BZ21" i="5"/>
  <c r="CP21" i="5"/>
  <c r="CQ21" i="5" s="1"/>
  <c r="CS21" i="5"/>
  <c r="CT21" i="5" s="1"/>
  <c r="CS38" i="5"/>
  <c r="CT38" i="5" s="1"/>
  <c r="CP38" i="5"/>
  <c r="CQ38" i="5" s="1"/>
  <c r="BH21" i="5"/>
  <c r="BJ21" i="5"/>
  <c r="BJ26" i="5"/>
  <c r="BZ54" i="5"/>
  <c r="BZ40" i="5"/>
  <c r="BI32" i="5"/>
  <c r="BK32" i="5"/>
  <c r="BZ48" i="5"/>
  <c r="BZ46" i="5"/>
  <c r="BK21" i="5"/>
  <c r="BK26" i="5"/>
  <c r="AB67" i="5"/>
  <c r="AB63" i="5"/>
  <c r="AB41" i="5"/>
  <c r="BI72" i="5"/>
  <c r="BK72" i="5"/>
  <c r="BI49" i="5"/>
  <c r="BK49" i="5"/>
  <c r="BI60" i="5"/>
  <c r="BK60" i="5"/>
  <c r="BI66" i="5"/>
  <c r="BK66" i="5"/>
  <c r="BI55" i="5"/>
  <c r="BK55" i="5"/>
  <c r="BZ57" i="5"/>
  <c r="BZ71" i="5"/>
  <c r="BZ68" i="5"/>
  <c r="AB16" i="5"/>
  <c r="AB57" i="5"/>
  <c r="AB24" i="5"/>
  <c r="AB65" i="5"/>
  <c r="AB58" i="5"/>
  <c r="AB22" i="5"/>
  <c r="AB19" i="5"/>
  <c r="BZ37" i="5"/>
  <c r="BY78" i="5"/>
  <c r="BZ64" i="5"/>
  <c r="BT78" i="5"/>
  <c r="AB17" i="5"/>
  <c r="AB13" i="5"/>
  <c r="AB23" i="5"/>
  <c r="BZ75" i="5"/>
  <c r="BU61" i="5"/>
  <c r="BZ41" i="5"/>
  <c r="BZ70" i="5"/>
  <c r="AB25" i="5"/>
  <c r="BZ53" i="5"/>
  <c r="AB20" i="5"/>
  <c r="AB14" i="5"/>
  <c r="AB54" i="5"/>
  <c r="BT61" i="5"/>
  <c r="BM27" i="5"/>
  <c r="BU78" i="5"/>
  <c r="BT27" i="5"/>
  <c r="BU27" i="5"/>
  <c r="BZ74" i="5"/>
  <c r="BZ56" i="5"/>
  <c r="BV60" i="5"/>
  <c r="AB52" i="5"/>
  <c r="BR21" i="5"/>
  <c r="BR16" i="5"/>
  <c r="BZ69" i="5"/>
  <c r="BZ50" i="5"/>
  <c r="BV55" i="5"/>
  <c r="BZ47" i="5"/>
  <c r="BZ36" i="5"/>
  <c r="BV49" i="5"/>
  <c r="BZ45" i="5"/>
  <c r="BY27" i="5"/>
  <c r="BZ26" i="5"/>
  <c r="BR15" i="5"/>
  <c r="BR44" i="5"/>
  <c r="BR32" i="5"/>
  <c r="BL78" i="5"/>
  <c r="BZ62" i="5"/>
  <c r="BV66" i="5"/>
  <c r="BZ35" i="5"/>
  <c r="BR26" i="5"/>
  <c r="BR22" i="5"/>
  <c r="BZ65" i="5"/>
  <c r="AB12" i="5"/>
  <c r="AB18" i="5"/>
  <c r="BY61" i="5"/>
  <c r="BZ76" i="5"/>
  <c r="BL61" i="5"/>
  <c r="BZ73" i="5"/>
  <c r="BV77" i="5"/>
  <c r="BZ67" i="5"/>
  <c r="BV72" i="5"/>
  <c r="BV43" i="5"/>
  <c r="BZ43" i="5" s="1"/>
  <c r="BZ39" i="5"/>
  <c r="AB11" i="5"/>
  <c r="BV38" i="5"/>
  <c r="BI77" i="5"/>
  <c r="AB42" i="5"/>
  <c r="AB70" i="5"/>
  <c r="AB39" i="5"/>
  <c r="AB51" i="5"/>
  <c r="AB73" i="5"/>
  <c r="AB35" i="5"/>
  <c r="AB47" i="5"/>
  <c r="AB75" i="5"/>
  <c r="AB40" i="5"/>
  <c r="AB76" i="5"/>
  <c r="AB48" i="5"/>
  <c r="AB46" i="5"/>
  <c r="AB74" i="5"/>
  <c r="AB50" i="5"/>
  <c r="AB69" i="5"/>
  <c r="AB68" i="5"/>
  <c r="AB36" i="5"/>
  <c r="AB64" i="5"/>
  <c r="AB45" i="5"/>
  <c r="AB37" i="5"/>
  <c r="AB56" i="5"/>
  <c r="AB53" i="5"/>
  <c r="AB71" i="5"/>
  <c r="AB59" i="5"/>
  <c r="AB62" i="5"/>
  <c r="O26" i="5"/>
  <c r="AP26" i="5" s="1"/>
  <c r="O32" i="5"/>
  <c r="O21" i="5"/>
  <c r="O55" i="5"/>
  <c r="O49" i="5"/>
  <c r="AP49" i="5" s="1"/>
  <c r="O72" i="5"/>
  <c r="AP72" i="5" s="1"/>
  <c r="O60" i="5"/>
  <c r="AP60" i="5" s="1"/>
  <c r="O66" i="5"/>
  <c r="O38" i="5"/>
  <c r="O15" i="5"/>
  <c r="U26" i="5"/>
  <c r="AX15" i="5"/>
  <c r="O77" i="5"/>
  <c r="AP77" i="5" s="1"/>
  <c r="O43" i="5"/>
  <c r="AP43" i="5" s="1"/>
  <c r="AZ43" i="5" s="1"/>
  <c r="U21" i="5"/>
  <c r="R2" i="8"/>
  <c r="AB4" i="8"/>
  <c r="AA4" i="8"/>
  <c r="Z4" i="8"/>
  <c r="AB3" i="8"/>
  <c r="AA3" i="8"/>
  <c r="Z3" i="8"/>
  <c r="Y69" i="3" l="1"/>
  <c r="AC69" i="3" s="1"/>
  <c r="P69" i="3"/>
  <c r="BE69" i="3"/>
  <c r="Q70" i="3"/>
  <c r="BA70" i="3" s="1"/>
  <c r="BJ69" i="3"/>
  <c r="BB69" i="3"/>
  <c r="AC68" i="3"/>
  <c r="CW70" i="3"/>
  <c r="CY69" i="3"/>
  <c r="BV44" i="5"/>
  <c r="AP32" i="5"/>
  <c r="AZ32" i="5" s="1"/>
  <c r="O44" i="5"/>
  <c r="AZ26" i="5"/>
  <c r="BE27" i="5"/>
  <c r="BI27" i="5"/>
  <c r="AP21" i="5"/>
  <c r="AZ21" i="5" s="1"/>
  <c r="AL26" i="5"/>
  <c r="AP55" i="5"/>
  <c r="AL21" i="5"/>
  <c r="AP66" i="5"/>
  <c r="CS78" i="5"/>
  <c r="CT78" i="5" s="1"/>
  <c r="CP78" i="5"/>
  <c r="CQ78" i="5" s="1"/>
  <c r="CS44" i="5"/>
  <c r="CT44" i="5" s="1"/>
  <c r="CP44" i="5"/>
  <c r="CQ44" i="5" s="1"/>
  <c r="CP61" i="5"/>
  <c r="CQ61" i="5" s="1"/>
  <c r="CS61" i="5"/>
  <c r="CT61" i="5" s="1"/>
  <c r="CS27" i="5"/>
  <c r="CT27" i="5" s="1"/>
  <c r="CP27" i="5"/>
  <c r="CQ27" i="5" s="1"/>
  <c r="AB26" i="5"/>
  <c r="AG26" i="5" s="1"/>
  <c r="AU26" i="5" s="1"/>
  <c r="BT79" i="5"/>
  <c r="BU79" i="5"/>
  <c r="AB21" i="5"/>
  <c r="BM79" i="5"/>
  <c r="AB15" i="5"/>
  <c r="AG15" i="5" s="1"/>
  <c r="BL79" i="5"/>
  <c r="AB43" i="5"/>
  <c r="AG43" i="5" s="1"/>
  <c r="AU43" i="5" s="1"/>
  <c r="BZ38" i="5"/>
  <c r="BZ72" i="5"/>
  <c r="BV78" i="5"/>
  <c r="BZ66" i="5"/>
  <c r="BY79" i="5"/>
  <c r="BZ27" i="5"/>
  <c r="BZ77" i="5"/>
  <c r="BZ32" i="5"/>
  <c r="BZ55" i="5"/>
  <c r="BZ60" i="5"/>
  <c r="BZ49" i="5"/>
  <c r="BV61" i="5"/>
  <c r="AB66" i="5"/>
  <c r="AG66" i="5" s="1"/>
  <c r="AU66" i="5" s="1"/>
  <c r="AB60" i="5"/>
  <c r="AG60" i="5" s="1"/>
  <c r="AU60" i="5" s="1"/>
  <c r="AB38" i="5"/>
  <c r="AG38" i="5" s="1"/>
  <c r="AB72" i="5"/>
  <c r="AB77" i="5"/>
  <c r="AG77" i="5" s="1"/>
  <c r="AU77" i="5" s="1"/>
  <c r="AB49" i="5"/>
  <c r="AB55" i="5"/>
  <c r="AB32" i="5"/>
  <c r="O27" i="5"/>
  <c r="O61" i="5"/>
  <c r="O78" i="5"/>
  <c r="Z2" i="8"/>
  <c r="AA2" i="8"/>
  <c r="AB2" i="8"/>
  <c r="BJ70" i="3" l="1"/>
  <c r="BE70" i="3"/>
  <c r="Q71" i="3"/>
  <c r="CW71" i="3" s="1"/>
  <c r="BB70" i="3"/>
  <c r="CY70" i="3"/>
  <c r="V71" i="3"/>
  <c r="V72" i="3" s="1"/>
  <c r="AW72" i="3" s="1"/>
  <c r="U70" i="3"/>
  <c r="BH70" i="3"/>
  <c r="L70" i="3"/>
  <c r="AG32" i="5"/>
  <c r="AU32" i="5" s="1"/>
  <c r="AB44" i="5"/>
  <c r="CS79" i="5"/>
  <c r="CT79" i="5" s="1"/>
  <c r="CP79" i="5"/>
  <c r="CQ79" i="5" s="1"/>
  <c r="AB27" i="5"/>
  <c r="AG21" i="5"/>
  <c r="AU21" i="5" s="1"/>
  <c r="BZ61" i="5"/>
  <c r="BR79" i="5"/>
  <c r="BR27" i="5"/>
  <c r="BZ44" i="5"/>
  <c r="BV79" i="5"/>
  <c r="BZ78" i="5"/>
  <c r="BS32" i="5"/>
  <c r="AG55" i="5"/>
  <c r="AU55" i="5" s="1"/>
  <c r="AB61" i="5"/>
  <c r="AG61" i="5" s="1"/>
  <c r="AG72" i="5"/>
  <c r="AU72" i="5" s="1"/>
  <c r="AB78" i="5"/>
  <c r="AG78" i="5" s="1"/>
  <c r="AG44" i="5"/>
  <c r="AG49" i="5"/>
  <c r="AU49" i="5" s="1"/>
  <c r="O79" i="5"/>
  <c r="Y70" i="3" l="1"/>
  <c r="P70" i="3"/>
  <c r="CW72" i="3"/>
  <c r="CY71" i="3"/>
  <c r="V73" i="3"/>
  <c r="U71" i="3"/>
  <c r="L71" i="3"/>
  <c r="BH71" i="3"/>
  <c r="Q72" i="3"/>
  <c r="BA71" i="3"/>
  <c r="BS44" i="5"/>
  <c r="BS79" i="5"/>
  <c r="BZ79" i="5"/>
  <c r="AB79" i="5"/>
  <c r="AG27" i="5"/>
  <c r="AC70" i="3" l="1"/>
  <c r="Y72" i="3"/>
  <c r="Q73" i="3"/>
  <c r="BJ71" i="3"/>
  <c r="BE71" i="3"/>
  <c r="BA72" i="3"/>
  <c r="BB71" i="3"/>
  <c r="BB72" i="3" s="1"/>
  <c r="Y71" i="3"/>
  <c r="AC71" i="3" s="1"/>
  <c r="P71" i="3"/>
  <c r="CY72" i="3"/>
  <c r="CW73" i="3"/>
  <c r="L72" i="3"/>
  <c r="BH72" i="3"/>
  <c r="AM72" i="3"/>
  <c r="AQ72" i="3" s="1"/>
  <c r="U72" i="3"/>
  <c r="AH72" i="3"/>
  <c r="AG79" i="5"/>
  <c r="CX15" i="5"/>
  <c r="CX38" i="5"/>
  <c r="V74" i="3" l="1"/>
  <c r="U73" i="3"/>
  <c r="L73" i="3"/>
  <c r="BH73" i="3"/>
  <c r="AL72" i="3"/>
  <c r="BA73" i="3"/>
  <c r="BJ72" i="3"/>
  <c r="BE72" i="3"/>
  <c r="AD72" i="3"/>
  <c r="AC72" i="3"/>
  <c r="AY72" i="3"/>
  <c r="AR72" i="3"/>
  <c r="AV72" i="3" s="1"/>
  <c r="P72" i="3"/>
  <c r="CY73" i="3"/>
  <c r="AW23" i="5"/>
  <c r="BH11" i="5"/>
  <c r="BJ11" i="5"/>
  <c r="AW13" i="5"/>
  <c r="AW12" i="5"/>
  <c r="AW25" i="5"/>
  <c r="AW17" i="5"/>
  <c r="AW19" i="5"/>
  <c r="AW16" i="5"/>
  <c r="AW20" i="5"/>
  <c r="AW11" i="5"/>
  <c r="AW24" i="5"/>
  <c r="AW22" i="5"/>
  <c r="AW18" i="5"/>
  <c r="AW14" i="5"/>
  <c r="AD48" i="5"/>
  <c r="AD19" i="5"/>
  <c r="AV13" i="5"/>
  <c r="AD40" i="5"/>
  <c r="CY24" i="5"/>
  <c r="AL11" i="5"/>
  <c r="CX66" i="5"/>
  <c r="AL16" i="5"/>
  <c r="AD12" i="5"/>
  <c r="AD13" i="5"/>
  <c r="AD56" i="5"/>
  <c r="AL19" i="5"/>
  <c r="CY17" i="5"/>
  <c r="L20" i="5"/>
  <c r="AV17" i="5"/>
  <c r="AV24" i="5"/>
  <c r="AD73" i="5"/>
  <c r="AL17" i="5"/>
  <c r="AL25" i="5"/>
  <c r="AD71" i="5"/>
  <c r="L16" i="5"/>
  <c r="AD46" i="5"/>
  <c r="AL22" i="5"/>
  <c r="AL12" i="5"/>
  <c r="L24" i="5"/>
  <c r="AD45" i="5"/>
  <c r="AD54" i="5"/>
  <c r="AQ16" i="5"/>
  <c r="AV11" i="5"/>
  <c r="AD42" i="5"/>
  <c r="AD36" i="5"/>
  <c r="AD59" i="5"/>
  <c r="AD67" i="5"/>
  <c r="L22" i="5"/>
  <c r="L13" i="5"/>
  <c r="CY22" i="5"/>
  <c r="AD17" i="5"/>
  <c r="L11" i="5"/>
  <c r="AD76" i="5"/>
  <c r="AL24" i="5"/>
  <c r="CY18" i="5"/>
  <c r="L18" i="5"/>
  <c r="AD14" i="5"/>
  <c r="CY23" i="5"/>
  <c r="CY19" i="5"/>
  <c r="AD51" i="5"/>
  <c r="L17" i="5"/>
  <c r="AD35" i="5"/>
  <c r="AL14" i="5"/>
  <c r="AD50" i="5"/>
  <c r="AD64" i="5"/>
  <c r="AD24" i="5"/>
  <c r="AV14" i="5"/>
  <c r="AD39" i="5"/>
  <c r="CY20" i="5"/>
  <c r="AV16" i="5"/>
  <c r="AV18" i="5"/>
  <c r="AL18" i="5"/>
  <c r="AV12" i="5"/>
  <c r="AQ25" i="5"/>
  <c r="AD25" i="5"/>
  <c r="AQ23" i="5"/>
  <c r="AD23" i="5"/>
  <c r="L19" i="5"/>
  <c r="AD37" i="5"/>
  <c r="CY25" i="5"/>
  <c r="CX72" i="5"/>
  <c r="CX32" i="5"/>
  <c r="U14" i="5"/>
  <c r="L14" i="5"/>
  <c r="AD70" i="5"/>
  <c r="U11" i="5"/>
  <c r="Q15" i="5"/>
  <c r="L23" i="5"/>
  <c r="AQ11" i="5"/>
  <c r="AD11" i="5"/>
  <c r="U12" i="5"/>
  <c r="L12" i="5"/>
  <c r="AD65" i="5"/>
  <c r="CY14" i="5"/>
  <c r="AD57" i="5"/>
  <c r="AD22" i="5"/>
  <c r="AQ22" i="5"/>
  <c r="T15" i="5"/>
  <c r="BI15" i="5" s="1"/>
  <c r="AQ18" i="5"/>
  <c r="AD18" i="5"/>
  <c r="CY13" i="5"/>
  <c r="AD63" i="5"/>
  <c r="U13" i="5"/>
  <c r="CX43" i="5"/>
  <c r="CX44" i="5" s="1"/>
  <c r="AD69" i="5"/>
  <c r="AD53" i="5"/>
  <c r="AD62" i="5"/>
  <c r="AD41" i="5"/>
  <c r="AQ12" i="5"/>
  <c r="AQ14" i="5"/>
  <c r="AQ19" i="5"/>
  <c r="AQ13" i="5"/>
  <c r="AD68" i="5"/>
  <c r="T38" i="5"/>
  <c r="T44" i="5" s="1"/>
  <c r="AD47" i="5"/>
  <c r="CX60" i="5"/>
  <c r="AD16" i="5"/>
  <c r="CX55" i="5"/>
  <c r="CY16" i="5"/>
  <c r="AQ17" i="5"/>
  <c r="L25" i="5"/>
  <c r="AQ20" i="5"/>
  <c r="AD20" i="5"/>
  <c r="AL23" i="5"/>
  <c r="AQ24" i="5"/>
  <c r="AD52" i="5"/>
  <c r="CX49" i="5"/>
  <c r="AV19" i="5"/>
  <c r="AD75" i="5"/>
  <c r="CX26" i="5"/>
  <c r="AV20" i="5"/>
  <c r="AD58" i="5"/>
  <c r="AV23" i="5"/>
  <c r="AD74" i="5"/>
  <c r="CX21" i="5"/>
  <c r="AL20" i="5"/>
  <c r="CY12" i="5"/>
  <c r="AV22" i="5"/>
  <c r="AL13" i="5"/>
  <c r="AV25" i="5"/>
  <c r="Y73" i="3" l="1"/>
  <c r="P73" i="3"/>
  <c r="BJ73" i="3"/>
  <c r="BE73" i="3"/>
  <c r="BA74" i="3"/>
  <c r="Q74" i="3"/>
  <c r="BB73" i="3"/>
  <c r="CX78" i="5"/>
  <c r="BH15" i="5"/>
  <c r="AP38" i="5"/>
  <c r="AK38" i="5"/>
  <c r="AK44" i="5" s="1"/>
  <c r="AU38" i="5"/>
  <c r="BK15" i="5"/>
  <c r="AP15" i="5"/>
  <c r="AK15" i="5"/>
  <c r="AU15" i="5"/>
  <c r="AH15" i="5"/>
  <c r="BJ15" i="5"/>
  <c r="BI38" i="5"/>
  <c r="BK38" i="5"/>
  <c r="P22" i="5"/>
  <c r="Y22" i="5"/>
  <c r="P25" i="5"/>
  <c r="Y25" i="5"/>
  <c r="AC25" i="5" s="1"/>
  <c r="P12" i="5"/>
  <c r="Y12" i="5"/>
  <c r="AC12" i="5" s="1"/>
  <c r="P16" i="5"/>
  <c r="Y16" i="5"/>
  <c r="P23" i="5"/>
  <c r="Y23" i="5"/>
  <c r="AC23" i="5" s="1"/>
  <c r="P18" i="5"/>
  <c r="Y18" i="5"/>
  <c r="AC18" i="5" s="1"/>
  <c r="P13" i="5"/>
  <c r="Y13" i="5"/>
  <c r="AC13" i="5" s="1"/>
  <c r="P24" i="5"/>
  <c r="Y24" i="5"/>
  <c r="AC24" i="5" s="1"/>
  <c r="P20" i="5"/>
  <c r="Y20" i="5"/>
  <c r="AC20" i="5" s="1"/>
  <c r="P14" i="5"/>
  <c r="Y14" i="5"/>
  <c r="AC14" i="5" s="1"/>
  <c r="P19" i="5"/>
  <c r="Y19" i="5"/>
  <c r="AC19" i="5" s="1"/>
  <c r="P17" i="5"/>
  <c r="Y17" i="5"/>
  <c r="AC17" i="5" s="1"/>
  <c r="P11" i="5"/>
  <c r="Y11" i="5"/>
  <c r="Q27" i="5"/>
  <c r="L21" i="5"/>
  <c r="T78" i="5"/>
  <c r="AK78" i="5" s="1"/>
  <c r="CY21" i="5"/>
  <c r="T61" i="5"/>
  <c r="AK61" i="5" s="1"/>
  <c r="L26" i="5"/>
  <c r="CX61" i="5"/>
  <c r="CY15" i="5"/>
  <c r="U15" i="5"/>
  <c r="T27" i="5"/>
  <c r="BI44" i="5"/>
  <c r="L15" i="5"/>
  <c r="AM15" i="5" s="1"/>
  <c r="CX27" i="5"/>
  <c r="CY26" i="5"/>
  <c r="BJ74" i="3" l="1"/>
  <c r="BE74" i="3"/>
  <c r="Q75" i="3"/>
  <c r="BA75" i="3" s="1"/>
  <c r="BB74" i="3"/>
  <c r="AC73" i="3"/>
  <c r="U74" i="3"/>
  <c r="BH74" i="3"/>
  <c r="L74" i="3"/>
  <c r="V75" i="3"/>
  <c r="CW74" i="3"/>
  <c r="AZ38" i="5"/>
  <c r="AH27" i="5"/>
  <c r="AK27" i="5"/>
  <c r="CX79" i="5"/>
  <c r="V29" i="5"/>
  <c r="BH27" i="5"/>
  <c r="BJ27" i="5"/>
  <c r="BK61" i="5"/>
  <c r="AP61" i="5"/>
  <c r="AU61" i="5"/>
  <c r="P26" i="5"/>
  <c r="AM26" i="5"/>
  <c r="AP27" i="5"/>
  <c r="AU27" i="5"/>
  <c r="AM21" i="5"/>
  <c r="BK44" i="5"/>
  <c r="AP44" i="5"/>
  <c r="AU44" i="5"/>
  <c r="AP78" i="5"/>
  <c r="AU78" i="5"/>
  <c r="BK27" i="5"/>
  <c r="X29" i="5"/>
  <c r="BK78" i="5"/>
  <c r="AZ15" i="5"/>
  <c r="AL15" i="5"/>
  <c r="P15" i="5"/>
  <c r="Y15" i="5"/>
  <c r="AY15" i="5" s="1"/>
  <c r="AC11" i="5"/>
  <c r="Y21" i="5"/>
  <c r="AC21" i="5" s="1"/>
  <c r="AC16" i="5"/>
  <c r="Y26" i="5"/>
  <c r="AC26" i="5" s="1"/>
  <c r="AC22" i="5"/>
  <c r="P21" i="5"/>
  <c r="CY28" i="5"/>
  <c r="AW15" i="5"/>
  <c r="L27" i="5"/>
  <c r="AM27" i="5" s="1"/>
  <c r="CY27" i="5"/>
  <c r="U27" i="5"/>
  <c r="T79" i="5"/>
  <c r="V80" i="3" l="1"/>
  <c r="V76" i="3"/>
  <c r="V77" i="3" s="1"/>
  <c r="L75" i="3"/>
  <c r="BH75" i="3"/>
  <c r="U75" i="3"/>
  <c r="P74" i="3"/>
  <c r="Y74" i="3"/>
  <c r="CW75" i="3"/>
  <c r="CY74" i="3"/>
  <c r="BE75" i="3"/>
  <c r="Q76" i="3"/>
  <c r="BA76" i="3" s="1"/>
  <c r="BJ75" i="3"/>
  <c r="BB75" i="3"/>
  <c r="AW27" i="5"/>
  <c r="AK79" i="5"/>
  <c r="AL27" i="5"/>
  <c r="AZ44" i="5"/>
  <c r="AQ21" i="5"/>
  <c r="AW21" i="5"/>
  <c r="AQ26" i="5"/>
  <c r="AW26" i="5"/>
  <c r="AZ27" i="5"/>
  <c r="AQ27" i="5"/>
  <c r="P27" i="5"/>
  <c r="BK79" i="5"/>
  <c r="AP79" i="5"/>
  <c r="AU79" i="5"/>
  <c r="Y27" i="5"/>
  <c r="AC15" i="5"/>
  <c r="R61" i="5"/>
  <c r="AI61" i="5" s="1"/>
  <c r="AD15" i="5"/>
  <c r="AR15" i="5" s="1"/>
  <c r="AD26" i="5"/>
  <c r="AR26" i="5" s="1"/>
  <c r="AV26" i="5" s="1"/>
  <c r="AD21" i="5"/>
  <c r="AR21" i="5" s="1"/>
  <c r="AV21" i="5" s="1"/>
  <c r="AQ15" i="5"/>
  <c r="Q80" i="3" l="1"/>
  <c r="BJ76" i="3"/>
  <c r="BE76" i="3"/>
  <c r="BA77" i="3"/>
  <c r="BB76" i="3"/>
  <c r="BB77" i="3" s="1"/>
  <c r="BB78" i="3" s="1"/>
  <c r="BB79" i="3" s="1"/>
  <c r="AC74" i="3"/>
  <c r="V78" i="3"/>
  <c r="V79" i="3" s="1"/>
  <c r="AW77" i="3"/>
  <c r="CY75" i="3"/>
  <c r="CW76" i="3"/>
  <c r="P75" i="3"/>
  <c r="Y75" i="3"/>
  <c r="AC75" i="3" s="1"/>
  <c r="BH76" i="3"/>
  <c r="L76" i="3"/>
  <c r="L77" i="3" s="1"/>
  <c r="BH78" i="3"/>
  <c r="U76" i="3"/>
  <c r="Q77" i="3"/>
  <c r="AZ79" i="5"/>
  <c r="AN61" i="5"/>
  <c r="AS61" i="5"/>
  <c r="AC27" i="5"/>
  <c r="R79" i="5"/>
  <c r="AI79" i="5" s="1"/>
  <c r="CY29" i="5"/>
  <c r="AV15" i="5"/>
  <c r="AD27" i="5"/>
  <c r="AR27" i="5" s="1"/>
  <c r="AV27" i="5" s="1"/>
  <c r="AW78" i="3" l="1"/>
  <c r="AW79" i="3" s="1"/>
  <c r="BH79" i="3"/>
  <c r="BH77" i="3"/>
  <c r="AM77" i="3"/>
  <c r="AQ77" i="3" s="1"/>
  <c r="U77" i="3"/>
  <c r="Q78" i="3"/>
  <c r="AH77" i="3"/>
  <c r="V81" i="3"/>
  <c r="U80" i="3"/>
  <c r="L80" i="3"/>
  <c r="BH80" i="3"/>
  <c r="BA78" i="3"/>
  <c r="BE77" i="3"/>
  <c r="BJ77" i="3"/>
  <c r="P77" i="3"/>
  <c r="L78" i="3"/>
  <c r="Y76" i="3"/>
  <c r="AC76" i="3" s="1"/>
  <c r="P76" i="3"/>
  <c r="CY76" i="3"/>
  <c r="CW77" i="3"/>
  <c r="Y77" i="3"/>
  <c r="AN79" i="5"/>
  <c r="AS79" i="5"/>
  <c r="BJ78" i="3" l="1"/>
  <c r="BE78" i="3"/>
  <c r="BA79" i="3"/>
  <c r="U78" i="3"/>
  <c r="AM78" i="3"/>
  <c r="AQ78" i="3" s="1"/>
  <c r="Q79" i="3"/>
  <c r="AD77" i="3"/>
  <c r="AR77" i="3" s="1"/>
  <c r="AV77" i="3" s="1"/>
  <c r="AC77" i="3"/>
  <c r="Y78" i="3"/>
  <c r="AY77" i="3"/>
  <c r="CY77" i="3"/>
  <c r="CW78" i="3"/>
  <c r="P78" i="3"/>
  <c r="L79" i="3"/>
  <c r="Y80" i="3"/>
  <c r="P80" i="3"/>
  <c r="AL77" i="3"/>
  <c r="AH78" i="3"/>
  <c r="AH79" i="3" s="1"/>
  <c r="AL79" i="3" s="1"/>
  <c r="CY30" i="5"/>
  <c r="AD78" i="3" l="1"/>
  <c r="AR78" i="3" s="1"/>
  <c r="AV78" i="3" s="1"/>
  <c r="AC78" i="3"/>
  <c r="Y79" i="3"/>
  <c r="AC80" i="3"/>
  <c r="CY78" i="3"/>
  <c r="CW79" i="3"/>
  <c r="AL78" i="3"/>
  <c r="P79" i="3"/>
  <c r="BA80" i="3"/>
  <c r="BB80" i="3" s="1"/>
  <c r="BJ79" i="3"/>
  <c r="BE79" i="3"/>
  <c r="AY78" i="3"/>
  <c r="AY79" i="3" s="1"/>
  <c r="AM79" i="3"/>
  <c r="AQ79" i="3" s="1"/>
  <c r="U79" i="3"/>
  <c r="CW32" i="5"/>
  <c r="Q32" i="5"/>
  <c r="V34" i="5" s="1"/>
  <c r="BJ80" i="3" l="1"/>
  <c r="BE80" i="3"/>
  <c r="Q81" i="3"/>
  <c r="CY79" i="3"/>
  <c r="CW80" i="3"/>
  <c r="AC79" i="3"/>
  <c r="AD79" i="3"/>
  <c r="AR79" i="3" s="1"/>
  <c r="AV79" i="3" s="1"/>
  <c r="AH32" i="5"/>
  <c r="BH32" i="5"/>
  <c r="BJ32" i="5"/>
  <c r="Y32" i="5"/>
  <c r="AC32" i="5" s="1"/>
  <c r="U32" i="5"/>
  <c r="CY32" i="5"/>
  <c r="CY31" i="5"/>
  <c r="L32" i="5"/>
  <c r="U81" i="3" l="1"/>
  <c r="L81" i="3"/>
  <c r="BA81" i="3"/>
  <c r="BB81" i="3" s="1"/>
  <c r="CY80" i="3"/>
  <c r="CW81" i="3"/>
  <c r="AL32" i="5"/>
  <c r="AM32" i="5"/>
  <c r="P32" i="5"/>
  <c r="AD32" i="5"/>
  <c r="AR32" i="5" s="1"/>
  <c r="AV32" i="5" s="1"/>
  <c r="P81" i="3" l="1"/>
  <c r="Y81" i="3"/>
  <c r="BJ81" i="3"/>
  <c r="Q82" i="3"/>
  <c r="BA82" i="3"/>
  <c r="BB82" i="3" s="1"/>
  <c r="BE81" i="3"/>
  <c r="BH81" i="3"/>
  <c r="CW82" i="3"/>
  <c r="CY81" i="3"/>
  <c r="AQ32" i="5"/>
  <c r="AW32" i="5"/>
  <c r="CY33" i="5"/>
  <c r="Q83" i="3" l="1"/>
  <c r="BA83" i="3" s="1"/>
  <c r="BE82" i="3"/>
  <c r="BJ82" i="3"/>
  <c r="AC81" i="3"/>
  <c r="CY82" i="3"/>
  <c r="BH82" i="3"/>
  <c r="L82" i="3"/>
  <c r="V83" i="3"/>
  <c r="V84" i="3" s="1"/>
  <c r="AW84" i="3" s="1"/>
  <c r="U82" i="3"/>
  <c r="V82" i="3"/>
  <c r="CY35" i="5"/>
  <c r="CW83" i="3" l="1"/>
  <c r="CY83" i="3" s="1"/>
  <c r="Q84" i="3"/>
  <c r="U84" i="3"/>
  <c r="AH84" i="3"/>
  <c r="CW84" i="3"/>
  <c r="P82" i="3"/>
  <c r="Y82" i="3"/>
  <c r="U83" i="3"/>
  <c r="V85" i="3"/>
  <c r="BH83" i="3"/>
  <c r="L83" i="3"/>
  <c r="L84" i="3" s="1"/>
  <c r="Q85" i="3"/>
  <c r="BE83" i="3"/>
  <c r="BA84" i="3"/>
  <c r="BJ83" i="3"/>
  <c r="BB83" i="3"/>
  <c r="BB84" i="3" s="1"/>
  <c r="CY36" i="5"/>
  <c r="P84" i="3" l="1"/>
  <c r="AM84" i="3"/>
  <c r="AQ84" i="3" s="1"/>
  <c r="V86" i="3"/>
  <c r="U85" i="3"/>
  <c r="BH85" i="3"/>
  <c r="L85" i="3"/>
  <c r="AL84" i="3"/>
  <c r="Y83" i="3"/>
  <c r="AC83" i="3" s="1"/>
  <c r="P83" i="3"/>
  <c r="CW85" i="3"/>
  <c r="CY84" i="3"/>
  <c r="BA85" i="3"/>
  <c r="BJ84" i="3"/>
  <c r="BE84" i="3"/>
  <c r="BH84" i="3"/>
  <c r="AC82" i="3"/>
  <c r="CW38" i="5"/>
  <c r="BE85" i="3" l="1"/>
  <c r="Q86" i="3"/>
  <c r="CW86" i="3" s="1"/>
  <c r="BJ85" i="3"/>
  <c r="BA86" i="3"/>
  <c r="BB85" i="3"/>
  <c r="CY85" i="3"/>
  <c r="Y84" i="3"/>
  <c r="Y85" i="3"/>
  <c r="P85" i="3"/>
  <c r="CY37" i="5"/>
  <c r="AD84" i="3" l="1"/>
  <c r="AR84" i="3" s="1"/>
  <c r="AV84" i="3" s="1"/>
  <c r="AC84" i="3"/>
  <c r="AY84" i="3"/>
  <c r="BJ86" i="3"/>
  <c r="BA87" i="3"/>
  <c r="BE86" i="3"/>
  <c r="Q87" i="3"/>
  <c r="CW87" i="3" s="1"/>
  <c r="BB86" i="3"/>
  <c r="CY86" i="3"/>
  <c r="V87" i="3"/>
  <c r="BH86" i="3"/>
  <c r="L86" i="3"/>
  <c r="U86" i="3"/>
  <c r="AC85" i="3"/>
  <c r="CY38" i="5"/>
  <c r="BH87" i="3" l="1"/>
  <c r="L87" i="3"/>
  <c r="U87" i="3"/>
  <c r="V88" i="3"/>
  <c r="CY87" i="3"/>
  <c r="Y86" i="3"/>
  <c r="P86" i="3"/>
  <c r="Q88" i="3"/>
  <c r="CW88" i="3" s="1"/>
  <c r="BJ87" i="3"/>
  <c r="BE87" i="3"/>
  <c r="BB87" i="3"/>
  <c r="AX49" i="5"/>
  <c r="BA88" i="3" l="1"/>
  <c r="Q89" i="3" s="1"/>
  <c r="BE88" i="3"/>
  <c r="BB88" i="3"/>
  <c r="CY88" i="3"/>
  <c r="P87" i="3"/>
  <c r="Y87" i="3"/>
  <c r="AC87" i="3" s="1"/>
  <c r="BH88" i="3"/>
  <c r="L88" i="3"/>
  <c r="V89" i="3"/>
  <c r="V90" i="3" s="1"/>
  <c r="AW90" i="3" s="1"/>
  <c r="U88" i="3"/>
  <c r="BH90" i="3"/>
  <c r="AC86" i="3"/>
  <c r="AX55" i="5"/>
  <c r="BA89" i="3" l="1"/>
  <c r="BA90" i="3" s="1"/>
  <c r="CW89" i="3"/>
  <c r="CW90" i="3" s="1"/>
  <c r="Q90" i="3"/>
  <c r="BJ88" i="3"/>
  <c r="U90" i="3"/>
  <c r="AM90" i="3"/>
  <c r="AQ90" i="3" s="1"/>
  <c r="AH90" i="3"/>
  <c r="P88" i="3"/>
  <c r="Y88" i="3"/>
  <c r="L90" i="3"/>
  <c r="U89" i="3"/>
  <c r="BH89" i="3"/>
  <c r="L89" i="3"/>
  <c r="V91" i="3"/>
  <c r="BE89" i="3"/>
  <c r="Q91" i="3"/>
  <c r="BB89" i="3"/>
  <c r="BB90" i="3" s="1"/>
  <c r="AX60" i="5"/>
  <c r="AX61" i="5" s="1"/>
  <c r="BJ89" i="3" l="1"/>
  <c r="CY89" i="3"/>
  <c r="V92" i="3"/>
  <c r="BH91" i="3"/>
  <c r="L91" i="3"/>
  <c r="U91" i="3"/>
  <c r="P90" i="3"/>
  <c r="AC88" i="3"/>
  <c r="BJ90" i="3"/>
  <c r="BE90" i="3"/>
  <c r="BA91" i="3"/>
  <c r="Y89" i="3"/>
  <c r="AC89" i="3" s="1"/>
  <c r="P89" i="3"/>
  <c r="CW91" i="3"/>
  <c r="CY90" i="3"/>
  <c r="AL90" i="3"/>
  <c r="AX66" i="5"/>
  <c r="BJ91" i="3" l="1"/>
  <c r="Q92" i="3"/>
  <c r="BA92" i="3" s="1"/>
  <c r="BE91" i="3"/>
  <c r="BB91" i="3"/>
  <c r="Y90" i="3"/>
  <c r="CY91" i="3"/>
  <c r="CW92" i="3"/>
  <c r="P91" i="3"/>
  <c r="Y91" i="3"/>
  <c r="AX72" i="5"/>
  <c r="BJ92" i="3" l="1"/>
  <c r="Q93" i="3"/>
  <c r="BE92" i="3"/>
  <c r="BB92" i="3"/>
  <c r="AC91" i="3"/>
  <c r="U92" i="3"/>
  <c r="L92" i="3"/>
  <c r="V93" i="3"/>
  <c r="BH92" i="3"/>
  <c r="AD90" i="3"/>
  <c r="AR90" i="3" s="1"/>
  <c r="AV90" i="3" s="1"/>
  <c r="AC90" i="3"/>
  <c r="AY90" i="3"/>
  <c r="CY92" i="3"/>
  <c r="AX77" i="5"/>
  <c r="AX78" i="5" s="1"/>
  <c r="AX79" i="5" s="1"/>
  <c r="V94" i="3" l="1"/>
  <c r="V95" i="3" s="1"/>
  <c r="U93" i="3"/>
  <c r="BH93" i="3"/>
  <c r="L93" i="3"/>
  <c r="BH95" i="3"/>
  <c r="CW93" i="3"/>
  <c r="P92" i="3"/>
  <c r="Y92" i="3"/>
  <c r="BA93" i="3"/>
  <c r="E12" i="5"/>
  <c r="E15" i="5" s="1"/>
  <c r="E27" i="5" s="1"/>
  <c r="E79" i="5" s="1"/>
  <c r="BK17" i="5"/>
  <c r="BI17" i="5"/>
  <c r="BI21" i="5" s="1"/>
  <c r="V96" i="3" l="1"/>
  <c r="AW95" i="3"/>
  <c r="AC92" i="3"/>
  <c r="P93" i="3"/>
  <c r="Y93" i="3"/>
  <c r="AC93" i="3" s="1"/>
  <c r="Q94" i="3"/>
  <c r="BJ93" i="3"/>
  <c r="BE93" i="3"/>
  <c r="BB93" i="3"/>
  <c r="CY93" i="3"/>
  <c r="I80" i="5"/>
  <c r="BG80" i="5"/>
  <c r="BF80" i="5"/>
  <c r="AU80" i="5"/>
  <c r="AT80" i="5"/>
  <c r="BC80" i="5"/>
  <c r="BX80" i="5"/>
  <c r="BQ80" i="5"/>
  <c r="CL80" i="5"/>
  <c r="CK80" i="5"/>
  <c r="K80" i="5"/>
  <c r="CF80" i="5"/>
  <c r="BP80" i="5"/>
  <c r="BY80" i="5"/>
  <c r="H80" i="5"/>
  <c r="BW80" i="5"/>
  <c r="BL80" i="5"/>
  <c r="BN80" i="5"/>
  <c r="CD80" i="5"/>
  <c r="CI80" i="5"/>
  <c r="S80" i="5"/>
  <c r="BO80" i="5"/>
  <c r="G80" i="5"/>
  <c r="R80" i="5"/>
  <c r="CE80" i="5"/>
  <c r="AS80" i="5"/>
  <c r="AE80" i="5" s="1"/>
  <c r="CB80" i="5"/>
  <c r="T80" i="5"/>
  <c r="X80" i="5" s="1"/>
  <c r="CX80" i="5"/>
  <c r="BT80" i="5"/>
  <c r="CM80" i="5"/>
  <c r="BM80" i="5"/>
  <c r="BU80" i="5"/>
  <c r="BH96" i="3" l="1"/>
  <c r="U94" i="3"/>
  <c r="BH94" i="3"/>
  <c r="L94" i="3"/>
  <c r="Q95" i="3"/>
  <c r="BA94" i="3"/>
  <c r="AW96" i="3"/>
  <c r="CW94" i="3"/>
  <c r="AZ80" i="5"/>
  <c r="W80" i="5"/>
  <c r="AF80" i="5"/>
  <c r="AY80" i="5"/>
  <c r="AW80" i="5"/>
  <c r="AX80" i="5"/>
  <c r="AG80" i="5"/>
  <c r="F80" i="5"/>
  <c r="BS80" i="5"/>
  <c r="CC80" i="5"/>
  <c r="CG80" i="5" s="1"/>
  <c r="CR80" i="5"/>
  <c r="BV80" i="5"/>
  <c r="BZ80" i="5" s="1"/>
  <c r="BD80" i="5"/>
  <c r="BK80" i="5" s="1"/>
  <c r="O80" i="5"/>
  <c r="BR80" i="5"/>
  <c r="M80" i="5"/>
  <c r="Z80" i="5" s="1"/>
  <c r="N80" i="5"/>
  <c r="CJ80" i="5"/>
  <c r="CN80" i="5" s="1"/>
  <c r="D80" i="5"/>
  <c r="CS80" i="5"/>
  <c r="AV80" i="5"/>
  <c r="CO80" i="5"/>
  <c r="CP80" i="5"/>
  <c r="CQ80" i="5" s="1"/>
  <c r="CY94" i="3" l="1"/>
  <c r="CW95" i="3"/>
  <c r="Y94" i="3"/>
  <c r="P94" i="3"/>
  <c r="L95" i="3"/>
  <c r="BJ94" i="3"/>
  <c r="BE94" i="3"/>
  <c r="BA95" i="3"/>
  <c r="BB94" i="3"/>
  <c r="BB95" i="3" s="1"/>
  <c r="BB96" i="3" s="1"/>
  <c r="AM95" i="3"/>
  <c r="AQ95" i="3" s="1"/>
  <c r="U95" i="3"/>
  <c r="AL95" i="3" s="1"/>
  <c r="Q96" i="3"/>
  <c r="AH95" i="3"/>
  <c r="AA80" i="5"/>
  <c r="AB80" i="5"/>
  <c r="BI80" i="5"/>
  <c r="AD80" i="5"/>
  <c r="CT80" i="5"/>
  <c r="E80" i="5"/>
  <c r="AH96" i="3" l="1"/>
  <c r="AL96" i="3" s="1"/>
  <c r="CY95" i="3"/>
  <c r="CW96" i="3"/>
  <c r="CY96" i="3" s="1"/>
  <c r="U96" i="3"/>
  <c r="BA96" i="3"/>
  <c r="BJ95" i="3"/>
  <c r="BE95" i="3"/>
  <c r="AC94" i="3"/>
  <c r="Y95" i="3"/>
  <c r="P95" i="3"/>
  <c r="L96" i="3"/>
  <c r="AT83" i="5"/>
  <c r="BX83" i="5"/>
  <c r="CI83" i="5"/>
  <c r="CJ83" i="5" s="1"/>
  <c r="CB83" i="5"/>
  <c r="BM83" i="5"/>
  <c r="CD83" i="5"/>
  <c r="BP83" i="5"/>
  <c r="BQ83" i="5"/>
  <c r="BY83" i="5"/>
  <c r="BL83" i="5"/>
  <c r="CK83" i="5"/>
  <c r="I83" i="5"/>
  <c r="K83" i="5"/>
  <c r="BW83" i="5"/>
  <c r="BU83" i="5"/>
  <c r="AU83" i="5"/>
  <c r="I82" i="5"/>
  <c r="K82" i="5"/>
  <c r="BF82" i="5"/>
  <c r="BU82" i="5"/>
  <c r="CI82" i="5"/>
  <c r="CJ82" i="5" s="1"/>
  <c r="BC82" i="5"/>
  <c r="BG82" i="5"/>
  <c r="BY82" i="5"/>
  <c r="CB82" i="5"/>
  <c r="CC82" i="5" s="1"/>
  <c r="CD82" i="5"/>
  <c r="BL82" i="5"/>
  <c r="BX82" i="5"/>
  <c r="BW82" i="5"/>
  <c r="BM82" i="5"/>
  <c r="CK82" i="5"/>
  <c r="BP82" i="5"/>
  <c r="BQ82" i="5"/>
  <c r="AT82" i="5"/>
  <c r="J84" i="5"/>
  <c r="AU82" i="5"/>
  <c r="AT81" i="5"/>
  <c r="BF81" i="5"/>
  <c r="BG81" i="5"/>
  <c r="AU81" i="5"/>
  <c r="BC81" i="5"/>
  <c r="CL83" i="5"/>
  <c r="BF83" i="5"/>
  <c r="BF84" i="5" s="1"/>
  <c r="BC83" i="5"/>
  <c r="BC84" i="5" s="1"/>
  <c r="BO83" i="5"/>
  <c r="BN83" i="5"/>
  <c r="H81" i="5"/>
  <c r="CL82" i="5"/>
  <c r="BO82" i="5"/>
  <c r="CE82" i="5"/>
  <c r="H83" i="5"/>
  <c r="BG83" i="5"/>
  <c r="BO81" i="5"/>
  <c r="BX81" i="5"/>
  <c r="CL81" i="5"/>
  <c r="CF81" i="5"/>
  <c r="T82" i="5"/>
  <c r="BU81" i="5"/>
  <c r="BT82" i="5"/>
  <c r="CE81" i="5"/>
  <c r="AS81" i="5"/>
  <c r="BQ81" i="5"/>
  <c r="BN81" i="5"/>
  <c r="S82" i="5"/>
  <c r="G83" i="5"/>
  <c r="CM82" i="5"/>
  <c r="CM81" i="5"/>
  <c r="BW81" i="5"/>
  <c r="AS82" i="5"/>
  <c r="CF82" i="5"/>
  <c r="CF83" i="5"/>
  <c r="T83" i="5"/>
  <c r="BM81" i="5"/>
  <c r="BN82" i="5"/>
  <c r="BL81" i="5"/>
  <c r="S83" i="5"/>
  <c r="BY81" i="5"/>
  <c r="CI81" i="5"/>
  <c r="AS83" i="5"/>
  <c r="H82" i="5"/>
  <c r="CM83" i="5"/>
  <c r="I81" i="5"/>
  <c r="CB81" i="5"/>
  <c r="BP81" i="5"/>
  <c r="CX82" i="5"/>
  <c r="CX81" i="5"/>
  <c r="K81" i="5"/>
  <c r="R83" i="5"/>
  <c r="G82" i="5"/>
  <c r="CX83" i="5"/>
  <c r="CX84" i="5" s="1"/>
  <c r="BT83" i="5"/>
  <c r="CK81" i="5"/>
  <c r="S81" i="5"/>
  <c r="BT81" i="5"/>
  <c r="G81" i="5"/>
  <c r="CD81" i="5"/>
  <c r="R81" i="5"/>
  <c r="R82" i="5"/>
  <c r="CE83" i="5"/>
  <c r="T81" i="5"/>
  <c r="P96" i="3" l="1"/>
  <c r="AM96" i="3"/>
  <c r="AQ96" i="3" s="1"/>
  <c r="AD95" i="3"/>
  <c r="AR95" i="3" s="1"/>
  <c r="AV95" i="3" s="1"/>
  <c r="AC95" i="3"/>
  <c r="AY95" i="3"/>
  <c r="Y96" i="3"/>
  <c r="BE96" i="3"/>
  <c r="BJ96" i="3"/>
  <c r="AZ83" i="5"/>
  <c r="CO83" i="5"/>
  <c r="F82" i="5"/>
  <c r="W83" i="5"/>
  <c r="W84" i="5" s="1"/>
  <c r="W82" i="5"/>
  <c r="W81" i="5"/>
  <c r="AZ81" i="5"/>
  <c r="AW81" i="5"/>
  <c r="AX81" i="5"/>
  <c r="AF82" i="5"/>
  <c r="AY82" i="5"/>
  <c r="CO82" i="5"/>
  <c r="AF81" i="5"/>
  <c r="AY81" i="5"/>
  <c r="AF83" i="5"/>
  <c r="AY83" i="5"/>
  <c r="AW83" i="5"/>
  <c r="AX83" i="5"/>
  <c r="AZ82" i="5"/>
  <c r="AX82" i="5"/>
  <c r="F83" i="5"/>
  <c r="CD84" i="5"/>
  <c r="CS82" i="5"/>
  <c r="CP82" i="5"/>
  <c r="CQ82" i="5" s="1"/>
  <c r="BR83" i="5"/>
  <c r="BS82" i="5"/>
  <c r="K84" i="5"/>
  <c r="D81" i="5"/>
  <c r="BP84" i="5"/>
  <c r="BR82" i="5"/>
  <c r="CS83" i="5"/>
  <c r="M81" i="5"/>
  <c r="CI84" i="5"/>
  <c r="CP83" i="5"/>
  <c r="CQ83" i="5" s="1"/>
  <c r="AV82" i="5"/>
  <c r="CB84" i="5"/>
  <c r="AE81" i="5"/>
  <c r="AG81" i="5"/>
  <c r="D83" i="5"/>
  <c r="N82" i="5"/>
  <c r="BU84" i="5"/>
  <c r="BD81" i="5"/>
  <c r="BK81" i="5" s="1"/>
  <c r="BW84" i="5"/>
  <c r="CR82" i="5"/>
  <c r="AE83" i="5"/>
  <c r="BD82" i="5"/>
  <c r="BK82" i="5" s="1"/>
  <c r="AV81" i="5"/>
  <c r="BD83" i="5"/>
  <c r="BK83" i="5" s="1"/>
  <c r="AE82" i="5"/>
  <c r="AG82" i="5"/>
  <c r="BS83" i="5"/>
  <c r="CC81" i="5"/>
  <c r="CG81" i="5" s="1"/>
  <c r="D82" i="5"/>
  <c r="BL84" i="5"/>
  <c r="CK84" i="5"/>
  <c r="BV83" i="5"/>
  <c r="BZ83" i="5" s="1"/>
  <c r="CP81" i="5"/>
  <c r="CQ81" i="5" s="1"/>
  <c r="CO81" i="5"/>
  <c r="BG84" i="5"/>
  <c r="BM84" i="5"/>
  <c r="G84" i="5"/>
  <c r="I84" i="5" s="1"/>
  <c r="AG83" i="5"/>
  <c r="CN83" i="5"/>
  <c r="CE84" i="5"/>
  <c r="AV83" i="5"/>
  <c r="CG82" i="5"/>
  <c r="CR83" i="5"/>
  <c r="N83" i="5"/>
  <c r="CN82" i="5"/>
  <c r="BQ84" i="5"/>
  <c r="CC83" i="5"/>
  <c r="CG83" i="5" s="1"/>
  <c r="BV82" i="5"/>
  <c r="BZ82" i="5" s="1"/>
  <c r="CL84" i="5"/>
  <c r="BV81" i="5"/>
  <c r="BT84" i="5"/>
  <c r="CM84" i="5"/>
  <c r="CS81" i="5"/>
  <c r="M82" i="5"/>
  <c r="R84" i="5"/>
  <c r="BY84" i="5"/>
  <c r="O83" i="5"/>
  <c r="CJ81" i="5"/>
  <c r="X81" i="5"/>
  <c r="X82" i="5"/>
  <c r="O81" i="5"/>
  <c r="T84" i="5"/>
  <c r="M83" i="5"/>
  <c r="BN84" i="5"/>
  <c r="S84" i="5"/>
  <c r="AJ84" i="5" s="1"/>
  <c r="N81" i="5"/>
  <c r="X83" i="5"/>
  <c r="X84" i="5" s="1"/>
  <c r="O82" i="5"/>
  <c r="BO84" i="5"/>
  <c r="BS81" i="5"/>
  <c r="BR81" i="5"/>
  <c r="BX84" i="5"/>
  <c r="CF84" i="5"/>
  <c r="CR81" i="5"/>
  <c r="F81" i="5"/>
  <c r="AC96" i="3" l="1"/>
  <c r="AD96" i="3"/>
  <c r="AR96" i="3" s="1"/>
  <c r="AV96" i="3" s="1"/>
  <c r="AY96" i="3"/>
  <c r="AA82" i="5"/>
  <c r="CT83" i="5"/>
  <c r="E82" i="5"/>
  <c r="CT82" i="5"/>
  <c r="AA83" i="5"/>
  <c r="AW82" i="5"/>
  <c r="AD83" i="5"/>
  <c r="E83" i="5"/>
  <c r="BI81" i="5"/>
  <c r="E81" i="5"/>
  <c r="AI84" i="5"/>
  <c r="Z81" i="5"/>
  <c r="CR84" i="5"/>
  <c r="BI83" i="5"/>
  <c r="D84" i="5"/>
  <c r="H84" i="5" s="1"/>
  <c r="F84" i="5" s="1"/>
  <c r="AB82" i="5"/>
  <c r="Z83" i="5"/>
  <c r="CO84" i="5"/>
  <c r="CT81" i="5"/>
  <c r="BI82" i="5"/>
  <c r="BD84" i="5"/>
  <c r="BI84" i="5" s="1"/>
  <c r="AD81" i="5"/>
  <c r="Z82" i="5"/>
  <c r="AD82" i="5"/>
  <c r="AB83" i="5"/>
  <c r="CC84" i="5"/>
  <c r="CG84" i="5" s="1"/>
  <c r="AB81" i="5"/>
  <c r="O84" i="5"/>
  <c r="CN81" i="5"/>
  <c r="CJ84" i="5"/>
  <c r="BS84" i="5"/>
  <c r="AK84" i="5"/>
  <c r="CP84" i="5"/>
  <c r="CQ84" i="5" s="1"/>
  <c r="AX84" i="5"/>
  <c r="CS84" i="5"/>
  <c r="BZ81" i="5"/>
  <c r="BV84" i="5"/>
  <c r="AA81" i="5"/>
  <c r="N84" i="5"/>
  <c r="M84" i="5"/>
  <c r="AO84" i="5"/>
  <c r="BR84" i="5"/>
  <c r="AA84" i="5" l="1"/>
  <c r="AF84" i="5" s="1"/>
  <c r="AT84" i="5" s="1"/>
  <c r="E84" i="5"/>
  <c r="CT84" i="5"/>
  <c r="Z84" i="5"/>
  <c r="AZ84" i="5" s="1"/>
  <c r="BK84" i="5"/>
  <c r="AB84" i="5"/>
  <c r="AG84" i="5" s="1"/>
  <c r="AU84" i="5" s="1"/>
  <c r="CN84" i="5"/>
  <c r="BZ84" i="5"/>
  <c r="AP84" i="5"/>
  <c r="AN84" i="5"/>
  <c r="AE84" i="5" l="1"/>
  <c r="AS84" i="5" s="1"/>
  <c r="CB89" i="5"/>
  <c r="CC89" i="5" s="1"/>
  <c r="BW89" i="5"/>
  <c r="I89" i="5"/>
  <c r="BY89" i="5"/>
  <c r="BQ89" i="5"/>
  <c r="BL89" i="5"/>
  <c r="K89" i="5"/>
  <c r="BU89" i="5"/>
  <c r="BM89" i="5"/>
  <c r="AU89" i="5"/>
  <c r="CK89" i="5"/>
  <c r="AT89" i="5"/>
  <c r="BP89" i="5"/>
  <c r="CD89" i="5"/>
  <c r="BX89" i="5"/>
  <c r="CI89" i="5"/>
  <c r="BC88" i="5"/>
  <c r="CB88" i="5"/>
  <c r="BP88" i="5"/>
  <c r="BF88" i="5"/>
  <c r="BX88" i="5"/>
  <c r="BW88" i="5"/>
  <c r="BY88" i="5"/>
  <c r="BM88" i="5"/>
  <c r="BU88" i="5"/>
  <c r="BG88" i="5"/>
  <c r="BL88" i="5"/>
  <c r="BQ88" i="5"/>
  <c r="CK88" i="5"/>
  <c r="AT88" i="5"/>
  <c r="CD88" i="5"/>
  <c r="CI88" i="5"/>
  <c r="AU88" i="5"/>
  <c r="K88" i="5"/>
  <c r="I88" i="5"/>
  <c r="CI87" i="5"/>
  <c r="CJ87" i="5" s="1"/>
  <c r="BC87" i="5"/>
  <c r="BQ87" i="5"/>
  <c r="BY87" i="5"/>
  <c r="BL87" i="5"/>
  <c r="BP87" i="5"/>
  <c r="BG87" i="5"/>
  <c r="BU87" i="5"/>
  <c r="AT87" i="5"/>
  <c r="CB87" i="5"/>
  <c r="BW87" i="5"/>
  <c r="BF87" i="5"/>
  <c r="BX87" i="5"/>
  <c r="AU87" i="5"/>
  <c r="I87" i="5"/>
  <c r="CD87" i="5"/>
  <c r="K87" i="5"/>
  <c r="CK87" i="5"/>
  <c r="BM87" i="5"/>
  <c r="BM86" i="5"/>
  <c r="BY86" i="5"/>
  <c r="BG86" i="5"/>
  <c r="BL86" i="5"/>
  <c r="BW86" i="5"/>
  <c r="I86" i="5"/>
  <c r="BU86" i="5"/>
  <c r="K86" i="5"/>
  <c r="BP86" i="5"/>
  <c r="BF86" i="5"/>
  <c r="CK86" i="5"/>
  <c r="CB86" i="5"/>
  <c r="BX86" i="5"/>
  <c r="AT86" i="5"/>
  <c r="CI86" i="5"/>
  <c r="CD86" i="5"/>
  <c r="BC86" i="5"/>
  <c r="BQ86" i="5"/>
  <c r="AU86" i="5"/>
  <c r="I85" i="5"/>
  <c r="BG85" i="5"/>
  <c r="AU85" i="5"/>
  <c r="BF85" i="5"/>
  <c r="BC85" i="5"/>
  <c r="AT85" i="5"/>
  <c r="CF88" i="5"/>
  <c r="BO89" i="5"/>
  <c r="BN89" i="5"/>
  <c r="CL87" i="5"/>
  <c r="H88" i="5"/>
  <c r="BC89" i="5"/>
  <c r="BC90" i="5" s="1"/>
  <c r="CL86" i="5"/>
  <c r="CL89" i="5"/>
  <c r="CM89" i="5"/>
  <c r="BO88" i="5"/>
  <c r="AS87" i="5"/>
  <c r="BN86" i="5"/>
  <c r="BO87" i="5"/>
  <c r="T89" i="5"/>
  <c r="R87" i="5"/>
  <c r="H87" i="5"/>
  <c r="CJ88" i="5"/>
  <c r="CX87" i="5"/>
  <c r="CL88" i="5"/>
  <c r="CM85" i="5"/>
  <c r="H85" i="5"/>
  <c r="R86" i="5"/>
  <c r="CL85" i="5"/>
  <c r="CE86" i="5"/>
  <c r="CE87" i="5"/>
  <c r="CX89" i="5"/>
  <c r="CB85" i="5"/>
  <c r="AS85" i="5"/>
  <c r="CK85" i="5"/>
  <c r="R85" i="5"/>
  <c r="T86" i="5"/>
  <c r="CE88" i="5"/>
  <c r="CX86" i="5"/>
  <c r="CF85" i="5"/>
  <c r="BY85" i="5"/>
  <c r="BM85" i="5"/>
  <c r="BG89" i="5"/>
  <c r="BG90" i="5" s="1"/>
  <c r="H86" i="5"/>
  <c r="CF86" i="5"/>
  <c r="CM88" i="5"/>
  <c r="G88" i="5"/>
  <c r="G87" i="5"/>
  <c r="CM87" i="5"/>
  <c r="G86" i="5"/>
  <c r="CF87" i="5"/>
  <c r="BO86" i="5"/>
  <c r="S86" i="5"/>
  <c r="CX85" i="5"/>
  <c r="AS88" i="5"/>
  <c r="J90" i="5"/>
  <c r="CF89" i="5"/>
  <c r="CM86" i="5"/>
  <c r="AS86" i="5"/>
  <c r="BN87" i="5"/>
  <c r="BT88" i="5"/>
  <c r="CE89" i="5"/>
  <c r="T87" i="5"/>
  <c r="BU85" i="5"/>
  <c r="BF89" i="5"/>
  <c r="BF90" i="5" s="1"/>
  <c r="BX85" i="5"/>
  <c r="R89" i="5"/>
  <c r="G89" i="5"/>
  <c r="BT87" i="5"/>
  <c r="BT86" i="5"/>
  <c r="BO85" i="5"/>
  <c r="AS89" i="5"/>
  <c r="S85" i="5"/>
  <c r="BT89" i="5"/>
  <c r="K85" i="5"/>
  <c r="CE85" i="5"/>
  <c r="BQ85" i="5"/>
  <c r="T88" i="5"/>
  <c r="G85" i="5"/>
  <c r="BN88" i="5"/>
  <c r="BN85" i="5"/>
  <c r="CX88" i="5"/>
  <c r="CI85" i="5"/>
  <c r="T85" i="5"/>
  <c r="CD85" i="5"/>
  <c r="R88" i="5"/>
  <c r="H89" i="5"/>
  <c r="BL85" i="5"/>
  <c r="BW85" i="5"/>
  <c r="BP85" i="5"/>
  <c r="S87" i="5"/>
  <c r="S89" i="5"/>
  <c r="S88" i="5"/>
  <c r="BT85" i="5"/>
  <c r="W89" i="5" l="1"/>
  <c r="W90" i="5" s="1"/>
  <c r="W91" i="5"/>
  <c r="W87" i="5"/>
  <c r="BV86" i="5"/>
  <c r="BZ86" i="5" s="1"/>
  <c r="W88" i="5"/>
  <c r="CO87" i="5"/>
  <c r="BS88" i="5"/>
  <c r="W86" i="5"/>
  <c r="W85" i="5"/>
  <c r="AZ88" i="5"/>
  <c r="AX89" i="5"/>
  <c r="F87" i="5"/>
  <c r="AZ89" i="5"/>
  <c r="AZ85" i="5"/>
  <c r="AF88" i="5"/>
  <c r="AY88" i="5"/>
  <c r="AF87" i="5"/>
  <c r="AY87" i="5"/>
  <c r="AF86" i="5"/>
  <c r="AY86" i="5"/>
  <c r="AW86" i="5"/>
  <c r="AX86" i="5"/>
  <c r="AW88" i="5"/>
  <c r="AX88" i="5"/>
  <c r="AF89" i="5"/>
  <c r="AY89" i="5"/>
  <c r="AF85" i="5"/>
  <c r="AY85" i="5"/>
  <c r="AZ87" i="5"/>
  <c r="AX87" i="5"/>
  <c r="AG86" i="5"/>
  <c r="AZ86" i="5"/>
  <c r="AW85" i="5"/>
  <c r="AX85" i="5"/>
  <c r="BV89" i="5"/>
  <c r="BZ89" i="5" s="1"/>
  <c r="BR87" i="5"/>
  <c r="AV86" i="5"/>
  <c r="X89" i="5"/>
  <c r="X90" i="5" s="1"/>
  <c r="CR87" i="5"/>
  <c r="BX90" i="5"/>
  <c r="O85" i="5"/>
  <c r="BV87" i="5"/>
  <c r="BZ87" i="5" s="1"/>
  <c r="M85" i="5"/>
  <c r="AE89" i="5"/>
  <c r="CJ89" i="5"/>
  <c r="CN89" i="5" s="1"/>
  <c r="CJ86" i="5"/>
  <c r="CN86" i="5" s="1"/>
  <c r="CS86" i="5"/>
  <c r="CP86" i="5"/>
  <c r="CQ86" i="5" s="1"/>
  <c r="AV87" i="5"/>
  <c r="AG88" i="5"/>
  <c r="F89" i="5"/>
  <c r="CK90" i="5"/>
  <c r="CS87" i="5"/>
  <c r="BS89" i="5"/>
  <c r="O87" i="5"/>
  <c r="CS85" i="5"/>
  <c r="CC87" i="5"/>
  <c r="CG87" i="5" s="1"/>
  <c r="BS87" i="5"/>
  <c r="K90" i="5"/>
  <c r="K96" i="5" s="1"/>
  <c r="CO89" i="5"/>
  <c r="M87" i="5"/>
  <c r="AG89" i="5"/>
  <c r="CN87" i="5"/>
  <c r="AV89" i="5"/>
  <c r="AV88" i="5"/>
  <c r="CG89" i="5"/>
  <c r="AV85" i="5"/>
  <c r="BR86" i="5"/>
  <c r="N89" i="5"/>
  <c r="N87" i="5"/>
  <c r="D88" i="5"/>
  <c r="CP88" i="5"/>
  <c r="CQ88" i="5" s="1"/>
  <c r="BQ90" i="5"/>
  <c r="BP90" i="5"/>
  <c r="CP89" i="5"/>
  <c r="CQ89" i="5" s="1"/>
  <c r="CS88" i="5"/>
  <c r="N88" i="5"/>
  <c r="X86" i="5"/>
  <c r="CO86" i="5"/>
  <c r="BV88" i="5"/>
  <c r="BZ88" i="5" s="1"/>
  <c r="CR85" i="5"/>
  <c r="F86" i="5"/>
  <c r="BD86" i="5"/>
  <c r="BK86" i="5" s="1"/>
  <c r="BD88" i="5"/>
  <c r="BK88" i="5" s="1"/>
  <c r="BS86" i="5"/>
  <c r="CI90" i="5"/>
  <c r="CM90" i="5"/>
  <c r="BR89" i="5"/>
  <c r="D87" i="5"/>
  <c r="AG85" i="5"/>
  <c r="CC86" i="5"/>
  <c r="CG86" i="5" s="1"/>
  <c r="BW90" i="5"/>
  <c r="D86" i="5"/>
  <c r="CD90" i="5"/>
  <c r="CO85" i="5"/>
  <c r="O88" i="5"/>
  <c r="CP87" i="5"/>
  <c r="CQ87" i="5" s="1"/>
  <c r="R90" i="5"/>
  <c r="BU90" i="5"/>
  <c r="F88" i="5"/>
  <c r="AG87" i="5"/>
  <c r="O86" i="5"/>
  <c r="BR88" i="5"/>
  <c r="O89" i="5"/>
  <c r="CS89" i="5"/>
  <c r="CC88" i="5"/>
  <c r="CG88" i="5" s="1"/>
  <c r="CB90" i="5"/>
  <c r="CE90" i="5"/>
  <c r="F85" i="5"/>
  <c r="X88" i="5"/>
  <c r="AE85" i="5"/>
  <c r="BL90" i="5"/>
  <c r="BM90" i="5"/>
  <c r="CO88" i="5"/>
  <c r="BN90" i="5"/>
  <c r="BR85" i="5"/>
  <c r="CF90" i="5"/>
  <c r="CP85" i="5"/>
  <c r="CQ85" i="5" s="1"/>
  <c r="CR89" i="5"/>
  <c r="M89" i="5"/>
  <c r="AW89" i="5"/>
  <c r="BT90" i="5"/>
  <c r="G90" i="5"/>
  <c r="I90" i="5" s="1"/>
  <c r="D85" i="5"/>
  <c r="BO90" i="5"/>
  <c r="BS85" i="5"/>
  <c r="M86" i="5"/>
  <c r="N85" i="5"/>
  <c r="S90" i="5"/>
  <c r="AJ90" i="5" s="1"/>
  <c r="D89" i="5"/>
  <c r="AE86" i="5"/>
  <c r="CC85" i="5"/>
  <c r="AE88" i="5"/>
  <c r="M88" i="5"/>
  <c r="CJ85" i="5"/>
  <c r="X87" i="5"/>
  <c r="BY90" i="5"/>
  <c r="CN88" i="5"/>
  <c r="AW87" i="5"/>
  <c r="AE87" i="5"/>
  <c r="CR88" i="5"/>
  <c r="CR86" i="5"/>
  <c r="CX90" i="5"/>
  <c r="BD89" i="5"/>
  <c r="BD87" i="5"/>
  <c r="N86" i="5"/>
  <c r="BD85" i="5"/>
  <c r="BK85" i="5" s="1"/>
  <c r="BV85" i="5"/>
  <c r="T90" i="5"/>
  <c r="X85" i="5"/>
  <c r="CL90" i="5"/>
  <c r="AA86" i="5" l="1"/>
  <c r="CT87" i="5"/>
  <c r="AB87" i="5"/>
  <c r="AA89" i="5"/>
  <c r="AB86" i="5"/>
  <c r="AD85" i="5"/>
  <c r="AD86" i="5"/>
  <c r="AA87" i="5"/>
  <c r="CT89" i="5"/>
  <c r="AD88" i="5"/>
  <c r="AA88" i="5"/>
  <c r="E87" i="5"/>
  <c r="CT86" i="5"/>
  <c r="CO90" i="5"/>
  <c r="Z85" i="5"/>
  <c r="CS90" i="5"/>
  <c r="E89" i="5"/>
  <c r="Z87" i="5"/>
  <c r="AB85" i="5"/>
  <c r="AB88" i="5"/>
  <c r="AI90" i="5"/>
  <c r="Z89" i="5"/>
  <c r="AB89" i="5"/>
  <c r="CT88" i="5"/>
  <c r="E88" i="5"/>
  <c r="CT85" i="5"/>
  <c r="BI86" i="5"/>
  <c r="Z88" i="5"/>
  <c r="BI88" i="5"/>
  <c r="O90" i="5"/>
  <c r="AP90" i="5" s="1"/>
  <c r="E86" i="5"/>
  <c r="BI85" i="5"/>
  <c r="AX90" i="5"/>
  <c r="Z86" i="5"/>
  <c r="BD90" i="5"/>
  <c r="BK89" i="5"/>
  <c r="BI89" i="5"/>
  <c r="CG85" i="5"/>
  <c r="CC90" i="5"/>
  <c r="BK87" i="5"/>
  <c r="BI87" i="5"/>
  <c r="CR90" i="5"/>
  <c r="D90" i="5"/>
  <c r="E85" i="5"/>
  <c r="AA85" i="5"/>
  <c r="N90" i="5"/>
  <c r="BZ85" i="5"/>
  <c r="BV90" i="5"/>
  <c r="AD87" i="5"/>
  <c r="CN85" i="5"/>
  <c r="CJ90" i="5"/>
  <c r="BS90" i="5"/>
  <c r="AD89" i="5"/>
  <c r="CP90" i="5"/>
  <c r="CQ90" i="5" s="1"/>
  <c r="AK90" i="5"/>
  <c r="AO90" i="5"/>
  <c r="M90" i="5"/>
  <c r="AN90" i="5" s="1"/>
  <c r="BR90" i="5"/>
  <c r="AA90" i="5" l="1"/>
  <c r="AF90" i="5" s="1"/>
  <c r="AT90" i="5" s="1"/>
  <c r="CT90" i="5"/>
  <c r="AB90" i="5"/>
  <c r="AG90" i="5" s="1"/>
  <c r="AU90" i="5" s="1"/>
  <c r="Z90" i="5"/>
  <c r="AE90" i="5" s="1"/>
  <c r="AS90" i="5" s="1"/>
  <c r="E90" i="5"/>
  <c r="CG90" i="5"/>
  <c r="H90" i="5"/>
  <c r="F90" i="5" s="1"/>
  <c r="CN90" i="5"/>
  <c r="BK90" i="5"/>
  <c r="BI90" i="5"/>
  <c r="BZ90" i="5"/>
  <c r="AZ90" i="5" l="1"/>
  <c r="BP94" i="5"/>
  <c r="BL94" i="5"/>
  <c r="AU94" i="5"/>
  <c r="AT94" i="5"/>
  <c r="BX94" i="5"/>
  <c r="I94" i="5"/>
  <c r="CB94" i="5"/>
  <c r="CD94" i="5"/>
  <c r="K94" i="5"/>
  <c r="BW94" i="5"/>
  <c r="BQ94" i="5"/>
  <c r="CK94" i="5"/>
  <c r="BY94" i="5"/>
  <c r="BM94" i="5"/>
  <c r="BU94" i="5"/>
  <c r="CI94" i="5"/>
  <c r="CK93" i="5"/>
  <c r="BU93" i="5"/>
  <c r="CI93" i="5"/>
  <c r="BQ93" i="5"/>
  <c r="CD93" i="5"/>
  <c r="BX93" i="5"/>
  <c r="BL93" i="5"/>
  <c r="BW93" i="5"/>
  <c r="AT93" i="5"/>
  <c r="AU93" i="5"/>
  <c r="CB93" i="5"/>
  <c r="BM93" i="5"/>
  <c r="K93" i="5"/>
  <c r="BC93" i="5"/>
  <c r="BF93" i="5"/>
  <c r="BP93" i="5"/>
  <c r="I93" i="5"/>
  <c r="BY93" i="5"/>
  <c r="BG93" i="5"/>
  <c r="BW92" i="5"/>
  <c r="BM92" i="5"/>
  <c r="BY92" i="5"/>
  <c r="BL92" i="5"/>
  <c r="BQ92" i="5"/>
  <c r="BP92" i="5"/>
  <c r="CD92" i="5"/>
  <c r="BG92" i="5"/>
  <c r="BC92" i="5"/>
  <c r="AT92" i="5"/>
  <c r="CK92" i="5"/>
  <c r="BX92" i="5"/>
  <c r="I92" i="5"/>
  <c r="AU92" i="5"/>
  <c r="K92" i="5"/>
  <c r="BF92" i="5"/>
  <c r="BF91" i="5"/>
  <c r="AT91" i="5"/>
  <c r="CB91" i="5"/>
  <c r="CC91" i="5" s="1"/>
  <c r="I91" i="5"/>
  <c r="K91" i="5"/>
  <c r="BU91" i="5"/>
  <c r="BG91" i="5"/>
  <c r="BC91" i="5"/>
  <c r="AU91" i="5"/>
  <c r="CI91" i="5"/>
  <c r="CL93" i="5"/>
  <c r="CL92" i="5"/>
  <c r="CF92" i="5"/>
  <c r="BO94" i="5"/>
  <c r="BN92" i="5"/>
  <c r="H93" i="5"/>
  <c r="H94" i="5"/>
  <c r="CL91" i="5"/>
  <c r="CM93" i="5"/>
  <c r="CF93" i="5"/>
  <c r="H91" i="5"/>
  <c r="G92" i="5"/>
  <c r="CM91" i="5"/>
  <c r="CX94" i="5"/>
  <c r="CM94" i="5"/>
  <c r="BN94" i="5"/>
  <c r="G93" i="5"/>
  <c r="AS91" i="5"/>
  <c r="CF94" i="5"/>
  <c r="CX93" i="5"/>
  <c r="BP91" i="5"/>
  <c r="S93" i="5"/>
  <c r="R93" i="5"/>
  <c r="CK91" i="5"/>
  <c r="BY91" i="5"/>
  <c r="AS94" i="5"/>
  <c r="H92" i="5"/>
  <c r="CX91" i="5"/>
  <c r="CM92" i="5"/>
  <c r="BW91" i="5"/>
  <c r="BC94" i="5"/>
  <c r="BC95" i="5" s="1"/>
  <c r="BC96" i="5" s="1"/>
  <c r="BL91" i="5"/>
  <c r="BN91" i="5"/>
  <c r="R92" i="5"/>
  <c r="CF91" i="5"/>
  <c r="CL94" i="5"/>
  <c r="BO91" i="5"/>
  <c r="BG94" i="5"/>
  <c r="CE93" i="5"/>
  <c r="BT93" i="5"/>
  <c r="T94" i="5"/>
  <c r="S91" i="5"/>
  <c r="BT92" i="5"/>
  <c r="BO93" i="5"/>
  <c r="R91" i="5"/>
  <c r="R94" i="5"/>
  <c r="S94" i="5"/>
  <c r="G94" i="5"/>
  <c r="BF94" i="5"/>
  <c r="BF95" i="5" s="1"/>
  <c r="BF96" i="5" s="1"/>
  <c r="BN93" i="5"/>
  <c r="CE92" i="5"/>
  <c r="AS92" i="5"/>
  <c r="S92" i="5"/>
  <c r="BX91" i="5"/>
  <c r="BU92" i="5"/>
  <c r="G91" i="5"/>
  <c r="CE91" i="5"/>
  <c r="T92" i="5"/>
  <c r="BQ91" i="5"/>
  <c r="CI92" i="5"/>
  <c r="CE94" i="5"/>
  <c r="BT91" i="5"/>
  <c r="CX92" i="5"/>
  <c r="BM91" i="5"/>
  <c r="T93" i="5"/>
  <c r="CB92" i="5"/>
  <c r="CD91" i="5"/>
  <c r="BT94" i="5"/>
  <c r="BO92" i="5"/>
  <c r="AS93" i="5"/>
  <c r="T91" i="5"/>
  <c r="X91" i="5" s="1"/>
  <c r="BV94" i="5" l="1"/>
  <c r="BZ94" i="5" s="1"/>
  <c r="BS93" i="5"/>
  <c r="W93" i="5"/>
  <c r="W92" i="5"/>
  <c r="W94" i="5"/>
  <c r="W95" i="5" s="1"/>
  <c r="W96" i="5" s="1"/>
  <c r="D94" i="5"/>
  <c r="CX95" i="5"/>
  <c r="CX96" i="5" s="1"/>
  <c r="AY92" i="5"/>
  <c r="AZ93" i="5"/>
  <c r="CS92" i="5"/>
  <c r="AX94" i="5"/>
  <c r="AG91" i="5"/>
  <c r="AZ91" i="5"/>
  <c r="AF94" i="5"/>
  <c r="AY94" i="5"/>
  <c r="AF93" i="5"/>
  <c r="AY93" i="5"/>
  <c r="AX91" i="5"/>
  <c r="AF91" i="5"/>
  <c r="AY91" i="5"/>
  <c r="AX92" i="5"/>
  <c r="AG94" i="5"/>
  <c r="AZ94" i="5"/>
  <c r="AX93" i="5"/>
  <c r="AZ92" i="5"/>
  <c r="BR94" i="5"/>
  <c r="F93" i="5"/>
  <c r="AG93" i="5"/>
  <c r="CO93" i="5"/>
  <c r="O93" i="5"/>
  <c r="CP93" i="5"/>
  <c r="CQ93" i="5" s="1"/>
  <c r="CS93" i="5"/>
  <c r="BM95" i="5"/>
  <c r="BM96" i="5" s="1"/>
  <c r="CC93" i="5"/>
  <c r="CG93" i="5" s="1"/>
  <c r="AE92" i="5"/>
  <c r="CJ91" i="5"/>
  <c r="CN91" i="5" s="1"/>
  <c r="BS94" i="5"/>
  <c r="CB95" i="5"/>
  <c r="CB96" i="5" s="1"/>
  <c r="BU95" i="5"/>
  <c r="BU96" i="5" s="1"/>
  <c r="BD94" i="5"/>
  <c r="BD95" i="5" s="1"/>
  <c r="AE94" i="5"/>
  <c r="CP94" i="5"/>
  <c r="CQ94" i="5" s="1"/>
  <c r="BD91" i="5"/>
  <c r="BI91" i="5" s="1"/>
  <c r="CC94" i="5"/>
  <c r="CG94" i="5" s="1"/>
  <c r="AV93" i="5"/>
  <c r="AV91" i="5"/>
  <c r="O92" i="5"/>
  <c r="CJ93" i="5"/>
  <c r="CN93" i="5" s="1"/>
  <c r="F92" i="5"/>
  <c r="CO92" i="5"/>
  <c r="BP95" i="5"/>
  <c r="BP96" i="5" s="1"/>
  <c r="BV93" i="5"/>
  <c r="BZ93" i="5" s="1"/>
  <c r="F91" i="5"/>
  <c r="BD93" i="5"/>
  <c r="BK93" i="5" s="1"/>
  <c r="BS91" i="5"/>
  <c r="CD95" i="5"/>
  <c r="CD96" i="5" s="1"/>
  <c r="CR91" i="5"/>
  <c r="N91" i="5"/>
  <c r="CS94" i="5"/>
  <c r="CS91" i="5"/>
  <c r="CP92" i="5"/>
  <c r="CQ92" i="5" s="1"/>
  <c r="CR93" i="5"/>
  <c r="CJ94" i="5"/>
  <c r="CN94" i="5" s="1"/>
  <c r="CE95" i="5"/>
  <c r="CE96" i="5" s="1"/>
  <c r="D92" i="5"/>
  <c r="AE93" i="5"/>
  <c r="CO94" i="5"/>
  <c r="BS92" i="5"/>
  <c r="BR93" i="5"/>
  <c r="X94" i="5"/>
  <c r="X95" i="5" s="1"/>
  <c r="X96" i="5" s="1"/>
  <c r="BV91" i="5"/>
  <c r="BZ91" i="5" s="1"/>
  <c r="CC92" i="5"/>
  <c r="CG92" i="5" s="1"/>
  <c r="BG95" i="5"/>
  <c r="BG96" i="5" s="1"/>
  <c r="R95" i="5"/>
  <c r="AN95" i="5" s="1"/>
  <c r="CR92" i="5"/>
  <c r="O94" i="5"/>
  <c r="AV94" i="5"/>
  <c r="CL95" i="5"/>
  <c r="CL96" i="5" s="1"/>
  <c r="BL95" i="5"/>
  <c r="BL96" i="5" s="1"/>
  <c r="BD92" i="5"/>
  <c r="BK92" i="5" s="1"/>
  <c r="CM95" i="5"/>
  <c r="CM96" i="5" s="1"/>
  <c r="D93" i="5"/>
  <c r="BR91" i="5"/>
  <c r="BY95" i="5"/>
  <c r="BY96" i="5" s="1"/>
  <c r="CI95" i="5"/>
  <c r="CI96" i="5" s="1"/>
  <c r="BX95" i="5"/>
  <c r="BX96" i="5" s="1"/>
  <c r="CK95" i="5"/>
  <c r="CK96" i="5" s="1"/>
  <c r="AE91" i="5"/>
  <c r="BO95" i="5"/>
  <c r="BO96" i="5" s="1"/>
  <c r="CR94" i="5"/>
  <c r="M93" i="5"/>
  <c r="S95" i="5"/>
  <c r="AJ95" i="5" s="1"/>
  <c r="CO91" i="5"/>
  <c r="D91" i="5"/>
  <c r="G95" i="5"/>
  <c r="G96" i="5" s="1"/>
  <c r="AW94" i="5"/>
  <c r="M94" i="5"/>
  <c r="N93" i="5"/>
  <c r="BT95" i="5"/>
  <c r="BT96" i="5" s="1"/>
  <c r="BV92" i="5"/>
  <c r="BZ92" i="5" s="1"/>
  <c r="CF95" i="5"/>
  <c r="CP91" i="5"/>
  <c r="CQ91" i="5" s="1"/>
  <c r="J95" i="5"/>
  <c r="J96" i="5" s="1"/>
  <c r="N94" i="5"/>
  <c r="AW93" i="5"/>
  <c r="F94" i="5"/>
  <c r="T95" i="5"/>
  <c r="AK95" i="5" s="1"/>
  <c r="X92" i="5"/>
  <c r="O91" i="5"/>
  <c r="CG91" i="5"/>
  <c r="M92" i="5"/>
  <c r="BW95" i="5"/>
  <c r="BW96" i="5" s="1"/>
  <c r="AF92" i="5"/>
  <c r="N92" i="5"/>
  <c r="BR92" i="5"/>
  <c r="BN95" i="5"/>
  <c r="BQ95" i="5"/>
  <c r="BQ96" i="5" s="1"/>
  <c r="M91" i="5"/>
  <c r="CJ92" i="5"/>
  <c r="AG92" i="5"/>
  <c r="X93" i="5"/>
  <c r="AW91" i="5" l="1"/>
  <c r="AI95" i="5"/>
  <c r="E94" i="5"/>
  <c r="AB92" i="5"/>
  <c r="AA94" i="5"/>
  <c r="AD92" i="5"/>
  <c r="AA91" i="5"/>
  <c r="CT92" i="5"/>
  <c r="AB94" i="5"/>
  <c r="AW92" i="5"/>
  <c r="AB93" i="5"/>
  <c r="AA93" i="5"/>
  <c r="CT93" i="5"/>
  <c r="AD91" i="5"/>
  <c r="E93" i="5"/>
  <c r="Z94" i="5"/>
  <c r="Z92" i="5"/>
  <c r="BK94" i="5"/>
  <c r="BI94" i="5"/>
  <c r="R96" i="5"/>
  <c r="BK91" i="5"/>
  <c r="E92" i="5"/>
  <c r="CC95" i="5"/>
  <c r="CG95" i="5" s="1"/>
  <c r="BS96" i="5"/>
  <c r="CT94" i="5"/>
  <c r="CS95" i="5"/>
  <c r="CR96" i="5"/>
  <c r="AA92" i="5"/>
  <c r="CT91" i="5"/>
  <c r="BV95" i="5"/>
  <c r="BV96" i="5" s="1"/>
  <c r="BZ96" i="5" s="1"/>
  <c r="BI93" i="5"/>
  <c r="CR95" i="5"/>
  <c r="BI92" i="5"/>
  <c r="AX95" i="5"/>
  <c r="AX96" i="5" s="1"/>
  <c r="CO95" i="5"/>
  <c r="CO96" i="5"/>
  <c r="CS96" i="5"/>
  <c r="AV92" i="5"/>
  <c r="I95" i="5"/>
  <c r="I96" i="5" s="1"/>
  <c r="Z93" i="5"/>
  <c r="BK95" i="5"/>
  <c r="BD96" i="5"/>
  <c r="M95" i="5"/>
  <c r="Z91" i="5"/>
  <c r="E91" i="5"/>
  <c r="D95" i="5"/>
  <c r="CN92" i="5"/>
  <c r="CJ95" i="5"/>
  <c r="O95" i="5"/>
  <c r="AP95" i="5" s="1"/>
  <c r="AB91" i="5"/>
  <c r="BR95" i="5"/>
  <c r="BN96" i="5"/>
  <c r="BR96" i="5" s="1"/>
  <c r="BS95" i="5"/>
  <c r="BI95" i="5"/>
  <c r="T96" i="5"/>
  <c r="AK96" i="5" s="1"/>
  <c r="CF96" i="5"/>
  <c r="CP96" i="5" s="1"/>
  <c r="CQ96" i="5" s="1"/>
  <c r="CP95" i="5"/>
  <c r="CQ95" i="5" s="1"/>
  <c r="AD94" i="5"/>
  <c r="AO95" i="5"/>
  <c r="S96" i="5"/>
  <c r="AJ96" i="5" s="1"/>
  <c r="AD93" i="5"/>
  <c r="N95" i="5"/>
  <c r="AI96" i="5" l="1"/>
  <c r="AB95" i="5"/>
  <c r="AB96" i="5" s="1"/>
  <c r="AA95" i="5"/>
  <c r="AF95" i="5" s="1"/>
  <c r="AT95" i="5" s="1"/>
  <c r="E95" i="5"/>
  <c r="E96" i="5" s="1"/>
  <c r="CC96" i="5"/>
  <c r="CG96" i="5" s="1"/>
  <c r="CT95" i="5"/>
  <c r="BZ95" i="5"/>
  <c r="CT96" i="5"/>
  <c r="O96" i="5"/>
  <c r="N96" i="5"/>
  <c r="M96" i="5"/>
  <c r="BI96" i="5"/>
  <c r="BK96" i="5"/>
  <c r="AO96" i="5"/>
  <c r="D96" i="5"/>
  <c r="H96" i="5" s="1"/>
  <c r="F96" i="5" s="1"/>
  <c r="H95" i="5"/>
  <c r="F95" i="5" s="1"/>
  <c r="Z95" i="5"/>
  <c r="AZ95" i="5" s="1"/>
  <c r="CN95" i="5"/>
  <c r="CJ96" i="5"/>
  <c r="CN96" i="5" s="1"/>
  <c r="AG95" i="5" l="1"/>
  <c r="AU95" i="5" s="1"/>
  <c r="AA96" i="5"/>
  <c r="AF96" i="5" s="1"/>
  <c r="AT96" i="5" s="1"/>
  <c r="AG96" i="5"/>
  <c r="AU96" i="5" s="1"/>
  <c r="Z96" i="5"/>
  <c r="AE96" i="5" s="1"/>
  <c r="AS96" i="5" s="1"/>
  <c r="AE95" i="5"/>
  <c r="AS95" i="5" s="1"/>
  <c r="AN96" i="5"/>
  <c r="AP96" i="5"/>
  <c r="AZ96" i="5" l="1"/>
  <c r="Q36" i="5" l="1"/>
  <c r="BA36" i="5" s="1"/>
  <c r="Q37" i="5" l="1"/>
  <c r="BA37" i="5" s="1"/>
  <c r="BB35" i="5"/>
  <c r="V37" i="5" l="1"/>
  <c r="V38" i="5" s="1"/>
  <c r="BB36" i="5"/>
  <c r="V36" i="5"/>
  <c r="BE35" i="5"/>
  <c r="BJ35" i="5"/>
  <c r="L35" i="5"/>
  <c r="BH35" i="5"/>
  <c r="U35" i="5"/>
  <c r="Q39" i="5" l="1"/>
  <c r="BJ36" i="5"/>
  <c r="BE36" i="5"/>
  <c r="P35" i="5"/>
  <c r="Y35" i="5"/>
  <c r="U36" i="5"/>
  <c r="BH36" i="5"/>
  <c r="L36" i="5"/>
  <c r="BB37" i="5" l="1"/>
  <c r="BB38" i="5" s="1"/>
  <c r="BA38" i="5"/>
  <c r="BA39" i="5" s="1"/>
  <c r="V39" i="5"/>
  <c r="U37" i="5"/>
  <c r="L37" i="5"/>
  <c r="L38" i="5" s="1"/>
  <c r="Q38" i="5"/>
  <c r="BH37" i="5"/>
  <c r="P36" i="5"/>
  <c r="Y36" i="5"/>
  <c r="AC36" i="5" s="1"/>
  <c r="AC35" i="5"/>
  <c r="AH38" i="5" l="1"/>
  <c r="P38" i="5"/>
  <c r="P37" i="5"/>
  <c r="Y37" i="5"/>
  <c r="AC37" i="5" s="1"/>
  <c r="BE37" i="5"/>
  <c r="BJ37" i="5"/>
  <c r="U38" i="5"/>
  <c r="AM38" i="5"/>
  <c r="AL38" i="5" l="1"/>
  <c r="AQ38" i="5"/>
  <c r="AW38" i="5"/>
  <c r="BH38" i="5"/>
  <c r="Y38" i="5"/>
  <c r="BE38" i="5"/>
  <c r="BJ38" i="5"/>
  <c r="Q40" i="5" l="1"/>
  <c r="BA40" i="5" s="1"/>
  <c r="AC38" i="5"/>
  <c r="AD38" i="5"/>
  <c r="AR38" i="5" s="1"/>
  <c r="AV38" i="5" s="1"/>
  <c r="U39" i="5"/>
  <c r="L39" i="5"/>
  <c r="CW39" i="5"/>
  <c r="Q41" i="5" l="1"/>
  <c r="BA41" i="5" s="1"/>
  <c r="BB39" i="5"/>
  <c r="BJ39" i="5"/>
  <c r="BE39" i="5"/>
  <c r="BH39" i="5"/>
  <c r="CY39" i="5"/>
  <c r="Y39" i="5"/>
  <c r="P39" i="5"/>
  <c r="V40" i="5" l="1"/>
  <c r="V41" i="5"/>
  <c r="BB40" i="5"/>
  <c r="L40" i="5"/>
  <c r="Y40" i="5" s="1"/>
  <c r="AC40" i="5" s="1"/>
  <c r="L41" i="5"/>
  <c r="BE40" i="5"/>
  <c r="BJ40" i="5"/>
  <c r="BH40" i="5"/>
  <c r="CW40" i="5"/>
  <c r="CY40" i="5" s="1"/>
  <c r="U40" i="5"/>
  <c r="AC39" i="5"/>
  <c r="P40" i="5"/>
  <c r="Q42" i="5" l="1"/>
  <c r="BA42" i="5" s="1"/>
  <c r="U41" i="5"/>
  <c r="CW41" i="5"/>
  <c r="CY41" i="5" s="1"/>
  <c r="P41" i="5"/>
  <c r="Y41" i="5"/>
  <c r="V42" i="5" l="1"/>
  <c r="V43" i="5" s="1"/>
  <c r="V44" i="5" s="1"/>
  <c r="BB41" i="5"/>
  <c r="BH41" i="5"/>
  <c r="BJ41" i="5"/>
  <c r="BE41" i="5"/>
  <c r="AC41" i="5"/>
  <c r="CW42" i="5" l="1"/>
  <c r="CY42" i="5" s="1"/>
  <c r="Q45" i="5"/>
  <c r="Q43" i="5"/>
  <c r="U42" i="5"/>
  <c r="L42" i="5"/>
  <c r="Y42" i="5" s="1"/>
  <c r="U43" i="5" l="1"/>
  <c r="Q44" i="5"/>
  <c r="U44" i="5" s="1"/>
  <c r="AH43" i="5"/>
  <c r="CW43" i="5"/>
  <c r="V45" i="5"/>
  <c r="BB42" i="5"/>
  <c r="BB43" i="5" s="1"/>
  <c r="BB44" i="5" s="1"/>
  <c r="BA43" i="5"/>
  <c r="BJ42" i="5"/>
  <c r="BH42" i="5"/>
  <c r="BE42" i="5"/>
  <c r="P42" i="5"/>
  <c r="L43" i="5"/>
  <c r="AM43" i="5" s="1"/>
  <c r="AC42" i="5"/>
  <c r="Y43" i="5"/>
  <c r="BH43" i="5" l="1"/>
  <c r="AQ43" i="5"/>
  <c r="AW43" i="5"/>
  <c r="P43" i="5"/>
  <c r="L44" i="5"/>
  <c r="AM44" i="5" s="1"/>
  <c r="CW44" i="5"/>
  <c r="CY44" i="5" s="1"/>
  <c r="CY43" i="5"/>
  <c r="AC43" i="5"/>
  <c r="AD43" i="5"/>
  <c r="AR43" i="5" s="1"/>
  <c r="AV43" i="5" s="1"/>
  <c r="Y44" i="5"/>
  <c r="BA44" i="5"/>
  <c r="BJ43" i="5"/>
  <c r="BE43" i="5"/>
  <c r="AH44" i="5"/>
  <c r="AL43" i="5"/>
  <c r="AL44" i="5" s="1"/>
  <c r="BJ44" i="5" l="1"/>
  <c r="BA45" i="5"/>
  <c r="Q46" i="5" s="1"/>
  <c r="BA46" i="5" s="1"/>
  <c r="BE44" i="5"/>
  <c r="BH44" i="5"/>
  <c r="P44" i="5"/>
  <c r="AQ44" i="5"/>
  <c r="AW44" i="5"/>
  <c r="L45" i="5"/>
  <c r="P45" i="5" s="1"/>
  <c r="U45" i="5"/>
  <c r="CW45" i="5"/>
  <c r="CY45" i="5" s="1"/>
  <c r="AD44" i="5"/>
  <c r="AR44" i="5" s="1"/>
  <c r="AV44" i="5" s="1"/>
  <c r="AC44" i="5"/>
  <c r="BB45" i="5" l="1"/>
  <c r="BE45" i="5"/>
  <c r="BJ45" i="5"/>
  <c r="V46" i="5"/>
  <c r="BH45" i="5"/>
  <c r="Q47" i="5"/>
  <c r="BA47" i="5" s="1"/>
  <c r="Y45" i="5"/>
  <c r="AC45" i="5" s="1"/>
  <c r="U46" i="5"/>
  <c r="L46" i="5"/>
  <c r="CW46" i="5"/>
  <c r="BB46" i="5" l="1"/>
  <c r="BE46" i="5"/>
  <c r="BJ46" i="5"/>
  <c r="Q48" i="5"/>
  <c r="Q49" i="5" s="1"/>
  <c r="BH46" i="5"/>
  <c r="P46" i="5"/>
  <c r="Y46" i="5"/>
  <c r="CY46" i="5"/>
  <c r="BA48" i="5" l="1"/>
  <c r="BB47" i="5"/>
  <c r="U47" i="5"/>
  <c r="V48" i="5"/>
  <c r="V49" i="5" s="1"/>
  <c r="L47" i="5"/>
  <c r="Y47" i="5" s="1"/>
  <c r="AC47" i="5" s="1"/>
  <c r="V47" i="5"/>
  <c r="CW47" i="5"/>
  <c r="CY47" i="5" s="1"/>
  <c r="BE47" i="5"/>
  <c r="BJ47" i="5"/>
  <c r="BH47" i="5"/>
  <c r="AC46" i="5"/>
  <c r="P47" i="5" l="1"/>
  <c r="Q50" i="5"/>
  <c r="AH49" i="5"/>
  <c r="L48" i="5"/>
  <c r="L49" i="5" s="1"/>
  <c r="CW48" i="5"/>
  <c r="CW49" i="5" s="1"/>
  <c r="AW49" i="5"/>
  <c r="U48" i="5"/>
  <c r="BA49" i="5" l="1"/>
  <c r="BB48" i="5"/>
  <c r="BB49" i="5" s="1"/>
  <c r="AL49" i="5"/>
  <c r="BH48" i="5"/>
  <c r="BE48" i="5"/>
  <c r="Y48" i="5"/>
  <c r="AC48" i="5" s="1"/>
  <c r="AM49" i="5"/>
  <c r="AQ49" i="5" s="1"/>
  <c r="P48" i="5"/>
  <c r="U49" i="5"/>
  <c r="CY48" i="5"/>
  <c r="P49" i="5"/>
  <c r="BJ48" i="5"/>
  <c r="CY49" i="5"/>
  <c r="V50" i="5" l="1"/>
  <c r="BA50" i="5"/>
  <c r="Q51" i="5" s="1"/>
  <c r="BA51" i="5" s="1"/>
  <c r="Y49" i="5"/>
  <c r="AY49" i="5" s="1"/>
  <c r="BH49" i="5"/>
  <c r="BE49" i="5"/>
  <c r="BJ49" i="5"/>
  <c r="AD49" i="5" l="1"/>
  <c r="AR49" i="5" s="1"/>
  <c r="AV49" i="5" s="1"/>
  <c r="AC49" i="5"/>
  <c r="V51" i="5"/>
  <c r="BB50" i="5"/>
  <c r="BH50" i="5"/>
  <c r="L50" i="5"/>
  <c r="CW50" i="5"/>
  <c r="U50" i="5"/>
  <c r="P50" i="5" l="1"/>
  <c r="Y50" i="5"/>
  <c r="AC50" i="5" s="1"/>
  <c r="CY50" i="5"/>
  <c r="Q52" i="5"/>
  <c r="BA52" i="5" s="1"/>
  <c r="BE50" i="5"/>
  <c r="BJ50" i="5"/>
  <c r="V52" i="5" l="1"/>
  <c r="BB51" i="5"/>
  <c r="CW51" i="5"/>
  <c r="CY51" i="5" s="1"/>
  <c r="BH51" i="5"/>
  <c r="L51" i="5"/>
  <c r="U51" i="5"/>
  <c r="Q53" i="5" l="1"/>
  <c r="BA53" i="5" s="1"/>
  <c r="BJ51" i="5"/>
  <c r="BE51" i="5"/>
  <c r="P51" i="5"/>
  <c r="Y51" i="5"/>
  <c r="AC51" i="5" s="1"/>
  <c r="V53" i="5" l="1"/>
  <c r="BB52" i="5"/>
  <c r="BE52" i="5"/>
  <c r="U52" i="5"/>
  <c r="L52" i="5"/>
  <c r="CW52" i="5"/>
  <c r="BH52" i="5" l="1"/>
  <c r="BJ52" i="5"/>
  <c r="P52" i="5"/>
  <c r="Y52" i="5"/>
  <c r="AC52" i="5" s="1"/>
  <c r="CY52" i="5"/>
  <c r="Q54" i="5" l="1"/>
  <c r="BA54" i="5" s="1"/>
  <c r="BB53" i="5"/>
  <c r="CW53" i="5"/>
  <c r="CY53" i="5" s="1"/>
  <c r="L53" i="5"/>
  <c r="P53" i="5" s="1"/>
  <c r="U53" i="5"/>
  <c r="V54" i="5" l="1"/>
  <c r="V55" i="5" s="1"/>
  <c r="Y53" i="5"/>
  <c r="AC53" i="5" s="1"/>
  <c r="Q56" i="5"/>
  <c r="BJ53" i="5"/>
  <c r="BE53" i="5"/>
  <c r="BH53" i="5"/>
  <c r="BA55" i="5" l="1"/>
  <c r="BB54" i="5"/>
  <c r="BB55" i="5" s="1"/>
  <c r="AW55" i="5"/>
  <c r="Q55" i="5"/>
  <c r="L54" i="5"/>
  <c r="BH54" i="5"/>
  <c r="CW54" i="5"/>
  <c r="U54" i="5"/>
  <c r="V56" i="5" l="1"/>
  <c r="BA56" i="5"/>
  <c r="U55" i="5"/>
  <c r="BH55" i="5"/>
  <c r="AH55" i="5"/>
  <c r="CW55" i="5"/>
  <c r="CY54" i="5"/>
  <c r="BE54" i="5"/>
  <c r="BJ54" i="5"/>
  <c r="L55" i="5"/>
  <c r="P55" i="5" s="1"/>
  <c r="Y54" i="5"/>
  <c r="P54" i="5"/>
  <c r="AL55" i="5" l="1"/>
  <c r="BJ55" i="5"/>
  <c r="Q57" i="5"/>
  <c r="BA57" i="5" s="1"/>
  <c r="BE55" i="5"/>
  <c r="CY55" i="5"/>
  <c r="AM55" i="5"/>
  <c r="AQ55" i="5" s="1"/>
  <c r="AC54" i="5"/>
  <c r="Y55" i="5"/>
  <c r="BB56" i="5" l="1"/>
  <c r="V57" i="5"/>
  <c r="L56" i="5"/>
  <c r="U56" i="5"/>
  <c r="AY55" i="5"/>
  <c r="AD55" i="5"/>
  <c r="AR55" i="5" s="1"/>
  <c r="AV55" i="5" s="1"/>
  <c r="AC55" i="5"/>
  <c r="CW56" i="5"/>
  <c r="Y56" i="5" l="1"/>
  <c r="AC56" i="5" s="1"/>
  <c r="P56" i="5"/>
  <c r="Q58" i="5"/>
  <c r="BA58" i="5" s="1"/>
  <c r="BJ56" i="5"/>
  <c r="BE56" i="5"/>
  <c r="CY56" i="5"/>
  <c r="BH56" i="5"/>
  <c r="V58" i="5" l="1"/>
  <c r="BB57" i="5"/>
  <c r="L57" i="5"/>
  <c r="U57" i="5"/>
  <c r="CW57" i="5"/>
  <c r="CY57" i="5" s="1"/>
  <c r="P57" i="5" l="1"/>
  <c r="Y57" i="5"/>
  <c r="AC57" i="5" s="1"/>
  <c r="Q59" i="5"/>
  <c r="BA59" i="5" s="1"/>
  <c r="BE57" i="5"/>
  <c r="BJ57" i="5"/>
  <c r="BH57" i="5"/>
  <c r="V59" i="5" l="1"/>
  <c r="V60" i="5" s="1"/>
  <c r="V61" i="5" s="1"/>
  <c r="BB58" i="5"/>
  <c r="CW58" i="5"/>
  <c r="L58" i="5"/>
  <c r="U58" i="5"/>
  <c r="BE58" i="5" l="1"/>
  <c r="BJ58" i="5"/>
  <c r="BH58" i="5"/>
  <c r="Y58" i="5"/>
  <c r="P58" i="5"/>
  <c r="CY58" i="5"/>
  <c r="BB59" i="5" l="1"/>
  <c r="BB60" i="5" s="1"/>
  <c r="BB61" i="5" s="1"/>
  <c r="Q62" i="5"/>
  <c r="BA60" i="5"/>
  <c r="BA61" i="5" s="1"/>
  <c r="L59" i="5"/>
  <c r="U59" i="5"/>
  <c r="Q60" i="5"/>
  <c r="AW60" i="5" s="1"/>
  <c r="CW59" i="5"/>
  <c r="AC58" i="5"/>
  <c r="BA62" i="5" l="1"/>
  <c r="V62" i="5"/>
  <c r="CW60" i="5"/>
  <c r="CY59" i="5"/>
  <c r="Y59" i="5"/>
  <c r="P59" i="5"/>
  <c r="L60" i="5"/>
  <c r="AM60" i="5" s="1"/>
  <c r="AQ60" i="5" s="1"/>
  <c r="BE59" i="5"/>
  <c r="BJ59" i="5"/>
  <c r="AH60" i="5"/>
  <c r="U60" i="5"/>
  <c r="Q61" i="5"/>
  <c r="AW61" i="5"/>
  <c r="BH59" i="5"/>
  <c r="BH60" i="5" s="1"/>
  <c r="AL60" i="5" l="1"/>
  <c r="AH61" i="5"/>
  <c r="AC59" i="5"/>
  <c r="Y60" i="5"/>
  <c r="U61" i="5"/>
  <c r="P60" i="5"/>
  <c r="L61" i="5"/>
  <c r="P61" i="5" s="1"/>
  <c r="CW61" i="5"/>
  <c r="CY60" i="5"/>
  <c r="BJ60" i="5"/>
  <c r="BE60" i="5"/>
  <c r="AL61" i="5" l="1"/>
  <c r="AM61" i="5"/>
  <c r="AQ61" i="5" s="1"/>
  <c r="BJ61" i="5"/>
  <c r="BH61" i="5"/>
  <c r="BE61" i="5"/>
  <c r="Q63" i="5"/>
  <c r="BA63" i="5" s="1"/>
  <c r="AC60" i="5"/>
  <c r="AY60" i="5"/>
  <c r="AD60" i="5"/>
  <c r="AR60" i="5" s="1"/>
  <c r="AV60" i="5" s="1"/>
  <c r="Y61" i="5"/>
  <c r="CY61" i="5"/>
  <c r="BB62" i="5" l="1"/>
  <c r="V63" i="5"/>
  <c r="AY61" i="5"/>
  <c r="L62" i="5"/>
  <c r="U62" i="5"/>
  <c r="CW62" i="5"/>
  <c r="CY62" i="5" s="1"/>
  <c r="AC61" i="5"/>
  <c r="AD61" i="5"/>
  <c r="AR61" i="5" s="1"/>
  <c r="AV61" i="5" s="1"/>
  <c r="Y62" i="5" l="1"/>
  <c r="AC62" i="5" s="1"/>
  <c r="P62" i="5"/>
  <c r="BE62" i="5"/>
  <c r="BJ62" i="5"/>
  <c r="Q64" i="5"/>
  <c r="BA64" i="5" s="1"/>
  <c r="BH62" i="5"/>
  <c r="Q65" i="5" l="1"/>
  <c r="Q66" i="5" s="1"/>
  <c r="BB63" i="5"/>
  <c r="V64" i="5"/>
  <c r="BE63" i="5"/>
  <c r="BJ63" i="5"/>
  <c r="CW63" i="5"/>
  <c r="U63" i="5"/>
  <c r="L63" i="5"/>
  <c r="BH63" i="5"/>
  <c r="BA65" i="5" l="1"/>
  <c r="BB64" i="5"/>
  <c r="Y63" i="5"/>
  <c r="AC63" i="5" s="1"/>
  <c r="P63" i="5"/>
  <c r="CY63" i="5"/>
  <c r="CW64" i="5"/>
  <c r="U64" i="5"/>
  <c r="L64" i="5"/>
  <c r="V65" i="5" l="1"/>
  <c r="V66" i="5" s="1"/>
  <c r="BJ64" i="5"/>
  <c r="Q67" i="5"/>
  <c r="BE64" i="5"/>
  <c r="BH64" i="5"/>
  <c r="Y64" i="5"/>
  <c r="P64" i="5"/>
  <c r="CY64" i="5"/>
  <c r="BA66" i="5" l="1"/>
  <c r="BA67" i="5" s="1"/>
  <c r="BB65" i="5"/>
  <c r="BB66" i="5" s="1"/>
  <c r="V67" i="5"/>
  <c r="CW65" i="5"/>
  <c r="CY65" i="5" s="1"/>
  <c r="AC64" i="5"/>
  <c r="L65" i="5"/>
  <c r="U65" i="5"/>
  <c r="AW66" i="5"/>
  <c r="CW66" i="5" l="1"/>
  <c r="BJ65" i="5"/>
  <c r="BE65" i="5"/>
  <c r="Y65" i="5"/>
  <c r="P65" i="5"/>
  <c r="L66" i="5"/>
  <c r="P66" i="5" s="1"/>
  <c r="U66" i="5"/>
  <c r="AH66" i="5"/>
  <c r="BH65" i="5"/>
  <c r="AL66" i="5" l="1"/>
  <c r="CY66" i="5"/>
  <c r="AM66" i="5"/>
  <c r="AQ66" i="5" s="1"/>
  <c r="BJ66" i="5"/>
  <c r="BE66" i="5"/>
  <c r="Q68" i="5"/>
  <c r="BA68" i="5" s="1"/>
  <c r="BH66" i="5"/>
  <c r="AC65" i="5"/>
  <c r="Y66" i="5"/>
  <c r="V68" i="5" l="1"/>
  <c r="BB67" i="5"/>
  <c r="AY66" i="5"/>
  <c r="AC66" i="5"/>
  <c r="AD66" i="5"/>
  <c r="AR66" i="5" s="1"/>
  <c r="AV66" i="5" s="1"/>
  <c r="CW67" i="5"/>
  <c r="U67" i="5"/>
  <c r="L67" i="5"/>
  <c r="Q69" i="5" l="1"/>
  <c r="BA69" i="5" s="1"/>
  <c r="BE67" i="5"/>
  <c r="BJ67" i="5"/>
  <c r="BH67" i="5"/>
  <c r="P67" i="5"/>
  <c r="Y67" i="5"/>
  <c r="AC67" i="5" s="1"/>
  <c r="CY67" i="5"/>
  <c r="V69" i="5" l="1"/>
  <c r="BB68" i="5"/>
  <c r="CW68" i="5"/>
  <c r="CY68" i="5" s="1"/>
  <c r="BJ68" i="5"/>
  <c r="BE68" i="5"/>
  <c r="L68" i="5"/>
  <c r="U68" i="5"/>
  <c r="BH68" i="5"/>
  <c r="CW69" i="5" l="1"/>
  <c r="CY69" i="5" s="1"/>
  <c r="Y68" i="5"/>
  <c r="P68" i="5"/>
  <c r="BH69" i="5"/>
  <c r="U69" i="5"/>
  <c r="L69" i="5"/>
  <c r="BB69" i="5" l="1"/>
  <c r="Q70" i="5"/>
  <c r="BA70" i="5" s="1"/>
  <c r="BE69" i="5"/>
  <c r="BJ69" i="5"/>
  <c r="AC68" i="5"/>
  <c r="Y69" i="5"/>
  <c r="AC69" i="5" s="1"/>
  <c r="P69" i="5"/>
  <c r="V70" i="5" l="1"/>
  <c r="CW70" i="5"/>
  <c r="CY70" i="5" s="1"/>
  <c r="U70" i="5"/>
  <c r="L70" i="5"/>
  <c r="Y70" i="5" s="1"/>
  <c r="AC70" i="5" s="1"/>
  <c r="BB70" i="5"/>
  <c r="BH70" i="5"/>
  <c r="Q71" i="5" l="1"/>
  <c r="V71" i="5" s="1"/>
  <c r="V72" i="5" s="1"/>
  <c r="BJ70" i="5"/>
  <c r="BE70" i="5"/>
  <c r="P70" i="5"/>
  <c r="AW72" i="5" l="1"/>
  <c r="Q72" i="5"/>
  <c r="U72" i="5" s="1"/>
  <c r="BA71" i="5"/>
  <c r="BH71" i="5"/>
  <c r="L71" i="5"/>
  <c r="L72" i="5" s="1"/>
  <c r="P72" i="5" s="1"/>
  <c r="U71" i="5"/>
  <c r="CW71" i="5"/>
  <c r="CY71" i="5" s="1"/>
  <c r="AH72" i="5" l="1"/>
  <c r="AL72" i="5" s="1"/>
  <c r="Y71" i="5"/>
  <c r="Y72" i="5" s="1"/>
  <c r="P71" i="5"/>
  <c r="CW72" i="5"/>
  <c r="CY72" i="5" s="1"/>
  <c r="Q73" i="5"/>
  <c r="BA72" i="5"/>
  <c r="BH72" i="5" s="1"/>
  <c r="BB71" i="5"/>
  <c r="BB72" i="5" s="1"/>
  <c r="BJ71" i="5"/>
  <c r="BE71" i="5"/>
  <c r="AM72" i="5"/>
  <c r="AQ72" i="5" s="1"/>
  <c r="U73" i="5" l="1"/>
  <c r="V73" i="5"/>
  <c r="BA73" i="5"/>
  <c r="BH73" i="5" s="1"/>
  <c r="L73" i="5"/>
  <c r="P73" i="5" s="1"/>
  <c r="AC71" i="5"/>
  <c r="CW73" i="5"/>
  <c r="CY73" i="5" s="1"/>
  <c r="BJ72" i="5"/>
  <c r="BE72" i="5"/>
  <c r="AY72" i="5"/>
  <c r="AC72" i="5"/>
  <c r="AD72" i="5"/>
  <c r="AR72" i="5" s="1"/>
  <c r="AV72" i="5" s="1"/>
  <c r="Y73" i="5" l="1"/>
  <c r="AC73" i="5" s="1"/>
  <c r="Q74" i="5"/>
  <c r="BB73" i="5"/>
  <c r="BJ73" i="5"/>
  <c r="BE73" i="5"/>
  <c r="BA74" i="5" l="1"/>
  <c r="Q75" i="5" s="1"/>
  <c r="BA75" i="5" s="1"/>
  <c r="V74" i="5"/>
  <c r="CW74" i="5"/>
  <c r="CY74" i="5" s="1"/>
  <c r="U74" i="5"/>
  <c r="L74" i="5"/>
  <c r="P74" i="5" s="1"/>
  <c r="BH74" i="5"/>
  <c r="BB74" i="5" l="1"/>
  <c r="BE74" i="5"/>
  <c r="V75" i="5"/>
  <c r="BJ74" i="5"/>
  <c r="Y74" i="5"/>
  <c r="AC74" i="5" s="1"/>
  <c r="BB75" i="5"/>
  <c r="Q76" i="5"/>
  <c r="BA76" i="5" s="1"/>
  <c r="L75" i="5"/>
  <c r="U75" i="5"/>
  <c r="CW75" i="5"/>
  <c r="V76" i="5" l="1"/>
  <c r="V77" i="5" s="1"/>
  <c r="V78" i="5" s="1"/>
  <c r="V79" i="5" s="1"/>
  <c r="CY75" i="5"/>
  <c r="BE75" i="5"/>
  <c r="BJ75" i="5"/>
  <c r="Q80" i="5"/>
  <c r="Y75" i="5"/>
  <c r="P75" i="5"/>
  <c r="BH75" i="5"/>
  <c r="BB76" i="5" l="1"/>
  <c r="BB77" i="5" s="1"/>
  <c r="BB78" i="5" s="1"/>
  <c r="BB79" i="5" s="1"/>
  <c r="BA77" i="5"/>
  <c r="BA78" i="5" s="1"/>
  <c r="BA79" i="5" s="1"/>
  <c r="BA80" i="5" s="1"/>
  <c r="CW76" i="5"/>
  <c r="AC75" i="5"/>
  <c r="U76" i="5"/>
  <c r="L76" i="5"/>
  <c r="Q77" i="5"/>
  <c r="CY76" i="5" l="1"/>
  <c r="CW77" i="5"/>
  <c r="BJ76" i="5"/>
  <c r="BE76" i="5"/>
  <c r="BH76" i="5"/>
  <c r="Q78" i="5"/>
  <c r="AH77" i="5"/>
  <c r="U77" i="5"/>
  <c r="Y76" i="5"/>
  <c r="P76" i="5"/>
  <c r="L77" i="5"/>
  <c r="AW77" i="5"/>
  <c r="AW78" i="5" s="1"/>
  <c r="AW79" i="5" s="1"/>
  <c r="AL77" i="5" l="1"/>
  <c r="AH78" i="5"/>
  <c r="CY77" i="5"/>
  <c r="CW78" i="5"/>
  <c r="V80" i="5"/>
  <c r="BE77" i="5"/>
  <c r="BJ77" i="5"/>
  <c r="AC76" i="5"/>
  <c r="Y77" i="5"/>
  <c r="BH77" i="5"/>
  <c r="U78" i="5"/>
  <c r="Q79" i="5"/>
  <c r="AM77" i="5"/>
  <c r="AQ77" i="5" s="1"/>
  <c r="P77" i="5"/>
  <c r="L78" i="5"/>
  <c r="AH79" i="5" l="1"/>
  <c r="AL79" i="5" s="1"/>
  <c r="AL78" i="5"/>
  <c r="CW79" i="5"/>
  <c r="CY79" i="5" s="1"/>
  <c r="CY78" i="5"/>
  <c r="AY77" i="5"/>
  <c r="AD77" i="5"/>
  <c r="AR77" i="5" s="1"/>
  <c r="AV77" i="5" s="1"/>
  <c r="AC77" i="5"/>
  <c r="Y78" i="5"/>
  <c r="BJ78" i="5"/>
  <c r="BE78" i="5"/>
  <c r="BH78" i="5"/>
  <c r="AM78" i="5"/>
  <c r="AQ78" i="5" s="1"/>
  <c r="L79" i="5"/>
  <c r="P79" i="5" s="1"/>
  <c r="P78" i="5"/>
  <c r="U79" i="5"/>
  <c r="AY78" i="5" l="1"/>
  <c r="AM79" i="5"/>
  <c r="AQ79" i="5" s="1"/>
  <c r="BE79" i="5"/>
  <c r="Q81" i="5"/>
  <c r="BA81" i="5" s="1"/>
  <c r="BJ79" i="5"/>
  <c r="BH79" i="5"/>
  <c r="AD78" i="5"/>
  <c r="AR78" i="5" s="1"/>
  <c r="AV78" i="5" s="1"/>
  <c r="Y79" i="5"/>
  <c r="AC78" i="5"/>
  <c r="BB80" i="5" l="1"/>
  <c r="V81" i="5"/>
  <c r="AY79" i="5"/>
  <c r="U80" i="5"/>
  <c r="CW80" i="5"/>
  <c r="L80" i="5"/>
  <c r="AD79" i="5"/>
  <c r="AR79" i="5" s="1"/>
  <c r="AV79" i="5" s="1"/>
  <c r="AC79" i="5"/>
  <c r="CY80" i="5" l="1"/>
  <c r="BE80" i="5"/>
  <c r="Q82" i="5"/>
  <c r="BA82" i="5" s="1"/>
  <c r="BJ80" i="5"/>
  <c r="BH80" i="5"/>
  <c r="P80" i="5"/>
  <c r="Y80" i="5"/>
  <c r="BB81" i="5" l="1"/>
  <c r="V82" i="5"/>
  <c r="CW81" i="5"/>
  <c r="CY81" i="5" s="1"/>
  <c r="AC80" i="5"/>
  <c r="L81" i="5"/>
  <c r="U81" i="5"/>
  <c r="BH81" i="5"/>
  <c r="Q83" i="5" l="1"/>
  <c r="BJ81" i="5"/>
  <c r="BE81" i="5"/>
  <c r="Y81" i="5"/>
  <c r="AC81" i="5" s="1"/>
  <c r="P81" i="5"/>
  <c r="Q84" i="5" l="1"/>
  <c r="BA83" i="5"/>
  <c r="Q85" i="5" s="1"/>
  <c r="BB82" i="5"/>
  <c r="V83" i="5"/>
  <c r="V84" i="5" s="1"/>
  <c r="BJ82" i="5"/>
  <c r="BE82" i="5"/>
  <c r="BH82" i="5"/>
  <c r="L82" i="5"/>
  <c r="U82" i="5"/>
  <c r="CW82" i="5"/>
  <c r="AH84" i="5" l="1"/>
  <c r="BA84" i="5"/>
  <c r="BA85" i="5" s="1"/>
  <c r="BB83" i="5"/>
  <c r="BB84" i="5" s="1"/>
  <c r="AW84" i="5"/>
  <c r="V85" i="5"/>
  <c r="BH84" i="5"/>
  <c r="U84" i="5"/>
  <c r="P82" i="5"/>
  <c r="Y82" i="5"/>
  <c r="AC82" i="5" s="1"/>
  <c r="CW83" i="5"/>
  <c r="CY82" i="5"/>
  <c r="BH83" i="5"/>
  <c r="U83" i="5"/>
  <c r="L83" i="5"/>
  <c r="L84" i="5" s="1"/>
  <c r="P84" i="5" s="1"/>
  <c r="AL84" i="5" l="1"/>
  <c r="AM84" i="5"/>
  <c r="AQ84" i="5" s="1"/>
  <c r="BE83" i="5"/>
  <c r="BJ83" i="5"/>
  <c r="Y83" i="5"/>
  <c r="P83" i="5"/>
  <c r="CW84" i="5"/>
  <c r="CY83" i="5"/>
  <c r="CY84" i="5" l="1"/>
  <c r="Y84" i="5"/>
  <c r="AC83" i="5"/>
  <c r="Q86" i="5"/>
  <c r="BA86" i="5" s="1"/>
  <c r="BE84" i="5"/>
  <c r="BJ84" i="5"/>
  <c r="BB85" i="5" l="1"/>
  <c r="V86" i="5"/>
  <c r="AC84" i="5"/>
  <c r="AD84" i="5"/>
  <c r="AR84" i="5" s="1"/>
  <c r="AV84" i="5" s="1"/>
  <c r="AY84" i="5"/>
  <c r="BH85" i="5"/>
  <c r="U85" i="5"/>
  <c r="L85" i="5"/>
  <c r="CW85" i="5"/>
  <c r="Y85" i="5" l="1"/>
  <c r="P85" i="5"/>
  <c r="CY85" i="5"/>
  <c r="Q87" i="5"/>
  <c r="BA87" i="5" s="1"/>
  <c r="BJ85" i="5"/>
  <c r="BE85" i="5"/>
  <c r="V87" i="5" l="1"/>
  <c r="BB86" i="5"/>
  <c r="Q88" i="5"/>
  <c r="BA88" i="5" s="1"/>
  <c r="BJ86" i="5"/>
  <c r="BE86" i="5"/>
  <c r="BH86" i="5"/>
  <c r="L86" i="5"/>
  <c r="U86" i="5"/>
  <c r="CW86" i="5"/>
  <c r="AC85" i="5"/>
  <c r="V88" i="5" l="1"/>
  <c r="BB87" i="5"/>
  <c r="CY86" i="5"/>
  <c r="CW87" i="5"/>
  <c r="Y86" i="5"/>
  <c r="P86" i="5"/>
  <c r="BH87" i="5"/>
  <c r="L87" i="5"/>
  <c r="U87" i="5"/>
  <c r="P87" i="5" l="1"/>
  <c r="Y87" i="5"/>
  <c r="AC87" i="5" s="1"/>
  <c r="AC86" i="5"/>
  <c r="Q89" i="5"/>
  <c r="BJ87" i="5"/>
  <c r="BE87" i="5"/>
  <c r="CY87" i="5"/>
  <c r="Q90" i="5" l="1"/>
  <c r="BA89" i="5"/>
  <c r="BB88" i="5"/>
  <c r="CW88" i="5"/>
  <c r="CY88" i="5" s="1"/>
  <c r="U88" i="5"/>
  <c r="L88" i="5"/>
  <c r="BH88" i="5"/>
  <c r="V89" i="5" l="1"/>
  <c r="Q91" i="5"/>
  <c r="BE88" i="5"/>
  <c r="BJ88" i="5"/>
  <c r="Y88" i="5"/>
  <c r="P88" i="5"/>
  <c r="BA90" i="5" l="1"/>
  <c r="BA91" i="5" s="1"/>
  <c r="BB89" i="5"/>
  <c r="BB90" i="5" s="1"/>
  <c r="V90" i="5"/>
  <c r="AW90" i="5" s="1"/>
  <c r="AC88" i="5"/>
  <c r="U89" i="5"/>
  <c r="L89" i="5"/>
  <c r="BH89" i="5"/>
  <c r="CW89" i="5"/>
  <c r="BH90" i="5" l="1"/>
  <c r="V91" i="5"/>
  <c r="CW90" i="5"/>
  <c r="CY89" i="5"/>
  <c r="U90" i="5"/>
  <c r="AH90" i="5"/>
  <c r="BJ89" i="5"/>
  <c r="BE89" i="5"/>
  <c r="Y89" i="5"/>
  <c r="P89" i="5"/>
  <c r="L90" i="5"/>
  <c r="AM90" i="5" s="1"/>
  <c r="AQ90" i="5" s="1"/>
  <c r="AL90" i="5" l="1"/>
  <c r="AC89" i="5"/>
  <c r="Y90" i="5"/>
  <c r="CY90" i="5"/>
  <c r="P90" i="5"/>
  <c r="Q92" i="5"/>
  <c r="BA92" i="5" s="1"/>
  <c r="BJ90" i="5"/>
  <c r="BE90" i="5"/>
  <c r="Q93" i="5" l="1"/>
  <c r="BA93" i="5" s="1"/>
  <c r="BB91" i="5"/>
  <c r="CW91" i="5"/>
  <c r="BE91" i="5"/>
  <c r="BJ91" i="5"/>
  <c r="AC90" i="5"/>
  <c r="AD90" i="5"/>
  <c r="AR90" i="5" s="1"/>
  <c r="AV90" i="5" s="1"/>
  <c r="AY90" i="5"/>
  <c r="U91" i="5"/>
  <c r="BH91" i="5"/>
  <c r="L91" i="5"/>
  <c r="BB92" i="5" l="1"/>
  <c r="V93" i="5"/>
  <c r="V92" i="5"/>
  <c r="CY91" i="5"/>
  <c r="Y91" i="5"/>
  <c r="P91" i="5"/>
  <c r="L92" i="5"/>
  <c r="BH92" i="5"/>
  <c r="U92" i="5"/>
  <c r="CW92" i="5"/>
  <c r="Y92" i="5" l="1"/>
  <c r="AC92" i="5" s="1"/>
  <c r="P92" i="5"/>
  <c r="BJ92" i="5"/>
  <c r="BE92" i="5"/>
  <c r="CY92" i="5"/>
  <c r="AC91" i="5"/>
  <c r="CW93" i="5" l="1"/>
  <c r="Q94" i="5"/>
  <c r="BA94" i="5" s="1"/>
  <c r="U93" i="5"/>
  <c r="L93" i="5"/>
  <c r="BB93" i="5" l="1"/>
  <c r="CY93" i="5"/>
  <c r="BH93" i="5"/>
  <c r="BJ93" i="5"/>
  <c r="BE93" i="5"/>
  <c r="Y93" i="5"/>
  <c r="P93" i="5"/>
  <c r="BA95" i="5" l="1"/>
  <c r="BA96" i="5" s="1"/>
  <c r="V94" i="5"/>
  <c r="AC93" i="5"/>
  <c r="L94" i="5"/>
  <c r="U94" i="5"/>
  <c r="Q95" i="5"/>
  <c r="CW94" i="5"/>
  <c r="BB94" i="5" l="1"/>
  <c r="BB95" i="5" s="1"/>
  <c r="BB96" i="5" s="1"/>
  <c r="BH95" i="5"/>
  <c r="V95" i="5"/>
  <c r="V96" i="5" s="1"/>
  <c r="AH95" i="5"/>
  <c r="BH94" i="5"/>
  <c r="CY94" i="5"/>
  <c r="CW95" i="5"/>
  <c r="U95" i="5"/>
  <c r="AL95" i="5" s="1"/>
  <c r="Q96" i="5"/>
  <c r="BH96" i="5" s="1"/>
  <c r="BE94" i="5"/>
  <c r="BJ94" i="5"/>
  <c r="L95" i="5"/>
  <c r="AM95" i="5" s="1"/>
  <c r="AQ95" i="5" s="1"/>
  <c r="P94" i="5"/>
  <c r="Y94" i="5"/>
  <c r="AW95" i="5" l="1"/>
  <c r="AW96" i="5" s="1"/>
  <c r="AH96" i="5"/>
  <c r="AL96" i="5" s="1"/>
  <c r="CW96" i="5"/>
  <c r="CY96" i="5" s="1"/>
  <c r="CY95" i="5"/>
  <c r="U96" i="5"/>
  <c r="AC94" i="5"/>
  <c r="Y95" i="5"/>
  <c r="BJ95" i="5"/>
  <c r="BE95" i="5"/>
  <c r="P95" i="5"/>
  <c r="L96" i="5"/>
  <c r="P96" i="5" s="1"/>
  <c r="BE96" i="5" l="1"/>
  <c r="BJ96" i="5"/>
  <c r="AM96" i="5"/>
  <c r="AQ96" i="5" s="1"/>
  <c r="AY95" i="5"/>
  <c r="AC95" i="5"/>
  <c r="AD95" i="5"/>
  <c r="AR95" i="5" s="1"/>
  <c r="AV95" i="5" s="1"/>
  <c r="Y96" i="5"/>
  <c r="AY96" i="5" l="1"/>
  <c r="AD96" i="5"/>
  <c r="AR96" i="5" s="1"/>
  <c r="AV96" i="5" s="1"/>
  <c r="AC96" i="5"/>
</calcChain>
</file>

<file path=xl/sharedStrings.xml><?xml version="1.0" encoding="utf-8"?>
<sst xmlns="http://schemas.openxmlformats.org/spreadsheetml/2006/main" count="5587" uniqueCount="471">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</sst>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3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20" fillId="0" borderId="99" xfId="10" applyFont="1" applyFill="1" applyBorder="1" applyAlignment="1">
      <alignment wrapText="1"/>
    </xf>
    <xf numFmtId="0" fontId="0" fillId="6" borderId="100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1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7" xfId="4" applyFont="1" applyFill="1" applyBorder="1" applyAlignment="1">
      <alignment horizontal="center" wrapText="1"/>
    </xf>
    <xf numFmtId="165" fontId="2" fillId="0" borderId="118" xfId="1" applyNumberFormat="1" applyFont="1" applyFill="1" applyBorder="1" applyAlignment="1" applyProtection="1">
      <alignment horizontal="center"/>
    </xf>
    <xf numFmtId="165" fontId="2" fillId="0" borderId="119" xfId="1" applyNumberFormat="1" applyFont="1" applyFill="1" applyBorder="1" applyAlignment="1" applyProtection="1">
      <alignment horizontal="center"/>
    </xf>
    <xf numFmtId="165" fontId="12" fillId="16" borderId="120" xfId="1" applyNumberFormat="1" applyFont="1" applyFill="1" applyBorder="1" applyAlignment="1" applyProtection="1">
      <alignment horizontal="center"/>
    </xf>
    <xf numFmtId="165" fontId="12" fillId="2" borderId="120" xfId="1" applyNumberFormat="1" applyFont="1" applyFill="1" applyBorder="1" applyAlignment="1" applyProtection="1">
      <alignment horizontal="center"/>
    </xf>
    <xf numFmtId="165" fontId="12" fillId="10" borderId="120" xfId="1" applyNumberFormat="1" applyFont="1" applyFill="1" applyBorder="1" applyAlignment="1" applyProtection="1">
      <alignment horizontal="center"/>
    </xf>
    <xf numFmtId="0" fontId="29" fillId="0" borderId="114" xfId="0" applyFont="1" applyBorder="1"/>
    <xf numFmtId="0" fontId="33" fillId="8" borderId="117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5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2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1" fillId="14" borderId="121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2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0" fontId="29" fillId="17" borderId="104" xfId="0" applyFont="1" applyFill="1" applyBorder="1" applyAlignment="1">
      <alignment horizontal="center"/>
    </xf>
    <xf numFmtId="43" fontId="32" fillId="0" borderId="105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43" fontId="32" fillId="0" borderId="104" xfId="1" applyFont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0" borderId="106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7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7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77"/>
      <tableStyleElement type="totalRow" dxfId="76"/>
      <tableStyleElement type="firstRowStripe" dxfId="75"/>
      <tableStyleElement type="firstColumnStripe" dxfId="74"/>
      <tableStyleElement type="firstSubtotalColumn" dxfId="73"/>
      <tableStyleElement type="firstSubtotalRow" dxfId="72"/>
      <tableStyleElement type="secondSubtotalRow" dxfId="71"/>
      <tableStyleElement type="firstRowSubheading" dxfId="70"/>
      <tableStyleElement type="secondRowSubheading" dxfId="69"/>
      <tableStyleElement type="pageFieldLabels" dxfId="68"/>
      <tableStyleElement type="pageFieldValues" dxfId="67"/>
    </tableStyle>
    <tableStyle name="PivotStyleLightTY 2 2 2 2 2" table="0" count="10">
      <tableStyleElement type="headerRow" dxfId="66"/>
      <tableStyleElement type="totalRow" dxfId="65"/>
      <tableStyleElement type="firstRowStripe" dxfId="64"/>
      <tableStyleElement type="firstSubtotalColumn" dxfId="63"/>
      <tableStyleElement type="firstSubtotalRow" dxfId="62"/>
      <tableStyleElement type="secondSubtotalRow" dxfId="61"/>
      <tableStyleElement type="firstRowSubheading" dxfId="60"/>
      <tableStyleElement type="secondRowSubheading" dxfId="59"/>
      <tableStyleElement type="pageFieldLabels" dxfId="58"/>
      <tableStyleElement type="pageFieldValues" dxfId="57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F11" sqref="F11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9" t="s">
        <v>47</v>
      </c>
    </row>
    <row r="3" spans="2:10" ht="41.25" customHeight="1" x14ac:dyDescent="0.25">
      <c r="B3" s="352" t="s">
        <v>48</v>
      </c>
      <c r="C3" s="352"/>
      <c r="D3" s="352"/>
      <c r="E3" s="352"/>
      <c r="F3" s="352"/>
      <c r="G3" s="352"/>
      <c r="H3" s="352"/>
    </row>
    <row r="4" spans="2:10" ht="31.5" customHeight="1" x14ac:dyDescent="0.7">
      <c r="B4" s="332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1" t="s">
        <v>401</v>
      </c>
      <c r="C6" s="351"/>
      <c r="D6" s="351"/>
      <c r="E6" s="351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141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2"/>
      <c r="H15" s="132"/>
      <c r="I15" s="133"/>
      <c r="J15" s="132"/>
    </row>
    <row r="16" spans="2:10" ht="25.5" customHeight="1" x14ac:dyDescent="0.25">
      <c r="G16" s="132"/>
      <c r="H16" s="132"/>
      <c r="I16" s="133"/>
      <c r="J16" s="132"/>
    </row>
    <row r="17" spans="2:10" ht="25.5" customHeight="1" x14ac:dyDescent="0.25">
      <c r="G17" s="132"/>
      <c r="H17" s="132"/>
      <c r="I17" s="133"/>
      <c r="J17" s="132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9" t="s">
        <v>464</v>
      </c>
      <c r="C20" s="350"/>
      <c r="D20" s="350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E96"/>
  <sheetViews>
    <sheetView showGridLines="0" zoomScale="80" zoomScaleNormal="80" zoomScalePageLayoutView="80" workbookViewId="0">
      <pane xSplit="6" ySplit="10" topLeftCell="G27" activePane="bottomRight" state="frozen"/>
      <selection activeCell="A5" sqref="A5"/>
      <selection pane="topRight" activeCell="F5" sqref="F5"/>
      <selection pane="bottomLeft" activeCell="A10" sqref="A10"/>
      <selection pane="bottomRight" activeCell="Q35" sqref="Q35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11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11.25" bestFit="1" customWidth="1"/>
    <col min="22" max="22" width="9.5" bestFit="1" customWidth="1"/>
    <col min="23" max="23" width="8.75" bestFit="1" customWidth="1"/>
    <col min="24" max="24" width="9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11.25" bestFit="1" customWidth="1"/>
    <col min="30" max="30" width="10.5" bestFit="1" customWidth="1"/>
    <col min="31" max="31" width="8.75" bestFit="1" customWidth="1"/>
    <col min="32" max="32" width="7.125" bestFit="1" customWidth="1"/>
    <col min="33" max="33" width="10.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8.87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49" width="9.5" bestFit="1" customWidth="1"/>
    <col min="50" max="50" width="10.625" bestFit="1" customWidth="1"/>
    <col min="51" max="51" width="7.125" bestFit="1" customWidth="1"/>
    <col min="52" max="52" width="7.375" bestFit="1" customWidth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8.375" bestFit="1" customWidth="1" outlineLevel="1"/>
    <col min="60" max="60" width="9.875" bestFit="1" customWidth="1" outlineLevel="1"/>
    <col min="61" max="61" width="10.5" bestFit="1" customWidth="1" outlineLevel="1"/>
    <col min="62" max="62" width="11.1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8.37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10.75" bestFit="1" customWidth="1" outlineLevel="1"/>
    <col min="89" max="89" width="8.75" bestFit="1" customWidth="1" outlineLevel="1"/>
    <col min="90" max="90" width="5.75" bestFit="1" customWidth="1" outlineLevel="1"/>
    <col min="91" max="91" width="10.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1" width="10.5" style="45" hidden="1" customWidth="1"/>
    <col min="102" max="102" width="10.5" hidden="1" customWidth="1"/>
    <col min="103" max="103" width="14.62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1.25" hidden="1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hidden="1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hidden="1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/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 t="s">
        <v>325</v>
      </c>
      <c r="BC3" s="43" t="s">
        <v>325</v>
      </c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hidden="1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52" t="str">
        <f>"FEATURE CODE " &amp; FiscalYr</f>
        <v>FEATURE CODE 2018</v>
      </c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AB5" s="125"/>
    </row>
    <row r="6" spans="1:107" ht="31.5" x14ac:dyDescent="0.5">
      <c r="C6" s="353" t="str">
        <f>FC &amp; " - " &amp; Channel</f>
        <v>GY 18 SUM 1 - Retail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</row>
    <row r="7" spans="1:107" s="295" customFormat="1" ht="16.5" thickBot="1" x14ac:dyDescent="0.3">
      <c r="A7" s="292"/>
      <c r="B7" s="292"/>
      <c r="C7" s="299"/>
      <c r="D7" s="299" t="str">
        <f>IF(Status=0,"",Status)</f>
        <v xml:space="preserve"> </v>
      </c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4"/>
      <c r="Q7" s="294"/>
      <c r="AB7" s="296"/>
      <c r="BS7" s="297"/>
      <c r="CD7" s="298"/>
      <c r="CE7" s="296"/>
      <c r="CF7" s="296"/>
      <c r="CG7" s="296"/>
      <c r="CW7" s="45"/>
    </row>
    <row r="8" spans="1:107" s="141" customFormat="1" ht="21.75" thickBot="1" x14ac:dyDescent="0.3">
      <c r="C8" s="142" t="s">
        <v>39</v>
      </c>
      <c r="D8" s="354" t="s">
        <v>463</v>
      </c>
      <c r="E8" s="355"/>
      <c r="F8" s="355"/>
      <c r="G8" s="355"/>
      <c r="H8" s="355"/>
      <c r="I8" s="355"/>
      <c r="J8" s="355"/>
      <c r="K8" s="356"/>
      <c r="L8" s="357" t="s">
        <v>27</v>
      </c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  <c r="AK8" s="357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61" t="s">
        <v>421</v>
      </c>
      <c r="BB8" s="362"/>
      <c r="BC8" s="362"/>
      <c r="BD8" s="362"/>
      <c r="BE8" s="362"/>
      <c r="BF8" s="362"/>
      <c r="BG8" s="362"/>
      <c r="BH8" s="362"/>
      <c r="BI8" s="362"/>
      <c r="BJ8" s="362"/>
      <c r="BK8" s="362"/>
      <c r="BL8" s="362"/>
      <c r="BM8" s="362"/>
      <c r="BN8" s="362"/>
      <c r="BO8" s="362"/>
      <c r="BP8" s="362"/>
      <c r="BQ8" s="362"/>
      <c r="BR8" s="362"/>
      <c r="BS8" s="363"/>
      <c r="BT8" s="364" t="s">
        <v>400</v>
      </c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5"/>
      <c r="CW8" s="143"/>
      <c r="CX8" s="144"/>
      <c r="CY8" s="144"/>
      <c r="CZ8" s="145"/>
      <c r="DA8" s="146"/>
      <c r="DB8" s="146"/>
      <c r="DC8" s="147"/>
    </row>
    <row r="9" spans="1:107" s="141" customFormat="1" ht="21.75" thickBot="1" x14ac:dyDescent="0.4">
      <c r="C9" s="290"/>
      <c r="D9" s="358" t="s">
        <v>414</v>
      </c>
      <c r="E9" s="359"/>
      <c r="F9" s="359"/>
      <c r="G9" s="359"/>
      <c r="H9" s="359"/>
      <c r="I9" s="359"/>
      <c r="J9" s="359"/>
      <c r="K9" s="360"/>
      <c r="L9" s="359" t="s">
        <v>6</v>
      </c>
      <c r="M9" s="359"/>
      <c r="N9" s="359"/>
      <c r="O9" s="359"/>
      <c r="P9" s="366"/>
      <c r="Q9" s="367" t="s">
        <v>8</v>
      </c>
      <c r="R9" s="368"/>
      <c r="S9" s="368"/>
      <c r="T9" s="369"/>
      <c r="U9" s="370"/>
      <c r="V9" s="371" t="s">
        <v>415</v>
      </c>
      <c r="W9" s="372"/>
      <c r="X9" s="373"/>
      <c r="Y9" s="374" t="s">
        <v>416</v>
      </c>
      <c r="Z9" s="359"/>
      <c r="AA9" s="374"/>
      <c r="AB9" s="359"/>
      <c r="AC9" s="366"/>
      <c r="AD9" s="374" t="s">
        <v>4</v>
      </c>
      <c r="AE9" s="359"/>
      <c r="AF9" s="359"/>
      <c r="AG9" s="359"/>
      <c r="AH9" s="375" t="s">
        <v>1</v>
      </c>
      <c r="AI9" s="376"/>
      <c r="AJ9" s="376"/>
      <c r="AK9" s="376"/>
      <c r="AL9" s="377"/>
      <c r="AM9" s="367" t="s">
        <v>2</v>
      </c>
      <c r="AN9" s="368"/>
      <c r="AO9" s="368"/>
      <c r="AP9" s="368"/>
      <c r="AQ9" s="378"/>
      <c r="AR9" s="375" t="s">
        <v>3</v>
      </c>
      <c r="AS9" s="376"/>
      <c r="AT9" s="376"/>
      <c r="AU9" s="376"/>
      <c r="AV9" s="376"/>
      <c r="AW9" s="379" t="s">
        <v>7</v>
      </c>
      <c r="AX9" s="380"/>
      <c r="AY9" s="380"/>
      <c r="AZ9" s="380"/>
      <c r="BA9" s="381" t="s">
        <v>461</v>
      </c>
      <c r="BB9" s="382"/>
      <c r="BC9" s="382"/>
      <c r="BD9" s="382"/>
      <c r="BE9" s="383"/>
      <c r="BF9" s="375" t="s">
        <v>462</v>
      </c>
      <c r="BG9" s="376"/>
      <c r="BH9" s="379" t="s">
        <v>309</v>
      </c>
      <c r="BI9" s="380"/>
      <c r="BJ9" s="384" t="s">
        <v>417</v>
      </c>
      <c r="BK9" s="380"/>
      <c r="BL9" s="375" t="s">
        <v>46</v>
      </c>
      <c r="BM9" s="376"/>
      <c r="BN9" s="375" t="s">
        <v>418</v>
      </c>
      <c r="BO9" s="376"/>
      <c r="BP9" s="375" t="s">
        <v>419</v>
      </c>
      <c r="BQ9" s="376"/>
      <c r="BR9" s="379" t="s">
        <v>420</v>
      </c>
      <c r="BS9" s="380"/>
      <c r="BT9" s="375" t="s">
        <v>402</v>
      </c>
      <c r="BU9" s="376"/>
      <c r="BV9" s="376"/>
      <c r="BW9" s="376"/>
      <c r="BX9" s="376"/>
      <c r="BY9" s="376"/>
      <c r="BZ9" s="377"/>
      <c r="CA9" s="375" t="s">
        <v>5</v>
      </c>
      <c r="CB9" s="376"/>
      <c r="CC9" s="376"/>
      <c r="CD9" s="376"/>
      <c r="CE9" s="376"/>
      <c r="CF9" s="376"/>
      <c r="CG9" s="377"/>
      <c r="CH9" s="375" t="s">
        <v>403</v>
      </c>
      <c r="CI9" s="376"/>
      <c r="CJ9" s="376"/>
      <c r="CK9" s="376"/>
      <c r="CL9" s="376"/>
      <c r="CM9" s="376"/>
      <c r="CN9" s="377"/>
      <c r="CO9" s="385" t="s">
        <v>1</v>
      </c>
      <c r="CP9" s="386"/>
      <c r="CQ9" s="387"/>
      <c r="CR9" s="388" t="s">
        <v>3</v>
      </c>
      <c r="CS9" s="389"/>
      <c r="CT9" s="390"/>
      <c r="CW9" s="391" t="s">
        <v>30</v>
      </c>
      <c r="CX9" s="392"/>
      <c r="CY9" s="393"/>
      <c r="CZ9" s="394" t="s">
        <v>389</v>
      </c>
      <c r="DA9" s="395"/>
      <c r="DB9" s="395"/>
      <c r="DC9" s="396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54" t="s">
        <v>411</v>
      </c>
      <c r="H10" s="154" t="s">
        <v>2</v>
      </c>
      <c r="I10" s="154" t="s">
        <v>3</v>
      </c>
      <c r="J10" s="154" t="s">
        <v>412</v>
      </c>
      <c r="K10" s="300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468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s="44" customFormat="1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74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6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74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74" si="16">IFERROR(AR11/AU11-1,)</f>
        <v>0</v>
      </c>
      <c r="AW11" s="175">
        <f t="shared" ref="AW11:AZ26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74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P26" si="32">IFERROR(CE11/BX11,0)</f>
        <v>0</v>
      </c>
      <c r="CP11" s="225">
        <f t="shared" si="32"/>
        <v>0</v>
      </c>
      <c r="CQ11" s="178">
        <f t="shared" ref="CQ11:CQ74" si="33">IFERROR(CL11/CP11-1,)</f>
        <v>0</v>
      </c>
      <c r="CR11" s="179">
        <f>IFERROR(CL11/BX11,0)</f>
        <v>0</v>
      </c>
      <c r="CS11" s="225">
        <f t="shared" ref="CS11:CS74" si="34">IFERROR(CM11/BY11,0)</f>
        <v>0</v>
      </c>
      <c r="CT11" s="178">
        <f t="shared" ref="CT11:CT12" si="35">IFERROR(CO11/CS11-1,)</f>
        <v>0</v>
      </c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s="44" customFormat="1" x14ac:dyDescent="0.25">
      <c r="A12" s="44" t="s">
        <v>340</v>
      </c>
      <c r="B12" s="44">
        <v>2018</v>
      </c>
      <c r="C12" s="88">
        <v>2</v>
      </c>
      <c r="D12" s="97">
        <f t="shared" ref="D12:D14" si="37">G12*H12</f>
        <v>0</v>
      </c>
      <c r="E12" s="203">
        <f t="shared" ref="E12:E14" si="38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0">IFERROR(IF(Q11&lt;&gt;0,Q12/Q11,0),0)</f>
        <v>0</v>
      </c>
      <c r="W12" s="333">
        <f t="shared" si="40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1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2">CX12+BG12</f>
        <v>0</v>
      </c>
      <c r="BE12" s="178">
        <f t="shared" si="19"/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3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si="31"/>
        <v>0</v>
      </c>
      <c r="CO12" s="179">
        <f t="shared" si="32"/>
        <v>0</v>
      </c>
      <c r="CP12" s="225">
        <f t="shared" si="32"/>
        <v>0</v>
      </c>
      <c r="CQ12" s="178">
        <f t="shared" si="33"/>
        <v>0</v>
      </c>
      <c r="CR12" s="179">
        <f t="shared" ref="CR12:CS75" si="44">IFERROR(CL12/BX12,0)</f>
        <v>0</v>
      </c>
      <c r="CS12" s="225">
        <f t="shared" si="34"/>
        <v>0</v>
      </c>
      <c r="CT12" s="178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s="44" customFormat="1" x14ac:dyDescent="0.25">
      <c r="A13" s="44" t="s">
        <v>340</v>
      </c>
      <c r="B13" s="44">
        <v>2018</v>
      </c>
      <c r="C13" s="88">
        <v>3</v>
      </c>
      <c r="D13" s="97">
        <f t="shared" si="37"/>
        <v>0</v>
      </c>
      <c r="E13" s="203">
        <f t="shared" si="38"/>
        <v>0</v>
      </c>
      <c r="F13" s="183">
        <f t="shared" ref="F13:F76" si="45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0"/>
        <v>0</v>
      </c>
      <c r="W13" s="333">
        <f t="shared" si="40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1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2"/>
        <v>0</v>
      </c>
      <c r="BE13" s="178">
        <f t="shared" si="19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3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31"/>
        <v>0</v>
      </c>
      <c r="CO13" s="179">
        <f>IFERROR(CE13/BX13,0)</f>
        <v>0</v>
      </c>
      <c r="CP13" s="225">
        <f t="shared" si="32"/>
        <v>0</v>
      </c>
      <c r="CQ13" s="178">
        <f t="shared" si="33"/>
        <v>0</v>
      </c>
      <c r="CR13" s="179">
        <f t="shared" si="44"/>
        <v>0</v>
      </c>
      <c r="CS13" s="225">
        <f t="shared" si="34"/>
        <v>0</v>
      </c>
      <c r="CT13" s="178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s="44" customFormat="1" ht="16.5" thickBot="1" x14ac:dyDescent="0.3">
      <c r="A14" s="44" t="s">
        <v>340</v>
      </c>
      <c r="B14" s="44">
        <v>2018</v>
      </c>
      <c r="C14" s="88">
        <v>4</v>
      </c>
      <c r="D14" s="98">
        <f t="shared" si="37"/>
        <v>0</v>
      </c>
      <c r="E14" s="203">
        <f t="shared" si="38"/>
        <v>0</v>
      </c>
      <c r="F14" s="183">
        <f t="shared" si="45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39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0"/>
        <v>0</v>
      </c>
      <c r="W14" s="333">
        <f t="shared" si="40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1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2"/>
        <v>0</v>
      </c>
      <c r="BE14" s="178">
        <f t="shared" si="19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3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25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28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31"/>
        <v>0</v>
      </c>
      <c r="CO14" s="179">
        <f t="shared" ref="CO14:CP77" si="46">IFERROR(CE14/BX14,0)</f>
        <v>0</v>
      </c>
      <c r="CP14" s="225">
        <f t="shared" si="32"/>
        <v>0</v>
      </c>
      <c r="CQ14" s="178">
        <f t="shared" si="33"/>
        <v>0</v>
      </c>
      <c r="CR14" s="179">
        <f t="shared" si="44"/>
        <v>0</v>
      </c>
      <c r="CS14" s="225">
        <f t="shared" si="34"/>
        <v>0</v>
      </c>
      <c r="CT14" s="178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s="44" customFormat="1" ht="16.5" thickBot="1" x14ac:dyDescent="0.3">
      <c r="C15" s="255" t="s">
        <v>21</v>
      </c>
      <c r="D15" s="256">
        <f t="shared" ref="D15:E15" si="48">SUM(D11:D14)</f>
        <v>0</v>
      </c>
      <c r="E15" s="257">
        <f t="shared" si="48"/>
        <v>0</v>
      </c>
      <c r="F15" s="258">
        <f t="shared" si="45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9">SUM(M11:M14)</f>
        <v>0</v>
      </c>
      <c r="N15" s="261">
        <f t="shared" si="49"/>
        <v>0</v>
      </c>
      <c r="O15" s="261">
        <f t="shared" si="49"/>
        <v>0</v>
      </c>
      <c r="P15" s="262">
        <f t="shared" si="39"/>
        <v>0</v>
      </c>
      <c r="Q15" s="263">
        <f>SUM(Q11:Q14)</f>
        <v>0</v>
      </c>
      <c r="R15" s="264">
        <f t="shared" ref="R15:S15" si="50">SUM(R11:R14)</f>
        <v>0</v>
      </c>
      <c r="S15" s="264">
        <f t="shared" si="50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1">SUM(Z11:Z14)</f>
        <v>0</v>
      </c>
      <c r="AA15" s="261">
        <f t="shared" si="51"/>
        <v>0</v>
      </c>
      <c r="AB15" s="261">
        <f t="shared" si="51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2">BB14</f>
        <v>0</v>
      </c>
      <c r="BC15" s="264">
        <f t="shared" si="52"/>
        <v>0</v>
      </c>
      <c r="BD15" s="264">
        <f t="shared" si="52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3">SUM(BO11:BO14)</f>
        <v>0</v>
      </c>
      <c r="BP15" s="263">
        <f>SUM(BP11:BP14)</f>
        <v>0</v>
      </c>
      <c r="BQ15" s="264">
        <f t="shared" si="53"/>
        <v>0</v>
      </c>
      <c r="BR15" s="263">
        <f t="shared" si="43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:BX15" si="54">SUM(BW11:BW14)</f>
        <v>0</v>
      </c>
      <c r="BX15" s="264">
        <f t="shared" si="54"/>
        <v>0</v>
      </c>
      <c r="BY15" s="277">
        <f>SUM(BY11:BY14)</f>
        <v>0</v>
      </c>
      <c r="BZ15" s="262">
        <f t="shared" si="25"/>
        <v>0</v>
      </c>
      <c r="CA15" s="261">
        <f t="shared" ref="CA15:CF15" si="55">SUM(CA11:CA14)</f>
        <v>0</v>
      </c>
      <c r="CB15" s="261">
        <f t="shared" si="55"/>
        <v>0</v>
      </c>
      <c r="CC15" s="261">
        <f>SUM(CC11:CC14)</f>
        <v>0</v>
      </c>
      <c r="CD15" s="261">
        <f t="shared" si="55"/>
        <v>0</v>
      </c>
      <c r="CE15" s="261">
        <f t="shared" si="55"/>
        <v>0</v>
      </c>
      <c r="CF15" s="261">
        <f t="shared" si="55"/>
        <v>0</v>
      </c>
      <c r="CG15" s="262">
        <f t="shared" si="28"/>
        <v>0</v>
      </c>
      <c r="CH15" s="261">
        <f t="shared" ref="CH15:CM15" si="56">SUM(CH11:CH14)</f>
        <v>0</v>
      </c>
      <c r="CI15" s="261">
        <f t="shared" si="56"/>
        <v>0</v>
      </c>
      <c r="CJ15" s="261">
        <f>SUM(CJ11:CJ14)</f>
        <v>0</v>
      </c>
      <c r="CK15" s="261">
        <f t="shared" si="56"/>
        <v>0</v>
      </c>
      <c r="CL15" s="261">
        <f t="shared" si="56"/>
        <v>0</v>
      </c>
      <c r="CM15" s="261">
        <f t="shared" si="56"/>
        <v>0</v>
      </c>
      <c r="CN15" s="262">
        <f t="shared" si="31"/>
        <v>0</v>
      </c>
      <c r="CO15" s="278">
        <f t="shared" si="46"/>
        <v>0</v>
      </c>
      <c r="CP15" s="279">
        <f t="shared" si="32"/>
        <v>0</v>
      </c>
      <c r="CQ15" s="262">
        <f t="shared" si="33"/>
        <v>0</v>
      </c>
      <c r="CR15" s="278">
        <f t="shared" si="44"/>
        <v>0</v>
      </c>
      <c r="CS15" s="279">
        <f t="shared" si="34"/>
        <v>0</v>
      </c>
      <c r="CT15" s="262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80"/>
      <c r="DA15" s="281"/>
      <c r="DB15" s="281"/>
      <c r="DC15" s="282"/>
    </row>
    <row r="16" spans="1:107" s="44" customFormat="1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5"/>
        <v>0</v>
      </c>
      <c r="G16" s="199">
        <f t="shared" ref="G16:I20" si="57">IFERROR(VLOOKUP($B16 &amp; $C16&amp;G$4&amp;$A16,tblForecast,G$2,FALSE),0)</f>
        <v>0</v>
      </c>
      <c r="H16" s="202">
        <f t="shared" si="57"/>
        <v>0</v>
      </c>
      <c r="I16" s="202">
        <f t="shared" si="57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40">
        <f>IFERROR(VLOOKUP($B16 &amp; $C16&amp;CompareVer,tblForecast,Q$2,FALSE),0)</f>
        <v>0</v>
      </c>
      <c r="R16" s="241">
        <f t="shared" ref="R16:S20" si="59">IFERROR(VLOOKUP($B16 &amp; $C16&amp;R$4,tblForecast,R$2,FALSE),0)</f>
        <v>0</v>
      </c>
      <c r="S16" s="241">
        <f t="shared" si="59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65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66">IFERROR(VLOOKUP($B16 &amp; $C16&amp;BC$4,tblForecast,BC$2,FALSE),0)</f>
        <v>0</v>
      </c>
      <c r="BD16" s="230">
        <f t="shared" ref="BD16:BD20" si="67">CX16+BG16</f>
        <v>0</v>
      </c>
      <c r="BE16" s="178">
        <f t="shared" si="19"/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3"/>
        <v>0</v>
      </c>
      <c r="BS16" s="230">
        <f t="shared" si="22"/>
        <v>0</v>
      </c>
      <c r="BT16" s="229">
        <f t="shared" ref="BT16:BU20" si="68">IFERROR(VLOOKUP($B16 &amp; $C16&amp;BT$4,tblForecast,BT$2,FALSE),0)</f>
        <v>0</v>
      </c>
      <c r="BU16" s="230">
        <f t="shared" si="68"/>
        <v>0</v>
      </c>
      <c r="BV16" s="230">
        <f>IFERROR(VLOOKUP($B16 &amp; $C16&amp;CompareVer,tblForecast,BV$2,FALSE),0)</f>
        <v>0</v>
      </c>
      <c r="BW16" s="230">
        <f t="shared" ref="BW16:BX20" si="69">IFERROR(VLOOKUP($B16 &amp; $C16&amp;BW$4,tblForecast,BW$2,FALSE),0)</f>
        <v>0</v>
      </c>
      <c r="BX16" s="230">
        <f t="shared" si="69"/>
        <v>0</v>
      </c>
      <c r="BY16" s="177">
        <f>IFERROR(VLOOKUP($B16-IF(CompareVer="LY",1,0) &amp; $C16 &amp;BY$4,tblForecast,BY$2,FALSE),0)</f>
        <v>0</v>
      </c>
      <c r="BZ16" s="178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8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8">
        <f t="shared" si="31"/>
        <v>0</v>
      </c>
      <c r="CO16" s="179">
        <f t="shared" si="46"/>
        <v>0</v>
      </c>
      <c r="CP16" s="225">
        <f t="shared" si="32"/>
        <v>0</v>
      </c>
      <c r="CQ16" s="178">
        <f t="shared" si="33"/>
        <v>0</v>
      </c>
      <c r="CR16" s="179">
        <f t="shared" si="44"/>
        <v>0</v>
      </c>
      <c r="CS16" s="225">
        <f t="shared" si="34"/>
        <v>0</v>
      </c>
      <c r="CT16" s="178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s="44" customFormat="1" x14ac:dyDescent="0.25">
      <c r="A17" s="44" t="s">
        <v>340</v>
      </c>
      <c r="B17" s="44">
        <v>2018</v>
      </c>
      <c r="C17" s="88">
        <v>6</v>
      </c>
      <c r="D17" s="97">
        <f t="shared" ref="D17:D20" si="74">G17*H17</f>
        <v>0</v>
      </c>
      <c r="E17" s="203">
        <f t="shared" ref="E17:E20" si="75">IFERROR(D17*F17,0)</f>
        <v>0</v>
      </c>
      <c r="F17" s="183">
        <f t="shared" si="45"/>
        <v>0</v>
      </c>
      <c r="G17" s="177">
        <f t="shared" si="57"/>
        <v>0</v>
      </c>
      <c r="H17" s="204">
        <f t="shared" si="57"/>
        <v>0</v>
      </c>
      <c r="I17" s="204">
        <f t="shared" si="57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40">
        <f>IFERROR(VLOOKUP($B17 &amp; $C17&amp;CompareVer,tblForecast,Q$2,FALSE),0)</f>
        <v>0</v>
      </c>
      <c r="R17" s="242">
        <f t="shared" si="59"/>
        <v>0</v>
      </c>
      <c r="S17" s="242">
        <f t="shared" si="59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76">IFERROR(IF(Q16&lt;&gt;0,Q17/Q16,0),0)</f>
        <v>0</v>
      </c>
      <c r="W17" s="333">
        <f t="shared" si="76"/>
        <v>0</v>
      </c>
      <c r="X17" s="248">
        <f t="shared" ref="X17:X25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65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66"/>
        <v>0</v>
      </c>
      <c r="BD17" s="230">
        <f t="shared" si="67"/>
        <v>0</v>
      </c>
      <c r="BE17" s="178">
        <f t="shared" si="19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3"/>
        <v>0</v>
      </c>
      <c r="BS17" s="230">
        <f t="shared" si="22"/>
        <v>0</v>
      </c>
      <c r="BT17" s="229">
        <f t="shared" si="68"/>
        <v>0</v>
      </c>
      <c r="BU17" s="230">
        <f t="shared" si="68"/>
        <v>0</v>
      </c>
      <c r="BV17" s="230">
        <f>IFERROR(VLOOKUP($B17 &amp; $C17&amp;CompareVer,tblForecast,BV$2,FALSE),0)</f>
        <v>0</v>
      </c>
      <c r="BW17" s="230">
        <f t="shared" si="69"/>
        <v>0</v>
      </c>
      <c r="BX17" s="230">
        <f t="shared" si="69"/>
        <v>0</v>
      </c>
      <c r="BY17" s="177">
        <f>IFERROR(VLOOKUP($B17-IF(CompareVer="LY",1,0) &amp; $C17 &amp;BY$4,tblForecast,BY$2,FALSE),0)</f>
        <v>0</v>
      </c>
      <c r="BZ17" s="178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8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8">
        <f t="shared" si="31"/>
        <v>0</v>
      </c>
      <c r="CO17" s="179">
        <f t="shared" si="46"/>
        <v>0</v>
      </c>
      <c r="CP17" s="225">
        <f t="shared" si="32"/>
        <v>0</v>
      </c>
      <c r="CQ17" s="178">
        <f t="shared" si="33"/>
        <v>0</v>
      </c>
      <c r="CR17" s="179">
        <f t="shared" si="44"/>
        <v>0</v>
      </c>
      <c r="CS17" s="225">
        <f t="shared" si="34"/>
        <v>0</v>
      </c>
      <c r="CT17" s="178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s="44" customFormat="1" x14ac:dyDescent="0.25">
      <c r="A18" s="44" t="s">
        <v>340</v>
      </c>
      <c r="B18" s="44">
        <v>2018</v>
      </c>
      <c r="C18" s="88">
        <v>7</v>
      </c>
      <c r="D18" s="97">
        <f t="shared" si="74"/>
        <v>0</v>
      </c>
      <c r="E18" s="203">
        <f t="shared" si="75"/>
        <v>0</v>
      </c>
      <c r="F18" s="183">
        <f t="shared" si="45"/>
        <v>0</v>
      </c>
      <c r="G18" s="177">
        <f t="shared" si="57"/>
        <v>0</v>
      </c>
      <c r="H18" s="204">
        <f t="shared" si="57"/>
        <v>0</v>
      </c>
      <c r="I18" s="204">
        <f t="shared" si="57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40">
        <f>IFERROR(VLOOKUP($B18 &amp; $C18&amp;CompareVer,tblForecast,Q$2,FALSE),0)</f>
        <v>0</v>
      </c>
      <c r="R18" s="242">
        <f t="shared" si="59"/>
        <v>0</v>
      </c>
      <c r="S18" s="242">
        <f t="shared" si="59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76"/>
        <v>0</v>
      </c>
      <c r="W18" s="333">
        <f t="shared" si="76"/>
        <v>0</v>
      </c>
      <c r="X18" s="248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65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66"/>
        <v>0</v>
      </c>
      <c r="BD18" s="230">
        <f t="shared" si="67"/>
        <v>0</v>
      </c>
      <c r="BE18" s="178">
        <f t="shared" si="19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3"/>
        <v>0</v>
      </c>
      <c r="BS18" s="230">
        <f t="shared" si="22"/>
        <v>0</v>
      </c>
      <c r="BT18" s="229">
        <f t="shared" si="68"/>
        <v>0</v>
      </c>
      <c r="BU18" s="230">
        <f t="shared" si="68"/>
        <v>0</v>
      </c>
      <c r="BV18" s="230">
        <f>IFERROR(VLOOKUP($B18 &amp; $C18&amp;CompareVer,tblForecast,BV$2,FALSE),0)</f>
        <v>0</v>
      </c>
      <c r="BW18" s="230">
        <f t="shared" si="69"/>
        <v>0</v>
      </c>
      <c r="BX18" s="230">
        <f t="shared" si="69"/>
        <v>0</v>
      </c>
      <c r="BY18" s="177">
        <f>IFERROR(VLOOKUP($B18-IF(CompareVer="LY",1,0) &amp; $C18 &amp;BY$4,tblForecast,BY$2,FALSE),0)</f>
        <v>0</v>
      </c>
      <c r="BZ18" s="178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8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8">
        <f t="shared" si="31"/>
        <v>0</v>
      </c>
      <c r="CO18" s="179">
        <f t="shared" si="46"/>
        <v>0</v>
      </c>
      <c r="CP18" s="225">
        <f t="shared" si="32"/>
        <v>0</v>
      </c>
      <c r="CQ18" s="178">
        <f t="shared" si="33"/>
        <v>0</v>
      </c>
      <c r="CR18" s="179">
        <f t="shared" si="44"/>
        <v>0</v>
      </c>
      <c r="CS18" s="225">
        <f t="shared" si="34"/>
        <v>0</v>
      </c>
      <c r="CT18" s="178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s="44" customFormat="1" x14ac:dyDescent="0.25">
      <c r="A19" s="44" t="s">
        <v>340</v>
      </c>
      <c r="B19" s="44">
        <v>2018</v>
      </c>
      <c r="C19" s="88">
        <v>8</v>
      </c>
      <c r="D19" s="97">
        <f t="shared" si="74"/>
        <v>0</v>
      </c>
      <c r="E19" s="203">
        <f t="shared" si="75"/>
        <v>0</v>
      </c>
      <c r="F19" s="183">
        <f t="shared" si="45"/>
        <v>0</v>
      </c>
      <c r="G19" s="177">
        <f t="shared" si="57"/>
        <v>0</v>
      </c>
      <c r="H19" s="204">
        <f t="shared" si="57"/>
        <v>0</v>
      </c>
      <c r="I19" s="204">
        <f t="shared" si="57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40">
        <f>IFERROR(VLOOKUP($B19 &amp; $C19&amp;CompareVer,tblForecast,Q$2,FALSE),0)</f>
        <v>0</v>
      </c>
      <c r="R19" s="242">
        <f t="shared" si="59"/>
        <v>0</v>
      </c>
      <c r="S19" s="242">
        <f t="shared" si="59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76"/>
        <v>0</v>
      </c>
      <c r="W19" s="333">
        <f t="shared" si="76"/>
        <v>0</v>
      </c>
      <c r="X19" s="248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65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66"/>
        <v>0</v>
      </c>
      <c r="BD19" s="230">
        <f t="shared" si="67"/>
        <v>0</v>
      </c>
      <c r="BE19" s="178">
        <f t="shared" si="19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3"/>
        <v>0</v>
      </c>
      <c r="BS19" s="230">
        <f t="shared" si="22"/>
        <v>0</v>
      </c>
      <c r="BT19" s="229">
        <f t="shared" si="68"/>
        <v>0</v>
      </c>
      <c r="BU19" s="230">
        <f t="shared" si="68"/>
        <v>0</v>
      </c>
      <c r="BV19" s="230">
        <f>IFERROR(VLOOKUP($B19 &amp; $C19&amp;CompareVer,tblForecast,BV$2,FALSE),0)</f>
        <v>0</v>
      </c>
      <c r="BW19" s="230">
        <f t="shared" si="69"/>
        <v>0</v>
      </c>
      <c r="BX19" s="230">
        <f t="shared" si="69"/>
        <v>0</v>
      </c>
      <c r="BY19" s="177">
        <f>IFERROR(VLOOKUP($B19-IF(CompareVer="LY",1,0) &amp; $C19 &amp;BY$4,tblForecast,BY$2,FALSE),0)</f>
        <v>0</v>
      </c>
      <c r="BZ19" s="178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8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8">
        <f t="shared" si="31"/>
        <v>0</v>
      </c>
      <c r="CO19" s="179">
        <f t="shared" si="46"/>
        <v>0</v>
      </c>
      <c r="CP19" s="225">
        <f t="shared" si="32"/>
        <v>0</v>
      </c>
      <c r="CQ19" s="178">
        <f t="shared" si="33"/>
        <v>0</v>
      </c>
      <c r="CR19" s="179">
        <f t="shared" si="44"/>
        <v>0</v>
      </c>
      <c r="CS19" s="225">
        <f t="shared" si="34"/>
        <v>0</v>
      </c>
      <c r="CT19" s="178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s="44" customFormat="1" ht="16.5" thickBot="1" x14ac:dyDescent="0.3">
      <c r="A20" s="44" t="s">
        <v>340</v>
      </c>
      <c r="B20" s="44">
        <v>2018</v>
      </c>
      <c r="C20" s="88">
        <v>9</v>
      </c>
      <c r="D20" s="97">
        <f t="shared" si="74"/>
        <v>0</v>
      </c>
      <c r="E20" s="203">
        <f t="shared" si="75"/>
        <v>0</v>
      </c>
      <c r="F20" s="183">
        <f t="shared" si="45"/>
        <v>0</v>
      </c>
      <c r="G20" s="177">
        <f t="shared" si="57"/>
        <v>0</v>
      </c>
      <c r="H20" s="204">
        <f t="shared" si="57"/>
        <v>0</v>
      </c>
      <c r="I20" s="204">
        <f t="shared" si="57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40">
        <f>IFERROR(VLOOKUP($B20 &amp; $C20&amp;CompareVer,tblForecast,Q$2,FALSE),0)</f>
        <v>0</v>
      </c>
      <c r="R20" s="242">
        <f t="shared" si="59"/>
        <v>0</v>
      </c>
      <c r="S20" s="242">
        <f t="shared" si="59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76"/>
        <v>0</v>
      </c>
      <c r="W20" s="333">
        <f t="shared" si="76"/>
        <v>0</v>
      </c>
      <c r="X20" s="248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65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66"/>
        <v>0</v>
      </c>
      <c r="BD20" s="230">
        <f t="shared" si="67"/>
        <v>0</v>
      </c>
      <c r="BE20" s="178">
        <f t="shared" si="19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3"/>
        <v>0</v>
      </c>
      <c r="BS20" s="230">
        <f t="shared" si="22"/>
        <v>0</v>
      </c>
      <c r="BT20" s="229">
        <f t="shared" si="68"/>
        <v>0</v>
      </c>
      <c r="BU20" s="230">
        <f t="shared" si="68"/>
        <v>0</v>
      </c>
      <c r="BV20" s="230">
        <f>IFERROR(VLOOKUP($B20 &amp; $C20&amp;CompareVer,tblForecast,BV$2,FALSE),0)</f>
        <v>0</v>
      </c>
      <c r="BW20" s="230">
        <f t="shared" si="69"/>
        <v>0</v>
      </c>
      <c r="BX20" s="230">
        <f t="shared" si="69"/>
        <v>0</v>
      </c>
      <c r="BY20" s="177">
        <f>IFERROR(VLOOKUP($B20-IF(CompareVer="LY",1,0) &amp; $C20 &amp;BY$4,tblForecast,BY$2,FALSE),0)</f>
        <v>0</v>
      </c>
      <c r="BZ20" s="178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8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8">
        <f t="shared" si="31"/>
        <v>0</v>
      </c>
      <c r="CO20" s="179">
        <f t="shared" si="46"/>
        <v>0</v>
      </c>
      <c r="CP20" s="225">
        <f t="shared" si="32"/>
        <v>0</v>
      </c>
      <c r="CQ20" s="178">
        <f t="shared" si="33"/>
        <v>0</v>
      </c>
      <c r="CR20" s="179">
        <f t="shared" si="44"/>
        <v>0</v>
      </c>
      <c r="CS20" s="225">
        <f t="shared" si="34"/>
        <v>0</v>
      </c>
      <c r="CT20" s="178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s="44" customFormat="1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5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78">SUM(M16:M20)</f>
        <v>0</v>
      </c>
      <c r="N21" s="261">
        <f t="shared" si="78"/>
        <v>0</v>
      </c>
      <c r="O21" s="261">
        <f t="shared" si="78"/>
        <v>0</v>
      </c>
      <c r="P21" s="262">
        <f t="shared" si="39"/>
        <v>0</v>
      </c>
      <c r="Q21" s="263">
        <f>SUM(Q16:Q20)</f>
        <v>0</v>
      </c>
      <c r="R21" s="264">
        <f t="shared" ref="R21:S21" si="79">SUM(R16:R20)</f>
        <v>0</v>
      </c>
      <c r="S21" s="264">
        <f t="shared" si="79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80">SUM(Z16:Z20)</f>
        <v>0</v>
      </c>
      <c r="AA21" s="261">
        <f t="shared" si="80"/>
        <v>0</v>
      </c>
      <c r="AB21" s="261">
        <f t="shared" si="80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:AK21" si="81">IFERROR(SUMPRODUCT(AJ17:AJ20,S17:S20)/S21,0)</f>
        <v>0</v>
      </c>
      <c r="AK21" s="270">
        <f t="shared" si="81"/>
        <v>0</v>
      </c>
      <c r="AL21" s="262">
        <f t="shared" si="12"/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si="14"/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si="16"/>
        <v>0</v>
      </c>
      <c r="AW21" s="271">
        <f t="shared" si="17"/>
        <v>0</v>
      </c>
      <c r="AX21" s="272">
        <f t="shared" si="17"/>
        <v>0</v>
      </c>
      <c r="AY21" s="272">
        <f t="shared" si="17"/>
        <v>0</v>
      </c>
      <c r="AZ21" s="272">
        <f t="shared" si="17"/>
        <v>0</v>
      </c>
      <c r="BA21" s="263">
        <f>BA20</f>
        <v>0</v>
      </c>
      <c r="BB21" s="264">
        <f t="shared" ref="BB21:BD21" si="82">BB20</f>
        <v>0</v>
      </c>
      <c r="BC21" s="264">
        <f t="shared" si="82"/>
        <v>0</v>
      </c>
      <c r="BD21" s="264">
        <f t="shared" si="82"/>
        <v>0</v>
      </c>
      <c r="BE21" s="262">
        <f t="shared" si="19"/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83">SUM(BO16:BO20)</f>
        <v>0</v>
      </c>
      <c r="BP21" s="263">
        <f>SUM(BP16:BP20)</f>
        <v>0</v>
      </c>
      <c r="BQ21" s="264">
        <f t="shared" si="83"/>
        <v>0</v>
      </c>
      <c r="BR21" s="263">
        <f t="shared" si="43"/>
        <v>0</v>
      </c>
      <c r="BS21" s="264">
        <f t="shared" si="22"/>
        <v>0</v>
      </c>
      <c r="BT21" s="263">
        <f t="shared" ref="BT21:BY21" si="84">SUM(BT16:BT20)</f>
        <v>0</v>
      </c>
      <c r="BU21" s="264">
        <f t="shared" si="84"/>
        <v>0</v>
      </c>
      <c r="BV21" s="264">
        <f>SUM(BV16:BV20)</f>
        <v>0</v>
      </c>
      <c r="BW21" s="264">
        <f t="shared" si="84"/>
        <v>0</v>
      </c>
      <c r="BX21" s="264">
        <f t="shared" si="84"/>
        <v>0</v>
      </c>
      <c r="BY21" s="277">
        <f t="shared" si="84"/>
        <v>0</v>
      </c>
      <c r="BZ21" s="262">
        <f t="shared" si="25"/>
        <v>0</v>
      </c>
      <c r="CA21" s="261">
        <f t="shared" ref="CA21:CF21" si="85">SUM(CA16:CA20)</f>
        <v>0</v>
      </c>
      <c r="CB21" s="261">
        <f t="shared" si="85"/>
        <v>0</v>
      </c>
      <c r="CC21" s="261">
        <f>SUM(CC16:CC20)</f>
        <v>0</v>
      </c>
      <c r="CD21" s="261">
        <f t="shared" si="85"/>
        <v>0</v>
      </c>
      <c r="CE21" s="261">
        <f t="shared" si="85"/>
        <v>0</v>
      </c>
      <c r="CF21" s="261">
        <f t="shared" si="85"/>
        <v>0</v>
      </c>
      <c r="CG21" s="262">
        <f t="shared" si="28"/>
        <v>0</v>
      </c>
      <c r="CH21" s="261">
        <f t="shared" ref="CH21:CM21" si="86">SUM(CH16:CH20)</f>
        <v>0</v>
      </c>
      <c r="CI21" s="261">
        <f t="shared" si="86"/>
        <v>0</v>
      </c>
      <c r="CJ21" s="261">
        <f>SUM(CJ16:CJ20)</f>
        <v>0</v>
      </c>
      <c r="CK21" s="261">
        <f t="shared" si="86"/>
        <v>0</v>
      </c>
      <c r="CL21" s="261">
        <f t="shared" si="86"/>
        <v>0</v>
      </c>
      <c r="CM21" s="261">
        <f t="shared" si="86"/>
        <v>0</v>
      </c>
      <c r="CN21" s="262">
        <f t="shared" si="31"/>
        <v>0</v>
      </c>
      <c r="CO21" s="278">
        <f t="shared" si="46"/>
        <v>0</v>
      </c>
      <c r="CP21" s="279">
        <f t="shared" si="32"/>
        <v>0</v>
      </c>
      <c r="CQ21" s="262">
        <f t="shared" si="33"/>
        <v>0</v>
      </c>
      <c r="CR21" s="278">
        <f t="shared" si="44"/>
        <v>0</v>
      </c>
      <c r="CS21" s="279">
        <f t="shared" si="34"/>
        <v>0</v>
      </c>
      <c r="CT21" s="262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80"/>
      <c r="DA21" s="281"/>
      <c r="DB21" s="281"/>
      <c r="DC21" s="282"/>
    </row>
    <row r="22" spans="1:107" s="44" customFormat="1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5"/>
        <v>0</v>
      </c>
      <c r="G22" s="199">
        <f t="shared" ref="G22:I25" si="87">IFERROR(VLOOKUP($B22 &amp; $C22&amp;G$4&amp;$A22,tblForecast,G$2,FALSE),0)</f>
        <v>0</v>
      </c>
      <c r="H22" s="202">
        <f t="shared" si="87"/>
        <v>0</v>
      </c>
      <c r="I22" s="202">
        <f t="shared" si="87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88">Q22*AM22</f>
        <v>0</v>
      </c>
      <c r="M22" s="90">
        <f t="shared" si="88"/>
        <v>0</v>
      </c>
      <c r="N22" s="90">
        <f t="shared" si="88"/>
        <v>0</v>
      </c>
      <c r="O22" s="90">
        <f t="shared" si="88"/>
        <v>0</v>
      </c>
      <c r="P22" s="91">
        <f t="shared" si="39"/>
        <v>0</v>
      </c>
      <c r="Q22" s="240">
        <f>IFERROR(VLOOKUP($B22 &amp; $C22&amp;CompareVer,tblForecast,Q$2,FALSE),0)</f>
        <v>0</v>
      </c>
      <c r="R22" s="241">
        <f t="shared" ref="R22:S25" si="89">IFERROR(VLOOKUP($B22 &amp; $C22&amp;R$4,tblForecast,R$2,FALSE),0)</f>
        <v>0</v>
      </c>
      <c r="S22" s="241">
        <f t="shared" si="89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90">IFERROR(L22*AD22,0)</f>
        <v>0</v>
      </c>
      <c r="Z22" s="90">
        <f t="shared" si="90"/>
        <v>0</v>
      </c>
      <c r="AA22" s="90">
        <f t="shared" si="90"/>
        <v>0</v>
      </c>
      <c r="AB22" s="90">
        <f t="shared" si="90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1">IF(AN22&lt;&gt;0,1-AS22/AN22,0)</f>
        <v>0</v>
      </c>
      <c r="AF22" s="93">
        <f t="shared" si="91"/>
        <v>0</v>
      </c>
      <c r="AG22" s="93">
        <f t="shared" si="91"/>
        <v>0</v>
      </c>
      <c r="AH22" s="104">
        <f>IFERROR(VLOOKUP($B22 &amp; $C22&amp;CompareVer,tblForecast,AH$2,FALSE),0)</f>
        <v>0</v>
      </c>
      <c r="AI22" s="94">
        <f t="shared" ref="AI22:AJ25" si="92">IFERROR(VLOOKUP($B22 &amp; $C22&amp;AI$4,tblForecast,AI$2,FALSE),0)</f>
        <v>0</v>
      </c>
      <c r="AJ22" s="94">
        <f t="shared" si="92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3">IFERROR(VLOOKUP($B22 &amp; $C22&amp;AN$4,tblForecast,AN$2,FALSE),0)</f>
        <v>0</v>
      </c>
      <c r="AO22" s="94">
        <f t="shared" si="93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4">IFERROR(VLOOKUP($B22 &amp; $C22&amp;AS$4,tblForecast,AS$2,FALSE),0)</f>
        <v>0</v>
      </c>
      <c r="AT22" s="94">
        <f t="shared" si="94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95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96">IFERROR(VLOOKUP($B22 &amp; $C22&amp;BC$4,tblForecast,BC$2,FALSE),0)</f>
        <v>0</v>
      </c>
      <c r="BD22" s="230">
        <f t="shared" ref="BD22:BD25" si="97">CX22+BG22</f>
        <v>0</v>
      </c>
      <c r="BE22" s="178">
        <f t="shared" si="19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3"/>
        <v>0</v>
      </c>
      <c r="BS22" s="230">
        <f t="shared" si="22"/>
        <v>0</v>
      </c>
      <c r="BT22" s="229">
        <f t="shared" ref="BT22:BU25" si="98">IFERROR(VLOOKUP($B22 &amp; $C22&amp;BT$4,tblForecast,BT$2,FALSE),0)</f>
        <v>0</v>
      </c>
      <c r="BU22" s="230">
        <f t="shared" si="98"/>
        <v>0</v>
      </c>
      <c r="BV22" s="230">
        <f>IFERROR(VLOOKUP($B22 &amp; $C22&amp;CompareVer,tblForecast,BV$2,FALSE),0)</f>
        <v>0</v>
      </c>
      <c r="BW22" s="230">
        <f t="shared" ref="BW22:BX25" si="99">IFERROR(VLOOKUP($B22 &amp; $C22&amp;BW$4,tblForecast,BW$2,FALSE),0)</f>
        <v>0</v>
      </c>
      <c r="BX22" s="230">
        <f t="shared" si="99"/>
        <v>0</v>
      </c>
      <c r="BY22" s="177">
        <f>IFERROR(VLOOKUP($B22-IF(CompareVer="LY",1,0) &amp; $C22 &amp;BY$4,tblForecast,BY$2,FALSE),0)</f>
        <v>0</v>
      </c>
      <c r="BZ22" s="178">
        <f t="shared" si="25"/>
        <v>0</v>
      </c>
      <c r="CA22" s="90">
        <f t="shared" ref="CA22:CB25" si="100">IFERROR(VLOOKUP($B22 &amp; $C22&amp;CA$4,tblForecast,CA$2,FALSE),0)</f>
        <v>0</v>
      </c>
      <c r="CB22" s="90">
        <f t="shared" si="100"/>
        <v>0</v>
      </c>
      <c r="CC22" s="90">
        <f>IFERROR(VLOOKUP($B22 &amp; $C22&amp;CompareVer,tblForecast,CC$2,FALSE),0)</f>
        <v>0</v>
      </c>
      <c r="CD22" s="90">
        <f t="shared" ref="CD22:CE25" si="101">IFERROR(VLOOKUP($B22 &amp; $C22&amp;CD$4,tblForecast,CD$2,FALSE),0)</f>
        <v>0</v>
      </c>
      <c r="CE22" s="90">
        <f t="shared" si="101"/>
        <v>0</v>
      </c>
      <c r="CF22" s="90">
        <f>IFERROR(VLOOKUP($B22-IF(CompareVer="LY",1,0) &amp; $C22 &amp;CF$4,tblForecast,CF$2,FALSE),0)</f>
        <v>0</v>
      </c>
      <c r="CG22" s="178">
        <f t="shared" si="28"/>
        <v>0</v>
      </c>
      <c r="CH22" s="90">
        <f t="shared" ref="CH22:CI25" si="102">IFERROR(VLOOKUP($B22 &amp; $C22&amp;CH$4,tblForecast,CH$2,FALSE),0)</f>
        <v>0</v>
      </c>
      <c r="CI22" s="90">
        <f t="shared" si="102"/>
        <v>0</v>
      </c>
      <c r="CJ22" s="90">
        <f>IFERROR(VLOOKUP($B22 &amp; $C22&amp;CompareVer,tblForecast,CJ$2,FALSE),0)</f>
        <v>0</v>
      </c>
      <c r="CK22" s="90">
        <f t="shared" ref="CK22:CL25" si="103">IFERROR(VLOOKUP($B22 &amp; $C22&amp;CK$4,tblForecast,CK$2,FALSE),0)</f>
        <v>0</v>
      </c>
      <c r="CL22" s="90">
        <f t="shared" si="103"/>
        <v>0</v>
      </c>
      <c r="CM22" s="90">
        <f>IFERROR(VLOOKUP($B22-IF(CompareVer="LY",1,0) &amp; $C22 &amp;CM$4,tblForecast,CM$2,FALSE),0)</f>
        <v>0</v>
      </c>
      <c r="CN22" s="178">
        <f t="shared" si="31"/>
        <v>0</v>
      </c>
      <c r="CO22" s="179">
        <f t="shared" si="46"/>
        <v>0</v>
      </c>
      <c r="CP22" s="225">
        <f t="shared" si="32"/>
        <v>0</v>
      </c>
      <c r="CQ22" s="178">
        <f t="shared" si="33"/>
        <v>0</v>
      </c>
      <c r="CR22" s="179">
        <f t="shared" si="44"/>
        <v>0</v>
      </c>
      <c r="CS22" s="225">
        <f t="shared" si="34"/>
        <v>0</v>
      </c>
      <c r="CT22" s="178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s="44" customFormat="1" x14ac:dyDescent="0.25">
      <c r="A23" s="44" t="s">
        <v>340</v>
      </c>
      <c r="B23" s="44">
        <v>2018</v>
      </c>
      <c r="C23" s="88">
        <v>11</v>
      </c>
      <c r="D23" s="97">
        <f t="shared" ref="D23:D25" si="104">G23*H23</f>
        <v>0</v>
      </c>
      <c r="E23" s="203">
        <f t="shared" ref="E23:E25" si="105">IFERROR(D23*F23,0)</f>
        <v>0</v>
      </c>
      <c r="F23" s="183">
        <f t="shared" si="45"/>
        <v>0</v>
      </c>
      <c r="G23" s="177">
        <f t="shared" si="87"/>
        <v>0</v>
      </c>
      <c r="H23" s="204">
        <f t="shared" si="87"/>
        <v>0</v>
      </c>
      <c r="I23" s="204">
        <f t="shared" si="87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88"/>
        <v>0</v>
      </c>
      <c r="M23" s="90">
        <f t="shared" si="88"/>
        <v>0</v>
      </c>
      <c r="N23" s="90">
        <f t="shared" si="88"/>
        <v>0</v>
      </c>
      <c r="O23" s="90">
        <f t="shared" si="88"/>
        <v>0</v>
      </c>
      <c r="P23" s="91">
        <f t="shared" si="39"/>
        <v>0</v>
      </c>
      <c r="Q23" s="240">
        <f>IFERROR(VLOOKUP($B23 &amp; $C23&amp;CompareVer,tblForecast,Q$2,FALSE),0)</f>
        <v>0</v>
      </c>
      <c r="R23" s="242">
        <f t="shared" si="89"/>
        <v>0</v>
      </c>
      <c r="S23" s="242">
        <f t="shared" si="89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06">IFERROR(IF(Q22&lt;&gt;0,Q23/Q22,0),0)</f>
        <v>0</v>
      </c>
      <c r="W23" s="333">
        <f t="shared" si="106"/>
        <v>0</v>
      </c>
      <c r="X23" s="248">
        <f t="shared" si="77"/>
        <v>0</v>
      </c>
      <c r="Y23" s="97">
        <f t="shared" si="90"/>
        <v>0</v>
      </c>
      <c r="Z23" s="90">
        <f t="shared" si="90"/>
        <v>0</v>
      </c>
      <c r="AA23" s="90">
        <f t="shared" si="90"/>
        <v>0</v>
      </c>
      <c r="AB23" s="90">
        <f t="shared" si="90"/>
        <v>0</v>
      </c>
      <c r="AC23" s="91">
        <f t="shared" si="9"/>
        <v>0</v>
      </c>
      <c r="AD23" s="75">
        <f>IF(AM23&lt;&gt;0,1-AR23/AM23,0)</f>
        <v>0</v>
      </c>
      <c r="AE23" s="93">
        <f t="shared" si="91"/>
        <v>0</v>
      </c>
      <c r="AF23" s="93">
        <f t="shared" si="91"/>
        <v>0</v>
      </c>
      <c r="AG23" s="93">
        <f t="shared" si="91"/>
        <v>0</v>
      </c>
      <c r="AH23" s="104">
        <f>IFERROR(VLOOKUP($B23 &amp; $C23&amp;CompareVer,tblForecast,AH$2,FALSE),0)</f>
        <v>0</v>
      </c>
      <c r="AI23" s="94">
        <f t="shared" si="92"/>
        <v>0</v>
      </c>
      <c r="AJ23" s="94">
        <f t="shared" si="92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3"/>
        <v>0</v>
      </c>
      <c r="AO23" s="94">
        <f t="shared" si="93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4"/>
        <v>0</v>
      </c>
      <c r="AT23" s="94">
        <f t="shared" si="94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95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96"/>
        <v>0</v>
      </c>
      <c r="BD23" s="230">
        <f t="shared" si="97"/>
        <v>0</v>
      </c>
      <c r="BE23" s="178">
        <f t="shared" si="19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3"/>
        <v>0</v>
      </c>
      <c r="BS23" s="230">
        <f t="shared" si="22"/>
        <v>0</v>
      </c>
      <c r="BT23" s="229">
        <f t="shared" si="98"/>
        <v>0</v>
      </c>
      <c r="BU23" s="230">
        <f t="shared" si="98"/>
        <v>0</v>
      </c>
      <c r="BV23" s="230">
        <f>IFERROR(VLOOKUP($B23 &amp; $C23&amp;CompareVer,tblForecast,BV$2,FALSE),0)</f>
        <v>0</v>
      </c>
      <c r="BW23" s="230">
        <f t="shared" si="99"/>
        <v>0</v>
      </c>
      <c r="BX23" s="230">
        <f t="shared" si="99"/>
        <v>0</v>
      </c>
      <c r="BY23" s="177">
        <f>IFERROR(VLOOKUP($B23-IF(CompareVer="LY",1,0) &amp; $C23 &amp;BY$4,tblForecast,BY$2,FALSE),0)</f>
        <v>0</v>
      </c>
      <c r="BZ23" s="178">
        <f t="shared" si="25"/>
        <v>0</v>
      </c>
      <c r="CA23" s="90">
        <f t="shared" si="100"/>
        <v>0</v>
      </c>
      <c r="CB23" s="90">
        <f t="shared" si="100"/>
        <v>0</v>
      </c>
      <c r="CC23" s="90">
        <f>IFERROR(VLOOKUP($B23 &amp; $C23&amp;CompareVer,tblForecast,CC$2,FALSE),0)</f>
        <v>0</v>
      </c>
      <c r="CD23" s="90">
        <f t="shared" si="101"/>
        <v>0</v>
      </c>
      <c r="CE23" s="90">
        <f t="shared" si="101"/>
        <v>0</v>
      </c>
      <c r="CF23" s="90">
        <f>IFERROR(VLOOKUP($B23-IF(CompareVer="LY",1,0) &amp; $C23 &amp;CF$4,tblForecast,CF$2,FALSE),0)</f>
        <v>0</v>
      </c>
      <c r="CG23" s="178">
        <f t="shared" si="28"/>
        <v>0</v>
      </c>
      <c r="CH23" s="90">
        <f t="shared" si="102"/>
        <v>0</v>
      </c>
      <c r="CI23" s="90">
        <f t="shared" si="102"/>
        <v>0</v>
      </c>
      <c r="CJ23" s="90">
        <f>IFERROR(VLOOKUP($B23 &amp; $C23&amp;CompareVer,tblForecast,CJ$2,FALSE),0)</f>
        <v>0</v>
      </c>
      <c r="CK23" s="90">
        <f t="shared" si="103"/>
        <v>0</v>
      </c>
      <c r="CL23" s="90">
        <f t="shared" si="103"/>
        <v>0</v>
      </c>
      <c r="CM23" s="90">
        <f>IFERROR(VLOOKUP($B23-IF(CompareVer="LY",1,0) &amp; $C23 &amp;CM$4,tblForecast,CM$2,FALSE),0)</f>
        <v>0</v>
      </c>
      <c r="CN23" s="178">
        <f t="shared" si="31"/>
        <v>0</v>
      </c>
      <c r="CO23" s="179">
        <f t="shared" si="46"/>
        <v>0</v>
      </c>
      <c r="CP23" s="225">
        <f t="shared" si="32"/>
        <v>0</v>
      </c>
      <c r="CQ23" s="178">
        <f t="shared" si="33"/>
        <v>0</v>
      </c>
      <c r="CR23" s="179">
        <f t="shared" si="44"/>
        <v>0</v>
      </c>
      <c r="CS23" s="225">
        <f t="shared" si="34"/>
        <v>0</v>
      </c>
      <c r="CT23" s="178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s="44" customFormat="1" x14ac:dyDescent="0.25">
      <c r="A24" s="44" t="s">
        <v>340</v>
      </c>
      <c r="B24" s="44">
        <v>2018</v>
      </c>
      <c r="C24" s="88">
        <v>12</v>
      </c>
      <c r="D24" s="97">
        <f t="shared" si="104"/>
        <v>0</v>
      </c>
      <c r="E24" s="203">
        <f t="shared" si="105"/>
        <v>0</v>
      </c>
      <c r="F24" s="183">
        <f t="shared" si="45"/>
        <v>0</v>
      </c>
      <c r="G24" s="177">
        <f t="shared" si="87"/>
        <v>0</v>
      </c>
      <c r="H24" s="204">
        <f t="shared" si="87"/>
        <v>0</v>
      </c>
      <c r="I24" s="204">
        <f t="shared" si="87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88"/>
        <v>0</v>
      </c>
      <c r="M24" s="90">
        <f t="shared" si="88"/>
        <v>0</v>
      </c>
      <c r="N24" s="90">
        <f t="shared" si="88"/>
        <v>0</v>
      </c>
      <c r="O24" s="90">
        <f t="shared" si="88"/>
        <v>0</v>
      </c>
      <c r="P24" s="91">
        <f t="shared" si="39"/>
        <v>0</v>
      </c>
      <c r="Q24" s="240">
        <f>IFERROR(VLOOKUP($B24 &amp; $C24&amp;CompareVer,tblForecast,Q$2,FALSE),0)</f>
        <v>0</v>
      </c>
      <c r="R24" s="242">
        <f t="shared" si="89"/>
        <v>0</v>
      </c>
      <c r="S24" s="242">
        <f t="shared" si="89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06"/>
        <v>0</v>
      </c>
      <c r="W24" s="333">
        <f t="shared" si="106"/>
        <v>0</v>
      </c>
      <c r="X24" s="248">
        <f t="shared" si="77"/>
        <v>0</v>
      </c>
      <c r="Y24" s="97">
        <f t="shared" si="90"/>
        <v>0</v>
      </c>
      <c r="Z24" s="90">
        <f t="shared" si="90"/>
        <v>0</v>
      </c>
      <c r="AA24" s="90">
        <f t="shared" si="90"/>
        <v>0</v>
      </c>
      <c r="AB24" s="90">
        <f t="shared" si="90"/>
        <v>0</v>
      </c>
      <c r="AC24" s="91">
        <f t="shared" si="9"/>
        <v>0</v>
      </c>
      <c r="AD24" s="75">
        <f>IF(AM24&lt;&gt;0,1-AR24/AM24,0)</f>
        <v>0</v>
      </c>
      <c r="AE24" s="93">
        <f t="shared" si="91"/>
        <v>0</v>
      </c>
      <c r="AF24" s="93">
        <f t="shared" si="91"/>
        <v>0</v>
      </c>
      <c r="AG24" s="93">
        <f t="shared" si="91"/>
        <v>0</v>
      </c>
      <c r="AH24" s="104">
        <f>IFERROR(VLOOKUP($B24 &amp; $C24&amp;CompareVer,tblForecast,AH$2,FALSE),0)</f>
        <v>0</v>
      </c>
      <c r="AI24" s="94">
        <f t="shared" si="92"/>
        <v>0</v>
      </c>
      <c r="AJ24" s="94">
        <f t="shared" si="92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3"/>
        <v>0</v>
      </c>
      <c r="AO24" s="94">
        <f t="shared" si="93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4"/>
        <v>0</v>
      </c>
      <c r="AT24" s="94">
        <f t="shared" si="94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95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96"/>
        <v>0</v>
      </c>
      <c r="BD24" s="230">
        <f t="shared" si="97"/>
        <v>0</v>
      </c>
      <c r="BE24" s="178">
        <f t="shared" si="19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3"/>
        <v>0</v>
      </c>
      <c r="BS24" s="230">
        <f t="shared" si="22"/>
        <v>0</v>
      </c>
      <c r="BT24" s="229">
        <f t="shared" si="98"/>
        <v>0</v>
      </c>
      <c r="BU24" s="230">
        <f t="shared" si="98"/>
        <v>0</v>
      </c>
      <c r="BV24" s="230">
        <f>IFERROR(VLOOKUP($B24 &amp; $C24&amp;CompareVer,tblForecast,BV$2,FALSE),0)</f>
        <v>0</v>
      </c>
      <c r="BW24" s="230">
        <f t="shared" si="99"/>
        <v>0</v>
      </c>
      <c r="BX24" s="230">
        <f t="shared" si="99"/>
        <v>0</v>
      </c>
      <c r="BY24" s="177">
        <f>IFERROR(VLOOKUP($B24-IF(CompareVer="LY",1,0) &amp; $C24 &amp;BY$4,tblForecast,BY$2,FALSE),0)</f>
        <v>0</v>
      </c>
      <c r="BZ24" s="178">
        <f t="shared" si="25"/>
        <v>0</v>
      </c>
      <c r="CA24" s="90">
        <f t="shared" si="100"/>
        <v>0</v>
      </c>
      <c r="CB24" s="90">
        <f t="shared" si="100"/>
        <v>0</v>
      </c>
      <c r="CC24" s="90">
        <f>IFERROR(VLOOKUP($B24 &amp; $C24&amp;CompareVer,tblForecast,CC$2,FALSE),0)</f>
        <v>0</v>
      </c>
      <c r="CD24" s="90">
        <f t="shared" si="101"/>
        <v>0</v>
      </c>
      <c r="CE24" s="90">
        <f t="shared" si="101"/>
        <v>0</v>
      </c>
      <c r="CF24" s="90">
        <f>IFERROR(VLOOKUP($B24-IF(CompareVer="LY",1,0) &amp; $C24 &amp;CF$4,tblForecast,CF$2,FALSE),0)</f>
        <v>0</v>
      </c>
      <c r="CG24" s="178">
        <f t="shared" si="28"/>
        <v>0</v>
      </c>
      <c r="CH24" s="90">
        <f t="shared" si="102"/>
        <v>0</v>
      </c>
      <c r="CI24" s="90">
        <f t="shared" si="102"/>
        <v>0</v>
      </c>
      <c r="CJ24" s="90">
        <f>IFERROR(VLOOKUP($B24 &amp; $C24&amp;CompareVer,tblForecast,CJ$2,FALSE),0)</f>
        <v>0</v>
      </c>
      <c r="CK24" s="90">
        <f t="shared" si="103"/>
        <v>0</v>
      </c>
      <c r="CL24" s="90">
        <f t="shared" si="103"/>
        <v>0</v>
      </c>
      <c r="CM24" s="90">
        <f>IFERROR(VLOOKUP($B24-IF(CompareVer="LY",1,0) &amp; $C24 &amp;CM$4,tblForecast,CM$2,FALSE),0)</f>
        <v>0</v>
      </c>
      <c r="CN24" s="178">
        <f t="shared" si="31"/>
        <v>0</v>
      </c>
      <c r="CO24" s="179">
        <f t="shared" si="46"/>
        <v>0</v>
      </c>
      <c r="CP24" s="225">
        <f t="shared" si="32"/>
        <v>0</v>
      </c>
      <c r="CQ24" s="178">
        <f t="shared" si="33"/>
        <v>0</v>
      </c>
      <c r="CR24" s="179">
        <f t="shared" si="44"/>
        <v>0</v>
      </c>
      <c r="CS24" s="225">
        <f t="shared" si="34"/>
        <v>0</v>
      </c>
      <c r="CT24" s="178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s="44" customFormat="1" ht="16.5" thickBot="1" x14ac:dyDescent="0.3">
      <c r="A25" s="44" t="s">
        <v>340</v>
      </c>
      <c r="B25" s="44">
        <v>2018</v>
      </c>
      <c r="C25" s="88">
        <v>13</v>
      </c>
      <c r="D25" s="97">
        <f t="shared" si="104"/>
        <v>0</v>
      </c>
      <c r="E25" s="203">
        <f t="shared" si="105"/>
        <v>0</v>
      </c>
      <c r="F25" s="183">
        <f t="shared" si="45"/>
        <v>0</v>
      </c>
      <c r="G25" s="177">
        <f t="shared" si="87"/>
        <v>0</v>
      </c>
      <c r="H25" s="204">
        <f t="shared" si="87"/>
        <v>0</v>
      </c>
      <c r="I25" s="204">
        <f t="shared" si="87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88"/>
        <v>0</v>
      </c>
      <c r="M25" s="90">
        <f t="shared" si="88"/>
        <v>0</v>
      </c>
      <c r="N25" s="90">
        <f t="shared" si="88"/>
        <v>0</v>
      </c>
      <c r="O25" s="90">
        <f t="shared" si="88"/>
        <v>0</v>
      </c>
      <c r="P25" s="91">
        <f t="shared" si="39"/>
        <v>0</v>
      </c>
      <c r="Q25" s="240">
        <f>IFERROR(VLOOKUP($B25 &amp; $C25&amp;CompareVer,tblForecast,Q$2,FALSE),0)</f>
        <v>0</v>
      </c>
      <c r="R25" s="243">
        <f t="shared" si="89"/>
        <v>0</v>
      </c>
      <c r="S25" s="243">
        <f t="shared" si="89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06"/>
        <v>0</v>
      </c>
      <c r="W25" s="333">
        <f t="shared" si="106"/>
        <v>0</v>
      </c>
      <c r="X25" s="248">
        <f t="shared" si="77"/>
        <v>0</v>
      </c>
      <c r="Y25" s="97">
        <f t="shared" si="90"/>
        <v>0</v>
      </c>
      <c r="Z25" s="90">
        <f t="shared" si="90"/>
        <v>0</v>
      </c>
      <c r="AA25" s="90">
        <f t="shared" si="90"/>
        <v>0</v>
      </c>
      <c r="AB25" s="90">
        <f t="shared" si="90"/>
        <v>0</v>
      </c>
      <c r="AC25" s="91">
        <f t="shared" si="9"/>
        <v>0</v>
      </c>
      <c r="AD25" s="75">
        <f>IF(AM25&lt;&gt;0,1-AR25/AM25,0)</f>
        <v>0</v>
      </c>
      <c r="AE25" s="93">
        <f t="shared" si="91"/>
        <v>0</v>
      </c>
      <c r="AF25" s="93">
        <f t="shared" si="91"/>
        <v>0</v>
      </c>
      <c r="AG25" s="93">
        <f t="shared" si="91"/>
        <v>0</v>
      </c>
      <c r="AH25" s="104">
        <f>IFERROR(VLOOKUP($B25 &amp; $C25&amp;CompareVer,tblForecast,AH$2,FALSE),0)</f>
        <v>0</v>
      </c>
      <c r="AI25" s="94">
        <f t="shared" si="92"/>
        <v>0</v>
      </c>
      <c r="AJ25" s="94">
        <f t="shared" si="92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3"/>
        <v>0</v>
      </c>
      <c r="AO25" s="94">
        <f t="shared" si="93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4"/>
        <v>0</v>
      </c>
      <c r="AT25" s="94">
        <f t="shared" si="94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95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96"/>
        <v>0</v>
      </c>
      <c r="BD25" s="230">
        <f t="shared" si="97"/>
        <v>0</v>
      </c>
      <c r="BE25" s="178">
        <f t="shared" si="19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3"/>
        <v>0</v>
      </c>
      <c r="BS25" s="230">
        <f t="shared" si="22"/>
        <v>0</v>
      </c>
      <c r="BT25" s="229">
        <f t="shared" si="98"/>
        <v>0</v>
      </c>
      <c r="BU25" s="230">
        <f t="shared" si="98"/>
        <v>0</v>
      </c>
      <c r="BV25" s="230">
        <f>IFERROR(VLOOKUP($B25 &amp; $C25&amp;CompareVer,tblForecast,BV$2,FALSE),0)</f>
        <v>0</v>
      </c>
      <c r="BW25" s="230">
        <f t="shared" si="99"/>
        <v>0</v>
      </c>
      <c r="BX25" s="230">
        <f t="shared" si="99"/>
        <v>0</v>
      </c>
      <c r="BY25" s="177">
        <f>IFERROR(VLOOKUP($B25-IF(CompareVer="LY",1,0) &amp; $C25 &amp;BY$4,tblForecast,BY$2,FALSE),0)</f>
        <v>0</v>
      </c>
      <c r="BZ25" s="178">
        <f t="shared" si="25"/>
        <v>0</v>
      </c>
      <c r="CA25" s="90">
        <f t="shared" si="100"/>
        <v>0</v>
      </c>
      <c r="CB25" s="90">
        <f t="shared" si="100"/>
        <v>0</v>
      </c>
      <c r="CC25" s="90">
        <f>IFERROR(VLOOKUP($B25 &amp; $C25&amp;CompareVer,tblForecast,CC$2,FALSE),0)</f>
        <v>0</v>
      </c>
      <c r="CD25" s="90">
        <f t="shared" si="101"/>
        <v>0</v>
      </c>
      <c r="CE25" s="90">
        <f t="shared" si="101"/>
        <v>0</v>
      </c>
      <c r="CF25" s="90">
        <f>IFERROR(VLOOKUP($B25-IF(CompareVer="LY",1,0) &amp; $C25 &amp;CF$4,tblForecast,CF$2,FALSE),0)</f>
        <v>0</v>
      </c>
      <c r="CG25" s="178">
        <f t="shared" si="28"/>
        <v>0</v>
      </c>
      <c r="CH25" s="90">
        <f t="shared" si="102"/>
        <v>0</v>
      </c>
      <c r="CI25" s="90">
        <f t="shared" si="102"/>
        <v>0</v>
      </c>
      <c r="CJ25" s="90">
        <f>IFERROR(VLOOKUP($B25 &amp; $C25&amp;CompareVer,tblForecast,CJ$2,FALSE),0)</f>
        <v>0</v>
      </c>
      <c r="CK25" s="90">
        <f t="shared" si="103"/>
        <v>0</v>
      </c>
      <c r="CL25" s="90">
        <f t="shared" si="103"/>
        <v>0</v>
      </c>
      <c r="CM25" s="90">
        <f>IFERROR(VLOOKUP($B25-IF(CompareVer="LY",1,0) &amp; $C25 &amp;CM$4,tblForecast,CM$2,FALSE),0)</f>
        <v>0</v>
      </c>
      <c r="CN25" s="178">
        <f t="shared" si="31"/>
        <v>0</v>
      </c>
      <c r="CO25" s="179">
        <f t="shared" si="46"/>
        <v>0</v>
      </c>
      <c r="CP25" s="225">
        <f t="shared" si="32"/>
        <v>0</v>
      </c>
      <c r="CQ25" s="178">
        <f t="shared" si="33"/>
        <v>0</v>
      </c>
      <c r="CR25" s="179">
        <f t="shared" si="44"/>
        <v>0</v>
      </c>
      <c r="CS25" s="225">
        <f t="shared" si="34"/>
        <v>0</v>
      </c>
      <c r="CT25" s="178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s="44" customFormat="1" ht="16.5" thickBot="1" x14ac:dyDescent="0.3">
      <c r="C26" s="255" t="s">
        <v>23</v>
      </c>
      <c r="D26" s="256">
        <f t="shared" ref="D26" si="107">SUM(D22:D25)</f>
        <v>0</v>
      </c>
      <c r="E26" s="257">
        <f t="shared" ref="E26" si="108">SUM(E22:E25)</f>
        <v>0</v>
      </c>
      <c r="F26" s="258">
        <f t="shared" si="45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09">SUM(M22:M25)</f>
        <v>0</v>
      </c>
      <c r="N26" s="261">
        <f t="shared" si="109"/>
        <v>0</v>
      </c>
      <c r="O26" s="261">
        <f t="shared" si="109"/>
        <v>0</v>
      </c>
      <c r="P26" s="262">
        <f t="shared" si="39"/>
        <v>0</v>
      </c>
      <c r="Q26" s="263">
        <f>SUM(Q22:Q25)</f>
        <v>0</v>
      </c>
      <c r="R26" s="264">
        <f t="shared" ref="R26:S26" si="110">SUM(R22:R25)</f>
        <v>0</v>
      </c>
      <c r="S26" s="264">
        <f t="shared" si="110"/>
        <v>0</v>
      </c>
      <c r="T26" s="264">
        <f>SUM(T22:T25)</f>
        <v>0</v>
      </c>
      <c r="U26" s="262">
        <f t="shared" si="7"/>
        <v>0</v>
      </c>
      <c r="V26" s="265">
        <f t="shared" ref="V26:X27" si="111">V25</f>
        <v>0</v>
      </c>
      <c r="W26" s="334">
        <f t="shared" si="111"/>
        <v>0</v>
      </c>
      <c r="X26" s="266">
        <f t="shared" si="111"/>
        <v>0</v>
      </c>
      <c r="Y26" s="256">
        <f>SUM(Y22:Y25)</f>
        <v>0</v>
      </c>
      <c r="Z26" s="261">
        <f t="shared" ref="Z26:AB26" si="112">SUM(Z22:Z25)</f>
        <v>0</v>
      </c>
      <c r="AA26" s="261">
        <f t="shared" si="112"/>
        <v>0</v>
      </c>
      <c r="AB26" s="261">
        <f t="shared" si="112"/>
        <v>0</v>
      </c>
      <c r="AC26" s="262">
        <f t="shared" si="9"/>
        <v>0</v>
      </c>
      <c r="AD26" s="267">
        <f t="shared" ref="AD26:AG27" si="113">IFERROR(Y26/L26,0)</f>
        <v>0</v>
      </c>
      <c r="AE26" s="268">
        <f t="shared" si="113"/>
        <v>0</v>
      </c>
      <c r="AF26" s="268">
        <f t="shared" si="113"/>
        <v>0</v>
      </c>
      <c r="AG26" s="268">
        <f t="shared" si="113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K26" si="114">IFERROR(SUMPRODUCT(AJ22:AJ25,S22:S25)/S26,0)</f>
        <v>0</v>
      </c>
      <c r="AK26" s="270">
        <f t="shared" si="114"/>
        <v>0</v>
      </c>
      <c r="AL26" s="262">
        <f t="shared" si="12"/>
        <v>0</v>
      </c>
      <c r="AM26" s="269">
        <f t="shared" ref="AM26:AP27" si="115">IF(Q26&lt;&gt;0,L26/Q26,0)</f>
        <v>0</v>
      </c>
      <c r="AN26" s="270">
        <f t="shared" si="115"/>
        <v>0</v>
      </c>
      <c r="AO26" s="270">
        <f t="shared" si="115"/>
        <v>0</v>
      </c>
      <c r="AP26" s="270">
        <f t="shared" si="115"/>
        <v>0</v>
      </c>
      <c r="AQ26" s="262">
        <f t="shared" si="14"/>
        <v>0</v>
      </c>
      <c r="AR26" s="269">
        <f t="shared" ref="AR26:AU27" si="116">IFERROR((L26*(1-AD26))/Q26,0)</f>
        <v>0</v>
      </c>
      <c r="AS26" s="270">
        <f t="shared" si="116"/>
        <v>0</v>
      </c>
      <c r="AT26" s="270">
        <f t="shared" si="116"/>
        <v>0</v>
      </c>
      <c r="AU26" s="270">
        <f t="shared" si="116"/>
        <v>0</v>
      </c>
      <c r="AV26" s="262">
        <f t="shared" si="16"/>
        <v>0</v>
      </c>
      <c r="AW26" s="271">
        <f t="shared" si="17"/>
        <v>0</v>
      </c>
      <c r="AX26" s="272">
        <f t="shared" si="17"/>
        <v>0</v>
      </c>
      <c r="AY26" s="272">
        <f t="shared" si="17"/>
        <v>0</v>
      </c>
      <c r="AZ26" s="272">
        <f t="shared" si="17"/>
        <v>0</v>
      </c>
      <c r="BA26" s="263">
        <f t="shared" ref="BA26:BD27" si="117">BA25</f>
        <v>0</v>
      </c>
      <c r="BB26" s="264">
        <f t="shared" si="117"/>
        <v>0</v>
      </c>
      <c r="BC26" s="264">
        <f t="shared" si="117"/>
        <v>0</v>
      </c>
      <c r="BD26" s="264">
        <f t="shared" si="117"/>
        <v>0</v>
      </c>
      <c r="BE26" s="262">
        <f t="shared" si="19"/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18">SUM(BO22:BO25)</f>
        <v>0</v>
      </c>
      <c r="BP26" s="263">
        <f>SUM(BP22:BP25)</f>
        <v>0</v>
      </c>
      <c r="BQ26" s="264">
        <f t="shared" si="118"/>
        <v>0</v>
      </c>
      <c r="BR26" s="263">
        <f t="shared" si="43"/>
        <v>0</v>
      </c>
      <c r="BS26" s="264">
        <f t="shared" si="22"/>
        <v>0</v>
      </c>
      <c r="BT26" s="263">
        <f t="shared" ref="BT26:BY26" si="119">SUM(BT22:BT25)</f>
        <v>0</v>
      </c>
      <c r="BU26" s="264">
        <f t="shared" si="119"/>
        <v>0</v>
      </c>
      <c r="BV26" s="264">
        <f>SUM(BV22:BV25)</f>
        <v>0</v>
      </c>
      <c r="BW26" s="264">
        <f t="shared" si="119"/>
        <v>0</v>
      </c>
      <c r="BX26" s="264">
        <f t="shared" si="119"/>
        <v>0</v>
      </c>
      <c r="BY26" s="277">
        <f t="shared" si="119"/>
        <v>0</v>
      </c>
      <c r="BZ26" s="262">
        <f t="shared" si="25"/>
        <v>0</v>
      </c>
      <c r="CA26" s="261">
        <f t="shared" ref="CA26:CF26" si="120">SUM(CA22:CA25)</f>
        <v>0</v>
      </c>
      <c r="CB26" s="261">
        <f t="shared" si="120"/>
        <v>0</v>
      </c>
      <c r="CC26" s="261">
        <f>SUM(CC22:CC25)</f>
        <v>0</v>
      </c>
      <c r="CD26" s="261">
        <f t="shared" si="120"/>
        <v>0</v>
      </c>
      <c r="CE26" s="261">
        <f t="shared" si="120"/>
        <v>0</v>
      </c>
      <c r="CF26" s="261">
        <f t="shared" si="120"/>
        <v>0</v>
      </c>
      <c r="CG26" s="262">
        <f t="shared" si="28"/>
        <v>0</v>
      </c>
      <c r="CH26" s="261">
        <f t="shared" ref="CH26:CM26" si="121">SUM(CH22:CH25)</f>
        <v>0</v>
      </c>
      <c r="CI26" s="261">
        <f t="shared" si="121"/>
        <v>0</v>
      </c>
      <c r="CJ26" s="261">
        <f>SUM(CJ22:CJ25)</f>
        <v>0</v>
      </c>
      <c r="CK26" s="261">
        <f t="shared" si="121"/>
        <v>0</v>
      </c>
      <c r="CL26" s="261">
        <f t="shared" si="121"/>
        <v>0</v>
      </c>
      <c r="CM26" s="261">
        <f t="shared" si="121"/>
        <v>0</v>
      </c>
      <c r="CN26" s="262">
        <f t="shared" si="31"/>
        <v>0</v>
      </c>
      <c r="CO26" s="278">
        <f t="shared" si="46"/>
        <v>0</v>
      </c>
      <c r="CP26" s="279">
        <f t="shared" si="32"/>
        <v>0</v>
      </c>
      <c r="CQ26" s="262">
        <f t="shared" si="33"/>
        <v>0</v>
      </c>
      <c r="CR26" s="278">
        <f t="shared" si="44"/>
        <v>0</v>
      </c>
      <c r="CS26" s="279">
        <f t="shared" si="34"/>
        <v>0</v>
      </c>
      <c r="CT26" s="262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80"/>
      <c r="DA26" s="281"/>
      <c r="DB26" s="281"/>
      <c r="DC26" s="282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6">
        <f t="shared" si="122"/>
        <v>0</v>
      </c>
      <c r="F27" s="207">
        <f t="shared" si="45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23">J15+J21+J26</f>
        <v>0</v>
      </c>
      <c r="K27" s="304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2">
        <f t="shared" ref="Q27:S27" si="125">Q15+Q21+Q26</f>
        <v>0</v>
      </c>
      <c r="R27" s="232">
        <f t="shared" si="125"/>
        <v>0</v>
      </c>
      <c r="S27" s="232">
        <f t="shared" si="125"/>
        <v>0</v>
      </c>
      <c r="T27" s="232">
        <f>T15+T21+T26</f>
        <v>0</v>
      </c>
      <c r="U27" s="54">
        <f t="shared" si="7"/>
        <v>0</v>
      </c>
      <c r="V27" s="249">
        <f t="shared" si="111"/>
        <v>0</v>
      </c>
      <c r="W27" s="335">
        <f t="shared" si="111"/>
        <v>0</v>
      </c>
      <c r="X27" s="250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31">
        <f t="shared" si="117"/>
        <v>0</v>
      </c>
      <c r="BB27" s="232">
        <f t="shared" si="117"/>
        <v>0</v>
      </c>
      <c r="BC27" s="232">
        <f t="shared" si="117"/>
        <v>0</v>
      </c>
      <c r="BD27" s="232">
        <f t="shared" si="117"/>
        <v>0</v>
      </c>
      <c r="BE27" s="54">
        <f t="shared" si="19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:BQ27" si="129">BL15+BL21+BL26</f>
        <v>0</v>
      </c>
      <c r="BM27" s="232">
        <f t="shared" si="129"/>
        <v>0</v>
      </c>
      <c r="BN27" s="231">
        <f t="shared" si="129"/>
        <v>0</v>
      </c>
      <c r="BO27" s="232">
        <f t="shared" si="129"/>
        <v>0</v>
      </c>
      <c r="BP27" s="231">
        <f t="shared" si="129"/>
        <v>0</v>
      </c>
      <c r="BQ27" s="232">
        <f t="shared" si="129"/>
        <v>0</v>
      </c>
      <c r="BR27" s="231">
        <f t="shared" si="43"/>
        <v>0</v>
      </c>
      <c r="BS27" s="232">
        <f t="shared" si="22"/>
        <v>0</v>
      </c>
      <c r="BT27" s="231">
        <f t="shared" ref="BT27:BY27" si="130">BT15+BT21+BT26</f>
        <v>0</v>
      </c>
      <c r="BU27" s="232">
        <f t="shared" si="130"/>
        <v>0</v>
      </c>
      <c r="BV27" s="232">
        <f t="shared" si="130"/>
        <v>0</v>
      </c>
      <c r="BW27" s="232">
        <f t="shared" si="130"/>
        <v>0</v>
      </c>
      <c r="BX27" s="232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6">
        <f t="shared" si="46"/>
        <v>0</v>
      </c>
      <c r="CQ27" s="54">
        <f t="shared" si="33"/>
        <v>0</v>
      </c>
      <c r="CR27" s="55">
        <f t="shared" si="44"/>
        <v>0</v>
      </c>
      <c r="CS27" s="226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80"/>
      <c r="DA27" s="281"/>
      <c r="DB27" s="281"/>
      <c r="DC27" s="282"/>
    </row>
    <row r="28" spans="1:107" s="44" customFormat="1" x14ac:dyDescent="0.25">
      <c r="A28" s="44" t="s">
        <v>340</v>
      </c>
      <c r="B28" s="44">
        <v>2018</v>
      </c>
      <c r="C28" s="88">
        <v>14</v>
      </c>
      <c r="D28" s="97">
        <f t="shared" ref="D28:D31" si="133">G28*H28</f>
        <v>0</v>
      </c>
      <c r="E28" s="200">
        <f t="shared" ref="E28:E31" si="134">IFERROR(D28*F28,0)</f>
        <v>0</v>
      </c>
      <c r="F28" s="201">
        <f t="shared" si="45"/>
        <v>0</v>
      </c>
      <c r="G28" s="199">
        <f t="shared" ref="G28:I31" si="135">IFERROR(VLOOKUP($B28 &amp; $C28&amp;G$4&amp;$A28,tblForecast,G$2,FALSE),0)</f>
        <v>0</v>
      </c>
      <c r="H28" s="202">
        <f t="shared" si="135"/>
        <v>0</v>
      </c>
      <c r="I28" s="202">
        <f t="shared" si="135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40">
        <f>IFERROR(VLOOKUP($B28 &amp; $C28&amp;CompareVer,tblForecast,Q$2,FALSE),0)</f>
        <v>0</v>
      </c>
      <c r="R28" s="241">
        <f t="shared" ref="R28:S31" si="137">IFERROR(VLOOKUP($B28 &amp; $C28&amp;R$4,tblForecast,R$2,FALSE),0)</f>
        <v>0</v>
      </c>
      <c r="S28" s="241">
        <f t="shared" si="137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38">IFERROR(IF(Q26&gt;0,Q28/Q26,0),0)</f>
        <v>0</v>
      </c>
      <c r="W28" s="333">
        <f t="shared" si="138"/>
        <v>0</v>
      </c>
      <c r="X28" s="248">
        <f t="shared" ref="X28:X31" si="139">IFERROR(IF(T26&gt;0,T28/T26,0),0)</f>
        <v>0</v>
      </c>
      <c r="Y28" s="97">
        <f t="shared" ref="Y28:AB31" si="140">IFERROR(L28*AD28,0)</f>
        <v>0</v>
      </c>
      <c r="Z28" s="90">
        <f t="shared" si="140"/>
        <v>0</v>
      </c>
      <c r="AA28" s="90">
        <f t="shared" si="140"/>
        <v>0</v>
      </c>
      <c r="AB28" s="90">
        <f t="shared" si="140"/>
        <v>0</v>
      </c>
      <c r="AC28" s="91">
        <f t="shared" si="9"/>
        <v>0</v>
      </c>
      <c r="AD28" s="75">
        <f t="shared" ref="AD28:AG31" si="141">IF(AM28&lt;&gt;0,1-AR28/AM28,0)</f>
        <v>0</v>
      </c>
      <c r="AE28" s="93">
        <f t="shared" si="141"/>
        <v>0</v>
      </c>
      <c r="AF28" s="93">
        <f t="shared" si="141"/>
        <v>0</v>
      </c>
      <c r="AG28" s="93">
        <f t="shared" si="141"/>
        <v>0</v>
      </c>
      <c r="AH28" s="104">
        <f>IFERROR(VLOOKUP($B28 &amp; $C28&amp;CompareVer,tblForecast,AH$2,FALSE),0)</f>
        <v>0</v>
      </c>
      <c r="AI28" s="94">
        <f t="shared" ref="AI28:AJ31" si="142">IFERROR(VLOOKUP($B28 &amp; $C28&amp;AI$4,tblForecast,AI$2,FALSE),0)</f>
        <v>0</v>
      </c>
      <c r="AJ28" s="94">
        <f t="shared" si="142"/>
        <v>0</v>
      </c>
      <c r="AK28" s="94">
        <f>IFERROR(VLOOKUP($B28-IF(CompareVer="LY",1,0) &amp; $C28 &amp;AK$4,tblForecast,AK$2,FALSE),0)</f>
        <v>0</v>
      </c>
      <c r="AL28" s="91">
        <f t="shared" ref="AL28:AL43" si="143">IFERROR(AH28/AK28-1,)</f>
        <v>0</v>
      </c>
      <c r="AM28" s="104">
        <f>IFERROR(VLOOKUP($B28 &amp; $C28&amp;CompareVer,tblForecast,AM$2,FALSE),0)</f>
        <v>0</v>
      </c>
      <c r="AN28" s="94">
        <f t="shared" ref="AN28:AO31" si="144">IFERROR(VLOOKUP($B28 &amp; $C28&amp;AN$4,tblForecast,AN$2,FALSE),0)</f>
        <v>0</v>
      </c>
      <c r="AO28" s="94">
        <f t="shared" si="144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5">IFERROR(VLOOKUP($B28 &amp; $C28&amp;AS$4,tblForecast,AS$2,FALSE),0)</f>
        <v>0</v>
      </c>
      <c r="AT28" s="94">
        <f t="shared" si="145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2">
        <f t="shared" si="128"/>
        <v>0</v>
      </c>
      <c r="AX28" s="183">
        <f t="shared" si="128"/>
        <v>0</v>
      </c>
      <c r="AY28" s="183">
        <f t="shared" si="128"/>
        <v>0</v>
      </c>
      <c r="AZ28" s="183">
        <f t="shared" si="128"/>
        <v>0</v>
      </c>
      <c r="BA28" s="229">
        <f t="shared" ref="BA28:BA31" si="146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47">IFERROR(VLOOKUP($B28 &amp; $C28&amp;BC$4,tblForecast,BC$2,FALSE),0)</f>
        <v>0</v>
      </c>
      <c r="BD28" s="230">
        <f t="shared" ref="BD28:BD42" si="148">CX28+BG28</f>
        <v>0</v>
      </c>
      <c r="BE28" s="178">
        <f t="shared" si="19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49">IF(T28&lt;&gt;0,BD28/T28,0)</f>
        <v>0</v>
      </c>
      <c r="BJ28" s="185">
        <f t="shared" si="20"/>
        <v>0</v>
      </c>
      <c r="BK28" s="96">
        <f t="shared" si="21"/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si="43"/>
        <v>0</v>
      </c>
      <c r="BS28" s="230">
        <f t="shared" si="22"/>
        <v>0</v>
      </c>
      <c r="BT28" s="229">
        <f t="shared" ref="BT28:BU31" si="150">IFERROR(VLOOKUP($B28 &amp; $C28&amp;BT$4,tblForecast,BT$2,FALSE),0)</f>
        <v>0</v>
      </c>
      <c r="BU28" s="230">
        <f t="shared" si="150"/>
        <v>0</v>
      </c>
      <c r="BV28" s="230">
        <f>IFERROR(VLOOKUP($B28 &amp; $C28&amp;CompareVer,tblForecast,BV$2,FALSE),0)</f>
        <v>0</v>
      </c>
      <c r="BW28" s="230">
        <f t="shared" ref="BW28:BX31" si="151">IFERROR(VLOOKUP($B28 &amp; $C28&amp;BW$4,tblForecast,BW$2,FALSE),0)</f>
        <v>0</v>
      </c>
      <c r="BX28" s="230">
        <f t="shared" si="151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46"/>
        <v>0</v>
      </c>
      <c r="CP28" s="225">
        <f t="shared" si="46"/>
        <v>0</v>
      </c>
      <c r="CQ28" s="178">
        <f t="shared" si="33"/>
        <v>0</v>
      </c>
      <c r="CR28" s="179">
        <f t="shared" si="44"/>
        <v>0</v>
      </c>
      <c r="CS28" s="225">
        <f t="shared" si="34"/>
        <v>0</v>
      </c>
      <c r="CT28" s="178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x14ac:dyDescent="0.25">
      <c r="A29" s="44" t="s">
        <v>340</v>
      </c>
      <c r="B29" s="44">
        <v>2018</v>
      </c>
      <c r="C29" s="88">
        <v>15</v>
      </c>
      <c r="D29" s="97">
        <f t="shared" si="133"/>
        <v>0</v>
      </c>
      <c r="E29" s="203">
        <f t="shared" si="134"/>
        <v>0</v>
      </c>
      <c r="F29" s="183">
        <f t="shared" si="45"/>
        <v>0</v>
      </c>
      <c r="G29" s="177">
        <f t="shared" si="135"/>
        <v>0</v>
      </c>
      <c r="H29" s="204">
        <f t="shared" si="135"/>
        <v>0</v>
      </c>
      <c r="I29" s="204">
        <f t="shared" si="135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40">
        <f>IFERROR(VLOOKUP($B29 &amp; $C29&amp;CompareVer,tblForecast,Q$2,FALSE),0)</f>
        <v>0</v>
      </c>
      <c r="R29" s="242">
        <f t="shared" si="137"/>
        <v>0</v>
      </c>
      <c r="S29" s="242">
        <f t="shared" si="137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38"/>
        <v>0</v>
      </c>
      <c r="W29" s="333">
        <f t="shared" si="138"/>
        <v>0</v>
      </c>
      <c r="X29" s="248">
        <f t="shared" si="139"/>
        <v>0</v>
      </c>
      <c r="Y29" s="97">
        <f t="shared" si="140"/>
        <v>0</v>
      </c>
      <c r="Z29" s="90">
        <f t="shared" si="140"/>
        <v>0</v>
      </c>
      <c r="AA29" s="90">
        <f t="shared" si="140"/>
        <v>0</v>
      </c>
      <c r="AB29" s="90">
        <f t="shared" si="140"/>
        <v>0</v>
      </c>
      <c r="AC29" s="91">
        <f t="shared" si="9"/>
        <v>0</v>
      </c>
      <c r="AD29" s="75">
        <f t="shared" si="141"/>
        <v>0</v>
      </c>
      <c r="AE29" s="93">
        <f t="shared" si="141"/>
        <v>0</v>
      </c>
      <c r="AF29" s="93">
        <f t="shared" si="141"/>
        <v>0</v>
      </c>
      <c r="AG29" s="93">
        <f t="shared" si="141"/>
        <v>0</v>
      </c>
      <c r="AH29" s="104">
        <f>IFERROR(VLOOKUP($B29 &amp; $C29&amp;CompareVer,tblForecast,AH$2,FALSE),0)</f>
        <v>0</v>
      </c>
      <c r="AI29" s="94">
        <f t="shared" si="142"/>
        <v>0</v>
      </c>
      <c r="AJ29" s="94">
        <f t="shared" si="142"/>
        <v>0</v>
      </c>
      <c r="AK29" s="94">
        <f>IFERROR(VLOOKUP($B29-IF(CompareVer="LY",1,0) &amp; $C29 &amp;AK$4,tblForecast,AK$2,FALSE),0)</f>
        <v>0</v>
      </c>
      <c r="AL29" s="91">
        <f t="shared" si="143"/>
        <v>0</v>
      </c>
      <c r="AM29" s="104">
        <f>IFERROR(VLOOKUP($B29 &amp; $C29&amp;CompareVer,tblForecast,AM$2,FALSE),0)</f>
        <v>0</v>
      </c>
      <c r="AN29" s="94">
        <f t="shared" si="144"/>
        <v>0</v>
      </c>
      <c r="AO29" s="94">
        <f t="shared" si="144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5"/>
        <v>0</v>
      </c>
      <c r="AT29" s="94">
        <f t="shared" si="145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2">
        <f t="shared" si="128"/>
        <v>0</v>
      </c>
      <c r="AX29" s="183">
        <f t="shared" si="128"/>
        <v>0</v>
      </c>
      <c r="AY29" s="183">
        <f t="shared" si="128"/>
        <v>0</v>
      </c>
      <c r="AZ29" s="183">
        <f t="shared" si="128"/>
        <v>0</v>
      </c>
      <c r="BA29" s="229">
        <f t="shared" si="146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47"/>
        <v>0</v>
      </c>
      <c r="BD29" s="230">
        <f t="shared" si="148"/>
        <v>0</v>
      </c>
      <c r="BE29" s="178">
        <f t="shared" si="19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49"/>
        <v>0</v>
      </c>
      <c r="BJ29" s="185">
        <f t="shared" si="20"/>
        <v>0</v>
      </c>
      <c r="BK29" s="96">
        <f t="shared" si="21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43"/>
        <v>0</v>
      </c>
      <c r="BS29" s="230">
        <f t="shared" si="22"/>
        <v>0</v>
      </c>
      <c r="BT29" s="229">
        <f t="shared" si="150"/>
        <v>0</v>
      </c>
      <c r="BU29" s="230">
        <f t="shared" si="150"/>
        <v>0</v>
      </c>
      <c r="BV29" s="230">
        <f>IFERROR(VLOOKUP($B29 &amp; $C29&amp;CompareVer,tblForecast,BV$2,FALSE),0)</f>
        <v>0</v>
      </c>
      <c r="BW29" s="230">
        <f t="shared" si="151"/>
        <v>0</v>
      </c>
      <c r="BX29" s="230">
        <f t="shared" si="151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46"/>
        <v>0</v>
      </c>
      <c r="CP29" s="225">
        <f t="shared" si="46"/>
        <v>0</v>
      </c>
      <c r="CQ29" s="178">
        <f t="shared" si="33"/>
        <v>0</v>
      </c>
      <c r="CR29" s="179">
        <f t="shared" si="44"/>
        <v>0</v>
      </c>
      <c r="CS29" s="225">
        <f t="shared" si="34"/>
        <v>0</v>
      </c>
      <c r="CT29" s="178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33"/>
        <v>0</v>
      </c>
      <c r="E30" s="203">
        <f t="shared" si="134"/>
        <v>0</v>
      </c>
      <c r="F30" s="183">
        <f t="shared" si="45"/>
        <v>0</v>
      </c>
      <c r="G30" s="177">
        <f t="shared" si="135"/>
        <v>0</v>
      </c>
      <c r="H30" s="204">
        <f t="shared" si="135"/>
        <v>0</v>
      </c>
      <c r="I30" s="204">
        <f t="shared" si="135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40">
        <f>IFERROR(VLOOKUP($B30 &amp; $C30&amp;CompareVer,tblForecast,Q$2,FALSE),0)</f>
        <v>0</v>
      </c>
      <c r="R30" s="242">
        <f t="shared" si="137"/>
        <v>0</v>
      </c>
      <c r="S30" s="242">
        <f t="shared" si="137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38"/>
        <v>0</v>
      </c>
      <c r="W30" s="333">
        <f t="shared" si="138"/>
        <v>0</v>
      </c>
      <c r="X30" s="248">
        <f t="shared" si="139"/>
        <v>0</v>
      </c>
      <c r="Y30" s="97">
        <f t="shared" si="140"/>
        <v>0</v>
      </c>
      <c r="Z30" s="90">
        <f t="shared" si="140"/>
        <v>0</v>
      </c>
      <c r="AA30" s="90">
        <f t="shared" si="140"/>
        <v>0</v>
      </c>
      <c r="AB30" s="90">
        <f t="shared" si="140"/>
        <v>0</v>
      </c>
      <c r="AC30" s="91">
        <f t="shared" si="9"/>
        <v>0</v>
      </c>
      <c r="AD30" s="75">
        <f t="shared" si="141"/>
        <v>0</v>
      </c>
      <c r="AE30" s="93">
        <f t="shared" si="141"/>
        <v>0</v>
      </c>
      <c r="AF30" s="93">
        <f t="shared" si="141"/>
        <v>0</v>
      </c>
      <c r="AG30" s="93">
        <f t="shared" si="141"/>
        <v>0</v>
      </c>
      <c r="AH30" s="104">
        <f>IFERROR(VLOOKUP($B30 &amp; $C30&amp;CompareVer,tblForecast,AH$2,FALSE),0)</f>
        <v>0</v>
      </c>
      <c r="AI30" s="94">
        <f t="shared" si="142"/>
        <v>0</v>
      </c>
      <c r="AJ30" s="94">
        <f t="shared" si="142"/>
        <v>0</v>
      </c>
      <c r="AK30" s="94">
        <f>IFERROR(VLOOKUP($B30-IF(CompareVer="LY",1,0) &amp; $C30 &amp;AK$4,tblForecast,AK$2,FALSE),0)</f>
        <v>0</v>
      </c>
      <c r="AL30" s="91">
        <f t="shared" si="143"/>
        <v>0</v>
      </c>
      <c r="AM30" s="104">
        <f>IFERROR(VLOOKUP($B30 &amp; $C30&amp;CompareVer,tblForecast,AM$2,FALSE),0)</f>
        <v>0</v>
      </c>
      <c r="AN30" s="94">
        <f t="shared" si="144"/>
        <v>0</v>
      </c>
      <c r="AO30" s="94">
        <f t="shared" si="144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5"/>
        <v>0</v>
      </c>
      <c r="AT30" s="94">
        <f t="shared" si="145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2">
        <f t="shared" si="128"/>
        <v>0</v>
      </c>
      <c r="AX30" s="183">
        <f t="shared" si="128"/>
        <v>0</v>
      </c>
      <c r="AY30" s="183">
        <f t="shared" si="128"/>
        <v>0</v>
      </c>
      <c r="AZ30" s="183">
        <f t="shared" si="128"/>
        <v>0</v>
      </c>
      <c r="BA30" s="229">
        <f t="shared" si="146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47"/>
        <v>0</v>
      </c>
      <c r="BD30" s="230">
        <f t="shared" si="148"/>
        <v>0</v>
      </c>
      <c r="BE30" s="178">
        <f t="shared" si="19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49"/>
        <v>0</v>
      </c>
      <c r="BJ30" s="185">
        <f t="shared" si="20"/>
        <v>0</v>
      </c>
      <c r="BK30" s="96">
        <f t="shared" si="21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43"/>
        <v>0</v>
      </c>
      <c r="BS30" s="230">
        <f t="shared" si="22"/>
        <v>0</v>
      </c>
      <c r="BT30" s="229">
        <f t="shared" si="150"/>
        <v>0</v>
      </c>
      <c r="BU30" s="230">
        <f t="shared" si="150"/>
        <v>0</v>
      </c>
      <c r="BV30" s="230">
        <f>IFERROR(VLOOKUP($B30 &amp; $C30&amp;CompareVer,tblForecast,BV$2,FALSE),0)</f>
        <v>0</v>
      </c>
      <c r="BW30" s="230">
        <f t="shared" si="151"/>
        <v>0</v>
      </c>
      <c r="BX30" s="230">
        <f t="shared" si="151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46"/>
        <v>0</v>
      </c>
      <c r="CP30" s="225">
        <f t="shared" si="46"/>
        <v>0</v>
      </c>
      <c r="CQ30" s="178">
        <f t="shared" si="33"/>
        <v>0</v>
      </c>
      <c r="CR30" s="179">
        <f t="shared" si="44"/>
        <v>0</v>
      </c>
      <c r="CS30" s="225">
        <f t="shared" si="34"/>
        <v>0</v>
      </c>
      <c r="CT30" s="178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33"/>
        <v>0</v>
      </c>
      <c r="E31" s="203">
        <f t="shared" si="134"/>
        <v>0</v>
      </c>
      <c r="F31" s="183">
        <f t="shared" si="45"/>
        <v>0</v>
      </c>
      <c r="G31" s="177">
        <f t="shared" si="135"/>
        <v>0</v>
      </c>
      <c r="H31" s="204">
        <f t="shared" si="135"/>
        <v>0</v>
      </c>
      <c r="I31" s="204">
        <f t="shared" si="135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40">
        <f>IFERROR(VLOOKUP($B31 &amp; $C31&amp;CompareVer,tblForecast,Q$2,FALSE),0)</f>
        <v>0</v>
      </c>
      <c r="R31" s="242">
        <f t="shared" si="137"/>
        <v>0</v>
      </c>
      <c r="S31" s="242">
        <f t="shared" si="137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38"/>
        <v>0</v>
      </c>
      <c r="W31" s="333">
        <f t="shared" si="138"/>
        <v>0</v>
      </c>
      <c r="X31" s="248">
        <f t="shared" si="139"/>
        <v>0</v>
      </c>
      <c r="Y31" s="97">
        <f t="shared" si="140"/>
        <v>0</v>
      </c>
      <c r="Z31" s="90">
        <f t="shared" si="140"/>
        <v>0</v>
      </c>
      <c r="AA31" s="90">
        <f t="shared" si="140"/>
        <v>0</v>
      </c>
      <c r="AB31" s="90">
        <f t="shared" si="140"/>
        <v>0</v>
      </c>
      <c r="AC31" s="91">
        <f t="shared" si="9"/>
        <v>0</v>
      </c>
      <c r="AD31" s="75">
        <f t="shared" si="141"/>
        <v>0</v>
      </c>
      <c r="AE31" s="93">
        <f t="shared" si="141"/>
        <v>0</v>
      </c>
      <c r="AF31" s="93">
        <f t="shared" si="141"/>
        <v>0</v>
      </c>
      <c r="AG31" s="93">
        <f t="shared" si="141"/>
        <v>0</v>
      </c>
      <c r="AH31" s="104">
        <f>IFERROR(VLOOKUP($B31 &amp; $C31&amp;CompareVer,tblForecast,AH$2,FALSE),0)</f>
        <v>0</v>
      </c>
      <c r="AI31" s="94">
        <f t="shared" si="142"/>
        <v>0</v>
      </c>
      <c r="AJ31" s="94">
        <f t="shared" si="142"/>
        <v>0</v>
      </c>
      <c r="AK31" s="94">
        <f>IFERROR(VLOOKUP($B31-IF(CompareVer="LY",1,0) &amp; $C31 &amp;AK$4,tblForecast,AK$2,FALSE),0)</f>
        <v>0</v>
      </c>
      <c r="AL31" s="91">
        <f t="shared" si="143"/>
        <v>0</v>
      </c>
      <c r="AM31" s="104">
        <f>IFERROR(VLOOKUP($B31 &amp; $C31&amp;CompareVer,tblForecast,AM$2,FALSE),0)</f>
        <v>0</v>
      </c>
      <c r="AN31" s="94">
        <f t="shared" si="144"/>
        <v>0</v>
      </c>
      <c r="AO31" s="94">
        <f t="shared" si="144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5"/>
        <v>0</v>
      </c>
      <c r="AT31" s="94">
        <f t="shared" si="145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2">
        <f t="shared" si="128"/>
        <v>0</v>
      </c>
      <c r="AX31" s="183">
        <f t="shared" si="128"/>
        <v>0</v>
      </c>
      <c r="AY31" s="183">
        <f t="shared" si="128"/>
        <v>0</v>
      </c>
      <c r="AZ31" s="183">
        <f t="shared" si="128"/>
        <v>0</v>
      </c>
      <c r="BA31" s="229">
        <f t="shared" si="146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47"/>
        <v>0</v>
      </c>
      <c r="BD31" s="230">
        <f t="shared" si="148"/>
        <v>0</v>
      </c>
      <c r="BE31" s="178">
        <f t="shared" si="19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49"/>
        <v>0</v>
      </c>
      <c r="BJ31" s="185">
        <f t="shared" si="20"/>
        <v>0</v>
      </c>
      <c r="BK31" s="96">
        <f t="shared" si="21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43"/>
        <v>0</v>
      </c>
      <c r="BS31" s="230">
        <f t="shared" si="22"/>
        <v>0</v>
      </c>
      <c r="BT31" s="229">
        <f t="shared" si="150"/>
        <v>0</v>
      </c>
      <c r="BU31" s="230">
        <f t="shared" si="150"/>
        <v>0</v>
      </c>
      <c r="BV31" s="230">
        <f>IFERROR(VLOOKUP($B31 &amp; $C31&amp;CompareVer,tblForecast,BV$2,FALSE),0)</f>
        <v>0</v>
      </c>
      <c r="BW31" s="230">
        <f t="shared" si="151"/>
        <v>0</v>
      </c>
      <c r="BX31" s="230">
        <f t="shared" si="151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46"/>
        <v>0</v>
      </c>
      <c r="CP31" s="225">
        <f t="shared" si="46"/>
        <v>0</v>
      </c>
      <c r="CQ31" s="178">
        <f t="shared" si="33"/>
        <v>0</v>
      </c>
      <c r="CR31" s="179">
        <f t="shared" si="44"/>
        <v>0</v>
      </c>
      <c r="CS31" s="225">
        <f t="shared" si="34"/>
        <v>0</v>
      </c>
      <c r="CT31" s="178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s="44" customFormat="1" ht="16.5" thickBot="1" x14ac:dyDescent="0.3">
      <c r="C32" s="255" t="s">
        <v>28</v>
      </c>
      <c r="D32" s="256">
        <f t="shared" ref="D32" si="156">SUM(D28:D31)</f>
        <v>0</v>
      </c>
      <c r="E32" s="257">
        <f t="shared" ref="E32" si="157">SUM(E28:E31)</f>
        <v>0</v>
      </c>
      <c r="F32" s="258">
        <f t="shared" si="45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158">SUM(M28:M31)</f>
        <v>0</v>
      </c>
      <c r="N32" s="261">
        <f t="shared" si="158"/>
        <v>0</v>
      </c>
      <c r="O32" s="261">
        <f t="shared" si="158"/>
        <v>0</v>
      </c>
      <c r="P32" s="262">
        <f t="shared" si="39"/>
        <v>0</v>
      </c>
      <c r="Q32" s="263">
        <f>SUM(Q28:Q31)</f>
        <v>0</v>
      </c>
      <c r="R32" s="264">
        <f t="shared" ref="R32:S32" si="159">SUM(R28:R31)</f>
        <v>0</v>
      </c>
      <c r="S32" s="264">
        <f t="shared" si="159"/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160">SUM(Z28:Z31)</f>
        <v>0</v>
      </c>
      <c r="AA32" s="261">
        <f t="shared" si="160"/>
        <v>0</v>
      </c>
      <c r="AB32" s="261">
        <f t="shared" si="160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:AK32" si="161">IFERROR(SUMPRODUCT(AJ28:AJ31,S28:S31)/S32,0)</f>
        <v>0</v>
      </c>
      <c r="AK32" s="270">
        <f t="shared" si="161"/>
        <v>0</v>
      </c>
      <c r="AL32" s="262">
        <f t="shared" si="143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4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6"/>
        <v>0</v>
      </c>
      <c r="AW32" s="271">
        <f t="shared" si="128"/>
        <v>0</v>
      </c>
      <c r="AX32" s="272">
        <f t="shared" si="128"/>
        <v>0</v>
      </c>
      <c r="AY32" s="272">
        <f t="shared" si="128"/>
        <v>0</v>
      </c>
      <c r="AZ32" s="272">
        <f t="shared" si="128"/>
        <v>0</v>
      </c>
      <c r="BA32" s="263">
        <f>BA31</f>
        <v>0</v>
      </c>
      <c r="BB32" s="264">
        <f t="shared" ref="BB32:BD32" si="162">BB31</f>
        <v>0</v>
      </c>
      <c r="BC32" s="264">
        <f t="shared" si="162"/>
        <v>0</v>
      </c>
      <c r="BD32" s="264">
        <f t="shared" si="162"/>
        <v>0</v>
      </c>
      <c r="BE32" s="262">
        <f t="shared" si="19"/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163">SUM(BO28:BO31)</f>
        <v>0</v>
      </c>
      <c r="BP32" s="263">
        <f>SUM(BP28:BP31)</f>
        <v>0</v>
      </c>
      <c r="BQ32" s="264">
        <f t="shared" si="163"/>
        <v>0</v>
      </c>
      <c r="BR32" s="263">
        <f t="shared" si="43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:BX32" si="164">SUM(BW28:BW31)</f>
        <v>0</v>
      </c>
      <c r="BX32" s="264">
        <f t="shared" si="164"/>
        <v>0</v>
      </c>
      <c r="BY32" s="277">
        <f>SUM(BY28:BY31)</f>
        <v>0</v>
      </c>
      <c r="BZ32" s="262">
        <f t="shared" si="25"/>
        <v>0</v>
      </c>
      <c r="CA32" s="261">
        <f t="shared" ref="CA32:CF32" si="165">SUM(CA28:CA31)</f>
        <v>0</v>
      </c>
      <c r="CB32" s="261">
        <f t="shared" si="165"/>
        <v>0</v>
      </c>
      <c r="CC32" s="261">
        <f>SUM(CC28:CC31)</f>
        <v>0</v>
      </c>
      <c r="CD32" s="261">
        <f t="shared" si="165"/>
        <v>0</v>
      </c>
      <c r="CE32" s="261">
        <f t="shared" si="165"/>
        <v>0</v>
      </c>
      <c r="CF32" s="261">
        <f t="shared" si="165"/>
        <v>0</v>
      </c>
      <c r="CG32" s="262">
        <f t="shared" si="28"/>
        <v>0</v>
      </c>
      <c r="CH32" s="261">
        <f t="shared" ref="CH32:CM32" si="166">SUM(CH28:CH31)</f>
        <v>0</v>
      </c>
      <c r="CI32" s="261">
        <f t="shared" si="166"/>
        <v>0</v>
      </c>
      <c r="CJ32" s="261">
        <f>SUM(CJ28:CJ31)</f>
        <v>0</v>
      </c>
      <c r="CK32" s="261">
        <f t="shared" si="166"/>
        <v>0</v>
      </c>
      <c r="CL32" s="261">
        <f t="shared" si="166"/>
        <v>0</v>
      </c>
      <c r="CM32" s="261">
        <f t="shared" si="166"/>
        <v>0</v>
      </c>
      <c r="CN32" s="262">
        <f t="shared" si="31"/>
        <v>0</v>
      </c>
      <c r="CO32" s="278">
        <f t="shared" si="46"/>
        <v>0</v>
      </c>
      <c r="CP32" s="279">
        <f t="shared" si="46"/>
        <v>0</v>
      </c>
      <c r="CQ32" s="262">
        <f t="shared" si="33"/>
        <v>0</v>
      </c>
      <c r="CR32" s="278">
        <f t="shared" si="44"/>
        <v>0</v>
      </c>
      <c r="CS32" s="279">
        <f t="shared" si="34"/>
        <v>0</v>
      </c>
      <c r="CT32" s="262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5"/>
        <v>0</v>
      </c>
      <c r="G33" s="199">
        <f t="shared" ref="G33:I37" si="167">IFERROR(VLOOKUP($B33 &amp; $C33&amp;G$4&amp;$A33,tblForecast,G$2,FALSE),0)</f>
        <v>0</v>
      </c>
      <c r="H33" s="202">
        <f t="shared" si="167"/>
        <v>0</v>
      </c>
      <c r="I33" s="202">
        <f t="shared" si="167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O37" si="168">R33*AN33</f>
        <v>0</v>
      </c>
      <c r="N33" s="90">
        <f t="shared" si="168"/>
        <v>0</v>
      </c>
      <c r="O33" s="90">
        <f t="shared" si="168"/>
        <v>0</v>
      </c>
      <c r="P33" s="91">
        <f t="shared" si="39"/>
        <v>0</v>
      </c>
      <c r="Q33" s="240">
        <f>IFERROR(VLOOKUP($B33 &amp; $C33&amp;CompareVer,tblForecast,Q$2,FALSE),0)</f>
        <v>0</v>
      </c>
      <c r="R33" s="241">
        <f t="shared" ref="R33:S37" si="169">IFERROR(VLOOKUP($B33 &amp; $C33&amp;R$4,tblForecast,R$2,FALSE),0)</f>
        <v>0</v>
      </c>
      <c r="S33" s="241">
        <f t="shared" si="169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170">IFERROR(L33*AD33,0)</f>
        <v>0</v>
      </c>
      <c r="Z33" s="90">
        <f t="shared" si="170"/>
        <v>0</v>
      </c>
      <c r="AA33" s="90">
        <f t="shared" si="170"/>
        <v>0</v>
      </c>
      <c r="AB33" s="90">
        <f t="shared" si="170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1">IF(AN33&lt;&gt;0,1-AS33/AN33,0)</f>
        <v>0</v>
      </c>
      <c r="AF33" s="93">
        <f t="shared" si="171"/>
        <v>0</v>
      </c>
      <c r="AG33" s="93">
        <f t="shared" si="171"/>
        <v>0</v>
      </c>
      <c r="AH33" s="104">
        <f>IFERROR(VLOOKUP($B33 &amp; $C33&amp;CompareVer,tblForecast,AH$2,FALSE),0)</f>
        <v>0</v>
      </c>
      <c r="AI33" s="94">
        <f t="shared" ref="AI33:AJ42" si="172">IFERROR(VLOOKUP($B33 &amp; $C33&amp;AI$4,tblForecast,AI$2,FALSE),0)</f>
        <v>0</v>
      </c>
      <c r="AJ33" s="94">
        <f t="shared" si="172"/>
        <v>0</v>
      </c>
      <c r="AK33" s="94">
        <f>IFERROR(VLOOKUP($B33-IF(CompareVer="LY",1,0) &amp; $C33 &amp;AK$4,tblForecast,AK$2,FALSE),0)</f>
        <v>0</v>
      </c>
      <c r="AL33" s="91">
        <f t="shared" si="143"/>
        <v>0</v>
      </c>
      <c r="AM33" s="104">
        <f>IFERROR(VLOOKUP($B33 &amp; $C33&amp;CompareVer,tblForecast,AM$2,FALSE),0)</f>
        <v>0</v>
      </c>
      <c r="AN33" s="94">
        <f t="shared" ref="AN33:AO42" si="173">IFERROR(VLOOKUP($B33 &amp; $C33&amp;AN$4,tblForecast,AN$2,FALSE),0)</f>
        <v>0</v>
      </c>
      <c r="AO33" s="94">
        <f t="shared" si="173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4">IFERROR(VLOOKUP($B33 &amp; $C33&amp;AS$4,tblForecast,AS$2,FALSE),0)</f>
        <v>0</v>
      </c>
      <c r="AT33" s="94">
        <f t="shared" si="174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2">
        <f t="shared" si="128"/>
        <v>0</v>
      </c>
      <c r="AX33" s="183">
        <f t="shared" si="128"/>
        <v>0</v>
      </c>
      <c r="AY33" s="183">
        <f t="shared" si="128"/>
        <v>0</v>
      </c>
      <c r="AZ33" s="183">
        <f t="shared" si="128"/>
        <v>0</v>
      </c>
      <c r="BA33" s="229">
        <f t="shared" ref="BA33:BA34" si="175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176">IFERROR(VLOOKUP($B33 &amp; $C33&amp;BC$4,tblForecast,BC$2,FALSE),0)</f>
        <v>0</v>
      </c>
      <c r="BD33" s="230">
        <f t="shared" si="148"/>
        <v>0</v>
      </c>
      <c r="BE33" s="178">
        <f t="shared" si="1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si="21"/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si="43"/>
        <v>0</v>
      </c>
      <c r="BS33" s="230">
        <f t="shared" si="22"/>
        <v>0</v>
      </c>
      <c r="BT33" s="229">
        <f t="shared" ref="BT33:BU37" si="177">IFERROR(VLOOKUP($B33 &amp; $C33&amp;BT$4,tblForecast,BT$2,FALSE),0)</f>
        <v>0</v>
      </c>
      <c r="BU33" s="230">
        <f t="shared" si="177"/>
        <v>0</v>
      </c>
      <c r="BV33" s="230">
        <f>IFERROR(VLOOKUP($B33 &amp; $C33&amp;CompareVer,tblForecast,BV$2,FALSE),0)</f>
        <v>0</v>
      </c>
      <c r="BW33" s="230">
        <f t="shared" ref="BW33:BX37" si="178">IFERROR(VLOOKUP($B33 &amp; $C33&amp;BW$4,tblForecast,BW$2,FALSE),0)</f>
        <v>0</v>
      </c>
      <c r="BX33" s="230">
        <f t="shared" si="178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179">IFERROR(VLOOKUP($B33 &amp; $C33&amp;CA$4,tblForecast,CA$2,FALSE),0)</f>
        <v>0</v>
      </c>
      <c r="CB33" s="90">
        <f t="shared" si="179"/>
        <v>0</v>
      </c>
      <c r="CC33" s="90">
        <f>IFERROR(VLOOKUP($B33 &amp; $C33&amp;CompareVer,tblForecast,CC$2,FALSE),0)</f>
        <v>0</v>
      </c>
      <c r="CD33" s="90">
        <f t="shared" ref="CD33:CE37" si="180">IFERROR(VLOOKUP($B33 &amp; $C33&amp;CD$4,tblForecast,CD$2,FALSE),0)</f>
        <v>0</v>
      </c>
      <c r="CE33" s="90">
        <f t="shared" si="180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181">IFERROR(VLOOKUP($B33 &amp; $C33&amp;CH$4,tblForecast,CH$2,FALSE),0)</f>
        <v>0</v>
      </c>
      <c r="CI33" s="90">
        <f t="shared" si="181"/>
        <v>0</v>
      </c>
      <c r="CJ33" s="90">
        <f>IFERROR(VLOOKUP($B33 &amp; $C33&amp;CompareVer,tblForecast,CJ$2,FALSE),0)</f>
        <v>0</v>
      </c>
      <c r="CK33" s="90">
        <f t="shared" ref="CK33:CL37" si="182">IFERROR(VLOOKUP($B33 &amp; $C33&amp;CK$4,tblForecast,CK$2,FALSE),0)</f>
        <v>0</v>
      </c>
      <c r="CL33" s="90">
        <f t="shared" si="182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46"/>
        <v>0</v>
      </c>
      <c r="CP33" s="225">
        <f t="shared" si="46"/>
        <v>0</v>
      </c>
      <c r="CQ33" s="178">
        <f t="shared" si="33"/>
        <v>0</v>
      </c>
      <c r="CR33" s="179">
        <f t="shared" si="44"/>
        <v>0</v>
      </c>
      <c r="CS33" s="225">
        <f t="shared" si="34"/>
        <v>0</v>
      </c>
      <c r="CT33" s="178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x14ac:dyDescent="0.25">
      <c r="A34" s="44" t="s">
        <v>340</v>
      </c>
      <c r="B34" s="44">
        <v>2018</v>
      </c>
      <c r="C34" s="88">
        <v>19</v>
      </c>
      <c r="D34" s="97">
        <f t="shared" ref="D34:D37" si="183">G34*H34</f>
        <v>0</v>
      </c>
      <c r="E34" s="203">
        <f t="shared" ref="E34:E37" si="184">IFERROR(D34*F34,0)</f>
        <v>0</v>
      </c>
      <c r="F34" s="183">
        <f t="shared" si="45"/>
        <v>0</v>
      </c>
      <c r="G34" s="177">
        <f t="shared" si="167"/>
        <v>0</v>
      </c>
      <c r="H34" s="204">
        <f t="shared" si="167"/>
        <v>0</v>
      </c>
      <c r="I34" s="204">
        <f t="shared" si="167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168"/>
        <v>0</v>
      </c>
      <c r="N34" s="90">
        <f t="shared" si="168"/>
        <v>0</v>
      </c>
      <c r="O34" s="90">
        <f t="shared" si="168"/>
        <v>0</v>
      </c>
      <c r="P34" s="91">
        <f t="shared" si="39"/>
        <v>0</v>
      </c>
      <c r="Q34" s="240">
        <f>IFERROR(VLOOKUP($B34 &amp; $C34&amp;CompareVer,tblForecast,Q$2,FALSE),0)</f>
        <v>0</v>
      </c>
      <c r="R34" s="242">
        <f t="shared" si="169"/>
        <v>0</v>
      </c>
      <c r="S34" s="242">
        <f t="shared" si="169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185">IFERROR(IF(T32&gt;0,T34/T32,0),0)</f>
        <v>0</v>
      </c>
      <c r="Y34" s="97">
        <f t="shared" si="170"/>
        <v>0</v>
      </c>
      <c r="Z34" s="90">
        <f t="shared" si="170"/>
        <v>0</v>
      </c>
      <c r="AA34" s="90">
        <f t="shared" si="170"/>
        <v>0</v>
      </c>
      <c r="AB34" s="90">
        <f t="shared" si="170"/>
        <v>0</v>
      </c>
      <c r="AC34" s="91">
        <f t="shared" si="9"/>
        <v>0</v>
      </c>
      <c r="AD34" s="75">
        <f t="shared" ref="AD34" si="186">IF(AM34&lt;&gt;0,1-AR34/AM34,0)</f>
        <v>0</v>
      </c>
      <c r="AE34" s="93">
        <f t="shared" si="171"/>
        <v>0</v>
      </c>
      <c r="AF34" s="93">
        <f t="shared" si="171"/>
        <v>0</v>
      </c>
      <c r="AG34" s="93">
        <f t="shared" si="171"/>
        <v>0</v>
      </c>
      <c r="AH34" s="104">
        <f>IFERROR(VLOOKUP($B34 &amp; $C34&amp;CompareVer,tblForecast,AH$2,FALSE),0)</f>
        <v>0</v>
      </c>
      <c r="AI34" s="94">
        <f t="shared" si="172"/>
        <v>0</v>
      </c>
      <c r="AJ34" s="94">
        <f t="shared" si="172"/>
        <v>0</v>
      </c>
      <c r="AK34" s="94">
        <f>IFERROR(VLOOKUP($B34-IF(CompareVer="LY",1,0) &amp; $C34 &amp;AK$4,tblForecast,AK$2,FALSE),0)</f>
        <v>0</v>
      </c>
      <c r="AL34" s="91">
        <f t="shared" si="143"/>
        <v>0</v>
      </c>
      <c r="AM34" s="104">
        <f>IFERROR(VLOOKUP($B34 &amp; $C34&amp;CompareVer,tblForecast,AM$2,FALSE),0)</f>
        <v>0</v>
      </c>
      <c r="AN34" s="94">
        <f t="shared" si="173"/>
        <v>0</v>
      </c>
      <c r="AO34" s="94">
        <f t="shared" si="173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4"/>
        <v>0</v>
      </c>
      <c r="AT34" s="94">
        <f t="shared" si="174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2">
        <f t="shared" si="128"/>
        <v>0</v>
      </c>
      <c r="AX34" s="183">
        <f t="shared" si="128"/>
        <v>0</v>
      </c>
      <c r="AY34" s="183">
        <f t="shared" si="128"/>
        <v>0</v>
      </c>
      <c r="AZ34" s="183">
        <f t="shared" si="128"/>
        <v>0</v>
      </c>
      <c r="BA34" s="229">
        <f t="shared" si="175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176"/>
        <v>0</v>
      </c>
      <c r="BD34" s="230">
        <f t="shared" si="148"/>
        <v>0</v>
      </c>
      <c r="BE34" s="178">
        <f t="shared" si="1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187">IF(T34&lt;&gt;0,BD34/T34,0)</f>
        <v>0</v>
      </c>
      <c r="BJ34" s="185">
        <f t="shared" si="20"/>
        <v>0</v>
      </c>
      <c r="BK34" s="96">
        <f t="shared" si="21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43"/>
        <v>0</v>
      </c>
      <c r="BS34" s="230">
        <f t="shared" si="22"/>
        <v>0</v>
      </c>
      <c r="BT34" s="229">
        <f t="shared" si="177"/>
        <v>0</v>
      </c>
      <c r="BU34" s="230">
        <f t="shared" si="177"/>
        <v>0</v>
      </c>
      <c r="BV34" s="230">
        <f>IFERROR(VLOOKUP($B34 &amp; $C34&amp;CompareVer,tblForecast,BV$2,FALSE),0)</f>
        <v>0</v>
      </c>
      <c r="BW34" s="230">
        <f t="shared" si="178"/>
        <v>0</v>
      </c>
      <c r="BX34" s="230">
        <f t="shared" si="178"/>
        <v>0</v>
      </c>
      <c r="BY34" s="177">
        <f>IFERROR(VLOOKUP($B34-IF(CompareVer="LY",1,0) &amp; $C34 &amp;BY$4,tblForecast,BY$2,FALSE),0)</f>
        <v>0</v>
      </c>
      <c r="BZ34" s="178">
        <f t="shared" si="25"/>
        <v>0</v>
      </c>
      <c r="CA34" s="90">
        <f t="shared" si="179"/>
        <v>0</v>
      </c>
      <c r="CB34" s="90">
        <f t="shared" si="179"/>
        <v>0</v>
      </c>
      <c r="CC34" s="90">
        <f>IFERROR(VLOOKUP($B34 &amp; $C34&amp;CompareVer,tblForecast,CC$2,FALSE),0)</f>
        <v>0</v>
      </c>
      <c r="CD34" s="90">
        <f t="shared" si="180"/>
        <v>0</v>
      </c>
      <c r="CE34" s="90">
        <f t="shared" si="180"/>
        <v>0</v>
      </c>
      <c r="CF34" s="90">
        <f>IFERROR(VLOOKUP($B34-IF(CompareVer="LY",1,0) &amp; $C34 &amp;CF$4,tblForecast,CF$2,FALSE),0)</f>
        <v>0</v>
      </c>
      <c r="CG34" s="178">
        <f t="shared" si="28"/>
        <v>0</v>
      </c>
      <c r="CH34" s="90">
        <f t="shared" si="181"/>
        <v>0</v>
      </c>
      <c r="CI34" s="90">
        <f t="shared" si="181"/>
        <v>0</v>
      </c>
      <c r="CJ34" s="90">
        <f>IFERROR(VLOOKUP($B34 &amp; $C34&amp;CompareVer,tblForecast,CJ$2,FALSE),0)</f>
        <v>0</v>
      </c>
      <c r="CK34" s="90">
        <f t="shared" si="182"/>
        <v>0</v>
      </c>
      <c r="CL34" s="90">
        <f t="shared" si="182"/>
        <v>0</v>
      </c>
      <c r="CM34" s="90">
        <f>IFERROR(VLOOKUP($B34-IF(CompareVer="LY",1,0) &amp; $C34 &amp;CM$4,tblForecast,CM$2,FALSE),0)</f>
        <v>0</v>
      </c>
      <c r="CN34" s="178">
        <f t="shared" si="31"/>
        <v>0</v>
      </c>
      <c r="CO34" s="179">
        <f t="shared" si="46"/>
        <v>0</v>
      </c>
      <c r="CP34" s="225">
        <f t="shared" si="46"/>
        <v>0</v>
      </c>
      <c r="CQ34" s="178">
        <f t="shared" si="33"/>
        <v>0</v>
      </c>
      <c r="CR34" s="179">
        <f t="shared" si="44"/>
        <v>0</v>
      </c>
      <c r="CS34" s="225">
        <f t="shared" si="34"/>
        <v>0</v>
      </c>
      <c r="CT34" s="178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si="183"/>
        <v>0</v>
      </c>
      <c r="E35" s="203">
        <f t="shared" si="184"/>
        <v>0</v>
      </c>
      <c r="F35" s="183">
        <f t="shared" si="45"/>
        <v>0</v>
      </c>
      <c r="G35" s="177">
        <f t="shared" si="167"/>
        <v>0</v>
      </c>
      <c r="H35" s="204">
        <f t="shared" si="167"/>
        <v>0</v>
      </c>
      <c r="I35" s="204">
        <f t="shared" si="167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si="168"/>
        <v>0</v>
      </c>
      <c r="N35" s="46">
        <f t="shared" si="168"/>
        <v>0</v>
      </c>
      <c r="O35" s="46">
        <f t="shared" si="168"/>
        <v>0</v>
      </c>
      <c r="P35" s="47">
        <f t="shared" si="39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169"/>
        <v>0</v>
      </c>
      <c r="S35" s="242">
        <f t="shared" si="169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188">IFERROR(IF(Q34&lt;&gt;0,Q35/Q34,0),0)</f>
        <v>0</v>
      </c>
      <c r="W35" s="336">
        <f t="shared" si="188"/>
        <v>0</v>
      </c>
      <c r="X35" s="252">
        <f>IFERROR(IF(T34&lt;&gt;0,T35/T34,0),0)</f>
        <v>0</v>
      </c>
      <c r="Y35" s="51">
        <f t="shared" si="170"/>
        <v>0</v>
      </c>
      <c r="Z35" s="46">
        <f t="shared" si="170"/>
        <v>0</v>
      </c>
      <c r="AA35" s="46">
        <f t="shared" si="170"/>
        <v>0</v>
      </c>
      <c r="AB35" s="46">
        <f t="shared" si="170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si="171"/>
        <v>0</v>
      </c>
      <c r="AF35" s="93">
        <f t="shared" si="171"/>
        <v>0</v>
      </c>
      <c r="AG35" s="76">
        <f t="shared" si="171"/>
        <v>0</v>
      </c>
      <c r="AH35" s="73">
        <f>DB35</f>
        <v>25.13</v>
      </c>
      <c r="AI35" s="94">
        <f t="shared" si="172"/>
        <v>0</v>
      </c>
      <c r="AJ35" s="94">
        <f t="shared" si="172"/>
        <v>0</v>
      </c>
      <c r="AK35" s="49">
        <f>IFERROR(VLOOKUP($B35-IF(CompareVer="LY",1,0) &amp; $C35 &amp;AK$4,tblForecast,AK$2,FALSE),0)</f>
        <v>0</v>
      </c>
      <c r="AL35" s="47">
        <f t="shared" si="143"/>
        <v>0</v>
      </c>
      <c r="AM35" s="73">
        <f>DA35</f>
        <v>10.052</v>
      </c>
      <c r="AN35" s="94">
        <f t="shared" si="173"/>
        <v>0</v>
      </c>
      <c r="AO35" s="94">
        <f t="shared" si="173"/>
        <v>0</v>
      </c>
      <c r="AP35" s="49">
        <f>IFERROR(VLOOKUP($B35-IF(CompareVer="LY",1,0) &amp; $C35 &amp;AP$4,tblForecast,AP$2,FALSE),0)</f>
        <v>0</v>
      </c>
      <c r="AQ35" s="47">
        <f t="shared" si="14"/>
        <v>0</v>
      </c>
      <c r="AR35" s="73">
        <f>DC35</f>
        <v>4.22</v>
      </c>
      <c r="AS35" s="94">
        <f t="shared" si="174"/>
        <v>0</v>
      </c>
      <c r="AT35" s="94">
        <f t="shared" si="174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128"/>
        <v>0.6</v>
      </c>
      <c r="AX35" s="193">
        <f t="shared" si="128"/>
        <v>0</v>
      </c>
      <c r="AY35" s="193">
        <f t="shared" si="128"/>
        <v>0</v>
      </c>
      <c r="AZ35" s="193">
        <f t="shared" si="128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176"/>
        <v>0</v>
      </c>
      <c r="BD35" s="233">
        <f t="shared" si="148"/>
        <v>0</v>
      </c>
      <c r="BE35" s="195">
        <f t="shared" si="1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3"/>
        <v>0</v>
      </c>
      <c r="BS35" s="233">
        <f t="shared" si="22"/>
        <v>0</v>
      </c>
      <c r="BT35" s="236">
        <f t="shared" si="177"/>
        <v>0</v>
      </c>
      <c r="BU35" s="233">
        <f t="shared" si="177"/>
        <v>0</v>
      </c>
      <c r="BV35" s="233">
        <f>IF($A35="a",IFERROR(VLOOKUP($B35 &amp; $C35&amp;BV$4,tblForecast,BV$2,FALSE),0),BT35+BU35)</f>
        <v>0</v>
      </c>
      <c r="BW35" s="233">
        <f t="shared" si="178"/>
        <v>0</v>
      </c>
      <c r="BX35" s="233">
        <f t="shared" si="178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179"/>
        <v>0</v>
      </c>
      <c r="CB35" s="46">
        <f t="shared" si="179"/>
        <v>0</v>
      </c>
      <c r="CC35" s="46">
        <f>IF($A35="a",IFERROR(VLOOKUP($B35 &amp; $C35&amp;CC$4,tblForecast,CC$2,FALSE),0),CA35+CB35)</f>
        <v>0</v>
      </c>
      <c r="CD35" s="46">
        <f t="shared" si="180"/>
        <v>0</v>
      </c>
      <c r="CE35" s="46">
        <f t="shared" si="180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181"/>
        <v>0</v>
      </c>
      <c r="CI35" s="46">
        <f t="shared" si="181"/>
        <v>0</v>
      </c>
      <c r="CJ35" s="46">
        <f>IF($A35="a",IFERROR(VLOOKUP($B35 &amp; $C35&amp;CJ$4,tblForecast,CJ$2,FALSE),0),CH35+CI35)</f>
        <v>0</v>
      </c>
      <c r="CK35" s="46">
        <f t="shared" si="182"/>
        <v>0</v>
      </c>
      <c r="CL35" s="46">
        <f t="shared" si="182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46"/>
        <v>0</v>
      </c>
      <c r="CP35" s="225">
        <f t="shared" si="46"/>
        <v>0</v>
      </c>
      <c r="CQ35" s="195">
        <f t="shared" si="33"/>
        <v>0</v>
      </c>
      <c r="CR35" s="179">
        <f t="shared" si="44"/>
        <v>0</v>
      </c>
      <c r="CS35" s="225">
        <f t="shared" si="34"/>
        <v>0</v>
      </c>
      <c r="CT35" s="195">
        <f t="shared" si="47"/>
        <v>0</v>
      </c>
      <c r="CU35" s="44"/>
      <c r="CV35" s="345">
        <f t="shared" ref="CV35:CV37" si="189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183"/>
        <v>0</v>
      </c>
      <c r="E36" s="203">
        <f t="shared" si="184"/>
        <v>0</v>
      </c>
      <c r="F36" s="183">
        <f t="shared" si="45"/>
        <v>0</v>
      </c>
      <c r="G36" s="177">
        <f t="shared" si="167"/>
        <v>0</v>
      </c>
      <c r="H36" s="204">
        <f t="shared" si="167"/>
        <v>0</v>
      </c>
      <c r="I36" s="204">
        <f t="shared" si="167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68"/>
        <v>0</v>
      </c>
      <c r="N36" s="46">
        <f t="shared" si="168"/>
        <v>0</v>
      </c>
      <c r="O36" s="46">
        <f t="shared" si="168"/>
        <v>0</v>
      </c>
      <c r="P36" s="47">
        <f t="shared" si="39"/>
        <v>0</v>
      </c>
      <c r="Q36" s="244">
        <f t="shared" ref="Q36:Q37" si="190">IF(A35="a",IF(CV36=0,R36,IF(BA35-(Q35*IF(W36=0,X36,W36))&lt;0,BA35,Q35*IF(W36=0,X36,W36))),IF(BA35-(Q35*IF(W36=0,X36,W36))&lt;0,BA35,Q35*IF(W36=0,X36,W36)))</f>
        <v>0</v>
      </c>
      <c r="R36" s="242">
        <f t="shared" si="169"/>
        <v>0</v>
      </c>
      <c r="S36" s="242">
        <f t="shared" si="169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188"/>
        <v>0</v>
      </c>
      <c r="W36" s="336">
        <f t="shared" si="188"/>
        <v>0</v>
      </c>
      <c r="X36" s="252">
        <f>IFERROR(IF(T35&lt;&gt;0,T36/T35,0),0)</f>
        <v>0</v>
      </c>
      <c r="Y36" s="51">
        <f t="shared" si="170"/>
        <v>0</v>
      </c>
      <c r="Z36" s="46">
        <f t="shared" si="170"/>
        <v>0</v>
      </c>
      <c r="AA36" s="46">
        <f t="shared" si="170"/>
        <v>0</v>
      </c>
      <c r="AB36" s="46">
        <f t="shared" si="170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171"/>
        <v>0</v>
      </c>
      <c r="AF36" s="93">
        <f t="shared" si="171"/>
        <v>0</v>
      </c>
      <c r="AG36" s="76">
        <f t="shared" si="171"/>
        <v>0</v>
      </c>
      <c r="AH36" s="73">
        <f t="shared" ref="AH36:AH37" si="191">DB36</f>
        <v>25.13</v>
      </c>
      <c r="AI36" s="94">
        <f t="shared" si="172"/>
        <v>0</v>
      </c>
      <c r="AJ36" s="94">
        <f t="shared" si="172"/>
        <v>0</v>
      </c>
      <c r="AK36" s="49">
        <f>IFERROR(VLOOKUP($B36-IF(CompareVer="LY",1,0) &amp; $C36 &amp;AK$4,tblForecast,AK$2,FALSE),0)</f>
        <v>0</v>
      </c>
      <c r="AL36" s="47">
        <f t="shared" si="143"/>
        <v>0</v>
      </c>
      <c r="AM36" s="73">
        <f t="shared" ref="AM36:AM37" si="192">DA36</f>
        <v>10.052</v>
      </c>
      <c r="AN36" s="94">
        <f t="shared" si="173"/>
        <v>0</v>
      </c>
      <c r="AO36" s="94">
        <f t="shared" si="173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 t="shared" ref="AR36:AR37" si="193">DC36</f>
        <v>4.22</v>
      </c>
      <c r="AS36" s="94">
        <f t="shared" si="174"/>
        <v>0</v>
      </c>
      <c r="AT36" s="94">
        <f t="shared" si="174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128"/>
        <v>0.6</v>
      </c>
      <c r="AX36" s="193">
        <f t="shared" si="128"/>
        <v>0</v>
      </c>
      <c r="AY36" s="193">
        <f t="shared" si="128"/>
        <v>0</v>
      </c>
      <c r="AZ36" s="193">
        <f t="shared" si="128"/>
        <v>0</v>
      </c>
      <c r="BA36" s="237">
        <f t="shared" ref="BA36:BA37" si="194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176"/>
        <v>0</v>
      </c>
      <c r="BD36" s="233">
        <f t="shared" si="148"/>
        <v>0</v>
      </c>
      <c r="BE36" s="195">
        <f t="shared" si="1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3"/>
        <v>0</v>
      </c>
      <c r="BS36" s="233">
        <f t="shared" si="22"/>
        <v>0</v>
      </c>
      <c r="BT36" s="236">
        <f t="shared" si="177"/>
        <v>0</v>
      </c>
      <c r="BU36" s="233">
        <f t="shared" si="177"/>
        <v>0</v>
      </c>
      <c r="BV36" s="233">
        <f>IF($A36="a",IFERROR(VLOOKUP($B36 &amp; $C36&amp;BV$4,tblForecast,BV$2,FALSE),0),BT36+BU36)</f>
        <v>0</v>
      </c>
      <c r="BW36" s="233">
        <f t="shared" si="178"/>
        <v>0</v>
      </c>
      <c r="BX36" s="233">
        <f t="shared" si="178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179"/>
        <v>0</v>
      </c>
      <c r="CB36" s="46">
        <f t="shared" si="179"/>
        <v>0</v>
      </c>
      <c r="CC36" s="46">
        <f>IF($A36="a",IFERROR(VLOOKUP($B36 &amp; $C36&amp;CC$4,tblForecast,CC$2,FALSE),0),CA36+CB36)</f>
        <v>0</v>
      </c>
      <c r="CD36" s="46">
        <f t="shared" si="180"/>
        <v>0</v>
      </c>
      <c r="CE36" s="46">
        <f t="shared" si="180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181"/>
        <v>0</v>
      </c>
      <c r="CI36" s="46">
        <f t="shared" si="181"/>
        <v>0</v>
      </c>
      <c r="CJ36" s="46">
        <f>IF($A36="a",IFERROR(VLOOKUP($B36 &amp; $C36&amp;CJ$4,tblForecast,CJ$2,FALSE),0),CH36+CI36)</f>
        <v>0</v>
      </c>
      <c r="CK36" s="46">
        <f t="shared" si="182"/>
        <v>0</v>
      </c>
      <c r="CL36" s="46">
        <f t="shared" si="182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46"/>
        <v>0</v>
      </c>
      <c r="CP36" s="225">
        <f t="shared" si="46"/>
        <v>0</v>
      </c>
      <c r="CQ36" s="195">
        <f t="shared" si="33"/>
        <v>0</v>
      </c>
      <c r="CR36" s="179">
        <f t="shared" si="44"/>
        <v>0</v>
      </c>
      <c r="CS36" s="225">
        <f t="shared" si="34"/>
        <v>0</v>
      </c>
      <c r="CT36" s="195">
        <f t="shared" si="47"/>
        <v>0</v>
      </c>
      <c r="CU36" s="44"/>
      <c r="CV36" s="345">
        <f t="shared" si="189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183"/>
        <v>0</v>
      </c>
      <c r="E37" s="203">
        <f t="shared" si="184"/>
        <v>0</v>
      </c>
      <c r="F37" s="183">
        <f t="shared" si="45"/>
        <v>0</v>
      </c>
      <c r="G37" s="177">
        <f t="shared" si="167"/>
        <v>0</v>
      </c>
      <c r="H37" s="204">
        <f t="shared" si="167"/>
        <v>0</v>
      </c>
      <c r="I37" s="204">
        <f t="shared" si="167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68"/>
        <v>0</v>
      </c>
      <c r="N37" s="46">
        <f t="shared" si="168"/>
        <v>0</v>
      </c>
      <c r="O37" s="46">
        <f t="shared" si="168"/>
        <v>0</v>
      </c>
      <c r="P37" s="47">
        <f t="shared" si="39"/>
        <v>0</v>
      </c>
      <c r="Q37" s="244">
        <f t="shared" si="190"/>
        <v>0</v>
      </c>
      <c r="R37" s="242">
        <f t="shared" si="169"/>
        <v>0</v>
      </c>
      <c r="S37" s="242">
        <f t="shared" si="169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188"/>
        <v>0</v>
      </c>
      <c r="W37" s="336">
        <f t="shared" si="188"/>
        <v>0</v>
      </c>
      <c r="X37" s="252">
        <f>IFERROR(IF(T36&lt;&gt;0,T37/T36,0),0)</f>
        <v>0</v>
      </c>
      <c r="Y37" s="51">
        <f t="shared" si="170"/>
        <v>0</v>
      </c>
      <c r="Z37" s="46">
        <f t="shared" si="170"/>
        <v>0</v>
      </c>
      <c r="AA37" s="46">
        <f t="shared" si="170"/>
        <v>0</v>
      </c>
      <c r="AB37" s="46">
        <f t="shared" si="170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171"/>
        <v>0</v>
      </c>
      <c r="AF37" s="93">
        <f t="shared" si="171"/>
        <v>0</v>
      </c>
      <c r="AG37" s="76">
        <f t="shared" si="171"/>
        <v>0</v>
      </c>
      <c r="AH37" s="73">
        <f t="shared" si="191"/>
        <v>25.13</v>
      </c>
      <c r="AI37" s="94">
        <f t="shared" si="172"/>
        <v>0</v>
      </c>
      <c r="AJ37" s="94">
        <f t="shared" si="172"/>
        <v>0</v>
      </c>
      <c r="AK37" s="49">
        <f>IFERROR(VLOOKUP($B37-IF(CompareVer="LY",1,0) &amp; $C37 &amp;AK$4,tblForecast,AK$2,FALSE),0)</f>
        <v>0</v>
      </c>
      <c r="AL37" s="47">
        <f t="shared" si="143"/>
        <v>0</v>
      </c>
      <c r="AM37" s="73">
        <f t="shared" si="192"/>
        <v>10.052</v>
      </c>
      <c r="AN37" s="94">
        <f t="shared" si="173"/>
        <v>0</v>
      </c>
      <c r="AO37" s="94">
        <f t="shared" si="173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 t="shared" si="193"/>
        <v>4.22</v>
      </c>
      <c r="AS37" s="94">
        <f t="shared" si="174"/>
        <v>0</v>
      </c>
      <c r="AT37" s="94">
        <f t="shared" si="174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128"/>
        <v>0.6</v>
      </c>
      <c r="AX37" s="193">
        <f t="shared" si="128"/>
        <v>0</v>
      </c>
      <c r="AY37" s="193">
        <f t="shared" si="128"/>
        <v>0</v>
      </c>
      <c r="AZ37" s="193">
        <f t="shared" si="128"/>
        <v>0</v>
      </c>
      <c r="BA37" s="237">
        <f t="shared" si="194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176"/>
        <v>0</v>
      </c>
      <c r="BD37" s="233">
        <f t="shared" si="148"/>
        <v>0</v>
      </c>
      <c r="BE37" s="195">
        <f t="shared" si="1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3"/>
        <v>0</v>
      </c>
      <c r="BS37" s="233">
        <f t="shared" si="22"/>
        <v>0</v>
      </c>
      <c r="BT37" s="236">
        <f t="shared" si="177"/>
        <v>0</v>
      </c>
      <c r="BU37" s="233">
        <f t="shared" si="177"/>
        <v>0</v>
      </c>
      <c r="BV37" s="233">
        <f>IF($A37="a",IFERROR(VLOOKUP($B37 &amp; $C37&amp;BV$4,tblForecast,BV$2,FALSE),0),BT37+BU37)</f>
        <v>0</v>
      </c>
      <c r="BW37" s="233">
        <f t="shared" si="178"/>
        <v>0</v>
      </c>
      <c r="BX37" s="233">
        <f t="shared" si="178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179"/>
        <v>0</v>
      </c>
      <c r="CB37" s="46">
        <f t="shared" si="179"/>
        <v>0</v>
      </c>
      <c r="CC37" s="46">
        <f>IF($A37="a",IFERROR(VLOOKUP($B37 &amp; $C37&amp;CC$4,tblForecast,CC$2,FALSE),0),CA37+CB37)</f>
        <v>0</v>
      </c>
      <c r="CD37" s="46">
        <f t="shared" si="180"/>
        <v>0</v>
      </c>
      <c r="CE37" s="46">
        <f t="shared" si="180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181"/>
        <v>0</v>
      </c>
      <c r="CI37" s="46">
        <f t="shared" si="181"/>
        <v>0</v>
      </c>
      <c r="CJ37" s="46">
        <f>IF($A37="a",IFERROR(VLOOKUP($B37 &amp; $C37&amp;CJ$4,tblForecast,CJ$2,FALSE),0),CH37+CI37)</f>
        <v>0</v>
      </c>
      <c r="CK37" s="46">
        <f t="shared" si="182"/>
        <v>0</v>
      </c>
      <c r="CL37" s="46">
        <f t="shared" si="182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46"/>
        <v>0</v>
      </c>
      <c r="CP37" s="225">
        <f t="shared" si="46"/>
        <v>0</v>
      </c>
      <c r="CQ37" s="195">
        <f t="shared" si="33"/>
        <v>0</v>
      </c>
      <c r="CR37" s="179">
        <f t="shared" si="44"/>
        <v>0</v>
      </c>
      <c r="CS37" s="225">
        <f t="shared" si="34"/>
        <v>0</v>
      </c>
      <c r="CT37" s="195">
        <f t="shared" si="47"/>
        <v>0</v>
      </c>
      <c r="CU37" s="44"/>
      <c r="CV37" s="345">
        <f t="shared" si="189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s="44" customFormat="1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5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195">SUM(M33:M37)</f>
        <v>0</v>
      </c>
      <c r="N38" s="261">
        <f t="shared" si="195"/>
        <v>0</v>
      </c>
      <c r="O38" s="261">
        <f t="shared" si="195"/>
        <v>0</v>
      </c>
      <c r="P38" s="262">
        <f t="shared" si="39"/>
        <v>0</v>
      </c>
      <c r="Q38" s="263">
        <f>SUM(Q33:Q37)</f>
        <v>0</v>
      </c>
      <c r="R38" s="264">
        <f t="shared" ref="R38:S38" si="196">SUM(R33:R37)</f>
        <v>0</v>
      </c>
      <c r="S38" s="264">
        <f t="shared" si="196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197">SUM(Z33:Z37)</f>
        <v>0</v>
      </c>
      <c r="AA38" s="261">
        <f t="shared" si="197"/>
        <v>0</v>
      </c>
      <c r="AB38" s="261">
        <f t="shared" si="197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:AK38" si="198">IFERROR(SUMPRODUCT(AJ34:AJ37,S34:S37)/S38,0)</f>
        <v>0</v>
      </c>
      <c r="AK38" s="270">
        <f t="shared" si="198"/>
        <v>0</v>
      </c>
      <c r="AL38" s="262">
        <f t="shared" si="143"/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14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si="16"/>
        <v>0</v>
      </c>
      <c r="AW38" s="271">
        <f t="shared" si="128"/>
        <v>0</v>
      </c>
      <c r="AX38" s="272">
        <f t="shared" si="128"/>
        <v>0</v>
      </c>
      <c r="AY38" s="272">
        <f t="shared" si="128"/>
        <v>0</v>
      </c>
      <c r="AZ38" s="272">
        <f t="shared" si="128"/>
        <v>0</v>
      </c>
      <c r="BA38" s="263">
        <f>BA37</f>
        <v>0</v>
      </c>
      <c r="BB38" s="264">
        <f t="shared" ref="BB38:BD38" si="199">BB37</f>
        <v>0</v>
      </c>
      <c r="BC38" s="264">
        <f t="shared" si="199"/>
        <v>0</v>
      </c>
      <c r="BD38" s="264">
        <f t="shared" si="199"/>
        <v>0</v>
      </c>
      <c r="BE38" s="262">
        <f t="shared" si="19"/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200">SUM(BL33:BL37)</f>
        <v>0</v>
      </c>
      <c r="BM38" s="264">
        <f>SUM(BM33:BM37)</f>
        <v>0</v>
      </c>
      <c r="BN38" s="263">
        <f t="shared" ref="BN38:BQ38" si="201">SUM(BN33:BN37)</f>
        <v>0</v>
      </c>
      <c r="BO38" s="264">
        <f t="shared" si="201"/>
        <v>0</v>
      </c>
      <c r="BP38" s="263">
        <f t="shared" si="201"/>
        <v>0</v>
      </c>
      <c r="BQ38" s="264">
        <f t="shared" si="201"/>
        <v>0</v>
      </c>
      <c r="BR38" s="263">
        <f t="shared" si="43"/>
        <v>0</v>
      </c>
      <c r="BS38" s="264">
        <f t="shared" si="22"/>
        <v>0</v>
      </c>
      <c r="BT38" s="263">
        <f t="shared" ref="BT38:BY38" si="202">SUM(BT33:BT37)</f>
        <v>0</v>
      </c>
      <c r="BU38" s="264">
        <f t="shared" si="202"/>
        <v>0</v>
      </c>
      <c r="BV38" s="264">
        <f t="shared" si="202"/>
        <v>0</v>
      </c>
      <c r="BW38" s="264">
        <f t="shared" si="202"/>
        <v>0</v>
      </c>
      <c r="BX38" s="264">
        <f t="shared" si="202"/>
        <v>0</v>
      </c>
      <c r="BY38" s="277">
        <f t="shared" si="202"/>
        <v>0</v>
      </c>
      <c r="BZ38" s="262">
        <f t="shared" si="25"/>
        <v>0</v>
      </c>
      <c r="CA38" s="340">
        <f t="shared" ref="CA38:CF38" si="203">SUM(CA33:CA37)</f>
        <v>0</v>
      </c>
      <c r="CB38" s="261">
        <f t="shared" si="203"/>
        <v>0</v>
      </c>
      <c r="CC38" s="261">
        <f t="shared" si="203"/>
        <v>0</v>
      </c>
      <c r="CD38" s="261">
        <f t="shared" si="203"/>
        <v>0</v>
      </c>
      <c r="CE38" s="261">
        <f t="shared" si="203"/>
        <v>0</v>
      </c>
      <c r="CF38" s="261">
        <f t="shared" si="203"/>
        <v>0</v>
      </c>
      <c r="CG38" s="262">
        <f t="shared" si="28"/>
        <v>0</v>
      </c>
      <c r="CH38" s="340">
        <f t="shared" ref="CH38:CM38" si="204">SUM(CH33:CH37)</f>
        <v>0</v>
      </c>
      <c r="CI38" s="261">
        <f t="shared" si="204"/>
        <v>0</v>
      </c>
      <c r="CJ38" s="261">
        <f t="shared" si="204"/>
        <v>0</v>
      </c>
      <c r="CK38" s="261">
        <f t="shared" si="204"/>
        <v>0</v>
      </c>
      <c r="CL38" s="261">
        <f t="shared" si="204"/>
        <v>0</v>
      </c>
      <c r="CM38" s="261">
        <f t="shared" si="204"/>
        <v>0</v>
      </c>
      <c r="CN38" s="262">
        <f t="shared" si="31"/>
        <v>0</v>
      </c>
      <c r="CO38" s="278">
        <f t="shared" si="46"/>
        <v>0</v>
      </c>
      <c r="CP38" s="279">
        <f t="shared" si="46"/>
        <v>0</v>
      </c>
      <c r="CQ38" s="262">
        <f t="shared" si="33"/>
        <v>0</v>
      </c>
      <c r="CR38" s="278">
        <f t="shared" si="44"/>
        <v>0</v>
      </c>
      <c r="CS38" s="279">
        <f t="shared" si="34"/>
        <v>0</v>
      </c>
      <c r="CT38" s="262">
        <f t="shared" si="47"/>
        <v>0</v>
      </c>
      <c r="CV38" s="346"/>
      <c r="CW38" s="100">
        <f>CW37</f>
        <v>0</v>
      </c>
      <c r="CX38" s="101">
        <f>CX37</f>
        <v>0</v>
      </c>
      <c r="CY38" s="99">
        <f t="shared" si="36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5"/>
        <v>0</v>
      </c>
      <c r="G39" s="177">
        <f t="shared" ref="G39:I42" si="205">IFERROR(VLOOKUP($B39 &amp; $C39&amp;G$4&amp;$A39,tblForecast,G$2,FALSE),0)</f>
        <v>0</v>
      </c>
      <c r="H39" s="204">
        <f t="shared" si="205"/>
        <v>0</v>
      </c>
      <c r="I39" s="204">
        <f t="shared" si="205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206">Q39*AM39</f>
        <v>0</v>
      </c>
      <c r="M39" s="90">
        <f t="shared" si="206"/>
        <v>0</v>
      </c>
      <c r="N39" s="46">
        <f t="shared" si="206"/>
        <v>0</v>
      </c>
      <c r="O39" s="46">
        <f t="shared" si="206"/>
        <v>0</v>
      </c>
      <c r="P39" s="47">
        <f t="shared" si="39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207">IFERROR(VLOOKUP($B39 &amp; $C39&amp;R$4,tblForecast,R$2,FALSE),0)</f>
        <v>0</v>
      </c>
      <c r="S39" s="242">
        <f t="shared" si="207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208">IFERROR(L39*AD39,0)</f>
        <v>0</v>
      </c>
      <c r="Z39" s="46">
        <f t="shared" si="208"/>
        <v>0</v>
      </c>
      <c r="AA39" s="46">
        <f t="shared" si="208"/>
        <v>0</v>
      </c>
      <c r="AB39" s="46">
        <f t="shared" si="208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209">IF(AN39&lt;&gt;0,1-AS39/AN39,0)</f>
        <v>0</v>
      </c>
      <c r="AF39" s="93">
        <f t="shared" si="209"/>
        <v>0</v>
      </c>
      <c r="AG39" s="76">
        <f t="shared" si="209"/>
        <v>0</v>
      </c>
      <c r="AH39" s="73">
        <f t="shared" ref="AH39:AH42" si="210">DB39</f>
        <v>25.13</v>
      </c>
      <c r="AI39" s="94">
        <f t="shared" si="172"/>
        <v>0</v>
      </c>
      <c r="AJ39" s="94">
        <f t="shared" si="172"/>
        <v>0</v>
      </c>
      <c r="AK39" s="49">
        <f>IFERROR(VLOOKUP($B39-IF(CompareVer="LY",1,0) &amp; $C39 &amp;AK$4,tblForecast,AK$2,FALSE),0)</f>
        <v>0</v>
      </c>
      <c r="AL39" s="47">
        <f t="shared" si="143"/>
        <v>0</v>
      </c>
      <c r="AM39" s="73">
        <f t="shared" ref="AM39:AM42" si="211">DA39</f>
        <v>8.7954999999999988</v>
      </c>
      <c r="AN39" s="94">
        <f t="shared" si="173"/>
        <v>0</v>
      </c>
      <c r="AO39" s="94">
        <f t="shared" si="173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 t="shared" ref="AR39:AR42" si="212">DC39</f>
        <v>4.22</v>
      </c>
      <c r="AS39" s="94">
        <f t="shared" ref="AS39:AT42" si="213">IFERROR(VLOOKUP($B39 &amp; $C39&amp;AS$4,tblForecast,AS$2,FALSE),0)</f>
        <v>0</v>
      </c>
      <c r="AT39" s="94">
        <f t="shared" si="213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si="128"/>
        <v>0.65</v>
      </c>
      <c r="AX39" s="193">
        <f t="shared" si="128"/>
        <v>0</v>
      </c>
      <c r="AY39" s="193">
        <f t="shared" si="128"/>
        <v>0</v>
      </c>
      <c r="AZ39" s="193">
        <f t="shared" si="128"/>
        <v>0</v>
      </c>
      <c r="BA39" s="237">
        <f t="shared" ref="BA39:BA42" si="214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48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3"/>
        <v>0</v>
      </c>
      <c r="BS39" s="233">
        <f t="shared" si="22"/>
        <v>0</v>
      </c>
      <c r="BT39" s="236">
        <f t="shared" ref="BT39:BU42" si="215">IFERROR(VLOOKUP($B39 &amp; $C39&amp;BT$4,tblForecast,BT$2,FALSE),0)</f>
        <v>0</v>
      </c>
      <c r="BU39" s="233">
        <f t="shared" si="215"/>
        <v>0</v>
      </c>
      <c r="BV39" s="233">
        <f>IF($A39="a",IFERROR(VLOOKUP($B39 &amp; $C39&amp;BV$4,tblForecast,BV$2,FALSE),0),BT39+BU39)</f>
        <v>0</v>
      </c>
      <c r="BW39" s="233">
        <f t="shared" ref="BW39:BX42" si="216">IFERROR(VLOOKUP($B39 &amp; $C39&amp;BW$4,tblForecast,BW$2,FALSE),0)</f>
        <v>0</v>
      </c>
      <c r="BX39" s="233">
        <f t="shared" si="216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B42" si="217">IFERROR(VLOOKUP($B39 &amp; $C39&amp;CA$4,tblForecast,CA$2,FALSE),0)</f>
        <v>0</v>
      </c>
      <c r="CB39" s="46">
        <f t="shared" si="217"/>
        <v>0</v>
      </c>
      <c r="CC39" s="46">
        <f>IF($A39="a",IFERROR(VLOOKUP($B39 &amp; $C39&amp;CC$4,tblForecast,CC$2,FALSE),0),CA39+CB39)</f>
        <v>0</v>
      </c>
      <c r="CD39" s="46">
        <f t="shared" ref="CD39:CE42" si="218">IFERROR(VLOOKUP($B39 &amp; $C39&amp;CD$4,tblForecast,CD$2,FALSE),0)</f>
        <v>0</v>
      </c>
      <c r="CE39" s="46">
        <f t="shared" si="218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I42" si="219">IFERROR(VLOOKUP($B39 &amp; $C39&amp;CH$4,tblForecast,CH$2,FALSE),0)</f>
        <v>0</v>
      </c>
      <c r="CI39" s="46">
        <f t="shared" si="219"/>
        <v>0</v>
      </c>
      <c r="CJ39" s="46">
        <f>IF($A39="a",IFERROR(VLOOKUP($B39 &amp; $C39&amp;CJ$4,tblForecast,CJ$2,FALSE),0),CH39+CI39)</f>
        <v>0</v>
      </c>
      <c r="CK39" s="46">
        <f t="shared" ref="CK39:CL42" si="220">IFERROR(VLOOKUP($B39 &amp; $C39&amp;CK$4,tblForecast,CK$2,FALSE),0)</f>
        <v>0</v>
      </c>
      <c r="CL39" s="46">
        <f t="shared" si="220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46"/>
        <v>0</v>
      </c>
      <c r="CP39" s="225">
        <f t="shared" si="46"/>
        <v>0</v>
      </c>
      <c r="CQ39" s="195">
        <f t="shared" si="33"/>
        <v>0</v>
      </c>
      <c r="CR39" s="179">
        <f t="shared" si="44"/>
        <v>0</v>
      </c>
      <c r="CS39" s="225">
        <f t="shared" si="34"/>
        <v>0</v>
      </c>
      <c r="CT39" s="195">
        <f t="shared" si="47"/>
        <v>0</v>
      </c>
      <c r="CU39" s="44"/>
      <c r="CV39" s="345">
        <f t="shared" ref="CV39:CV42" si="221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222">G40*H40</f>
        <v>0</v>
      </c>
      <c r="E40" s="203">
        <f t="shared" ref="E40:E42" si="223">IFERROR(D40*F40,0)</f>
        <v>0</v>
      </c>
      <c r="F40" s="183">
        <f t="shared" si="45"/>
        <v>0</v>
      </c>
      <c r="G40" s="177">
        <f t="shared" si="205"/>
        <v>0</v>
      </c>
      <c r="H40" s="204">
        <f t="shared" si="205"/>
        <v>0</v>
      </c>
      <c r="I40" s="204">
        <f t="shared" si="205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206"/>
        <v>0</v>
      </c>
      <c r="M40" s="90">
        <f t="shared" si="206"/>
        <v>0</v>
      </c>
      <c r="N40" s="46">
        <f t="shared" si="206"/>
        <v>0</v>
      </c>
      <c r="O40" s="46">
        <f t="shared" si="206"/>
        <v>0</v>
      </c>
      <c r="P40" s="47">
        <f t="shared" si="39"/>
        <v>0</v>
      </c>
      <c r="Q40" s="244">
        <f t="shared" ref="Q40:Q42" si="224">IF(A39="a",IF(CV40=0,R40,IF(BA39-(Q39*IF(W40=0,X40,W40))&lt;0,BA39,Q39*IF(W40=0,X40,W40))),IF(BA39-(Q39*IF(W40=0,X40,W40))&lt;0,BA39,Q39*IF(W40=0,X40,W40)))</f>
        <v>0</v>
      </c>
      <c r="R40" s="242">
        <f t="shared" si="207"/>
        <v>0</v>
      </c>
      <c r="S40" s="242">
        <f t="shared" si="207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225">IFERROR(IF(Q39&lt;&gt;0,Q40/Q39,0),0)</f>
        <v>0</v>
      </c>
      <c r="W40" s="336">
        <f t="shared" si="225"/>
        <v>0</v>
      </c>
      <c r="X40" s="252">
        <f>IFERROR(IF(T39&lt;&gt;0,T40/T39,0),0)</f>
        <v>0</v>
      </c>
      <c r="Y40" s="51">
        <f t="shared" si="208"/>
        <v>0</v>
      </c>
      <c r="Z40" s="46">
        <f t="shared" si="208"/>
        <v>0</v>
      </c>
      <c r="AA40" s="46">
        <f t="shared" si="208"/>
        <v>0</v>
      </c>
      <c r="AB40" s="46">
        <f t="shared" si="208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209"/>
        <v>0</v>
      </c>
      <c r="AF40" s="93">
        <f t="shared" si="209"/>
        <v>0</v>
      </c>
      <c r="AG40" s="76">
        <f t="shared" si="209"/>
        <v>0</v>
      </c>
      <c r="AH40" s="73">
        <f t="shared" si="210"/>
        <v>25.13</v>
      </c>
      <c r="AI40" s="94">
        <f t="shared" si="172"/>
        <v>0</v>
      </c>
      <c r="AJ40" s="94">
        <f t="shared" si="172"/>
        <v>0</v>
      </c>
      <c r="AK40" s="49">
        <f>IFERROR(VLOOKUP($B40-IF(CompareVer="LY",1,0) &amp; $C40 &amp;AK$4,tblForecast,AK$2,FALSE),0)</f>
        <v>0</v>
      </c>
      <c r="AL40" s="47">
        <f t="shared" si="143"/>
        <v>0</v>
      </c>
      <c r="AM40" s="73">
        <f t="shared" si="211"/>
        <v>8.7954999999999988</v>
      </c>
      <c r="AN40" s="94">
        <f t="shared" si="173"/>
        <v>0</v>
      </c>
      <c r="AO40" s="94">
        <f t="shared" si="173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 t="shared" si="212"/>
        <v>4.22</v>
      </c>
      <c r="AS40" s="94">
        <f t="shared" si="213"/>
        <v>0</v>
      </c>
      <c r="AT40" s="94">
        <f t="shared" si="213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128"/>
        <v>0.65</v>
      </c>
      <c r="AX40" s="193">
        <f t="shared" si="128"/>
        <v>0</v>
      </c>
      <c r="AY40" s="193">
        <f t="shared" si="128"/>
        <v>0</v>
      </c>
      <c r="AZ40" s="193">
        <f t="shared" si="128"/>
        <v>0</v>
      </c>
      <c r="BA40" s="237">
        <f t="shared" si="214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48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3"/>
        <v>0</v>
      </c>
      <c r="BS40" s="233">
        <f t="shared" si="22"/>
        <v>0</v>
      </c>
      <c r="BT40" s="236">
        <f t="shared" si="215"/>
        <v>0</v>
      </c>
      <c r="BU40" s="233">
        <f t="shared" si="215"/>
        <v>0</v>
      </c>
      <c r="BV40" s="233">
        <f>IF($A40="a",IFERROR(VLOOKUP($B40 &amp; $C40&amp;BV$4,tblForecast,BV$2,FALSE),0),BT40+BU40)</f>
        <v>0</v>
      </c>
      <c r="BW40" s="233">
        <f t="shared" si="216"/>
        <v>0</v>
      </c>
      <c r="BX40" s="233">
        <f t="shared" si="216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217"/>
        <v>0</v>
      </c>
      <c r="CB40" s="46">
        <f t="shared" si="217"/>
        <v>0</v>
      </c>
      <c r="CC40" s="46">
        <f>IF($A40="a",IFERROR(VLOOKUP($B40 &amp; $C40&amp;CC$4,tblForecast,CC$2,FALSE),0),CA40+CB40)</f>
        <v>0</v>
      </c>
      <c r="CD40" s="46">
        <f t="shared" si="218"/>
        <v>0</v>
      </c>
      <c r="CE40" s="46">
        <f t="shared" si="218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219"/>
        <v>0</v>
      </c>
      <c r="CI40" s="46">
        <f t="shared" si="219"/>
        <v>0</v>
      </c>
      <c r="CJ40" s="46">
        <f>IF($A40="a",IFERROR(VLOOKUP($B40 &amp; $C40&amp;CJ$4,tblForecast,CJ$2,FALSE),0),CH40+CI40)</f>
        <v>0</v>
      </c>
      <c r="CK40" s="46">
        <f t="shared" si="220"/>
        <v>0</v>
      </c>
      <c r="CL40" s="46">
        <f t="shared" si="220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46"/>
        <v>0</v>
      </c>
      <c r="CP40" s="225">
        <f t="shared" si="46"/>
        <v>0</v>
      </c>
      <c r="CQ40" s="195">
        <f t="shared" si="33"/>
        <v>0</v>
      </c>
      <c r="CR40" s="179">
        <f t="shared" si="44"/>
        <v>0</v>
      </c>
      <c r="CS40" s="225">
        <f t="shared" si="34"/>
        <v>0</v>
      </c>
      <c r="CT40" s="195">
        <f t="shared" si="47"/>
        <v>0</v>
      </c>
      <c r="CU40" s="44"/>
      <c r="CV40" s="345">
        <f t="shared" si="221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222"/>
        <v>0</v>
      </c>
      <c r="E41" s="203">
        <f t="shared" si="223"/>
        <v>0</v>
      </c>
      <c r="F41" s="183">
        <f t="shared" si="45"/>
        <v>0</v>
      </c>
      <c r="G41" s="177">
        <f t="shared" si="205"/>
        <v>0</v>
      </c>
      <c r="H41" s="204">
        <f t="shared" si="205"/>
        <v>0</v>
      </c>
      <c r="I41" s="204">
        <f t="shared" si="205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206"/>
        <v>0</v>
      </c>
      <c r="M41" s="90">
        <f t="shared" si="206"/>
        <v>0</v>
      </c>
      <c r="N41" s="46">
        <f t="shared" si="206"/>
        <v>0</v>
      </c>
      <c r="O41" s="46">
        <f t="shared" si="206"/>
        <v>0</v>
      </c>
      <c r="P41" s="47">
        <f t="shared" si="39"/>
        <v>0</v>
      </c>
      <c r="Q41" s="244">
        <f t="shared" si="224"/>
        <v>0</v>
      </c>
      <c r="R41" s="242">
        <f t="shared" si="207"/>
        <v>0</v>
      </c>
      <c r="S41" s="242">
        <f t="shared" si="207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225"/>
        <v>0</v>
      </c>
      <c r="W41" s="336">
        <f t="shared" si="225"/>
        <v>0</v>
      </c>
      <c r="X41" s="252">
        <f>IFERROR(IF(T40&lt;&gt;0,T41/T40,0),0)</f>
        <v>0</v>
      </c>
      <c r="Y41" s="51">
        <f t="shared" si="208"/>
        <v>0</v>
      </c>
      <c r="Z41" s="46">
        <f t="shared" si="208"/>
        <v>0</v>
      </c>
      <c r="AA41" s="46">
        <f t="shared" si="208"/>
        <v>0</v>
      </c>
      <c r="AB41" s="46">
        <f t="shared" si="208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209"/>
        <v>0</v>
      </c>
      <c r="AF41" s="93">
        <f t="shared" si="209"/>
        <v>0</v>
      </c>
      <c r="AG41" s="76">
        <f t="shared" si="209"/>
        <v>0</v>
      </c>
      <c r="AH41" s="73">
        <f t="shared" si="210"/>
        <v>25.13</v>
      </c>
      <c r="AI41" s="94">
        <f t="shared" si="172"/>
        <v>0</v>
      </c>
      <c r="AJ41" s="94">
        <f t="shared" si="172"/>
        <v>0</v>
      </c>
      <c r="AK41" s="49">
        <f>IFERROR(VLOOKUP($B41-IF(CompareVer="LY",1,0) &amp; $C41 &amp;AK$4,tblForecast,AK$2,FALSE),0)</f>
        <v>0</v>
      </c>
      <c r="AL41" s="47">
        <f t="shared" si="143"/>
        <v>0</v>
      </c>
      <c r="AM41" s="73">
        <f t="shared" si="211"/>
        <v>8.7954999999999988</v>
      </c>
      <c r="AN41" s="94">
        <f t="shared" si="173"/>
        <v>0</v>
      </c>
      <c r="AO41" s="94">
        <f t="shared" si="173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 t="shared" si="212"/>
        <v>4.22</v>
      </c>
      <c r="AS41" s="94">
        <f t="shared" si="213"/>
        <v>0</v>
      </c>
      <c r="AT41" s="94">
        <f t="shared" si="213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128"/>
        <v>0.65</v>
      </c>
      <c r="AX41" s="193">
        <f t="shared" si="128"/>
        <v>0</v>
      </c>
      <c r="AY41" s="193">
        <f t="shared" si="128"/>
        <v>0</v>
      </c>
      <c r="AZ41" s="193">
        <f t="shared" si="128"/>
        <v>0</v>
      </c>
      <c r="BA41" s="237">
        <f t="shared" si="214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48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3"/>
        <v>0</v>
      </c>
      <c r="BS41" s="233">
        <f t="shared" si="22"/>
        <v>0</v>
      </c>
      <c r="BT41" s="236">
        <f t="shared" si="215"/>
        <v>0</v>
      </c>
      <c r="BU41" s="233">
        <f t="shared" si="215"/>
        <v>0</v>
      </c>
      <c r="BV41" s="233">
        <f>IF($A41="a",IFERROR(VLOOKUP($B41 &amp; $C41&amp;BV$4,tblForecast,BV$2,FALSE),0),BT41+BU41)</f>
        <v>0</v>
      </c>
      <c r="BW41" s="233">
        <f t="shared" si="216"/>
        <v>0</v>
      </c>
      <c r="BX41" s="233">
        <f t="shared" si="216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217"/>
        <v>0</v>
      </c>
      <c r="CB41" s="46">
        <f t="shared" si="217"/>
        <v>0</v>
      </c>
      <c r="CC41" s="46">
        <f>IF($A41="a",IFERROR(VLOOKUP($B41 &amp; $C41&amp;CC$4,tblForecast,CC$2,FALSE),0),CA41+CB41)</f>
        <v>0</v>
      </c>
      <c r="CD41" s="46">
        <f t="shared" si="218"/>
        <v>0</v>
      </c>
      <c r="CE41" s="46">
        <f t="shared" si="218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219"/>
        <v>0</v>
      </c>
      <c r="CI41" s="46">
        <f t="shared" si="219"/>
        <v>0</v>
      </c>
      <c r="CJ41" s="46">
        <f>IF($A41="a",IFERROR(VLOOKUP($B41 &amp; $C41&amp;CJ$4,tblForecast,CJ$2,FALSE),0),CH41+CI41)</f>
        <v>0</v>
      </c>
      <c r="CK41" s="46">
        <f t="shared" si="220"/>
        <v>0</v>
      </c>
      <c r="CL41" s="46">
        <f t="shared" si="220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46"/>
        <v>0</v>
      </c>
      <c r="CP41" s="225">
        <f t="shared" si="46"/>
        <v>0</v>
      </c>
      <c r="CQ41" s="195">
        <f t="shared" si="33"/>
        <v>0</v>
      </c>
      <c r="CR41" s="179">
        <f t="shared" si="44"/>
        <v>0</v>
      </c>
      <c r="CS41" s="225">
        <f t="shared" si="34"/>
        <v>0</v>
      </c>
      <c r="CT41" s="195">
        <f t="shared" si="47"/>
        <v>0</v>
      </c>
      <c r="CU41" s="44"/>
      <c r="CV41" s="345">
        <f t="shared" si="221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222"/>
        <v>0</v>
      </c>
      <c r="E42" s="203">
        <f t="shared" si="223"/>
        <v>0</v>
      </c>
      <c r="F42" s="183">
        <f t="shared" si="45"/>
        <v>0</v>
      </c>
      <c r="G42" s="177">
        <f t="shared" si="205"/>
        <v>0</v>
      </c>
      <c r="H42" s="204">
        <f t="shared" si="205"/>
        <v>0</v>
      </c>
      <c r="I42" s="204">
        <f t="shared" si="205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206"/>
        <v>0</v>
      </c>
      <c r="M42" s="90">
        <f t="shared" si="206"/>
        <v>0</v>
      </c>
      <c r="N42" s="46">
        <f t="shared" si="206"/>
        <v>0</v>
      </c>
      <c r="O42" s="46">
        <f t="shared" si="206"/>
        <v>0</v>
      </c>
      <c r="P42" s="47">
        <f t="shared" si="39"/>
        <v>0</v>
      </c>
      <c r="Q42" s="244">
        <f t="shared" si="224"/>
        <v>0</v>
      </c>
      <c r="R42" s="242">
        <f t="shared" si="207"/>
        <v>0</v>
      </c>
      <c r="S42" s="242">
        <f t="shared" si="207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225"/>
        <v>0</v>
      </c>
      <c r="W42" s="336">
        <f t="shared" si="225"/>
        <v>0</v>
      </c>
      <c r="X42" s="252">
        <f>IFERROR(IF(T41&lt;&gt;0,T42/T41,0),0)</f>
        <v>0</v>
      </c>
      <c r="Y42" s="51">
        <f t="shared" si="208"/>
        <v>0</v>
      </c>
      <c r="Z42" s="46">
        <f t="shared" si="208"/>
        <v>0</v>
      </c>
      <c r="AA42" s="46">
        <f t="shared" si="208"/>
        <v>0</v>
      </c>
      <c r="AB42" s="46">
        <f t="shared" si="208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209"/>
        <v>0</v>
      </c>
      <c r="AF42" s="93">
        <f t="shared" si="209"/>
        <v>0</v>
      </c>
      <c r="AG42" s="76">
        <f t="shared" si="209"/>
        <v>0</v>
      </c>
      <c r="AH42" s="73">
        <f t="shared" si="210"/>
        <v>25.13</v>
      </c>
      <c r="AI42" s="94">
        <f t="shared" si="172"/>
        <v>0</v>
      </c>
      <c r="AJ42" s="94">
        <f t="shared" si="172"/>
        <v>0</v>
      </c>
      <c r="AK42" s="49">
        <f>IFERROR(VLOOKUP($B42-IF(CompareVer="LY",1,0) &amp; $C42 &amp;AK$4,tblForecast,AK$2,FALSE),0)</f>
        <v>0</v>
      </c>
      <c r="AL42" s="47">
        <f t="shared" si="143"/>
        <v>0</v>
      </c>
      <c r="AM42" s="73">
        <f t="shared" si="211"/>
        <v>7.5390000000000006</v>
      </c>
      <c r="AN42" s="94">
        <f t="shared" si="173"/>
        <v>0</v>
      </c>
      <c r="AO42" s="94">
        <f t="shared" si="173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 t="shared" si="212"/>
        <v>4.22</v>
      </c>
      <c r="AS42" s="94">
        <f t="shared" si="213"/>
        <v>0</v>
      </c>
      <c r="AT42" s="94">
        <f t="shared" si="213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128"/>
        <v>0.7</v>
      </c>
      <c r="AX42" s="193">
        <f t="shared" si="128"/>
        <v>0</v>
      </c>
      <c r="AY42" s="193">
        <f t="shared" si="128"/>
        <v>0</v>
      </c>
      <c r="AZ42" s="193">
        <f t="shared" si="128"/>
        <v>0</v>
      </c>
      <c r="BA42" s="237">
        <f t="shared" si="214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48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3"/>
        <v>0</v>
      </c>
      <c r="BS42" s="233">
        <f t="shared" si="22"/>
        <v>0</v>
      </c>
      <c r="BT42" s="236">
        <f t="shared" si="215"/>
        <v>0</v>
      </c>
      <c r="BU42" s="233">
        <f t="shared" si="215"/>
        <v>0</v>
      </c>
      <c r="BV42" s="233">
        <f>IF($A42="a",IFERROR(VLOOKUP($B42 &amp; $C42&amp;BV$4,tblForecast,BV$2,FALSE),0),BT42+BU42)</f>
        <v>0</v>
      </c>
      <c r="BW42" s="233">
        <f t="shared" si="216"/>
        <v>0</v>
      </c>
      <c r="BX42" s="233">
        <f t="shared" si="216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217"/>
        <v>0</v>
      </c>
      <c r="CB42" s="46">
        <f t="shared" si="217"/>
        <v>0</v>
      </c>
      <c r="CC42" s="46">
        <f>IF($A42="a",IFERROR(VLOOKUP($B42 &amp; $C42&amp;CC$4,tblForecast,CC$2,FALSE),0),CA42+CB42)</f>
        <v>0</v>
      </c>
      <c r="CD42" s="46">
        <f t="shared" si="218"/>
        <v>0</v>
      </c>
      <c r="CE42" s="46">
        <f t="shared" si="218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219"/>
        <v>0</v>
      </c>
      <c r="CI42" s="46">
        <f t="shared" si="219"/>
        <v>0</v>
      </c>
      <c r="CJ42" s="46">
        <f>IF($A42="a",IFERROR(VLOOKUP($B42 &amp; $C42&amp;CJ$4,tblForecast,CJ$2,FALSE),0),CH42+CI42)</f>
        <v>0</v>
      </c>
      <c r="CK42" s="46">
        <f t="shared" si="220"/>
        <v>0</v>
      </c>
      <c r="CL42" s="46">
        <f t="shared" si="220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46"/>
        <v>0</v>
      </c>
      <c r="CP42" s="225">
        <f t="shared" si="46"/>
        <v>0</v>
      </c>
      <c r="CQ42" s="195">
        <f t="shared" si="33"/>
        <v>0</v>
      </c>
      <c r="CR42" s="179">
        <f t="shared" si="44"/>
        <v>0</v>
      </c>
      <c r="CS42" s="225">
        <f t="shared" si="34"/>
        <v>0</v>
      </c>
      <c r="CT42" s="195">
        <f t="shared" si="47"/>
        <v>0</v>
      </c>
      <c r="CU42" s="44"/>
      <c r="CV42" s="345">
        <f t="shared" si="221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226">SUM(D39:D42)</f>
        <v>0</v>
      </c>
      <c r="E43" s="257">
        <f t="shared" ref="E43" si="227">SUM(E39:E42)</f>
        <v>0</v>
      </c>
      <c r="F43" s="258">
        <f t="shared" si="45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228">SUM(M39:M42)</f>
        <v>0</v>
      </c>
      <c r="N43" s="261">
        <f t="shared" si="228"/>
        <v>0</v>
      </c>
      <c r="O43" s="261">
        <f t="shared" si="228"/>
        <v>0</v>
      </c>
      <c r="P43" s="262">
        <f t="shared" si="39"/>
        <v>0</v>
      </c>
      <c r="Q43" s="263">
        <f>SUM(Q39:Q42)</f>
        <v>0</v>
      </c>
      <c r="R43" s="264">
        <f t="shared" ref="R43:S43" si="229">SUM(R39:R42)</f>
        <v>0</v>
      </c>
      <c r="S43" s="264">
        <f t="shared" si="229"/>
        <v>0</v>
      </c>
      <c r="T43" s="264">
        <f>SUM(T39:T42)</f>
        <v>0</v>
      </c>
      <c r="U43" s="262">
        <f t="shared" si="7"/>
        <v>0</v>
      </c>
      <c r="V43" s="265">
        <f t="shared" ref="V43:X44" si="230">V42</f>
        <v>0</v>
      </c>
      <c r="W43" s="334">
        <f t="shared" si="230"/>
        <v>0</v>
      </c>
      <c r="X43" s="266">
        <f t="shared" si="230"/>
        <v>0</v>
      </c>
      <c r="Y43" s="256">
        <f>SUM(Y39:Y42)</f>
        <v>0</v>
      </c>
      <c r="Z43" s="261">
        <f t="shared" ref="Z43:AB43" si="231">SUM(Z39:Z42)</f>
        <v>0</v>
      </c>
      <c r="AA43" s="261">
        <f t="shared" si="231"/>
        <v>0</v>
      </c>
      <c r="AB43" s="261">
        <f t="shared" si="231"/>
        <v>0</v>
      </c>
      <c r="AC43" s="262">
        <f t="shared" si="9"/>
        <v>0</v>
      </c>
      <c r="AD43" s="267">
        <f t="shared" ref="AD43:AG44" si="232">IFERROR(Y43/L43,0)</f>
        <v>0</v>
      </c>
      <c r="AE43" s="268">
        <f t="shared" si="232"/>
        <v>0</v>
      </c>
      <c r="AF43" s="268">
        <f t="shared" si="232"/>
        <v>0</v>
      </c>
      <c r="AG43" s="268">
        <f t="shared" si="232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K43" si="233">IFERROR(SUMPRODUCT(AJ39:AJ42,S39:S42)/S43,0)</f>
        <v>0</v>
      </c>
      <c r="AK43" s="270">
        <f t="shared" si="233"/>
        <v>0</v>
      </c>
      <c r="AL43" s="262">
        <f t="shared" si="143"/>
        <v>0</v>
      </c>
      <c r="AM43" s="269">
        <f t="shared" ref="AM43:AP44" si="234">IF(Q43&lt;&gt;0,L43/Q43,0)</f>
        <v>0</v>
      </c>
      <c r="AN43" s="270">
        <f t="shared" si="234"/>
        <v>0</v>
      </c>
      <c r="AO43" s="270">
        <f t="shared" si="234"/>
        <v>0</v>
      </c>
      <c r="AP43" s="270">
        <f t="shared" si="234"/>
        <v>0</v>
      </c>
      <c r="AQ43" s="262">
        <f t="shared" si="14"/>
        <v>0</v>
      </c>
      <c r="AR43" s="269">
        <f t="shared" ref="AR43:AU44" si="235">IFERROR((L43*(1-AD43))/Q43,0)</f>
        <v>0</v>
      </c>
      <c r="AS43" s="270">
        <f t="shared" si="235"/>
        <v>0</v>
      </c>
      <c r="AT43" s="270">
        <f t="shared" si="235"/>
        <v>0</v>
      </c>
      <c r="AU43" s="270">
        <f t="shared" si="235"/>
        <v>0</v>
      </c>
      <c r="AV43" s="262">
        <f t="shared" si="16"/>
        <v>0</v>
      </c>
      <c r="AW43" s="271">
        <f t="shared" ref="AW43:AZ48" si="236">IFERROR((AM43/AH43-1)*-1,0)</f>
        <v>0</v>
      </c>
      <c r="AX43" s="272">
        <f t="shared" si="236"/>
        <v>0</v>
      </c>
      <c r="AY43" s="272">
        <f t="shared" si="236"/>
        <v>0</v>
      </c>
      <c r="AZ43" s="272">
        <f t="shared" si="236"/>
        <v>0</v>
      </c>
      <c r="BA43" s="263">
        <f>BA42</f>
        <v>0</v>
      </c>
      <c r="BB43" s="264">
        <f t="shared" ref="BB43:BD44" si="237">BB42</f>
        <v>0</v>
      </c>
      <c r="BC43" s="264">
        <f t="shared" si="237"/>
        <v>0</v>
      </c>
      <c r="BD43" s="264">
        <f t="shared" si="237"/>
        <v>0</v>
      </c>
      <c r="BE43" s="262">
        <f t="shared" si="19"/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si="20"/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238">SUM(BO39:BO42)</f>
        <v>0</v>
      </c>
      <c r="BP43" s="263">
        <f>SUM(BP39:BP42)</f>
        <v>0</v>
      </c>
      <c r="BQ43" s="264">
        <f t="shared" si="238"/>
        <v>0</v>
      </c>
      <c r="BR43" s="263">
        <f t="shared" si="43"/>
        <v>0</v>
      </c>
      <c r="BS43" s="264">
        <f t="shared" si="22"/>
        <v>0</v>
      </c>
      <c r="BT43" s="263">
        <f t="shared" ref="BT43:BY43" si="239">SUM(BT39:BT42)</f>
        <v>0</v>
      </c>
      <c r="BU43" s="264">
        <f t="shared" si="239"/>
        <v>0</v>
      </c>
      <c r="BV43" s="264">
        <f t="shared" si="239"/>
        <v>0</v>
      </c>
      <c r="BW43" s="264">
        <f t="shared" si="239"/>
        <v>0</v>
      </c>
      <c r="BX43" s="264">
        <f t="shared" si="239"/>
        <v>0</v>
      </c>
      <c r="BY43" s="277">
        <f t="shared" si="239"/>
        <v>0</v>
      </c>
      <c r="BZ43" s="262">
        <f t="shared" si="25"/>
        <v>0</v>
      </c>
      <c r="CA43" s="340">
        <f t="shared" ref="CA43:CF43" si="240">SUM(CA39:CA42)</f>
        <v>0</v>
      </c>
      <c r="CB43" s="261">
        <f t="shared" si="240"/>
        <v>0</v>
      </c>
      <c r="CC43" s="261">
        <f t="shared" si="240"/>
        <v>0</v>
      </c>
      <c r="CD43" s="261">
        <f t="shared" si="240"/>
        <v>0</v>
      </c>
      <c r="CE43" s="261">
        <f t="shared" si="240"/>
        <v>0</v>
      </c>
      <c r="CF43" s="261">
        <f t="shared" si="240"/>
        <v>0</v>
      </c>
      <c r="CG43" s="262">
        <f t="shared" si="28"/>
        <v>0</v>
      </c>
      <c r="CH43" s="340">
        <f t="shared" ref="CH43:CM43" si="241">SUM(CH39:CH42)</f>
        <v>0</v>
      </c>
      <c r="CI43" s="261">
        <f t="shared" si="241"/>
        <v>0</v>
      </c>
      <c r="CJ43" s="261">
        <f t="shared" si="241"/>
        <v>0</v>
      </c>
      <c r="CK43" s="261">
        <f t="shared" si="241"/>
        <v>0</v>
      </c>
      <c r="CL43" s="261">
        <f t="shared" si="241"/>
        <v>0</v>
      </c>
      <c r="CM43" s="261">
        <f t="shared" si="241"/>
        <v>0</v>
      </c>
      <c r="CN43" s="262">
        <f t="shared" si="31"/>
        <v>0</v>
      </c>
      <c r="CO43" s="278">
        <f t="shared" si="46"/>
        <v>0</v>
      </c>
      <c r="CP43" s="279">
        <f t="shared" si="46"/>
        <v>0</v>
      </c>
      <c r="CQ43" s="262">
        <f t="shared" si="33"/>
        <v>0</v>
      </c>
      <c r="CR43" s="278">
        <f t="shared" si="44"/>
        <v>0</v>
      </c>
      <c r="CS43" s="279">
        <f t="shared" si="34"/>
        <v>0</v>
      </c>
      <c r="CT43" s="262">
        <f t="shared" si="47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6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:E44" si="242">D32+D38+D43</f>
        <v>0</v>
      </c>
      <c r="E44" s="206">
        <f t="shared" si="242"/>
        <v>0</v>
      </c>
      <c r="F44" s="207">
        <f t="shared" si="45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:K44" si="243">J32+J38+J43</f>
        <v>0</v>
      </c>
      <c r="K44" s="304">
        <f t="shared" si="243"/>
        <v>0</v>
      </c>
      <c r="L44" s="53">
        <f>L32+L38+L43</f>
        <v>0</v>
      </c>
      <c r="M44" s="53">
        <f t="shared" ref="M44:O44" si="244">M32+M38+M43</f>
        <v>0</v>
      </c>
      <c r="N44" s="53">
        <f t="shared" si="244"/>
        <v>0</v>
      </c>
      <c r="O44" s="53">
        <f t="shared" si="244"/>
        <v>0</v>
      </c>
      <c r="P44" s="54">
        <f t="shared" si="39"/>
        <v>0</v>
      </c>
      <c r="Q44" s="231">
        <f>Q32+Q38+Q43</f>
        <v>0</v>
      </c>
      <c r="R44" s="232">
        <f t="shared" ref="R44:S44" si="245">R32+R38+R43</f>
        <v>0</v>
      </c>
      <c r="S44" s="232">
        <f t="shared" si="245"/>
        <v>0</v>
      </c>
      <c r="T44" s="232">
        <f>T32+T38+T43</f>
        <v>0</v>
      </c>
      <c r="U44" s="54">
        <f t="shared" si="7"/>
        <v>0</v>
      </c>
      <c r="V44" s="249">
        <f t="shared" si="230"/>
        <v>0</v>
      </c>
      <c r="W44" s="335">
        <f t="shared" si="230"/>
        <v>0</v>
      </c>
      <c r="X44" s="250">
        <f t="shared" si="230"/>
        <v>0</v>
      </c>
      <c r="Y44" s="52">
        <f>Y32+Y38+Y43</f>
        <v>0</v>
      </c>
      <c r="Z44" s="53">
        <f t="shared" ref="Z44:AB44" si="246">Z32+Z38+Z43</f>
        <v>0</v>
      </c>
      <c r="AA44" s="53">
        <f t="shared" si="246"/>
        <v>0</v>
      </c>
      <c r="AB44" s="53">
        <f t="shared" si="246"/>
        <v>0</v>
      </c>
      <c r="AC44" s="54">
        <f t="shared" si="9"/>
        <v>0</v>
      </c>
      <c r="AD44" s="77">
        <f t="shared" si="232"/>
        <v>0</v>
      </c>
      <c r="AE44" s="78">
        <f t="shared" si="232"/>
        <v>0</v>
      </c>
      <c r="AF44" s="78">
        <f t="shared" si="232"/>
        <v>0</v>
      </c>
      <c r="AG44" s="78">
        <f t="shared" si="232"/>
        <v>0</v>
      </c>
      <c r="AH44" s="58">
        <f>IFERROR((AH32*Q32+AH38*Q38+AH43*Q43)/Q44,0)</f>
        <v>0</v>
      </c>
      <c r="AI44" s="58">
        <f t="shared" ref="AI44:AL44" si="247">IFERROR((AI32*R32+AI38*R38+AI43*R43)/R44,0)</f>
        <v>0</v>
      </c>
      <c r="AJ44" s="58">
        <f t="shared" si="247"/>
        <v>0</v>
      </c>
      <c r="AK44" s="58">
        <f t="shared" si="247"/>
        <v>0</v>
      </c>
      <c r="AL44" s="54">
        <f t="shared" si="247"/>
        <v>0</v>
      </c>
      <c r="AM44" s="57">
        <f t="shared" si="234"/>
        <v>0</v>
      </c>
      <c r="AN44" s="58">
        <f t="shared" si="234"/>
        <v>0</v>
      </c>
      <c r="AO44" s="58">
        <f t="shared" si="234"/>
        <v>0</v>
      </c>
      <c r="AP44" s="58">
        <f t="shared" si="234"/>
        <v>0</v>
      </c>
      <c r="AQ44" s="54">
        <f t="shared" si="14"/>
        <v>0</v>
      </c>
      <c r="AR44" s="57">
        <f t="shared" si="235"/>
        <v>0</v>
      </c>
      <c r="AS44" s="58">
        <f t="shared" si="235"/>
        <v>0</v>
      </c>
      <c r="AT44" s="58">
        <f t="shared" si="235"/>
        <v>0</v>
      </c>
      <c r="AU44" s="58">
        <f t="shared" si="235"/>
        <v>0</v>
      </c>
      <c r="AV44" s="54">
        <f t="shared" si="16"/>
        <v>0</v>
      </c>
      <c r="AW44" s="59">
        <f t="shared" si="236"/>
        <v>0</v>
      </c>
      <c r="AX44" s="60">
        <f t="shared" si="236"/>
        <v>0</v>
      </c>
      <c r="AY44" s="60">
        <f t="shared" si="236"/>
        <v>0</v>
      </c>
      <c r="AZ44" s="60">
        <f t="shared" si="236"/>
        <v>0</v>
      </c>
      <c r="BA44" s="238">
        <f>BA43</f>
        <v>0</v>
      </c>
      <c r="BB44" s="232">
        <f t="shared" si="237"/>
        <v>0</v>
      </c>
      <c r="BC44" s="232">
        <f t="shared" si="237"/>
        <v>0</v>
      </c>
      <c r="BD44" s="232">
        <f t="shared" si="237"/>
        <v>0</v>
      </c>
      <c r="BE44" s="54">
        <f t="shared" si="19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20"/>
        <v>0</v>
      </c>
      <c r="BK44" s="61">
        <f t="shared" si="21"/>
        <v>0</v>
      </c>
      <c r="BL44" s="231">
        <f t="shared" ref="BL44:BQ44" si="248">BL32+BL38+BL43</f>
        <v>0</v>
      </c>
      <c r="BM44" s="232">
        <f t="shared" si="248"/>
        <v>0</v>
      </c>
      <c r="BN44" s="231">
        <f t="shared" si="248"/>
        <v>0</v>
      </c>
      <c r="BO44" s="232">
        <f t="shared" si="248"/>
        <v>0</v>
      </c>
      <c r="BP44" s="231">
        <f t="shared" si="248"/>
        <v>0</v>
      </c>
      <c r="BQ44" s="232">
        <f t="shared" si="248"/>
        <v>0</v>
      </c>
      <c r="BR44" s="231">
        <f t="shared" si="43"/>
        <v>0</v>
      </c>
      <c r="BS44" s="232">
        <f t="shared" si="22"/>
        <v>0</v>
      </c>
      <c r="BT44" s="231">
        <f t="shared" ref="BT44:BY44" si="249">BT32+BT38+BT43</f>
        <v>0</v>
      </c>
      <c r="BU44" s="232">
        <f t="shared" si="249"/>
        <v>0</v>
      </c>
      <c r="BV44" s="232">
        <f t="shared" si="249"/>
        <v>0</v>
      </c>
      <c r="BW44" s="232">
        <f t="shared" si="249"/>
        <v>0</v>
      </c>
      <c r="BX44" s="232">
        <f t="shared" si="249"/>
        <v>0</v>
      </c>
      <c r="BY44" s="56">
        <f t="shared" si="249"/>
        <v>0</v>
      </c>
      <c r="BZ44" s="54">
        <f t="shared" si="25"/>
        <v>0</v>
      </c>
      <c r="CA44" s="341">
        <f t="shared" ref="CA44:CF44" si="250">CA32+CA38+CA43</f>
        <v>0</v>
      </c>
      <c r="CB44" s="53">
        <f t="shared" si="250"/>
        <v>0</v>
      </c>
      <c r="CC44" s="53">
        <f t="shared" si="250"/>
        <v>0</v>
      </c>
      <c r="CD44" s="53">
        <f t="shared" si="250"/>
        <v>0</v>
      </c>
      <c r="CE44" s="53">
        <f t="shared" si="250"/>
        <v>0</v>
      </c>
      <c r="CF44" s="53">
        <f t="shared" si="250"/>
        <v>0</v>
      </c>
      <c r="CG44" s="54">
        <f t="shared" si="28"/>
        <v>0</v>
      </c>
      <c r="CH44" s="341">
        <f t="shared" ref="CH44:CM44" si="251">CH32+CH38+CH43</f>
        <v>0</v>
      </c>
      <c r="CI44" s="53">
        <f t="shared" si="251"/>
        <v>0</v>
      </c>
      <c r="CJ44" s="53">
        <f t="shared" si="251"/>
        <v>0</v>
      </c>
      <c r="CK44" s="53">
        <f t="shared" si="251"/>
        <v>0</v>
      </c>
      <c r="CL44" s="53">
        <f t="shared" si="251"/>
        <v>0</v>
      </c>
      <c r="CM44" s="53">
        <f t="shared" si="251"/>
        <v>0</v>
      </c>
      <c r="CN44" s="54">
        <f t="shared" si="31"/>
        <v>0</v>
      </c>
      <c r="CO44" s="55">
        <f t="shared" si="46"/>
        <v>0</v>
      </c>
      <c r="CP44" s="226">
        <f t="shared" si="46"/>
        <v>0</v>
      </c>
      <c r="CQ44" s="54">
        <f t="shared" si="33"/>
        <v>0</v>
      </c>
      <c r="CR44" s="55">
        <f t="shared" si="44"/>
        <v>0</v>
      </c>
      <c r="CS44" s="226">
        <f t="shared" si="34"/>
        <v>0</v>
      </c>
      <c r="CT44" s="54">
        <f t="shared" si="47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6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5"/>
        <v>0</v>
      </c>
      <c r="G45" s="177">
        <f t="shared" ref="G45:I48" si="252">IFERROR(VLOOKUP($B45 &amp; $C45&amp;G$4&amp;$A45,tblForecast,G$2,FALSE),0)</f>
        <v>0</v>
      </c>
      <c r="H45" s="204">
        <f t="shared" si="252"/>
        <v>0</v>
      </c>
      <c r="I45" s="204">
        <f t="shared" si="252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253">Q45*AM45</f>
        <v>0</v>
      </c>
      <c r="M45" s="90">
        <f t="shared" si="253"/>
        <v>0</v>
      </c>
      <c r="N45" s="46">
        <f t="shared" si="253"/>
        <v>0</v>
      </c>
      <c r="O45" s="46">
        <f t="shared" si="253"/>
        <v>0</v>
      </c>
      <c r="P45" s="47">
        <f t="shared" si="39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254">IFERROR(VLOOKUP($B45 &amp; $C45&amp;R$4,tblForecast,R$2,FALSE),0)</f>
        <v>0</v>
      </c>
      <c r="S45" s="242">
        <f t="shared" si="254"/>
        <v>0</v>
      </c>
      <c r="T45" s="242">
        <f>IFERROR(VLOOKUP($B45-IF(CompareVer="LY",1,0) &amp; $C45 &amp;T$4,tblForecast,T$2,FALSE),0)</f>
        <v>0</v>
      </c>
      <c r="U45" s="91">
        <f t="shared" si="7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255">IFERROR(L45*AD45,0)</f>
        <v>0</v>
      </c>
      <c r="Z45" s="46">
        <f t="shared" si="255"/>
        <v>0</v>
      </c>
      <c r="AA45" s="46">
        <f t="shared" si="255"/>
        <v>0</v>
      </c>
      <c r="AB45" s="46">
        <f t="shared" si="255"/>
        <v>0</v>
      </c>
      <c r="AC45" s="91">
        <f t="shared" si="9"/>
        <v>0</v>
      </c>
      <c r="AD45" s="75">
        <f>IF(AM45&lt;&gt;0,1-AR45/AM45,0)</f>
        <v>0.44024406419949602</v>
      </c>
      <c r="AE45" s="93">
        <f t="shared" ref="AE45:AG48" si="256">IF(AN45&lt;&gt;0,1-AS45/AN45,0)</f>
        <v>0</v>
      </c>
      <c r="AF45" s="93">
        <f t="shared" si="256"/>
        <v>0</v>
      </c>
      <c r="AG45" s="76">
        <f t="shared" si="256"/>
        <v>0</v>
      </c>
      <c r="AH45" s="73">
        <f t="shared" ref="AH45:AH48" si="257">DB45</f>
        <v>25.13</v>
      </c>
      <c r="AI45" s="94">
        <f t="shared" ref="AI45:AJ48" si="258">IFERROR(VLOOKUP($B45 &amp; $C45&amp;AI$4,tblForecast,AI$2,FALSE),0)</f>
        <v>0</v>
      </c>
      <c r="AJ45" s="94">
        <f t="shared" si="258"/>
        <v>0</v>
      </c>
      <c r="AK45" s="49">
        <f>IFERROR(VLOOKUP($B45-IF(CompareVer="LY",1,0) &amp; $C45 &amp;AK$4,tblForecast,AK$2,FALSE),0)</f>
        <v>0</v>
      </c>
      <c r="AL45" s="47">
        <f t="shared" ref="AL45:AL60" si="259">IFERROR(AH45/AK45-1,)</f>
        <v>0</v>
      </c>
      <c r="AM45" s="73">
        <f t="shared" ref="AM45:AM48" si="260">DA45</f>
        <v>7.5390000000000006</v>
      </c>
      <c r="AN45" s="94">
        <f t="shared" ref="AN45:AO48" si="261">IFERROR(VLOOKUP($B45 &amp; $C45&amp;AN$4,tblForecast,AN$2,FALSE),0)</f>
        <v>0</v>
      </c>
      <c r="AO45" s="94">
        <f t="shared" si="261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 t="shared" ref="AR45:AR48" si="262">DC45</f>
        <v>4.22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2">
        <f t="shared" si="236"/>
        <v>0.7</v>
      </c>
      <c r="AX45" s="193">
        <f t="shared" si="236"/>
        <v>0</v>
      </c>
      <c r="AY45" s="193">
        <f t="shared" si="236"/>
        <v>0</v>
      </c>
      <c r="AZ45" s="193">
        <f t="shared" si="236"/>
        <v>0</v>
      </c>
      <c r="BA45" s="237">
        <f t="shared" ref="BA45:BA48" si="264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265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20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3"/>
        <v>0</v>
      </c>
      <c r="BS45" s="233">
        <f t="shared" si="22"/>
        <v>0</v>
      </c>
      <c r="BT45" s="236">
        <f t="shared" ref="BT45:BU48" si="266">IFERROR(VLOOKUP($B45 &amp; $C45&amp;BT$4,tblForecast,BT$2,FALSE),0)</f>
        <v>0</v>
      </c>
      <c r="BU45" s="233">
        <f t="shared" si="266"/>
        <v>0</v>
      </c>
      <c r="BV45" s="233">
        <f>IF($A45="a",IFERROR(VLOOKUP($B45 &amp; $C45&amp;BV$4,tblForecast,BV$2,FALSE),0),BT45+BU45)</f>
        <v>0</v>
      </c>
      <c r="BW45" s="233">
        <f t="shared" ref="BW45:BX48" si="267">IFERROR(VLOOKUP($B45 &amp; $C45&amp;BW$4,tblForecast,BW$2,FALSE),0)</f>
        <v>0</v>
      </c>
      <c r="BX45" s="233">
        <f t="shared" si="267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B48" si="268">IFERROR(VLOOKUP($B45 &amp; $C45&amp;CA$4,tblForecast,CA$2,FALSE),0)</f>
        <v>0</v>
      </c>
      <c r="CB45" s="46">
        <f t="shared" si="268"/>
        <v>0</v>
      </c>
      <c r="CC45" s="46">
        <f>IF($A45="a",IFERROR(VLOOKUP($B45 &amp; $C45&amp;CC$4,tblForecast,CC$2,FALSE),0),CA45+CB45)</f>
        <v>0</v>
      </c>
      <c r="CD45" s="46">
        <f t="shared" ref="CD45:CE48" si="269">IFERROR(VLOOKUP($B45 &amp; $C45&amp;CD$4,tblForecast,CD$2,FALSE),0)</f>
        <v>0</v>
      </c>
      <c r="CE45" s="46">
        <f t="shared" si="269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I48" si="270">IFERROR(VLOOKUP($B45 &amp; $C45&amp;CH$4,tblForecast,CH$2,FALSE),0)</f>
        <v>0</v>
      </c>
      <c r="CI45" s="46">
        <f t="shared" si="270"/>
        <v>0</v>
      </c>
      <c r="CJ45" s="46">
        <f>IF($A45="a",IFERROR(VLOOKUP($B45 &amp; $C45&amp;CJ$4,tblForecast,CJ$2,FALSE),0),CH45+CI45)</f>
        <v>0</v>
      </c>
      <c r="CK45" s="46">
        <f t="shared" ref="CK45:CL48" si="271">IFERROR(VLOOKUP($B45 &amp; $C45&amp;CK$4,tblForecast,CK$2,FALSE),0)</f>
        <v>0</v>
      </c>
      <c r="CL45" s="46">
        <f t="shared" si="271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46"/>
        <v>0</v>
      </c>
      <c r="CP45" s="225">
        <f t="shared" si="46"/>
        <v>0</v>
      </c>
      <c r="CQ45" s="195">
        <f t="shared" si="33"/>
        <v>0</v>
      </c>
      <c r="CR45" s="179">
        <f t="shared" si="44"/>
        <v>0</v>
      </c>
      <c r="CS45" s="225">
        <f t="shared" si="34"/>
        <v>0</v>
      </c>
      <c r="CT45" s="195">
        <f t="shared" si="47"/>
        <v>0</v>
      </c>
      <c r="CU45" s="44"/>
      <c r="CV45" s="345">
        <f t="shared" ref="CV45:CV48" si="272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273">G46*H46</f>
        <v>0</v>
      </c>
      <c r="E46" s="203">
        <f t="shared" ref="E46:E48" si="274">IFERROR(D46*F46,0)</f>
        <v>0</v>
      </c>
      <c r="F46" s="183">
        <f t="shared" si="45"/>
        <v>0</v>
      </c>
      <c r="G46" s="177">
        <f t="shared" si="252"/>
        <v>0</v>
      </c>
      <c r="H46" s="204">
        <f t="shared" si="252"/>
        <v>0</v>
      </c>
      <c r="I46" s="204">
        <f t="shared" si="252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253"/>
        <v>0</v>
      </c>
      <c r="M46" s="90">
        <f t="shared" si="253"/>
        <v>0</v>
      </c>
      <c r="N46" s="46">
        <f t="shared" si="253"/>
        <v>0</v>
      </c>
      <c r="O46" s="46">
        <f t="shared" si="253"/>
        <v>0</v>
      </c>
      <c r="P46" s="47">
        <f t="shared" si="39"/>
        <v>0</v>
      </c>
      <c r="Q46" s="244">
        <f t="shared" ref="Q46:Q48" si="275">IF(A45="a",IF(CV46=0,R46,IF(BA45-(Q45*IF(W46=0,X46,W46))&lt;0,BA45,Q45*IF(W46=0,X46,W46))),IF(BA45-(Q45*IF(W46=0,X46,W46))&lt;0,BA45,Q45*IF(W46=0,X46,W46)))</f>
        <v>0</v>
      </c>
      <c r="R46" s="242">
        <f t="shared" si="254"/>
        <v>0</v>
      </c>
      <c r="S46" s="242">
        <f t="shared" si="254"/>
        <v>0</v>
      </c>
      <c r="T46" s="242">
        <f>IFERROR(VLOOKUP($B46-IF(CompareVer="LY",1,0) &amp; $C46 &amp;T$4,tblForecast,T$2,FALSE),0)</f>
        <v>0</v>
      </c>
      <c r="U46" s="91">
        <f t="shared" si="7"/>
        <v>0</v>
      </c>
      <c r="V46" s="251">
        <f t="shared" ref="V46:W48" si="276">IFERROR(IF(Q45&lt;&gt;0,Q46/Q45,0),0)</f>
        <v>0</v>
      </c>
      <c r="W46" s="336">
        <f t="shared" si="276"/>
        <v>0</v>
      </c>
      <c r="X46" s="252">
        <f>IFERROR(IF(T45&lt;&gt;0,T46/T45,0),0)</f>
        <v>0</v>
      </c>
      <c r="Y46" s="51">
        <f t="shared" si="255"/>
        <v>0</v>
      </c>
      <c r="Z46" s="46">
        <f t="shared" si="255"/>
        <v>0</v>
      </c>
      <c r="AA46" s="46">
        <f t="shared" si="255"/>
        <v>0</v>
      </c>
      <c r="AB46" s="46">
        <f t="shared" si="255"/>
        <v>0</v>
      </c>
      <c r="AC46" s="91">
        <f t="shared" si="9"/>
        <v>0</v>
      </c>
      <c r="AD46" s="75">
        <f>IF(AM46&lt;&gt;0,1-AR46/AM46,0)</f>
        <v>0.44024406419949602</v>
      </c>
      <c r="AE46" s="93">
        <f t="shared" si="256"/>
        <v>0</v>
      </c>
      <c r="AF46" s="93">
        <f t="shared" si="256"/>
        <v>0</v>
      </c>
      <c r="AG46" s="76">
        <f t="shared" si="256"/>
        <v>0</v>
      </c>
      <c r="AH46" s="73">
        <f t="shared" si="257"/>
        <v>25.13</v>
      </c>
      <c r="AI46" s="94">
        <f t="shared" si="258"/>
        <v>0</v>
      </c>
      <c r="AJ46" s="94">
        <f t="shared" si="258"/>
        <v>0</v>
      </c>
      <c r="AK46" s="49">
        <f>IFERROR(VLOOKUP($B46-IF(CompareVer="LY",1,0) &amp; $C46 &amp;AK$4,tblForecast,AK$2,FALSE),0)</f>
        <v>0</v>
      </c>
      <c r="AL46" s="47">
        <f t="shared" si="259"/>
        <v>0</v>
      </c>
      <c r="AM46" s="73">
        <f t="shared" si="260"/>
        <v>7.5390000000000006</v>
      </c>
      <c r="AN46" s="94">
        <f t="shared" si="261"/>
        <v>0</v>
      </c>
      <c r="AO46" s="94">
        <f t="shared" si="261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 t="shared" si="262"/>
        <v>4.22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2">
        <f t="shared" si="236"/>
        <v>0.7</v>
      </c>
      <c r="AX46" s="193">
        <f t="shared" si="236"/>
        <v>0</v>
      </c>
      <c r="AY46" s="193">
        <f t="shared" si="236"/>
        <v>0</v>
      </c>
      <c r="AZ46" s="193">
        <f t="shared" si="236"/>
        <v>0</v>
      </c>
      <c r="BA46" s="237">
        <f t="shared" si="264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265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20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3"/>
        <v>0</v>
      </c>
      <c r="BS46" s="233">
        <f t="shared" si="22"/>
        <v>0</v>
      </c>
      <c r="BT46" s="236">
        <f t="shared" si="266"/>
        <v>0</v>
      </c>
      <c r="BU46" s="233">
        <f t="shared" si="266"/>
        <v>0</v>
      </c>
      <c r="BV46" s="233">
        <f>IF($A46="a",IFERROR(VLOOKUP($B46 &amp; $C46&amp;BV$4,tblForecast,BV$2,FALSE),0),BT46+BU46)</f>
        <v>0</v>
      </c>
      <c r="BW46" s="233">
        <f t="shared" si="267"/>
        <v>0</v>
      </c>
      <c r="BX46" s="233">
        <f t="shared" si="267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268"/>
        <v>0</v>
      </c>
      <c r="CB46" s="46">
        <f t="shared" si="268"/>
        <v>0</v>
      </c>
      <c r="CC46" s="46">
        <f>IF($A46="a",IFERROR(VLOOKUP($B46 &amp; $C46&amp;CC$4,tblForecast,CC$2,FALSE),0),CA46+CB46)</f>
        <v>0</v>
      </c>
      <c r="CD46" s="46">
        <f t="shared" si="269"/>
        <v>0</v>
      </c>
      <c r="CE46" s="46">
        <f t="shared" si="269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270"/>
        <v>0</v>
      </c>
      <c r="CI46" s="46">
        <f t="shared" si="270"/>
        <v>0</v>
      </c>
      <c r="CJ46" s="46">
        <f>IF($A46="a",IFERROR(VLOOKUP($B46 &amp; $C46&amp;CJ$4,tblForecast,CJ$2,FALSE),0),CH46+CI46)</f>
        <v>0</v>
      </c>
      <c r="CK46" s="46">
        <f t="shared" si="271"/>
        <v>0</v>
      </c>
      <c r="CL46" s="46">
        <f t="shared" si="271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46"/>
        <v>0</v>
      </c>
      <c r="CP46" s="225">
        <f t="shared" si="46"/>
        <v>0</v>
      </c>
      <c r="CQ46" s="195">
        <f t="shared" si="33"/>
        <v>0</v>
      </c>
      <c r="CR46" s="179">
        <f t="shared" si="44"/>
        <v>0</v>
      </c>
      <c r="CS46" s="225">
        <f t="shared" si="34"/>
        <v>0</v>
      </c>
      <c r="CT46" s="195">
        <f t="shared" si="47"/>
        <v>0</v>
      </c>
      <c r="CU46" s="44"/>
      <c r="CV46" s="345">
        <f t="shared" si="272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273"/>
        <v>0</v>
      </c>
      <c r="E47" s="203">
        <f t="shared" si="274"/>
        <v>0</v>
      </c>
      <c r="F47" s="183">
        <f t="shared" si="45"/>
        <v>0</v>
      </c>
      <c r="G47" s="177">
        <f t="shared" si="252"/>
        <v>0</v>
      </c>
      <c r="H47" s="204">
        <f t="shared" si="252"/>
        <v>0</v>
      </c>
      <c r="I47" s="204">
        <f t="shared" si="252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253"/>
        <v>0</v>
      </c>
      <c r="M47" s="90">
        <f t="shared" si="253"/>
        <v>0</v>
      </c>
      <c r="N47" s="46">
        <f t="shared" si="253"/>
        <v>0</v>
      </c>
      <c r="O47" s="46">
        <f t="shared" si="253"/>
        <v>0</v>
      </c>
      <c r="P47" s="47">
        <f t="shared" si="39"/>
        <v>0</v>
      </c>
      <c r="Q47" s="244">
        <f t="shared" si="275"/>
        <v>0</v>
      </c>
      <c r="R47" s="242">
        <f t="shared" si="254"/>
        <v>0</v>
      </c>
      <c r="S47" s="242">
        <f t="shared" si="254"/>
        <v>0</v>
      </c>
      <c r="T47" s="242">
        <f>IFERROR(VLOOKUP($B47-IF(CompareVer="LY",1,0) &amp; $C47 &amp;T$4,tblForecast,T$2,FALSE),0)</f>
        <v>0</v>
      </c>
      <c r="U47" s="91">
        <f t="shared" si="7"/>
        <v>0</v>
      </c>
      <c r="V47" s="251">
        <f t="shared" si="276"/>
        <v>0</v>
      </c>
      <c r="W47" s="336">
        <f t="shared" si="276"/>
        <v>0</v>
      </c>
      <c r="X47" s="252">
        <f>IFERROR(IF(T46&lt;&gt;0,T47/T46,0),0)</f>
        <v>0</v>
      </c>
      <c r="Y47" s="51">
        <f t="shared" si="255"/>
        <v>0</v>
      </c>
      <c r="Z47" s="46">
        <f t="shared" si="255"/>
        <v>0</v>
      </c>
      <c r="AA47" s="46">
        <f t="shared" si="255"/>
        <v>0</v>
      </c>
      <c r="AB47" s="46">
        <f t="shared" si="255"/>
        <v>0</v>
      </c>
      <c r="AC47" s="91">
        <f t="shared" si="9"/>
        <v>0</v>
      </c>
      <c r="AD47" s="75">
        <f>IF(AM47&lt;&gt;0,1-AR47/AM47,0)</f>
        <v>0.32829287703939514</v>
      </c>
      <c r="AE47" s="93">
        <f t="shared" si="256"/>
        <v>0</v>
      </c>
      <c r="AF47" s="93">
        <f t="shared" si="256"/>
        <v>0</v>
      </c>
      <c r="AG47" s="76">
        <f t="shared" si="256"/>
        <v>0</v>
      </c>
      <c r="AH47" s="73">
        <f t="shared" si="257"/>
        <v>25.13</v>
      </c>
      <c r="AI47" s="94">
        <f t="shared" si="258"/>
        <v>0</v>
      </c>
      <c r="AJ47" s="94">
        <f t="shared" si="258"/>
        <v>0</v>
      </c>
      <c r="AK47" s="49">
        <f>IFERROR(VLOOKUP($B47-IF(CompareVer="LY",1,0) &amp; $C47 &amp;AK$4,tblForecast,AK$2,FALSE),0)</f>
        <v>0</v>
      </c>
      <c r="AL47" s="47">
        <f t="shared" si="259"/>
        <v>0</v>
      </c>
      <c r="AM47" s="73">
        <f t="shared" si="260"/>
        <v>6.2824999999999998</v>
      </c>
      <c r="AN47" s="94">
        <f t="shared" si="261"/>
        <v>0</v>
      </c>
      <c r="AO47" s="94">
        <f t="shared" si="261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 t="shared" si="262"/>
        <v>4.22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2">
        <f t="shared" si="236"/>
        <v>0.75</v>
      </c>
      <c r="AX47" s="193">
        <f t="shared" si="236"/>
        <v>0</v>
      </c>
      <c r="AY47" s="193">
        <f t="shared" si="236"/>
        <v>0</v>
      </c>
      <c r="AZ47" s="193">
        <f t="shared" si="236"/>
        <v>0</v>
      </c>
      <c r="BA47" s="237">
        <f t="shared" si="264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265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20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3"/>
        <v>0</v>
      </c>
      <c r="BS47" s="233">
        <f t="shared" si="22"/>
        <v>0</v>
      </c>
      <c r="BT47" s="236">
        <f t="shared" si="266"/>
        <v>0</v>
      </c>
      <c r="BU47" s="233">
        <f t="shared" si="266"/>
        <v>0</v>
      </c>
      <c r="BV47" s="233">
        <f>IF($A47="a",IFERROR(VLOOKUP($B47 &amp; $C47&amp;BV$4,tblForecast,BV$2,FALSE),0),BT47+BU47)</f>
        <v>0</v>
      </c>
      <c r="BW47" s="233">
        <f t="shared" si="267"/>
        <v>0</v>
      </c>
      <c r="BX47" s="233">
        <f t="shared" si="267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268"/>
        <v>0</v>
      </c>
      <c r="CB47" s="46">
        <f t="shared" si="268"/>
        <v>0</v>
      </c>
      <c r="CC47" s="46">
        <f>IF($A47="a",IFERROR(VLOOKUP($B47 &amp; $C47&amp;CC$4,tblForecast,CC$2,FALSE),0),CA47+CB47)</f>
        <v>0</v>
      </c>
      <c r="CD47" s="46">
        <f t="shared" si="269"/>
        <v>0</v>
      </c>
      <c r="CE47" s="46">
        <f t="shared" si="269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270"/>
        <v>0</v>
      </c>
      <c r="CI47" s="46">
        <f t="shared" si="270"/>
        <v>0</v>
      </c>
      <c r="CJ47" s="46">
        <f>IF($A47="a",IFERROR(VLOOKUP($B47 &amp; $C47&amp;CJ$4,tblForecast,CJ$2,FALSE),0),CH47+CI47)</f>
        <v>0</v>
      </c>
      <c r="CK47" s="46">
        <f t="shared" si="271"/>
        <v>0</v>
      </c>
      <c r="CL47" s="46">
        <f t="shared" si="271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46"/>
        <v>0</v>
      </c>
      <c r="CP47" s="225">
        <f t="shared" si="46"/>
        <v>0</v>
      </c>
      <c r="CQ47" s="195">
        <f t="shared" si="33"/>
        <v>0</v>
      </c>
      <c r="CR47" s="179">
        <f t="shared" si="44"/>
        <v>0</v>
      </c>
      <c r="CS47" s="225">
        <f t="shared" si="34"/>
        <v>0</v>
      </c>
      <c r="CT47" s="195">
        <f t="shared" si="47"/>
        <v>0</v>
      </c>
      <c r="CU47" s="44"/>
      <c r="CV47" s="345">
        <f t="shared" si="272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273"/>
        <v>0</v>
      </c>
      <c r="E48" s="203">
        <f t="shared" si="274"/>
        <v>0</v>
      </c>
      <c r="F48" s="183">
        <f t="shared" si="45"/>
        <v>0</v>
      </c>
      <c r="G48" s="177">
        <f t="shared" si="252"/>
        <v>0</v>
      </c>
      <c r="H48" s="204">
        <f t="shared" si="252"/>
        <v>0</v>
      </c>
      <c r="I48" s="204">
        <f t="shared" si="252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253"/>
        <v>0</v>
      </c>
      <c r="M48" s="90">
        <f t="shared" si="253"/>
        <v>0</v>
      </c>
      <c r="N48" s="46">
        <f t="shared" si="253"/>
        <v>0</v>
      </c>
      <c r="O48" s="46">
        <f t="shared" si="253"/>
        <v>0</v>
      </c>
      <c r="P48" s="47">
        <f t="shared" si="39"/>
        <v>0</v>
      </c>
      <c r="Q48" s="244">
        <f t="shared" si="275"/>
        <v>0</v>
      </c>
      <c r="R48" s="242">
        <f t="shared" si="254"/>
        <v>0</v>
      </c>
      <c r="S48" s="242">
        <f t="shared" si="254"/>
        <v>0</v>
      </c>
      <c r="T48" s="242">
        <f>IFERROR(VLOOKUP($B48-IF(CompareVer="LY",1,0) &amp; $C48 &amp;T$4,tblForecast,T$2,FALSE),0)</f>
        <v>0</v>
      </c>
      <c r="U48" s="91">
        <f t="shared" si="7"/>
        <v>0</v>
      </c>
      <c r="V48" s="251">
        <f t="shared" si="276"/>
        <v>0</v>
      </c>
      <c r="W48" s="336">
        <f t="shared" si="276"/>
        <v>0</v>
      </c>
      <c r="X48" s="252">
        <f>IFERROR(IF(T47&lt;&gt;0,T48/T47,0),0)</f>
        <v>0</v>
      </c>
      <c r="Y48" s="51">
        <f t="shared" si="255"/>
        <v>0</v>
      </c>
      <c r="Z48" s="46">
        <f t="shared" si="255"/>
        <v>0</v>
      </c>
      <c r="AA48" s="46">
        <f t="shared" si="255"/>
        <v>0</v>
      </c>
      <c r="AB48" s="46">
        <f t="shared" si="255"/>
        <v>0</v>
      </c>
      <c r="AC48" s="91">
        <f t="shared" si="9"/>
        <v>0</v>
      </c>
      <c r="AD48" s="75">
        <f>IF(AM48&lt;&gt;0,1-AR48/AM48,0)</f>
        <v>0.32829287703939514</v>
      </c>
      <c r="AE48" s="93">
        <f t="shared" si="256"/>
        <v>0</v>
      </c>
      <c r="AF48" s="93">
        <f t="shared" si="256"/>
        <v>0</v>
      </c>
      <c r="AG48" s="76">
        <f t="shared" si="256"/>
        <v>0</v>
      </c>
      <c r="AH48" s="73">
        <f t="shared" si="257"/>
        <v>25.13</v>
      </c>
      <c r="AI48" s="94">
        <f t="shared" si="258"/>
        <v>0</v>
      </c>
      <c r="AJ48" s="94">
        <f t="shared" si="258"/>
        <v>0</v>
      </c>
      <c r="AK48" s="49">
        <f>IFERROR(VLOOKUP($B48-IF(CompareVer="LY",1,0) &amp; $C48 &amp;AK$4,tblForecast,AK$2,FALSE),0)</f>
        <v>0</v>
      </c>
      <c r="AL48" s="47">
        <f t="shared" si="259"/>
        <v>0</v>
      </c>
      <c r="AM48" s="73">
        <f t="shared" si="260"/>
        <v>6.2824999999999998</v>
      </c>
      <c r="AN48" s="94">
        <f t="shared" si="261"/>
        <v>0</v>
      </c>
      <c r="AO48" s="94">
        <f t="shared" si="261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 t="shared" si="262"/>
        <v>4.22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2">
        <f t="shared" si="236"/>
        <v>0.75</v>
      </c>
      <c r="AX48" s="193">
        <f t="shared" si="236"/>
        <v>0</v>
      </c>
      <c r="AY48" s="193">
        <f t="shared" si="236"/>
        <v>0</v>
      </c>
      <c r="AZ48" s="193">
        <f t="shared" si="236"/>
        <v>0</v>
      </c>
      <c r="BA48" s="237">
        <f t="shared" si="264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265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20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3"/>
        <v>0</v>
      </c>
      <c r="BS48" s="233">
        <f t="shared" si="22"/>
        <v>0</v>
      </c>
      <c r="BT48" s="236">
        <f t="shared" si="266"/>
        <v>0</v>
      </c>
      <c r="BU48" s="233">
        <f t="shared" si="266"/>
        <v>0</v>
      </c>
      <c r="BV48" s="233">
        <f>IF($A48="a",IFERROR(VLOOKUP($B48 &amp; $C48&amp;BV$4,tblForecast,BV$2,FALSE),0),BT48+BU48)</f>
        <v>0</v>
      </c>
      <c r="BW48" s="233">
        <f t="shared" si="267"/>
        <v>0</v>
      </c>
      <c r="BX48" s="233">
        <f t="shared" si="267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268"/>
        <v>0</v>
      </c>
      <c r="CB48" s="46">
        <f t="shared" si="268"/>
        <v>0</v>
      </c>
      <c r="CC48" s="46">
        <f>IF($A48="a",IFERROR(VLOOKUP($B48 &amp; $C48&amp;CC$4,tblForecast,CC$2,FALSE),0),CA48+CB48)</f>
        <v>0</v>
      </c>
      <c r="CD48" s="46">
        <f t="shared" si="269"/>
        <v>0</v>
      </c>
      <c r="CE48" s="46">
        <f t="shared" si="269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270"/>
        <v>0</v>
      </c>
      <c r="CI48" s="46">
        <f t="shared" si="270"/>
        <v>0</v>
      </c>
      <c r="CJ48" s="46">
        <f>IF($A48="a",IFERROR(VLOOKUP($B48 &amp; $C48&amp;CJ$4,tblForecast,CJ$2,FALSE),0),CH48+CI48)</f>
        <v>0</v>
      </c>
      <c r="CK48" s="46">
        <f t="shared" si="271"/>
        <v>0</v>
      </c>
      <c r="CL48" s="46">
        <f t="shared" si="271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46"/>
        <v>0</v>
      </c>
      <c r="CP48" s="225">
        <f t="shared" si="46"/>
        <v>0</v>
      </c>
      <c r="CQ48" s="195">
        <f t="shared" si="33"/>
        <v>0</v>
      </c>
      <c r="CR48" s="179">
        <f t="shared" si="44"/>
        <v>0</v>
      </c>
      <c r="CS48" s="225">
        <f t="shared" si="34"/>
        <v>0</v>
      </c>
      <c r="CT48" s="195">
        <f t="shared" si="47"/>
        <v>0</v>
      </c>
      <c r="CU48" s="44"/>
      <c r="CV48" s="345">
        <f t="shared" si="272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277">SUM(D45:D48)</f>
        <v>0</v>
      </c>
      <c r="E49" s="257">
        <f t="shared" ref="E49" si="278">SUM(E45:E48)</f>
        <v>0</v>
      </c>
      <c r="F49" s="258">
        <f t="shared" si="45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279">SUM(M45:M48)</f>
        <v>0</v>
      </c>
      <c r="N49" s="261">
        <f t="shared" si="279"/>
        <v>0</v>
      </c>
      <c r="O49" s="261">
        <f t="shared" si="279"/>
        <v>0</v>
      </c>
      <c r="P49" s="262">
        <f t="shared" si="39"/>
        <v>0</v>
      </c>
      <c r="Q49" s="264">
        <f t="shared" ref="Q49:S49" si="280">SUM(Q45:Q48)</f>
        <v>0</v>
      </c>
      <c r="R49" s="264">
        <f t="shared" si="280"/>
        <v>0</v>
      </c>
      <c r="S49" s="264">
        <f t="shared" si="280"/>
        <v>0</v>
      </c>
      <c r="T49" s="264">
        <f>SUM(T45:T48)</f>
        <v>0</v>
      </c>
      <c r="U49" s="262">
        <f t="shared" si="7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281">SUM(Z45:Z48)</f>
        <v>0</v>
      </c>
      <c r="AA49" s="261">
        <f t="shared" si="281"/>
        <v>0</v>
      </c>
      <c r="AB49" s="261">
        <f t="shared" si="281"/>
        <v>0</v>
      </c>
      <c r="AC49" s="262">
        <f t="shared" si="9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:AK49" si="282">IFERROR(SUMPRODUCT(AJ45:AJ48,S45:S48)/S49,0)</f>
        <v>0</v>
      </c>
      <c r="AK49" s="270">
        <f t="shared" si="282"/>
        <v>0</v>
      </c>
      <c r="AL49" s="262">
        <f t="shared" si="259"/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14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16"/>
        <v>0</v>
      </c>
      <c r="AW49" s="271">
        <f>IFERROR(SUMPRODUCT(AW45:AW48,V45:V48)/V49,0)</f>
        <v>0</v>
      </c>
      <c r="AX49" s="272">
        <f t="shared" ref="AX49:AZ49" si="283">IFERROR(SUMPRODUCT(AX45:AX48,X45:X48)/X49,0)</f>
        <v>0</v>
      </c>
      <c r="AY49" s="272">
        <f t="shared" si="283"/>
        <v>0</v>
      </c>
      <c r="AZ49" s="272">
        <f t="shared" si="283"/>
        <v>0</v>
      </c>
      <c r="BA49" s="263">
        <f>BA48</f>
        <v>0</v>
      </c>
      <c r="BB49" s="264">
        <f t="shared" ref="BB49:BD49" si="284">BB48</f>
        <v>0</v>
      </c>
      <c r="BC49" s="264">
        <f t="shared" si="284"/>
        <v>0</v>
      </c>
      <c r="BD49" s="264">
        <f t="shared" si="284"/>
        <v>0</v>
      </c>
      <c r="BE49" s="262">
        <f t="shared" si="19"/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20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285">SUM(BO45:BO48)</f>
        <v>0</v>
      </c>
      <c r="BP49" s="263">
        <f>SUM(BP45:BP48)</f>
        <v>0</v>
      </c>
      <c r="BQ49" s="264">
        <f t="shared" si="285"/>
        <v>0</v>
      </c>
      <c r="BR49" s="263">
        <f t="shared" si="43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:BX49" si="286">SUM(BW45:BW48)</f>
        <v>0</v>
      </c>
      <c r="BX49" s="264">
        <f t="shared" si="286"/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287">SUM(CB45:CB48)</f>
        <v>0</v>
      </c>
      <c r="CC49" s="261">
        <f t="shared" si="287"/>
        <v>0</v>
      </c>
      <c r="CD49" s="261">
        <f t="shared" si="287"/>
        <v>0</v>
      </c>
      <c r="CE49" s="261">
        <f t="shared" si="287"/>
        <v>0</v>
      </c>
      <c r="CF49" s="261">
        <f t="shared" si="287"/>
        <v>0</v>
      </c>
      <c r="CG49" s="262">
        <f t="shared" si="28"/>
        <v>0</v>
      </c>
      <c r="CH49" s="340">
        <f>SUM(CH45:CH48)</f>
        <v>0</v>
      </c>
      <c r="CI49" s="261">
        <f t="shared" ref="CI49:CM49" si="288">SUM(CI45:CI48)</f>
        <v>0</v>
      </c>
      <c r="CJ49" s="261">
        <f t="shared" si="288"/>
        <v>0</v>
      </c>
      <c r="CK49" s="261">
        <f t="shared" si="288"/>
        <v>0</v>
      </c>
      <c r="CL49" s="261">
        <f t="shared" si="288"/>
        <v>0</v>
      </c>
      <c r="CM49" s="261">
        <f t="shared" si="288"/>
        <v>0</v>
      </c>
      <c r="CN49" s="262">
        <f t="shared" si="31"/>
        <v>0</v>
      </c>
      <c r="CO49" s="278">
        <f t="shared" si="46"/>
        <v>0</v>
      </c>
      <c r="CP49" s="279">
        <f t="shared" si="46"/>
        <v>0</v>
      </c>
      <c r="CQ49" s="262">
        <f t="shared" si="33"/>
        <v>0</v>
      </c>
      <c r="CR49" s="278">
        <f t="shared" si="44"/>
        <v>0</v>
      </c>
      <c r="CS49" s="279">
        <f t="shared" si="34"/>
        <v>0</v>
      </c>
      <c r="CT49" s="262">
        <f t="shared" si="47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6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5"/>
        <v>0</v>
      </c>
      <c r="G50" s="177">
        <f t="shared" ref="G50:I54" si="289">IFERROR(VLOOKUP($B50 &amp; $C50&amp;G$4&amp;$A50,tblForecast,G$2,FALSE),0)</f>
        <v>0</v>
      </c>
      <c r="H50" s="204">
        <f t="shared" si="289"/>
        <v>0</v>
      </c>
      <c r="I50" s="204">
        <f t="shared" si="289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290">Q50*AM50</f>
        <v>0</v>
      </c>
      <c r="M50" s="90">
        <f t="shared" si="290"/>
        <v>0</v>
      </c>
      <c r="N50" s="46">
        <f t="shared" si="290"/>
        <v>0</v>
      </c>
      <c r="O50" s="46">
        <f t="shared" si="290"/>
        <v>0</v>
      </c>
      <c r="P50" s="47">
        <f t="shared" si="39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291">IFERROR(VLOOKUP($B50 &amp; $C50&amp;R$4,tblForecast,R$2,FALSE),0)</f>
        <v>0</v>
      </c>
      <c r="S50" s="242">
        <f t="shared" si="291"/>
        <v>0</v>
      </c>
      <c r="T50" s="242">
        <f>IFERROR(VLOOKUP($B50-IF(CompareVer="LY",1,0) &amp; $C50 &amp;T$4,tblForecast,T$2,FALSE),0)</f>
        <v>0</v>
      </c>
      <c r="U50" s="91">
        <f t="shared" si="7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292">IFERROR(L50*AD50,0)</f>
        <v>0</v>
      </c>
      <c r="Z50" s="46">
        <f t="shared" si="292"/>
        <v>0</v>
      </c>
      <c r="AA50" s="46">
        <f t="shared" si="292"/>
        <v>0</v>
      </c>
      <c r="AB50" s="46">
        <f t="shared" si="292"/>
        <v>0</v>
      </c>
      <c r="AC50" s="91">
        <f t="shared" si="9"/>
        <v>0</v>
      </c>
      <c r="AD50" s="75">
        <f>IF(AM50&lt;&gt;0,1-AR50/AM50,0)</f>
        <v>0.32829287703939514</v>
      </c>
      <c r="AE50" s="93">
        <f t="shared" ref="AE50:AG54" si="293">IF(AN50&lt;&gt;0,1-AS50/AN50,0)</f>
        <v>0</v>
      </c>
      <c r="AF50" s="93">
        <f t="shared" si="293"/>
        <v>0</v>
      </c>
      <c r="AG50" s="76">
        <f t="shared" si="293"/>
        <v>0</v>
      </c>
      <c r="AH50" s="73">
        <f t="shared" ref="AH50:AH54" si="294">DB50</f>
        <v>25.13</v>
      </c>
      <c r="AI50" s="94">
        <f t="shared" ref="AI50:AJ54" si="295">IFERROR(VLOOKUP($B50 &amp; $C50&amp;AI$4,tblForecast,AI$2,FALSE),0)</f>
        <v>0</v>
      </c>
      <c r="AJ50" s="94">
        <f t="shared" si="295"/>
        <v>0</v>
      </c>
      <c r="AK50" s="49">
        <f>IFERROR(VLOOKUP($B50-IF(CompareVer="LY",1,0) &amp; $C50 &amp;AK$4,tblForecast,AK$2,FALSE),0)</f>
        <v>0</v>
      </c>
      <c r="AL50" s="47">
        <f t="shared" si="259"/>
        <v>0</v>
      </c>
      <c r="AM50" s="73">
        <f t="shared" ref="AM50:AM54" si="296">DA50</f>
        <v>6.2824999999999998</v>
      </c>
      <c r="AN50" s="94">
        <f t="shared" ref="AN50:AO54" si="297">IFERROR(VLOOKUP($B50 &amp; $C50&amp;AN$4,tblForecast,AN$2,FALSE),0)</f>
        <v>0</v>
      </c>
      <c r="AO50" s="94">
        <f t="shared" si="297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 t="shared" ref="AR50:AR54" si="298">DC50</f>
        <v>4.22</v>
      </c>
      <c r="AS50" s="94">
        <f t="shared" ref="AS50:AT54" si="299">IFERROR(VLOOKUP($B50 &amp; $C50&amp;AS$4,tblForecast,AS$2,FALSE),0)</f>
        <v>0</v>
      </c>
      <c r="AT50" s="94">
        <f t="shared" si="299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2">
        <f t="shared" ref="AW50:AZ54" si="300">IFERROR((AM50/AH50-1)*-1,0)</f>
        <v>0.75</v>
      </c>
      <c r="AX50" s="193">
        <f t="shared" si="300"/>
        <v>0</v>
      </c>
      <c r="AY50" s="193">
        <f t="shared" si="300"/>
        <v>0</v>
      </c>
      <c r="AZ50" s="193">
        <f t="shared" si="300"/>
        <v>0</v>
      </c>
      <c r="BA50" s="237">
        <f t="shared" ref="BA50:BA54" si="301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302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20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3"/>
        <v>0</v>
      </c>
      <c r="BS50" s="233">
        <f t="shared" si="22"/>
        <v>0</v>
      </c>
      <c r="BT50" s="236">
        <f t="shared" ref="BT50:BU54" si="303">IFERROR(VLOOKUP($B50 &amp; $C50&amp;BT$4,tblForecast,BT$2,FALSE),0)</f>
        <v>0</v>
      </c>
      <c r="BU50" s="233">
        <f t="shared" si="303"/>
        <v>0</v>
      </c>
      <c r="BV50" s="233">
        <f>IF($A50="a",IFERROR(VLOOKUP($B50 &amp; $C50&amp;BV$4,tblForecast,BV$2,FALSE),0),BT50+BU50)</f>
        <v>0</v>
      </c>
      <c r="BW50" s="233">
        <f t="shared" ref="BW50:BX54" si="304">IFERROR(VLOOKUP($B50 &amp; $C50&amp;BW$4,tblForecast,BW$2,FALSE),0)</f>
        <v>0</v>
      </c>
      <c r="BX50" s="233">
        <f t="shared" si="304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B54" si="305">IFERROR(VLOOKUP($B50 &amp; $C50&amp;CA$4,tblForecast,CA$2,FALSE),0)</f>
        <v>0</v>
      </c>
      <c r="CB50" s="46">
        <f t="shared" si="305"/>
        <v>0</v>
      </c>
      <c r="CC50" s="46">
        <f>IF($A50="a",IFERROR(VLOOKUP($B50 &amp; $C50&amp;CC$4,tblForecast,CC$2,FALSE),0),CA50+CB50)</f>
        <v>0</v>
      </c>
      <c r="CD50" s="46">
        <f t="shared" ref="CD50:CE54" si="306">IFERROR(VLOOKUP($B50 &amp; $C50&amp;CD$4,tblForecast,CD$2,FALSE),0)</f>
        <v>0</v>
      </c>
      <c r="CE50" s="46">
        <f t="shared" si="306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I54" si="307">IFERROR(VLOOKUP($B50 &amp; $C50&amp;CH$4,tblForecast,CH$2,FALSE),0)</f>
        <v>0</v>
      </c>
      <c r="CI50" s="46">
        <f t="shared" si="307"/>
        <v>0</v>
      </c>
      <c r="CJ50" s="46">
        <f>IF($A50="a",IFERROR(VLOOKUP($B50 &amp; $C50&amp;CJ$4,tblForecast,CJ$2,FALSE),0),CH50+CI50)</f>
        <v>0</v>
      </c>
      <c r="CK50" s="46">
        <f t="shared" ref="CK50:CL54" si="308">IFERROR(VLOOKUP($B50 &amp; $C50&amp;CK$4,tblForecast,CK$2,FALSE),0)</f>
        <v>0</v>
      </c>
      <c r="CL50" s="46">
        <f t="shared" si="308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46"/>
        <v>0</v>
      </c>
      <c r="CP50" s="225">
        <f t="shared" si="46"/>
        <v>0</v>
      </c>
      <c r="CQ50" s="195">
        <f t="shared" si="33"/>
        <v>0</v>
      </c>
      <c r="CR50" s="179">
        <f t="shared" si="44"/>
        <v>0</v>
      </c>
      <c r="CS50" s="225">
        <f t="shared" si="34"/>
        <v>0</v>
      </c>
      <c r="CT50" s="195">
        <f t="shared" si="47"/>
        <v>0</v>
      </c>
      <c r="CU50" s="44"/>
      <c r="CV50" s="345">
        <f t="shared" ref="CV50:CV54" si="309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310">G51*H51</f>
        <v>0</v>
      </c>
      <c r="E51" s="203">
        <f t="shared" ref="E51:E54" si="311">IFERROR(D51*F51,0)</f>
        <v>0</v>
      </c>
      <c r="F51" s="183">
        <f t="shared" si="45"/>
        <v>0</v>
      </c>
      <c r="G51" s="177">
        <f t="shared" si="289"/>
        <v>0</v>
      </c>
      <c r="H51" s="204">
        <f t="shared" si="289"/>
        <v>0</v>
      </c>
      <c r="I51" s="204">
        <f t="shared" si="289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290"/>
        <v>0</v>
      </c>
      <c r="M51" s="90">
        <f t="shared" si="290"/>
        <v>0</v>
      </c>
      <c r="N51" s="46">
        <f t="shared" si="290"/>
        <v>0</v>
      </c>
      <c r="O51" s="46">
        <f t="shared" si="290"/>
        <v>0</v>
      </c>
      <c r="P51" s="47">
        <f t="shared" si="39"/>
        <v>0</v>
      </c>
      <c r="Q51" s="244">
        <f t="shared" ref="Q51:Q54" si="312">IF(A50="a",IF(CV51=0,R51,IF(BA50-(Q50*IF(W51=0,X51,W51))&lt;0,BA50,Q50*IF(W51=0,X51,W51))),IF(BA50-(Q50*IF(W51=0,X51,W51))&lt;0,BA50,Q50*IF(W51=0,X51,W51)))</f>
        <v>0</v>
      </c>
      <c r="R51" s="242">
        <f t="shared" si="291"/>
        <v>0</v>
      </c>
      <c r="S51" s="242">
        <f t="shared" si="291"/>
        <v>0</v>
      </c>
      <c r="T51" s="242">
        <f>IFERROR(VLOOKUP($B51-IF(CompareVer="LY",1,0) &amp; $C51 &amp;T$4,tblForecast,T$2,FALSE),0)</f>
        <v>0</v>
      </c>
      <c r="U51" s="91">
        <f t="shared" si="7"/>
        <v>0</v>
      </c>
      <c r="V51" s="251">
        <f t="shared" ref="V51:W54" si="313">IFERROR(IF(Q50&lt;&gt;0,Q51/Q50,0),0)</f>
        <v>0</v>
      </c>
      <c r="W51" s="336">
        <f t="shared" si="313"/>
        <v>0</v>
      </c>
      <c r="X51" s="252">
        <f>IFERROR(IF(T50&lt;&gt;0,T51/T50,0),0)</f>
        <v>0</v>
      </c>
      <c r="Y51" s="51">
        <f t="shared" si="292"/>
        <v>0</v>
      </c>
      <c r="Z51" s="46">
        <f t="shared" si="292"/>
        <v>0</v>
      </c>
      <c r="AA51" s="46">
        <f t="shared" si="292"/>
        <v>0</v>
      </c>
      <c r="AB51" s="46">
        <f t="shared" si="292"/>
        <v>0</v>
      </c>
      <c r="AC51" s="91">
        <f t="shared" si="9"/>
        <v>0</v>
      </c>
      <c r="AD51" s="75">
        <f>IF(AM51&lt;&gt;0,1-AR51/AM51,0)</f>
        <v>0.32829287703939514</v>
      </c>
      <c r="AE51" s="93">
        <f t="shared" si="293"/>
        <v>0</v>
      </c>
      <c r="AF51" s="93">
        <f t="shared" si="293"/>
        <v>0</v>
      </c>
      <c r="AG51" s="76">
        <f t="shared" si="293"/>
        <v>0</v>
      </c>
      <c r="AH51" s="73">
        <f t="shared" si="294"/>
        <v>25.13</v>
      </c>
      <c r="AI51" s="94">
        <f t="shared" si="295"/>
        <v>0</v>
      </c>
      <c r="AJ51" s="94">
        <f t="shared" si="295"/>
        <v>0</v>
      </c>
      <c r="AK51" s="49">
        <f>IFERROR(VLOOKUP($B51-IF(CompareVer="LY",1,0) &amp; $C51 &amp;AK$4,tblForecast,AK$2,FALSE),0)</f>
        <v>0</v>
      </c>
      <c r="AL51" s="47">
        <f t="shared" si="259"/>
        <v>0</v>
      </c>
      <c r="AM51" s="73">
        <f t="shared" si="296"/>
        <v>6.2824999999999998</v>
      </c>
      <c r="AN51" s="94">
        <f t="shared" si="297"/>
        <v>0</v>
      </c>
      <c r="AO51" s="94">
        <f t="shared" si="297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 t="shared" si="298"/>
        <v>4.22</v>
      </c>
      <c r="AS51" s="94">
        <f t="shared" si="299"/>
        <v>0</v>
      </c>
      <c r="AT51" s="94">
        <f t="shared" si="299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2">
        <f t="shared" si="300"/>
        <v>0.75</v>
      </c>
      <c r="AX51" s="193">
        <f t="shared" si="300"/>
        <v>0</v>
      </c>
      <c r="AY51" s="193">
        <f t="shared" si="300"/>
        <v>0</v>
      </c>
      <c r="AZ51" s="193">
        <f t="shared" si="300"/>
        <v>0</v>
      </c>
      <c r="BA51" s="237">
        <f t="shared" si="301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302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20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3"/>
        <v>0</v>
      </c>
      <c r="BS51" s="233">
        <f t="shared" si="22"/>
        <v>0</v>
      </c>
      <c r="BT51" s="236">
        <f t="shared" si="303"/>
        <v>0</v>
      </c>
      <c r="BU51" s="233">
        <f t="shared" si="303"/>
        <v>0</v>
      </c>
      <c r="BV51" s="233">
        <f>IF($A51="a",IFERROR(VLOOKUP($B51 &amp; $C51&amp;BV$4,tblForecast,BV$2,FALSE),0),BT51+BU51)</f>
        <v>0</v>
      </c>
      <c r="BW51" s="233">
        <f t="shared" si="304"/>
        <v>0</v>
      </c>
      <c r="BX51" s="233">
        <f t="shared" si="304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305"/>
        <v>0</v>
      </c>
      <c r="CB51" s="46">
        <f t="shared" si="305"/>
        <v>0</v>
      </c>
      <c r="CC51" s="46">
        <f>IF($A51="a",IFERROR(VLOOKUP($B51 &amp; $C51&amp;CC$4,tblForecast,CC$2,FALSE),0),CA51+CB51)</f>
        <v>0</v>
      </c>
      <c r="CD51" s="46">
        <f t="shared" si="306"/>
        <v>0</v>
      </c>
      <c r="CE51" s="46">
        <f t="shared" si="306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307"/>
        <v>0</v>
      </c>
      <c r="CI51" s="46">
        <f t="shared" si="307"/>
        <v>0</v>
      </c>
      <c r="CJ51" s="46">
        <f>IF($A51="a",IFERROR(VLOOKUP($B51 &amp; $C51&amp;CJ$4,tblForecast,CJ$2,FALSE),0),CH51+CI51)</f>
        <v>0</v>
      </c>
      <c r="CK51" s="46">
        <f t="shared" si="308"/>
        <v>0</v>
      </c>
      <c r="CL51" s="46">
        <f t="shared" si="308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46"/>
        <v>0</v>
      </c>
      <c r="CP51" s="225">
        <f t="shared" si="46"/>
        <v>0</v>
      </c>
      <c r="CQ51" s="195">
        <f t="shared" si="33"/>
        <v>0</v>
      </c>
      <c r="CR51" s="179">
        <f t="shared" si="44"/>
        <v>0</v>
      </c>
      <c r="CS51" s="225">
        <f t="shared" si="34"/>
        <v>0</v>
      </c>
      <c r="CT51" s="195">
        <f t="shared" si="47"/>
        <v>0</v>
      </c>
      <c r="CU51" s="44"/>
      <c r="CV51" s="345">
        <f t="shared" si="309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310"/>
        <v>0</v>
      </c>
      <c r="E52" s="203">
        <f t="shared" si="311"/>
        <v>0</v>
      </c>
      <c r="F52" s="183">
        <f t="shared" si="45"/>
        <v>0</v>
      </c>
      <c r="G52" s="177">
        <f t="shared" si="289"/>
        <v>0</v>
      </c>
      <c r="H52" s="204">
        <f t="shared" si="289"/>
        <v>0</v>
      </c>
      <c r="I52" s="204">
        <f t="shared" si="289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290"/>
        <v>0</v>
      </c>
      <c r="M52" s="90">
        <f t="shared" si="290"/>
        <v>0</v>
      </c>
      <c r="N52" s="46">
        <f t="shared" si="290"/>
        <v>0</v>
      </c>
      <c r="O52" s="46">
        <f t="shared" si="290"/>
        <v>0</v>
      </c>
      <c r="P52" s="47">
        <f t="shared" si="39"/>
        <v>0</v>
      </c>
      <c r="Q52" s="244">
        <f t="shared" si="312"/>
        <v>0</v>
      </c>
      <c r="R52" s="242">
        <f t="shared" si="291"/>
        <v>0</v>
      </c>
      <c r="S52" s="242">
        <f t="shared" si="291"/>
        <v>0</v>
      </c>
      <c r="T52" s="242">
        <f>IFERROR(VLOOKUP($B52-IF(CompareVer="LY",1,0) &amp; $C52 &amp;T$4,tblForecast,T$2,FALSE),0)</f>
        <v>0</v>
      </c>
      <c r="U52" s="91">
        <f t="shared" si="7"/>
        <v>0</v>
      </c>
      <c r="V52" s="251">
        <f t="shared" si="313"/>
        <v>0</v>
      </c>
      <c r="W52" s="336">
        <f t="shared" si="313"/>
        <v>0</v>
      </c>
      <c r="X52" s="252">
        <f>IFERROR(IF(T51&lt;&gt;0,T52/T51,0),0)</f>
        <v>0</v>
      </c>
      <c r="Y52" s="51">
        <f t="shared" si="292"/>
        <v>0</v>
      </c>
      <c r="Z52" s="46">
        <f t="shared" si="292"/>
        <v>0</v>
      </c>
      <c r="AA52" s="46">
        <f t="shared" si="292"/>
        <v>0</v>
      </c>
      <c r="AB52" s="46">
        <f t="shared" si="292"/>
        <v>0</v>
      </c>
      <c r="AC52" s="91">
        <f t="shared" si="9"/>
        <v>0</v>
      </c>
      <c r="AD52" s="75">
        <f>IF(AM52&lt;&gt;0,1-AR52/AM52,0)</f>
        <v>0.16036609629924381</v>
      </c>
      <c r="AE52" s="93">
        <f t="shared" si="293"/>
        <v>0</v>
      </c>
      <c r="AF52" s="93">
        <f t="shared" si="293"/>
        <v>0</v>
      </c>
      <c r="AG52" s="76">
        <f t="shared" si="293"/>
        <v>0</v>
      </c>
      <c r="AH52" s="73">
        <f t="shared" si="294"/>
        <v>25.13</v>
      </c>
      <c r="AI52" s="94">
        <f t="shared" si="295"/>
        <v>0</v>
      </c>
      <c r="AJ52" s="94">
        <f t="shared" si="295"/>
        <v>0</v>
      </c>
      <c r="AK52" s="49">
        <f>IFERROR(VLOOKUP($B52-IF(CompareVer="LY",1,0) &amp; $C52 &amp;AK$4,tblForecast,AK$2,FALSE),0)</f>
        <v>0</v>
      </c>
      <c r="AL52" s="47">
        <f t="shared" si="259"/>
        <v>0</v>
      </c>
      <c r="AM52" s="73">
        <f t="shared" si="296"/>
        <v>5.0259999999999989</v>
      </c>
      <c r="AN52" s="94">
        <f t="shared" si="297"/>
        <v>0</v>
      </c>
      <c r="AO52" s="94">
        <f t="shared" si="297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 t="shared" si="298"/>
        <v>4.22</v>
      </c>
      <c r="AS52" s="94">
        <f t="shared" si="299"/>
        <v>0</v>
      </c>
      <c r="AT52" s="94">
        <f t="shared" si="299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2">
        <f t="shared" si="300"/>
        <v>0.8</v>
      </c>
      <c r="AX52" s="193">
        <f t="shared" si="300"/>
        <v>0</v>
      </c>
      <c r="AY52" s="193">
        <f t="shared" si="300"/>
        <v>0</v>
      </c>
      <c r="AZ52" s="193">
        <f t="shared" si="300"/>
        <v>0</v>
      </c>
      <c r="BA52" s="237">
        <f t="shared" si="301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302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20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3"/>
        <v>0</v>
      </c>
      <c r="BS52" s="233">
        <f t="shared" si="22"/>
        <v>0</v>
      </c>
      <c r="BT52" s="236">
        <f t="shared" si="303"/>
        <v>0</v>
      </c>
      <c r="BU52" s="233">
        <f t="shared" si="303"/>
        <v>0</v>
      </c>
      <c r="BV52" s="233">
        <f>IF($A52="a",IFERROR(VLOOKUP($B52 &amp; $C52&amp;BV$4,tblForecast,BV$2,FALSE),0),BT52+BU52)</f>
        <v>0</v>
      </c>
      <c r="BW52" s="233">
        <f t="shared" si="304"/>
        <v>0</v>
      </c>
      <c r="BX52" s="233">
        <f t="shared" si="304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305"/>
        <v>0</v>
      </c>
      <c r="CB52" s="46">
        <f t="shared" si="305"/>
        <v>0</v>
      </c>
      <c r="CC52" s="46">
        <f>IF($A52="a",IFERROR(VLOOKUP($B52 &amp; $C52&amp;CC$4,tblForecast,CC$2,FALSE),0),CA52+CB52)</f>
        <v>0</v>
      </c>
      <c r="CD52" s="46">
        <f t="shared" si="306"/>
        <v>0</v>
      </c>
      <c r="CE52" s="46">
        <f t="shared" si="306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307"/>
        <v>0</v>
      </c>
      <c r="CI52" s="46">
        <f t="shared" si="307"/>
        <v>0</v>
      </c>
      <c r="CJ52" s="46">
        <f>IF($A52="a",IFERROR(VLOOKUP($B52 &amp; $C52&amp;CJ$4,tblForecast,CJ$2,FALSE),0),CH52+CI52)</f>
        <v>0</v>
      </c>
      <c r="CK52" s="46">
        <f t="shared" si="308"/>
        <v>0</v>
      </c>
      <c r="CL52" s="46">
        <f t="shared" si="308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46"/>
        <v>0</v>
      </c>
      <c r="CP52" s="225">
        <f t="shared" si="46"/>
        <v>0</v>
      </c>
      <c r="CQ52" s="195">
        <f t="shared" si="33"/>
        <v>0</v>
      </c>
      <c r="CR52" s="179">
        <f t="shared" si="44"/>
        <v>0</v>
      </c>
      <c r="CS52" s="225">
        <f t="shared" si="34"/>
        <v>0</v>
      </c>
      <c r="CT52" s="195">
        <f t="shared" si="47"/>
        <v>0</v>
      </c>
      <c r="CU52" s="44"/>
      <c r="CV52" s="345">
        <f t="shared" si="309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310"/>
        <v>0</v>
      </c>
      <c r="E53" s="203">
        <f t="shared" si="311"/>
        <v>0</v>
      </c>
      <c r="F53" s="183">
        <f t="shared" si="45"/>
        <v>0</v>
      </c>
      <c r="G53" s="177">
        <f t="shared" si="289"/>
        <v>0</v>
      </c>
      <c r="H53" s="204">
        <f t="shared" si="289"/>
        <v>0</v>
      </c>
      <c r="I53" s="204">
        <f t="shared" si="289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290"/>
        <v>0</v>
      </c>
      <c r="M53" s="90">
        <f t="shared" si="290"/>
        <v>0</v>
      </c>
      <c r="N53" s="46">
        <f t="shared" si="290"/>
        <v>0</v>
      </c>
      <c r="O53" s="46">
        <f t="shared" si="290"/>
        <v>0</v>
      </c>
      <c r="P53" s="47">
        <f t="shared" si="39"/>
        <v>0</v>
      </c>
      <c r="Q53" s="244">
        <f t="shared" si="312"/>
        <v>0</v>
      </c>
      <c r="R53" s="242">
        <f t="shared" si="291"/>
        <v>0</v>
      </c>
      <c r="S53" s="242">
        <f t="shared" si="291"/>
        <v>0</v>
      </c>
      <c r="T53" s="242">
        <f>IFERROR(VLOOKUP($B53-IF(CompareVer="LY",1,0) &amp; $C53 &amp;T$4,tblForecast,T$2,FALSE),0)</f>
        <v>0</v>
      </c>
      <c r="U53" s="91">
        <f t="shared" si="7"/>
        <v>0</v>
      </c>
      <c r="V53" s="251">
        <f t="shared" si="313"/>
        <v>0</v>
      </c>
      <c r="W53" s="336">
        <f t="shared" si="313"/>
        <v>0</v>
      </c>
      <c r="X53" s="252">
        <f>IFERROR(IF(T52&lt;&gt;0,T53/T52,0),0)</f>
        <v>0</v>
      </c>
      <c r="Y53" s="51">
        <f t="shared" si="292"/>
        <v>0</v>
      </c>
      <c r="Z53" s="46">
        <f t="shared" si="292"/>
        <v>0</v>
      </c>
      <c r="AA53" s="46">
        <f t="shared" si="292"/>
        <v>0</v>
      </c>
      <c r="AB53" s="46">
        <f t="shared" si="292"/>
        <v>0</v>
      </c>
      <c r="AC53" s="91">
        <f t="shared" si="9"/>
        <v>0</v>
      </c>
      <c r="AD53" s="75">
        <f>IF(AM53&lt;&gt;0,1-AR53/AM53,0)</f>
        <v>0.16036609629924381</v>
      </c>
      <c r="AE53" s="93">
        <f t="shared" si="293"/>
        <v>0</v>
      </c>
      <c r="AF53" s="93">
        <f t="shared" si="293"/>
        <v>0</v>
      </c>
      <c r="AG53" s="76">
        <f t="shared" si="293"/>
        <v>0</v>
      </c>
      <c r="AH53" s="73">
        <f t="shared" si="294"/>
        <v>25.13</v>
      </c>
      <c r="AI53" s="94">
        <f t="shared" si="295"/>
        <v>0</v>
      </c>
      <c r="AJ53" s="94">
        <f t="shared" si="295"/>
        <v>0</v>
      </c>
      <c r="AK53" s="49">
        <f>IFERROR(VLOOKUP($B53-IF(CompareVer="LY",1,0) &amp; $C53 &amp;AK$4,tblForecast,AK$2,FALSE),0)</f>
        <v>0</v>
      </c>
      <c r="AL53" s="47">
        <f t="shared" si="259"/>
        <v>0</v>
      </c>
      <c r="AM53" s="73">
        <f t="shared" si="296"/>
        <v>5.0259999999999989</v>
      </c>
      <c r="AN53" s="94">
        <f t="shared" si="297"/>
        <v>0</v>
      </c>
      <c r="AO53" s="94">
        <f t="shared" si="297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 t="shared" si="298"/>
        <v>4.22</v>
      </c>
      <c r="AS53" s="94">
        <f t="shared" si="299"/>
        <v>0</v>
      </c>
      <c r="AT53" s="94">
        <f t="shared" si="299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2">
        <f t="shared" si="300"/>
        <v>0.8</v>
      </c>
      <c r="AX53" s="193">
        <f t="shared" si="300"/>
        <v>0</v>
      </c>
      <c r="AY53" s="193">
        <f t="shared" si="300"/>
        <v>0</v>
      </c>
      <c r="AZ53" s="193">
        <f t="shared" si="300"/>
        <v>0</v>
      </c>
      <c r="BA53" s="237">
        <f t="shared" si="301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302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20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3"/>
        <v>0</v>
      </c>
      <c r="BS53" s="233">
        <f t="shared" si="22"/>
        <v>0</v>
      </c>
      <c r="BT53" s="236">
        <f t="shared" si="303"/>
        <v>0</v>
      </c>
      <c r="BU53" s="233">
        <f t="shared" si="303"/>
        <v>0</v>
      </c>
      <c r="BV53" s="233">
        <f>IF($A53="a",IFERROR(VLOOKUP($B53 &amp; $C53&amp;BV$4,tblForecast,BV$2,FALSE),0),BT53+BU53)</f>
        <v>0</v>
      </c>
      <c r="BW53" s="233">
        <f t="shared" si="304"/>
        <v>0</v>
      </c>
      <c r="BX53" s="233">
        <f t="shared" si="304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305"/>
        <v>0</v>
      </c>
      <c r="CB53" s="46">
        <f t="shared" si="305"/>
        <v>0</v>
      </c>
      <c r="CC53" s="46">
        <f>IF($A53="a",IFERROR(VLOOKUP($B53 &amp; $C53&amp;CC$4,tblForecast,CC$2,FALSE),0),CA53+CB53)</f>
        <v>0</v>
      </c>
      <c r="CD53" s="46">
        <f t="shared" si="306"/>
        <v>0</v>
      </c>
      <c r="CE53" s="46">
        <f t="shared" si="306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307"/>
        <v>0</v>
      </c>
      <c r="CI53" s="46">
        <f t="shared" si="307"/>
        <v>0</v>
      </c>
      <c r="CJ53" s="46">
        <f>IF($A53="a",IFERROR(VLOOKUP($B53 &amp; $C53&amp;CJ$4,tblForecast,CJ$2,FALSE),0),CH53+CI53)</f>
        <v>0</v>
      </c>
      <c r="CK53" s="46">
        <f t="shared" si="308"/>
        <v>0</v>
      </c>
      <c r="CL53" s="46">
        <f t="shared" si="308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46"/>
        <v>0</v>
      </c>
      <c r="CP53" s="225">
        <f t="shared" si="46"/>
        <v>0</v>
      </c>
      <c r="CQ53" s="195">
        <f t="shared" si="33"/>
        <v>0</v>
      </c>
      <c r="CR53" s="179">
        <f t="shared" si="44"/>
        <v>0</v>
      </c>
      <c r="CS53" s="225">
        <f t="shared" si="34"/>
        <v>0</v>
      </c>
      <c r="CT53" s="195">
        <f t="shared" si="47"/>
        <v>0</v>
      </c>
      <c r="CU53" s="44"/>
      <c r="CV53" s="345">
        <f t="shared" si="309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310"/>
        <v>0</v>
      </c>
      <c r="E54" s="203">
        <f t="shared" si="311"/>
        <v>0</v>
      </c>
      <c r="F54" s="183">
        <f t="shared" si="45"/>
        <v>0</v>
      </c>
      <c r="G54" s="177">
        <f t="shared" si="289"/>
        <v>0</v>
      </c>
      <c r="H54" s="204">
        <f t="shared" si="289"/>
        <v>0</v>
      </c>
      <c r="I54" s="204">
        <f t="shared" si="289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290"/>
        <v>0</v>
      </c>
      <c r="M54" s="90">
        <f t="shared" si="290"/>
        <v>0</v>
      </c>
      <c r="N54" s="46">
        <f t="shared" si="290"/>
        <v>0</v>
      </c>
      <c r="O54" s="46">
        <f t="shared" si="290"/>
        <v>0</v>
      </c>
      <c r="P54" s="47">
        <f t="shared" si="39"/>
        <v>0</v>
      </c>
      <c r="Q54" s="244">
        <f t="shared" si="312"/>
        <v>0</v>
      </c>
      <c r="R54" s="242">
        <f t="shared" si="291"/>
        <v>0</v>
      </c>
      <c r="S54" s="242">
        <f t="shared" si="291"/>
        <v>0</v>
      </c>
      <c r="T54" s="242">
        <f>IFERROR(VLOOKUP($B54-IF(CompareVer="LY",1,0) &amp; $C54 &amp;T$4,tblForecast,T$2,FALSE),0)</f>
        <v>0</v>
      </c>
      <c r="U54" s="91">
        <f t="shared" si="7"/>
        <v>0</v>
      </c>
      <c r="V54" s="251">
        <f t="shared" si="313"/>
        <v>0</v>
      </c>
      <c r="W54" s="336">
        <f t="shared" si="313"/>
        <v>0</v>
      </c>
      <c r="X54" s="252">
        <f>IFERROR(IF(T53&lt;&gt;0,T54/T53,0),0)</f>
        <v>0</v>
      </c>
      <c r="Y54" s="51">
        <f t="shared" si="292"/>
        <v>0</v>
      </c>
      <c r="Z54" s="46">
        <f t="shared" si="292"/>
        <v>0</v>
      </c>
      <c r="AA54" s="46">
        <f t="shared" si="292"/>
        <v>0</v>
      </c>
      <c r="AB54" s="46">
        <f t="shared" si="292"/>
        <v>0</v>
      </c>
      <c r="AC54" s="91">
        <f t="shared" si="9"/>
        <v>0</v>
      </c>
      <c r="AD54" s="75">
        <f>IF(AM54&lt;&gt;0,1-AR54/AM54,0)</f>
        <v>0.16036609629924381</v>
      </c>
      <c r="AE54" s="93">
        <f t="shared" si="293"/>
        <v>0</v>
      </c>
      <c r="AF54" s="93">
        <f t="shared" si="293"/>
        <v>0</v>
      </c>
      <c r="AG54" s="76">
        <f t="shared" si="293"/>
        <v>0</v>
      </c>
      <c r="AH54" s="73">
        <f t="shared" si="294"/>
        <v>25.13</v>
      </c>
      <c r="AI54" s="94">
        <f t="shared" si="295"/>
        <v>0</v>
      </c>
      <c r="AJ54" s="94">
        <f t="shared" si="295"/>
        <v>0</v>
      </c>
      <c r="AK54" s="49">
        <f>IFERROR(VLOOKUP($B54-IF(CompareVer="LY",1,0) &amp; $C54 &amp;AK$4,tblForecast,AK$2,FALSE),0)</f>
        <v>0</v>
      </c>
      <c r="AL54" s="47">
        <f t="shared" si="259"/>
        <v>0</v>
      </c>
      <c r="AM54" s="73">
        <f t="shared" si="296"/>
        <v>5.0259999999999989</v>
      </c>
      <c r="AN54" s="94">
        <f t="shared" si="297"/>
        <v>0</v>
      </c>
      <c r="AO54" s="94">
        <f t="shared" si="297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 t="shared" si="298"/>
        <v>4.22</v>
      </c>
      <c r="AS54" s="94">
        <f t="shared" si="299"/>
        <v>0</v>
      </c>
      <c r="AT54" s="94">
        <f t="shared" si="299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2">
        <f t="shared" si="300"/>
        <v>0.8</v>
      </c>
      <c r="AX54" s="193">
        <f t="shared" si="300"/>
        <v>0</v>
      </c>
      <c r="AY54" s="193">
        <f t="shared" si="300"/>
        <v>0</v>
      </c>
      <c r="AZ54" s="193">
        <f t="shared" si="300"/>
        <v>0</v>
      </c>
      <c r="BA54" s="237">
        <f t="shared" si="301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302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20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3"/>
        <v>0</v>
      </c>
      <c r="BS54" s="233">
        <f t="shared" si="22"/>
        <v>0</v>
      </c>
      <c r="BT54" s="236">
        <f t="shared" si="303"/>
        <v>0</v>
      </c>
      <c r="BU54" s="233">
        <f t="shared" si="303"/>
        <v>0</v>
      </c>
      <c r="BV54" s="233">
        <f>IF($A54="a",IFERROR(VLOOKUP($B54 &amp; $C54&amp;BV$4,tblForecast,BV$2,FALSE),0),BT54+BU54)</f>
        <v>0</v>
      </c>
      <c r="BW54" s="233">
        <f t="shared" si="304"/>
        <v>0</v>
      </c>
      <c r="BX54" s="233">
        <f t="shared" si="304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305"/>
        <v>0</v>
      </c>
      <c r="CB54" s="46">
        <f t="shared" si="305"/>
        <v>0</v>
      </c>
      <c r="CC54" s="46">
        <f>IF($A54="a",IFERROR(VLOOKUP($B54 &amp; $C54&amp;CC$4,tblForecast,CC$2,FALSE),0),CA54+CB54)</f>
        <v>0</v>
      </c>
      <c r="CD54" s="46">
        <f t="shared" si="306"/>
        <v>0</v>
      </c>
      <c r="CE54" s="46">
        <f t="shared" si="306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307"/>
        <v>0</v>
      </c>
      <c r="CI54" s="46">
        <f t="shared" si="307"/>
        <v>0</v>
      </c>
      <c r="CJ54" s="46">
        <f>IF($A54="a",IFERROR(VLOOKUP($B54 &amp; $C54&amp;CJ$4,tblForecast,CJ$2,FALSE),0),CH54+CI54)</f>
        <v>0</v>
      </c>
      <c r="CK54" s="46">
        <f t="shared" si="308"/>
        <v>0</v>
      </c>
      <c r="CL54" s="46">
        <f t="shared" si="308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46"/>
        <v>0</v>
      </c>
      <c r="CP54" s="225">
        <f t="shared" si="46"/>
        <v>0</v>
      </c>
      <c r="CQ54" s="195">
        <f t="shared" si="33"/>
        <v>0</v>
      </c>
      <c r="CR54" s="179">
        <f t="shared" si="44"/>
        <v>0</v>
      </c>
      <c r="CS54" s="225">
        <f t="shared" si="34"/>
        <v>0</v>
      </c>
      <c r="CT54" s="195">
        <f t="shared" si="47"/>
        <v>0</v>
      </c>
      <c r="CU54" s="44"/>
      <c r="CV54" s="345">
        <f t="shared" si="309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5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314">SUM(M50:M54)</f>
        <v>0</v>
      </c>
      <c r="N55" s="261">
        <f t="shared" si="314"/>
        <v>0</v>
      </c>
      <c r="O55" s="261">
        <f t="shared" si="314"/>
        <v>0</v>
      </c>
      <c r="P55" s="262">
        <f t="shared" si="39"/>
        <v>0</v>
      </c>
      <c r="Q55" s="263">
        <f>SUM(Q50:Q54)</f>
        <v>0</v>
      </c>
      <c r="R55" s="264">
        <f t="shared" ref="R55:S55" si="315">SUM(R50:R54)</f>
        <v>0</v>
      </c>
      <c r="S55" s="264">
        <f t="shared" si="315"/>
        <v>0</v>
      </c>
      <c r="T55" s="264">
        <f>SUM(T50:T54)</f>
        <v>0</v>
      </c>
      <c r="U55" s="262">
        <f t="shared" si="7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316">SUM(Z50:Z54)</f>
        <v>0</v>
      </c>
      <c r="AA55" s="261">
        <f t="shared" si="316"/>
        <v>0</v>
      </c>
      <c r="AB55" s="261">
        <f t="shared" si="316"/>
        <v>0</v>
      </c>
      <c r="AC55" s="262">
        <f t="shared" si="9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:AK55" si="317">IFERROR(SUMPRODUCT(AJ51:AJ54,S51:S54)/S55,0)</f>
        <v>0</v>
      </c>
      <c r="AK55" s="270">
        <f t="shared" si="317"/>
        <v>0</v>
      </c>
      <c r="AL55" s="262">
        <f t="shared" si="259"/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14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16"/>
        <v>0</v>
      </c>
      <c r="AW55" s="271">
        <f>IFERROR(SUMPRODUCT(AW50:AW54,V50:V54)/V55,0)</f>
        <v>0</v>
      </c>
      <c r="AX55" s="272">
        <f t="shared" ref="AX55:AZ55" si="318">IFERROR(SUMPRODUCT(AX50:AX54,X50:X54)/X55,0)</f>
        <v>0</v>
      </c>
      <c r="AY55" s="272">
        <f t="shared" si="318"/>
        <v>0</v>
      </c>
      <c r="AZ55" s="272">
        <f t="shared" si="318"/>
        <v>0</v>
      </c>
      <c r="BA55" s="263">
        <f>BA54</f>
        <v>0</v>
      </c>
      <c r="BB55" s="264">
        <f t="shared" ref="BB55:BD55" si="319">BB54</f>
        <v>0</v>
      </c>
      <c r="BC55" s="264">
        <f t="shared" si="319"/>
        <v>0</v>
      </c>
      <c r="BD55" s="264">
        <f t="shared" si="319"/>
        <v>0</v>
      </c>
      <c r="BE55" s="262">
        <f t="shared" si="19"/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20"/>
        <v>0</v>
      </c>
      <c r="BK55" s="276">
        <f t="shared" si="21"/>
        <v>0</v>
      </c>
      <c r="BL55" s="263">
        <f t="shared" ref="BL55" si="320">SUM(BL50:BL54)</f>
        <v>0</v>
      </c>
      <c r="BM55" s="264">
        <f>SUM(BM50:BM54)</f>
        <v>0</v>
      </c>
      <c r="BN55" s="263">
        <f t="shared" ref="BN55:BQ55" si="321">SUM(BN50:BN54)</f>
        <v>0</v>
      </c>
      <c r="BO55" s="264">
        <f t="shared" si="321"/>
        <v>0</v>
      </c>
      <c r="BP55" s="263">
        <f t="shared" si="321"/>
        <v>0</v>
      </c>
      <c r="BQ55" s="264">
        <f t="shared" si="321"/>
        <v>0</v>
      </c>
      <c r="BR55" s="263">
        <f t="shared" si="43"/>
        <v>0</v>
      </c>
      <c r="BS55" s="264">
        <f t="shared" si="22"/>
        <v>0</v>
      </c>
      <c r="BT55" s="263">
        <f t="shared" ref="BT55:BY55" si="322">SUM(BT50:BT54)</f>
        <v>0</v>
      </c>
      <c r="BU55" s="264">
        <f t="shared" si="322"/>
        <v>0</v>
      </c>
      <c r="BV55" s="264">
        <f t="shared" si="322"/>
        <v>0</v>
      </c>
      <c r="BW55" s="264">
        <f t="shared" si="322"/>
        <v>0</v>
      </c>
      <c r="BX55" s="264">
        <f t="shared" si="322"/>
        <v>0</v>
      </c>
      <c r="BY55" s="277">
        <f t="shared" si="322"/>
        <v>0</v>
      </c>
      <c r="BZ55" s="262">
        <f t="shared" si="25"/>
        <v>0</v>
      </c>
      <c r="CA55" s="340">
        <f t="shared" ref="CA55:CF55" si="323">SUM(CA50:CA54)</f>
        <v>0</v>
      </c>
      <c r="CB55" s="261">
        <f t="shared" si="323"/>
        <v>0</v>
      </c>
      <c r="CC55" s="261">
        <f t="shared" si="323"/>
        <v>0</v>
      </c>
      <c r="CD55" s="261">
        <f t="shared" si="323"/>
        <v>0</v>
      </c>
      <c r="CE55" s="261">
        <f t="shared" si="323"/>
        <v>0</v>
      </c>
      <c r="CF55" s="261">
        <f t="shared" si="323"/>
        <v>0</v>
      </c>
      <c r="CG55" s="262">
        <f t="shared" si="28"/>
        <v>0</v>
      </c>
      <c r="CH55" s="340">
        <f t="shared" ref="CH55:CM55" si="324">SUM(CH50:CH54)</f>
        <v>0</v>
      </c>
      <c r="CI55" s="261">
        <f t="shared" si="324"/>
        <v>0</v>
      </c>
      <c r="CJ55" s="261">
        <f t="shared" si="324"/>
        <v>0</v>
      </c>
      <c r="CK55" s="261">
        <f t="shared" si="324"/>
        <v>0</v>
      </c>
      <c r="CL55" s="261">
        <f t="shared" si="324"/>
        <v>0</v>
      </c>
      <c r="CM55" s="261">
        <f t="shared" si="324"/>
        <v>0</v>
      </c>
      <c r="CN55" s="262">
        <f t="shared" si="31"/>
        <v>0</v>
      </c>
      <c r="CO55" s="278">
        <f t="shared" si="46"/>
        <v>0</v>
      </c>
      <c r="CP55" s="279">
        <f t="shared" si="46"/>
        <v>0</v>
      </c>
      <c r="CQ55" s="262">
        <f t="shared" si="33"/>
        <v>0</v>
      </c>
      <c r="CR55" s="278">
        <f t="shared" si="44"/>
        <v>0</v>
      </c>
      <c r="CS55" s="279">
        <f t="shared" si="34"/>
        <v>0</v>
      </c>
      <c r="CT55" s="262">
        <f t="shared" si="47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6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5"/>
        <v>0</v>
      </c>
      <c r="G56" s="177">
        <f t="shared" ref="G56:I59" si="325">IFERROR(VLOOKUP($B56 &amp; $C56&amp;G$4&amp;$A56,tblForecast,G$2,FALSE),0)</f>
        <v>0</v>
      </c>
      <c r="H56" s="204">
        <f t="shared" si="325"/>
        <v>0</v>
      </c>
      <c r="I56" s="204">
        <f t="shared" si="325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326">Q56*AM56</f>
        <v>0</v>
      </c>
      <c r="M56" s="90">
        <f t="shared" si="326"/>
        <v>0</v>
      </c>
      <c r="N56" s="46">
        <f t="shared" si="326"/>
        <v>0</v>
      </c>
      <c r="O56" s="46">
        <f t="shared" si="326"/>
        <v>0</v>
      </c>
      <c r="P56" s="47">
        <f t="shared" si="39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327">IFERROR(VLOOKUP($B56 &amp; $C56&amp;R$4,tblForecast,R$2,FALSE),0)</f>
        <v>0</v>
      </c>
      <c r="S56" s="242">
        <f t="shared" si="327"/>
        <v>0</v>
      </c>
      <c r="T56" s="242">
        <f>IFERROR(VLOOKUP($B56-IF(CompareVer="LY",1,0) &amp; $C56 &amp;T$4,tblForecast,T$2,FALSE),0)</f>
        <v>0</v>
      </c>
      <c r="U56" s="91">
        <f t="shared" si="7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328">IFERROR(L56*AD56,0)</f>
        <v>0</v>
      </c>
      <c r="Z56" s="46">
        <f t="shared" si="328"/>
        <v>0</v>
      </c>
      <c r="AA56" s="46">
        <f t="shared" si="328"/>
        <v>0</v>
      </c>
      <c r="AB56" s="46">
        <f t="shared" si="328"/>
        <v>0</v>
      </c>
      <c r="AC56" s="91">
        <f t="shared" si="9"/>
        <v>0</v>
      </c>
      <c r="AD56" s="75">
        <f>IF(AM56&lt;&gt;0,1-AR56/AM56,0)</f>
        <v>0.16036609629924381</v>
      </c>
      <c r="AE56" s="93">
        <f t="shared" ref="AE56:AG59" si="329">IF(AN56&lt;&gt;0,1-AS56/AN56,0)</f>
        <v>0</v>
      </c>
      <c r="AF56" s="93">
        <f t="shared" si="329"/>
        <v>0</v>
      </c>
      <c r="AG56" s="76">
        <f t="shared" si="329"/>
        <v>0</v>
      </c>
      <c r="AH56" s="73">
        <f t="shared" ref="AH56:AH59" si="330">DB56</f>
        <v>25.13</v>
      </c>
      <c r="AI56" s="94">
        <f t="shared" ref="AI56:AJ59" si="331">IFERROR(VLOOKUP($B56 &amp; $C56&amp;AI$4,tblForecast,AI$2,FALSE),0)</f>
        <v>0</v>
      </c>
      <c r="AJ56" s="94">
        <f t="shared" si="331"/>
        <v>0</v>
      </c>
      <c r="AK56" s="49">
        <f>IFERROR(VLOOKUP($B56-IF(CompareVer="LY",1,0) &amp; $C56 &amp;AK$4,tblForecast,AK$2,FALSE),0)</f>
        <v>0</v>
      </c>
      <c r="AL56" s="47">
        <f t="shared" si="259"/>
        <v>0</v>
      </c>
      <c r="AM56" s="73">
        <f t="shared" ref="AM56:AM59" si="332">DA56</f>
        <v>5.0259999999999989</v>
      </c>
      <c r="AN56" s="94">
        <f t="shared" ref="AN56:AO59" si="333">IFERROR(VLOOKUP($B56 &amp; $C56&amp;AN$4,tblForecast,AN$2,FALSE),0)</f>
        <v>0</v>
      </c>
      <c r="AO56" s="94">
        <f t="shared" si="333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 t="shared" ref="AR56:AR59" si="334">DC56</f>
        <v>4.22</v>
      </c>
      <c r="AS56" s="94">
        <f t="shared" ref="AS56:AT59" si="335">IFERROR(VLOOKUP($B56 &amp; $C56&amp;AS$4,tblForecast,AS$2,FALSE),0)</f>
        <v>0</v>
      </c>
      <c r="AT56" s="94">
        <f t="shared" si="335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2">
        <f t="shared" ref="AW56:AZ59" si="336">IFERROR((AM56/AH56-1)*-1,0)</f>
        <v>0.8</v>
      </c>
      <c r="AX56" s="193">
        <f t="shared" si="336"/>
        <v>0</v>
      </c>
      <c r="AY56" s="193">
        <f t="shared" si="336"/>
        <v>0</v>
      </c>
      <c r="AZ56" s="193">
        <f t="shared" si="336"/>
        <v>0</v>
      </c>
      <c r="BA56" s="237">
        <f t="shared" ref="BA56:BA59" si="337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338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20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3"/>
        <v>0</v>
      </c>
      <c r="BS56" s="233">
        <f t="shared" si="22"/>
        <v>0</v>
      </c>
      <c r="BT56" s="236">
        <f t="shared" ref="BT56:BU59" si="339">IFERROR(VLOOKUP($B56 &amp; $C56&amp;BT$4,tblForecast,BT$2,FALSE),0)</f>
        <v>0</v>
      </c>
      <c r="BU56" s="233">
        <f t="shared" si="339"/>
        <v>0</v>
      </c>
      <c r="BV56" s="233">
        <f>IF($A56="a",IFERROR(VLOOKUP($B56 &amp; $C56&amp;BV$4,tblForecast,BV$2,FALSE),0),BT56+BU56)</f>
        <v>0</v>
      </c>
      <c r="BW56" s="233">
        <f t="shared" ref="BW56:BX59" si="340">IFERROR(VLOOKUP($B56 &amp; $C56&amp;BW$4,tblForecast,BW$2,FALSE),0)</f>
        <v>0</v>
      </c>
      <c r="BX56" s="233">
        <f t="shared" si="340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B59" si="341">IFERROR(VLOOKUP($B56 &amp; $C56&amp;CA$4,tblForecast,CA$2,FALSE),0)</f>
        <v>0</v>
      </c>
      <c r="CB56" s="46">
        <f t="shared" si="341"/>
        <v>0</v>
      </c>
      <c r="CC56" s="46">
        <f>IF($A56="a",IFERROR(VLOOKUP($B56 &amp; $C56&amp;CC$4,tblForecast,CC$2,FALSE),0),CA56+CB56)</f>
        <v>0</v>
      </c>
      <c r="CD56" s="46">
        <f t="shared" ref="CD56:CE59" si="342">IFERROR(VLOOKUP($B56 &amp; $C56&amp;CD$4,tblForecast,CD$2,FALSE),0)</f>
        <v>0</v>
      </c>
      <c r="CE56" s="46">
        <f t="shared" si="342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I59" si="343">IFERROR(VLOOKUP($B56 &amp; $C56&amp;CH$4,tblForecast,CH$2,FALSE),0)</f>
        <v>0</v>
      </c>
      <c r="CI56" s="46">
        <f t="shared" si="343"/>
        <v>0</v>
      </c>
      <c r="CJ56" s="46">
        <f>IF($A56="a",IFERROR(VLOOKUP($B56 &amp; $C56&amp;CJ$4,tblForecast,CJ$2,FALSE),0),CH56+CI56)</f>
        <v>0</v>
      </c>
      <c r="CK56" s="46">
        <f t="shared" ref="CK56:CL59" si="344">IFERROR(VLOOKUP($B56 &amp; $C56&amp;CK$4,tblForecast,CK$2,FALSE),0)</f>
        <v>0</v>
      </c>
      <c r="CL56" s="46">
        <f t="shared" si="344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46"/>
        <v>0</v>
      </c>
      <c r="CP56" s="225">
        <f t="shared" si="46"/>
        <v>0</v>
      </c>
      <c r="CQ56" s="195">
        <f t="shared" si="33"/>
        <v>0</v>
      </c>
      <c r="CR56" s="179">
        <f t="shared" si="44"/>
        <v>0</v>
      </c>
      <c r="CS56" s="225">
        <f t="shared" si="34"/>
        <v>0</v>
      </c>
      <c r="CT56" s="195">
        <f t="shared" si="47"/>
        <v>0</v>
      </c>
      <c r="CU56" s="44"/>
      <c r="CV56" s="345">
        <f t="shared" ref="CV56:CV59" si="345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346">G57*H57</f>
        <v>0</v>
      </c>
      <c r="E57" s="203">
        <f t="shared" ref="E57:E59" si="347">IFERROR(D57*F57,0)</f>
        <v>0</v>
      </c>
      <c r="F57" s="183">
        <f t="shared" si="45"/>
        <v>0</v>
      </c>
      <c r="G57" s="177">
        <f t="shared" si="325"/>
        <v>0</v>
      </c>
      <c r="H57" s="204">
        <f t="shared" si="325"/>
        <v>0</v>
      </c>
      <c r="I57" s="204">
        <f t="shared" si="325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326"/>
        <v>0</v>
      </c>
      <c r="M57" s="90">
        <f t="shared" si="326"/>
        <v>0</v>
      </c>
      <c r="N57" s="46">
        <f t="shared" si="326"/>
        <v>0</v>
      </c>
      <c r="O57" s="46">
        <f t="shared" si="326"/>
        <v>0</v>
      </c>
      <c r="P57" s="47">
        <f t="shared" si="39"/>
        <v>0</v>
      </c>
      <c r="Q57" s="344">
        <f t="shared" ref="Q57:Q59" si="348">IF(A56="a",IF(CV57=0,R57,IF(BA56-(Q56*IF(W57=0,X57,W57))&lt;0,BA56,Q56*IF(W57=0,X57,W57))),IF(BA56-(Q56*IF(W57=0,X57,W57))&lt;0,BA56,Q56*IF(W57=0,X57,W57)))</f>
        <v>0</v>
      </c>
      <c r="R57" s="242">
        <f t="shared" si="327"/>
        <v>0</v>
      </c>
      <c r="S57" s="242">
        <f t="shared" si="327"/>
        <v>0</v>
      </c>
      <c r="T57" s="242">
        <f>IFERROR(VLOOKUP($B57-IF(CompareVer="LY",1,0) &amp; $C57 &amp;T$4,tblForecast,T$2,FALSE),0)</f>
        <v>0</v>
      </c>
      <c r="U57" s="91">
        <f t="shared" si="7"/>
        <v>0</v>
      </c>
      <c r="V57" s="251">
        <f t="shared" ref="V57:W59" si="349">IFERROR(IF(Q56&lt;&gt;0,Q57/Q56,0),0)</f>
        <v>0</v>
      </c>
      <c r="W57" s="336">
        <f t="shared" si="349"/>
        <v>0</v>
      </c>
      <c r="X57" s="252">
        <f>IFERROR(IF(T56&lt;&gt;0,T57/T56,0),0)</f>
        <v>0</v>
      </c>
      <c r="Y57" s="51">
        <f t="shared" si="328"/>
        <v>0</v>
      </c>
      <c r="Z57" s="46">
        <f t="shared" si="328"/>
        <v>0</v>
      </c>
      <c r="AA57" s="46">
        <f t="shared" si="328"/>
        <v>0</v>
      </c>
      <c r="AB57" s="46">
        <f t="shared" si="328"/>
        <v>0</v>
      </c>
      <c r="AC57" s="91">
        <f t="shared" si="9"/>
        <v>0</v>
      </c>
      <c r="AD57" s="75">
        <f>IF(AM57&lt;&gt;0,1-AR57/AM57,0)</f>
        <v>0.16036609629924381</v>
      </c>
      <c r="AE57" s="93">
        <f t="shared" si="329"/>
        <v>0</v>
      </c>
      <c r="AF57" s="93">
        <f t="shared" si="329"/>
        <v>0</v>
      </c>
      <c r="AG57" s="76">
        <f t="shared" si="329"/>
        <v>0</v>
      </c>
      <c r="AH57" s="73">
        <f t="shared" si="330"/>
        <v>25.13</v>
      </c>
      <c r="AI57" s="94">
        <f t="shared" si="331"/>
        <v>0</v>
      </c>
      <c r="AJ57" s="94">
        <f t="shared" si="331"/>
        <v>0</v>
      </c>
      <c r="AK57" s="49">
        <f>IFERROR(VLOOKUP($B57-IF(CompareVer="LY",1,0) &amp; $C57 &amp;AK$4,tblForecast,AK$2,FALSE),0)</f>
        <v>0</v>
      </c>
      <c r="AL57" s="47">
        <f t="shared" si="259"/>
        <v>0</v>
      </c>
      <c r="AM57" s="73">
        <f t="shared" si="332"/>
        <v>5.0259999999999989</v>
      </c>
      <c r="AN57" s="94">
        <f t="shared" si="333"/>
        <v>0</v>
      </c>
      <c r="AO57" s="94">
        <f t="shared" si="333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 t="shared" si="334"/>
        <v>4.22</v>
      </c>
      <c r="AS57" s="94">
        <f t="shared" si="335"/>
        <v>0</v>
      </c>
      <c r="AT57" s="94">
        <f t="shared" si="335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2">
        <f t="shared" si="336"/>
        <v>0.8</v>
      </c>
      <c r="AX57" s="193">
        <f t="shared" si="336"/>
        <v>0</v>
      </c>
      <c r="AY57" s="193">
        <f t="shared" si="336"/>
        <v>0</v>
      </c>
      <c r="AZ57" s="193">
        <f t="shared" si="336"/>
        <v>0</v>
      </c>
      <c r="BA57" s="237">
        <f t="shared" si="337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338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20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3"/>
        <v>0</v>
      </c>
      <c r="BS57" s="233">
        <f t="shared" si="22"/>
        <v>0</v>
      </c>
      <c r="BT57" s="236">
        <f t="shared" si="339"/>
        <v>0</v>
      </c>
      <c r="BU57" s="233">
        <f t="shared" si="339"/>
        <v>0</v>
      </c>
      <c r="BV57" s="233">
        <f>IF($A57="a",IFERROR(VLOOKUP($B57 &amp; $C57&amp;BV$4,tblForecast,BV$2,FALSE),0),BT57+BU57)</f>
        <v>0</v>
      </c>
      <c r="BW57" s="233">
        <f t="shared" si="340"/>
        <v>0</v>
      </c>
      <c r="BX57" s="233">
        <f t="shared" si="340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341"/>
        <v>0</v>
      </c>
      <c r="CB57" s="46">
        <f t="shared" si="341"/>
        <v>0</v>
      </c>
      <c r="CC57" s="46">
        <f>IF($A57="a",IFERROR(VLOOKUP($B57 &amp; $C57&amp;CC$4,tblForecast,CC$2,FALSE),0),CA57+CB57)</f>
        <v>0</v>
      </c>
      <c r="CD57" s="46">
        <f t="shared" si="342"/>
        <v>0</v>
      </c>
      <c r="CE57" s="46">
        <f t="shared" si="342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343"/>
        <v>0</v>
      </c>
      <c r="CI57" s="46">
        <f t="shared" si="343"/>
        <v>0</v>
      </c>
      <c r="CJ57" s="46">
        <f>IF($A57="a",IFERROR(VLOOKUP($B57 &amp; $C57&amp;CJ$4,tblForecast,CJ$2,FALSE),0),CH57+CI57)</f>
        <v>0</v>
      </c>
      <c r="CK57" s="46">
        <f t="shared" si="344"/>
        <v>0</v>
      </c>
      <c r="CL57" s="46">
        <f t="shared" si="344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46"/>
        <v>0</v>
      </c>
      <c r="CP57" s="225">
        <f t="shared" si="46"/>
        <v>0</v>
      </c>
      <c r="CQ57" s="195">
        <f t="shared" si="33"/>
        <v>0</v>
      </c>
      <c r="CR57" s="179">
        <f t="shared" si="44"/>
        <v>0</v>
      </c>
      <c r="CS57" s="225">
        <f t="shared" si="34"/>
        <v>0</v>
      </c>
      <c r="CT57" s="195">
        <f t="shared" si="47"/>
        <v>0</v>
      </c>
      <c r="CU57" s="44"/>
      <c r="CV57" s="345">
        <f t="shared" si="345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346"/>
        <v>0</v>
      </c>
      <c r="E58" s="203">
        <f t="shared" si="347"/>
        <v>0</v>
      </c>
      <c r="F58" s="183">
        <f t="shared" si="45"/>
        <v>0</v>
      </c>
      <c r="G58" s="177">
        <f t="shared" si="325"/>
        <v>0</v>
      </c>
      <c r="H58" s="204">
        <f t="shared" si="325"/>
        <v>0</v>
      </c>
      <c r="I58" s="204">
        <f t="shared" si="325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326"/>
        <v>0</v>
      </c>
      <c r="M58" s="90">
        <f t="shared" si="326"/>
        <v>0</v>
      </c>
      <c r="N58" s="46">
        <f t="shared" si="326"/>
        <v>0</v>
      </c>
      <c r="O58" s="46">
        <f t="shared" si="326"/>
        <v>0</v>
      </c>
      <c r="P58" s="47">
        <f t="shared" si="39"/>
        <v>0</v>
      </c>
      <c r="Q58" s="344">
        <f t="shared" si="348"/>
        <v>0</v>
      </c>
      <c r="R58" s="242">
        <f t="shared" si="327"/>
        <v>0</v>
      </c>
      <c r="S58" s="242">
        <f t="shared" si="327"/>
        <v>0</v>
      </c>
      <c r="T58" s="242">
        <f>IFERROR(VLOOKUP($B58-IF(CompareVer="LY",1,0) &amp; $C58 &amp;T$4,tblForecast,T$2,FALSE),0)</f>
        <v>0</v>
      </c>
      <c r="U58" s="91">
        <f t="shared" si="7"/>
        <v>0</v>
      </c>
      <c r="V58" s="251">
        <f t="shared" si="349"/>
        <v>0</v>
      </c>
      <c r="W58" s="336">
        <f t="shared" si="349"/>
        <v>0</v>
      </c>
      <c r="X58" s="252">
        <f>IFERROR(IF(T57&lt;&gt;0,T58/T57,0),0)</f>
        <v>0</v>
      </c>
      <c r="Y58" s="51">
        <f t="shared" si="328"/>
        <v>0</v>
      </c>
      <c r="Z58" s="46">
        <f t="shared" si="328"/>
        <v>0</v>
      </c>
      <c r="AA58" s="46">
        <f t="shared" si="328"/>
        <v>0</v>
      </c>
      <c r="AB58" s="46">
        <f t="shared" si="328"/>
        <v>0</v>
      </c>
      <c r="AC58" s="91">
        <f t="shared" si="9"/>
        <v>0</v>
      </c>
      <c r="AD58" s="75">
        <f>IF(AM58&lt;&gt;0,1-AR58/AM58,0)</f>
        <v>0.16036609629924381</v>
      </c>
      <c r="AE58" s="93">
        <f t="shared" si="329"/>
        <v>0</v>
      </c>
      <c r="AF58" s="93">
        <f t="shared" si="329"/>
        <v>0</v>
      </c>
      <c r="AG58" s="76">
        <f t="shared" si="329"/>
        <v>0</v>
      </c>
      <c r="AH58" s="73">
        <f t="shared" si="330"/>
        <v>25.13</v>
      </c>
      <c r="AI58" s="94">
        <f t="shared" si="331"/>
        <v>0</v>
      </c>
      <c r="AJ58" s="94">
        <f t="shared" si="331"/>
        <v>0</v>
      </c>
      <c r="AK58" s="49">
        <f>IFERROR(VLOOKUP($B58-IF(CompareVer="LY",1,0) &amp; $C58 &amp;AK$4,tblForecast,AK$2,FALSE),0)</f>
        <v>0</v>
      </c>
      <c r="AL58" s="47">
        <f t="shared" si="259"/>
        <v>0</v>
      </c>
      <c r="AM58" s="73">
        <f t="shared" si="332"/>
        <v>5.0259999999999989</v>
      </c>
      <c r="AN58" s="94">
        <f t="shared" si="333"/>
        <v>0</v>
      </c>
      <c r="AO58" s="94">
        <f t="shared" si="333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 t="shared" si="334"/>
        <v>4.22</v>
      </c>
      <c r="AS58" s="94">
        <f t="shared" si="335"/>
        <v>0</v>
      </c>
      <c r="AT58" s="94">
        <f t="shared" si="335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2">
        <f t="shared" si="336"/>
        <v>0.8</v>
      </c>
      <c r="AX58" s="193">
        <f t="shared" si="336"/>
        <v>0</v>
      </c>
      <c r="AY58" s="193">
        <f t="shared" si="336"/>
        <v>0</v>
      </c>
      <c r="AZ58" s="193">
        <f t="shared" si="336"/>
        <v>0</v>
      </c>
      <c r="BA58" s="237">
        <f t="shared" si="337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338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20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3"/>
        <v>0</v>
      </c>
      <c r="BS58" s="233">
        <f t="shared" si="22"/>
        <v>0</v>
      </c>
      <c r="BT58" s="236">
        <f t="shared" si="339"/>
        <v>0</v>
      </c>
      <c r="BU58" s="233">
        <f t="shared" si="339"/>
        <v>0</v>
      </c>
      <c r="BV58" s="233">
        <f>IF($A58="a",IFERROR(VLOOKUP($B58 &amp; $C58&amp;BV$4,tblForecast,BV$2,FALSE),0),BT58+BU58)</f>
        <v>0</v>
      </c>
      <c r="BW58" s="233">
        <f t="shared" si="340"/>
        <v>0</v>
      </c>
      <c r="BX58" s="233">
        <f t="shared" si="340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341"/>
        <v>0</v>
      </c>
      <c r="CB58" s="46">
        <f t="shared" si="341"/>
        <v>0</v>
      </c>
      <c r="CC58" s="46">
        <f>IF($A58="a",IFERROR(VLOOKUP($B58 &amp; $C58&amp;CC$4,tblForecast,CC$2,FALSE),0),CA58+CB58)</f>
        <v>0</v>
      </c>
      <c r="CD58" s="46">
        <f t="shared" si="342"/>
        <v>0</v>
      </c>
      <c r="CE58" s="46">
        <f t="shared" si="342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343"/>
        <v>0</v>
      </c>
      <c r="CI58" s="46">
        <f t="shared" si="343"/>
        <v>0</v>
      </c>
      <c r="CJ58" s="46">
        <f>IF($A58="a",IFERROR(VLOOKUP($B58 &amp; $C58&amp;CJ$4,tblForecast,CJ$2,FALSE),0),CH58+CI58)</f>
        <v>0</v>
      </c>
      <c r="CK58" s="46">
        <f t="shared" si="344"/>
        <v>0</v>
      </c>
      <c r="CL58" s="46">
        <f t="shared" si="344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46"/>
        <v>0</v>
      </c>
      <c r="CP58" s="225">
        <f t="shared" si="46"/>
        <v>0</v>
      </c>
      <c r="CQ58" s="195">
        <f t="shared" si="33"/>
        <v>0</v>
      </c>
      <c r="CR58" s="179">
        <f t="shared" si="44"/>
        <v>0</v>
      </c>
      <c r="CS58" s="225">
        <f t="shared" si="34"/>
        <v>0</v>
      </c>
      <c r="CT58" s="195">
        <f t="shared" si="47"/>
        <v>0</v>
      </c>
      <c r="CU58" s="44"/>
      <c r="CV58" s="345">
        <f t="shared" si="345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346"/>
        <v>0</v>
      </c>
      <c r="E59" s="203">
        <f t="shared" si="347"/>
        <v>0</v>
      </c>
      <c r="F59" s="183">
        <f t="shared" si="45"/>
        <v>0</v>
      </c>
      <c r="G59" s="177">
        <f t="shared" si="325"/>
        <v>0</v>
      </c>
      <c r="H59" s="204">
        <f t="shared" si="325"/>
        <v>0</v>
      </c>
      <c r="I59" s="204">
        <f t="shared" si="325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326"/>
        <v>0</v>
      </c>
      <c r="M59" s="90">
        <f t="shared" si="326"/>
        <v>0</v>
      </c>
      <c r="N59" s="46">
        <f t="shared" si="326"/>
        <v>0</v>
      </c>
      <c r="O59" s="46">
        <f t="shared" si="326"/>
        <v>0</v>
      </c>
      <c r="P59" s="47">
        <f t="shared" si="39"/>
        <v>0</v>
      </c>
      <c r="Q59" s="344">
        <f t="shared" si="348"/>
        <v>0</v>
      </c>
      <c r="R59" s="242">
        <f t="shared" si="327"/>
        <v>0</v>
      </c>
      <c r="S59" s="242">
        <f t="shared" si="327"/>
        <v>0</v>
      </c>
      <c r="T59" s="242">
        <f>IFERROR(VLOOKUP($B59-IF(CompareVer="LY",1,0) &amp; $C59 &amp;T$4,tblForecast,T$2,FALSE),0)</f>
        <v>0</v>
      </c>
      <c r="U59" s="91">
        <f t="shared" si="7"/>
        <v>0</v>
      </c>
      <c r="V59" s="251">
        <f t="shared" si="349"/>
        <v>0</v>
      </c>
      <c r="W59" s="336">
        <f t="shared" si="349"/>
        <v>0</v>
      </c>
      <c r="X59" s="252">
        <f>IFERROR(IF(T58&lt;&gt;0,T59/T58,0),0)</f>
        <v>0</v>
      </c>
      <c r="Y59" s="51">
        <f t="shared" si="328"/>
        <v>0</v>
      </c>
      <c r="Z59" s="46">
        <f t="shared" si="328"/>
        <v>0</v>
      </c>
      <c r="AA59" s="46">
        <f t="shared" si="328"/>
        <v>0</v>
      </c>
      <c r="AB59" s="46">
        <f t="shared" si="328"/>
        <v>0</v>
      </c>
      <c r="AC59" s="91">
        <f t="shared" si="9"/>
        <v>0</v>
      </c>
      <c r="AD59" s="75">
        <f>IF(AM59&lt;&gt;0,1-AR59/AM59,0)</f>
        <v>0.16036609629924381</v>
      </c>
      <c r="AE59" s="93">
        <f t="shared" si="329"/>
        <v>0</v>
      </c>
      <c r="AF59" s="93">
        <f t="shared" si="329"/>
        <v>0</v>
      </c>
      <c r="AG59" s="76">
        <f t="shared" si="329"/>
        <v>0</v>
      </c>
      <c r="AH59" s="73">
        <f t="shared" si="330"/>
        <v>25.13</v>
      </c>
      <c r="AI59" s="94">
        <f t="shared" si="331"/>
        <v>0</v>
      </c>
      <c r="AJ59" s="94">
        <f t="shared" si="331"/>
        <v>0</v>
      </c>
      <c r="AK59" s="49">
        <f>IFERROR(VLOOKUP($B59-IF(CompareVer="LY",1,0) &amp; $C59 &amp;AK$4,tblForecast,AK$2,FALSE),0)</f>
        <v>0</v>
      </c>
      <c r="AL59" s="47">
        <f t="shared" si="259"/>
        <v>0</v>
      </c>
      <c r="AM59" s="73">
        <f t="shared" si="332"/>
        <v>5.0259999999999989</v>
      </c>
      <c r="AN59" s="94">
        <f t="shared" si="333"/>
        <v>0</v>
      </c>
      <c r="AO59" s="94">
        <f t="shared" si="333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 t="shared" si="334"/>
        <v>4.22</v>
      </c>
      <c r="AS59" s="94">
        <f t="shared" si="335"/>
        <v>0</v>
      </c>
      <c r="AT59" s="94">
        <f t="shared" si="335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2">
        <f t="shared" si="336"/>
        <v>0.8</v>
      </c>
      <c r="AX59" s="193">
        <f t="shared" si="336"/>
        <v>0</v>
      </c>
      <c r="AY59" s="193">
        <f t="shared" si="336"/>
        <v>0</v>
      </c>
      <c r="AZ59" s="193">
        <f t="shared" si="336"/>
        <v>0</v>
      </c>
      <c r="BA59" s="237">
        <f t="shared" si="337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338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20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3"/>
        <v>0</v>
      </c>
      <c r="BS59" s="233">
        <f t="shared" si="22"/>
        <v>0</v>
      </c>
      <c r="BT59" s="236">
        <f t="shared" si="339"/>
        <v>0</v>
      </c>
      <c r="BU59" s="233">
        <f t="shared" si="339"/>
        <v>0</v>
      </c>
      <c r="BV59" s="233">
        <f>IF($A59="a",IFERROR(VLOOKUP($B59 &amp; $C59&amp;BV$4,tblForecast,BV$2,FALSE),0),BT59+BU59)</f>
        <v>0</v>
      </c>
      <c r="BW59" s="233">
        <f t="shared" si="340"/>
        <v>0</v>
      </c>
      <c r="BX59" s="233">
        <f t="shared" si="340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341"/>
        <v>0</v>
      </c>
      <c r="CB59" s="46">
        <f t="shared" si="341"/>
        <v>0</v>
      </c>
      <c r="CC59" s="46">
        <f>IF($A59="a",IFERROR(VLOOKUP($B59 &amp; $C59&amp;CC$4,tblForecast,CC$2,FALSE),0),CA59+CB59)</f>
        <v>0</v>
      </c>
      <c r="CD59" s="46">
        <f t="shared" si="342"/>
        <v>0</v>
      </c>
      <c r="CE59" s="46">
        <f t="shared" si="342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343"/>
        <v>0</v>
      </c>
      <c r="CI59" s="46">
        <f t="shared" si="343"/>
        <v>0</v>
      </c>
      <c r="CJ59" s="46">
        <f>IF($A59="a",IFERROR(VLOOKUP($B59 &amp; $C59&amp;CJ$4,tblForecast,CJ$2,FALSE),0),CH59+CI59)</f>
        <v>0</v>
      </c>
      <c r="CK59" s="46">
        <f t="shared" si="344"/>
        <v>0</v>
      </c>
      <c r="CL59" s="46">
        <f t="shared" si="344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46"/>
        <v>0</v>
      </c>
      <c r="CP59" s="225">
        <f t="shared" si="46"/>
        <v>0</v>
      </c>
      <c r="CQ59" s="195">
        <f t="shared" si="33"/>
        <v>0</v>
      </c>
      <c r="CR59" s="179">
        <f t="shared" si="44"/>
        <v>0</v>
      </c>
      <c r="CS59" s="225">
        <f t="shared" si="34"/>
        <v>0</v>
      </c>
      <c r="CT59" s="195">
        <f t="shared" si="47"/>
        <v>0</v>
      </c>
      <c r="CU59" s="44"/>
      <c r="CV59" s="345">
        <f t="shared" si="345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350">SUM(D56:D59)</f>
        <v>0</v>
      </c>
      <c r="E60" s="257">
        <f t="shared" ref="E60" si="351">SUM(E56:E59)</f>
        <v>0</v>
      </c>
      <c r="F60" s="258">
        <f t="shared" si="45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352">SUM(M56:M59)</f>
        <v>0</v>
      </c>
      <c r="N60" s="261">
        <f t="shared" si="352"/>
        <v>0</v>
      </c>
      <c r="O60" s="261">
        <f t="shared" si="352"/>
        <v>0</v>
      </c>
      <c r="P60" s="262">
        <f t="shared" si="39"/>
        <v>0</v>
      </c>
      <c r="Q60" s="263">
        <f>SUM(Q56:Q59)</f>
        <v>0</v>
      </c>
      <c r="R60" s="264">
        <f t="shared" ref="R60:S60" si="353">SUM(R56:R59)</f>
        <v>0</v>
      </c>
      <c r="S60" s="264">
        <f t="shared" si="353"/>
        <v>0</v>
      </c>
      <c r="T60" s="264">
        <f>SUM(T56:T59)</f>
        <v>0</v>
      </c>
      <c r="U60" s="262">
        <f t="shared" si="7"/>
        <v>0</v>
      </c>
      <c r="V60" s="265">
        <f t="shared" ref="V60:X61" si="354">V59</f>
        <v>0</v>
      </c>
      <c r="W60" s="334">
        <f t="shared" si="354"/>
        <v>0</v>
      </c>
      <c r="X60" s="266">
        <f t="shared" si="354"/>
        <v>0</v>
      </c>
      <c r="Y60" s="256">
        <f>SUM(Y56:Y59)</f>
        <v>0</v>
      </c>
      <c r="Z60" s="261">
        <f t="shared" ref="Z60:AB60" si="355">SUM(Z56:Z59)</f>
        <v>0</v>
      </c>
      <c r="AA60" s="261">
        <f t="shared" si="355"/>
        <v>0</v>
      </c>
      <c r="AB60" s="261">
        <f t="shared" si="355"/>
        <v>0</v>
      </c>
      <c r="AC60" s="262">
        <f t="shared" si="9"/>
        <v>0</v>
      </c>
      <c r="AD60" s="267">
        <f t="shared" ref="AD60:AG61" si="356">IFERROR(Y60/L60,0)</f>
        <v>0</v>
      </c>
      <c r="AE60" s="268">
        <f t="shared" si="356"/>
        <v>0</v>
      </c>
      <c r="AF60" s="268">
        <f t="shared" si="356"/>
        <v>0</v>
      </c>
      <c r="AG60" s="268">
        <f t="shared" si="356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K60" si="357">IFERROR(SUMPRODUCT(AJ56:AJ59,S56:S59)/S60,0)</f>
        <v>0</v>
      </c>
      <c r="AK60" s="270">
        <f t="shared" si="357"/>
        <v>0</v>
      </c>
      <c r="AL60" s="262">
        <f t="shared" si="259"/>
        <v>0</v>
      </c>
      <c r="AM60" s="269">
        <f t="shared" ref="AM60:AP61" si="358">IF(Q60&lt;&gt;0,L60/Q60,0)</f>
        <v>0</v>
      </c>
      <c r="AN60" s="270">
        <f t="shared" si="358"/>
        <v>0</v>
      </c>
      <c r="AO60" s="270">
        <f t="shared" si="358"/>
        <v>0</v>
      </c>
      <c r="AP60" s="270">
        <f t="shared" si="358"/>
        <v>0</v>
      </c>
      <c r="AQ60" s="262">
        <f t="shared" si="14"/>
        <v>0</v>
      </c>
      <c r="AR60" s="269">
        <f t="shared" ref="AR60:AU61" si="359">IFERROR((L60*(1-AD60))/Q60,0)</f>
        <v>0</v>
      </c>
      <c r="AS60" s="270">
        <f t="shared" si="359"/>
        <v>0</v>
      </c>
      <c r="AT60" s="270">
        <f t="shared" si="359"/>
        <v>0</v>
      </c>
      <c r="AU60" s="270">
        <f t="shared" si="359"/>
        <v>0</v>
      </c>
      <c r="AV60" s="262">
        <f t="shared" si="16"/>
        <v>0</v>
      </c>
      <c r="AW60" s="271">
        <f>IFERROR(SUMPRODUCT(AW56:AW59,Q56:Q59)/Q60,0)</f>
        <v>0</v>
      </c>
      <c r="AX60" s="272">
        <f t="shared" ref="AX60:AZ60" si="360">IFERROR(SUMPRODUCT(AX56:AX59,X56:X59)/X60,0)</f>
        <v>0</v>
      </c>
      <c r="AY60" s="272">
        <f t="shared" si="360"/>
        <v>0</v>
      </c>
      <c r="AZ60" s="272">
        <f t="shared" si="360"/>
        <v>0</v>
      </c>
      <c r="BA60" s="263">
        <f>BA59</f>
        <v>0</v>
      </c>
      <c r="BB60" s="264">
        <f t="shared" ref="BB60:BD61" si="361">BB59</f>
        <v>0</v>
      </c>
      <c r="BC60" s="264">
        <f t="shared" si="361"/>
        <v>0</v>
      </c>
      <c r="BD60" s="264">
        <f t="shared" si="361"/>
        <v>0</v>
      </c>
      <c r="BE60" s="262">
        <f t="shared" si="19"/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20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362">SUM(BO56:BO59)</f>
        <v>0</v>
      </c>
      <c r="BP60" s="263">
        <f>SUM(BP56:BP59)</f>
        <v>0</v>
      </c>
      <c r="BQ60" s="264">
        <f t="shared" si="362"/>
        <v>0</v>
      </c>
      <c r="BR60" s="263">
        <f t="shared" si="43"/>
        <v>0</v>
      </c>
      <c r="BS60" s="264">
        <f t="shared" si="22"/>
        <v>0</v>
      </c>
      <c r="BT60" s="263">
        <f t="shared" ref="BT60:BY60" si="363">SUM(BT56:BT59)</f>
        <v>0</v>
      </c>
      <c r="BU60" s="264">
        <f t="shared" si="363"/>
        <v>0</v>
      </c>
      <c r="BV60" s="264">
        <f t="shared" si="363"/>
        <v>0</v>
      </c>
      <c r="BW60" s="264">
        <f t="shared" si="363"/>
        <v>0</v>
      </c>
      <c r="BX60" s="264">
        <f t="shared" si="363"/>
        <v>0</v>
      </c>
      <c r="BY60" s="277">
        <f t="shared" si="363"/>
        <v>0</v>
      </c>
      <c r="BZ60" s="262">
        <f t="shared" si="25"/>
        <v>0</v>
      </c>
      <c r="CA60" s="340">
        <f t="shared" ref="CA60:CF60" si="364">SUM(CA56:CA59)</f>
        <v>0</v>
      </c>
      <c r="CB60" s="261">
        <f t="shared" si="364"/>
        <v>0</v>
      </c>
      <c r="CC60" s="261">
        <f t="shared" si="364"/>
        <v>0</v>
      </c>
      <c r="CD60" s="261">
        <f t="shared" si="364"/>
        <v>0</v>
      </c>
      <c r="CE60" s="261">
        <f t="shared" si="364"/>
        <v>0</v>
      </c>
      <c r="CF60" s="261">
        <f t="shared" si="364"/>
        <v>0</v>
      </c>
      <c r="CG60" s="262">
        <f t="shared" si="28"/>
        <v>0</v>
      </c>
      <c r="CH60" s="340">
        <f t="shared" ref="CH60:CM60" si="365">SUM(CH56:CH59)</f>
        <v>0</v>
      </c>
      <c r="CI60" s="261">
        <f t="shared" si="365"/>
        <v>0</v>
      </c>
      <c r="CJ60" s="261">
        <f t="shared" si="365"/>
        <v>0</v>
      </c>
      <c r="CK60" s="261">
        <f t="shared" si="365"/>
        <v>0</v>
      </c>
      <c r="CL60" s="261">
        <f t="shared" si="365"/>
        <v>0</v>
      </c>
      <c r="CM60" s="261">
        <f t="shared" si="365"/>
        <v>0</v>
      </c>
      <c r="CN60" s="262">
        <f t="shared" si="31"/>
        <v>0</v>
      </c>
      <c r="CO60" s="278">
        <f t="shared" si="46"/>
        <v>0</v>
      </c>
      <c r="CP60" s="279">
        <f t="shared" si="46"/>
        <v>0</v>
      </c>
      <c r="CQ60" s="262">
        <f t="shared" si="33"/>
        <v>0</v>
      </c>
      <c r="CR60" s="278">
        <f t="shared" si="44"/>
        <v>0</v>
      </c>
      <c r="CS60" s="279">
        <f t="shared" si="34"/>
        <v>0</v>
      </c>
      <c r="CT60" s="262">
        <f t="shared" si="47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6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:E61" si="366">D49+D55+D60</f>
        <v>0</v>
      </c>
      <c r="E61" s="206">
        <f t="shared" si="366"/>
        <v>0</v>
      </c>
      <c r="F61" s="207">
        <f t="shared" si="45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:K61" si="367">J49+J55+J60</f>
        <v>0</v>
      </c>
      <c r="K61" s="304">
        <f t="shared" si="367"/>
        <v>0</v>
      </c>
      <c r="L61" s="53">
        <f>L49+L55+L60</f>
        <v>0</v>
      </c>
      <c r="M61" s="53">
        <f t="shared" ref="M61:O61" si="368">M49+M55+M60</f>
        <v>0</v>
      </c>
      <c r="N61" s="53">
        <f t="shared" si="368"/>
        <v>0</v>
      </c>
      <c r="O61" s="53">
        <f t="shared" si="368"/>
        <v>0</v>
      </c>
      <c r="P61" s="54">
        <f t="shared" si="39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7"/>
        <v>0</v>
      </c>
      <c r="V61" s="249">
        <f t="shared" si="354"/>
        <v>0</v>
      </c>
      <c r="W61" s="335">
        <f t="shared" si="354"/>
        <v>0</v>
      </c>
      <c r="X61" s="250">
        <f t="shared" si="354"/>
        <v>0</v>
      </c>
      <c r="Y61" s="52">
        <f>Y49+Y55+Y60</f>
        <v>0</v>
      </c>
      <c r="Z61" s="53">
        <f t="shared" ref="Z61:AB61" si="369">Z49+Z55+Z60</f>
        <v>0</v>
      </c>
      <c r="AA61" s="53">
        <f t="shared" si="369"/>
        <v>0</v>
      </c>
      <c r="AB61" s="53">
        <f t="shared" si="369"/>
        <v>0</v>
      </c>
      <c r="AC61" s="54">
        <f t="shared" si="9"/>
        <v>0</v>
      </c>
      <c r="AD61" s="77">
        <f t="shared" si="356"/>
        <v>0</v>
      </c>
      <c r="AE61" s="78">
        <f t="shared" si="356"/>
        <v>0</v>
      </c>
      <c r="AF61" s="78">
        <f t="shared" si="356"/>
        <v>0</v>
      </c>
      <c r="AG61" s="78">
        <f t="shared" si="356"/>
        <v>0</v>
      </c>
      <c r="AH61" s="58">
        <f>IFERROR((AH49*Q49+AH55*Q55+AH60*Q60)/Q61,0)</f>
        <v>0</v>
      </c>
      <c r="AI61" s="58">
        <f t="shared" ref="AI61:AL61" si="370">IFERROR((AI49*R49+AI55*R55+AI60*R60)/R61,0)</f>
        <v>0</v>
      </c>
      <c r="AJ61" s="58">
        <f t="shared" si="370"/>
        <v>0</v>
      </c>
      <c r="AK61" s="58">
        <f t="shared" si="370"/>
        <v>0</v>
      </c>
      <c r="AL61" s="54">
        <f t="shared" si="370"/>
        <v>0</v>
      </c>
      <c r="AM61" s="57">
        <f t="shared" si="358"/>
        <v>0</v>
      </c>
      <c r="AN61" s="58">
        <f t="shared" si="358"/>
        <v>0</v>
      </c>
      <c r="AO61" s="58">
        <f t="shared" si="358"/>
        <v>0</v>
      </c>
      <c r="AP61" s="58">
        <f t="shared" si="358"/>
        <v>0</v>
      </c>
      <c r="AQ61" s="54">
        <f t="shared" si="14"/>
        <v>0</v>
      </c>
      <c r="AR61" s="57">
        <f t="shared" si="359"/>
        <v>0</v>
      </c>
      <c r="AS61" s="58">
        <f t="shared" si="359"/>
        <v>0</v>
      </c>
      <c r="AT61" s="58">
        <f t="shared" si="359"/>
        <v>0</v>
      </c>
      <c r="AU61" s="58">
        <f t="shared" si="35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1">IFERROR((AX49*X49+AX55*X55+AX60*X60)/X61,0)</f>
        <v>0</v>
      </c>
      <c r="AY61" s="60">
        <f t="shared" si="371"/>
        <v>0</v>
      </c>
      <c r="AZ61" s="60">
        <f t="shared" si="371"/>
        <v>0</v>
      </c>
      <c r="BA61" s="238">
        <f>BA60</f>
        <v>0</v>
      </c>
      <c r="BB61" s="232">
        <f t="shared" si="361"/>
        <v>0</v>
      </c>
      <c r="BC61" s="232">
        <f t="shared" si="361"/>
        <v>0</v>
      </c>
      <c r="BD61" s="232">
        <f t="shared" si="361"/>
        <v>0</v>
      </c>
      <c r="BE61" s="54">
        <f t="shared" si="19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20"/>
        <v>0</v>
      </c>
      <c r="BK61" s="61">
        <f t="shared" si="21"/>
        <v>0</v>
      </c>
      <c r="BL61" s="231">
        <f t="shared" ref="BL61:BY61" si="372">BL49+BL55+BL60</f>
        <v>0</v>
      </c>
      <c r="BM61" s="232">
        <f t="shared" si="372"/>
        <v>0</v>
      </c>
      <c r="BN61" s="231">
        <f t="shared" si="372"/>
        <v>0</v>
      </c>
      <c r="BO61" s="232">
        <f t="shared" si="372"/>
        <v>0</v>
      </c>
      <c r="BP61" s="231">
        <f t="shared" si="372"/>
        <v>0</v>
      </c>
      <c r="BQ61" s="232">
        <f t="shared" si="372"/>
        <v>0</v>
      </c>
      <c r="BR61" s="231">
        <f t="shared" si="43"/>
        <v>0</v>
      </c>
      <c r="BS61" s="232">
        <f t="shared" si="22"/>
        <v>0</v>
      </c>
      <c r="BT61" s="231">
        <f t="shared" si="372"/>
        <v>0</v>
      </c>
      <c r="BU61" s="232">
        <f t="shared" si="372"/>
        <v>0</v>
      </c>
      <c r="BV61" s="232">
        <f t="shared" si="372"/>
        <v>0</v>
      </c>
      <c r="BW61" s="232">
        <f t="shared" si="372"/>
        <v>0</v>
      </c>
      <c r="BX61" s="232">
        <f t="shared" si="372"/>
        <v>0</v>
      </c>
      <c r="BY61" s="56">
        <f t="shared" si="372"/>
        <v>0</v>
      </c>
      <c r="BZ61" s="54">
        <f t="shared" si="25"/>
        <v>0</v>
      </c>
      <c r="CA61" s="341">
        <f t="shared" ref="CA61:CF61" si="373">CA49+CA55+CA60</f>
        <v>0</v>
      </c>
      <c r="CB61" s="53">
        <f t="shared" si="373"/>
        <v>0</v>
      </c>
      <c r="CC61" s="53">
        <f t="shared" si="373"/>
        <v>0</v>
      </c>
      <c r="CD61" s="53">
        <f t="shared" si="373"/>
        <v>0</v>
      </c>
      <c r="CE61" s="53">
        <f t="shared" si="373"/>
        <v>0</v>
      </c>
      <c r="CF61" s="53">
        <f t="shared" si="373"/>
        <v>0</v>
      </c>
      <c r="CG61" s="54">
        <f t="shared" si="28"/>
        <v>0</v>
      </c>
      <c r="CH61" s="341">
        <f t="shared" ref="CH61:CM61" si="374">CH49+CH55+CH60</f>
        <v>0</v>
      </c>
      <c r="CI61" s="53">
        <f t="shared" si="374"/>
        <v>0</v>
      </c>
      <c r="CJ61" s="53">
        <f t="shared" si="374"/>
        <v>0</v>
      </c>
      <c r="CK61" s="53">
        <f t="shared" si="374"/>
        <v>0</v>
      </c>
      <c r="CL61" s="53">
        <f t="shared" si="374"/>
        <v>0</v>
      </c>
      <c r="CM61" s="53">
        <f t="shared" si="374"/>
        <v>0</v>
      </c>
      <c r="CN61" s="54">
        <f t="shared" si="31"/>
        <v>0</v>
      </c>
      <c r="CO61" s="55">
        <f t="shared" si="46"/>
        <v>0</v>
      </c>
      <c r="CP61" s="226">
        <f t="shared" si="46"/>
        <v>0</v>
      </c>
      <c r="CQ61" s="54">
        <f t="shared" si="33"/>
        <v>0</v>
      </c>
      <c r="CR61" s="55">
        <f t="shared" si="44"/>
        <v>0</v>
      </c>
      <c r="CS61" s="226">
        <f t="shared" si="34"/>
        <v>0</v>
      </c>
      <c r="CT61" s="54">
        <f t="shared" si="47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6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5"/>
        <v>0</v>
      </c>
      <c r="G62" s="177">
        <f t="shared" ref="G62:I65" si="375">IFERROR(VLOOKUP($B62 &amp; $C62&amp;G$4&amp;$A62,tblForecast,G$2,FALSE),0)</f>
        <v>0</v>
      </c>
      <c r="H62" s="204">
        <f t="shared" si="375"/>
        <v>0</v>
      </c>
      <c r="I62" s="204">
        <f t="shared" si="375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376">Q62*AM62</f>
        <v>0</v>
      </c>
      <c r="M62" s="90">
        <f t="shared" si="376"/>
        <v>0</v>
      </c>
      <c r="N62" s="46">
        <f t="shared" si="376"/>
        <v>0</v>
      </c>
      <c r="O62" s="46">
        <f t="shared" si="376"/>
        <v>0</v>
      </c>
      <c r="P62" s="47">
        <f t="shared" si="39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377">IFERROR(VLOOKUP($B62 &amp; $C62&amp;R$4,tblForecast,R$2,FALSE),0)</f>
        <v>0</v>
      </c>
      <c r="S62" s="242">
        <f t="shared" si="377"/>
        <v>0</v>
      </c>
      <c r="T62" s="242">
        <f>IFERROR(VLOOKUP($B62-IF(CompareVer="LY",1,0) &amp; $C62 &amp;T$4,tblForecast,T$2,FALSE),0)</f>
        <v>0</v>
      </c>
      <c r="U62" s="91">
        <f t="shared" si="7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378">IFERROR(L62*AD62,0)</f>
        <v>0</v>
      </c>
      <c r="Z62" s="46">
        <f t="shared" si="378"/>
        <v>0</v>
      </c>
      <c r="AA62" s="46">
        <f t="shared" si="378"/>
        <v>0</v>
      </c>
      <c r="AB62" s="46">
        <f t="shared" si="378"/>
        <v>0</v>
      </c>
      <c r="AC62" s="91">
        <f t="shared" si="9"/>
        <v>0</v>
      </c>
      <c r="AD62" s="75">
        <f>IF(AM62&lt;&gt;0,1-AR62/AM62,0)</f>
        <v>0.16036609629924381</v>
      </c>
      <c r="AE62" s="93">
        <f t="shared" ref="AE62:AG65" si="379">IF(AN62&lt;&gt;0,1-AS62/AN62,0)</f>
        <v>0</v>
      </c>
      <c r="AF62" s="93">
        <f t="shared" si="379"/>
        <v>0</v>
      </c>
      <c r="AG62" s="76">
        <f t="shared" si="379"/>
        <v>0</v>
      </c>
      <c r="AH62" s="73">
        <f t="shared" ref="AH62:AH65" si="380">DB62</f>
        <v>25.13</v>
      </c>
      <c r="AI62" s="94">
        <f t="shared" ref="AI62:AJ65" si="381">IFERROR(VLOOKUP($B62 &amp; $C62&amp;AI$4,tblForecast,AI$2,FALSE),0)</f>
        <v>0</v>
      </c>
      <c r="AJ62" s="94">
        <f t="shared" si="381"/>
        <v>0</v>
      </c>
      <c r="AK62" s="49">
        <f>IFERROR(VLOOKUP($B62-IF(CompareVer="LY",1,0) &amp; $C62 &amp;AK$4,tblForecast,AK$2,FALSE),0)</f>
        <v>0</v>
      </c>
      <c r="AL62" s="47">
        <f t="shared" ref="AL62:AL94" si="382">IFERROR(AH62/AK62-1,)</f>
        <v>0</v>
      </c>
      <c r="AM62" s="73">
        <f t="shared" ref="AM62:AM65" si="383">DA62</f>
        <v>5.0259999999999989</v>
      </c>
      <c r="AN62" s="94">
        <f t="shared" ref="AN62:AO65" si="384">IFERROR(VLOOKUP($B62 &amp; $C62&amp;AN$4,tblForecast,AN$2,FALSE),0)</f>
        <v>0</v>
      </c>
      <c r="AO62" s="94">
        <f t="shared" si="384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 t="shared" ref="AR62:AR65" si="385">DC62</f>
        <v>4.22</v>
      </c>
      <c r="AS62" s="94">
        <f t="shared" ref="AS62:AT65" si="386">IFERROR(VLOOKUP($B62 &amp; $C62&amp;AS$4,tblForecast,AS$2,FALSE),0)</f>
        <v>0</v>
      </c>
      <c r="AT62" s="94">
        <f t="shared" si="38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2">
        <f t="shared" ref="AW62:AZ65" si="387">IFERROR((AM62/AH62-1)*-1,0)</f>
        <v>0.8</v>
      </c>
      <c r="AX62" s="193">
        <f t="shared" si="387"/>
        <v>0</v>
      </c>
      <c r="AY62" s="193">
        <f t="shared" si="387"/>
        <v>0</v>
      </c>
      <c r="AZ62" s="193">
        <f t="shared" si="387"/>
        <v>0</v>
      </c>
      <c r="BA62" s="237">
        <f t="shared" ref="BA62:BA65" si="388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389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20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3"/>
        <v>0</v>
      </c>
      <c r="BS62" s="233">
        <f t="shared" si="22"/>
        <v>0</v>
      </c>
      <c r="BT62" s="236">
        <f t="shared" ref="BT62:BU65" si="390">IFERROR(VLOOKUP($B62 &amp; $C62&amp;BT$4,tblForecast,BT$2,FALSE),0)</f>
        <v>0</v>
      </c>
      <c r="BU62" s="233">
        <f t="shared" si="390"/>
        <v>0</v>
      </c>
      <c r="BV62" s="233">
        <f>IF($A62="a",IFERROR(VLOOKUP($B62 &amp; $C62&amp;BV$4,tblForecast,BV$2,FALSE),0),BT62+BU62)</f>
        <v>0</v>
      </c>
      <c r="BW62" s="233">
        <f t="shared" ref="BW62:BX65" si="391">IFERROR(VLOOKUP($B62 &amp; $C62&amp;BW$4,tblForecast,BW$2,FALSE),0)</f>
        <v>0</v>
      </c>
      <c r="BX62" s="233">
        <f t="shared" si="391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B65" si="392">IFERROR(VLOOKUP($B62 &amp; $C62&amp;CA$4,tblForecast,CA$2,FALSE),0)</f>
        <v>0</v>
      </c>
      <c r="CB62" s="46">
        <f t="shared" si="392"/>
        <v>0</v>
      </c>
      <c r="CC62" s="46">
        <f>IF($A62="a",IFERROR(VLOOKUP($B62 &amp; $C62&amp;CC$4,tblForecast,CC$2,FALSE),0),CA62+CB62)</f>
        <v>0</v>
      </c>
      <c r="CD62" s="46">
        <f t="shared" ref="CD62:CE65" si="393">IFERROR(VLOOKUP($B62 &amp; $C62&amp;CD$4,tblForecast,CD$2,FALSE),0)</f>
        <v>0</v>
      </c>
      <c r="CE62" s="46">
        <f t="shared" si="393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I65" si="394">IFERROR(VLOOKUP($B62 &amp; $C62&amp;CH$4,tblForecast,CH$2,FALSE),0)</f>
        <v>0</v>
      </c>
      <c r="CI62" s="46">
        <f t="shared" si="394"/>
        <v>0</v>
      </c>
      <c r="CJ62" s="46">
        <f>IF($A62="a",IFERROR(VLOOKUP($B62 &amp; $C62&amp;CJ$4,tblForecast,CJ$2,FALSE),0),CH62+CI62)</f>
        <v>0</v>
      </c>
      <c r="CK62" s="46">
        <f t="shared" ref="CK62:CL65" si="395">IFERROR(VLOOKUP($B62 &amp; $C62&amp;CK$4,tblForecast,CK$2,FALSE),0)</f>
        <v>0</v>
      </c>
      <c r="CL62" s="46">
        <f t="shared" si="395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46"/>
        <v>0</v>
      </c>
      <c r="CP62" s="225">
        <f t="shared" si="46"/>
        <v>0</v>
      </c>
      <c r="CQ62" s="195">
        <f t="shared" si="33"/>
        <v>0</v>
      </c>
      <c r="CR62" s="179">
        <f t="shared" si="44"/>
        <v>0</v>
      </c>
      <c r="CS62" s="225">
        <f t="shared" si="34"/>
        <v>0</v>
      </c>
      <c r="CT62" s="195">
        <f t="shared" si="47"/>
        <v>0</v>
      </c>
      <c r="CU62" s="44"/>
      <c r="CV62" s="345">
        <f t="shared" ref="CV62:CV65" si="396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397">G63*H63</f>
        <v>0</v>
      </c>
      <c r="E63" s="203">
        <f t="shared" ref="E63:E65" si="398">IFERROR(D63*F63,0)</f>
        <v>0</v>
      </c>
      <c r="F63" s="183">
        <f t="shared" si="45"/>
        <v>0</v>
      </c>
      <c r="G63" s="177">
        <f t="shared" si="375"/>
        <v>0</v>
      </c>
      <c r="H63" s="204">
        <f t="shared" si="375"/>
        <v>0</v>
      </c>
      <c r="I63" s="204">
        <f t="shared" si="375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376"/>
        <v>0</v>
      </c>
      <c r="M63" s="90">
        <f t="shared" si="376"/>
        <v>0</v>
      </c>
      <c r="N63" s="46">
        <f t="shared" si="376"/>
        <v>0</v>
      </c>
      <c r="O63" s="46">
        <f t="shared" si="376"/>
        <v>0</v>
      </c>
      <c r="P63" s="47">
        <f t="shared" si="39"/>
        <v>0</v>
      </c>
      <c r="Q63" s="244">
        <f t="shared" ref="Q63:Q65" si="399">IF(A62="a",IF(CV63=0,R63,IF(BA62-(Q62*IF(W63=0,X63,W63))&lt;0,BA62,Q62*IF(W63=0,X63,W63))),IF(BA62-(Q62*IF(W63=0,X63,W63))&lt;0,BA62,Q62*IF(W63=0,X63,W63)))</f>
        <v>0</v>
      </c>
      <c r="R63" s="242">
        <f t="shared" si="377"/>
        <v>0</v>
      </c>
      <c r="S63" s="242">
        <f t="shared" si="377"/>
        <v>0</v>
      </c>
      <c r="T63" s="242">
        <f>IFERROR(VLOOKUP($B63-IF(CompareVer="LY",1,0) &amp; $C63 &amp;T$4,tblForecast,T$2,FALSE),0)</f>
        <v>0</v>
      </c>
      <c r="U63" s="91">
        <f t="shared" si="7"/>
        <v>0</v>
      </c>
      <c r="V63" s="251">
        <f t="shared" ref="V63:W65" si="400">IFERROR(IF(Q62&lt;&gt;0,Q63/Q62,0),0)</f>
        <v>0</v>
      </c>
      <c r="W63" s="336">
        <f t="shared" si="400"/>
        <v>0</v>
      </c>
      <c r="X63" s="252">
        <f>IFERROR(IF(T62&lt;&gt;0,T63/T62,0),0)</f>
        <v>0</v>
      </c>
      <c r="Y63" s="51">
        <f t="shared" si="378"/>
        <v>0</v>
      </c>
      <c r="Z63" s="46">
        <f t="shared" si="378"/>
        <v>0</v>
      </c>
      <c r="AA63" s="46">
        <f t="shared" si="378"/>
        <v>0</v>
      </c>
      <c r="AB63" s="46">
        <f t="shared" si="378"/>
        <v>0</v>
      </c>
      <c r="AC63" s="91">
        <f t="shared" si="9"/>
        <v>0</v>
      </c>
      <c r="AD63" s="75">
        <f>IF(AM63&lt;&gt;0,1-AR63/AM63,0)</f>
        <v>0.16036609629924381</v>
      </c>
      <c r="AE63" s="93">
        <f t="shared" si="379"/>
        <v>0</v>
      </c>
      <c r="AF63" s="93">
        <f t="shared" si="379"/>
        <v>0</v>
      </c>
      <c r="AG63" s="76">
        <f t="shared" si="379"/>
        <v>0</v>
      </c>
      <c r="AH63" s="73">
        <f t="shared" si="380"/>
        <v>25.13</v>
      </c>
      <c r="AI63" s="94">
        <f t="shared" si="381"/>
        <v>0</v>
      </c>
      <c r="AJ63" s="94">
        <f t="shared" si="381"/>
        <v>0</v>
      </c>
      <c r="AK63" s="49">
        <f>IFERROR(VLOOKUP($B63-IF(CompareVer="LY",1,0) &amp; $C63 &amp;AK$4,tblForecast,AK$2,FALSE),0)</f>
        <v>0</v>
      </c>
      <c r="AL63" s="47">
        <f t="shared" si="382"/>
        <v>0</v>
      </c>
      <c r="AM63" s="73">
        <f t="shared" si="383"/>
        <v>5.0259999999999989</v>
      </c>
      <c r="AN63" s="94">
        <f t="shared" si="384"/>
        <v>0</v>
      </c>
      <c r="AO63" s="94">
        <f t="shared" si="384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 t="shared" si="385"/>
        <v>4.22</v>
      </c>
      <c r="AS63" s="94">
        <f t="shared" si="386"/>
        <v>0</v>
      </c>
      <c r="AT63" s="94">
        <f t="shared" si="38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2">
        <f t="shared" si="387"/>
        <v>0.8</v>
      </c>
      <c r="AX63" s="193">
        <f t="shared" si="387"/>
        <v>0</v>
      </c>
      <c r="AY63" s="193">
        <f t="shared" si="387"/>
        <v>0</v>
      </c>
      <c r="AZ63" s="193">
        <f t="shared" si="387"/>
        <v>0</v>
      </c>
      <c r="BA63" s="237">
        <f t="shared" si="388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389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20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3"/>
        <v>0</v>
      </c>
      <c r="BS63" s="233">
        <f t="shared" si="22"/>
        <v>0</v>
      </c>
      <c r="BT63" s="236">
        <f t="shared" si="390"/>
        <v>0</v>
      </c>
      <c r="BU63" s="233">
        <f t="shared" si="390"/>
        <v>0</v>
      </c>
      <c r="BV63" s="233">
        <f>IF($A63="a",IFERROR(VLOOKUP($B63 &amp; $C63&amp;BV$4,tblForecast,BV$2,FALSE),0),BT63+BU63)</f>
        <v>0</v>
      </c>
      <c r="BW63" s="233">
        <f t="shared" si="391"/>
        <v>0</v>
      </c>
      <c r="BX63" s="233">
        <f t="shared" si="391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392"/>
        <v>0</v>
      </c>
      <c r="CB63" s="46">
        <f t="shared" si="392"/>
        <v>0</v>
      </c>
      <c r="CC63" s="46">
        <f>IF($A63="a",IFERROR(VLOOKUP($B63 &amp; $C63&amp;CC$4,tblForecast,CC$2,FALSE),0),CA63+CB63)</f>
        <v>0</v>
      </c>
      <c r="CD63" s="46">
        <f t="shared" si="393"/>
        <v>0</v>
      </c>
      <c r="CE63" s="46">
        <f t="shared" si="393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394"/>
        <v>0</v>
      </c>
      <c r="CI63" s="46">
        <f t="shared" si="394"/>
        <v>0</v>
      </c>
      <c r="CJ63" s="46">
        <f>IF($A63="a",IFERROR(VLOOKUP($B63 &amp; $C63&amp;CJ$4,tblForecast,CJ$2,FALSE),0),CH63+CI63)</f>
        <v>0</v>
      </c>
      <c r="CK63" s="46">
        <f t="shared" si="395"/>
        <v>0</v>
      </c>
      <c r="CL63" s="46">
        <f t="shared" si="395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46"/>
        <v>0</v>
      </c>
      <c r="CP63" s="225">
        <f t="shared" si="46"/>
        <v>0</v>
      </c>
      <c r="CQ63" s="195">
        <f t="shared" si="33"/>
        <v>0</v>
      </c>
      <c r="CR63" s="179">
        <f t="shared" si="44"/>
        <v>0</v>
      </c>
      <c r="CS63" s="225">
        <f t="shared" si="34"/>
        <v>0</v>
      </c>
      <c r="CT63" s="195">
        <f t="shared" si="47"/>
        <v>0</v>
      </c>
      <c r="CU63" s="44"/>
      <c r="CV63" s="345">
        <f t="shared" si="396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397"/>
        <v>0</v>
      </c>
      <c r="E64" s="203">
        <f t="shared" si="398"/>
        <v>0</v>
      </c>
      <c r="F64" s="183">
        <f t="shared" si="45"/>
        <v>0</v>
      </c>
      <c r="G64" s="177">
        <f t="shared" si="375"/>
        <v>0</v>
      </c>
      <c r="H64" s="204">
        <f t="shared" si="375"/>
        <v>0</v>
      </c>
      <c r="I64" s="204">
        <f t="shared" si="375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376"/>
        <v>0</v>
      </c>
      <c r="M64" s="90">
        <f t="shared" si="376"/>
        <v>0</v>
      </c>
      <c r="N64" s="46">
        <f t="shared" si="376"/>
        <v>0</v>
      </c>
      <c r="O64" s="46">
        <f t="shared" si="376"/>
        <v>0</v>
      </c>
      <c r="P64" s="47">
        <f t="shared" si="39"/>
        <v>0</v>
      </c>
      <c r="Q64" s="244">
        <f t="shared" si="399"/>
        <v>0</v>
      </c>
      <c r="R64" s="242">
        <f t="shared" si="377"/>
        <v>0</v>
      </c>
      <c r="S64" s="242">
        <f t="shared" si="377"/>
        <v>0</v>
      </c>
      <c r="T64" s="242">
        <f>IFERROR(VLOOKUP($B64-IF(CompareVer="LY",1,0) &amp; $C64 &amp;T$4,tblForecast,T$2,FALSE),0)</f>
        <v>0</v>
      </c>
      <c r="U64" s="91">
        <f t="shared" si="7"/>
        <v>0</v>
      </c>
      <c r="V64" s="251">
        <f t="shared" si="400"/>
        <v>0</v>
      </c>
      <c r="W64" s="336">
        <f t="shared" si="400"/>
        <v>0</v>
      </c>
      <c r="X64" s="252">
        <f>IFERROR(IF(T63&lt;&gt;0,T64/T63,0),0)</f>
        <v>0</v>
      </c>
      <c r="Y64" s="51">
        <f t="shared" si="378"/>
        <v>0</v>
      </c>
      <c r="Z64" s="46">
        <f t="shared" si="378"/>
        <v>0</v>
      </c>
      <c r="AA64" s="46">
        <f t="shared" si="378"/>
        <v>0</v>
      </c>
      <c r="AB64" s="46">
        <f t="shared" si="378"/>
        <v>0</v>
      </c>
      <c r="AC64" s="91">
        <f t="shared" si="9"/>
        <v>0</v>
      </c>
      <c r="AD64" s="75">
        <f>IF(AM64&lt;&gt;0,1-AR64/AM64,0)</f>
        <v>0.16036609629924381</v>
      </c>
      <c r="AE64" s="93">
        <f t="shared" si="379"/>
        <v>0</v>
      </c>
      <c r="AF64" s="93">
        <f t="shared" si="379"/>
        <v>0</v>
      </c>
      <c r="AG64" s="76">
        <f t="shared" si="379"/>
        <v>0</v>
      </c>
      <c r="AH64" s="73">
        <f t="shared" si="380"/>
        <v>25.13</v>
      </c>
      <c r="AI64" s="94">
        <f t="shared" si="381"/>
        <v>0</v>
      </c>
      <c r="AJ64" s="94">
        <f t="shared" si="381"/>
        <v>0</v>
      </c>
      <c r="AK64" s="49">
        <f>IFERROR(VLOOKUP($B64-IF(CompareVer="LY",1,0) &amp; $C64 &amp;AK$4,tblForecast,AK$2,FALSE),0)</f>
        <v>0</v>
      </c>
      <c r="AL64" s="47">
        <f t="shared" si="382"/>
        <v>0</v>
      </c>
      <c r="AM64" s="73">
        <f t="shared" si="383"/>
        <v>5.0259999999999989</v>
      </c>
      <c r="AN64" s="94">
        <f t="shared" si="384"/>
        <v>0</v>
      </c>
      <c r="AO64" s="94">
        <f t="shared" si="384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 t="shared" si="385"/>
        <v>4.22</v>
      </c>
      <c r="AS64" s="94">
        <f t="shared" si="386"/>
        <v>0</v>
      </c>
      <c r="AT64" s="94">
        <f t="shared" si="38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2">
        <f t="shared" si="387"/>
        <v>0.8</v>
      </c>
      <c r="AX64" s="193">
        <f t="shared" si="387"/>
        <v>0</v>
      </c>
      <c r="AY64" s="193">
        <f t="shared" si="387"/>
        <v>0</v>
      </c>
      <c r="AZ64" s="193">
        <f t="shared" si="387"/>
        <v>0</v>
      </c>
      <c r="BA64" s="237">
        <f t="shared" si="388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389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20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3"/>
        <v>0</v>
      </c>
      <c r="BS64" s="233">
        <f t="shared" si="22"/>
        <v>0</v>
      </c>
      <c r="BT64" s="236">
        <f t="shared" si="390"/>
        <v>0</v>
      </c>
      <c r="BU64" s="233">
        <f t="shared" si="390"/>
        <v>0</v>
      </c>
      <c r="BV64" s="233">
        <f>IF($A64="a",IFERROR(VLOOKUP($B64 &amp; $C64&amp;BV$4,tblForecast,BV$2,FALSE),0),BT64+BU64)</f>
        <v>0</v>
      </c>
      <c r="BW64" s="233">
        <f t="shared" si="391"/>
        <v>0</v>
      </c>
      <c r="BX64" s="233">
        <f t="shared" si="391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392"/>
        <v>0</v>
      </c>
      <c r="CB64" s="46">
        <f t="shared" si="392"/>
        <v>0</v>
      </c>
      <c r="CC64" s="46">
        <f>IF($A64="a",IFERROR(VLOOKUP($B64 &amp; $C64&amp;CC$4,tblForecast,CC$2,FALSE),0),CA64+CB64)</f>
        <v>0</v>
      </c>
      <c r="CD64" s="46">
        <f t="shared" si="393"/>
        <v>0</v>
      </c>
      <c r="CE64" s="46">
        <f t="shared" si="393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394"/>
        <v>0</v>
      </c>
      <c r="CI64" s="46">
        <f t="shared" si="394"/>
        <v>0</v>
      </c>
      <c r="CJ64" s="46">
        <f>IF($A64="a",IFERROR(VLOOKUP($B64 &amp; $C64&amp;CJ$4,tblForecast,CJ$2,FALSE),0),CH64+CI64)</f>
        <v>0</v>
      </c>
      <c r="CK64" s="46">
        <f t="shared" si="395"/>
        <v>0</v>
      </c>
      <c r="CL64" s="46">
        <f t="shared" si="395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46"/>
        <v>0</v>
      </c>
      <c r="CP64" s="225">
        <f t="shared" si="46"/>
        <v>0</v>
      </c>
      <c r="CQ64" s="195">
        <f t="shared" si="33"/>
        <v>0</v>
      </c>
      <c r="CR64" s="179">
        <f t="shared" si="44"/>
        <v>0</v>
      </c>
      <c r="CS64" s="225">
        <f t="shared" si="34"/>
        <v>0</v>
      </c>
      <c r="CT64" s="195">
        <f t="shared" si="47"/>
        <v>0</v>
      </c>
      <c r="CU64" s="44"/>
      <c r="CV64" s="345">
        <f t="shared" si="396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397"/>
        <v>0</v>
      </c>
      <c r="E65" s="203">
        <f t="shared" si="398"/>
        <v>0</v>
      </c>
      <c r="F65" s="183">
        <f t="shared" si="45"/>
        <v>0</v>
      </c>
      <c r="G65" s="177">
        <f t="shared" si="375"/>
        <v>0</v>
      </c>
      <c r="H65" s="204">
        <f t="shared" si="375"/>
        <v>0</v>
      </c>
      <c r="I65" s="204">
        <f t="shared" si="375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376"/>
        <v>0</v>
      </c>
      <c r="M65" s="90">
        <f t="shared" si="376"/>
        <v>0</v>
      </c>
      <c r="N65" s="46">
        <f t="shared" si="376"/>
        <v>0</v>
      </c>
      <c r="O65" s="46">
        <f t="shared" si="376"/>
        <v>0</v>
      </c>
      <c r="P65" s="47">
        <f t="shared" si="39"/>
        <v>0</v>
      </c>
      <c r="Q65" s="244">
        <f t="shared" si="399"/>
        <v>0</v>
      </c>
      <c r="R65" s="242">
        <f t="shared" si="377"/>
        <v>0</v>
      </c>
      <c r="S65" s="242">
        <f t="shared" si="377"/>
        <v>0</v>
      </c>
      <c r="T65" s="242">
        <f>IFERROR(VLOOKUP($B65-IF(CompareVer="LY",1,0) &amp; $C65 &amp;T$4,tblForecast,T$2,FALSE),0)</f>
        <v>0</v>
      </c>
      <c r="U65" s="91">
        <f t="shared" si="7"/>
        <v>0</v>
      </c>
      <c r="V65" s="251">
        <f t="shared" si="400"/>
        <v>0</v>
      </c>
      <c r="W65" s="336">
        <f t="shared" si="400"/>
        <v>0</v>
      </c>
      <c r="X65" s="252">
        <f>IFERROR(IF(T64&lt;&gt;0,T65/T64,0),0)</f>
        <v>0</v>
      </c>
      <c r="Y65" s="51">
        <f t="shared" si="378"/>
        <v>0</v>
      </c>
      <c r="Z65" s="46">
        <f t="shared" si="378"/>
        <v>0</v>
      </c>
      <c r="AA65" s="46">
        <f t="shared" si="378"/>
        <v>0</v>
      </c>
      <c r="AB65" s="46">
        <f t="shared" si="378"/>
        <v>0</v>
      </c>
      <c r="AC65" s="91">
        <f t="shared" si="9"/>
        <v>0</v>
      </c>
      <c r="AD65" s="75">
        <f>IF(AM65&lt;&gt;0,1-AR65/AM65,0)</f>
        <v>0.16036609629924381</v>
      </c>
      <c r="AE65" s="93">
        <f t="shared" si="379"/>
        <v>0</v>
      </c>
      <c r="AF65" s="93">
        <f t="shared" si="379"/>
        <v>0</v>
      </c>
      <c r="AG65" s="76">
        <f t="shared" si="379"/>
        <v>0</v>
      </c>
      <c r="AH65" s="73">
        <f t="shared" si="380"/>
        <v>25.13</v>
      </c>
      <c r="AI65" s="94">
        <f t="shared" si="381"/>
        <v>0</v>
      </c>
      <c r="AJ65" s="94">
        <f t="shared" si="381"/>
        <v>0</v>
      </c>
      <c r="AK65" s="49">
        <f>IFERROR(VLOOKUP($B65-IF(CompareVer="LY",1,0) &amp; $C65 &amp;AK$4,tblForecast,AK$2,FALSE),0)</f>
        <v>0</v>
      </c>
      <c r="AL65" s="47">
        <f t="shared" si="382"/>
        <v>0</v>
      </c>
      <c r="AM65" s="73">
        <f t="shared" si="383"/>
        <v>5.0259999999999989</v>
      </c>
      <c r="AN65" s="94">
        <f t="shared" si="384"/>
        <v>0</v>
      </c>
      <c r="AO65" s="94">
        <f t="shared" si="384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 t="shared" si="385"/>
        <v>4.22</v>
      </c>
      <c r="AS65" s="94">
        <f t="shared" si="386"/>
        <v>0</v>
      </c>
      <c r="AT65" s="94">
        <f t="shared" si="38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2">
        <f t="shared" si="387"/>
        <v>0.8</v>
      </c>
      <c r="AX65" s="193">
        <f t="shared" si="387"/>
        <v>0</v>
      </c>
      <c r="AY65" s="193">
        <f t="shared" si="387"/>
        <v>0</v>
      </c>
      <c r="AZ65" s="193">
        <f t="shared" si="387"/>
        <v>0</v>
      </c>
      <c r="BA65" s="237">
        <f t="shared" si="388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389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20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3"/>
        <v>0</v>
      </c>
      <c r="BS65" s="233">
        <f t="shared" si="22"/>
        <v>0</v>
      </c>
      <c r="BT65" s="236">
        <f t="shared" si="390"/>
        <v>0</v>
      </c>
      <c r="BU65" s="233">
        <f t="shared" si="390"/>
        <v>0</v>
      </c>
      <c r="BV65" s="233">
        <f>IF($A65="a",IFERROR(VLOOKUP($B65 &amp; $C65&amp;BV$4,tblForecast,BV$2,FALSE),0),BT65+BU65)</f>
        <v>0</v>
      </c>
      <c r="BW65" s="233">
        <f t="shared" si="391"/>
        <v>0</v>
      </c>
      <c r="BX65" s="233">
        <f t="shared" si="391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392"/>
        <v>0</v>
      </c>
      <c r="CB65" s="46">
        <f t="shared" si="392"/>
        <v>0</v>
      </c>
      <c r="CC65" s="46">
        <f>IF($A65="a",IFERROR(VLOOKUP($B65 &amp; $C65&amp;CC$4,tblForecast,CC$2,FALSE),0),CA65+CB65)</f>
        <v>0</v>
      </c>
      <c r="CD65" s="46">
        <f t="shared" si="393"/>
        <v>0</v>
      </c>
      <c r="CE65" s="46">
        <f t="shared" si="393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394"/>
        <v>0</v>
      </c>
      <c r="CI65" s="46">
        <f t="shared" si="394"/>
        <v>0</v>
      </c>
      <c r="CJ65" s="46">
        <f>IF($A65="a",IFERROR(VLOOKUP($B65 &amp; $C65&amp;CJ$4,tblForecast,CJ$2,FALSE),0),CH65+CI65)</f>
        <v>0</v>
      </c>
      <c r="CK65" s="46">
        <f t="shared" si="395"/>
        <v>0</v>
      </c>
      <c r="CL65" s="46">
        <f t="shared" si="395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46"/>
        <v>0</v>
      </c>
      <c r="CP65" s="225">
        <f t="shared" si="46"/>
        <v>0</v>
      </c>
      <c r="CQ65" s="195">
        <f t="shared" si="33"/>
        <v>0</v>
      </c>
      <c r="CR65" s="179">
        <f t="shared" si="44"/>
        <v>0</v>
      </c>
      <c r="CS65" s="225">
        <f t="shared" si="34"/>
        <v>0</v>
      </c>
      <c r="CT65" s="195">
        <f t="shared" si="47"/>
        <v>0</v>
      </c>
      <c r="CU65" s="44"/>
      <c r="CV65" s="345">
        <f t="shared" si="396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401">SUM(D62:D65)</f>
        <v>0</v>
      </c>
      <c r="E66" s="257">
        <f t="shared" ref="E66" si="402">SUM(E62:E65)</f>
        <v>0</v>
      </c>
      <c r="F66" s="258">
        <f t="shared" si="45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403">SUM(M62:M65)</f>
        <v>0</v>
      </c>
      <c r="N66" s="261">
        <f t="shared" si="403"/>
        <v>0</v>
      </c>
      <c r="O66" s="261">
        <f t="shared" si="403"/>
        <v>0</v>
      </c>
      <c r="P66" s="262">
        <f t="shared" si="39"/>
        <v>0</v>
      </c>
      <c r="Q66" s="264">
        <f t="shared" ref="Q66:S66" si="404">SUM(Q62:Q65)</f>
        <v>0</v>
      </c>
      <c r="R66" s="264">
        <f t="shared" si="404"/>
        <v>0</v>
      </c>
      <c r="S66" s="264">
        <f t="shared" si="404"/>
        <v>0</v>
      </c>
      <c r="T66" s="264">
        <f>SUM(T62:T65)</f>
        <v>0</v>
      </c>
      <c r="U66" s="262">
        <f t="shared" si="7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405">SUM(Z62:Z65)</f>
        <v>0</v>
      </c>
      <c r="AA66" s="261">
        <f t="shared" si="405"/>
        <v>0</v>
      </c>
      <c r="AB66" s="261">
        <f t="shared" si="405"/>
        <v>0</v>
      </c>
      <c r="AC66" s="262">
        <f t="shared" si="9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:AK66" si="406">IFERROR(SUMPRODUCT(AJ62:AJ65,S62:S65)/S66,0)</f>
        <v>0</v>
      </c>
      <c r="AK66" s="270">
        <f t="shared" si="406"/>
        <v>0</v>
      </c>
      <c r="AL66" s="262">
        <f t="shared" si="382"/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14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16"/>
        <v>0</v>
      </c>
      <c r="AW66" s="271">
        <f>IFERROR(SUMPRODUCT(AW62:AW65,V62:V65)/V66,0)</f>
        <v>0</v>
      </c>
      <c r="AX66" s="272">
        <f t="shared" ref="AX66:AZ66" si="407">IFERROR(SUMPRODUCT(AX62:AX65,X62:X65)/X66,0)</f>
        <v>0</v>
      </c>
      <c r="AY66" s="272">
        <f t="shared" si="407"/>
        <v>0</v>
      </c>
      <c r="AZ66" s="272">
        <f t="shared" si="407"/>
        <v>0</v>
      </c>
      <c r="BA66" s="263">
        <f>BA65</f>
        <v>0</v>
      </c>
      <c r="BB66" s="264">
        <f t="shared" ref="BB66:BD66" si="408">BB65</f>
        <v>0</v>
      </c>
      <c r="BC66" s="264">
        <f t="shared" si="408"/>
        <v>0</v>
      </c>
      <c r="BD66" s="264">
        <f t="shared" si="408"/>
        <v>0</v>
      </c>
      <c r="BE66" s="262">
        <f t="shared" si="19"/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20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409">SUM(BO62:BO65)</f>
        <v>0</v>
      </c>
      <c r="BP66" s="263">
        <f>SUM(BP62:BP65)</f>
        <v>0</v>
      </c>
      <c r="BQ66" s="264">
        <f t="shared" si="409"/>
        <v>0</v>
      </c>
      <c r="BR66" s="263">
        <f t="shared" si="43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:BX66" si="410">SUM(BW62:BW65)</f>
        <v>0</v>
      </c>
      <c r="BX66" s="264">
        <f t="shared" si="410"/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411">SUM(CB62:CB65)</f>
        <v>0</v>
      </c>
      <c r="CC66" s="261">
        <f t="shared" si="411"/>
        <v>0</v>
      </c>
      <c r="CD66" s="261">
        <f t="shared" si="411"/>
        <v>0</v>
      </c>
      <c r="CE66" s="261">
        <f t="shared" si="411"/>
        <v>0</v>
      </c>
      <c r="CF66" s="261">
        <f t="shared" si="411"/>
        <v>0</v>
      </c>
      <c r="CG66" s="262">
        <f t="shared" si="28"/>
        <v>0</v>
      </c>
      <c r="CH66" s="340">
        <f>SUM(CH62:CH65)</f>
        <v>0</v>
      </c>
      <c r="CI66" s="261">
        <f t="shared" ref="CI66:CM66" si="412">SUM(CI62:CI65)</f>
        <v>0</v>
      </c>
      <c r="CJ66" s="261">
        <f t="shared" si="412"/>
        <v>0</v>
      </c>
      <c r="CK66" s="261">
        <f t="shared" si="412"/>
        <v>0</v>
      </c>
      <c r="CL66" s="261">
        <f t="shared" si="412"/>
        <v>0</v>
      </c>
      <c r="CM66" s="261">
        <f t="shared" si="412"/>
        <v>0</v>
      </c>
      <c r="CN66" s="262">
        <f t="shared" si="31"/>
        <v>0</v>
      </c>
      <c r="CO66" s="278">
        <f t="shared" si="46"/>
        <v>0</v>
      </c>
      <c r="CP66" s="279">
        <f t="shared" si="46"/>
        <v>0</v>
      </c>
      <c r="CQ66" s="262">
        <f t="shared" si="33"/>
        <v>0</v>
      </c>
      <c r="CR66" s="278">
        <f t="shared" si="44"/>
        <v>0</v>
      </c>
      <c r="CS66" s="279">
        <f t="shared" si="34"/>
        <v>0</v>
      </c>
      <c r="CT66" s="262">
        <f t="shared" si="47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6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5"/>
        <v>0</v>
      </c>
      <c r="G67" s="177">
        <f t="shared" ref="G67:I71" si="413">IFERROR(VLOOKUP($B67 &amp; $C67&amp;G$4&amp;$A67,tblForecast,G$2,FALSE),0)</f>
        <v>0</v>
      </c>
      <c r="H67" s="204">
        <f t="shared" si="413"/>
        <v>0</v>
      </c>
      <c r="I67" s="204">
        <f t="shared" si="413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414">Q67*AM67</f>
        <v>0</v>
      </c>
      <c r="M67" s="90">
        <f t="shared" si="414"/>
        <v>0</v>
      </c>
      <c r="N67" s="46">
        <f t="shared" si="414"/>
        <v>0</v>
      </c>
      <c r="O67" s="46">
        <f t="shared" si="414"/>
        <v>0</v>
      </c>
      <c r="P67" s="47">
        <f t="shared" si="39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415">IFERROR(VLOOKUP($B67 &amp; $C67&amp;R$4,tblForecast,R$2,FALSE),0)</f>
        <v>0</v>
      </c>
      <c r="S67" s="242">
        <f t="shared" si="415"/>
        <v>0</v>
      </c>
      <c r="T67" s="242">
        <f>IFERROR(VLOOKUP($B67-IF(CompareVer="LY",1,0) &amp; $C67 &amp;T$4,tblForecast,T$2,FALSE),0)</f>
        <v>0</v>
      </c>
      <c r="U67" s="91">
        <f t="shared" si="7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416">IFERROR(L67*AD67,0)</f>
        <v>0</v>
      </c>
      <c r="Z67" s="46">
        <f t="shared" si="416"/>
        <v>0</v>
      </c>
      <c r="AA67" s="46">
        <f t="shared" si="416"/>
        <v>0</v>
      </c>
      <c r="AB67" s="46">
        <f t="shared" si="416"/>
        <v>0</v>
      </c>
      <c r="AC67" s="91">
        <f t="shared" si="9"/>
        <v>0</v>
      </c>
      <c r="AD67" s="75">
        <f>IF(AM67&lt;&gt;0,1-AR67/AM67,0)</f>
        <v>0.16036609629924381</v>
      </c>
      <c r="AE67" s="93">
        <f t="shared" ref="AE67:AG71" si="417">IF(AN67&lt;&gt;0,1-AS67/AN67,0)</f>
        <v>0</v>
      </c>
      <c r="AF67" s="93">
        <f t="shared" si="417"/>
        <v>0</v>
      </c>
      <c r="AG67" s="76">
        <f t="shared" si="417"/>
        <v>0</v>
      </c>
      <c r="AH67" s="73">
        <f t="shared" ref="AH67:AH71" si="418">DB67</f>
        <v>25.13</v>
      </c>
      <c r="AI67" s="94">
        <f t="shared" ref="AI67:AJ71" si="419">IFERROR(VLOOKUP($B67 &amp; $C67&amp;AI$4,tblForecast,AI$2,FALSE),0)</f>
        <v>0</v>
      </c>
      <c r="AJ67" s="94">
        <f t="shared" si="419"/>
        <v>0</v>
      </c>
      <c r="AK67" s="49">
        <f>IFERROR(VLOOKUP($B67-IF(CompareVer="LY",1,0) &amp; $C67 &amp;AK$4,tblForecast,AK$2,FALSE),0)</f>
        <v>0</v>
      </c>
      <c r="AL67" s="47">
        <f t="shared" si="382"/>
        <v>0</v>
      </c>
      <c r="AM67" s="73">
        <f t="shared" ref="AM67:AM71" si="420">DA67</f>
        <v>5.0259999999999989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 t="shared" ref="AR67:AR71" si="422">DC67</f>
        <v>4.22</v>
      </c>
      <c r="AS67" s="94">
        <f t="shared" ref="AS67:AT71" si="423">IFERROR(VLOOKUP($B67 &amp; $C67&amp;AS$4,tblForecast,AS$2,FALSE),0)</f>
        <v>0</v>
      </c>
      <c r="AT67" s="94">
        <f t="shared" si="423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2">
        <f t="shared" ref="AW67:AZ71" si="424">IFERROR((AM67/AH67-1)*-1,0)</f>
        <v>0.8</v>
      </c>
      <c r="AX67" s="193">
        <f t="shared" si="424"/>
        <v>0</v>
      </c>
      <c r="AY67" s="193">
        <f t="shared" si="424"/>
        <v>0</v>
      </c>
      <c r="AZ67" s="193">
        <f t="shared" si="424"/>
        <v>0</v>
      </c>
      <c r="BA67" s="237">
        <f t="shared" ref="BA67:BA71" si="425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426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20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3"/>
        <v>0</v>
      </c>
      <c r="BS67" s="233">
        <f t="shared" si="22"/>
        <v>0</v>
      </c>
      <c r="BT67" s="236">
        <f t="shared" ref="BT67:BU71" si="427">IFERROR(VLOOKUP($B67 &amp; $C67&amp;BT$4,tblForecast,BT$2,FALSE),0)</f>
        <v>0</v>
      </c>
      <c r="BU67" s="233">
        <f t="shared" si="427"/>
        <v>0</v>
      </c>
      <c r="BV67" s="233">
        <f>IF($A67="a",IFERROR(VLOOKUP($B67 &amp; $C67&amp;BV$4,tblForecast,BV$2,FALSE),0),BT67+BU67)</f>
        <v>0</v>
      </c>
      <c r="BW67" s="233">
        <f t="shared" ref="BW67:BX71" si="428">IFERROR(VLOOKUP($B67 &amp; $C67&amp;BW$4,tblForecast,BW$2,FALSE),0)</f>
        <v>0</v>
      </c>
      <c r="BX67" s="233">
        <f t="shared" si="428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46"/>
        <v>0</v>
      </c>
      <c r="CP67" s="225">
        <f t="shared" si="46"/>
        <v>0</v>
      </c>
      <c r="CQ67" s="195">
        <f t="shared" si="33"/>
        <v>0</v>
      </c>
      <c r="CR67" s="179">
        <f t="shared" si="44"/>
        <v>0</v>
      </c>
      <c r="CS67" s="225">
        <f t="shared" si="34"/>
        <v>0</v>
      </c>
      <c r="CT67" s="195">
        <f t="shared" si="47"/>
        <v>0</v>
      </c>
      <c r="CU67" s="44"/>
      <c r="CV67" s="345">
        <f t="shared" ref="CV67:CV71" si="433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434">G68*H68</f>
        <v>0</v>
      </c>
      <c r="E68" s="203">
        <f t="shared" ref="E68:E71" si="435">IFERROR(D68*F68,0)</f>
        <v>0</v>
      </c>
      <c r="F68" s="183">
        <f t="shared" si="45"/>
        <v>0</v>
      </c>
      <c r="G68" s="177">
        <f t="shared" si="413"/>
        <v>0</v>
      </c>
      <c r="H68" s="204">
        <f t="shared" si="413"/>
        <v>0</v>
      </c>
      <c r="I68" s="204">
        <f t="shared" si="413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414"/>
        <v>0</v>
      </c>
      <c r="M68" s="90">
        <f t="shared" si="414"/>
        <v>0</v>
      </c>
      <c r="N68" s="46">
        <f t="shared" si="414"/>
        <v>0</v>
      </c>
      <c r="O68" s="46">
        <f t="shared" si="414"/>
        <v>0</v>
      </c>
      <c r="P68" s="47">
        <f t="shared" si="39"/>
        <v>0</v>
      </c>
      <c r="Q68" s="244">
        <f t="shared" ref="Q68:Q71" si="436">IF(A67="a",IF(CV68=0,R68,IF(BA67-(Q67*IF(W68=0,X68,W68))&lt;0,BA67,Q67*IF(W68=0,X68,W68))),IF(BA67-(Q67*IF(W68=0,X68,W68))&lt;0,BA67,Q67*IF(W68=0,X68,W68)))</f>
        <v>0</v>
      </c>
      <c r="R68" s="242">
        <f t="shared" si="415"/>
        <v>0</v>
      </c>
      <c r="S68" s="242">
        <f t="shared" si="415"/>
        <v>0</v>
      </c>
      <c r="T68" s="242">
        <f>IFERROR(VLOOKUP($B68-IF(CompareVer="LY",1,0) &amp; $C68 &amp;T$4,tblForecast,T$2,FALSE),0)</f>
        <v>0</v>
      </c>
      <c r="U68" s="91">
        <f t="shared" si="7"/>
        <v>0</v>
      </c>
      <c r="V68" s="251">
        <f t="shared" ref="V68:W71" si="437">IFERROR(IF(Q67&lt;&gt;0,Q68/Q67,0),0)</f>
        <v>0</v>
      </c>
      <c r="W68" s="336">
        <f t="shared" si="437"/>
        <v>0</v>
      </c>
      <c r="X68" s="252">
        <f>IFERROR(IF(T67&lt;&gt;0,T68/T67,0),0)</f>
        <v>0</v>
      </c>
      <c r="Y68" s="51">
        <f t="shared" si="416"/>
        <v>0</v>
      </c>
      <c r="Z68" s="46">
        <f t="shared" si="416"/>
        <v>0</v>
      </c>
      <c r="AA68" s="46">
        <f t="shared" si="416"/>
        <v>0</v>
      </c>
      <c r="AB68" s="46">
        <f t="shared" si="416"/>
        <v>0</v>
      </c>
      <c r="AC68" s="91">
        <f t="shared" si="9"/>
        <v>0</v>
      </c>
      <c r="AD68" s="75">
        <f>IF(AM68&lt;&gt;0,1-AR68/AM68,0)</f>
        <v>0.16036609629924381</v>
      </c>
      <c r="AE68" s="93">
        <f t="shared" si="417"/>
        <v>0</v>
      </c>
      <c r="AF68" s="93">
        <f t="shared" si="417"/>
        <v>0</v>
      </c>
      <c r="AG68" s="76">
        <f t="shared" si="417"/>
        <v>0</v>
      </c>
      <c r="AH68" s="73">
        <f t="shared" si="418"/>
        <v>25.13</v>
      </c>
      <c r="AI68" s="94">
        <f t="shared" si="419"/>
        <v>0</v>
      </c>
      <c r="AJ68" s="94">
        <f t="shared" si="419"/>
        <v>0</v>
      </c>
      <c r="AK68" s="49">
        <f>IFERROR(VLOOKUP($B68-IF(CompareVer="LY",1,0) &amp; $C68 &amp;AK$4,tblForecast,AK$2,FALSE),0)</f>
        <v>0</v>
      </c>
      <c r="AL68" s="47">
        <f t="shared" si="382"/>
        <v>0</v>
      </c>
      <c r="AM68" s="73">
        <f t="shared" si="420"/>
        <v>5.0259999999999989</v>
      </c>
      <c r="AN68" s="94">
        <f t="shared" si="421"/>
        <v>0</v>
      </c>
      <c r="AO68" s="94">
        <f t="shared" si="421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 t="shared" si="422"/>
        <v>4.22</v>
      </c>
      <c r="AS68" s="94">
        <f t="shared" si="423"/>
        <v>0</v>
      </c>
      <c r="AT68" s="94">
        <f t="shared" si="423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2">
        <f t="shared" si="424"/>
        <v>0.8</v>
      </c>
      <c r="AX68" s="193">
        <f t="shared" si="424"/>
        <v>0</v>
      </c>
      <c r="AY68" s="193">
        <f t="shared" si="424"/>
        <v>0</v>
      </c>
      <c r="AZ68" s="193">
        <f t="shared" si="424"/>
        <v>0</v>
      </c>
      <c r="BA68" s="237">
        <f t="shared" si="425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426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20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3"/>
        <v>0</v>
      </c>
      <c r="BS68" s="233">
        <f t="shared" si="22"/>
        <v>0</v>
      </c>
      <c r="BT68" s="236">
        <f t="shared" si="427"/>
        <v>0</v>
      </c>
      <c r="BU68" s="233">
        <f t="shared" si="427"/>
        <v>0</v>
      </c>
      <c r="BV68" s="233">
        <f>IF($A68="a",IFERROR(VLOOKUP($B68 &amp; $C68&amp;BV$4,tblForecast,BV$2,FALSE),0),BT68+BU68)</f>
        <v>0</v>
      </c>
      <c r="BW68" s="233">
        <f t="shared" si="428"/>
        <v>0</v>
      </c>
      <c r="BX68" s="233">
        <f t="shared" si="428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46"/>
        <v>0</v>
      </c>
      <c r="CP68" s="225">
        <f t="shared" si="46"/>
        <v>0</v>
      </c>
      <c r="CQ68" s="195">
        <f t="shared" si="33"/>
        <v>0</v>
      </c>
      <c r="CR68" s="179">
        <f t="shared" si="44"/>
        <v>0</v>
      </c>
      <c r="CS68" s="225">
        <f t="shared" si="34"/>
        <v>0</v>
      </c>
      <c r="CT68" s="195">
        <f t="shared" si="47"/>
        <v>0</v>
      </c>
      <c r="CU68" s="44"/>
      <c r="CV68" s="345">
        <f t="shared" si="433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434"/>
        <v>0</v>
      </c>
      <c r="E69" s="203">
        <f t="shared" si="435"/>
        <v>0</v>
      </c>
      <c r="F69" s="183">
        <f t="shared" si="45"/>
        <v>0</v>
      </c>
      <c r="G69" s="177">
        <f t="shared" si="413"/>
        <v>0</v>
      </c>
      <c r="H69" s="204">
        <f t="shared" si="413"/>
        <v>0</v>
      </c>
      <c r="I69" s="204">
        <f t="shared" si="413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414"/>
        <v>0</v>
      </c>
      <c r="M69" s="90">
        <f t="shared" si="414"/>
        <v>0</v>
      </c>
      <c r="N69" s="46">
        <f t="shared" si="414"/>
        <v>0</v>
      </c>
      <c r="O69" s="46">
        <f t="shared" si="414"/>
        <v>0</v>
      </c>
      <c r="P69" s="47">
        <f t="shared" si="39"/>
        <v>0</v>
      </c>
      <c r="Q69" s="244">
        <f t="shared" si="436"/>
        <v>0</v>
      </c>
      <c r="R69" s="242">
        <f t="shared" si="415"/>
        <v>0</v>
      </c>
      <c r="S69" s="242">
        <f t="shared" si="415"/>
        <v>0</v>
      </c>
      <c r="T69" s="242">
        <f>IFERROR(VLOOKUP($B69-IF(CompareVer="LY",1,0) &amp; $C69 &amp;T$4,tblForecast,T$2,FALSE),0)</f>
        <v>0</v>
      </c>
      <c r="U69" s="91">
        <f t="shared" si="7"/>
        <v>0</v>
      </c>
      <c r="V69" s="251">
        <f t="shared" si="437"/>
        <v>0</v>
      </c>
      <c r="W69" s="336">
        <f t="shared" si="437"/>
        <v>0</v>
      </c>
      <c r="X69" s="252">
        <f>IFERROR(IF(T68&lt;&gt;0,T69/T68,0),0)</f>
        <v>0</v>
      </c>
      <c r="Y69" s="51">
        <f t="shared" si="416"/>
        <v>0</v>
      </c>
      <c r="Z69" s="46">
        <f t="shared" si="416"/>
        <v>0</v>
      </c>
      <c r="AA69" s="46">
        <f t="shared" si="416"/>
        <v>0</v>
      </c>
      <c r="AB69" s="46">
        <f t="shared" si="416"/>
        <v>0</v>
      </c>
      <c r="AC69" s="91">
        <f t="shared" si="9"/>
        <v>0</v>
      </c>
      <c r="AD69" s="75">
        <f>IF(AM69&lt;&gt;0,1-AR69/AM69,0)</f>
        <v>0.16036609629924381</v>
      </c>
      <c r="AE69" s="93">
        <f t="shared" si="417"/>
        <v>0</v>
      </c>
      <c r="AF69" s="93">
        <f t="shared" si="417"/>
        <v>0</v>
      </c>
      <c r="AG69" s="76">
        <f t="shared" si="417"/>
        <v>0</v>
      </c>
      <c r="AH69" s="73">
        <f t="shared" si="418"/>
        <v>25.13</v>
      </c>
      <c r="AI69" s="94">
        <f t="shared" si="419"/>
        <v>0</v>
      </c>
      <c r="AJ69" s="94">
        <f t="shared" si="419"/>
        <v>0</v>
      </c>
      <c r="AK69" s="49">
        <f>IFERROR(VLOOKUP($B69-IF(CompareVer="LY",1,0) &amp; $C69 &amp;AK$4,tblForecast,AK$2,FALSE),0)</f>
        <v>0</v>
      </c>
      <c r="AL69" s="47">
        <f t="shared" si="382"/>
        <v>0</v>
      </c>
      <c r="AM69" s="73">
        <f t="shared" si="420"/>
        <v>5.0259999999999989</v>
      </c>
      <c r="AN69" s="94">
        <f t="shared" si="421"/>
        <v>0</v>
      </c>
      <c r="AO69" s="94">
        <f t="shared" si="421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 t="shared" si="422"/>
        <v>4.22</v>
      </c>
      <c r="AS69" s="94">
        <f t="shared" si="423"/>
        <v>0</v>
      </c>
      <c r="AT69" s="94">
        <f t="shared" si="423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2">
        <f t="shared" si="424"/>
        <v>0.8</v>
      </c>
      <c r="AX69" s="193">
        <f t="shared" si="424"/>
        <v>0</v>
      </c>
      <c r="AY69" s="193">
        <f t="shared" si="424"/>
        <v>0</v>
      </c>
      <c r="AZ69" s="193">
        <f t="shared" si="424"/>
        <v>0</v>
      </c>
      <c r="BA69" s="237">
        <f t="shared" si="425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426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20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3"/>
        <v>0</v>
      </c>
      <c r="BS69" s="233">
        <f t="shared" si="22"/>
        <v>0</v>
      </c>
      <c r="BT69" s="236">
        <f t="shared" si="427"/>
        <v>0</v>
      </c>
      <c r="BU69" s="233">
        <f t="shared" si="427"/>
        <v>0</v>
      </c>
      <c r="BV69" s="233">
        <f>IF($A69="a",IFERROR(VLOOKUP($B69 &amp; $C69&amp;BV$4,tblForecast,BV$2,FALSE),0),BT69+BU69)</f>
        <v>0</v>
      </c>
      <c r="BW69" s="233">
        <f t="shared" si="428"/>
        <v>0</v>
      </c>
      <c r="BX69" s="233">
        <f t="shared" si="428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46"/>
        <v>0</v>
      </c>
      <c r="CP69" s="225">
        <f t="shared" si="46"/>
        <v>0</v>
      </c>
      <c r="CQ69" s="195">
        <f t="shared" si="33"/>
        <v>0</v>
      </c>
      <c r="CR69" s="179">
        <f t="shared" si="44"/>
        <v>0</v>
      </c>
      <c r="CS69" s="225">
        <f t="shared" si="34"/>
        <v>0</v>
      </c>
      <c r="CT69" s="195">
        <f t="shared" si="47"/>
        <v>0</v>
      </c>
      <c r="CU69" s="44"/>
      <c r="CV69" s="345">
        <f t="shared" si="433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434"/>
        <v>0</v>
      </c>
      <c r="E70" s="203">
        <f t="shared" si="435"/>
        <v>0</v>
      </c>
      <c r="F70" s="183">
        <f t="shared" si="45"/>
        <v>0</v>
      </c>
      <c r="G70" s="177">
        <f t="shared" si="413"/>
        <v>0</v>
      </c>
      <c r="H70" s="204">
        <f t="shared" si="413"/>
        <v>0</v>
      </c>
      <c r="I70" s="204">
        <f t="shared" si="413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414"/>
        <v>0</v>
      </c>
      <c r="M70" s="90">
        <f t="shared" si="414"/>
        <v>0</v>
      </c>
      <c r="N70" s="46">
        <f t="shared" si="414"/>
        <v>0</v>
      </c>
      <c r="O70" s="46">
        <f t="shared" si="414"/>
        <v>0</v>
      </c>
      <c r="P70" s="47">
        <f t="shared" si="39"/>
        <v>0</v>
      </c>
      <c r="Q70" s="244">
        <f t="shared" si="436"/>
        <v>0</v>
      </c>
      <c r="R70" s="242">
        <f t="shared" si="415"/>
        <v>0</v>
      </c>
      <c r="S70" s="242">
        <f t="shared" si="415"/>
        <v>0</v>
      </c>
      <c r="T70" s="242">
        <f>IFERROR(VLOOKUP($B70-IF(CompareVer="LY",1,0) &amp; $C70 &amp;T$4,tblForecast,T$2,FALSE),0)</f>
        <v>0</v>
      </c>
      <c r="U70" s="91">
        <f t="shared" si="7"/>
        <v>0</v>
      </c>
      <c r="V70" s="251">
        <f t="shared" si="437"/>
        <v>0</v>
      </c>
      <c r="W70" s="336">
        <f t="shared" si="437"/>
        <v>0</v>
      </c>
      <c r="X70" s="252">
        <f>IFERROR(IF(T69&lt;&gt;0,T70/T69,0),0)</f>
        <v>0</v>
      </c>
      <c r="Y70" s="51">
        <f t="shared" si="416"/>
        <v>0</v>
      </c>
      <c r="Z70" s="46">
        <f t="shared" si="416"/>
        <v>0</v>
      </c>
      <c r="AA70" s="46">
        <f t="shared" si="416"/>
        <v>0</v>
      </c>
      <c r="AB70" s="46">
        <f t="shared" si="416"/>
        <v>0</v>
      </c>
      <c r="AC70" s="91">
        <f t="shared" si="9"/>
        <v>0</v>
      </c>
      <c r="AD70" s="75">
        <f>IF(AM70&lt;&gt;0,1-AR70/AM70,0)</f>
        <v>0.16036609629924381</v>
      </c>
      <c r="AE70" s="93">
        <f t="shared" si="417"/>
        <v>0</v>
      </c>
      <c r="AF70" s="93">
        <f t="shared" si="417"/>
        <v>0</v>
      </c>
      <c r="AG70" s="76">
        <f t="shared" si="417"/>
        <v>0</v>
      </c>
      <c r="AH70" s="73">
        <f t="shared" si="418"/>
        <v>25.13</v>
      </c>
      <c r="AI70" s="94">
        <f t="shared" si="419"/>
        <v>0</v>
      </c>
      <c r="AJ70" s="94">
        <f t="shared" si="419"/>
        <v>0</v>
      </c>
      <c r="AK70" s="49">
        <f>IFERROR(VLOOKUP($B70-IF(CompareVer="LY",1,0) &amp; $C70 &amp;AK$4,tblForecast,AK$2,FALSE),0)</f>
        <v>0</v>
      </c>
      <c r="AL70" s="47">
        <f t="shared" si="382"/>
        <v>0</v>
      </c>
      <c r="AM70" s="73">
        <f t="shared" si="420"/>
        <v>5.0259999999999989</v>
      </c>
      <c r="AN70" s="94">
        <f t="shared" si="421"/>
        <v>0</v>
      </c>
      <c r="AO70" s="94">
        <f t="shared" si="421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 t="shared" si="422"/>
        <v>4.22</v>
      </c>
      <c r="AS70" s="94">
        <f t="shared" si="423"/>
        <v>0</v>
      </c>
      <c r="AT70" s="94">
        <f t="shared" si="423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2">
        <f t="shared" si="424"/>
        <v>0.8</v>
      </c>
      <c r="AX70" s="193">
        <f t="shared" si="424"/>
        <v>0</v>
      </c>
      <c r="AY70" s="193">
        <f t="shared" si="424"/>
        <v>0</v>
      </c>
      <c r="AZ70" s="193">
        <f t="shared" si="424"/>
        <v>0</v>
      </c>
      <c r="BA70" s="237">
        <f t="shared" si="425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426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20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3"/>
        <v>0</v>
      </c>
      <c r="BS70" s="233">
        <f t="shared" si="22"/>
        <v>0</v>
      </c>
      <c r="BT70" s="236">
        <f t="shared" si="427"/>
        <v>0</v>
      </c>
      <c r="BU70" s="233">
        <f t="shared" si="427"/>
        <v>0</v>
      </c>
      <c r="BV70" s="233">
        <f>IF($A70="a",IFERROR(VLOOKUP($B70 &amp; $C70&amp;BV$4,tblForecast,BV$2,FALSE),0),BT70+BU70)</f>
        <v>0</v>
      </c>
      <c r="BW70" s="233">
        <f t="shared" si="428"/>
        <v>0</v>
      </c>
      <c r="BX70" s="233">
        <f t="shared" si="428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46"/>
        <v>0</v>
      </c>
      <c r="CP70" s="225">
        <f t="shared" si="46"/>
        <v>0</v>
      </c>
      <c r="CQ70" s="195">
        <f t="shared" si="33"/>
        <v>0</v>
      </c>
      <c r="CR70" s="179">
        <f t="shared" si="44"/>
        <v>0</v>
      </c>
      <c r="CS70" s="225">
        <f t="shared" si="34"/>
        <v>0</v>
      </c>
      <c r="CT70" s="195">
        <f t="shared" si="47"/>
        <v>0</v>
      </c>
      <c r="CU70" s="44"/>
      <c r="CV70" s="345">
        <f t="shared" si="433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434"/>
        <v>0</v>
      </c>
      <c r="E71" s="203">
        <f t="shared" si="435"/>
        <v>0</v>
      </c>
      <c r="F71" s="183">
        <f t="shared" si="45"/>
        <v>0</v>
      </c>
      <c r="G71" s="177">
        <f t="shared" si="413"/>
        <v>0</v>
      </c>
      <c r="H71" s="204">
        <f t="shared" si="413"/>
        <v>0</v>
      </c>
      <c r="I71" s="204">
        <f t="shared" si="413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414"/>
        <v>0</v>
      </c>
      <c r="M71" s="90">
        <f t="shared" si="414"/>
        <v>0</v>
      </c>
      <c r="N71" s="46">
        <f t="shared" si="414"/>
        <v>0</v>
      </c>
      <c r="O71" s="46">
        <f t="shared" si="414"/>
        <v>0</v>
      </c>
      <c r="P71" s="47">
        <f t="shared" si="39"/>
        <v>0</v>
      </c>
      <c r="Q71" s="244">
        <f t="shared" si="436"/>
        <v>0</v>
      </c>
      <c r="R71" s="242">
        <f t="shared" si="415"/>
        <v>0</v>
      </c>
      <c r="S71" s="242">
        <f t="shared" si="415"/>
        <v>0</v>
      </c>
      <c r="T71" s="242">
        <f>IFERROR(VLOOKUP($B71-IF(CompareVer="LY",1,0) &amp; $C71 &amp;T$4,tblForecast,T$2,FALSE),0)</f>
        <v>0</v>
      </c>
      <c r="U71" s="91">
        <f t="shared" si="7"/>
        <v>0</v>
      </c>
      <c r="V71" s="251">
        <f t="shared" si="437"/>
        <v>0</v>
      </c>
      <c r="W71" s="336">
        <f t="shared" si="437"/>
        <v>0</v>
      </c>
      <c r="X71" s="252">
        <f>IFERROR(IF(T70&lt;&gt;0,T71/T70,0),0)</f>
        <v>0</v>
      </c>
      <c r="Y71" s="51">
        <f t="shared" si="416"/>
        <v>0</v>
      </c>
      <c r="Z71" s="46">
        <f t="shared" si="416"/>
        <v>0</v>
      </c>
      <c r="AA71" s="46">
        <f t="shared" si="416"/>
        <v>0</v>
      </c>
      <c r="AB71" s="46">
        <f t="shared" si="416"/>
        <v>0</v>
      </c>
      <c r="AC71" s="91">
        <f t="shared" si="9"/>
        <v>0</v>
      </c>
      <c r="AD71" s="75">
        <f>IF(AM71&lt;&gt;0,1-AR71/AM71,0)</f>
        <v>0.16036609629924381</v>
      </c>
      <c r="AE71" s="93">
        <f t="shared" si="417"/>
        <v>0</v>
      </c>
      <c r="AF71" s="93">
        <f t="shared" si="417"/>
        <v>0</v>
      </c>
      <c r="AG71" s="76">
        <f t="shared" si="417"/>
        <v>0</v>
      </c>
      <c r="AH71" s="73">
        <f t="shared" si="418"/>
        <v>25.13</v>
      </c>
      <c r="AI71" s="94">
        <f t="shared" si="419"/>
        <v>0</v>
      </c>
      <c r="AJ71" s="94">
        <f t="shared" si="419"/>
        <v>0</v>
      </c>
      <c r="AK71" s="49">
        <f>IFERROR(VLOOKUP($B71-IF(CompareVer="LY",1,0) &amp; $C71 &amp;AK$4,tblForecast,AK$2,FALSE),0)</f>
        <v>0</v>
      </c>
      <c r="AL71" s="47">
        <f t="shared" si="382"/>
        <v>0</v>
      </c>
      <c r="AM71" s="73">
        <f t="shared" si="420"/>
        <v>5.0259999999999989</v>
      </c>
      <c r="AN71" s="94">
        <f t="shared" si="421"/>
        <v>0</v>
      </c>
      <c r="AO71" s="94">
        <f t="shared" si="421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 t="shared" si="422"/>
        <v>4.22</v>
      </c>
      <c r="AS71" s="94">
        <f t="shared" si="423"/>
        <v>0</v>
      </c>
      <c r="AT71" s="94">
        <f t="shared" si="423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2">
        <f t="shared" si="424"/>
        <v>0.8</v>
      </c>
      <c r="AX71" s="193">
        <f t="shared" si="424"/>
        <v>0</v>
      </c>
      <c r="AY71" s="193">
        <f t="shared" si="424"/>
        <v>0</v>
      </c>
      <c r="AZ71" s="193">
        <f t="shared" si="424"/>
        <v>0</v>
      </c>
      <c r="BA71" s="237">
        <f t="shared" si="425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426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20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3"/>
        <v>0</v>
      </c>
      <c r="BS71" s="233">
        <f t="shared" si="22"/>
        <v>0</v>
      </c>
      <c r="BT71" s="236">
        <f t="shared" si="427"/>
        <v>0</v>
      </c>
      <c r="BU71" s="233">
        <f t="shared" si="427"/>
        <v>0</v>
      </c>
      <c r="BV71" s="233">
        <f>IF($A71="a",IFERROR(VLOOKUP($B71 &amp; $C71&amp;BV$4,tblForecast,BV$2,FALSE),0),BT71+BU71)</f>
        <v>0</v>
      </c>
      <c r="BW71" s="233">
        <f t="shared" si="428"/>
        <v>0</v>
      </c>
      <c r="BX71" s="233">
        <f t="shared" si="428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46"/>
        <v>0</v>
      </c>
      <c r="CP71" s="225">
        <f t="shared" si="46"/>
        <v>0</v>
      </c>
      <c r="CQ71" s="195">
        <f t="shared" si="33"/>
        <v>0</v>
      </c>
      <c r="CR71" s="179">
        <f t="shared" si="44"/>
        <v>0</v>
      </c>
      <c r="CS71" s="225">
        <f t="shared" si="34"/>
        <v>0</v>
      </c>
      <c r="CT71" s="195">
        <f t="shared" si="47"/>
        <v>0</v>
      </c>
      <c r="CU71" s="44"/>
      <c r="CV71" s="345">
        <f t="shared" si="433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5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438">SUM(M67:M71)</f>
        <v>0</v>
      </c>
      <c r="N72" s="261">
        <f t="shared" si="438"/>
        <v>0</v>
      </c>
      <c r="O72" s="261">
        <f t="shared" si="438"/>
        <v>0</v>
      </c>
      <c r="P72" s="262">
        <f t="shared" si="39"/>
        <v>0</v>
      </c>
      <c r="Q72" s="263">
        <f>SUM(Q67:Q71)</f>
        <v>0</v>
      </c>
      <c r="R72" s="264">
        <f t="shared" ref="R72:S72" si="439">SUM(R67:R71)</f>
        <v>0</v>
      </c>
      <c r="S72" s="264">
        <f t="shared" si="439"/>
        <v>0</v>
      </c>
      <c r="T72" s="264">
        <f>SUM(T67:T71)</f>
        <v>0</v>
      </c>
      <c r="U72" s="262">
        <f t="shared" si="7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440">SUM(Z67:Z71)</f>
        <v>0</v>
      </c>
      <c r="AA72" s="261">
        <f t="shared" si="440"/>
        <v>0</v>
      </c>
      <c r="AB72" s="261">
        <f t="shared" si="440"/>
        <v>0</v>
      </c>
      <c r="AC72" s="262">
        <f t="shared" si="9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:AK72" si="441">IFERROR(SUMPRODUCT(AJ68:AJ71,S68:S71)/S72,0)</f>
        <v>0</v>
      </c>
      <c r="AK72" s="270">
        <f t="shared" si="441"/>
        <v>0</v>
      </c>
      <c r="AL72" s="262">
        <f t="shared" si="382"/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14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16"/>
        <v>0</v>
      </c>
      <c r="AW72" s="271">
        <f>IFERROR(SUMPRODUCT(AW67:AW71,V67:V71)/V72,0)</f>
        <v>0</v>
      </c>
      <c r="AX72" s="272">
        <f t="shared" ref="AX72:AZ72" si="442">IFERROR(SUMPRODUCT(AX67:AX71,X67:X71)/X72,0)</f>
        <v>0</v>
      </c>
      <c r="AY72" s="272">
        <f t="shared" si="442"/>
        <v>0</v>
      </c>
      <c r="AZ72" s="272">
        <f t="shared" si="442"/>
        <v>0</v>
      </c>
      <c r="BA72" s="263">
        <f>BA71</f>
        <v>0</v>
      </c>
      <c r="BB72" s="264">
        <f t="shared" ref="BB72:BD72" si="443">BB71</f>
        <v>0</v>
      </c>
      <c r="BC72" s="264">
        <f t="shared" si="443"/>
        <v>0</v>
      </c>
      <c r="BD72" s="264">
        <f t="shared" si="443"/>
        <v>0</v>
      </c>
      <c r="BE72" s="262">
        <f t="shared" si="19"/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20"/>
        <v>0</v>
      </c>
      <c r="BK72" s="276">
        <f t="shared" si="21"/>
        <v>0</v>
      </c>
      <c r="BL72" s="263">
        <f t="shared" ref="BL72" si="444">SUM(BL67:BL71)</f>
        <v>0</v>
      </c>
      <c r="BM72" s="264">
        <f>SUM(BM67:BM71)</f>
        <v>0</v>
      </c>
      <c r="BN72" s="263">
        <f t="shared" ref="BN72:BQ72" si="445">SUM(BN67:BN71)</f>
        <v>0</v>
      </c>
      <c r="BO72" s="264">
        <f t="shared" si="445"/>
        <v>0</v>
      </c>
      <c r="BP72" s="263">
        <f t="shared" si="445"/>
        <v>0</v>
      </c>
      <c r="BQ72" s="264">
        <f t="shared" si="445"/>
        <v>0</v>
      </c>
      <c r="BR72" s="263">
        <f t="shared" si="43"/>
        <v>0</v>
      </c>
      <c r="BS72" s="264">
        <f t="shared" si="22"/>
        <v>0</v>
      </c>
      <c r="BT72" s="263">
        <f t="shared" ref="BT72:BY72" si="446">SUM(BT67:BT71)</f>
        <v>0</v>
      </c>
      <c r="BU72" s="264">
        <f t="shared" si="446"/>
        <v>0</v>
      </c>
      <c r="BV72" s="264">
        <f t="shared" si="446"/>
        <v>0</v>
      </c>
      <c r="BW72" s="264">
        <f t="shared" si="446"/>
        <v>0</v>
      </c>
      <c r="BX72" s="264">
        <f t="shared" si="446"/>
        <v>0</v>
      </c>
      <c r="BY72" s="277">
        <f t="shared" si="446"/>
        <v>0</v>
      </c>
      <c r="BZ72" s="262">
        <f t="shared" si="25"/>
        <v>0</v>
      </c>
      <c r="CA72" s="340">
        <f t="shared" ref="CA72:CF72" si="447">SUM(CA67:CA71)</f>
        <v>0</v>
      </c>
      <c r="CB72" s="261">
        <f t="shared" si="447"/>
        <v>0</v>
      </c>
      <c r="CC72" s="261">
        <f t="shared" si="447"/>
        <v>0</v>
      </c>
      <c r="CD72" s="261">
        <f t="shared" si="447"/>
        <v>0</v>
      </c>
      <c r="CE72" s="261">
        <f t="shared" si="447"/>
        <v>0</v>
      </c>
      <c r="CF72" s="261">
        <f t="shared" si="447"/>
        <v>0</v>
      </c>
      <c r="CG72" s="262">
        <f t="shared" si="28"/>
        <v>0</v>
      </c>
      <c r="CH72" s="340">
        <f t="shared" ref="CH72:CM72" si="448">SUM(CH67:CH71)</f>
        <v>0</v>
      </c>
      <c r="CI72" s="261">
        <f t="shared" si="448"/>
        <v>0</v>
      </c>
      <c r="CJ72" s="261">
        <f t="shared" si="448"/>
        <v>0</v>
      </c>
      <c r="CK72" s="261">
        <f t="shared" si="448"/>
        <v>0</v>
      </c>
      <c r="CL72" s="261">
        <f t="shared" si="448"/>
        <v>0</v>
      </c>
      <c r="CM72" s="261">
        <f t="shared" si="448"/>
        <v>0</v>
      </c>
      <c r="CN72" s="262">
        <f t="shared" si="31"/>
        <v>0</v>
      </c>
      <c r="CO72" s="278">
        <f t="shared" si="46"/>
        <v>0</v>
      </c>
      <c r="CP72" s="279">
        <f t="shared" si="46"/>
        <v>0</v>
      </c>
      <c r="CQ72" s="262">
        <f t="shared" si="33"/>
        <v>0</v>
      </c>
      <c r="CR72" s="278">
        <f t="shared" si="44"/>
        <v>0</v>
      </c>
      <c r="CS72" s="279">
        <f t="shared" si="34"/>
        <v>0</v>
      </c>
      <c r="CT72" s="262">
        <f t="shared" si="47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6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5"/>
        <v>0</v>
      </c>
      <c r="G73" s="177">
        <f t="shared" ref="G73:I76" si="449">IFERROR(VLOOKUP($B73 &amp; $C73&amp;G$4&amp;$A73,tblForecast,G$2,FALSE),0)</f>
        <v>0</v>
      </c>
      <c r="H73" s="204">
        <f t="shared" si="449"/>
        <v>0</v>
      </c>
      <c r="I73" s="204">
        <f t="shared" si="449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450">Q73*AM73</f>
        <v>0</v>
      </c>
      <c r="M73" s="90">
        <f t="shared" si="450"/>
        <v>0</v>
      </c>
      <c r="N73" s="46">
        <f t="shared" si="450"/>
        <v>0</v>
      </c>
      <c r="O73" s="46">
        <f t="shared" si="450"/>
        <v>0</v>
      </c>
      <c r="P73" s="47">
        <f t="shared" si="39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451">IFERROR(VLOOKUP($B73 &amp; $C73&amp;R$4,tblForecast,R$2,FALSE),0)</f>
        <v>0</v>
      </c>
      <c r="S73" s="242">
        <f t="shared" si="451"/>
        <v>0</v>
      </c>
      <c r="T73" s="242">
        <f>IFERROR(VLOOKUP($B73-IF(CompareVer="LY",1,0) &amp; $C73 &amp;T$4,tblForecast,T$2,FALSE),0)</f>
        <v>0</v>
      </c>
      <c r="U73" s="91">
        <f t="shared" si="7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si="452"/>
        <v>0</v>
      </c>
      <c r="AC73" s="91">
        <f t="shared" si="9"/>
        <v>0</v>
      </c>
      <c r="AD73" s="75">
        <f>IF(AM73&lt;&gt;0,1-AR73/AM73,0)</f>
        <v>0.16036609629924381</v>
      </c>
      <c r="AE73" s="93">
        <f t="shared" ref="AE73:AG76" si="453">IF(AN73&lt;&gt;0,1-AS73/AN73,0)</f>
        <v>0</v>
      </c>
      <c r="AF73" s="93">
        <f t="shared" si="453"/>
        <v>0</v>
      </c>
      <c r="AG73" s="76">
        <f t="shared" si="453"/>
        <v>0</v>
      </c>
      <c r="AH73" s="73">
        <f t="shared" ref="AH73:AH76" si="454">DB73</f>
        <v>25.13</v>
      </c>
      <c r="AI73" s="94">
        <f t="shared" ref="AI73:AJ76" si="455">IFERROR(VLOOKUP($B73 &amp; $C73&amp;AI$4,tblForecast,AI$2,FALSE),0)</f>
        <v>0</v>
      </c>
      <c r="AJ73" s="94">
        <f t="shared" si="455"/>
        <v>0</v>
      </c>
      <c r="AK73" s="49">
        <f>IFERROR(VLOOKUP($B73-IF(CompareVer="LY",1,0) &amp; $C73 &amp;AK$4,tblForecast,AK$2,FALSE),0)</f>
        <v>0</v>
      </c>
      <c r="AL73" s="47">
        <f t="shared" si="382"/>
        <v>0</v>
      </c>
      <c r="AM73" s="73">
        <f t="shared" ref="AM73:AM76" si="456">DA73</f>
        <v>5.0259999999999989</v>
      </c>
      <c r="AN73" s="94">
        <f t="shared" ref="AN73:AO76" si="457">IFERROR(VLOOKUP($B73 &amp; $C73&amp;AN$4,tblForecast,AN$2,FALSE),0)</f>
        <v>0</v>
      </c>
      <c r="AO73" s="94">
        <f t="shared" si="457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 t="shared" ref="AR73:AR76" si="458">DC73</f>
        <v>4.22</v>
      </c>
      <c r="AS73" s="94">
        <f t="shared" ref="AS73:AT76" si="459">IFERROR(VLOOKUP($B73 &amp; $C73&amp;AS$4,tblForecast,AS$2,FALSE),0)</f>
        <v>0</v>
      </c>
      <c r="AT73" s="94">
        <f t="shared" si="459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2">
        <f t="shared" ref="AW73:AZ76" si="460">IFERROR((AM73/AH73-1)*-1,0)</f>
        <v>0.8</v>
      </c>
      <c r="AX73" s="193">
        <f t="shared" si="460"/>
        <v>0</v>
      </c>
      <c r="AY73" s="193">
        <f t="shared" si="460"/>
        <v>0</v>
      </c>
      <c r="AZ73" s="193">
        <f t="shared" si="460"/>
        <v>0</v>
      </c>
      <c r="BA73" s="237">
        <f t="shared" ref="BA73:BA76" si="461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462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20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3"/>
        <v>0</v>
      </c>
      <c r="BS73" s="233">
        <f t="shared" si="22"/>
        <v>0</v>
      </c>
      <c r="BT73" s="236">
        <f t="shared" ref="BT73:BU76" si="463">IFERROR(VLOOKUP($B73 &amp; $C73&amp;BT$4,tblForecast,BT$2,FALSE),0)</f>
        <v>0</v>
      </c>
      <c r="BU73" s="233">
        <f t="shared" si="463"/>
        <v>0</v>
      </c>
      <c r="BV73" s="233">
        <f>IF($A73="a",IFERROR(VLOOKUP($B73 &amp; $C73&amp;BV$4,tblForecast,BV$2,FALSE),0),BT73+BU73)</f>
        <v>0</v>
      </c>
      <c r="BW73" s="233">
        <f t="shared" ref="BW73:BX76" si="464">IFERROR(VLOOKUP($B73 &amp; $C73&amp;BW$4,tblForecast,BW$2,FALSE),0)</f>
        <v>0</v>
      </c>
      <c r="BX73" s="233">
        <f t="shared" si="464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B76" si="465">IFERROR(VLOOKUP($B73 &amp; $C73&amp;CA$4,tblForecast,CA$2,FALSE),0)</f>
        <v>0</v>
      </c>
      <c r="CB73" s="46">
        <f t="shared" si="465"/>
        <v>0</v>
      </c>
      <c r="CC73" s="46">
        <f>IF($A73="a",IFERROR(VLOOKUP($B73 &amp; $C73&amp;CC$4,tblForecast,CC$2,FALSE),0),CA73+CB73)</f>
        <v>0</v>
      </c>
      <c r="CD73" s="46">
        <f t="shared" ref="CD73:CE76" si="466">IFERROR(VLOOKUP($B73 &amp; $C73&amp;CD$4,tblForecast,CD$2,FALSE),0)</f>
        <v>0</v>
      </c>
      <c r="CE73" s="46">
        <f t="shared" si="466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I76" si="467">IFERROR(VLOOKUP($B73 &amp; $C73&amp;CH$4,tblForecast,CH$2,FALSE),0)</f>
        <v>0</v>
      </c>
      <c r="CI73" s="46">
        <f t="shared" si="467"/>
        <v>0</v>
      </c>
      <c r="CJ73" s="46">
        <f>IF($A73="a",IFERROR(VLOOKUP($B73 &amp; $C73&amp;CJ$4,tblForecast,CJ$2,FALSE),0),CH73+CI73)</f>
        <v>0</v>
      </c>
      <c r="CK73" s="46">
        <f t="shared" ref="CK73:CL76" si="468">IFERROR(VLOOKUP($B73 &amp; $C73&amp;CK$4,tblForecast,CK$2,FALSE),0)</f>
        <v>0</v>
      </c>
      <c r="CL73" s="46">
        <f t="shared" si="468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46"/>
        <v>0</v>
      </c>
      <c r="CP73" s="225">
        <f t="shared" si="46"/>
        <v>0</v>
      </c>
      <c r="CQ73" s="195">
        <f t="shared" si="33"/>
        <v>0</v>
      </c>
      <c r="CR73" s="179">
        <f t="shared" si="44"/>
        <v>0</v>
      </c>
      <c r="CS73" s="225">
        <f t="shared" si="34"/>
        <v>0</v>
      </c>
      <c r="CT73" s="195">
        <f t="shared" si="47"/>
        <v>0</v>
      </c>
      <c r="CU73" s="44"/>
      <c r="CV73" s="345">
        <f t="shared" ref="CV73:CV76" si="469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470">G74*H74</f>
        <v>0</v>
      </c>
      <c r="E74" s="203">
        <f t="shared" ref="E74:E76" si="471">IFERROR(D74*F74,0)</f>
        <v>0</v>
      </c>
      <c r="F74" s="183">
        <f t="shared" si="45"/>
        <v>0</v>
      </c>
      <c r="G74" s="177">
        <f t="shared" si="449"/>
        <v>0</v>
      </c>
      <c r="H74" s="204">
        <f t="shared" si="449"/>
        <v>0</v>
      </c>
      <c r="I74" s="204">
        <f t="shared" si="449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450"/>
        <v>0</v>
      </c>
      <c r="M74" s="90">
        <f t="shared" si="450"/>
        <v>0</v>
      </c>
      <c r="N74" s="46">
        <f t="shared" si="450"/>
        <v>0</v>
      </c>
      <c r="O74" s="46">
        <f t="shared" si="450"/>
        <v>0</v>
      </c>
      <c r="P74" s="47">
        <f t="shared" si="39"/>
        <v>0</v>
      </c>
      <c r="Q74" s="344">
        <f t="shared" ref="Q74:Q76" si="472">IF(A73="a",IF(CV74=0,R74,IF(BA73-(Q73*IF(W74=0,X74,W74))&lt;0,BA73,Q73*IF(W74=0,X74,W74))),IF(BA73-(Q73*IF(W74=0,X74,W74))&lt;0,BA73,Q73*IF(W74=0,X74,W74)))</f>
        <v>0</v>
      </c>
      <c r="R74" s="242">
        <f t="shared" si="451"/>
        <v>0</v>
      </c>
      <c r="S74" s="242">
        <f t="shared" si="451"/>
        <v>0</v>
      </c>
      <c r="T74" s="242">
        <f>IFERROR(VLOOKUP($B74-IF(CompareVer="LY",1,0) &amp; $C74 &amp;T$4,tblForecast,T$2,FALSE),0)</f>
        <v>0</v>
      </c>
      <c r="U74" s="91">
        <f t="shared" si="7"/>
        <v>0</v>
      </c>
      <c r="V74" s="251">
        <f t="shared" ref="V74:W76" si="473">IFERROR(IF(Q73&lt;&gt;0,Q74/Q73,0),0)</f>
        <v>0</v>
      </c>
      <c r="W74" s="336">
        <f t="shared" si="473"/>
        <v>0</v>
      </c>
      <c r="X74" s="252">
        <f>IFERROR(IF(T73&lt;&gt;0,T74/T73,0),0)</f>
        <v>0</v>
      </c>
      <c r="Y74" s="51">
        <f t="shared" si="452"/>
        <v>0</v>
      </c>
      <c r="Z74" s="46">
        <f t="shared" si="452"/>
        <v>0</v>
      </c>
      <c r="AA74" s="46">
        <f t="shared" si="452"/>
        <v>0</v>
      </c>
      <c r="AB74" s="46">
        <f t="shared" si="452"/>
        <v>0</v>
      </c>
      <c r="AC74" s="91">
        <f t="shared" si="9"/>
        <v>0</v>
      </c>
      <c r="AD74" s="75">
        <f>IF(AM74&lt;&gt;0,1-AR74/AM74,0)</f>
        <v>0.16036609629924381</v>
      </c>
      <c r="AE74" s="93">
        <f t="shared" si="453"/>
        <v>0</v>
      </c>
      <c r="AF74" s="93">
        <f t="shared" si="453"/>
        <v>0</v>
      </c>
      <c r="AG74" s="76">
        <f t="shared" si="453"/>
        <v>0</v>
      </c>
      <c r="AH74" s="73">
        <f t="shared" si="454"/>
        <v>25.13</v>
      </c>
      <c r="AI74" s="94">
        <f t="shared" si="455"/>
        <v>0</v>
      </c>
      <c r="AJ74" s="94">
        <f t="shared" si="455"/>
        <v>0</v>
      </c>
      <c r="AK74" s="49">
        <f>IFERROR(VLOOKUP($B74-IF(CompareVer="LY",1,0) &amp; $C74 &amp;AK$4,tblForecast,AK$2,FALSE),0)</f>
        <v>0</v>
      </c>
      <c r="AL74" s="47">
        <f t="shared" si="382"/>
        <v>0</v>
      </c>
      <c r="AM74" s="73">
        <f t="shared" si="456"/>
        <v>5.0259999999999989</v>
      </c>
      <c r="AN74" s="94">
        <f t="shared" si="457"/>
        <v>0</v>
      </c>
      <c r="AO74" s="94">
        <f t="shared" si="457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 t="shared" si="458"/>
        <v>4.22</v>
      </c>
      <c r="AS74" s="94">
        <f t="shared" si="459"/>
        <v>0</v>
      </c>
      <c r="AT74" s="94">
        <f t="shared" si="459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2">
        <f t="shared" si="460"/>
        <v>0.8</v>
      </c>
      <c r="AX74" s="193">
        <f t="shared" si="460"/>
        <v>0</v>
      </c>
      <c r="AY74" s="193">
        <f t="shared" si="460"/>
        <v>0</v>
      </c>
      <c r="AZ74" s="193">
        <f t="shared" si="460"/>
        <v>0</v>
      </c>
      <c r="BA74" s="237">
        <f t="shared" si="461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462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20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3"/>
        <v>0</v>
      </c>
      <c r="BS74" s="233">
        <f t="shared" si="22"/>
        <v>0</v>
      </c>
      <c r="BT74" s="236">
        <f t="shared" si="463"/>
        <v>0</v>
      </c>
      <c r="BU74" s="233">
        <f t="shared" si="463"/>
        <v>0</v>
      </c>
      <c r="BV74" s="233">
        <f>IF($A74="a",IFERROR(VLOOKUP($B74 &amp; $C74&amp;BV$4,tblForecast,BV$2,FALSE),0),BT74+BU74)</f>
        <v>0</v>
      </c>
      <c r="BW74" s="233">
        <f t="shared" si="464"/>
        <v>0</v>
      </c>
      <c r="BX74" s="233">
        <f t="shared" si="464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465"/>
        <v>0</v>
      </c>
      <c r="CB74" s="46">
        <f t="shared" si="465"/>
        <v>0</v>
      </c>
      <c r="CC74" s="46">
        <f>IF($A74="a",IFERROR(VLOOKUP($B74 &amp; $C74&amp;CC$4,tblForecast,CC$2,FALSE),0),CA74+CB74)</f>
        <v>0</v>
      </c>
      <c r="CD74" s="46">
        <f t="shared" si="466"/>
        <v>0</v>
      </c>
      <c r="CE74" s="46">
        <f t="shared" si="466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467"/>
        <v>0</v>
      </c>
      <c r="CI74" s="46">
        <f t="shared" si="467"/>
        <v>0</v>
      </c>
      <c r="CJ74" s="46">
        <f>IF($A74="a",IFERROR(VLOOKUP($B74 &amp; $C74&amp;CJ$4,tblForecast,CJ$2,FALSE),0),CH74+CI74)</f>
        <v>0</v>
      </c>
      <c r="CK74" s="46">
        <f t="shared" si="468"/>
        <v>0</v>
      </c>
      <c r="CL74" s="46">
        <f t="shared" si="468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46"/>
        <v>0</v>
      </c>
      <c r="CP74" s="225">
        <f t="shared" si="46"/>
        <v>0</v>
      </c>
      <c r="CQ74" s="195">
        <f t="shared" si="33"/>
        <v>0</v>
      </c>
      <c r="CR74" s="179">
        <f t="shared" si="44"/>
        <v>0</v>
      </c>
      <c r="CS74" s="225">
        <f t="shared" si="34"/>
        <v>0</v>
      </c>
      <c r="CT74" s="195">
        <f t="shared" si="47"/>
        <v>0</v>
      </c>
      <c r="CU74" s="44"/>
      <c r="CV74" s="345">
        <f t="shared" si="469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470"/>
        <v>0</v>
      </c>
      <c r="E75" s="203">
        <f t="shared" si="471"/>
        <v>0</v>
      </c>
      <c r="F75" s="183">
        <f t="shared" si="45"/>
        <v>0</v>
      </c>
      <c r="G75" s="177">
        <f t="shared" si="449"/>
        <v>0</v>
      </c>
      <c r="H75" s="204">
        <f t="shared" si="449"/>
        <v>0</v>
      </c>
      <c r="I75" s="204">
        <f t="shared" si="449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450"/>
        <v>0</v>
      </c>
      <c r="M75" s="90">
        <f t="shared" si="450"/>
        <v>0</v>
      </c>
      <c r="N75" s="46">
        <f t="shared" si="450"/>
        <v>0</v>
      </c>
      <c r="O75" s="46">
        <f t="shared" si="450"/>
        <v>0</v>
      </c>
      <c r="P75" s="47">
        <f t="shared" si="39"/>
        <v>0</v>
      </c>
      <c r="Q75" s="344">
        <f t="shared" si="472"/>
        <v>0</v>
      </c>
      <c r="R75" s="242">
        <f t="shared" si="451"/>
        <v>0</v>
      </c>
      <c r="S75" s="242">
        <f t="shared" si="451"/>
        <v>0</v>
      </c>
      <c r="T75" s="242">
        <f>IFERROR(VLOOKUP($B75-IF(CompareVer="LY",1,0) &amp; $C75 &amp;T$4,tblForecast,T$2,FALSE),0)</f>
        <v>0</v>
      </c>
      <c r="U75" s="91">
        <f t="shared" ref="U75:U96" si="474">IFERROR(Q75/T75-1,)</f>
        <v>0</v>
      </c>
      <c r="V75" s="251">
        <f t="shared" si="473"/>
        <v>0</v>
      </c>
      <c r="W75" s="336">
        <f t="shared" si="473"/>
        <v>0</v>
      </c>
      <c r="X75" s="252">
        <f>IFERROR(IF(T74&lt;&gt;0,T75/T74,0),0)</f>
        <v>0</v>
      </c>
      <c r="Y75" s="51">
        <f t="shared" si="452"/>
        <v>0</v>
      </c>
      <c r="Z75" s="46">
        <f t="shared" si="452"/>
        <v>0</v>
      </c>
      <c r="AA75" s="46">
        <f t="shared" si="452"/>
        <v>0</v>
      </c>
      <c r="AB75" s="46">
        <f t="shared" si="452"/>
        <v>0</v>
      </c>
      <c r="AC75" s="91">
        <f t="shared" ref="AC75:AC96" si="475">IFERROR(Y75/AB75-1,)</f>
        <v>0</v>
      </c>
      <c r="AD75" s="75">
        <f>IF(AM75&lt;&gt;0,1-AR75/AM75,0)</f>
        <v>0.16036609629924381</v>
      </c>
      <c r="AE75" s="93">
        <f t="shared" si="453"/>
        <v>0</v>
      </c>
      <c r="AF75" s="93">
        <f t="shared" si="453"/>
        <v>0</v>
      </c>
      <c r="AG75" s="76">
        <f t="shared" si="453"/>
        <v>0</v>
      </c>
      <c r="AH75" s="73">
        <f t="shared" si="454"/>
        <v>25.13</v>
      </c>
      <c r="AI75" s="94">
        <f t="shared" si="455"/>
        <v>0</v>
      </c>
      <c r="AJ75" s="94">
        <f t="shared" si="455"/>
        <v>0</v>
      </c>
      <c r="AK75" s="49">
        <f>IFERROR(VLOOKUP($B75-IF(CompareVer="LY",1,0) &amp; $C75 &amp;AK$4,tblForecast,AK$2,FALSE),0)</f>
        <v>0</v>
      </c>
      <c r="AL75" s="47">
        <f t="shared" si="382"/>
        <v>0</v>
      </c>
      <c r="AM75" s="73">
        <f t="shared" si="456"/>
        <v>5.0259999999999989</v>
      </c>
      <c r="AN75" s="94">
        <f t="shared" si="457"/>
        <v>0</v>
      </c>
      <c r="AO75" s="94">
        <f t="shared" si="457"/>
        <v>0</v>
      </c>
      <c r="AP75" s="49">
        <f>IFERROR(VLOOKUP($B75-IF(CompareVer="LY",1,0) &amp; $C75 &amp;AP$4,tblForecast,AP$2,FALSE),0)</f>
        <v>0</v>
      </c>
      <c r="AQ75" s="47">
        <f t="shared" ref="AQ75:AQ96" si="476">IFERROR(AM75/AP75-1,)</f>
        <v>0</v>
      </c>
      <c r="AR75" s="73">
        <f t="shared" si="458"/>
        <v>4.22</v>
      </c>
      <c r="AS75" s="94">
        <f t="shared" si="459"/>
        <v>0</v>
      </c>
      <c r="AT75" s="94">
        <f t="shared" si="459"/>
        <v>0</v>
      </c>
      <c r="AU75" s="49">
        <f>IFERROR(VLOOKUP($B75-IF(CompareVer="LY",1,0) &amp; $C75 &amp;AU$4,tblForecast,AU$2,FALSE),0)</f>
        <v>0</v>
      </c>
      <c r="AV75" s="47">
        <f t="shared" ref="AV75:AV96" si="477">IFERROR(AR75/AU75-1,)</f>
        <v>0</v>
      </c>
      <c r="AW75" s="192">
        <f t="shared" si="460"/>
        <v>0.8</v>
      </c>
      <c r="AX75" s="193">
        <f t="shared" si="460"/>
        <v>0</v>
      </c>
      <c r="AY75" s="193">
        <f t="shared" si="460"/>
        <v>0</v>
      </c>
      <c r="AZ75" s="193">
        <f t="shared" si="460"/>
        <v>0</v>
      </c>
      <c r="BA75" s="237">
        <f t="shared" si="461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462"/>
        <v>0</v>
      </c>
      <c r="BE75" s="195">
        <f t="shared" ref="BE75:BE96" si="478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479">IF(BA75&lt;&gt;0,Q75/BA75,0)</f>
        <v>0</v>
      </c>
      <c r="BK75" s="50">
        <f t="shared" ref="BK75:BK96" si="480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3"/>
        <v>0</v>
      </c>
      <c r="BS75" s="233">
        <f t="shared" si="43"/>
        <v>0</v>
      </c>
      <c r="BT75" s="236">
        <f t="shared" si="463"/>
        <v>0</v>
      </c>
      <c r="BU75" s="233">
        <f t="shared" si="463"/>
        <v>0</v>
      </c>
      <c r="BV75" s="233">
        <f>IF($A75="a",IFERROR(VLOOKUP($B75 &amp; $C75&amp;BV$4,tblForecast,BV$2,FALSE),0),BT75+BU75)</f>
        <v>0</v>
      </c>
      <c r="BW75" s="233">
        <f t="shared" si="464"/>
        <v>0</v>
      </c>
      <c r="BX75" s="233">
        <f t="shared" si="464"/>
        <v>0</v>
      </c>
      <c r="BY75" s="194">
        <f>IFERROR(VLOOKUP($B75-IF(CompareVer="LY",1,0) &amp; $C75 &amp;BY$4,tblForecast,BY$2,FALSE),0)</f>
        <v>0</v>
      </c>
      <c r="BZ75" s="195">
        <f t="shared" ref="BZ75:BZ96" si="481">IFERROR(BV75/BY75-1,)</f>
        <v>0</v>
      </c>
      <c r="CA75" s="339">
        <f t="shared" si="465"/>
        <v>0</v>
      </c>
      <c r="CB75" s="46">
        <f t="shared" si="465"/>
        <v>0</v>
      </c>
      <c r="CC75" s="46">
        <f>IF($A75="a",IFERROR(VLOOKUP($B75 &amp; $C75&amp;CC$4,tblForecast,CC$2,FALSE),0),CA75+CB75)</f>
        <v>0</v>
      </c>
      <c r="CD75" s="46">
        <f t="shared" si="466"/>
        <v>0</v>
      </c>
      <c r="CE75" s="46">
        <f t="shared" si="466"/>
        <v>0</v>
      </c>
      <c r="CF75" s="46">
        <f>IFERROR(VLOOKUP($B75-IF(CompareVer="LY",1,0) &amp; $C75 &amp;CF$4,tblForecast,CF$2,FALSE),0)</f>
        <v>0</v>
      </c>
      <c r="CG75" s="195">
        <f t="shared" ref="CG75:CG96" si="482">IFERROR(CC75/CF75-1,)</f>
        <v>0</v>
      </c>
      <c r="CH75" s="339">
        <f t="shared" si="467"/>
        <v>0</v>
      </c>
      <c r="CI75" s="46">
        <f t="shared" si="467"/>
        <v>0</v>
      </c>
      <c r="CJ75" s="46">
        <f>IF($A75="a",IFERROR(VLOOKUP($B75 &amp; $C75&amp;CJ$4,tblForecast,CJ$2,FALSE),0),CH75+CI75)</f>
        <v>0</v>
      </c>
      <c r="CK75" s="46">
        <f t="shared" si="468"/>
        <v>0</v>
      </c>
      <c r="CL75" s="46">
        <f t="shared" si="468"/>
        <v>0</v>
      </c>
      <c r="CM75" s="46">
        <f>IFERROR(VLOOKUP($B75-IF(CompareVer="LY",1,0) &amp; $C75 &amp;CM$4,tblForecast,CM$2,FALSE),0)</f>
        <v>0</v>
      </c>
      <c r="CN75" s="195">
        <f t="shared" ref="CN75:CN96" si="483">IFERROR(CJ75/CM75-1,)</f>
        <v>0</v>
      </c>
      <c r="CO75" s="179">
        <f t="shared" si="46"/>
        <v>0</v>
      </c>
      <c r="CP75" s="225">
        <f t="shared" si="46"/>
        <v>0</v>
      </c>
      <c r="CQ75" s="195">
        <f t="shared" ref="CQ75:CQ96" si="484">IFERROR(CL75/CP75-1,)</f>
        <v>0</v>
      </c>
      <c r="CR75" s="179">
        <f t="shared" si="44"/>
        <v>0</v>
      </c>
      <c r="CS75" s="225">
        <f t="shared" si="44"/>
        <v>0</v>
      </c>
      <c r="CT75" s="195">
        <f t="shared" si="47"/>
        <v>0</v>
      </c>
      <c r="CU75" s="44"/>
      <c r="CV75" s="345">
        <f t="shared" si="469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470"/>
        <v>0</v>
      </c>
      <c r="E76" s="203">
        <f t="shared" si="471"/>
        <v>0</v>
      </c>
      <c r="F76" s="183">
        <f t="shared" si="45"/>
        <v>0</v>
      </c>
      <c r="G76" s="177">
        <f t="shared" si="449"/>
        <v>0</v>
      </c>
      <c r="H76" s="204">
        <f t="shared" si="449"/>
        <v>0</v>
      </c>
      <c r="I76" s="204">
        <f t="shared" si="449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450"/>
        <v>0</v>
      </c>
      <c r="M76" s="90">
        <f t="shared" si="450"/>
        <v>0</v>
      </c>
      <c r="N76" s="46">
        <f t="shared" si="450"/>
        <v>0</v>
      </c>
      <c r="O76" s="46">
        <f t="shared" si="450"/>
        <v>0</v>
      </c>
      <c r="P76" s="47">
        <f t="shared" ref="P76:P96" si="485">IFERROR(L76/O76-1,)</f>
        <v>0</v>
      </c>
      <c r="Q76" s="344">
        <f t="shared" si="472"/>
        <v>0</v>
      </c>
      <c r="R76" s="242">
        <f t="shared" si="451"/>
        <v>0</v>
      </c>
      <c r="S76" s="242">
        <f t="shared" si="451"/>
        <v>0</v>
      </c>
      <c r="T76" s="242">
        <f>IFERROR(VLOOKUP($B76-IF(CompareVer="LY",1,0) &amp; $C76 &amp;T$4,tblForecast,T$2,FALSE),0)</f>
        <v>0</v>
      </c>
      <c r="U76" s="91">
        <f t="shared" si="474"/>
        <v>0</v>
      </c>
      <c r="V76" s="251">
        <f t="shared" si="473"/>
        <v>0</v>
      </c>
      <c r="W76" s="336">
        <f t="shared" si="473"/>
        <v>0</v>
      </c>
      <c r="X76" s="252">
        <f>IFERROR(IF(T75&lt;&gt;0,T76/T75,0),0)</f>
        <v>0</v>
      </c>
      <c r="Y76" s="51">
        <f t="shared" si="452"/>
        <v>0</v>
      </c>
      <c r="Z76" s="46">
        <f t="shared" si="452"/>
        <v>0</v>
      </c>
      <c r="AA76" s="46">
        <f t="shared" si="452"/>
        <v>0</v>
      </c>
      <c r="AB76" s="46">
        <f t="shared" si="452"/>
        <v>0</v>
      </c>
      <c r="AC76" s="91">
        <f t="shared" si="475"/>
        <v>0</v>
      </c>
      <c r="AD76" s="75">
        <f>IF(AM76&lt;&gt;0,1-AR76/AM76,0)</f>
        <v>0.16036609629924381</v>
      </c>
      <c r="AE76" s="93">
        <f t="shared" si="453"/>
        <v>0</v>
      </c>
      <c r="AF76" s="93">
        <f t="shared" si="453"/>
        <v>0</v>
      </c>
      <c r="AG76" s="76">
        <f t="shared" si="453"/>
        <v>0</v>
      </c>
      <c r="AH76" s="73">
        <f t="shared" si="454"/>
        <v>25.13</v>
      </c>
      <c r="AI76" s="94">
        <f t="shared" si="455"/>
        <v>0</v>
      </c>
      <c r="AJ76" s="94">
        <f t="shared" si="455"/>
        <v>0</v>
      </c>
      <c r="AK76" s="49">
        <f>IFERROR(VLOOKUP($B76-IF(CompareVer="LY",1,0) &amp; $C76 &amp;AK$4,tblForecast,AK$2,FALSE),0)</f>
        <v>0</v>
      </c>
      <c r="AL76" s="47">
        <f t="shared" si="382"/>
        <v>0</v>
      </c>
      <c r="AM76" s="73">
        <f t="shared" si="456"/>
        <v>5.0259999999999989</v>
      </c>
      <c r="AN76" s="94">
        <f t="shared" si="457"/>
        <v>0</v>
      </c>
      <c r="AO76" s="94">
        <f t="shared" si="457"/>
        <v>0</v>
      </c>
      <c r="AP76" s="49">
        <f>IFERROR(VLOOKUP($B76-IF(CompareVer="LY",1,0) &amp; $C76 &amp;AP$4,tblForecast,AP$2,FALSE),0)</f>
        <v>0</v>
      </c>
      <c r="AQ76" s="47">
        <f t="shared" si="476"/>
        <v>0</v>
      </c>
      <c r="AR76" s="73">
        <f t="shared" si="458"/>
        <v>4.22</v>
      </c>
      <c r="AS76" s="94">
        <f t="shared" si="459"/>
        <v>0</v>
      </c>
      <c r="AT76" s="94">
        <f t="shared" si="459"/>
        <v>0</v>
      </c>
      <c r="AU76" s="49">
        <f>IFERROR(VLOOKUP($B76-IF(CompareVer="LY",1,0) &amp; $C76 &amp;AU$4,tblForecast,AU$2,FALSE),0)</f>
        <v>0</v>
      </c>
      <c r="AV76" s="47">
        <f t="shared" si="477"/>
        <v>0</v>
      </c>
      <c r="AW76" s="192">
        <f t="shared" si="460"/>
        <v>0.8</v>
      </c>
      <c r="AX76" s="193">
        <f t="shared" si="460"/>
        <v>0</v>
      </c>
      <c r="AY76" s="193">
        <f t="shared" si="460"/>
        <v>0</v>
      </c>
      <c r="AZ76" s="193">
        <f t="shared" si="460"/>
        <v>0</v>
      </c>
      <c r="BA76" s="237">
        <f t="shared" si="461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462"/>
        <v>0</v>
      </c>
      <c r="BE76" s="195">
        <f t="shared" si="478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479"/>
        <v>0</v>
      </c>
      <c r="BK76" s="50">
        <f t="shared" si="480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486">BN76-BP76</f>
        <v>0</v>
      </c>
      <c r="BS76" s="233">
        <f t="shared" si="486"/>
        <v>0</v>
      </c>
      <c r="BT76" s="236">
        <f t="shared" si="463"/>
        <v>0</v>
      </c>
      <c r="BU76" s="233">
        <f t="shared" si="463"/>
        <v>0</v>
      </c>
      <c r="BV76" s="233">
        <f>IF($A76="a",IFERROR(VLOOKUP($B76 &amp; $C76&amp;BV$4,tblForecast,BV$2,FALSE),0),BT76+BU76)</f>
        <v>0</v>
      </c>
      <c r="BW76" s="233">
        <f t="shared" si="464"/>
        <v>0</v>
      </c>
      <c r="BX76" s="233">
        <f t="shared" si="464"/>
        <v>0</v>
      </c>
      <c r="BY76" s="194">
        <f>IFERROR(VLOOKUP($B76-IF(CompareVer="LY",1,0) &amp; $C76 &amp;BY$4,tblForecast,BY$2,FALSE),0)</f>
        <v>0</v>
      </c>
      <c r="BZ76" s="195">
        <f t="shared" si="481"/>
        <v>0</v>
      </c>
      <c r="CA76" s="339">
        <f t="shared" si="465"/>
        <v>0</v>
      </c>
      <c r="CB76" s="46">
        <f t="shared" si="465"/>
        <v>0</v>
      </c>
      <c r="CC76" s="46">
        <f>IF($A76="a",IFERROR(VLOOKUP($B76 &amp; $C76&amp;CC$4,tblForecast,CC$2,FALSE),0),CA76+CB76)</f>
        <v>0</v>
      </c>
      <c r="CD76" s="46">
        <f t="shared" si="466"/>
        <v>0</v>
      </c>
      <c r="CE76" s="46">
        <f t="shared" si="466"/>
        <v>0</v>
      </c>
      <c r="CF76" s="46">
        <f>IFERROR(VLOOKUP($B76-IF(CompareVer="LY",1,0) &amp; $C76 &amp;CF$4,tblForecast,CF$2,FALSE),0)</f>
        <v>0</v>
      </c>
      <c r="CG76" s="195">
        <f t="shared" si="482"/>
        <v>0</v>
      </c>
      <c r="CH76" s="339">
        <f t="shared" si="467"/>
        <v>0</v>
      </c>
      <c r="CI76" s="46">
        <f t="shared" si="467"/>
        <v>0</v>
      </c>
      <c r="CJ76" s="46">
        <f>IF($A76="a",IFERROR(VLOOKUP($B76 &amp; $C76&amp;CJ$4,tblForecast,CJ$2,FALSE),0),CH76+CI76)</f>
        <v>0</v>
      </c>
      <c r="CK76" s="46">
        <f t="shared" si="468"/>
        <v>0</v>
      </c>
      <c r="CL76" s="46">
        <f t="shared" si="468"/>
        <v>0</v>
      </c>
      <c r="CM76" s="46">
        <f>IFERROR(VLOOKUP($B76-IF(CompareVer="LY",1,0) &amp; $C76 &amp;CM$4,tblForecast,CM$2,FALSE),0)</f>
        <v>0</v>
      </c>
      <c r="CN76" s="195">
        <f t="shared" si="483"/>
        <v>0</v>
      </c>
      <c r="CO76" s="179">
        <f t="shared" si="46"/>
        <v>0</v>
      </c>
      <c r="CP76" s="225">
        <f t="shared" si="46"/>
        <v>0</v>
      </c>
      <c r="CQ76" s="195">
        <f t="shared" si="484"/>
        <v>0</v>
      </c>
      <c r="CR76" s="179">
        <f t="shared" ref="CR76:CS96" si="487">IFERROR(CL76/BX76,0)</f>
        <v>0</v>
      </c>
      <c r="CS76" s="225">
        <f t="shared" si="487"/>
        <v>0</v>
      </c>
      <c r="CT76" s="195">
        <f t="shared" si="47"/>
        <v>0</v>
      </c>
      <c r="CU76" s="44"/>
      <c r="CV76" s="345">
        <f t="shared" si="469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488">SUM(D73:D76)</f>
        <v>0</v>
      </c>
      <c r="E77" s="257">
        <f t="shared" ref="E77" si="489">SUM(E73:E76)</f>
        <v>0</v>
      </c>
      <c r="F77" s="258">
        <f t="shared" ref="F77:F96" si="490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491">SUM(M73:M76)</f>
        <v>0</v>
      </c>
      <c r="N77" s="261">
        <f t="shared" si="491"/>
        <v>0</v>
      </c>
      <c r="O77" s="261">
        <f t="shared" si="491"/>
        <v>0</v>
      </c>
      <c r="P77" s="262">
        <f t="shared" si="485"/>
        <v>0</v>
      </c>
      <c r="Q77" s="263">
        <f>SUM(Q73:Q76)</f>
        <v>0</v>
      </c>
      <c r="R77" s="264">
        <f t="shared" ref="R77:S77" si="492">SUM(R73:R76)</f>
        <v>0</v>
      </c>
      <c r="S77" s="264">
        <f t="shared" si="492"/>
        <v>0</v>
      </c>
      <c r="T77" s="264">
        <f>SUM(T73:T76)</f>
        <v>0</v>
      </c>
      <c r="U77" s="262">
        <f t="shared" si="474"/>
        <v>0</v>
      </c>
      <c r="V77" s="265">
        <f t="shared" ref="V77:X79" si="493">V76</f>
        <v>0</v>
      </c>
      <c r="W77" s="334">
        <f t="shared" si="493"/>
        <v>0</v>
      </c>
      <c r="X77" s="266">
        <f t="shared" si="493"/>
        <v>0</v>
      </c>
      <c r="Y77" s="256">
        <f>SUM(Y73:Y76)</f>
        <v>0</v>
      </c>
      <c r="Z77" s="261">
        <f t="shared" ref="Z77:AB77" si="494">SUM(Z73:Z76)</f>
        <v>0</v>
      </c>
      <c r="AA77" s="261">
        <f t="shared" si="494"/>
        <v>0</v>
      </c>
      <c r="AB77" s="261">
        <f t="shared" si="494"/>
        <v>0</v>
      </c>
      <c r="AC77" s="262">
        <f t="shared" si="475"/>
        <v>0</v>
      </c>
      <c r="AD77" s="267">
        <f t="shared" ref="AD77:AG79" si="495">IFERROR(Y77/L77,0)</f>
        <v>0</v>
      </c>
      <c r="AE77" s="268">
        <f t="shared" si="495"/>
        <v>0</v>
      </c>
      <c r="AF77" s="268">
        <f t="shared" si="495"/>
        <v>0</v>
      </c>
      <c r="AG77" s="268">
        <f t="shared" si="495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K77" si="496">IFERROR(SUMPRODUCT(AJ73:AJ76,S73:S76)/S77,0)</f>
        <v>0</v>
      </c>
      <c r="AK77" s="270">
        <f t="shared" si="496"/>
        <v>0</v>
      </c>
      <c r="AL77" s="262">
        <f t="shared" si="382"/>
        <v>0</v>
      </c>
      <c r="AM77" s="269">
        <f t="shared" ref="AM77:AP79" si="497">IF(Q77&lt;&gt;0,L77/Q77,0)</f>
        <v>0</v>
      </c>
      <c r="AN77" s="270">
        <f t="shared" si="497"/>
        <v>0</v>
      </c>
      <c r="AO77" s="270">
        <f t="shared" si="497"/>
        <v>0</v>
      </c>
      <c r="AP77" s="270">
        <f t="shared" si="497"/>
        <v>0</v>
      </c>
      <c r="AQ77" s="262">
        <f t="shared" si="476"/>
        <v>0</v>
      </c>
      <c r="AR77" s="269">
        <f t="shared" ref="AR77:AU79" si="498">IFERROR((L77*(1-AD77))/Q77,0)</f>
        <v>0</v>
      </c>
      <c r="AS77" s="270">
        <f t="shared" si="498"/>
        <v>0</v>
      </c>
      <c r="AT77" s="270">
        <f t="shared" si="498"/>
        <v>0</v>
      </c>
      <c r="AU77" s="270">
        <f t="shared" si="498"/>
        <v>0</v>
      </c>
      <c r="AV77" s="262">
        <f t="shared" si="477"/>
        <v>0</v>
      </c>
      <c r="AW77" s="271">
        <f>IFERROR(SUMPRODUCT(AW73:AW76,V73:V76)/V77,0)</f>
        <v>0</v>
      </c>
      <c r="AX77" s="272">
        <f t="shared" ref="AX77:AZ77" si="499">IFERROR(SUMPRODUCT(AX73:AX76,X73:X76)/X77,0)</f>
        <v>0</v>
      </c>
      <c r="AY77" s="272">
        <f t="shared" si="499"/>
        <v>0</v>
      </c>
      <c r="AZ77" s="272">
        <f t="shared" si="499"/>
        <v>0</v>
      </c>
      <c r="BA77" s="263">
        <f>BA76</f>
        <v>0</v>
      </c>
      <c r="BB77" s="264">
        <f t="shared" ref="BB77:BD79" si="500">BB76</f>
        <v>0</v>
      </c>
      <c r="BC77" s="264">
        <f t="shared" si="500"/>
        <v>0</v>
      </c>
      <c r="BD77" s="264">
        <f t="shared" si="500"/>
        <v>0</v>
      </c>
      <c r="BE77" s="262">
        <f t="shared" si="478"/>
        <v>0</v>
      </c>
      <c r="BF77" s="263">
        <f t="shared" ref="BF77:BG79" si="501">BF76</f>
        <v>0</v>
      </c>
      <c r="BG77" s="264">
        <f t="shared" si="501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479"/>
        <v>0</v>
      </c>
      <c r="BK77" s="276">
        <f t="shared" si="480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502">SUM(BO73:BO76)</f>
        <v>0</v>
      </c>
      <c r="BP77" s="263">
        <f>SUM(BP73:BP76)</f>
        <v>0</v>
      </c>
      <c r="BQ77" s="264">
        <f t="shared" si="502"/>
        <v>0</v>
      </c>
      <c r="BR77" s="263">
        <f t="shared" si="486"/>
        <v>0</v>
      </c>
      <c r="BS77" s="264">
        <f t="shared" si="486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:BX77" si="503">SUM(BW73:BW76)</f>
        <v>0</v>
      </c>
      <c r="BX77" s="264">
        <f t="shared" si="503"/>
        <v>0</v>
      </c>
      <c r="BY77" s="277">
        <f>SUM(BY73:BY76)</f>
        <v>0</v>
      </c>
      <c r="BZ77" s="262">
        <f t="shared" si="481"/>
        <v>0</v>
      </c>
      <c r="CA77" s="340">
        <f>SUM(CA74:CA76)</f>
        <v>0</v>
      </c>
      <c r="CB77" s="261">
        <f t="shared" ref="CB77" si="504">SUM(CB74:CB76)</f>
        <v>0</v>
      </c>
      <c r="CC77" s="261">
        <f t="shared" ref="CC77:CF77" si="505">SUM(CC73:CC76)</f>
        <v>0</v>
      </c>
      <c r="CD77" s="261">
        <f t="shared" si="505"/>
        <v>0</v>
      </c>
      <c r="CE77" s="261">
        <f t="shared" si="505"/>
        <v>0</v>
      </c>
      <c r="CF77" s="261">
        <f t="shared" si="505"/>
        <v>0</v>
      </c>
      <c r="CG77" s="262">
        <f t="shared" si="482"/>
        <v>0</v>
      </c>
      <c r="CH77" s="340">
        <f>SUM(CH74:CH76)</f>
        <v>0</v>
      </c>
      <c r="CI77" s="261">
        <f t="shared" ref="CI77" si="506">SUM(CI74:CI76)</f>
        <v>0</v>
      </c>
      <c r="CJ77" s="261">
        <f t="shared" ref="CJ77:CM77" si="507">SUM(CJ73:CJ76)</f>
        <v>0</v>
      </c>
      <c r="CK77" s="261">
        <f t="shared" si="507"/>
        <v>0</v>
      </c>
      <c r="CL77" s="261">
        <f t="shared" si="507"/>
        <v>0</v>
      </c>
      <c r="CM77" s="261">
        <f t="shared" si="507"/>
        <v>0</v>
      </c>
      <c r="CN77" s="262">
        <f t="shared" si="483"/>
        <v>0</v>
      </c>
      <c r="CO77" s="278">
        <f t="shared" si="46"/>
        <v>0</v>
      </c>
      <c r="CP77" s="279">
        <f t="shared" si="46"/>
        <v>0</v>
      </c>
      <c r="CQ77" s="262">
        <f t="shared" si="484"/>
        <v>0</v>
      </c>
      <c r="CR77" s="278">
        <f t="shared" si="487"/>
        <v>0</v>
      </c>
      <c r="CS77" s="279">
        <f t="shared" si="487"/>
        <v>0</v>
      </c>
      <c r="CT77" s="262">
        <f t="shared" si="47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:E78" si="508">D66+D72+D77</f>
        <v>0</v>
      </c>
      <c r="E78" s="206">
        <f t="shared" si="508"/>
        <v>0</v>
      </c>
      <c r="F78" s="207">
        <f t="shared" si="490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:K78" si="509">J66+J72+J77</f>
        <v>0</v>
      </c>
      <c r="K78" s="304">
        <f t="shared" si="509"/>
        <v>0</v>
      </c>
      <c r="L78" s="53">
        <f>L66+L72+L77</f>
        <v>0</v>
      </c>
      <c r="M78" s="53">
        <f t="shared" ref="M78:O78" si="510">M66+M72+M77</f>
        <v>0</v>
      </c>
      <c r="N78" s="53">
        <f t="shared" si="510"/>
        <v>0</v>
      </c>
      <c r="O78" s="53">
        <f t="shared" si="510"/>
        <v>0</v>
      </c>
      <c r="P78" s="54">
        <f t="shared" si="485"/>
        <v>0</v>
      </c>
      <c r="Q78" s="231">
        <f>Q66+Q72+Q77</f>
        <v>0</v>
      </c>
      <c r="R78" s="232">
        <f t="shared" ref="R78:S78" si="511">R66+R72+R77</f>
        <v>0</v>
      </c>
      <c r="S78" s="232">
        <f t="shared" si="511"/>
        <v>0</v>
      </c>
      <c r="T78" s="232">
        <f>T66+T72+T77</f>
        <v>0</v>
      </c>
      <c r="U78" s="54">
        <f t="shared" si="474"/>
        <v>0</v>
      </c>
      <c r="V78" s="249">
        <f t="shared" si="493"/>
        <v>0</v>
      </c>
      <c r="W78" s="335">
        <f t="shared" si="493"/>
        <v>0</v>
      </c>
      <c r="X78" s="250">
        <f t="shared" si="493"/>
        <v>0</v>
      </c>
      <c r="Y78" s="52">
        <f>Y66+Y72+Y77</f>
        <v>0</v>
      </c>
      <c r="Z78" s="53">
        <f t="shared" ref="Z78:AB78" si="512">Z66+Z72+Z77</f>
        <v>0</v>
      </c>
      <c r="AA78" s="53">
        <f t="shared" si="512"/>
        <v>0</v>
      </c>
      <c r="AB78" s="53">
        <f t="shared" si="512"/>
        <v>0</v>
      </c>
      <c r="AC78" s="54">
        <f t="shared" si="475"/>
        <v>0</v>
      </c>
      <c r="AD78" s="77">
        <f t="shared" si="495"/>
        <v>0</v>
      </c>
      <c r="AE78" s="78">
        <f t="shared" si="495"/>
        <v>0</v>
      </c>
      <c r="AF78" s="78">
        <f t="shared" si="495"/>
        <v>0</v>
      </c>
      <c r="AG78" s="78">
        <f t="shared" si="495"/>
        <v>0</v>
      </c>
      <c r="AH78" s="58">
        <f>IFERROR((AH66*Q66+AH72*Q72+AH77*Q77)/Q78,0)</f>
        <v>0</v>
      </c>
      <c r="AI78" s="58">
        <f t="shared" ref="AI78:AL78" si="513">IFERROR((AI66*R66+AI72*R72+AI77*R77)/R78,0)</f>
        <v>0</v>
      </c>
      <c r="AJ78" s="58">
        <f t="shared" si="513"/>
        <v>0</v>
      </c>
      <c r="AK78" s="58">
        <f t="shared" si="513"/>
        <v>0</v>
      </c>
      <c r="AL78" s="54">
        <f t="shared" si="513"/>
        <v>0</v>
      </c>
      <c r="AM78" s="57">
        <f t="shared" si="497"/>
        <v>0</v>
      </c>
      <c r="AN78" s="58">
        <f t="shared" si="497"/>
        <v>0</v>
      </c>
      <c r="AO78" s="58">
        <f t="shared" si="497"/>
        <v>0</v>
      </c>
      <c r="AP78" s="58">
        <f t="shared" si="497"/>
        <v>0</v>
      </c>
      <c r="AQ78" s="54">
        <f t="shared" si="476"/>
        <v>0</v>
      </c>
      <c r="AR78" s="57">
        <f t="shared" si="498"/>
        <v>0</v>
      </c>
      <c r="AS78" s="58">
        <f t="shared" si="498"/>
        <v>0</v>
      </c>
      <c r="AT78" s="58">
        <f t="shared" si="498"/>
        <v>0</v>
      </c>
      <c r="AU78" s="58">
        <f t="shared" si="498"/>
        <v>0</v>
      </c>
      <c r="AV78" s="54">
        <f t="shared" si="477"/>
        <v>0</v>
      </c>
      <c r="AW78" s="59">
        <f>IFERROR((AW66*V66+AW72*V72+AW77*V77)/V78,0)</f>
        <v>0</v>
      </c>
      <c r="AX78" s="60">
        <f t="shared" ref="AX78:AZ78" si="514">IFERROR((AX66*X66+AX72*X72+AX77*X77)/X78,0)</f>
        <v>0</v>
      </c>
      <c r="AY78" s="60">
        <f t="shared" si="514"/>
        <v>0</v>
      </c>
      <c r="AZ78" s="60">
        <f t="shared" si="514"/>
        <v>0</v>
      </c>
      <c r="BA78" s="238">
        <f>BA77</f>
        <v>0</v>
      </c>
      <c r="BB78" s="232">
        <f t="shared" si="500"/>
        <v>0</v>
      </c>
      <c r="BC78" s="232">
        <f t="shared" si="500"/>
        <v>0</v>
      </c>
      <c r="BD78" s="232">
        <f t="shared" si="500"/>
        <v>0</v>
      </c>
      <c r="BE78" s="54">
        <f t="shared" si="478"/>
        <v>0</v>
      </c>
      <c r="BF78" s="231">
        <f t="shared" si="501"/>
        <v>0</v>
      </c>
      <c r="BG78" s="232">
        <f t="shared" si="501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479"/>
        <v>0</v>
      </c>
      <c r="BK78" s="61">
        <f t="shared" si="480"/>
        <v>0</v>
      </c>
      <c r="BL78" s="231">
        <f>BL66+BL72+BL77</f>
        <v>0</v>
      </c>
      <c r="BM78" s="232">
        <f t="shared" ref="BM78" si="515">BM66+BM72+BM77</f>
        <v>0</v>
      </c>
      <c r="BN78" s="231">
        <f>BN66+BN72+BN77</f>
        <v>0</v>
      </c>
      <c r="BO78" s="232">
        <f t="shared" ref="BO78:BQ78" si="516">BO66+BO72+BO77</f>
        <v>0</v>
      </c>
      <c r="BP78" s="231">
        <f>BP66+BP72+BP77</f>
        <v>0</v>
      </c>
      <c r="BQ78" s="232">
        <f t="shared" si="516"/>
        <v>0</v>
      </c>
      <c r="BR78" s="231">
        <f t="shared" si="486"/>
        <v>0</v>
      </c>
      <c r="BS78" s="232">
        <f t="shared" si="486"/>
        <v>0</v>
      </c>
      <c r="BT78" s="231">
        <f t="shared" ref="BT78:BY78" si="517">BT66+BT72+BT77</f>
        <v>0</v>
      </c>
      <c r="BU78" s="232">
        <f t="shared" si="517"/>
        <v>0</v>
      </c>
      <c r="BV78" s="232">
        <f t="shared" si="517"/>
        <v>0</v>
      </c>
      <c r="BW78" s="232">
        <f t="shared" si="517"/>
        <v>0</v>
      </c>
      <c r="BX78" s="232">
        <f t="shared" si="517"/>
        <v>0</v>
      </c>
      <c r="BY78" s="56">
        <f t="shared" si="517"/>
        <v>0</v>
      </c>
      <c r="BZ78" s="54">
        <f t="shared" si="481"/>
        <v>0</v>
      </c>
      <c r="CA78" s="341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si="518"/>
        <v>0</v>
      </c>
      <c r="CG78" s="54">
        <f t="shared" si="482"/>
        <v>0</v>
      </c>
      <c r="CH78" s="341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si="519"/>
        <v>0</v>
      </c>
      <c r="CN78" s="54">
        <f t="shared" si="483"/>
        <v>0</v>
      </c>
      <c r="CO78" s="55">
        <f t="shared" ref="CO78:CP96" si="520">IFERROR(CE78/BX78,0)</f>
        <v>0</v>
      </c>
      <c r="CP78" s="226">
        <f t="shared" si="520"/>
        <v>0</v>
      </c>
      <c r="CQ78" s="54">
        <f t="shared" si="484"/>
        <v>0</v>
      </c>
      <c r="CR78" s="55">
        <f t="shared" si="487"/>
        <v>0</v>
      </c>
      <c r="CS78" s="226">
        <f t="shared" si="487"/>
        <v>0</v>
      </c>
      <c r="CT78" s="54">
        <f t="shared" ref="CT78:CT96" si="521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522">D27+D44+D61+D78</f>
        <v>0</v>
      </c>
      <c r="E79" s="210">
        <f t="shared" si="522"/>
        <v>0</v>
      </c>
      <c r="F79" s="211">
        <f t="shared" si="490"/>
        <v>0</v>
      </c>
      <c r="G79" s="209">
        <f t="shared" si="522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522"/>
        <v>0</v>
      </c>
      <c r="K79" s="305">
        <f t="shared" si="522"/>
        <v>0</v>
      </c>
      <c r="L79" s="64">
        <f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si="523"/>
        <v>0</v>
      </c>
      <c r="P79" s="65">
        <f t="shared" si="485"/>
        <v>0</v>
      </c>
      <c r="Q79" s="245">
        <f>Q27+Q44+Q61+Q78</f>
        <v>0</v>
      </c>
      <c r="R79" s="246">
        <f t="shared" ref="R79:S79" si="524">R27+R44+R61+R78</f>
        <v>0</v>
      </c>
      <c r="S79" s="246">
        <f t="shared" si="524"/>
        <v>0</v>
      </c>
      <c r="T79" s="246">
        <f>T27+T44+T61+T78</f>
        <v>0</v>
      </c>
      <c r="U79" s="65">
        <f t="shared" si="474"/>
        <v>0</v>
      </c>
      <c r="V79" s="253">
        <f t="shared" si="493"/>
        <v>0</v>
      </c>
      <c r="W79" s="337">
        <f t="shared" si="493"/>
        <v>0</v>
      </c>
      <c r="X79" s="254">
        <f t="shared" si="493"/>
        <v>0</v>
      </c>
      <c r="Y79" s="63">
        <f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si="525"/>
        <v>0</v>
      </c>
      <c r="AC79" s="65">
        <f t="shared" si="475"/>
        <v>0</v>
      </c>
      <c r="AD79" s="79">
        <f t="shared" si="495"/>
        <v>0</v>
      </c>
      <c r="AE79" s="80">
        <f t="shared" si="495"/>
        <v>0</v>
      </c>
      <c r="AF79" s="80">
        <f t="shared" si="495"/>
        <v>0</v>
      </c>
      <c r="AG79" s="80">
        <f t="shared" si="495"/>
        <v>0</v>
      </c>
      <c r="AH79" s="69">
        <f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si="526"/>
        <v>0</v>
      </c>
      <c r="AL79" s="65">
        <f t="shared" si="382"/>
        <v>0</v>
      </c>
      <c r="AM79" s="68">
        <f t="shared" si="497"/>
        <v>0</v>
      </c>
      <c r="AN79" s="69">
        <f t="shared" si="497"/>
        <v>0</v>
      </c>
      <c r="AO79" s="69">
        <f t="shared" si="497"/>
        <v>0</v>
      </c>
      <c r="AP79" s="69">
        <f t="shared" si="497"/>
        <v>0</v>
      </c>
      <c r="AQ79" s="65">
        <f t="shared" si="476"/>
        <v>0</v>
      </c>
      <c r="AR79" s="68">
        <f t="shared" si="498"/>
        <v>0</v>
      </c>
      <c r="AS79" s="69">
        <f t="shared" si="498"/>
        <v>0</v>
      </c>
      <c r="AT79" s="69">
        <f t="shared" si="498"/>
        <v>0</v>
      </c>
      <c r="AU79" s="69">
        <f t="shared" si="498"/>
        <v>0</v>
      </c>
      <c r="AV79" s="65">
        <f t="shared" si="477"/>
        <v>0</v>
      </c>
      <c r="AW79" s="70">
        <f>IFERROR((AW27*V27+AW44*V44+AW61*V61+AW78*V78)/V79,0)</f>
        <v>0</v>
      </c>
      <c r="AX79" s="71">
        <f t="shared" ref="AX79:AZ79" si="527">IFERROR((AX27*X27+AX44*X44+AX61*X61+AX78*X78)/X79,0)</f>
        <v>0</v>
      </c>
      <c r="AY79" s="71">
        <f t="shared" si="527"/>
        <v>0</v>
      </c>
      <c r="AZ79" s="71">
        <f t="shared" si="527"/>
        <v>0</v>
      </c>
      <c r="BA79" s="239">
        <f>BA78</f>
        <v>0</v>
      </c>
      <c r="BB79" s="235">
        <f t="shared" si="500"/>
        <v>0</v>
      </c>
      <c r="BC79" s="235">
        <f t="shared" si="500"/>
        <v>0</v>
      </c>
      <c r="BD79" s="235">
        <f t="shared" si="500"/>
        <v>0</v>
      </c>
      <c r="BE79" s="136">
        <f t="shared" si="478"/>
        <v>0</v>
      </c>
      <c r="BF79" s="234">
        <f t="shared" si="501"/>
        <v>0</v>
      </c>
      <c r="BG79" s="235">
        <f t="shared" si="501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479"/>
        <v>0</v>
      </c>
      <c r="BK79" s="72">
        <f t="shared" si="480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528">BO27+BO44+BO61+BO78</f>
        <v>0</v>
      </c>
      <c r="BP79" s="234">
        <f>BP27+BP44+BP61+BP78</f>
        <v>0</v>
      </c>
      <c r="BQ79" s="235">
        <f t="shared" si="528"/>
        <v>0</v>
      </c>
      <c r="BR79" s="234">
        <f t="shared" si="486"/>
        <v>0</v>
      </c>
      <c r="BS79" s="235">
        <f t="shared" si="486"/>
        <v>0</v>
      </c>
      <c r="BT79" s="234">
        <f t="shared" ref="BT79:BY79" si="529">BT27+BT44+BT61+BT78</f>
        <v>0</v>
      </c>
      <c r="BU79" s="235">
        <f t="shared" si="529"/>
        <v>0</v>
      </c>
      <c r="BV79" s="235">
        <f t="shared" si="529"/>
        <v>0</v>
      </c>
      <c r="BW79" s="235">
        <f t="shared" si="529"/>
        <v>0</v>
      </c>
      <c r="BX79" s="235">
        <f t="shared" si="529"/>
        <v>0</v>
      </c>
      <c r="BY79" s="135">
        <f t="shared" si="529"/>
        <v>0</v>
      </c>
      <c r="BZ79" s="136">
        <f t="shared" si="481"/>
        <v>0</v>
      </c>
      <c r="CA79" s="342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si="530"/>
        <v>0</v>
      </c>
      <c r="CG79" s="136">
        <f t="shared" si="482"/>
        <v>0</v>
      </c>
      <c r="CH79" s="342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si="531"/>
        <v>0</v>
      </c>
      <c r="CN79" s="136">
        <f t="shared" si="483"/>
        <v>0</v>
      </c>
      <c r="CO79" s="137">
        <f t="shared" si="520"/>
        <v>0</v>
      </c>
      <c r="CP79" s="227">
        <f t="shared" si="520"/>
        <v>0</v>
      </c>
      <c r="CQ79" s="136">
        <f t="shared" si="484"/>
        <v>0</v>
      </c>
      <c r="CR79" s="137">
        <f t="shared" si="487"/>
        <v>0</v>
      </c>
      <c r="CS79" s="227">
        <f t="shared" si="487"/>
        <v>0</v>
      </c>
      <c r="CT79" s="136">
        <f t="shared" si="521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490"/>
        <v>0</v>
      </c>
      <c r="G80" s="177">
        <f t="shared" ref="G80:I83" si="532">IFERROR(VLOOKUP($B80 &amp; $C80&amp;G$4&amp;$A80,tblForecast,G$2,FALSE),0)</f>
        <v>0</v>
      </c>
      <c r="H80" s="204">
        <f t="shared" si="532"/>
        <v>0</v>
      </c>
      <c r="I80" s="204">
        <f t="shared" si="532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si="533"/>
        <v>0</v>
      </c>
      <c r="P80" s="47">
        <f t="shared" si="485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534">IFERROR(VLOOKUP($B80 &amp; $C80&amp;R$4,tblForecast,R$2,FALSE),0)</f>
        <v>0</v>
      </c>
      <c r="S80" s="242">
        <f t="shared" si="534"/>
        <v>0</v>
      </c>
      <c r="T80" s="242">
        <f>IFERROR(VLOOKUP($B80-IF(CompareVer="LY",1,0) &amp; $C80 &amp;T$4,tblForecast,T$2,FALSE),0)</f>
        <v>0</v>
      </c>
      <c r="U80" s="91">
        <f t="shared" si="474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si="535"/>
        <v>0</v>
      </c>
      <c r="AC80" s="91">
        <f t="shared" si="475"/>
        <v>0</v>
      </c>
      <c r="AD80" s="75">
        <f>IF(AM80&lt;&gt;0,1-AR80/AM80,0)</f>
        <v>0.76010459894264115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si="536"/>
        <v>0</v>
      </c>
      <c r="AH80" s="73">
        <f t="shared" ref="AH80:AH83" si="537">DB80</f>
        <v>25.13</v>
      </c>
      <c r="AI80" s="94">
        <f t="shared" ref="AI80:AJ83" si="538">IFERROR(VLOOKUP($B80 &amp; $C80&amp;AI$4,tblForecast,AI$2,FALSE),0)</f>
        <v>0</v>
      </c>
      <c r="AJ80" s="94">
        <f t="shared" si="538"/>
        <v>0</v>
      </c>
      <c r="AK80" s="49">
        <f>IFERROR(VLOOKUP($B80-IF(CompareVer="LY",1,0) &amp; $C80 &amp;AK$4,tblForecast,AK$2,FALSE),0)</f>
        <v>0</v>
      </c>
      <c r="AL80" s="47">
        <f t="shared" si="382"/>
        <v>0</v>
      </c>
      <c r="AM80" s="73">
        <f t="shared" ref="AM80:AM83" si="539">DA80</f>
        <v>17.590999999999998</v>
      </c>
      <c r="AN80" s="94">
        <f t="shared" ref="AN80:AO83" si="540">IFERROR(VLOOKUP($B80 &amp; $C80&amp;AN$4,tblForecast,AN$2,FALSE),0)</f>
        <v>0</v>
      </c>
      <c r="AO80" s="94">
        <f t="shared" si="540"/>
        <v>0</v>
      </c>
      <c r="AP80" s="49">
        <f>IFERROR(VLOOKUP($B80-IF(CompareVer="LY",1,0) &amp; $C80 &amp;AP$4,tblForecast,AP$2,FALSE),0)</f>
        <v>0</v>
      </c>
      <c r="AQ80" s="47">
        <f t="shared" si="476"/>
        <v>0</v>
      </c>
      <c r="AR80" s="73">
        <f t="shared" ref="AR80:AR83" si="541">DC80</f>
        <v>4.22</v>
      </c>
      <c r="AS80" s="94">
        <f t="shared" ref="AS80:AT83" si="542">IFERROR(VLOOKUP($B80 &amp; $C80&amp;AS$4,tblForecast,AS$2,FALSE),0)</f>
        <v>0</v>
      </c>
      <c r="AT80" s="94">
        <f t="shared" si="542"/>
        <v>0</v>
      </c>
      <c r="AU80" s="49">
        <f>IFERROR(VLOOKUP($B80-IF(CompareVer="LY",1,0) &amp; $C80 &amp;AU$4,tblForecast,AU$2,FALSE),0)</f>
        <v>0</v>
      </c>
      <c r="AV80" s="47">
        <f t="shared" si="477"/>
        <v>0</v>
      </c>
      <c r="AW80" s="192">
        <f t="shared" ref="AW80:AZ83" si="543">IFERROR((AM80/AH80-1)*-1,0)</f>
        <v>0.30000000000000004</v>
      </c>
      <c r="AX80" s="193">
        <f t="shared" si="543"/>
        <v>0</v>
      </c>
      <c r="AY80" s="193">
        <f t="shared" si="543"/>
        <v>0</v>
      </c>
      <c r="AZ80" s="193">
        <f t="shared" si="543"/>
        <v>0</v>
      </c>
      <c r="BA80" s="237">
        <f t="shared" ref="BA80:BA83" si="544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545">CX80+BG80</f>
        <v>0</v>
      </c>
      <c r="BE80" s="195">
        <f t="shared" si="478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479"/>
        <v>0</v>
      </c>
      <c r="BK80" s="50">
        <f t="shared" si="480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486"/>
        <v>0</v>
      </c>
      <c r="BS80" s="233">
        <f t="shared" si="486"/>
        <v>0</v>
      </c>
      <c r="BT80" s="236">
        <f t="shared" ref="BT80:BU83" si="546">IFERROR(VLOOKUP($B80 &amp; $C80&amp;BT$4,tblForecast,BT$2,FALSE),0)</f>
        <v>0</v>
      </c>
      <c r="BU80" s="233">
        <f t="shared" si="546"/>
        <v>0</v>
      </c>
      <c r="BV80" s="233">
        <f>IF($A80="a",IFERROR(VLOOKUP($B80 &amp; $C80&amp;BV$4,tblForecast,BV$2,FALSE),0),BT80+BU80)</f>
        <v>0</v>
      </c>
      <c r="BW80" s="233">
        <f t="shared" ref="BW80:BX83" si="547">IFERROR(VLOOKUP($B80 &amp; $C80&amp;BW$4,tblForecast,BW$2,FALSE),0)</f>
        <v>0</v>
      </c>
      <c r="BX80" s="233">
        <f t="shared" si="547"/>
        <v>0</v>
      </c>
      <c r="BY80" s="194">
        <f>IFERROR(VLOOKUP($B80-IF(CompareVer="LY",1,0) &amp; $C80 &amp;BY$4,tblForecast,BY$2,FALSE),0)</f>
        <v>0</v>
      </c>
      <c r="BZ80" s="195">
        <f t="shared" si="481"/>
        <v>0</v>
      </c>
      <c r="CA80" s="339">
        <f t="shared" ref="CA80:CB83" si="548">IFERROR(VLOOKUP($B80 &amp; $C80&amp;CA$4,tblForecast,CA$2,FALSE),0)</f>
        <v>0</v>
      </c>
      <c r="CB80" s="46">
        <f t="shared" si="548"/>
        <v>0</v>
      </c>
      <c r="CC80" s="46">
        <f>IF($A80="a",IFERROR(VLOOKUP($B80 &amp; $C80&amp;CC$4,tblForecast,CC$2,FALSE),0),CA80+CB80)</f>
        <v>0</v>
      </c>
      <c r="CD80" s="46">
        <f t="shared" ref="CD80:CE83" si="549">IFERROR(VLOOKUP($B80 &amp; $C80&amp;CD$4,tblForecast,CD$2,FALSE),0)</f>
        <v>0</v>
      </c>
      <c r="CE80" s="46">
        <f t="shared" si="549"/>
        <v>0</v>
      </c>
      <c r="CF80" s="46">
        <f>IFERROR(VLOOKUP($B80-IF(CompareVer="LY",1,0) &amp; $C80 &amp;CF$4,tblForecast,CF$2,FALSE),0)</f>
        <v>0</v>
      </c>
      <c r="CG80" s="195">
        <f t="shared" si="482"/>
        <v>0</v>
      </c>
      <c r="CH80" s="339">
        <f t="shared" ref="CH80:CI83" si="550">IFERROR(VLOOKUP($B80 &amp; $C80&amp;CH$4,tblForecast,CH$2,FALSE),0)</f>
        <v>0</v>
      </c>
      <c r="CI80" s="46">
        <f t="shared" si="550"/>
        <v>0</v>
      </c>
      <c r="CJ80" s="46">
        <f>IF($A80="a",IFERROR(VLOOKUP($B80 &amp; $C80&amp;CJ$4,tblForecast,CJ$2,FALSE),0),CH80+CI80)</f>
        <v>0</v>
      </c>
      <c r="CK80" s="46">
        <f t="shared" ref="CK80:CL83" si="551">IFERROR(VLOOKUP($B80 &amp; $C80&amp;CK$4,tblForecast,CK$2,FALSE),0)</f>
        <v>0</v>
      </c>
      <c r="CL80" s="46">
        <f t="shared" si="551"/>
        <v>0</v>
      </c>
      <c r="CM80" s="46">
        <f>IFERROR(VLOOKUP($B80-IF(CompareVer="LY",1,0) &amp; $C80 &amp;CM$4,tblForecast,CM$2,FALSE),0)</f>
        <v>0</v>
      </c>
      <c r="CN80" s="195">
        <f t="shared" si="483"/>
        <v>0</v>
      </c>
      <c r="CO80" s="179">
        <f t="shared" si="520"/>
        <v>0</v>
      </c>
      <c r="CP80" s="225">
        <f t="shared" si="520"/>
        <v>0</v>
      </c>
      <c r="CQ80" s="195">
        <f t="shared" si="484"/>
        <v>0</v>
      </c>
      <c r="CR80" s="179">
        <f t="shared" si="487"/>
        <v>0</v>
      </c>
      <c r="CS80" s="225">
        <f t="shared" si="487"/>
        <v>0</v>
      </c>
      <c r="CT80" s="195">
        <f t="shared" si="521"/>
        <v>0</v>
      </c>
      <c r="CU80" s="44"/>
      <c r="CV80" s="345">
        <f t="shared" ref="CV80:CV83" si="552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553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554">G81*H81</f>
        <v>0</v>
      </c>
      <c r="E81" s="203">
        <f t="shared" ref="E81:E83" si="555">IFERROR(D81*F81,0)</f>
        <v>0</v>
      </c>
      <c r="F81" s="183">
        <f t="shared" si="490"/>
        <v>0</v>
      </c>
      <c r="G81" s="177">
        <f t="shared" si="532"/>
        <v>0</v>
      </c>
      <c r="H81" s="204">
        <f t="shared" si="532"/>
        <v>0</v>
      </c>
      <c r="I81" s="204">
        <f t="shared" si="532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3"/>
        <v>0</v>
      </c>
      <c r="N81" s="46">
        <f t="shared" si="533"/>
        <v>0</v>
      </c>
      <c r="O81" s="46">
        <f t="shared" si="533"/>
        <v>0</v>
      </c>
      <c r="P81" s="47">
        <f t="shared" si="485"/>
        <v>0</v>
      </c>
      <c r="Q81" s="244">
        <f t="shared" ref="Q81:Q83" si="556">IF(A80="a",IF(CV81=0,R81,IF(BA80-(Q80*IF(W81=0,X81,W81))&lt;0,BA80,Q80*IF(W81=0,X81,W81))),IF(BA80-(Q80*IF(W81=0,X81,W81))&lt;0,BA80,Q80*IF(W81=0,X81,W81)))</f>
        <v>0</v>
      </c>
      <c r="R81" s="242">
        <f t="shared" si="534"/>
        <v>0</v>
      </c>
      <c r="S81" s="242">
        <f t="shared" si="534"/>
        <v>0</v>
      </c>
      <c r="T81" s="242">
        <f>IFERROR(VLOOKUP($B81-IF(CompareVer="LY",1,0) &amp; $C81 &amp;T$4,tblForecast,T$2,FALSE),0)</f>
        <v>0</v>
      </c>
      <c r="U81" s="91">
        <f t="shared" si="474"/>
        <v>0</v>
      </c>
      <c r="V81" s="251">
        <f t="shared" ref="V81:W83" si="557">IFERROR(IF(Q80&lt;&gt;0,Q81/Q80,0),0)</f>
        <v>0</v>
      </c>
      <c r="W81" s="336">
        <f t="shared" si="557"/>
        <v>0</v>
      </c>
      <c r="X81" s="252">
        <f>IFERROR(IF(T80&lt;&gt;0,T81/T80,0),0)</f>
        <v>0</v>
      </c>
      <c r="Y81" s="51">
        <f t="shared" si="535"/>
        <v>0</v>
      </c>
      <c r="Z81" s="46">
        <f t="shared" si="535"/>
        <v>0</v>
      </c>
      <c r="AA81" s="46">
        <f t="shared" si="535"/>
        <v>0</v>
      </c>
      <c r="AB81" s="46">
        <f t="shared" si="535"/>
        <v>0</v>
      </c>
      <c r="AC81" s="91">
        <f t="shared" si="475"/>
        <v>0</v>
      </c>
      <c r="AD81" s="75">
        <f>IF(AM81&lt;&gt;0,1-AR81/AM81,0)</f>
        <v>0.76010459894264115</v>
      </c>
      <c r="AE81" s="93">
        <f t="shared" si="536"/>
        <v>0</v>
      </c>
      <c r="AF81" s="93">
        <f t="shared" si="536"/>
        <v>0</v>
      </c>
      <c r="AG81" s="76">
        <f t="shared" si="536"/>
        <v>0</v>
      </c>
      <c r="AH81" s="73">
        <f t="shared" si="537"/>
        <v>25.13</v>
      </c>
      <c r="AI81" s="94">
        <f t="shared" si="538"/>
        <v>0</v>
      </c>
      <c r="AJ81" s="94">
        <f t="shared" si="538"/>
        <v>0</v>
      </c>
      <c r="AK81" s="49">
        <f>IFERROR(VLOOKUP($B81-IF(CompareVer="LY",1,0) &amp; $C81 &amp;AK$4,tblForecast,AK$2,FALSE),0)</f>
        <v>0</v>
      </c>
      <c r="AL81" s="47">
        <f t="shared" si="382"/>
        <v>0</v>
      </c>
      <c r="AM81" s="73">
        <f t="shared" si="539"/>
        <v>17.590999999999998</v>
      </c>
      <c r="AN81" s="94">
        <f t="shared" si="540"/>
        <v>0</v>
      </c>
      <c r="AO81" s="94">
        <f t="shared" si="540"/>
        <v>0</v>
      </c>
      <c r="AP81" s="49">
        <f>IFERROR(VLOOKUP($B81-IF(CompareVer="LY",1,0) &amp; $C81 &amp;AP$4,tblForecast,AP$2,FALSE),0)</f>
        <v>0</v>
      </c>
      <c r="AQ81" s="47">
        <f t="shared" si="476"/>
        <v>0</v>
      </c>
      <c r="AR81" s="73">
        <f t="shared" si="541"/>
        <v>4.22</v>
      </c>
      <c r="AS81" s="94">
        <f t="shared" si="542"/>
        <v>0</v>
      </c>
      <c r="AT81" s="94">
        <f t="shared" si="542"/>
        <v>0</v>
      </c>
      <c r="AU81" s="49">
        <f>IFERROR(VLOOKUP($B81-IF(CompareVer="LY",1,0) &amp; $C81 &amp;AU$4,tblForecast,AU$2,FALSE),0)</f>
        <v>0</v>
      </c>
      <c r="AV81" s="47">
        <f t="shared" si="477"/>
        <v>0</v>
      </c>
      <c r="AW81" s="192">
        <f t="shared" si="543"/>
        <v>0.30000000000000004</v>
      </c>
      <c r="AX81" s="193">
        <f t="shared" si="543"/>
        <v>0</v>
      </c>
      <c r="AY81" s="193">
        <f t="shared" si="543"/>
        <v>0</v>
      </c>
      <c r="AZ81" s="193">
        <f t="shared" si="543"/>
        <v>0</v>
      </c>
      <c r="BA81" s="237">
        <f t="shared" si="544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545"/>
        <v>0</v>
      </c>
      <c r="BE81" s="195">
        <f t="shared" si="478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479"/>
        <v>0</v>
      </c>
      <c r="BK81" s="50">
        <f t="shared" si="480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486"/>
        <v>0</v>
      </c>
      <c r="BS81" s="233">
        <f t="shared" si="486"/>
        <v>0</v>
      </c>
      <c r="BT81" s="236">
        <f t="shared" si="546"/>
        <v>0</v>
      </c>
      <c r="BU81" s="233">
        <f t="shared" si="546"/>
        <v>0</v>
      </c>
      <c r="BV81" s="233">
        <f>IF($A81="a",IFERROR(VLOOKUP($B81 &amp; $C81&amp;BV$4,tblForecast,BV$2,FALSE),0),BT81+BU81)</f>
        <v>0</v>
      </c>
      <c r="BW81" s="233">
        <f t="shared" si="547"/>
        <v>0</v>
      </c>
      <c r="BX81" s="233">
        <f t="shared" si="547"/>
        <v>0</v>
      </c>
      <c r="BY81" s="194">
        <f>IFERROR(VLOOKUP($B81-IF(CompareVer="LY",1,0) &amp; $C81 &amp;BY$4,tblForecast,BY$2,FALSE),0)</f>
        <v>0</v>
      </c>
      <c r="BZ81" s="195">
        <f t="shared" si="481"/>
        <v>0</v>
      </c>
      <c r="CA81" s="339">
        <f t="shared" si="548"/>
        <v>0</v>
      </c>
      <c r="CB81" s="46">
        <f t="shared" si="548"/>
        <v>0</v>
      </c>
      <c r="CC81" s="46">
        <f>IF($A81="a",IFERROR(VLOOKUP($B81 &amp; $C81&amp;CC$4,tblForecast,CC$2,FALSE),0),CA81+CB81)</f>
        <v>0</v>
      </c>
      <c r="CD81" s="46">
        <f t="shared" si="549"/>
        <v>0</v>
      </c>
      <c r="CE81" s="46">
        <f t="shared" si="549"/>
        <v>0</v>
      </c>
      <c r="CF81" s="46">
        <f>IFERROR(VLOOKUP($B81-IF(CompareVer="LY",1,0) &amp; $C81 &amp;CF$4,tblForecast,CF$2,FALSE),0)</f>
        <v>0</v>
      </c>
      <c r="CG81" s="195">
        <f t="shared" si="482"/>
        <v>0</v>
      </c>
      <c r="CH81" s="339">
        <f t="shared" si="550"/>
        <v>0</v>
      </c>
      <c r="CI81" s="46">
        <f t="shared" si="550"/>
        <v>0</v>
      </c>
      <c r="CJ81" s="46">
        <f>IF($A81="a",IFERROR(VLOOKUP($B81 &amp; $C81&amp;CJ$4,tblForecast,CJ$2,FALSE),0),CH81+CI81)</f>
        <v>0</v>
      </c>
      <c r="CK81" s="46">
        <f t="shared" si="551"/>
        <v>0</v>
      </c>
      <c r="CL81" s="46">
        <f t="shared" si="551"/>
        <v>0</v>
      </c>
      <c r="CM81" s="46">
        <f>IFERROR(VLOOKUP($B81-IF(CompareVer="LY",1,0) &amp; $C81 &amp;CM$4,tblForecast,CM$2,FALSE),0)</f>
        <v>0</v>
      </c>
      <c r="CN81" s="195">
        <f t="shared" si="483"/>
        <v>0</v>
      </c>
      <c r="CO81" s="179">
        <f t="shared" si="520"/>
        <v>0</v>
      </c>
      <c r="CP81" s="225">
        <f t="shared" si="520"/>
        <v>0</v>
      </c>
      <c r="CQ81" s="195">
        <f t="shared" si="484"/>
        <v>0</v>
      </c>
      <c r="CR81" s="179">
        <f t="shared" si="487"/>
        <v>0</v>
      </c>
      <c r="CS81" s="225">
        <f t="shared" si="487"/>
        <v>0</v>
      </c>
      <c r="CT81" s="195">
        <f t="shared" si="521"/>
        <v>0</v>
      </c>
      <c r="CU81" s="44"/>
      <c r="CV81" s="345">
        <f t="shared" si="552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553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554"/>
        <v>0</v>
      </c>
      <c r="E82" s="203">
        <f t="shared" si="555"/>
        <v>0</v>
      </c>
      <c r="F82" s="183">
        <f t="shared" si="490"/>
        <v>0</v>
      </c>
      <c r="G82" s="177">
        <f t="shared" si="532"/>
        <v>0</v>
      </c>
      <c r="H82" s="204">
        <f t="shared" si="532"/>
        <v>0</v>
      </c>
      <c r="I82" s="204">
        <f t="shared" si="532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3"/>
        <v>0</v>
      </c>
      <c r="N82" s="46">
        <f t="shared" si="533"/>
        <v>0</v>
      </c>
      <c r="O82" s="46">
        <f t="shared" si="533"/>
        <v>0</v>
      </c>
      <c r="P82" s="47">
        <f t="shared" si="485"/>
        <v>0</v>
      </c>
      <c r="Q82" s="244">
        <f t="shared" si="556"/>
        <v>0</v>
      </c>
      <c r="R82" s="242">
        <f t="shared" si="534"/>
        <v>0</v>
      </c>
      <c r="S82" s="242">
        <f t="shared" si="534"/>
        <v>0</v>
      </c>
      <c r="T82" s="242">
        <f>IFERROR(VLOOKUP($B82-IF(CompareVer="LY",1,0) &amp; $C82 &amp;T$4,tblForecast,T$2,FALSE),0)</f>
        <v>0</v>
      </c>
      <c r="U82" s="91">
        <f t="shared" si="474"/>
        <v>0</v>
      </c>
      <c r="V82" s="251">
        <f t="shared" si="557"/>
        <v>0</v>
      </c>
      <c r="W82" s="336">
        <f t="shared" si="557"/>
        <v>0</v>
      </c>
      <c r="X82" s="252">
        <f>IFERROR(IF(T81&lt;&gt;0,T82/T81,0),0)</f>
        <v>0</v>
      </c>
      <c r="Y82" s="51">
        <f t="shared" si="535"/>
        <v>0</v>
      </c>
      <c r="Z82" s="46">
        <f t="shared" si="535"/>
        <v>0</v>
      </c>
      <c r="AA82" s="46">
        <f t="shared" si="535"/>
        <v>0</v>
      </c>
      <c r="AB82" s="46">
        <f t="shared" si="535"/>
        <v>0</v>
      </c>
      <c r="AC82" s="91">
        <f t="shared" si="475"/>
        <v>0</v>
      </c>
      <c r="AD82" s="75">
        <f>IF(AM82&lt;&gt;0,1-AR82/AM82,0)</f>
        <v>0.76010459894264115</v>
      </c>
      <c r="AE82" s="93">
        <f t="shared" si="536"/>
        <v>0</v>
      </c>
      <c r="AF82" s="93">
        <f t="shared" si="536"/>
        <v>0</v>
      </c>
      <c r="AG82" s="76">
        <f t="shared" si="536"/>
        <v>0</v>
      </c>
      <c r="AH82" s="73">
        <f t="shared" si="537"/>
        <v>25.13</v>
      </c>
      <c r="AI82" s="94">
        <f t="shared" si="538"/>
        <v>0</v>
      </c>
      <c r="AJ82" s="94">
        <f t="shared" si="538"/>
        <v>0</v>
      </c>
      <c r="AK82" s="49">
        <f>IFERROR(VLOOKUP($B82-IF(CompareVer="LY",1,0) &amp; $C82 &amp;AK$4,tblForecast,AK$2,FALSE),0)</f>
        <v>0</v>
      </c>
      <c r="AL82" s="47">
        <f t="shared" si="382"/>
        <v>0</v>
      </c>
      <c r="AM82" s="73">
        <f t="shared" si="539"/>
        <v>17.590999999999998</v>
      </c>
      <c r="AN82" s="94">
        <f t="shared" si="540"/>
        <v>0</v>
      </c>
      <c r="AO82" s="94">
        <f t="shared" si="540"/>
        <v>0</v>
      </c>
      <c r="AP82" s="49">
        <f>IFERROR(VLOOKUP($B82-IF(CompareVer="LY",1,0) &amp; $C82 &amp;AP$4,tblForecast,AP$2,FALSE),0)</f>
        <v>0</v>
      </c>
      <c r="AQ82" s="47">
        <f t="shared" si="476"/>
        <v>0</v>
      </c>
      <c r="AR82" s="73">
        <f t="shared" si="541"/>
        <v>4.22</v>
      </c>
      <c r="AS82" s="94">
        <f t="shared" si="542"/>
        <v>0</v>
      </c>
      <c r="AT82" s="94">
        <f t="shared" si="542"/>
        <v>0</v>
      </c>
      <c r="AU82" s="49">
        <f>IFERROR(VLOOKUP($B82-IF(CompareVer="LY",1,0) &amp; $C82 &amp;AU$4,tblForecast,AU$2,FALSE),0)</f>
        <v>0</v>
      </c>
      <c r="AV82" s="47">
        <f t="shared" si="477"/>
        <v>0</v>
      </c>
      <c r="AW82" s="192">
        <f t="shared" si="543"/>
        <v>0.30000000000000004</v>
      </c>
      <c r="AX82" s="193">
        <f t="shared" si="543"/>
        <v>0</v>
      </c>
      <c r="AY82" s="193">
        <f t="shared" si="543"/>
        <v>0</v>
      </c>
      <c r="AZ82" s="193">
        <f t="shared" si="543"/>
        <v>0</v>
      </c>
      <c r="BA82" s="237">
        <f t="shared" si="544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545"/>
        <v>0</v>
      </c>
      <c r="BE82" s="195">
        <f t="shared" si="478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479"/>
        <v>0</v>
      </c>
      <c r="BK82" s="50">
        <f t="shared" si="480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486"/>
        <v>0</v>
      </c>
      <c r="BS82" s="233">
        <f t="shared" si="486"/>
        <v>0</v>
      </c>
      <c r="BT82" s="236">
        <f t="shared" si="546"/>
        <v>0</v>
      </c>
      <c r="BU82" s="233">
        <f t="shared" si="546"/>
        <v>0</v>
      </c>
      <c r="BV82" s="233">
        <f>IF($A82="a",IFERROR(VLOOKUP($B82 &amp; $C82&amp;BV$4,tblForecast,BV$2,FALSE),0),BT82+BU82)</f>
        <v>0</v>
      </c>
      <c r="BW82" s="233">
        <f t="shared" si="547"/>
        <v>0</v>
      </c>
      <c r="BX82" s="233">
        <f t="shared" si="547"/>
        <v>0</v>
      </c>
      <c r="BY82" s="194">
        <f>IFERROR(VLOOKUP($B82-IF(CompareVer="LY",1,0) &amp; $C82 &amp;BY$4,tblForecast,BY$2,FALSE),0)</f>
        <v>0</v>
      </c>
      <c r="BZ82" s="195">
        <f t="shared" si="481"/>
        <v>0</v>
      </c>
      <c r="CA82" s="339">
        <f t="shared" si="548"/>
        <v>0</v>
      </c>
      <c r="CB82" s="46">
        <f t="shared" si="548"/>
        <v>0</v>
      </c>
      <c r="CC82" s="46">
        <f>IF($A82="a",IFERROR(VLOOKUP($B82 &amp; $C82&amp;CC$4,tblForecast,CC$2,FALSE),0),CA82+CB82)</f>
        <v>0</v>
      </c>
      <c r="CD82" s="46">
        <f t="shared" si="549"/>
        <v>0</v>
      </c>
      <c r="CE82" s="46">
        <f t="shared" si="549"/>
        <v>0</v>
      </c>
      <c r="CF82" s="46">
        <f>IFERROR(VLOOKUP($B82-IF(CompareVer="LY",1,0) &amp; $C82 &amp;CF$4,tblForecast,CF$2,FALSE),0)</f>
        <v>0</v>
      </c>
      <c r="CG82" s="195">
        <f t="shared" si="482"/>
        <v>0</v>
      </c>
      <c r="CH82" s="339">
        <f t="shared" si="550"/>
        <v>0</v>
      </c>
      <c r="CI82" s="46">
        <f t="shared" si="550"/>
        <v>0</v>
      </c>
      <c r="CJ82" s="46">
        <f>IF($A82="a",IFERROR(VLOOKUP($B82 &amp; $C82&amp;CJ$4,tblForecast,CJ$2,FALSE),0),CH82+CI82)</f>
        <v>0</v>
      </c>
      <c r="CK82" s="46">
        <f t="shared" si="551"/>
        <v>0</v>
      </c>
      <c r="CL82" s="46">
        <f t="shared" si="551"/>
        <v>0</v>
      </c>
      <c r="CM82" s="46">
        <f>IFERROR(VLOOKUP($B82-IF(CompareVer="LY",1,0) &amp; $C82 &amp;CM$4,tblForecast,CM$2,FALSE),0)</f>
        <v>0</v>
      </c>
      <c r="CN82" s="195">
        <f t="shared" si="483"/>
        <v>0</v>
      </c>
      <c r="CO82" s="179">
        <f t="shared" si="520"/>
        <v>0</v>
      </c>
      <c r="CP82" s="225">
        <f t="shared" si="520"/>
        <v>0</v>
      </c>
      <c r="CQ82" s="195">
        <f t="shared" si="484"/>
        <v>0</v>
      </c>
      <c r="CR82" s="179">
        <f t="shared" si="487"/>
        <v>0</v>
      </c>
      <c r="CS82" s="225">
        <f t="shared" si="487"/>
        <v>0</v>
      </c>
      <c r="CT82" s="195">
        <f t="shared" si="521"/>
        <v>0</v>
      </c>
      <c r="CU82" s="44"/>
      <c r="CV82" s="345">
        <f t="shared" si="552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553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554"/>
        <v>0</v>
      </c>
      <c r="E83" s="203">
        <f t="shared" si="555"/>
        <v>0</v>
      </c>
      <c r="F83" s="183">
        <f t="shared" si="490"/>
        <v>0</v>
      </c>
      <c r="G83" s="177">
        <f t="shared" si="532"/>
        <v>0</v>
      </c>
      <c r="H83" s="204">
        <f t="shared" si="532"/>
        <v>0</v>
      </c>
      <c r="I83" s="204">
        <f t="shared" si="532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3"/>
        <v>0</v>
      </c>
      <c r="N83" s="46">
        <f t="shared" si="533"/>
        <v>0</v>
      </c>
      <c r="O83" s="46">
        <f t="shared" si="533"/>
        <v>0</v>
      </c>
      <c r="P83" s="47">
        <f t="shared" si="485"/>
        <v>0</v>
      </c>
      <c r="Q83" s="244">
        <f t="shared" si="556"/>
        <v>0</v>
      </c>
      <c r="R83" s="242">
        <f t="shared" si="534"/>
        <v>0</v>
      </c>
      <c r="S83" s="242">
        <f t="shared" si="534"/>
        <v>0</v>
      </c>
      <c r="T83" s="242">
        <f>IFERROR(VLOOKUP($B83-IF(CompareVer="LY",1,0) &amp; $C83 &amp;T$4,tblForecast,T$2,FALSE),0)</f>
        <v>0</v>
      </c>
      <c r="U83" s="91">
        <f t="shared" si="474"/>
        <v>0</v>
      </c>
      <c r="V83" s="251">
        <f t="shared" si="557"/>
        <v>0</v>
      </c>
      <c r="W83" s="336">
        <f t="shared" si="557"/>
        <v>0</v>
      </c>
      <c r="X83" s="252">
        <f>IFERROR(IF(T82&lt;&gt;0,T83/T82,0),0)</f>
        <v>0</v>
      </c>
      <c r="Y83" s="51">
        <f t="shared" si="535"/>
        <v>0</v>
      </c>
      <c r="Z83" s="46">
        <f t="shared" si="535"/>
        <v>0</v>
      </c>
      <c r="AA83" s="46">
        <f t="shared" si="535"/>
        <v>0</v>
      </c>
      <c r="AB83" s="46">
        <f t="shared" si="535"/>
        <v>0</v>
      </c>
      <c r="AC83" s="91">
        <f t="shared" si="475"/>
        <v>0</v>
      </c>
      <c r="AD83" s="75">
        <f>IF(AM83&lt;&gt;0,1-AR83/AM83,0)</f>
        <v>0.76010459894264115</v>
      </c>
      <c r="AE83" s="93">
        <f t="shared" si="536"/>
        <v>0</v>
      </c>
      <c r="AF83" s="93">
        <f t="shared" si="536"/>
        <v>0</v>
      </c>
      <c r="AG83" s="76">
        <f t="shared" si="536"/>
        <v>0</v>
      </c>
      <c r="AH83" s="73">
        <f t="shared" si="537"/>
        <v>25.13</v>
      </c>
      <c r="AI83" s="94">
        <f t="shared" si="538"/>
        <v>0</v>
      </c>
      <c r="AJ83" s="94">
        <f t="shared" si="538"/>
        <v>0</v>
      </c>
      <c r="AK83" s="49">
        <f>IFERROR(VLOOKUP($B83-IF(CompareVer="LY",1,0) &amp; $C83 &amp;AK$4,tblForecast,AK$2,FALSE),0)</f>
        <v>0</v>
      </c>
      <c r="AL83" s="47">
        <f t="shared" si="382"/>
        <v>0</v>
      </c>
      <c r="AM83" s="73">
        <f t="shared" si="539"/>
        <v>17.590999999999998</v>
      </c>
      <c r="AN83" s="94">
        <f t="shared" si="540"/>
        <v>0</v>
      </c>
      <c r="AO83" s="94">
        <f t="shared" si="540"/>
        <v>0</v>
      </c>
      <c r="AP83" s="49">
        <f>IFERROR(VLOOKUP($B83-IF(CompareVer="LY",1,0) &amp; $C83 &amp;AP$4,tblForecast,AP$2,FALSE),0)</f>
        <v>0</v>
      </c>
      <c r="AQ83" s="47">
        <f t="shared" si="476"/>
        <v>0</v>
      </c>
      <c r="AR83" s="73">
        <f t="shared" si="541"/>
        <v>4.22</v>
      </c>
      <c r="AS83" s="94">
        <f t="shared" si="542"/>
        <v>0</v>
      </c>
      <c r="AT83" s="94">
        <f t="shared" si="542"/>
        <v>0</v>
      </c>
      <c r="AU83" s="49">
        <f>IFERROR(VLOOKUP($B83-IF(CompareVer="LY",1,0) &amp; $C83 &amp;AU$4,tblForecast,AU$2,FALSE),0)</f>
        <v>0</v>
      </c>
      <c r="AV83" s="47">
        <f t="shared" si="477"/>
        <v>0</v>
      </c>
      <c r="AW83" s="192">
        <f t="shared" si="543"/>
        <v>0.30000000000000004</v>
      </c>
      <c r="AX83" s="193">
        <f t="shared" si="543"/>
        <v>0</v>
      </c>
      <c r="AY83" s="193">
        <f t="shared" si="543"/>
        <v>0</v>
      </c>
      <c r="AZ83" s="193">
        <f t="shared" si="543"/>
        <v>0</v>
      </c>
      <c r="BA83" s="237">
        <f t="shared" si="544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545"/>
        <v>0</v>
      </c>
      <c r="BE83" s="195">
        <f t="shared" si="478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479"/>
        <v>0</v>
      </c>
      <c r="BK83" s="50">
        <f t="shared" si="480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486"/>
        <v>0</v>
      </c>
      <c r="BS83" s="233">
        <f t="shared" si="486"/>
        <v>0</v>
      </c>
      <c r="BT83" s="236">
        <f t="shared" si="546"/>
        <v>0</v>
      </c>
      <c r="BU83" s="233">
        <f t="shared" si="546"/>
        <v>0</v>
      </c>
      <c r="BV83" s="233">
        <f>IF($A83="a",IFERROR(VLOOKUP($B83 &amp; $C83&amp;BV$4,tblForecast,BV$2,FALSE),0),BT83+BU83)</f>
        <v>0</v>
      </c>
      <c r="BW83" s="233">
        <f t="shared" si="547"/>
        <v>0</v>
      </c>
      <c r="BX83" s="233">
        <f t="shared" si="547"/>
        <v>0</v>
      </c>
      <c r="BY83" s="194">
        <f>IFERROR(VLOOKUP($B83-IF(CompareVer="LY",1,0) &amp; $C83 &amp;BY$4,tblForecast,BY$2,FALSE),0)</f>
        <v>0</v>
      </c>
      <c r="BZ83" s="195">
        <f t="shared" si="481"/>
        <v>0</v>
      </c>
      <c r="CA83" s="339">
        <f t="shared" si="548"/>
        <v>0</v>
      </c>
      <c r="CB83" s="46">
        <f t="shared" si="548"/>
        <v>0</v>
      </c>
      <c r="CC83" s="46">
        <f>IF($A83="a",IFERROR(VLOOKUP($B83 &amp; $C83&amp;CC$4,tblForecast,CC$2,FALSE),0),CA83+CB83)</f>
        <v>0</v>
      </c>
      <c r="CD83" s="46">
        <f t="shared" si="549"/>
        <v>0</v>
      </c>
      <c r="CE83" s="46">
        <f t="shared" si="549"/>
        <v>0</v>
      </c>
      <c r="CF83" s="46">
        <f>IFERROR(VLOOKUP($B83-IF(CompareVer="LY",1,0) &amp; $C83 &amp;CF$4,tblForecast,CF$2,FALSE),0)</f>
        <v>0</v>
      </c>
      <c r="CG83" s="195">
        <f t="shared" si="482"/>
        <v>0</v>
      </c>
      <c r="CH83" s="339">
        <f t="shared" si="550"/>
        <v>0</v>
      </c>
      <c r="CI83" s="46">
        <f t="shared" si="550"/>
        <v>0</v>
      </c>
      <c r="CJ83" s="46">
        <f>IF($A83="a",IFERROR(VLOOKUP($B83 &amp; $C83&amp;CJ$4,tblForecast,CJ$2,FALSE),0),CH83+CI83)</f>
        <v>0</v>
      </c>
      <c r="CK83" s="46">
        <f t="shared" si="551"/>
        <v>0</v>
      </c>
      <c r="CL83" s="46">
        <f t="shared" si="551"/>
        <v>0</v>
      </c>
      <c r="CM83" s="46">
        <f>IFERROR(VLOOKUP($B83-IF(CompareVer="LY",1,0) &amp; $C83 &amp;CM$4,tblForecast,CM$2,FALSE),0)</f>
        <v>0</v>
      </c>
      <c r="CN83" s="195">
        <f t="shared" si="483"/>
        <v>0</v>
      </c>
      <c r="CO83" s="179">
        <f t="shared" si="520"/>
        <v>0</v>
      </c>
      <c r="CP83" s="225">
        <f t="shared" si="520"/>
        <v>0</v>
      </c>
      <c r="CQ83" s="195">
        <f t="shared" si="484"/>
        <v>0</v>
      </c>
      <c r="CR83" s="179">
        <f t="shared" si="487"/>
        <v>0</v>
      </c>
      <c r="CS83" s="225">
        <f t="shared" si="487"/>
        <v>0</v>
      </c>
      <c r="CT83" s="195">
        <f t="shared" si="521"/>
        <v>0</v>
      </c>
      <c r="CU83" s="44"/>
      <c r="CV83" s="345">
        <f t="shared" si="552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553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558">SUM(D80:D83)</f>
        <v>0</v>
      </c>
      <c r="E84" s="257">
        <f t="shared" ref="E84" si="559">SUM(E80:E83)</f>
        <v>0</v>
      </c>
      <c r="F84" s="258">
        <f t="shared" si="490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560">SUM(M80:M83)</f>
        <v>0</v>
      </c>
      <c r="N84" s="261">
        <f t="shared" si="560"/>
        <v>0</v>
      </c>
      <c r="O84" s="261">
        <f t="shared" si="560"/>
        <v>0</v>
      </c>
      <c r="P84" s="262">
        <f t="shared" si="485"/>
        <v>0</v>
      </c>
      <c r="Q84" s="264">
        <f t="shared" ref="Q84:S84" si="561">SUM(Q80:Q83)</f>
        <v>0</v>
      </c>
      <c r="R84" s="264">
        <f t="shared" si="561"/>
        <v>0</v>
      </c>
      <c r="S84" s="264">
        <f t="shared" si="561"/>
        <v>0</v>
      </c>
      <c r="T84" s="264">
        <f>SUM(T80:T83)</f>
        <v>0</v>
      </c>
      <c r="U84" s="262">
        <f t="shared" si="474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562">SUM(Z80:Z83)</f>
        <v>0</v>
      </c>
      <c r="AA84" s="261">
        <f t="shared" si="562"/>
        <v>0</v>
      </c>
      <c r="AB84" s="261">
        <f t="shared" si="562"/>
        <v>0</v>
      </c>
      <c r="AC84" s="262">
        <f t="shared" si="475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:AK84" si="563">IFERROR(SUMPRODUCT(AJ80:AJ83,S80:S83)/S84,0)</f>
        <v>0</v>
      </c>
      <c r="AK84" s="270">
        <f t="shared" si="563"/>
        <v>0</v>
      </c>
      <c r="AL84" s="262">
        <f t="shared" si="382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476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477"/>
        <v>0</v>
      </c>
      <c r="AW84" s="271">
        <f>IFERROR(SUMPRODUCT(AW80:AW83,V80:V83)/V84,0)</f>
        <v>0</v>
      </c>
      <c r="AX84" s="272">
        <f t="shared" ref="AX84:AZ84" si="564">IFERROR(SUMPRODUCT(AX80:AX83,X80:X83)/X84,0)</f>
        <v>0</v>
      </c>
      <c r="AY84" s="272">
        <f t="shared" si="564"/>
        <v>0</v>
      </c>
      <c r="AZ84" s="272">
        <f t="shared" si="564"/>
        <v>0</v>
      </c>
      <c r="BA84" s="263">
        <f>BA83</f>
        <v>0</v>
      </c>
      <c r="BB84" s="264">
        <f t="shared" ref="BB84:BD84" si="565">BB83</f>
        <v>0</v>
      </c>
      <c r="BC84" s="264">
        <f t="shared" si="565"/>
        <v>0</v>
      </c>
      <c r="BD84" s="264">
        <f t="shared" si="565"/>
        <v>0</v>
      </c>
      <c r="BE84" s="262">
        <f t="shared" si="478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479"/>
        <v>0</v>
      </c>
      <c r="BK84" s="276">
        <f t="shared" si="480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566">SUM(BO80:BO83)</f>
        <v>0</v>
      </c>
      <c r="BP84" s="263">
        <f>SUM(BP80:BP83)</f>
        <v>0</v>
      </c>
      <c r="BQ84" s="264">
        <f t="shared" ref="BQ84" si="567">SUM(BQ80:BQ83)</f>
        <v>0</v>
      </c>
      <c r="BR84" s="263">
        <f t="shared" si="486"/>
        <v>0</v>
      </c>
      <c r="BS84" s="264">
        <f t="shared" si="486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568">SUM(BW80:BW83)</f>
        <v>0</v>
      </c>
      <c r="BX84" s="264">
        <f t="shared" si="568"/>
        <v>0</v>
      </c>
      <c r="BY84" s="277">
        <f>SUM(BY80:BY83)</f>
        <v>0</v>
      </c>
      <c r="BZ84" s="262">
        <f t="shared" si="481"/>
        <v>0</v>
      </c>
      <c r="CA84" s="340">
        <f>SUM(CA80:CA83)</f>
        <v>0</v>
      </c>
      <c r="CB84" s="261">
        <f t="shared" ref="CB84:CF84" si="569">SUM(CB80:CB83)</f>
        <v>0</v>
      </c>
      <c r="CC84" s="261">
        <f t="shared" si="569"/>
        <v>0</v>
      </c>
      <c r="CD84" s="261">
        <f t="shared" si="569"/>
        <v>0</v>
      </c>
      <c r="CE84" s="261">
        <f t="shared" si="569"/>
        <v>0</v>
      </c>
      <c r="CF84" s="261">
        <f t="shared" si="569"/>
        <v>0</v>
      </c>
      <c r="CG84" s="262">
        <f t="shared" si="482"/>
        <v>0</v>
      </c>
      <c r="CH84" s="340">
        <f>SUM(CH80:CH83)</f>
        <v>0</v>
      </c>
      <c r="CI84" s="261">
        <f t="shared" ref="CI84:CM84" si="570">SUM(CI80:CI83)</f>
        <v>0</v>
      </c>
      <c r="CJ84" s="261">
        <f t="shared" si="570"/>
        <v>0</v>
      </c>
      <c r="CK84" s="261">
        <f t="shared" si="570"/>
        <v>0</v>
      </c>
      <c r="CL84" s="261">
        <f t="shared" si="570"/>
        <v>0</v>
      </c>
      <c r="CM84" s="261">
        <f t="shared" si="570"/>
        <v>0</v>
      </c>
      <c r="CN84" s="262">
        <f t="shared" si="483"/>
        <v>0</v>
      </c>
      <c r="CO84" s="278">
        <f t="shared" si="520"/>
        <v>0</v>
      </c>
      <c r="CP84" s="279">
        <f t="shared" si="520"/>
        <v>0</v>
      </c>
      <c r="CQ84" s="262">
        <f t="shared" si="484"/>
        <v>0</v>
      </c>
      <c r="CR84" s="278">
        <f t="shared" si="487"/>
        <v>0</v>
      </c>
      <c r="CS84" s="279">
        <f t="shared" si="487"/>
        <v>0</v>
      </c>
      <c r="CT84" s="262">
        <f t="shared" si="521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553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490"/>
        <v>0</v>
      </c>
      <c r="G85" s="177">
        <f t="shared" ref="G85:I89" si="571">IFERROR(VLOOKUP($B85 &amp; $C85&amp;G$4&amp;$A85,tblForecast,G$2,FALSE),0)</f>
        <v>0</v>
      </c>
      <c r="H85" s="204">
        <f t="shared" si="571"/>
        <v>0</v>
      </c>
      <c r="I85" s="204">
        <f t="shared" si="571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2">R85*AN85</f>
        <v>0</v>
      </c>
      <c r="N85" s="46">
        <f t="shared" si="572"/>
        <v>0</v>
      </c>
      <c r="O85" s="46">
        <f t="shared" si="572"/>
        <v>0</v>
      </c>
      <c r="P85" s="47">
        <f t="shared" si="485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573">IFERROR(VLOOKUP($B85 &amp; $C85&amp;R$4,tblForecast,R$2,FALSE),0)</f>
        <v>0</v>
      </c>
      <c r="S85" s="242">
        <f t="shared" si="573"/>
        <v>0</v>
      </c>
      <c r="T85" s="242">
        <f>IFERROR(VLOOKUP($B85-IF(CompareVer="LY",1,0) &amp; $C85 &amp;T$4,tblForecast,T$2,FALSE),0)</f>
        <v>0</v>
      </c>
      <c r="U85" s="91">
        <f t="shared" si="474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574">IFERROR(L85*AD85,0)</f>
        <v>0</v>
      </c>
      <c r="Z85" s="46">
        <f t="shared" si="574"/>
        <v>0</v>
      </c>
      <c r="AA85" s="46">
        <f t="shared" si="574"/>
        <v>0</v>
      </c>
      <c r="AB85" s="46">
        <f t="shared" si="574"/>
        <v>0</v>
      </c>
      <c r="AC85" s="91">
        <f t="shared" si="475"/>
        <v>0</v>
      </c>
      <c r="AD85" s="75">
        <f>IF(AM85&lt;&gt;0,1-AR85/AM85,0)</f>
        <v>0.74165110655361355</v>
      </c>
      <c r="AE85" s="93">
        <f t="shared" ref="AE85:AG89" si="575">IF(AN85&lt;&gt;0,1-AS85/AN85,0)</f>
        <v>0</v>
      </c>
      <c r="AF85" s="93">
        <f t="shared" si="575"/>
        <v>0</v>
      </c>
      <c r="AG85" s="76">
        <f t="shared" si="575"/>
        <v>0</v>
      </c>
      <c r="AH85" s="73">
        <f t="shared" ref="AH85:AH89" si="576">DB85</f>
        <v>25.13</v>
      </c>
      <c r="AI85" s="94">
        <f t="shared" ref="AI85:AJ89" si="577">IFERROR(VLOOKUP($B85 &amp; $C85&amp;AI$4,tblForecast,AI$2,FALSE),0)</f>
        <v>0</v>
      </c>
      <c r="AJ85" s="94">
        <f t="shared" si="577"/>
        <v>0</v>
      </c>
      <c r="AK85" s="49">
        <f>IFERROR(VLOOKUP($B85-IF(CompareVer="LY",1,0) &amp; $C85 &amp;AK$4,tblForecast,AK$2,FALSE),0)</f>
        <v>0</v>
      </c>
      <c r="AL85" s="47">
        <f t="shared" si="382"/>
        <v>0</v>
      </c>
      <c r="AM85" s="73">
        <f t="shared" ref="AM85:AM89" si="578">DA85</f>
        <v>16.334499999999998</v>
      </c>
      <c r="AN85" s="94">
        <f t="shared" ref="AN85:AO89" si="579">IFERROR(VLOOKUP($B85 &amp; $C85&amp;AN$4,tblForecast,AN$2,FALSE),0)</f>
        <v>0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6"/>
        <v>0</v>
      </c>
      <c r="AR85" s="73">
        <f t="shared" ref="AR85:AR89" si="580">DC85</f>
        <v>4.22</v>
      </c>
      <c r="AS85" s="94">
        <f t="shared" ref="AS85:AT89" si="581">IFERROR(VLOOKUP($B85 &amp; $C85&amp;AS$4,tblForecast,AS$2,FALSE),0)</f>
        <v>0</v>
      </c>
      <c r="AT85" s="94">
        <f t="shared" si="581"/>
        <v>0</v>
      </c>
      <c r="AU85" s="49">
        <f>IFERROR(VLOOKUP($B85-IF(CompareVer="LY",1,0) &amp; $C85 &amp;AU$4,tblForecast,AU$2,FALSE),0)</f>
        <v>0</v>
      </c>
      <c r="AV85" s="47">
        <f t="shared" si="477"/>
        <v>0</v>
      </c>
      <c r="AW85" s="192">
        <f t="shared" ref="AW85:AZ89" si="582">IFERROR((AM85/AH85-1)*-1,0)</f>
        <v>0.35000000000000009</v>
      </c>
      <c r="AX85" s="193">
        <f t="shared" si="582"/>
        <v>0</v>
      </c>
      <c r="AY85" s="193">
        <f t="shared" si="582"/>
        <v>0</v>
      </c>
      <c r="AZ85" s="193">
        <f t="shared" si="582"/>
        <v>0</v>
      </c>
      <c r="BA85" s="237">
        <f t="shared" ref="BA85:BA89" si="583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584">CX85+BG85</f>
        <v>0</v>
      </c>
      <c r="BE85" s="195">
        <f t="shared" si="478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479"/>
        <v>0</v>
      </c>
      <c r="BK85" s="50">
        <f t="shared" si="480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486"/>
        <v>0</v>
      </c>
      <c r="BS85" s="233">
        <f t="shared" si="486"/>
        <v>0</v>
      </c>
      <c r="BT85" s="236">
        <f t="shared" ref="BT85:BU89" si="585">IFERROR(VLOOKUP($B85 &amp; $C85&amp;BT$4,tblForecast,BT$2,FALSE),0)</f>
        <v>0</v>
      </c>
      <c r="BU85" s="233">
        <f t="shared" si="585"/>
        <v>0</v>
      </c>
      <c r="BV85" s="233">
        <f>IF($A85="a",IFERROR(VLOOKUP($B85 &amp; $C85&amp;BV$4,tblForecast,BV$2,FALSE),0),BT85+BU85)</f>
        <v>0</v>
      </c>
      <c r="BW85" s="233">
        <f t="shared" ref="BW85:BX89" si="586">IFERROR(VLOOKUP($B85 &amp; $C85&amp;BW$4,tblForecast,BW$2,FALSE),0)</f>
        <v>0</v>
      </c>
      <c r="BX85" s="233">
        <f t="shared" si="586"/>
        <v>0</v>
      </c>
      <c r="BY85" s="194">
        <f>IFERROR(VLOOKUP($B85-IF(CompareVer="LY",1,0) &amp; $C85 &amp;BY$4,tblForecast,BY$2,FALSE),0)</f>
        <v>0</v>
      </c>
      <c r="BZ85" s="195">
        <f t="shared" si="481"/>
        <v>0</v>
      </c>
      <c r="CA85" s="339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5">
        <f t="shared" si="482"/>
        <v>0</v>
      </c>
      <c r="CH85" s="339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5">
        <f t="shared" si="483"/>
        <v>0</v>
      </c>
      <c r="CO85" s="179">
        <f t="shared" si="520"/>
        <v>0</v>
      </c>
      <c r="CP85" s="225">
        <f t="shared" si="520"/>
        <v>0</v>
      </c>
      <c r="CQ85" s="195">
        <f t="shared" si="484"/>
        <v>0</v>
      </c>
      <c r="CR85" s="179">
        <f t="shared" si="487"/>
        <v>0</v>
      </c>
      <c r="CS85" s="225">
        <f t="shared" si="487"/>
        <v>0</v>
      </c>
      <c r="CT85" s="195">
        <f t="shared" si="521"/>
        <v>0</v>
      </c>
      <c r="CU85" s="44"/>
      <c r="CV85" s="345">
        <f t="shared" ref="CV85:CV89" si="59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553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592">G86*H86</f>
        <v>0</v>
      </c>
      <c r="E86" s="203">
        <f t="shared" ref="E86:E89" si="593">IFERROR(D86*F86,0)</f>
        <v>0</v>
      </c>
      <c r="F86" s="183">
        <f t="shared" si="490"/>
        <v>0</v>
      </c>
      <c r="G86" s="177">
        <f t="shared" si="571"/>
        <v>0</v>
      </c>
      <c r="H86" s="204">
        <f t="shared" si="571"/>
        <v>0</v>
      </c>
      <c r="I86" s="204">
        <f t="shared" si="571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2"/>
        <v>0</v>
      </c>
      <c r="N86" s="46">
        <f t="shared" si="572"/>
        <v>0</v>
      </c>
      <c r="O86" s="46">
        <f t="shared" si="572"/>
        <v>0</v>
      </c>
      <c r="P86" s="47">
        <f t="shared" si="485"/>
        <v>0</v>
      </c>
      <c r="Q86" s="244">
        <f t="shared" ref="Q86:Q89" si="594">IF(A85="a",IF(CV86=0,R86,IF(BA85-(Q85*IF(W86=0,X86,W86))&lt;0,BA85,Q85*IF(W86=0,X86,W86))),IF(BA85-(Q85*IF(W86=0,X86,W86))&lt;0,BA85,Q85*IF(W86=0,X86,W86)))</f>
        <v>0</v>
      </c>
      <c r="R86" s="242">
        <f t="shared" si="573"/>
        <v>0</v>
      </c>
      <c r="S86" s="242">
        <f t="shared" si="573"/>
        <v>0</v>
      </c>
      <c r="T86" s="242">
        <f>IFERROR(VLOOKUP($B86-IF(CompareVer="LY",1,0) &amp; $C86 &amp;T$4,tblForecast,T$2,FALSE),0)</f>
        <v>0</v>
      </c>
      <c r="U86" s="91">
        <f t="shared" si="474"/>
        <v>0</v>
      </c>
      <c r="V86" s="251">
        <f t="shared" ref="V86:W89" si="595">IFERROR(IF(Q85&lt;&gt;0,Q86/Q85,0),0)</f>
        <v>0</v>
      </c>
      <c r="W86" s="336">
        <f t="shared" si="595"/>
        <v>0</v>
      </c>
      <c r="X86" s="252">
        <f>IFERROR(IF(T85&lt;&gt;0,T86/T85,0),0)</f>
        <v>0</v>
      </c>
      <c r="Y86" s="51">
        <f t="shared" si="574"/>
        <v>0</v>
      </c>
      <c r="Z86" s="46">
        <f t="shared" si="574"/>
        <v>0</v>
      </c>
      <c r="AA86" s="46">
        <f t="shared" si="574"/>
        <v>0</v>
      </c>
      <c r="AB86" s="46">
        <f t="shared" si="574"/>
        <v>0</v>
      </c>
      <c r="AC86" s="91">
        <f t="shared" si="475"/>
        <v>0</v>
      </c>
      <c r="AD86" s="75">
        <f>IF(AM86&lt;&gt;0,1-AR86/AM86,0)</f>
        <v>0.74165110655361355</v>
      </c>
      <c r="AE86" s="93">
        <f t="shared" si="575"/>
        <v>0</v>
      </c>
      <c r="AF86" s="93">
        <f t="shared" si="575"/>
        <v>0</v>
      </c>
      <c r="AG86" s="76">
        <f t="shared" si="575"/>
        <v>0</v>
      </c>
      <c r="AH86" s="73">
        <f t="shared" si="576"/>
        <v>25.13</v>
      </c>
      <c r="AI86" s="94">
        <f t="shared" si="577"/>
        <v>0</v>
      </c>
      <c r="AJ86" s="94">
        <f t="shared" si="577"/>
        <v>0</v>
      </c>
      <c r="AK86" s="49">
        <f>IFERROR(VLOOKUP($B86-IF(CompareVer="LY",1,0) &amp; $C86 &amp;AK$4,tblForecast,AK$2,FALSE),0)</f>
        <v>0</v>
      </c>
      <c r="AL86" s="47">
        <f t="shared" si="382"/>
        <v>0</v>
      </c>
      <c r="AM86" s="73">
        <f t="shared" si="578"/>
        <v>16.334499999999998</v>
      </c>
      <c r="AN86" s="94">
        <f t="shared" si="579"/>
        <v>0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6"/>
        <v>0</v>
      </c>
      <c r="AR86" s="73">
        <f t="shared" si="580"/>
        <v>4.22</v>
      </c>
      <c r="AS86" s="94">
        <f t="shared" si="581"/>
        <v>0</v>
      </c>
      <c r="AT86" s="94">
        <f t="shared" si="581"/>
        <v>0</v>
      </c>
      <c r="AU86" s="49">
        <f>IFERROR(VLOOKUP($B86-IF(CompareVer="LY",1,0) &amp; $C86 &amp;AU$4,tblForecast,AU$2,FALSE),0)</f>
        <v>0</v>
      </c>
      <c r="AV86" s="47">
        <f t="shared" si="477"/>
        <v>0</v>
      </c>
      <c r="AW86" s="192">
        <f t="shared" si="582"/>
        <v>0.35000000000000009</v>
      </c>
      <c r="AX86" s="193">
        <f t="shared" si="582"/>
        <v>0</v>
      </c>
      <c r="AY86" s="193">
        <f t="shared" si="582"/>
        <v>0</v>
      </c>
      <c r="AZ86" s="193">
        <f t="shared" si="582"/>
        <v>0</v>
      </c>
      <c r="BA86" s="237">
        <f t="shared" si="583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584"/>
        <v>0</v>
      </c>
      <c r="BE86" s="195">
        <f t="shared" si="478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479"/>
        <v>0</v>
      </c>
      <c r="BK86" s="50">
        <f t="shared" si="480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486"/>
        <v>0</v>
      </c>
      <c r="BS86" s="233">
        <f t="shared" si="486"/>
        <v>0</v>
      </c>
      <c r="BT86" s="236">
        <f t="shared" si="585"/>
        <v>0</v>
      </c>
      <c r="BU86" s="233">
        <f t="shared" si="585"/>
        <v>0</v>
      </c>
      <c r="BV86" s="233">
        <f>IF($A86="a",IFERROR(VLOOKUP($B86 &amp; $C86&amp;BV$4,tblForecast,BV$2,FALSE),0),BT86+BU86)</f>
        <v>0</v>
      </c>
      <c r="BW86" s="233">
        <f t="shared" si="586"/>
        <v>0</v>
      </c>
      <c r="BX86" s="233">
        <f t="shared" si="586"/>
        <v>0</v>
      </c>
      <c r="BY86" s="194">
        <f>IFERROR(VLOOKUP($B86-IF(CompareVer="LY",1,0) &amp; $C86 &amp;BY$4,tblForecast,BY$2,FALSE),0)</f>
        <v>0</v>
      </c>
      <c r="BZ86" s="195">
        <f t="shared" si="481"/>
        <v>0</v>
      </c>
      <c r="CA86" s="339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5">
        <f t="shared" si="482"/>
        <v>0</v>
      </c>
      <c r="CH86" s="339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5">
        <f t="shared" si="483"/>
        <v>0</v>
      </c>
      <c r="CO86" s="179">
        <f t="shared" si="520"/>
        <v>0</v>
      </c>
      <c r="CP86" s="225">
        <f t="shared" si="520"/>
        <v>0</v>
      </c>
      <c r="CQ86" s="195">
        <f t="shared" si="484"/>
        <v>0</v>
      </c>
      <c r="CR86" s="179">
        <f t="shared" si="487"/>
        <v>0</v>
      </c>
      <c r="CS86" s="225">
        <f t="shared" si="487"/>
        <v>0</v>
      </c>
      <c r="CT86" s="195">
        <f t="shared" si="521"/>
        <v>0</v>
      </c>
      <c r="CU86" s="44"/>
      <c r="CV86" s="345">
        <f t="shared" si="59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553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592"/>
        <v>0</v>
      </c>
      <c r="E87" s="203">
        <f t="shared" si="593"/>
        <v>0</v>
      </c>
      <c r="F87" s="183">
        <f t="shared" si="490"/>
        <v>0</v>
      </c>
      <c r="G87" s="177">
        <f t="shared" si="571"/>
        <v>0</v>
      </c>
      <c r="H87" s="204">
        <f t="shared" si="571"/>
        <v>0</v>
      </c>
      <c r="I87" s="204">
        <f t="shared" si="571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2"/>
        <v>0</v>
      </c>
      <c r="N87" s="46">
        <f t="shared" si="572"/>
        <v>0</v>
      </c>
      <c r="O87" s="46">
        <f t="shared" si="572"/>
        <v>0</v>
      </c>
      <c r="P87" s="47">
        <f t="shared" si="485"/>
        <v>0</v>
      </c>
      <c r="Q87" s="244">
        <f t="shared" si="594"/>
        <v>0</v>
      </c>
      <c r="R87" s="242">
        <f t="shared" si="573"/>
        <v>0</v>
      </c>
      <c r="S87" s="242">
        <f t="shared" si="573"/>
        <v>0</v>
      </c>
      <c r="T87" s="242">
        <f>IFERROR(VLOOKUP($B87-IF(CompareVer="LY",1,0) &amp; $C87 &amp;T$4,tblForecast,T$2,FALSE),0)</f>
        <v>0</v>
      </c>
      <c r="U87" s="91">
        <f t="shared" si="474"/>
        <v>0</v>
      </c>
      <c r="V87" s="251">
        <f t="shared" si="595"/>
        <v>0</v>
      </c>
      <c r="W87" s="336">
        <f t="shared" si="595"/>
        <v>0</v>
      </c>
      <c r="X87" s="252">
        <f>IFERROR(IF(T86&lt;&gt;0,T87/T86,0),0)</f>
        <v>0</v>
      </c>
      <c r="Y87" s="51">
        <f t="shared" si="574"/>
        <v>0</v>
      </c>
      <c r="Z87" s="46">
        <f t="shared" si="574"/>
        <v>0</v>
      </c>
      <c r="AA87" s="46">
        <f t="shared" si="574"/>
        <v>0</v>
      </c>
      <c r="AB87" s="46">
        <f t="shared" si="574"/>
        <v>0</v>
      </c>
      <c r="AC87" s="91">
        <f t="shared" si="475"/>
        <v>0</v>
      </c>
      <c r="AD87" s="75">
        <f>IF(AM87&lt;&gt;0,1-AR87/AM87,0)</f>
        <v>0.74165110655361355</v>
      </c>
      <c r="AE87" s="93">
        <f t="shared" si="575"/>
        <v>0</v>
      </c>
      <c r="AF87" s="93">
        <f t="shared" si="575"/>
        <v>0</v>
      </c>
      <c r="AG87" s="76">
        <f t="shared" si="575"/>
        <v>0</v>
      </c>
      <c r="AH87" s="73">
        <f t="shared" si="576"/>
        <v>25.13</v>
      </c>
      <c r="AI87" s="94">
        <f t="shared" si="577"/>
        <v>0</v>
      </c>
      <c r="AJ87" s="94">
        <f t="shared" si="577"/>
        <v>0</v>
      </c>
      <c r="AK87" s="49">
        <f>IFERROR(VLOOKUP($B87-IF(CompareVer="LY",1,0) &amp; $C87 &amp;AK$4,tblForecast,AK$2,FALSE),0)</f>
        <v>0</v>
      </c>
      <c r="AL87" s="47">
        <f t="shared" si="382"/>
        <v>0</v>
      </c>
      <c r="AM87" s="73">
        <f t="shared" si="578"/>
        <v>16.334499999999998</v>
      </c>
      <c r="AN87" s="94">
        <f t="shared" si="579"/>
        <v>0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6"/>
        <v>0</v>
      </c>
      <c r="AR87" s="73">
        <f t="shared" si="580"/>
        <v>4.22</v>
      </c>
      <c r="AS87" s="94">
        <f t="shared" si="581"/>
        <v>0</v>
      </c>
      <c r="AT87" s="94">
        <f t="shared" si="581"/>
        <v>0</v>
      </c>
      <c r="AU87" s="49">
        <f>IFERROR(VLOOKUP($B87-IF(CompareVer="LY",1,0) &amp; $C87 &amp;AU$4,tblForecast,AU$2,FALSE),0)</f>
        <v>0</v>
      </c>
      <c r="AV87" s="47">
        <f t="shared" si="477"/>
        <v>0</v>
      </c>
      <c r="AW87" s="192">
        <f t="shared" si="582"/>
        <v>0.35000000000000009</v>
      </c>
      <c r="AX87" s="193">
        <f t="shared" si="582"/>
        <v>0</v>
      </c>
      <c r="AY87" s="193">
        <f t="shared" si="582"/>
        <v>0</v>
      </c>
      <c r="AZ87" s="193">
        <f t="shared" si="582"/>
        <v>0</v>
      </c>
      <c r="BA87" s="237">
        <f t="shared" si="583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584"/>
        <v>0</v>
      </c>
      <c r="BE87" s="195">
        <f t="shared" si="478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479"/>
        <v>0</v>
      </c>
      <c r="BK87" s="50">
        <f t="shared" si="480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486"/>
        <v>0</v>
      </c>
      <c r="BS87" s="233">
        <f t="shared" si="486"/>
        <v>0</v>
      </c>
      <c r="BT87" s="236">
        <f t="shared" si="585"/>
        <v>0</v>
      </c>
      <c r="BU87" s="233">
        <f t="shared" si="585"/>
        <v>0</v>
      </c>
      <c r="BV87" s="233">
        <f>IF($A87="a",IFERROR(VLOOKUP($B87 &amp; $C87&amp;BV$4,tblForecast,BV$2,FALSE),0),BT87+BU87)</f>
        <v>0</v>
      </c>
      <c r="BW87" s="233">
        <f t="shared" si="586"/>
        <v>0</v>
      </c>
      <c r="BX87" s="233">
        <f t="shared" si="586"/>
        <v>0</v>
      </c>
      <c r="BY87" s="194">
        <f>IFERROR(VLOOKUP($B87-IF(CompareVer="LY",1,0) &amp; $C87 &amp;BY$4,tblForecast,BY$2,FALSE),0)</f>
        <v>0</v>
      </c>
      <c r="BZ87" s="195">
        <f t="shared" si="481"/>
        <v>0</v>
      </c>
      <c r="CA87" s="339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5">
        <f t="shared" si="482"/>
        <v>0</v>
      </c>
      <c r="CH87" s="339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5">
        <f t="shared" si="483"/>
        <v>0</v>
      </c>
      <c r="CO87" s="179">
        <f t="shared" si="520"/>
        <v>0</v>
      </c>
      <c r="CP87" s="225">
        <f t="shared" si="520"/>
        <v>0</v>
      </c>
      <c r="CQ87" s="195">
        <f t="shared" si="484"/>
        <v>0</v>
      </c>
      <c r="CR87" s="179">
        <f t="shared" si="487"/>
        <v>0</v>
      </c>
      <c r="CS87" s="225">
        <f t="shared" si="487"/>
        <v>0</v>
      </c>
      <c r="CT87" s="195">
        <f t="shared" si="521"/>
        <v>0</v>
      </c>
      <c r="CU87" s="44"/>
      <c r="CV87" s="345">
        <f t="shared" si="59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553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592"/>
        <v>0</v>
      </c>
      <c r="E88" s="203">
        <f t="shared" si="593"/>
        <v>0</v>
      </c>
      <c r="F88" s="183">
        <f t="shared" si="490"/>
        <v>0</v>
      </c>
      <c r="G88" s="177">
        <f t="shared" si="571"/>
        <v>0</v>
      </c>
      <c r="H88" s="204">
        <f t="shared" si="571"/>
        <v>0</v>
      </c>
      <c r="I88" s="204">
        <f t="shared" si="571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2"/>
        <v>0</v>
      </c>
      <c r="N88" s="46">
        <f t="shared" si="572"/>
        <v>0</v>
      </c>
      <c r="O88" s="46">
        <f t="shared" si="572"/>
        <v>0</v>
      </c>
      <c r="P88" s="47">
        <f t="shared" si="485"/>
        <v>0</v>
      </c>
      <c r="Q88" s="244">
        <f t="shared" si="594"/>
        <v>0</v>
      </c>
      <c r="R88" s="242">
        <f t="shared" si="573"/>
        <v>0</v>
      </c>
      <c r="S88" s="242">
        <f t="shared" si="573"/>
        <v>0</v>
      </c>
      <c r="T88" s="242">
        <f>IFERROR(VLOOKUP($B88-IF(CompareVer="LY",1,0) &amp; $C88 &amp;T$4,tblForecast,T$2,FALSE),0)</f>
        <v>0</v>
      </c>
      <c r="U88" s="91">
        <f t="shared" si="474"/>
        <v>0</v>
      </c>
      <c r="V88" s="251">
        <f t="shared" si="595"/>
        <v>0</v>
      </c>
      <c r="W88" s="336">
        <f t="shared" si="595"/>
        <v>0</v>
      </c>
      <c r="X88" s="252">
        <f>IFERROR(IF(T87&lt;&gt;0,T88/T87,0),0)</f>
        <v>0</v>
      </c>
      <c r="Y88" s="51">
        <f t="shared" si="574"/>
        <v>0</v>
      </c>
      <c r="Z88" s="46">
        <f t="shared" si="574"/>
        <v>0</v>
      </c>
      <c r="AA88" s="46">
        <f t="shared" si="574"/>
        <v>0</v>
      </c>
      <c r="AB88" s="46">
        <f t="shared" si="574"/>
        <v>0</v>
      </c>
      <c r="AC88" s="91">
        <f t="shared" si="475"/>
        <v>0</v>
      </c>
      <c r="AD88" s="75">
        <f>IF(AM88&lt;&gt;0,1-AR88/AM88,0)</f>
        <v>0.7201220320997479</v>
      </c>
      <c r="AE88" s="93">
        <f t="shared" si="575"/>
        <v>0</v>
      </c>
      <c r="AF88" s="93">
        <f t="shared" si="575"/>
        <v>0</v>
      </c>
      <c r="AG88" s="76">
        <f t="shared" si="575"/>
        <v>0</v>
      </c>
      <c r="AH88" s="73">
        <f t="shared" si="576"/>
        <v>25.13</v>
      </c>
      <c r="AI88" s="94">
        <f t="shared" si="577"/>
        <v>0</v>
      </c>
      <c r="AJ88" s="94">
        <f t="shared" si="577"/>
        <v>0</v>
      </c>
      <c r="AK88" s="49">
        <f>IFERROR(VLOOKUP($B88-IF(CompareVer="LY",1,0) &amp; $C88 &amp;AK$4,tblForecast,AK$2,FALSE),0)</f>
        <v>0</v>
      </c>
      <c r="AL88" s="47">
        <f t="shared" si="382"/>
        <v>0</v>
      </c>
      <c r="AM88" s="73">
        <f t="shared" si="578"/>
        <v>15.077999999999999</v>
      </c>
      <c r="AN88" s="94">
        <f t="shared" si="579"/>
        <v>0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6"/>
        <v>0</v>
      </c>
      <c r="AR88" s="73">
        <f t="shared" si="580"/>
        <v>4.22</v>
      </c>
      <c r="AS88" s="94">
        <f t="shared" si="581"/>
        <v>0</v>
      </c>
      <c r="AT88" s="94">
        <f t="shared" si="581"/>
        <v>0</v>
      </c>
      <c r="AU88" s="49">
        <f>IFERROR(VLOOKUP($B88-IF(CompareVer="LY",1,0) &amp; $C88 &amp;AU$4,tblForecast,AU$2,FALSE),0)</f>
        <v>0</v>
      </c>
      <c r="AV88" s="47">
        <f t="shared" si="477"/>
        <v>0</v>
      </c>
      <c r="AW88" s="192">
        <f t="shared" si="582"/>
        <v>0.4</v>
      </c>
      <c r="AX88" s="193">
        <f t="shared" si="582"/>
        <v>0</v>
      </c>
      <c r="AY88" s="193">
        <f t="shared" si="582"/>
        <v>0</v>
      </c>
      <c r="AZ88" s="193">
        <f t="shared" si="582"/>
        <v>0</v>
      </c>
      <c r="BA88" s="237">
        <f t="shared" si="583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584"/>
        <v>0</v>
      </c>
      <c r="BE88" s="195">
        <f t="shared" si="478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479"/>
        <v>0</v>
      </c>
      <c r="BK88" s="50">
        <f t="shared" si="480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486"/>
        <v>0</v>
      </c>
      <c r="BS88" s="233">
        <f t="shared" si="486"/>
        <v>0</v>
      </c>
      <c r="BT88" s="236">
        <f t="shared" si="585"/>
        <v>0</v>
      </c>
      <c r="BU88" s="233">
        <f t="shared" si="585"/>
        <v>0</v>
      </c>
      <c r="BV88" s="233">
        <f>IF($A88="a",IFERROR(VLOOKUP($B88 &amp; $C88&amp;BV$4,tblForecast,BV$2,FALSE),0),BT88+BU88)</f>
        <v>0</v>
      </c>
      <c r="BW88" s="233">
        <f t="shared" si="586"/>
        <v>0</v>
      </c>
      <c r="BX88" s="233">
        <f t="shared" si="586"/>
        <v>0</v>
      </c>
      <c r="BY88" s="194">
        <f>IFERROR(VLOOKUP($B88-IF(CompareVer="LY",1,0) &amp; $C88 &amp;BY$4,tblForecast,BY$2,FALSE),0)</f>
        <v>0</v>
      </c>
      <c r="BZ88" s="195">
        <f t="shared" si="481"/>
        <v>0</v>
      </c>
      <c r="CA88" s="339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5">
        <f t="shared" si="482"/>
        <v>0</v>
      </c>
      <c r="CH88" s="339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5">
        <f t="shared" si="483"/>
        <v>0</v>
      </c>
      <c r="CO88" s="179">
        <f t="shared" si="520"/>
        <v>0</v>
      </c>
      <c r="CP88" s="225">
        <f t="shared" si="520"/>
        <v>0</v>
      </c>
      <c r="CQ88" s="195">
        <f t="shared" si="484"/>
        <v>0</v>
      </c>
      <c r="CR88" s="179">
        <f t="shared" si="487"/>
        <v>0</v>
      </c>
      <c r="CS88" s="225">
        <f t="shared" si="487"/>
        <v>0</v>
      </c>
      <c r="CT88" s="195">
        <f t="shared" si="521"/>
        <v>0</v>
      </c>
      <c r="CU88" s="44"/>
      <c r="CV88" s="345">
        <f t="shared" si="59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553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592"/>
        <v>0</v>
      </c>
      <c r="E89" s="203">
        <f t="shared" si="593"/>
        <v>0</v>
      </c>
      <c r="F89" s="183">
        <f t="shared" si="490"/>
        <v>0</v>
      </c>
      <c r="G89" s="177">
        <f t="shared" si="571"/>
        <v>0</v>
      </c>
      <c r="H89" s="204">
        <f t="shared" si="571"/>
        <v>0</v>
      </c>
      <c r="I89" s="204">
        <f t="shared" si="571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2"/>
        <v>0</v>
      </c>
      <c r="N89" s="46">
        <f t="shared" si="572"/>
        <v>0</v>
      </c>
      <c r="O89" s="46">
        <f t="shared" si="572"/>
        <v>0</v>
      </c>
      <c r="P89" s="47">
        <f t="shared" si="485"/>
        <v>0</v>
      </c>
      <c r="Q89" s="244">
        <f t="shared" si="594"/>
        <v>0</v>
      </c>
      <c r="R89" s="242">
        <f t="shared" si="573"/>
        <v>0</v>
      </c>
      <c r="S89" s="242">
        <f t="shared" si="573"/>
        <v>0</v>
      </c>
      <c r="T89" s="242">
        <f>IFERROR(VLOOKUP($B89-IF(CompareVer="LY",1,0) &amp; $C89 &amp;T$4,tblForecast,T$2,FALSE),0)</f>
        <v>0</v>
      </c>
      <c r="U89" s="91">
        <f t="shared" si="474"/>
        <v>0</v>
      </c>
      <c r="V89" s="251">
        <f t="shared" si="595"/>
        <v>0</v>
      </c>
      <c r="W89" s="336">
        <f t="shared" si="595"/>
        <v>0</v>
      </c>
      <c r="X89" s="252">
        <f>IFERROR(IF(T88&lt;&gt;0,T89/T88,0),0)</f>
        <v>0</v>
      </c>
      <c r="Y89" s="51">
        <f t="shared" si="574"/>
        <v>0</v>
      </c>
      <c r="Z89" s="46">
        <f t="shared" si="574"/>
        <v>0</v>
      </c>
      <c r="AA89" s="46">
        <f t="shared" si="574"/>
        <v>0</v>
      </c>
      <c r="AB89" s="46">
        <f t="shared" si="574"/>
        <v>0</v>
      </c>
      <c r="AC89" s="91">
        <f t="shared" si="475"/>
        <v>0</v>
      </c>
      <c r="AD89" s="75">
        <f>IF(AM89&lt;&gt;0,1-AR89/AM89,0)</f>
        <v>0.7201220320997479</v>
      </c>
      <c r="AE89" s="93">
        <f t="shared" si="575"/>
        <v>0</v>
      </c>
      <c r="AF89" s="93">
        <f t="shared" si="575"/>
        <v>0</v>
      </c>
      <c r="AG89" s="76">
        <f t="shared" si="575"/>
        <v>0</v>
      </c>
      <c r="AH89" s="73">
        <f t="shared" si="576"/>
        <v>25.13</v>
      </c>
      <c r="AI89" s="94">
        <f t="shared" si="577"/>
        <v>0</v>
      </c>
      <c r="AJ89" s="94">
        <f t="shared" si="577"/>
        <v>0</v>
      </c>
      <c r="AK89" s="49">
        <f>IFERROR(VLOOKUP($B89-IF(CompareVer="LY",1,0) &amp; $C89 &amp;AK$4,tblForecast,AK$2,FALSE),0)</f>
        <v>0</v>
      </c>
      <c r="AL89" s="47">
        <f t="shared" si="382"/>
        <v>0</v>
      </c>
      <c r="AM89" s="73">
        <f t="shared" si="578"/>
        <v>15.077999999999999</v>
      </c>
      <c r="AN89" s="94">
        <f t="shared" si="579"/>
        <v>0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6"/>
        <v>0</v>
      </c>
      <c r="AR89" s="73">
        <f t="shared" si="580"/>
        <v>4.22</v>
      </c>
      <c r="AS89" s="94">
        <f t="shared" si="581"/>
        <v>0</v>
      </c>
      <c r="AT89" s="94">
        <f t="shared" si="581"/>
        <v>0</v>
      </c>
      <c r="AU89" s="49">
        <f>IFERROR(VLOOKUP($B89-IF(CompareVer="LY",1,0) &amp; $C89 &amp;AU$4,tblForecast,AU$2,FALSE),0)</f>
        <v>0</v>
      </c>
      <c r="AV89" s="47">
        <f t="shared" si="477"/>
        <v>0</v>
      </c>
      <c r="AW89" s="192">
        <f t="shared" si="582"/>
        <v>0.4</v>
      </c>
      <c r="AX89" s="193">
        <f t="shared" si="582"/>
        <v>0</v>
      </c>
      <c r="AY89" s="193">
        <f t="shared" si="582"/>
        <v>0</v>
      </c>
      <c r="AZ89" s="193">
        <f t="shared" si="582"/>
        <v>0</v>
      </c>
      <c r="BA89" s="237">
        <f t="shared" si="583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584"/>
        <v>0</v>
      </c>
      <c r="BE89" s="195">
        <f t="shared" si="478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479"/>
        <v>0</v>
      </c>
      <c r="BK89" s="50">
        <f t="shared" si="480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486"/>
        <v>0</v>
      </c>
      <c r="BS89" s="233">
        <f t="shared" si="486"/>
        <v>0</v>
      </c>
      <c r="BT89" s="236">
        <f t="shared" si="585"/>
        <v>0</v>
      </c>
      <c r="BU89" s="233">
        <f t="shared" si="585"/>
        <v>0</v>
      </c>
      <c r="BV89" s="233">
        <f>IF($A89="a",IFERROR(VLOOKUP($B89 &amp; $C89&amp;BV$4,tblForecast,BV$2,FALSE),0),BT89+BU89)</f>
        <v>0</v>
      </c>
      <c r="BW89" s="233">
        <f t="shared" si="586"/>
        <v>0</v>
      </c>
      <c r="BX89" s="233">
        <f t="shared" si="586"/>
        <v>0</v>
      </c>
      <c r="BY89" s="194">
        <f>IFERROR(VLOOKUP($B89-IF(CompareVer="LY",1,0) &amp; $C89 &amp;BY$4,tblForecast,BY$2,FALSE),0)</f>
        <v>0</v>
      </c>
      <c r="BZ89" s="195">
        <f t="shared" si="481"/>
        <v>0</v>
      </c>
      <c r="CA89" s="339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5">
        <f t="shared" si="482"/>
        <v>0</v>
      </c>
      <c r="CH89" s="339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5">
        <f t="shared" si="483"/>
        <v>0</v>
      </c>
      <c r="CO89" s="179">
        <f t="shared" si="520"/>
        <v>0</v>
      </c>
      <c r="CP89" s="225">
        <f t="shared" si="520"/>
        <v>0</v>
      </c>
      <c r="CQ89" s="195">
        <f t="shared" si="484"/>
        <v>0</v>
      </c>
      <c r="CR89" s="179">
        <f t="shared" si="487"/>
        <v>0</v>
      </c>
      <c r="CS89" s="225">
        <f t="shared" si="487"/>
        <v>0</v>
      </c>
      <c r="CT89" s="195">
        <f t="shared" si="521"/>
        <v>0</v>
      </c>
      <c r="CU89" s="44"/>
      <c r="CV89" s="345">
        <f t="shared" si="59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553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490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596">SUM(M85:M89)</f>
        <v>0</v>
      </c>
      <c r="N90" s="261">
        <f t="shared" si="596"/>
        <v>0</v>
      </c>
      <c r="O90" s="261">
        <f t="shared" si="596"/>
        <v>0</v>
      </c>
      <c r="P90" s="262">
        <f t="shared" si="485"/>
        <v>0</v>
      </c>
      <c r="Q90" s="263">
        <f>SUM(Q85:Q89)</f>
        <v>0</v>
      </c>
      <c r="R90" s="264">
        <f t="shared" ref="R90:S90" si="597">SUM(R85:R89)</f>
        <v>0</v>
      </c>
      <c r="S90" s="264">
        <f t="shared" si="597"/>
        <v>0</v>
      </c>
      <c r="T90" s="264">
        <f>SUM(T85:T89)</f>
        <v>0</v>
      </c>
      <c r="U90" s="262">
        <f t="shared" si="474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598">SUM(Z85:Z89)</f>
        <v>0</v>
      </c>
      <c r="AA90" s="261">
        <f t="shared" si="598"/>
        <v>0</v>
      </c>
      <c r="AB90" s="261">
        <f t="shared" si="598"/>
        <v>0</v>
      </c>
      <c r="AC90" s="262">
        <f t="shared" si="475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:AK90" si="599">IFERROR(SUMPRODUCT(AJ86:AJ89,S86:S89)/S90,0)</f>
        <v>0</v>
      </c>
      <c r="AK90" s="270">
        <f t="shared" si="599"/>
        <v>0</v>
      </c>
      <c r="AL90" s="262">
        <f t="shared" si="382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476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477"/>
        <v>0</v>
      </c>
      <c r="AW90" s="271">
        <f>IFERROR(SUMPRODUCT(AW85:AW89,V85:V89)/V90,0)</f>
        <v>0</v>
      </c>
      <c r="AX90" s="272">
        <f t="shared" ref="AX90:AZ90" si="600">IFERROR(SUMPRODUCT(AX85:AX89,X85:X89)/X90,0)</f>
        <v>0</v>
      </c>
      <c r="AY90" s="272">
        <f t="shared" si="600"/>
        <v>0</v>
      </c>
      <c r="AZ90" s="272">
        <f t="shared" si="600"/>
        <v>0</v>
      </c>
      <c r="BA90" s="263">
        <f>BA89</f>
        <v>0</v>
      </c>
      <c r="BB90" s="264">
        <f t="shared" ref="BB90:BD90" si="601">BB89</f>
        <v>0</v>
      </c>
      <c r="BC90" s="264">
        <f t="shared" si="601"/>
        <v>0</v>
      </c>
      <c r="BD90" s="264">
        <f t="shared" si="601"/>
        <v>0</v>
      </c>
      <c r="BE90" s="262">
        <f t="shared" si="478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479"/>
        <v>0</v>
      </c>
      <c r="BK90" s="276">
        <f t="shared" si="480"/>
        <v>0</v>
      </c>
      <c r="BL90" s="263">
        <f t="shared" ref="BL90" si="602">SUM(BL85:BL89)</f>
        <v>0</v>
      </c>
      <c r="BM90" s="264">
        <f>SUM(BM85:BM89)</f>
        <v>0</v>
      </c>
      <c r="BN90" s="263">
        <f t="shared" ref="BN90:BQ90" si="603">SUM(BN85:BN89)</f>
        <v>0</v>
      </c>
      <c r="BO90" s="264">
        <f t="shared" si="603"/>
        <v>0</v>
      </c>
      <c r="BP90" s="263">
        <f t="shared" si="603"/>
        <v>0</v>
      </c>
      <c r="BQ90" s="264">
        <f t="shared" si="603"/>
        <v>0</v>
      </c>
      <c r="BR90" s="263">
        <f t="shared" si="486"/>
        <v>0</v>
      </c>
      <c r="BS90" s="264">
        <f t="shared" si="486"/>
        <v>0</v>
      </c>
      <c r="BT90" s="263">
        <f t="shared" ref="BT90:BY90" si="604">SUM(BT85:BT89)</f>
        <v>0</v>
      </c>
      <c r="BU90" s="264">
        <f t="shared" si="604"/>
        <v>0</v>
      </c>
      <c r="BV90" s="264">
        <f t="shared" si="604"/>
        <v>0</v>
      </c>
      <c r="BW90" s="264">
        <f t="shared" si="604"/>
        <v>0</v>
      </c>
      <c r="BX90" s="264">
        <f t="shared" si="604"/>
        <v>0</v>
      </c>
      <c r="BY90" s="277">
        <f t="shared" si="604"/>
        <v>0</v>
      </c>
      <c r="BZ90" s="262">
        <f t="shared" si="481"/>
        <v>0</v>
      </c>
      <c r="CA90" s="340">
        <f t="shared" ref="CA90:CF90" si="605">SUM(CA85:CA89)</f>
        <v>0</v>
      </c>
      <c r="CB90" s="261">
        <f t="shared" si="605"/>
        <v>0</v>
      </c>
      <c r="CC90" s="261">
        <f t="shared" si="605"/>
        <v>0</v>
      </c>
      <c r="CD90" s="261">
        <f t="shared" si="605"/>
        <v>0</v>
      </c>
      <c r="CE90" s="261">
        <f t="shared" si="605"/>
        <v>0</v>
      </c>
      <c r="CF90" s="261">
        <f t="shared" si="605"/>
        <v>0</v>
      </c>
      <c r="CG90" s="262">
        <f t="shared" si="482"/>
        <v>0</v>
      </c>
      <c r="CH90" s="340">
        <f t="shared" ref="CH90:CM90" si="606">SUM(CH85:CH89)</f>
        <v>0</v>
      </c>
      <c r="CI90" s="261">
        <f t="shared" si="606"/>
        <v>0</v>
      </c>
      <c r="CJ90" s="261">
        <f t="shared" si="606"/>
        <v>0</v>
      </c>
      <c r="CK90" s="261">
        <f t="shared" si="606"/>
        <v>0</v>
      </c>
      <c r="CL90" s="261">
        <f t="shared" si="606"/>
        <v>0</v>
      </c>
      <c r="CM90" s="261">
        <f t="shared" si="606"/>
        <v>0</v>
      </c>
      <c r="CN90" s="262">
        <f t="shared" si="483"/>
        <v>0</v>
      </c>
      <c r="CO90" s="278">
        <f t="shared" si="520"/>
        <v>0</v>
      </c>
      <c r="CP90" s="279">
        <f t="shared" si="520"/>
        <v>0</v>
      </c>
      <c r="CQ90" s="262">
        <f t="shared" si="484"/>
        <v>0</v>
      </c>
      <c r="CR90" s="278">
        <f t="shared" si="487"/>
        <v>0</v>
      </c>
      <c r="CS90" s="279">
        <f t="shared" si="487"/>
        <v>0</v>
      </c>
      <c r="CT90" s="262">
        <f t="shared" si="521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553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490"/>
        <v>0</v>
      </c>
      <c r="G91" s="177">
        <f t="shared" ref="G91:I94" si="607">IFERROR(VLOOKUP($B91 &amp; $C91&amp;G$4&amp;$A91,tblForecast,G$2,FALSE),0)</f>
        <v>0</v>
      </c>
      <c r="H91" s="204">
        <f t="shared" si="607"/>
        <v>0</v>
      </c>
      <c r="I91" s="204">
        <f t="shared" si="607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8">R91*AN91</f>
        <v>0</v>
      </c>
      <c r="N91" s="46">
        <f t="shared" si="608"/>
        <v>0</v>
      </c>
      <c r="O91" s="46">
        <f t="shared" si="608"/>
        <v>0</v>
      </c>
      <c r="P91" s="47">
        <f t="shared" si="485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609">IFERROR(VLOOKUP($B91 &amp; $C91&amp;R$4,tblForecast,R$2,FALSE),0)</f>
        <v>0</v>
      </c>
      <c r="S91" s="242">
        <f t="shared" si="609"/>
        <v>0</v>
      </c>
      <c r="T91" s="242">
        <f>IFERROR(VLOOKUP($B91-IF(CompareVer="LY",1,0) &amp; $C91 &amp;T$4,tblForecast,T$2,FALSE),0)</f>
        <v>0</v>
      </c>
      <c r="U91" s="91">
        <f t="shared" si="474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610">IFERROR(L91*AD91,0)</f>
        <v>0</v>
      </c>
      <c r="Z91" s="46">
        <f t="shared" si="610"/>
        <v>0</v>
      </c>
      <c r="AA91" s="46">
        <f t="shared" si="610"/>
        <v>0</v>
      </c>
      <c r="AB91" s="46">
        <f t="shared" si="610"/>
        <v>0</v>
      </c>
      <c r="AC91" s="91">
        <f t="shared" si="475"/>
        <v>0</v>
      </c>
      <c r="AD91" s="75">
        <f>IF(AM91&lt;&gt;0,1-AR91/AM91,0)</f>
        <v>0.7201220320997479</v>
      </c>
      <c r="AE91" s="93">
        <f t="shared" ref="AE91:AG94" si="611">IF(AN91&lt;&gt;0,1-AS91/AN91,0)</f>
        <v>0</v>
      </c>
      <c r="AF91" s="93">
        <f t="shared" si="611"/>
        <v>0</v>
      </c>
      <c r="AG91" s="76">
        <f t="shared" si="611"/>
        <v>0</v>
      </c>
      <c r="AH91" s="73">
        <f t="shared" ref="AH91:AH94" si="612">DB91</f>
        <v>25.13</v>
      </c>
      <c r="AI91" s="94">
        <f t="shared" ref="AI91:AJ94" si="613">IFERROR(VLOOKUP($B91 &amp; $C91&amp;AI$4,tblForecast,AI$2,FALSE),0)</f>
        <v>0</v>
      </c>
      <c r="AJ91" s="94">
        <f t="shared" si="613"/>
        <v>0</v>
      </c>
      <c r="AK91" s="49">
        <f>IFERROR(VLOOKUP($B91-IF(CompareVer="LY",1,0) &amp; $C91 &amp;AK$4,tblForecast,AK$2,FALSE),0)</f>
        <v>0</v>
      </c>
      <c r="AL91" s="47">
        <f t="shared" si="382"/>
        <v>0</v>
      </c>
      <c r="AM91" s="73">
        <f t="shared" ref="AM91:AM94" si="614">DA91</f>
        <v>15.077999999999999</v>
      </c>
      <c r="AN91" s="94">
        <f t="shared" ref="AN91:AO94" si="615">IFERROR(VLOOKUP($B91 &amp; $C91&amp;AN$4,tblForecast,AN$2,FALSE),0)</f>
        <v>0</v>
      </c>
      <c r="AO91" s="94">
        <f t="shared" si="615"/>
        <v>0</v>
      </c>
      <c r="AP91" s="49">
        <f>IFERROR(VLOOKUP($B91-IF(CompareVer="LY",1,0) &amp; $C91 &amp;AP$4,tblForecast,AP$2,FALSE),0)</f>
        <v>0</v>
      </c>
      <c r="AQ91" s="47">
        <f t="shared" si="476"/>
        <v>0</v>
      </c>
      <c r="AR91" s="73">
        <f t="shared" ref="AR91:AR94" si="616">DC91</f>
        <v>4.22</v>
      </c>
      <c r="AS91" s="94">
        <f t="shared" ref="AS91:AT94" si="617">IFERROR(VLOOKUP($B91 &amp; $C91&amp;AS$4,tblForecast,AS$2,FALSE),0)</f>
        <v>0</v>
      </c>
      <c r="AT91" s="94">
        <f t="shared" si="617"/>
        <v>0</v>
      </c>
      <c r="AU91" s="49">
        <f>IFERROR(VLOOKUP($B91-IF(CompareVer="LY",1,0) &amp; $C91 &amp;AU$4,tblForecast,AU$2,FALSE),0)</f>
        <v>0</v>
      </c>
      <c r="AV91" s="47">
        <f t="shared" si="477"/>
        <v>0</v>
      </c>
      <c r="AW91" s="192">
        <f t="shared" ref="AW91:AZ94" si="618">IFERROR((AM91/AH91-1)*-1,0)</f>
        <v>0.4</v>
      </c>
      <c r="AX91" s="193">
        <f t="shared" si="618"/>
        <v>0</v>
      </c>
      <c r="AY91" s="193">
        <f t="shared" si="618"/>
        <v>0</v>
      </c>
      <c r="AZ91" s="193">
        <f t="shared" si="618"/>
        <v>0</v>
      </c>
      <c r="BA91" s="237">
        <f t="shared" ref="BA91:BA94" si="619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620">CX91+BG91</f>
        <v>0</v>
      </c>
      <c r="BE91" s="195">
        <f t="shared" si="478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479"/>
        <v>0</v>
      </c>
      <c r="BK91" s="50">
        <f t="shared" si="480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486"/>
        <v>0</v>
      </c>
      <c r="BS91" s="233">
        <f t="shared" si="486"/>
        <v>0</v>
      </c>
      <c r="BT91" s="236">
        <f t="shared" ref="BT91:BU94" si="621">IFERROR(VLOOKUP($B91 &amp; $C91&amp;BT$4,tblForecast,BT$2,FALSE),0)</f>
        <v>0</v>
      </c>
      <c r="BU91" s="233">
        <f t="shared" si="621"/>
        <v>0</v>
      </c>
      <c r="BV91" s="233">
        <f>IF($A91="a",IFERROR(VLOOKUP($B91 &amp; $C91&amp;BV$4,tblForecast,BV$2,FALSE),0),BT91+BU91)</f>
        <v>0</v>
      </c>
      <c r="BW91" s="233">
        <f t="shared" ref="BW91:BX94" si="622">IFERROR(VLOOKUP($B91 &amp; $C91&amp;BW$4,tblForecast,BW$2,FALSE),0)</f>
        <v>0</v>
      </c>
      <c r="BX91" s="233">
        <f t="shared" si="622"/>
        <v>0</v>
      </c>
      <c r="BY91" s="194">
        <f>IFERROR(VLOOKUP($B91-IF(CompareVer="LY",1,0) &amp; $C91 &amp;BY$4,tblForecast,BY$2,FALSE),0)</f>
        <v>0</v>
      </c>
      <c r="BZ91" s="195">
        <f t="shared" si="481"/>
        <v>0</v>
      </c>
      <c r="CA91" s="339">
        <f t="shared" ref="CA91:CB94" si="623">IFERROR(VLOOKUP($B91 &amp; $C91&amp;CA$4,tblForecast,CA$2,FALSE),0)</f>
        <v>0</v>
      </c>
      <c r="CB91" s="46">
        <f t="shared" si="623"/>
        <v>0</v>
      </c>
      <c r="CC91" s="46">
        <f>IF($A91="a",IFERROR(VLOOKUP($B91 &amp; $C91&amp;CC$4,tblForecast,CC$2,FALSE),0),CA91+CB91)</f>
        <v>0</v>
      </c>
      <c r="CD91" s="46">
        <f t="shared" ref="CD91:CE94" si="624">IFERROR(VLOOKUP($B91 &amp; $C91&amp;CD$4,tblForecast,CD$2,FALSE),0)</f>
        <v>0</v>
      </c>
      <c r="CE91" s="46">
        <f t="shared" si="624"/>
        <v>0</v>
      </c>
      <c r="CF91" s="46">
        <f>IFERROR(VLOOKUP($B91-IF(CompareVer="LY",1,0) &amp; $C91 &amp;CF$4,tblForecast,CF$2,FALSE),0)</f>
        <v>0</v>
      </c>
      <c r="CG91" s="195">
        <f t="shared" si="482"/>
        <v>0</v>
      </c>
      <c r="CH91" s="339">
        <f t="shared" ref="CH91:CI94" si="625">IFERROR(VLOOKUP($B91 &amp; $C91&amp;CH$4,tblForecast,CH$2,FALSE),0)</f>
        <v>0</v>
      </c>
      <c r="CI91" s="46">
        <f t="shared" si="625"/>
        <v>0</v>
      </c>
      <c r="CJ91" s="46">
        <f>IF($A91="a",IFERROR(VLOOKUP($B91 &amp; $C91&amp;CJ$4,tblForecast,CJ$2,FALSE),0),CH91+CI91)</f>
        <v>0</v>
      </c>
      <c r="CK91" s="46">
        <f t="shared" ref="CK91:CL94" si="626">IFERROR(VLOOKUP($B91 &amp; $C91&amp;CK$4,tblForecast,CK$2,FALSE),0)</f>
        <v>0</v>
      </c>
      <c r="CL91" s="46">
        <f t="shared" si="626"/>
        <v>0</v>
      </c>
      <c r="CM91" s="46">
        <f>IFERROR(VLOOKUP($B91-IF(CompareVer="LY",1,0) &amp; $C91 &amp;CM$4,tblForecast,CM$2,FALSE),0)</f>
        <v>0</v>
      </c>
      <c r="CN91" s="195">
        <f t="shared" si="483"/>
        <v>0</v>
      </c>
      <c r="CO91" s="179">
        <f t="shared" si="520"/>
        <v>0</v>
      </c>
      <c r="CP91" s="225">
        <f t="shared" si="520"/>
        <v>0</v>
      </c>
      <c r="CQ91" s="195">
        <f t="shared" si="484"/>
        <v>0</v>
      </c>
      <c r="CR91" s="179">
        <f t="shared" si="487"/>
        <v>0</v>
      </c>
      <c r="CS91" s="225">
        <f t="shared" si="487"/>
        <v>0</v>
      </c>
      <c r="CT91" s="195">
        <f t="shared" si="521"/>
        <v>0</v>
      </c>
      <c r="CU91" s="44"/>
      <c r="CV91" s="345">
        <f t="shared" ref="CV91:CV94" si="62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3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628">G92*H92</f>
        <v>0</v>
      </c>
      <c r="E92" s="203">
        <f t="shared" ref="E92:E94" si="629">IFERROR(D92*F92,0)</f>
        <v>0</v>
      </c>
      <c r="F92" s="183">
        <f t="shared" si="490"/>
        <v>0</v>
      </c>
      <c r="G92" s="177">
        <f t="shared" si="607"/>
        <v>0</v>
      </c>
      <c r="H92" s="204">
        <f t="shared" si="607"/>
        <v>0</v>
      </c>
      <c r="I92" s="204">
        <f t="shared" si="607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8"/>
        <v>0</v>
      </c>
      <c r="N92" s="46">
        <f t="shared" si="608"/>
        <v>0</v>
      </c>
      <c r="O92" s="46">
        <f t="shared" si="608"/>
        <v>0</v>
      </c>
      <c r="P92" s="47">
        <f t="shared" si="485"/>
        <v>0</v>
      </c>
      <c r="Q92" s="344">
        <f t="shared" ref="Q92:Q94" si="630">IF(A91="a",IF(CV92=0,R92,IF(BA91-(Q91*IF(W92=0,X92,W92))&lt;0,BA91,Q91*IF(W92=0,X92,W92))),IF(BA91-(Q91*IF(W92=0,X92,W92))&lt;0,BA91,Q91*IF(W92=0,X92,W92)))</f>
        <v>0</v>
      </c>
      <c r="R92" s="242">
        <f t="shared" si="609"/>
        <v>0</v>
      </c>
      <c r="S92" s="242">
        <f t="shared" si="609"/>
        <v>0</v>
      </c>
      <c r="T92" s="242">
        <f>IFERROR(VLOOKUP($B92-IF(CompareVer="LY",1,0) &amp; $C92 &amp;T$4,tblForecast,T$2,FALSE),0)</f>
        <v>0</v>
      </c>
      <c r="U92" s="91">
        <f t="shared" si="474"/>
        <v>0</v>
      </c>
      <c r="V92" s="251">
        <f t="shared" ref="V92:W94" si="631">IFERROR(IF(Q91&lt;&gt;0,Q92/Q91,0),0)</f>
        <v>0</v>
      </c>
      <c r="W92" s="336">
        <f t="shared" si="631"/>
        <v>0</v>
      </c>
      <c r="X92" s="252">
        <f>IFERROR(IF(T91&lt;&gt;0,T92/T91,0),0)</f>
        <v>0</v>
      </c>
      <c r="Y92" s="51">
        <f t="shared" si="610"/>
        <v>0</v>
      </c>
      <c r="Z92" s="46">
        <f t="shared" si="610"/>
        <v>0</v>
      </c>
      <c r="AA92" s="46">
        <f t="shared" si="610"/>
        <v>0</v>
      </c>
      <c r="AB92" s="46">
        <f t="shared" si="610"/>
        <v>0</v>
      </c>
      <c r="AC92" s="91">
        <f t="shared" si="475"/>
        <v>0</v>
      </c>
      <c r="AD92" s="75">
        <f>IF(AM92&lt;&gt;0,1-AR92/AM92,0)</f>
        <v>0.69467858047245234</v>
      </c>
      <c r="AE92" s="93">
        <f t="shared" si="611"/>
        <v>0</v>
      </c>
      <c r="AF92" s="93">
        <f t="shared" si="611"/>
        <v>0</v>
      </c>
      <c r="AG92" s="76">
        <f t="shared" si="611"/>
        <v>0</v>
      </c>
      <c r="AH92" s="73">
        <f t="shared" si="612"/>
        <v>25.13</v>
      </c>
      <c r="AI92" s="94">
        <f t="shared" si="613"/>
        <v>0</v>
      </c>
      <c r="AJ92" s="94">
        <f t="shared" si="613"/>
        <v>0</v>
      </c>
      <c r="AK92" s="49">
        <f>IFERROR(VLOOKUP($B92-IF(CompareVer="LY",1,0) &amp; $C92 &amp;AK$4,tblForecast,AK$2,FALSE),0)</f>
        <v>0</v>
      </c>
      <c r="AL92" s="47">
        <f t="shared" si="382"/>
        <v>0</v>
      </c>
      <c r="AM92" s="73">
        <f t="shared" si="614"/>
        <v>13.8215</v>
      </c>
      <c r="AN92" s="94">
        <f t="shared" si="615"/>
        <v>0</v>
      </c>
      <c r="AO92" s="94">
        <f t="shared" si="615"/>
        <v>0</v>
      </c>
      <c r="AP92" s="49">
        <f>IFERROR(VLOOKUP($B92-IF(CompareVer="LY",1,0) &amp; $C92 &amp;AP$4,tblForecast,AP$2,FALSE),0)</f>
        <v>0</v>
      </c>
      <c r="AQ92" s="47">
        <f t="shared" si="476"/>
        <v>0</v>
      </c>
      <c r="AR92" s="73">
        <f t="shared" si="616"/>
        <v>4.22</v>
      </c>
      <c r="AS92" s="94">
        <f t="shared" si="617"/>
        <v>0</v>
      </c>
      <c r="AT92" s="94">
        <f t="shared" si="617"/>
        <v>0</v>
      </c>
      <c r="AU92" s="49">
        <f>IFERROR(VLOOKUP($B92-IF(CompareVer="LY",1,0) &amp; $C92 &amp;AU$4,tblForecast,AU$2,FALSE),0)</f>
        <v>0</v>
      </c>
      <c r="AV92" s="47">
        <f t="shared" si="477"/>
        <v>0</v>
      </c>
      <c r="AW92" s="192">
        <f t="shared" si="618"/>
        <v>0.44999999999999996</v>
      </c>
      <c r="AX92" s="193">
        <f t="shared" si="618"/>
        <v>0</v>
      </c>
      <c r="AY92" s="193">
        <f t="shared" si="618"/>
        <v>0</v>
      </c>
      <c r="AZ92" s="193">
        <f t="shared" si="618"/>
        <v>0</v>
      </c>
      <c r="BA92" s="237">
        <f t="shared" si="619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620"/>
        <v>0</v>
      </c>
      <c r="BE92" s="195">
        <f t="shared" si="478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479"/>
        <v>0</v>
      </c>
      <c r="BK92" s="50">
        <f t="shared" si="480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S96" si="632">BN92-BP92</f>
        <v>0</v>
      </c>
      <c r="BS92" s="233">
        <f t="shared" si="632"/>
        <v>0</v>
      </c>
      <c r="BT92" s="236">
        <f t="shared" si="621"/>
        <v>0</v>
      </c>
      <c r="BU92" s="233">
        <f t="shared" si="621"/>
        <v>0</v>
      </c>
      <c r="BV92" s="233">
        <f>IF($A92="a",IFERROR(VLOOKUP($B92 &amp; $C92&amp;BV$4,tblForecast,BV$2,FALSE),0),BT92+BU92)</f>
        <v>0</v>
      </c>
      <c r="BW92" s="233">
        <f t="shared" si="622"/>
        <v>0</v>
      </c>
      <c r="BX92" s="233">
        <f t="shared" si="622"/>
        <v>0</v>
      </c>
      <c r="BY92" s="194">
        <f>IFERROR(VLOOKUP($B92-IF(CompareVer="LY",1,0) &amp; $C92 &amp;BY$4,tblForecast,BY$2,FALSE),0)</f>
        <v>0</v>
      </c>
      <c r="BZ92" s="195">
        <f t="shared" si="481"/>
        <v>0</v>
      </c>
      <c r="CA92" s="339">
        <f t="shared" si="623"/>
        <v>0</v>
      </c>
      <c r="CB92" s="46">
        <f t="shared" si="623"/>
        <v>0</v>
      </c>
      <c r="CC92" s="46">
        <f>IF($A92="a",IFERROR(VLOOKUP($B92 &amp; $C92&amp;CC$4,tblForecast,CC$2,FALSE),0),CA92+CB92)</f>
        <v>0</v>
      </c>
      <c r="CD92" s="46">
        <f t="shared" si="624"/>
        <v>0</v>
      </c>
      <c r="CE92" s="46">
        <f t="shared" si="624"/>
        <v>0</v>
      </c>
      <c r="CF92" s="46">
        <f>IFERROR(VLOOKUP($B92-IF(CompareVer="LY",1,0) &amp; $C92 &amp;CF$4,tblForecast,CF$2,FALSE),0)</f>
        <v>0</v>
      </c>
      <c r="CG92" s="195">
        <f t="shared" si="482"/>
        <v>0</v>
      </c>
      <c r="CH92" s="339">
        <f t="shared" si="625"/>
        <v>0</v>
      </c>
      <c r="CI92" s="46">
        <f t="shared" si="625"/>
        <v>0</v>
      </c>
      <c r="CJ92" s="46">
        <f>IF($A92="a",IFERROR(VLOOKUP($B92 &amp; $C92&amp;CJ$4,tblForecast,CJ$2,FALSE),0),CH92+CI92)</f>
        <v>0</v>
      </c>
      <c r="CK92" s="46">
        <f t="shared" si="626"/>
        <v>0</v>
      </c>
      <c r="CL92" s="46">
        <f t="shared" si="626"/>
        <v>0</v>
      </c>
      <c r="CM92" s="46">
        <f>IFERROR(VLOOKUP($B92-IF(CompareVer="LY",1,0) &amp; $C92 &amp;CM$4,tblForecast,CM$2,FALSE),0)</f>
        <v>0</v>
      </c>
      <c r="CN92" s="195">
        <f t="shared" si="483"/>
        <v>0</v>
      </c>
      <c r="CO92" s="179">
        <f t="shared" si="520"/>
        <v>0</v>
      </c>
      <c r="CP92" s="225">
        <f t="shared" si="520"/>
        <v>0</v>
      </c>
      <c r="CQ92" s="195">
        <f t="shared" si="484"/>
        <v>0</v>
      </c>
      <c r="CR92" s="179">
        <f t="shared" si="487"/>
        <v>0</v>
      </c>
      <c r="CS92" s="225">
        <f t="shared" si="487"/>
        <v>0</v>
      </c>
      <c r="CT92" s="195">
        <f t="shared" si="521"/>
        <v>0</v>
      </c>
      <c r="CU92" s="44"/>
      <c r="CV92" s="345">
        <f t="shared" si="62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3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628"/>
        <v>0</v>
      </c>
      <c r="E93" s="203">
        <f t="shared" si="629"/>
        <v>0</v>
      </c>
      <c r="F93" s="183">
        <f t="shared" si="490"/>
        <v>0</v>
      </c>
      <c r="G93" s="177">
        <f t="shared" si="607"/>
        <v>0</v>
      </c>
      <c r="H93" s="204">
        <f t="shared" si="607"/>
        <v>0</v>
      </c>
      <c r="I93" s="204">
        <f t="shared" si="607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8"/>
        <v>0</v>
      </c>
      <c r="N93" s="46">
        <f t="shared" si="608"/>
        <v>0</v>
      </c>
      <c r="O93" s="46">
        <f t="shared" si="608"/>
        <v>0</v>
      </c>
      <c r="P93" s="47">
        <f t="shared" si="485"/>
        <v>0</v>
      </c>
      <c r="Q93" s="344">
        <f t="shared" si="630"/>
        <v>0</v>
      </c>
      <c r="R93" s="242">
        <f t="shared" si="609"/>
        <v>0</v>
      </c>
      <c r="S93" s="242">
        <f t="shared" si="609"/>
        <v>0</v>
      </c>
      <c r="T93" s="242">
        <f>IFERROR(VLOOKUP($B93-IF(CompareVer="LY",1,0) &amp; $C93 &amp;T$4,tblForecast,T$2,FALSE),0)</f>
        <v>0</v>
      </c>
      <c r="U93" s="91">
        <f t="shared" si="474"/>
        <v>0</v>
      </c>
      <c r="V93" s="251">
        <f t="shared" si="631"/>
        <v>0</v>
      </c>
      <c r="W93" s="336">
        <f t="shared" si="631"/>
        <v>0</v>
      </c>
      <c r="X93" s="252">
        <f>IFERROR(IF(T92&lt;&gt;0,T93/T92,0),0)</f>
        <v>0</v>
      </c>
      <c r="Y93" s="51">
        <f t="shared" si="610"/>
        <v>0</v>
      </c>
      <c r="Z93" s="46">
        <f t="shared" si="610"/>
        <v>0</v>
      </c>
      <c r="AA93" s="46">
        <f t="shared" si="610"/>
        <v>0</v>
      </c>
      <c r="AB93" s="46">
        <f t="shared" si="610"/>
        <v>0</v>
      </c>
      <c r="AC93" s="91">
        <f t="shared" si="475"/>
        <v>0</v>
      </c>
      <c r="AD93" s="75">
        <f>IF(AM93&lt;&gt;0,1-AR93/AM93,0)</f>
        <v>0.69467858047245234</v>
      </c>
      <c r="AE93" s="93">
        <f t="shared" si="611"/>
        <v>0</v>
      </c>
      <c r="AF93" s="93">
        <f t="shared" si="611"/>
        <v>0</v>
      </c>
      <c r="AG93" s="76">
        <f t="shared" si="611"/>
        <v>0</v>
      </c>
      <c r="AH93" s="73">
        <f t="shared" si="612"/>
        <v>25.13</v>
      </c>
      <c r="AI93" s="94">
        <f t="shared" si="613"/>
        <v>0</v>
      </c>
      <c r="AJ93" s="94">
        <f t="shared" si="613"/>
        <v>0</v>
      </c>
      <c r="AK93" s="49">
        <f>IFERROR(VLOOKUP($B93-IF(CompareVer="LY",1,0) &amp; $C93 &amp;AK$4,tblForecast,AK$2,FALSE),0)</f>
        <v>0</v>
      </c>
      <c r="AL93" s="47">
        <f t="shared" si="382"/>
        <v>0</v>
      </c>
      <c r="AM93" s="73">
        <f t="shared" si="614"/>
        <v>13.8215</v>
      </c>
      <c r="AN93" s="94">
        <f t="shared" si="615"/>
        <v>0</v>
      </c>
      <c r="AO93" s="94">
        <f t="shared" si="615"/>
        <v>0</v>
      </c>
      <c r="AP93" s="49">
        <f>IFERROR(VLOOKUP($B93-IF(CompareVer="LY",1,0) &amp; $C93 &amp;AP$4,tblForecast,AP$2,FALSE),0)</f>
        <v>0</v>
      </c>
      <c r="AQ93" s="47">
        <f t="shared" si="476"/>
        <v>0</v>
      </c>
      <c r="AR93" s="73">
        <f t="shared" si="616"/>
        <v>4.22</v>
      </c>
      <c r="AS93" s="94">
        <f t="shared" si="617"/>
        <v>0</v>
      </c>
      <c r="AT93" s="94">
        <f t="shared" si="617"/>
        <v>0</v>
      </c>
      <c r="AU93" s="49">
        <f>IFERROR(VLOOKUP($B93-IF(CompareVer="LY",1,0) &amp; $C93 &amp;AU$4,tblForecast,AU$2,FALSE),0)</f>
        <v>0</v>
      </c>
      <c r="AV93" s="47">
        <f t="shared" si="477"/>
        <v>0</v>
      </c>
      <c r="AW93" s="192">
        <f t="shared" si="618"/>
        <v>0.44999999999999996</v>
      </c>
      <c r="AX93" s="193">
        <f t="shared" si="618"/>
        <v>0</v>
      </c>
      <c r="AY93" s="193">
        <f t="shared" si="618"/>
        <v>0</v>
      </c>
      <c r="AZ93" s="193">
        <f t="shared" si="618"/>
        <v>0</v>
      </c>
      <c r="BA93" s="237">
        <f t="shared" si="619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620"/>
        <v>0</v>
      </c>
      <c r="BE93" s="195">
        <f t="shared" si="478"/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479"/>
        <v>0</v>
      </c>
      <c r="BK93" s="50">
        <f t="shared" si="480"/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632"/>
        <v>0</v>
      </c>
      <c r="BS93" s="233">
        <f t="shared" si="632"/>
        <v>0</v>
      </c>
      <c r="BT93" s="236">
        <f t="shared" si="621"/>
        <v>0</v>
      </c>
      <c r="BU93" s="233">
        <f t="shared" si="621"/>
        <v>0</v>
      </c>
      <c r="BV93" s="233">
        <f>IF($A93="a",IFERROR(VLOOKUP($B93 &amp; $C93&amp;BV$4,tblForecast,BV$2,FALSE),0),BT93+BU93)</f>
        <v>0</v>
      </c>
      <c r="BW93" s="233">
        <f t="shared" si="622"/>
        <v>0</v>
      </c>
      <c r="BX93" s="233">
        <f t="shared" si="622"/>
        <v>0</v>
      </c>
      <c r="BY93" s="194">
        <f>IFERROR(VLOOKUP($B93-IF(CompareVer="LY",1,0) &amp; $C93 &amp;BY$4,tblForecast,BY$2,FALSE),0)</f>
        <v>0</v>
      </c>
      <c r="BZ93" s="195">
        <f t="shared" si="481"/>
        <v>0</v>
      </c>
      <c r="CA93" s="339">
        <f t="shared" si="623"/>
        <v>0</v>
      </c>
      <c r="CB93" s="46">
        <f t="shared" si="623"/>
        <v>0</v>
      </c>
      <c r="CC93" s="46">
        <f>IF($A93="a",IFERROR(VLOOKUP($B93 &amp; $C93&amp;CC$4,tblForecast,CC$2,FALSE),0),CA93+CB93)</f>
        <v>0</v>
      </c>
      <c r="CD93" s="46">
        <f t="shared" si="624"/>
        <v>0</v>
      </c>
      <c r="CE93" s="46">
        <f t="shared" si="624"/>
        <v>0</v>
      </c>
      <c r="CF93" s="46">
        <f>IFERROR(VLOOKUP($B93-IF(CompareVer="LY",1,0) &amp; $C93 &amp;CF$4,tblForecast,CF$2,FALSE),0)</f>
        <v>0</v>
      </c>
      <c r="CG93" s="195">
        <f t="shared" si="482"/>
        <v>0</v>
      </c>
      <c r="CH93" s="339">
        <f t="shared" si="625"/>
        <v>0</v>
      </c>
      <c r="CI93" s="46">
        <f t="shared" si="625"/>
        <v>0</v>
      </c>
      <c r="CJ93" s="46">
        <f>IF($A93="a",IFERROR(VLOOKUP($B93 &amp; $C93&amp;CJ$4,tblForecast,CJ$2,FALSE),0),CH93+CI93)</f>
        <v>0</v>
      </c>
      <c r="CK93" s="46">
        <f t="shared" si="626"/>
        <v>0</v>
      </c>
      <c r="CL93" s="46">
        <f t="shared" si="626"/>
        <v>0</v>
      </c>
      <c r="CM93" s="46">
        <f>IFERROR(VLOOKUP($B93-IF(CompareVer="LY",1,0) &amp; $C93 &amp;CM$4,tblForecast,CM$2,FALSE),0)</f>
        <v>0</v>
      </c>
      <c r="CN93" s="195">
        <f t="shared" si="483"/>
        <v>0</v>
      </c>
      <c r="CO93" s="179">
        <f t="shared" si="520"/>
        <v>0</v>
      </c>
      <c r="CP93" s="225">
        <f t="shared" si="520"/>
        <v>0</v>
      </c>
      <c r="CQ93" s="195">
        <f t="shared" si="484"/>
        <v>0</v>
      </c>
      <c r="CR93" s="179">
        <f t="shared" si="487"/>
        <v>0</v>
      </c>
      <c r="CS93" s="225">
        <f t="shared" si="487"/>
        <v>0</v>
      </c>
      <c r="CT93" s="195">
        <f t="shared" si="521"/>
        <v>0</v>
      </c>
      <c r="CU93" s="44"/>
      <c r="CV93" s="345">
        <f t="shared" si="62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628"/>
        <v>0</v>
      </c>
      <c r="E94" s="203">
        <f t="shared" si="629"/>
        <v>0</v>
      </c>
      <c r="F94" s="183">
        <f t="shared" si="490"/>
        <v>0</v>
      </c>
      <c r="G94" s="177">
        <f t="shared" si="607"/>
        <v>0</v>
      </c>
      <c r="H94" s="204">
        <f t="shared" si="607"/>
        <v>0</v>
      </c>
      <c r="I94" s="204">
        <f t="shared" si="607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8"/>
        <v>0</v>
      </c>
      <c r="N94" s="46">
        <f t="shared" si="608"/>
        <v>0</v>
      </c>
      <c r="O94" s="46">
        <f t="shared" si="608"/>
        <v>0</v>
      </c>
      <c r="P94" s="47">
        <f t="shared" si="485"/>
        <v>0</v>
      </c>
      <c r="Q94" s="344">
        <f t="shared" si="630"/>
        <v>0</v>
      </c>
      <c r="R94" s="242">
        <f t="shared" si="609"/>
        <v>0</v>
      </c>
      <c r="S94" s="242">
        <f t="shared" si="609"/>
        <v>0</v>
      </c>
      <c r="T94" s="242">
        <f>IFERROR(VLOOKUP($B94-IF(CompareVer="LY",1,0) &amp; $C94 &amp;T$4,tblForecast,T$2,FALSE),0)</f>
        <v>0</v>
      </c>
      <c r="U94" s="91">
        <f t="shared" si="474"/>
        <v>0</v>
      </c>
      <c r="V94" s="251">
        <f t="shared" si="631"/>
        <v>0</v>
      </c>
      <c r="W94" s="336">
        <f t="shared" si="631"/>
        <v>0</v>
      </c>
      <c r="X94" s="252">
        <f>IFERROR(IF(T93&lt;&gt;0,T94/T93,0),0)</f>
        <v>0</v>
      </c>
      <c r="Y94" s="51">
        <f t="shared" si="610"/>
        <v>0</v>
      </c>
      <c r="Z94" s="46">
        <f t="shared" si="610"/>
        <v>0</v>
      </c>
      <c r="AA94" s="46">
        <f t="shared" si="610"/>
        <v>0</v>
      </c>
      <c r="AB94" s="46">
        <f t="shared" si="610"/>
        <v>0</v>
      </c>
      <c r="AC94" s="91">
        <f t="shared" si="475"/>
        <v>0</v>
      </c>
      <c r="AD94" s="75">
        <f>IF(AM94&lt;&gt;0,1-AR94/AM94,0)</f>
        <v>0.69467858047245234</v>
      </c>
      <c r="AE94" s="93">
        <f t="shared" si="611"/>
        <v>0</v>
      </c>
      <c r="AF94" s="93">
        <f t="shared" si="611"/>
        <v>0</v>
      </c>
      <c r="AG94" s="76">
        <f t="shared" si="611"/>
        <v>0</v>
      </c>
      <c r="AH94" s="73">
        <f t="shared" si="612"/>
        <v>25.13</v>
      </c>
      <c r="AI94" s="94">
        <f t="shared" si="613"/>
        <v>0</v>
      </c>
      <c r="AJ94" s="94">
        <f t="shared" si="613"/>
        <v>0</v>
      </c>
      <c r="AK94" s="49">
        <f>IFERROR(VLOOKUP($B94-IF(CompareVer="LY",1,0) &amp; $C94 &amp;AK$4,tblForecast,AK$2,FALSE),0)</f>
        <v>0</v>
      </c>
      <c r="AL94" s="47">
        <f t="shared" si="382"/>
        <v>0</v>
      </c>
      <c r="AM94" s="73">
        <f t="shared" si="614"/>
        <v>13.8215</v>
      </c>
      <c r="AN94" s="94">
        <f t="shared" si="615"/>
        <v>0</v>
      </c>
      <c r="AO94" s="94">
        <f t="shared" si="615"/>
        <v>0</v>
      </c>
      <c r="AP94" s="49">
        <f>IFERROR(VLOOKUP($B94-IF(CompareVer="LY",1,0) &amp; $C94 &amp;AP$4,tblForecast,AP$2,FALSE),0)</f>
        <v>0</v>
      </c>
      <c r="AQ94" s="47">
        <f t="shared" si="476"/>
        <v>0</v>
      </c>
      <c r="AR94" s="73">
        <f t="shared" si="616"/>
        <v>4.22</v>
      </c>
      <c r="AS94" s="94">
        <f t="shared" si="617"/>
        <v>0</v>
      </c>
      <c r="AT94" s="94">
        <f t="shared" si="617"/>
        <v>0</v>
      </c>
      <c r="AU94" s="49">
        <f>IFERROR(VLOOKUP($B94-IF(CompareVer="LY",1,0) &amp; $C94 &amp;AU$4,tblForecast,AU$2,FALSE),0)</f>
        <v>0</v>
      </c>
      <c r="AV94" s="47">
        <f t="shared" si="477"/>
        <v>0</v>
      </c>
      <c r="AW94" s="192">
        <f t="shared" si="618"/>
        <v>0.44999999999999996</v>
      </c>
      <c r="AX94" s="193">
        <f t="shared" si="618"/>
        <v>0</v>
      </c>
      <c r="AY94" s="193">
        <f t="shared" si="618"/>
        <v>0</v>
      </c>
      <c r="AZ94" s="193">
        <f t="shared" si="618"/>
        <v>0</v>
      </c>
      <c r="BA94" s="237">
        <f t="shared" si="619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620"/>
        <v>0</v>
      </c>
      <c r="BE94" s="195">
        <f t="shared" si="478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479"/>
        <v>0</v>
      </c>
      <c r="BK94" s="50">
        <f t="shared" si="480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632"/>
        <v>0</v>
      </c>
      <c r="BS94" s="233">
        <f t="shared" si="632"/>
        <v>0</v>
      </c>
      <c r="BT94" s="236">
        <f t="shared" si="621"/>
        <v>0</v>
      </c>
      <c r="BU94" s="233">
        <f t="shared" si="621"/>
        <v>0</v>
      </c>
      <c r="BV94" s="233">
        <f>IF($A94="a",IFERROR(VLOOKUP($B94 &amp; $C94&amp;BV$4,tblForecast,BV$2,FALSE),0),BT94+BU94)</f>
        <v>0</v>
      </c>
      <c r="BW94" s="233">
        <f t="shared" si="622"/>
        <v>0</v>
      </c>
      <c r="BX94" s="233">
        <f t="shared" si="622"/>
        <v>0</v>
      </c>
      <c r="BY94" s="194">
        <f>IFERROR(VLOOKUP($B94-IF(CompareVer="LY",1,0) &amp; $C94 &amp;BY$4,tblForecast,BY$2,FALSE),0)</f>
        <v>0</v>
      </c>
      <c r="BZ94" s="195">
        <f t="shared" si="481"/>
        <v>0</v>
      </c>
      <c r="CA94" s="339">
        <f t="shared" si="623"/>
        <v>0</v>
      </c>
      <c r="CB94" s="46">
        <f t="shared" si="623"/>
        <v>0</v>
      </c>
      <c r="CC94" s="46">
        <f>IF($A94="a",IFERROR(VLOOKUP($B94 &amp; $C94&amp;CC$4,tblForecast,CC$2,FALSE),0),CA94+CB94)</f>
        <v>0</v>
      </c>
      <c r="CD94" s="46">
        <f t="shared" si="624"/>
        <v>0</v>
      </c>
      <c r="CE94" s="46">
        <f t="shared" si="624"/>
        <v>0</v>
      </c>
      <c r="CF94" s="46">
        <f>IFERROR(VLOOKUP($B94-IF(CompareVer="LY",1,0) &amp; $C94 &amp;CF$4,tblForecast,CF$2,FALSE),0)</f>
        <v>0</v>
      </c>
      <c r="CG94" s="195">
        <f t="shared" si="482"/>
        <v>0</v>
      </c>
      <c r="CH94" s="339">
        <f t="shared" si="625"/>
        <v>0</v>
      </c>
      <c r="CI94" s="46">
        <f t="shared" si="625"/>
        <v>0</v>
      </c>
      <c r="CJ94" s="46">
        <f>IF($A94="a",IFERROR(VLOOKUP($B94 &amp; $C94&amp;CJ$4,tblForecast,CJ$2,FALSE),0),CH94+CI94)</f>
        <v>0</v>
      </c>
      <c r="CK94" s="46">
        <f t="shared" si="626"/>
        <v>0</v>
      </c>
      <c r="CL94" s="46">
        <f t="shared" si="626"/>
        <v>0</v>
      </c>
      <c r="CM94" s="46">
        <f>IFERROR(VLOOKUP($B94-IF(CompareVer="LY",1,0) &amp; $C94 &amp;CM$4,tblForecast,CM$2,FALSE),0)</f>
        <v>0</v>
      </c>
      <c r="CN94" s="195">
        <f t="shared" si="483"/>
        <v>0</v>
      </c>
      <c r="CO94" s="179">
        <f t="shared" si="520"/>
        <v>0</v>
      </c>
      <c r="CP94" s="225">
        <f t="shared" si="520"/>
        <v>0</v>
      </c>
      <c r="CQ94" s="195">
        <f t="shared" si="484"/>
        <v>0</v>
      </c>
      <c r="CR94" s="179">
        <f t="shared" si="487"/>
        <v>0</v>
      </c>
      <c r="CS94" s="225">
        <f t="shared" si="487"/>
        <v>0</v>
      </c>
      <c r="CT94" s="195">
        <f t="shared" si="521"/>
        <v>0</v>
      </c>
      <c r="CU94" s="44"/>
      <c r="CV94" s="345">
        <f t="shared" si="62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633">SUM(D91:D94)</f>
        <v>0</v>
      </c>
      <c r="E95" s="257">
        <f t="shared" ref="E95" si="634">SUM(E91:E94)</f>
        <v>0</v>
      </c>
      <c r="F95" s="258">
        <f t="shared" si="490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635">SUM(M91:M94)</f>
        <v>0</v>
      </c>
      <c r="N95" s="261">
        <f t="shared" si="635"/>
        <v>0</v>
      </c>
      <c r="O95" s="261">
        <f t="shared" si="635"/>
        <v>0</v>
      </c>
      <c r="P95" s="262">
        <f t="shared" si="485"/>
        <v>0</v>
      </c>
      <c r="Q95" s="263">
        <f t="shared" ref="Q95:S95" si="636">SUM(Q91:Q94)</f>
        <v>0</v>
      </c>
      <c r="R95" s="264">
        <f t="shared" si="636"/>
        <v>0</v>
      </c>
      <c r="S95" s="264">
        <f t="shared" si="636"/>
        <v>0</v>
      </c>
      <c r="T95" s="264">
        <f>SUM(T91:T94)</f>
        <v>0</v>
      </c>
      <c r="U95" s="262">
        <f t="shared" si="474"/>
        <v>0</v>
      </c>
      <c r="V95" s="265">
        <f t="shared" ref="V95:X96" si="637">V94</f>
        <v>0</v>
      </c>
      <c r="W95" s="334">
        <f t="shared" si="637"/>
        <v>0</v>
      </c>
      <c r="X95" s="266">
        <f t="shared" si="637"/>
        <v>0</v>
      </c>
      <c r="Y95" s="256">
        <f>SUM(Y91:Y94)</f>
        <v>0</v>
      </c>
      <c r="Z95" s="261">
        <f t="shared" ref="Z95:AB95" si="638">SUM(Z91:Z94)</f>
        <v>0</v>
      </c>
      <c r="AA95" s="261">
        <f t="shared" si="638"/>
        <v>0</v>
      </c>
      <c r="AB95" s="261">
        <f t="shared" si="638"/>
        <v>0</v>
      </c>
      <c r="AC95" s="262">
        <f t="shared" si="475"/>
        <v>0</v>
      </c>
      <c r="AD95" s="267">
        <f t="shared" ref="AD95:AG96" si="639">IFERROR(Y95/L95,0)</f>
        <v>0</v>
      </c>
      <c r="AE95" s="268">
        <f t="shared" si="639"/>
        <v>0</v>
      </c>
      <c r="AF95" s="268">
        <f t="shared" si="639"/>
        <v>0</v>
      </c>
      <c r="AG95" s="268">
        <f t="shared" si="639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40">IFERROR(SUMPRODUCT(AJ91:AJ94,S91:S94)/S95,0)</f>
        <v>0</v>
      </c>
      <c r="AK95" s="58">
        <f t="shared" si="640"/>
        <v>0</v>
      </c>
      <c r="AL95" s="54">
        <f t="shared" ref="AL95" si="641">IFERROR((AL83*U83+AL89*U89+AL94*U94)/U95,0)</f>
        <v>0</v>
      </c>
      <c r="AM95" s="269">
        <f t="shared" ref="AM95:AP96" si="642">IF(Q95&lt;&gt;0,L95/Q95,0)</f>
        <v>0</v>
      </c>
      <c r="AN95" s="270">
        <f t="shared" si="642"/>
        <v>0</v>
      </c>
      <c r="AO95" s="270">
        <f t="shared" si="642"/>
        <v>0</v>
      </c>
      <c r="AP95" s="270">
        <f t="shared" si="642"/>
        <v>0</v>
      </c>
      <c r="AQ95" s="262">
        <f t="shared" si="476"/>
        <v>0</v>
      </c>
      <c r="AR95" s="269">
        <f t="shared" ref="AR95:AU96" si="643">IFERROR((L95*(1-AD95))/Q95,0)</f>
        <v>0</v>
      </c>
      <c r="AS95" s="270">
        <f t="shared" si="643"/>
        <v>0</v>
      </c>
      <c r="AT95" s="270">
        <f t="shared" si="643"/>
        <v>0</v>
      </c>
      <c r="AU95" s="270">
        <f t="shared" si="643"/>
        <v>0</v>
      </c>
      <c r="AV95" s="262">
        <f t="shared" si="477"/>
        <v>0</v>
      </c>
      <c r="AW95" s="271">
        <f>IFERROR(SUMPRODUCT(AW91:AW94,V91:V94)/V95,0)</f>
        <v>0</v>
      </c>
      <c r="AX95" s="272">
        <f t="shared" ref="AX95:AZ95" si="644">IFERROR(SUMPRODUCT(AX91:AX94,X91:X94)/X95,0)</f>
        <v>0</v>
      </c>
      <c r="AY95" s="272">
        <f t="shared" si="644"/>
        <v>0</v>
      </c>
      <c r="AZ95" s="272">
        <f t="shared" si="644"/>
        <v>0</v>
      </c>
      <c r="BA95" s="263">
        <f>BA94</f>
        <v>0</v>
      </c>
      <c r="BB95" s="264">
        <f t="shared" ref="BB95:BD96" si="645">BB94</f>
        <v>0</v>
      </c>
      <c r="BC95" s="264">
        <f t="shared" si="645"/>
        <v>0</v>
      </c>
      <c r="BD95" s="264">
        <f t="shared" si="645"/>
        <v>0</v>
      </c>
      <c r="BE95" s="262">
        <f t="shared" si="478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479"/>
        <v>0</v>
      </c>
      <c r="BK95" s="276">
        <f t="shared" si="480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646">SUM(BO91:BO94)</f>
        <v>0</v>
      </c>
      <c r="BP95" s="263">
        <f>SUM(BP91:BP94)</f>
        <v>0</v>
      </c>
      <c r="BQ95" s="264">
        <f t="shared" ref="BQ95" si="647">SUM(BQ91:BQ94)</f>
        <v>0</v>
      </c>
      <c r="BR95" s="263">
        <f t="shared" si="632"/>
        <v>0</v>
      </c>
      <c r="BS95" s="264">
        <f t="shared" si="632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648">SUM(BW91:BW94)</f>
        <v>0</v>
      </c>
      <c r="BX95" s="264">
        <f t="shared" si="648"/>
        <v>0</v>
      </c>
      <c r="BY95" s="277">
        <f>SUM(BY91:BY94)</f>
        <v>0</v>
      </c>
      <c r="BZ95" s="262">
        <f t="shared" si="481"/>
        <v>0</v>
      </c>
      <c r="CA95" s="340">
        <f>SUM(CA92:CA94)</f>
        <v>0</v>
      </c>
      <c r="CB95" s="261">
        <f t="shared" ref="CB95" si="649">SUM(CB92:CB94)</f>
        <v>0</v>
      </c>
      <c r="CC95" s="261">
        <f t="shared" ref="CC95:CF95" si="650">SUM(CC91:CC94)</f>
        <v>0</v>
      </c>
      <c r="CD95" s="261">
        <f t="shared" si="650"/>
        <v>0</v>
      </c>
      <c r="CE95" s="261">
        <f t="shared" si="650"/>
        <v>0</v>
      </c>
      <c r="CF95" s="261">
        <f t="shared" si="650"/>
        <v>0</v>
      </c>
      <c r="CG95" s="262">
        <f t="shared" si="482"/>
        <v>0</v>
      </c>
      <c r="CH95" s="340">
        <f>SUM(CH92:CH94)</f>
        <v>0</v>
      </c>
      <c r="CI95" s="261">
        <f t="shared" ref="CI95" si="651">SUM(CI92:CI94)</f>
        <v>0</v>
      </c>
      <c r="CJ95" s="261">
        <f t="shared" ref="CJ95:CM95" si="652">SUM(CJ91:CJ94)</f>
        <v>0</v>
      </c>
      <c r="CK95" s="261">
        <f t="shared" si="652"/>
        <v>0</v>
      </c>
      <c r="CL95" s="261">
        <f t="shared" si="652"/>
        <v>0</v>
      </c>
      <c r="CM95" s="261">
        <f t="shared" si="652"/>
        <v>0</v>
      </c>
      <c r="CN95" s="262">
        <f t="shared" si="483"/>
        <v>0</v>
      </c>
      <c r="CO95" s="278">
        <f t="shared" si="520"/>
        <v>0</v>
      </c>
      <c r="CP95" s="279">
        <f t="shared" si="520"/>
        <v>0</v>
      </c>
      <c r="CQ95" s="262">
        <f t="shared" si="484"/>
        <v>0</v>
      </c>
      <c r="CR95" s="278">
        <f t="shared" si="487"/>
        <v>0</v>
      </c>
      <c r="CS95" s="279">
        <f t="shared" si="487"/>
        <v>0</v>
      </c>
      <c r="CT95" s="262">
        <f t="shared" si="521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653">D84+D90+D95</f>
        <v>0</v>
      </c>
      <c r="E96" s="206">
        <f t="shared" si="653"/>
        <v>0</v>
      </c>
      <c r="F96" s="207">
        <f t="shared" si="490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654">J84+J90+J95</f>
        <v>0</v>
      </c>
      <c r="K96" s="304">
        <f t="shared" si="654"/>
        <v>0</v>
      </c>
      <c r="L96" s="53">
        <f>L84+L90+L95</f>
        <v>0</v>
      </c>
      <c r="M96" s="53">
        <f t="shared" ref="M96:O96" si="655">M84+M90+M95</f>
        <v>0</v>
      </c>
      <c r="N96" s="53">
        <f t="shared" si="655"/>
        <v>0</v>
      </c>
      <c r="O96" s="53">
        <f t="shared" si="655"/>
        <v>0</v>
      </c>
      <c r="P96" s="54">
        <f t="shared" si="485"/>
        <v>0</v>
      </c>
      <c r="Q96" s="231">
        <f>Q84+Q90+Q95</f>
        <v>0</v>
      </c>
      <c r="R96" s="232">
        <f t="shared" ref="R96:S96" si="656">R84+R90+R95</f>
        <v>0</v>
      </c>
      <c r="S96" s="232">
        <f t="shared" si="656"/>
        <v>0</v>
      </c>
      <c r="T96" s="232">
        <f>T84+T90+T95</f>
        <v>0</v>
      </c>
      <c r="U96" s="54">
        <f t="shared" si="474"/>
        <v>0</v>
      </c>
      <c r="V96" s="249">
        <f t="shared" si="637"/>
        <v>0</v>
      </c>
      <c r="W96" s="335">
        <f t="shared" si="637"/>
        <v>0</v>
      </c>
      <c r="X96" s="250">
        <f t="shared" si="637"/>
        <v>0</v>
      </c>
      <c r="Y96" s="52">
        <f>Y84+Y90+Y95</f>
        <v>0</v>
      </c>
      <c r="Z96" s="53">
        <f t="shared" ref="Z96:AB96" si="657">Z84+Z90+Z95</f>
        <v>0</v>
      </c>
      <c r="AA96" s="53">
        <f t="shared" si="657"/>
        <v>0</v>
      </c>
      <c r="AB96" s="53">
        <f t="shared" si="657"/>
        <v>0</v>
      </c>
      <c r="AC96" s="54">
        <f t="shared" si="475"/>
        <v>0</v>
      </c>
      <c r="AD96" s="77">
        <f t="shared" si="639"/>
        <v>0</v>
      </c>
      <c r="AE96" s="78">
        <f t="shared" si="639"/>
        <v>0</v>
      </c>
      <c r="AF96" s="78">
        <f t="shared" si="639"/>
        <v>0</v>
      </c>
      <c r="AG96" s="78">
        <f t="shared" si="639"/>
        <v>0</v>
      </c>
      <c r="AH96" s="57">
        <f>IFERROR((AH84*Q84+AH90*Q90+AH95*Q95)/Q96,0)</f>
        <v>0</v>
      </c>
      <c r="AI96" s="58">
        <f t="shared" ref="AI96:AK96" si="658">IFERROR((AI84*R84+AI90*R90+AI95*R95)/R96,0)</f>
        <v>0</v>
      </c>
      <c r="AJ96" s="58">
        <f t="shared" si="658"/>
        <v>0</v>
      </c>
      <c r="AK96" s="58">
        <f t="shared" si="658"/>
        <v>0</v>
      </c>
      <c r="AL96" s="54">
        <f t="shared" ref="AL96" si="659">IFERROR(AH96/AK96-1,)</f>
        <v>0</v>
      </c>
      <c r="AM96" s="57">
        <f t="shared" si="642"/>
        <v>0</v>
      </c>
      <c r="AN96" s="58">
        <f t="shared" si="642"/>
        <v>0</v>
      </c>
      <c r="AO96" s="58">
        <f t="shared" si="642"/>
        <v>0</v>
      </c>
      <c r="AP96" s="58">
        <f t="shared" si="642"/>
        <v>0</v>
      </c>
      <c r="AQ96" s="54">
        <f t="shared" si="476"/>
        <v>0</v>
      </c>
      <c r="AR96" s="57">
        <f t="shared" si="643"/>
        <v>0</v>
      </c>
      <c r="AS96" s="58">
        <f t="shared" si="643"/>
        <v>0</v>
      </c>
      <c r="AT96" s="58">
        <f t="shared" si="643"/>
        <v>0</v>
      </c>
      <c r="AU96" s="58">
        <f t="shared" si="643"/>
        <v>0</v>
      </c>
      <c r="AV96" s="54">
        <f t="shared" si="477"/>
        <v>0</v>
      </c>
      <c r="AW96" s="59">
        <f>IFERROR((AW84*V84+AW90*V90+AW95*V95)/V96,0)</f>
        <v>0</v>
      </c>
      <c r="AX96" s="60">
        <f t="shared" ref="AX96:AZ96" si="660">IFERROR((AX84*X84+AX90*X90+AX95*X95)/X96,0)</f>
        <v>0</v>
      </c>
      <c r="AY96" s="60">
        <f t="shared" si="660"/>
        <v>0</v>
      </c>
      <c r="AZ96" s="60">
        <f t="shared" si="660"/>
        <v>0</v>
      </c>
      <c r="BA96" s="238">
        <f>BA95</f>
        <v>0</v>
      </c>
      <c r="BB96" s="232">
        <f t="shared" si="645"/>
        <v>0</v>
      </c>
      <c r="BC96" s="232">
        <f t="shared" si="645"/>
        <v>0</v>
      </c>
      <c r="BD96" s="232">
        <f t="shared" si="645"/>
        <v>0</v>
      </c>
      <c r="BE96" s="54">
        <f t="shared" si="478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479"/>
        <v>0</v>
      </c>
      <c r="BK96" s="61">
        <f t="shared" si="480"/>
        <v>0</v>
      </c>
      <c r="BL96" s="231">
        <f>BL84+BL90+BL95</f>
        <v>0</v>
      </c>
      <c r="BM96" s="232">
        <f t="shared" ref="BM96" si="661">BM84+BM90+BM95</f>
        <v>0</v>
      </c>
      <c r="BN96" s="231">
        <f>BN84+BN90+BN95</f>
        <v>0</v>
      </c>
      <c r="BO96" s="232">
        <f t="shared" ref="BO96" si="662">BO84+BO90+BO95</f>
        <v>0</v>
      </c>
      <c r="BP96" s="231">
        <f>BP84+BP90+BP95</f>
        <v>0</v>
      </c>
      <c r="BQ96" s="232">
        <f t="shared" ref="BQ96" si="663">BQ84+BQ90+BQ95</f>
        <v>0</v>
      </c>
      <c r="BR96" s="231">
        <f t="shared" si="632"/>
        <v>0</v>
      </c>
      <c r="BS96" s="232">
        <f t="shared" si="632"/>
        <v>0</v>
      </c>
      <c r="BT96" s="231">
        <f t="shared" ref="BT96:BY96" si="664">BT84+BT90+BT95</f>
        <v>0</v>
      </c>
      <c r="BU96" s="232">
        <f t="shared" si="664"/>
        <v>0</v>
      </c>
      <c r="BV96" s="232">
        <f t="shared" si="664"/>
        <v>0</v>
      </c>
      <c r="BW96" s="232">
        <f t="shared" si="664"/>
        <v>0</v>
      </c>
      <c r="BX96" s="232">
        <f t="shared" si="664"/>
        <v>0</v>
      </c>
      <c r="BY96" s="56">
        <f t="shared" si="664"/>
        <v>0</v>
      </c>
      <c r="BZ96" s="54">
        <f t="shared" si="481"/>
        <v>0</v>
      </c>
      <c r="CA96" s="341">
        <f t="shared" ref="CA96:CF96" si="665">CA84+CA90+CA95</f>
        <v>0</v>
      </c>
      <c r="CB96" s="53">
        <f t="shared" si="665"/>
        <v>0</v>
      </c>
      <c r="CC96" s="53">
        <f t="shared" si="665"/>
        <v>0</v>
      </c>
      <c r="CD96" s="53">
        <f t="shared" si="665"/>
        <v>0</v>
      </c>
      <c r="CE96" s="53">
        <f t="shared" si="665"/>
        <v>0</v>
      </c>
      <c r="CF96" s="53">
        <f t="shared" si="665"/>
        <v>0</v>
      </c>
      <c r="CG96" s="54">
        <f t="shared" si="482"/>
        <v>0</v>
      </c>
      <c r="CH96" s="341">
        <f t="shared" ref="CH96:CM96" si="666">CH84+CH90+CH95</f>
        <v>0</v>
      </c>
      <c r="CI96" s="53">
        <f t="shared" si="666"/>
        <v>0</v>
      </c>
      <c r="CJ96" s="53">
        <f t="shared" si="666"/>
        <v>0</v>
      </c>
      <c r="CK96" s="53">
        <f t="shared" si="666"/>
        <v>0</v>
      </c>
      <c r="CL96" s="53">
        <f t="shared" si="666"/>
        <v>0</v>
      </c>
      <c r="CM96" s="53">
        <f t="shared" si="666"/>
        <v>0</v>
      </c>
      <c r="CN96" s="54">
        <f t="shared" si="483"/>
        <v>0</v>
      </c>
      <c r="CO96" s="55">
        <f t="shared" si="520"/>
        <v>0</v>
      </c>
      <c r="CP96" s="226">
        <f t="shared" si="520"/>
        <v>0</v>
      </c>
      <c r="CQ96" s="54">
        <f t="shared" si="484"/>
        <v>0</v>
      </c>
      <c r="CR96" s="55">
        <f t="shared" si="487"/>
        <v>0</v>
      </c>
      <c r="CS96" s="226">
        <f t="shared" si="487"/>
        <v>0</v>
      </c>
      <c r="CT96" s="54">
        <f t="shared" si="521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sheetProtection sheet="1" objects="1" scenarios="1"/>
  <mergeCells count="31">
    <mergeCell ref="CH9:CN9"/>
    <mergeCell ref="CO9:CQ9"/>
    <mergeCell ref="CR9:CT9"/>
    <mergeCell ref="CW9:CY9"/>
    <mergeCell ref="CZ9:DC9"/>
    <mergeCell ref="BN9:BO9"/>
    <mergeCell ref="BP9:BQ9"/>
    <mergeCell ref="BR9:BS9"/>
    <mergeCell ref="BT9:BZ9"/>
    <mergeCell ref="CA9:CG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C5:O5"/>
    <mergeCell ref="C6:O6"/>
    <mergeCell ref="D8:K8"/>
    <mergeCell ref="L8:AZ8"/>
    <mergeCell ref="D9:K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28">
    <cfRule type="expression" dxfId="15" priority="16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BH11" sqref="BH11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6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 t="s">
        <v>343</v>
      </c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8"/>
    </row>
    <row r="6" spans="1:107" x14ac:dyDescent="0.25">
      <c r="BA6" s="44"/>
    </row>
    <row r="7" spans="1:107" ht="16.5" thickBot="1" x14ac:dyDescent="0.3">
      <c r="BA7" s="44"/>
    </row>
    <row r="8" spans="1:107" s="141" customFormat="1" ht="21.75" thickBot="1" x14ac:dyDescent="0.3">
      <c r="C8" s="142" t="s">
        <v>39</v>
      </c>
      <c r="D8" s="354" t="s">
        <v>10</v>
      </c>
      <c r="E8" s="355"/>
      <c r="F8" s="355"/>
      <c r="G8" s="355"/>
      <c r="H8" s="355"/>
      <c r="I8" s="355"/>
      <c r="J8" s="355"/>
      <c r="K8" s="356"/>
      <c r="L8" s="357" t="s">
        <v>27</v>
      </c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  <c r="AK8" s="357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413"/>
      <c r="BA8" s="410" t="s">
        <v>421</v>
      </c>
      <c r="BB8" s="411"/>
      <c r="BC8" s="411"/>
      <c r="BD8" s="411"/>
      <c r="BE8" s="411"/>
      <c r="BF8" s="411"/>
      <c r="BG8" s="411"/>
      <c r="BH8" s="411"/>
      <c r="BI8" s="411"/>
      <c r="BJ8" s="411"/>
      <c r="BK8" s="411"/>
      <c r="BL8" s="411"/>
      <c r="BM8" s="411"/>
      <c r="BN8" s="411"/>
      <c r="BO8" s="411"/>
      <c r="BP8" s="411"/>
      <c r="BQ8" s="411"/>
      <c r="BR8" s="411"/>
      <c r="BS8" s="412"/>
      <c r="BT8" s="364" t="s">
        <v>400</v>
      </c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5"/>
      <c r="CW8" s="143"/>
      <c r="CX8" s="144"/>
      <c r="CY8" s="144"/>
      <c r="CZ8" s="145"/>
      <c r="DA8" s="146"/>
      <c r="DB8" s="146"/>
      <c r="DC8" s="147"/>
    </row>
    <row r="9" spans="1:107" s="141" customFormat="1" ht="21" x14ac:dyDescent="0.35">
      <c r="C9" s="148"/>
      <c r="D9" s="149"/>
      <c r="E9" s="150"/>
      <c r="F9" s="150"/>
      <c r="G9" s="150"/>
      <c r="H9" s="150"/>
      <c r="I9" s="150"/>
      <c r="J9" s="150"/>
      <c r="K9" s="306"/>
      <c r="L9" s="400" t="s">
        <v>6</v>
      </c>
      <c r="M9" s="400"/>
      <c r="N9" s="400"/>
      <c r="O9" s="400"/>
      <c r="P9" s="401"/>
      <c r="Q9" s="402" t="s">
        <v>8</v>
      </c>
      <c r="R9" s="403"/>
      <c r="S9" s="403"/>
      <c r="T9" s="404"/>
      <c r="U9" s="405"/>
      <c r="V9" s="406" t="s">
        <v>415</v>
      </c>
      <c r="W9" s="407"/>
      <c r="X9" s="408"/>
      <c r="Y9" s="409" t="s">
        <v>416</v>
      </c>
      <c r="Z9" s="400"/>
      <c r="AA9" s="409"/>
      <c r="AB9" s="400"/>
      <c r="AC9" s="401"/>
      <c r="AD9" s="409" t="s">
        <v>4</v>
      </c>
      <c r="AE9" s="400"/>
      <c r="AF9" s="400"/>
      <c r="AG9" s="400"/>
      <c r="AH9" s="397" t="s">
        <v>1</v>
      </c>
      <c r="AI9" s="398"/>
      <c r="AJ9" s="398"/>
      <c r="AK9" s="398"/>
      <c r="AL9" s="399"/>
      <c r="AM9" s="402" t="s">
        <v>2</v>
      </c>
      <c r="AN9" s="403"/>
      <c r="AO9" s="403"/>
      <c r="AP9" s="403"/>
      <c r="AQ9" s="414"/>
      <c r="AR9" s="397" t="s">
        <v>3</v>
      </c>
      <c r="AS9" s="398"/>
      <c r="AT9" s="398"/>
      <c r="AU9" s="398"/>
      <c r="AV9" s="398"/>
      <c r="AW9" s="391" t="s">
        <v>7</v>
      </c>
      <c r="AX9" s="392"/>
      <c r="AY9" s="392"/>
      <c r="AZ9" s="392"/>
      <c r="BA9" s="397" t="s">
        <v>461</v>
      </c>
      <c r="BB9" s="398"/>
      <c r="BC9" s="398"/>
      <c r="BD9" s="398"/>
      <c r="BE9" s="399"/>
      <c r="BF9" s="397" t="s">
        <v>462</v>
      </c>
      <c r="BG9" s="398"/>
      <c r="BH9" s="391" t="s">
        <v>309</v>
      </c>
      <c r="BI9" s="392"/>
      <c r="BJ9" s="421" t="s">
        <v>417</v>
      </c>
      <c r="BK9" s="392"/>
      <c r="BL9" s="397" t="s">
        <v>46</v>
      </c>
      <c r="BM9" s="398"/>
      <c r="BN9" s="397" t="s">
        <v>418</v>
      </c>
      <c r="BO9" s="398"/>
      <c r="BP9" s="397" t="s">
        <v>419</v>
      </c>
      <c r="BQ9" s="398"/>
      <c r="BR9" s="391" t="s">
        <v>420</v>
      </c>
      <c r="BS9" s="392"/>
      <c r="BT9" s="397" t="s">
        <v>402</v>
      </c>
      <c r="BU9" s="398"/>
      <c r="BV9" s="398"/>
      <c r="BW9" s="398"/>
      <c r="BX9" s="398"/>
      <c r="BY9" s="398"/>
      <c r="BZ9" s="399"/>
      <c r="CA9" s="397" t="s">
        <v>5</v>
      </c>
      <c r="CB9" s="398"/>
      <c r="CC9" s="398"/>
      <c r="CD9" s="398"/>
      <c r="CE9" s="398"/>
      <c r="CF9" s="398"/>
      <c r="CG9" s="399"/>
      <c r="CH9" s="397" t="s">
        <v>403</v>
      </c>
      <c r="CI9" s="398"/>
      <c r="CJ9" s="398"/>
      <c r="CK9" s="398"/>
      <c r="CL9" s="398"/>
      <c r="CM9" s="398"/>
      <c r="CN9" s="399"/>
      <c r="CO9" s="415" t="s">
        <v>1</v>
      </c>
      <c r="CP9" s="416"/>
      <c r="CQ9" s="417"/>
      <c r="CR9" s="418" t="s">
        <v>3</v>
      </c>
      <c r="CS9" s="419"/>
      <c r="CT9" s="420"/>
      <c r="CW9" s="391" t="s">
        <v>30</v>
      </c>
      <c r="CX9" s="392"/>
      <c r="CY9" s="393"/>
      <c r="CZ9" s="394" t="s">
        <v>389</v>
      </c>
      <c r="DA9" s="395"/>
      <c r="DB9" s="395"/>
      <c r="DC9" s="396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98" t="s">
        <v>411</v>
      </c>
      <c r="H10" s="198" t="s">
        <v>2</v>
      </c>
      <c r="I10" s="198" t="s">
        <v>3</v>
      </c>
      <c r="J10" s="198" t="s">
        <v>412</v>
      </c>
      <c r="K10" s="307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469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 t="shared" ref="L11:O14" si="5">Q11*AM11</f>
        <v>0</v>
      </c>
      <c r="M11" s="171">
        <f t="shared" si="5"/>
        <v>0</v>
      </c>
      <c r="N11" s="171">
        <f t="shared" si="5"/>
        <v>0</v>
      </c>
      <c r="O11" s="171">
        <f t="shared" si="5"/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6">IFERROR(VLOOKUP($B11 &amp; $C11&amp;R$4,tblForecast,R$2,FALSE),0)</f>
        <v>0</v>
      </c>
      <c r="S11" s="241">
        <f t="shared" si="6"/>
        <v>0</v>
      </c>
      <c r="T11" s="242">
        <f>IFERROR(VLOOKUP($B11-IF(CompareVer="LY",1,0) &amp; $C11 &amp;T$4,tblForecast,T$2,FALSE),0)</f>
        <v>0</v>
      </c>
      <c r="U11" s="91">
        <f t="shared" ref="U11:U42" si="7">IFERROR(Q11/T11-1,)</f>
        <v>0</v>
      </c>
      <c r="V11" s="247">
        <v>0</v>
      </c>
      <c r="W11" s="338">
        <v>0</v>
      </c>
      <c r="X11" s="248">
        <v>0</v>
      </c>
      <c r="Y11" s="89">
        <f t="shared" ref="Y11:AB14" si="8">IFERROR(L11*AD11,0)</f>
        <v>0</v>
      </c>
      <c r="Z11" s="171">
        <f t="shared" si="8"/>
        <v>0</v>
      </c>
      <c r="AA11" s="171">
        <f t="shared" si="8"/>
        <v>0</v>
      </c>
      <c r="AB11" s="171">
        <f t="shared" si="8"/>
        <v>0</v>
      </c>
      <c r="AC11" s="213">
        <f t="shared" ref="AC11:AC42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3">
        <f>IFERROR(VLOOKUP($B11 &amp; $C11&amp;CompareVer,tblForecast,AH$2,FALSE),0)</f>
        <v>0</v>
      </c>
      <c r="AI11" s="174">
        <f t="shared" ref="AI11:AJ14" si="11">IFERROR(VLOOKUP($B11 &amp; $C11&amp;AI$4,tblForecast,AI$2,FALSE),0)</f>
        <v>0</v>
      </c>
      <c r="AJ11" s="174">
        <f t="shared" si="11"/>
        <v>0</v>
      </c>
      <c r="AK11" s="174">
        <f>IFERROR(VLOOKUP($B11-IF(CompareVer="LY",1,0) &amp; $C11 &amp;AK$4,tblForecast,AK$2,FALSE),0)</f>
        <v>0</v>
      </c>
      <c r="AL11" s="213">
        <f t="shared" ref="AL11:AL25" si="12">IFERROR(AH11/AK11-1,)</f>
        <v>0</v>
      </c>
      <c r="AM11" s="173">
        <f>IFERROR(VLOOKUP($B11 &amp; $C11&amp;CompareVer,tblForecast,AM$2,FALSE),0)</f>
        <v>0</v>
      </c>
      <c r="AN11" s="174">
        <f t="shared" ref="AN11:AO14" si="13">IFERROR(VLOOKUP($B11 &amp; $C11&amp;AN$4,tblForecast,AN$2,FALSE),0)</f>
        <v>0</v>
      </c>
      <c r="AO11" s="174">
        <f t="shared" si="13"/>
        <v>0</v>
      </c>
      <c r="AP11" s="174">
        <f>IFERROR(VLOOKUP($B11-IF(CompareVer="LY",1,0) &amp; $C11 &amp;AP$4,tblForecast,AP$2,FALSE),0)</f>
        <v>0</v>
      </c>
      <c r="AQ11" s="213">
        <f t="shared" ref="AQ11:AQ25" si="14">IFERROR(AM11/AP11-1,)</f>
        <v>0</v>
      </c>
      <c r="AR11" s="173">
        <f>IFERROR(VLOOKUP($B11 &amp; $C11&amp;CompareVer,tblForecast,AR$2,FALSE),0)</f>
        <v>0</v>
      </c>
      <c r="AS11" s="174">
        <f t="shared" ref="AS11:AT14" si="15">IFERROR(VLOOKUP($B11 &amp; $C11&amp;AS$4,tblForecast,AS$2,FALSE),0)</f>
        <v>0</v>
      </c>
      <c r="AT11" s="174">
        <f t="shared" si="15"/>
        <v>0</v>
      </c>
      <c r="AU11" s="174">
        <f>IFERROR(VLOOKUP($B11-IF(CompareVer="LY",1,0) &amp; $C11 &amp;AU$4,tblForecast,AU$2,FALSE),0)</f>
        <v>0</v>
      </c>
      <c r="AV11" s="213">
        <f t="shared" ref="AV11:AV42" si="16">IFERROR(AR11/AU11-1,)</f>
        <v>0</v>
      </c>
      <c r="AW11" s="175">
        <f t="shared" ref="AW11:AZ25" si="17">IFERROR((AM11/AH11-1)*-1,0)</f>
        <v>0</v>
      </c>
      <c r="AX11" s="176">
        <f t="shared" si="17"/>
        <v>0</v>
      </c>
      <c r="AY11" s="176">
        <f t="shared" si="17"/>
        <v>0</v>
      </c>
      <c r="AZ11" s="176">
        <f t="shared" si="17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8">IFERROR(VLOOKUP($B11 &amp; $C11&amp;BC$4,tblForecast,BC$2,FALSE),0)</f>
        <v>0</v>
      </c>
      <c r="BD11" s="230">
        <f>CX11+BG11</f>
        <v>0</v>
      </c>
      <c r="BE11" s="178">
        <f t="shared" ref="BE11:BE74" si="19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 t="shared" ref="BJ11:BJ42" si="20">IF(BA11&lt;&gt;0,Q11/BA11,0)</f>
        <v>0</v>
      </c>
      <c r="BK11" s="96">
        <f t="shared" ref="BK11:BK74" si="21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22">BO11-BQ11</f>
        <v>0</v>
      </c>
      <c r="BT11" s="229">
        <f t="shared" ref="BT11:BU14" si="23">IFERROR(VLOOKUP($B11 &amp; $C11&amp;BT$4,tblForecast,BT$2,FALSE),0)</f>
        <v>0</v>
      </c>
      <c r="BU11" s="230">
        <f t="shared" si="23"/>
        <v>0</v>
      </c>
      <c r="BV11" s="230">
        <f>IFERROR(VLOOKUP($B11 &amp; $C11&amp;CompareVer,tblForecast,BV$2,FALSE),0)</f>
        <v>0</v>
      </c>
      <c r="BW11" s="230">
        <f t="shared" ref="BW11:BX14" si="24">IFERROR(VLOOKUP($B11 &amp; $C11&amp;BW$4,tblForecast,BW$2,FALSE),0)</f>
        <v>0</v>
      </c>
      <c r="BX11" s="230">
        <f t="shared" si="24"/>
        <v>0</v>
      </c>
      <c r="BY11" s="177">
        <f>IFERROR(VLOOKUP($B11-IF(CompareVer="LY",1,0) &amp; $C11 &amp;BY$4,tblForecast,BY$2,FALSE),0)</f>
        <v>0</v>
      </c>
      <c r="BZ11" s="178">
        <f t="shared" ref="BZ11:BZ74" si="25">IFERROR(BV11/BY11-1,)</f>
        <v>0</v>
      </c>
      <c r="CA11" s="171">
        <f t="shared" ref="CA11:CB14" si="26">IFERROR(VLOOKUP($B11 &amp; $C11&amp;CA$4,tblForecast,CA$2,FALSE),0)</f>
        <v>0</v>
      </c>
      <c r="CB11" s="171">
        <f t="shared" si="26"/>
        <v>0</v>
      </c>
      <c r="CC11" s="171">
        <f>IFERROR(VLOOKUP($B11 &amp; $C11&amp;CompareVer,tblForecast,CC$2,FALSE),0)</f>
        <v>0</v>
      </c>
      <c r="CD11" s="171">
        <f t="shared" ref="CD11:CE14" si="27">IFERROR(VLOOKUP($B11 &amp; $C11&amp;CD$4,tblForecast,CD$2,FALSE),0)</f>
        <v>0</v>
      </c>
      <c r="CE11" s="171">
        <f t="shared" si="27"/>
        <v>0</v>
      </c>
      <c r="CF11" s="171">
        <f>IFERROR(VLOOKUP($B11-IF(CompareVer="LY",1,0) &amp; $C11 &amp;CF$4,tblForecast,CF$2,FALSE),0)</f>
        <v>0</v>
      </c>
      <c r="CG11" s="178">
        <f t="shared" ref="CG11:CG74" si="28">IFERROR(CC11/CF11-1,)</f>
        <v>0</v>
      </c>
      <c r="CH11" s="171">
        <f t="shared" ref="CH11:CI14" si="29">IFERROR(VLOOKUP($B11 &amp; $C11&amp;CH$4,tblForecast,CH$2,FALSE),0)</f>
        <v>0</v>
      </c>
      <c r="CI11" s="171">
        <f t="shared" si="29"/>
        <v>0</v>
      </c>
      <c r="CJ11" s="171">
        <f>IFERROR(VLOOKUP($B11 &amp; $C11&amp;CompareVer,tblForecast,CJ$2,FALSE),0)</f>
        <v>0</v>
      </c>
      <c r="CK11" s="171">
        <f t="shared" ref="CK11:CL14" si="30">IFERROR(VLOOKUP($B11 &amp; $C11&amp;CK$4,tblForecast,CK$2,FALSE),0)</f>
        <v>0</v>
      </c>
      <c r="CL11" s="171">
        <f t="shared" si="30"/>
        <v>0</v>
      </c>
      <c r="CM11" s="171">
        <f>IFERROR(VLOOKUP($B11-IF(CompareVer="LY",1,0) &amp; $C11 &amp;CM$4,tblForecast,CM$2,FALSE),0)</f>
        <v>0</v>
      </c>
      <c r="CN11" s="178">
        <f t="shared" ref="CN11:CN74" si="31">IFERROR(CJ11/CM11-1,)</f>
        <v>0</v>
      </c>
      <c r="CO11" s="179">
        <f t="shared" ref="CO11:CO12" si="32">IFERROR(CE11/BX11,0)</f>
        <v>0</v>
      </c>
      <c r="CP11" s="225">
        <f t="shared" ref="CP11:CP74" si="33">IFERROR(CF11/BY11,0)</f>
        <v>0</v>
      </c>
      <c r="CQ11" s="178">
        <f t="shared" ref="CQ11:CQ74" si="34">IFERROR(CL11/CP11-1,)</f>
        <v>0</v>
      </c>
      <c r="CR11" s="179">
        <f>IFERROR(CL11/BX11,0)</f>
        <v>0</v>
      </c>
      <c r="CS11" s="225">
        <f t="shared" ref="CS11:CS74" si="35">IFERROR(CM11/BY11,0)</f>
        <v>0</v>
      </c>
      <c r="CT11" s="178">
        <f t="shared" ref="CT11:CT12" si="36">IFERROR(CO11/CS11-1,)</f>
        <v>0</v>
      </c>
      <c r="CU11" s="44"/>
      <c r="CV11" s="44"/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7">IFERROR(CW11/CX11-1,)</f>
        <v>0</v>
      </c>
      <c r="CZ11" s="280">
        <f>IFERROR(VLOOKUP(Brand&amp;Channel&amp;Country&amp;$C11,tblDiscount,6,FALSE),0)</f>
        <v>0.3</v>
      </c>
      <c r="DA11" s="281">
        <f>(1-CZ11)*DB11</f>
        <v>17.590999999999998</v>
      </c>
      <c r="DB11" s="281">
        <f>IFERROR(VLOOKUP(Brand&amp;Country &amp; Channel &amp; FC,tblFCSettings,8,FALSE),0)</f>
        <v>25.13</v>
      </c>
      <c r="DC11" s="282">
        <f>IFERROR(VLOOKUP(Brand&amp;Country &amp; Channel&amp;FC,tblFCSettings,9,FALSE),0)</f>
        <v>4.22</v>
      </c>
    </row>
    <row r="12" spans="1:107" x14ac:dyDescent="0.25">
      <c r="A12" s="44" t="s">
        <v>340</v>
      </c>
      <c r="B12" s="44">
        <v>2018</v>
      </c>
      <c r="C12" s="88">
        <v>2</v>
      </c>
      <c r="D12" s="97">
        <f t="shared" ref="D12:D14" si="38">G12*H12</f>
        <v>0</v>
      </c>
      <c r="E12" s="203">
        <f t="shared" ref="E12:E14" si="39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40">IFERROR(L12/O12-1,)</f>
        <v>0</v>
      </c>
      <c r="Q12" s="240">
        <f>IFERROR(VLOOKUP($B12 &amp; $C12&amp;CompareVer,tblForecast,Q$2,FALSE),0)</f>
        <v>0</v>
      </c>
      <c r="R12" s="242">
        <f t="shared" si="6"/>
        <v>0</v>
      </c>
      <c r="S12" s="242">
        <f t="shared" si="6"/>
        <v>0</v>
      </c>
      <c r="T12" s="242">
        <f>IFERROR(VLOOKUP($B12-IF(CompareVer="LY",1,0) &amp; $C12 &amp;T$4,tblForecast,T$2,FALSE),0)</f>
        <v>0</v>
      </c>
      <c r="U12" s="91">
        <f t="shared" si="7"/>
        <v>0</v>
      </c>
      <c r="V12" s="247">
        <f t="shared" ref="V12:W14" si="41">IFERROR(IF(Q11&lt;&gt;0,Q12/Q11,0),0)</f>
        <v>0</v>
      </c>
      <c r="W12" s="333">
        <f t="shared" si="41"/>
        <v>0</v>
      </c>
      <c r="X12" s="248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2">
        <f t="shared" si="17"/>
        <v>0</v>
      </c>
      <c r="AX12" s="183">
        <f t="shared" si="17"/>
        <v>0</v>
      </c>
      <c r="AY12" s="183">
        <f t="shared" si="17"/>
        <v>0</v>
      </c>
      <c r="AZ12" s="183">
        <f t="shared" si="17"/>
        <v>0</v>
      </c>
      <c r="BA12" s="229">
        <f t="shared" ref="BA12:BA14" si="42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8"/>
        <v>0</v>
      </c>
      <c r="BD12" s="230">
        <f t="shared" ref="BD12:BD14" si="43">CX12+BG12</f>
        <v>0</v>
      </c>
      <c r="BE12" s="178">
        <f t="shared" ref="BE12:BE14" si="44">IFERROR(BA12/BD12-1,)</f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 t="shared" si="20"/>
        <v>0</v>
      </c>
      <c r="BK12" s="96">
        <f t="shared" si="21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5">BN12-BP12</f>
        <v>0</v>
      </c>
      <c r="BS12" s="230">
        <f t="shared" si="22"/>
        <v>0</v>
      </c>
      <c r="BT12" s="229">
        <f t="shared" si="23"/>
        <v>0</v>
      </c>
      <c r="BU12" s="230">
        <f t="shared" si="23"/>
        <v>0</v>
      </c>
      <c r="BV12" s="230">
        <f>IFERROR(VLOOKUP($B12 &amp; $C12&amp;CompareVer,tblForecast,BV$2,FALSE),0)</f>
        <v>0</v>
      </c>
      <c r="BW12" s="230">
        <f t="shared" si="24"/>
        <v>0</v>
      </c>
      <c r="BX12" s="230">
        <f t="shared" si="24"/>
        <v>0</v>
      </c>
      <c r="BY12" s="177">
        <f>IFERROR(VLOOKUP($B12-IF(CompareVer="LY",1,0) &amp; $C12 &amp;BY$4,tblForecast,BY$2,FALSE),0)</f>
        <v>0</v>
      </c>
      <c r="BZ12" s="178">
        <f t="shared" ref="BZ12:BZ14" si="46">IFERROR(BV12/BY12-1,)</f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8">
        <f t="shared" ref="CG12:CG14" si="47">IFERROR(CC12/CF12-1,)</f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8">
        <f t="shared" ref="CN12:CN14" si="48">IFERROR(CJ12/CM12-1,)</f>
        <v>0</v>
      </c>
      <c r="CO12" s="179">
        <f t="shared" si="32"/>
        <v>0</v>
      </c>
      <c r="CP12" s="225">
        <f t="shared" si="33"/>
        <v>0</v>
      </c>
      <c r="CQ12" s="178">
        <f t="shared" si="34"/>
        <v>0</v>
      </c>
      <c r="CR12" s="179">
        <f t="shared" ref="CR12:CR75" si="49">IFERROR(CL12/BX12,0)</f>
        <v>0</v>
      </c>
      <c r="CS12" s="225">
        <f t="shared" si="35"/>
        <v>0</v>
      </c>
      <c r="CT12" s="178">
        <f t="shared" si="36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7"/>
        <v>0</v>
      </c>
      <c r="CZ12" s="280">
        <f>IFERROR(VLOOKUP(Brand&amp;Channel&amp;Country&amp;$C12,tblDiscount,6,FALSE),0)</f>
        <v>0.3</v>
      </c>
      <c r="DA12" s="281">
        <f>(1-CZ12)*DB12</f>
        <v>17.590999999999998</v>
      </c>
      <c r="DB12" s="281">
        <f>IFERROR(VLOOKUP(Brand&amp;Country &amp; Channel &amp; FC,tblFCSettings,8,FALSE),0)</f>
        <v>25.13</v>
      </c>
      <c r="DC12" s="282">
        <f>IFERROR(VLOOKUP(Brand&amp;Country &amp; Channel&amp;FC,tblFCSettings,9,FALSE),0)</f>
        <v>4.22</v>
      </c>
    </row>
    <row r="13" spans="1:107" x14ac:dyDescent="0.25">
      <c r="A13" s="44" t="s">
        <v>340</v>
      </c>
      <c r="B13" s="44">
        <v>2018</v>
      </c>
      <c r="C13" s="88">
        <v>3</v>
      </c>
      <c r="D13" s="97">
        <f t="shared" si="38"/>
        <v>0</v>
      </c>
      <c r="E13" s="203">
        <f t="shared" si="39"/>
        <v>0</v>
      </c>
      <c r="F13" s="183">
        <f t="shared" ref="F13:F76" si="50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40"/>
        <v>0</v>
      </c>
      <c r="Q13" s="240">
        <f>IFERROR(VLOOKUP($B13 &amp; $C13&amp;CompareVer,tblForecast,Q$2,FALSE),0)</f>
        <v>0</v>
      </c>
      <c r="R13" s="242">
        <f t="shared" si="6"/>
        <v>0</v>
      </c>
      <c r="S13" s="242">
        <f t="shared" si="6"/>
        <v>0</v>
      </c>
      <c r="T13" s="242">
        <f>IFERROR(VLOOKUP($B13-IF(CompareVer="LY",1,0) &amp; $C13 &amp;T$4,tblForecast,T$2,FALSE),0)</f>
        <v>0</v>
      </c>
      <c r="U13" s="91">
        <f t="shared" si="7"/>
        <v>0</v>
      </c>
      <c r="V13" s="247">
        <f t="shared" si="41"/>
        <v>0</v>
      </c>
      <c r="W13" s="333">
        <f t="shared" si="41"/>
        <v>0</v>
      </c>
      <c r="X13" s="248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2">
        <f t="shared" si="17"/>
        <v>0</v>
      </c>
      <c r="AX13" s="183">
        <f t="shared" si="17"/>
        <v>0</v>
      </c>
      <c r="AY13" s="183">
        <f t="shared" si="17"/>
        <v>0</v>
      </c>
      <c r="AZ13" s="183">
        <f t="shared" si="17"/>
        <v>0</v>
      </c>
      <c r="BA13" s="229">
        <f t="shared" si="42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8"/>
        <v>0</v>
      </c>
      <c r="BD13" s="230">
        <f t="shared" si="43"/>
        <v>0</v>
      </c>
      <c r="BE13" s="178">
        <f t="shared" si="44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 t="shared" si="20"/>
        <v>0</v>
      </c>
      <c r="BK13" s="96">
        <f t="shared" si="21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5"/>
        <v>0</v>
      </c>
      <c r="BS13" s="230">
        <f t="shared" si="22"/>
        <v>0</v>
      </c>
      <c r="BT13" s="229">
        <f t="shared" si="23"/>
        <v>0</v>
      </c>
      <c r="BU13" s="230">
        <f t="shared" si="23"/>
        <v>0</v>
      </c>
      <c r="BV13" s="230">
        <f>IFERROR(VLOOKUP($B13 &amp; $C13&amp;CompareVer,tblForecast,BV$2,FALSE),0)</f>
        <v>0</v>
      </c>
      <c r="BW13" s="230">
        <f t="shared" si="24"/>
        <v>0</v>
      </c>
      <c r="BX13" s="230">
        <f t="shared" si="24"/>
        <v>0</v>
      </c>
      <c r="BY13" s="177">
        <f>IFERROR(VLOOKUP($B13-IF(CompareVer="LY",1,0) &amp; $C13 &amp;BY$4,tblForecast,BY$2,FALSE),0)</f>
        <v>0</v>
      </c>
      <c r="BZ13" s="178">
        <f t="shared" si="46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8">
        <f t="shared" si="47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8">
        <f t="shared" si="48"/>
        <v>0</v>
      </c>
      <c r="CO13" s="179">
        <f>IFERROR(CE13/BX13,0)</f>
        <v>0</v>
      </c>
      <c r="CP13" s="225">
        <f t="shared" si="33"/>
        <v>0</v>
      </c>
      <c r="CQ13" s="178">
        <f t="shared" si="34"/>
        <v>0</v>
      </c>
      <c r="CR13" s="179">
        <f t="shared" si="49"/>
        <v>0</v>
      </c>
      <c r="CS13" s="225">
        <f t="shared" si="35"/>
        <v>0</v>
      </c>
      <c r="CT13" s="178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7"/>
        <v>0</v>
      </c>
      <c r="CZ13" s="280">
        <f>IFERROR(VLOOKUP(Brand&amp;Channel&amp;Country&amp;$C13,tblDiscount,6,FALSE),0)</f>
        <v>0.3</v>
      </c>
      <c r="DA13" s="281">
        <f>(1-CZ13)*DB13</f>
        <v>17.590999999999998</v>
      </c>
      <c r="DB13" s="281">
        <f>IFERROR(VLOOKUP(Brand&amp;Country &amp; Channel &amp; FC,tblFCSettings,8,FALSE),0)</f>
        <v>25.13</v>
      </c>
      <c r="DC13" s="282">
        <f>IFERROR(VLOOKUP(Brand&amp;Country &amp; Channel&amp;FC,tblFCSettings,9,FALSE),0)</f>
        <v>4.22</v>
      </c>
    </row>
    <row r="14" spans="1:107" ht="16.5" thickBot="1" x14ac:dyDescent="0.3">
      <c r="A14" s="44" t="s">
        <v>340</v>
      </c>
      <c r="B14" s="44">
        <v>2018</v>
      </c>
      <c r="C14" s="88">
        <v>4</v>
      </c>
      <c r="D14" s="98">
        <f t="shared" si="38"/>
        <v>0</v>
      </c>
      <c r="E14" s="203">
        <f t="shared" si="39"/>
        <v>0</v>
      </c>
      <c r="F14" s="183">
        <f t="shared" si="50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 t="shared" si="5"/>
        <v>0</v>
      </c>
      <c r="M14" s="172">
        <f t="shared" si="5"/>
        <v>0</v>
      </c>
      <c r="N14" s="172">
        <f t="shared" si="5"/>
        <v>0</v>
      </c>
      <c r="O14" s="172">
        <f t="shared" si="5"/>
        <v>0</v>
      </c>
      <c r="P14" s="91">
        <f t="shared" si="40"/>
        <v>0</v>
      </c>
      <c r="Q14" s="240">
        <f>IFERROR(VLOOKUP($B14 &amp; $C14&amp;CompareVer,tblForecast,Q$2,FALSE),0)</f>
        <v>0</v>
      </c>
      <c r="R14" s="243">
        <f t="shared" si="6"/>
        <v>0</v>
      </c>
      <c r="S14" s="243">
        <f t="shared" si="6"/>
        <v>0</v>
      </c>
      <c r="T14" s="242">
        <f>IFERROR(VLOOKUP($B14-IF(CompareVer="LY",1,0) &amp; $C14 &amp;T$4,tblForecast,T$2,FALSE),0)</f>
        <v>0</v>
      </c>
      <c r="U14" s="91">
        <f t="shared" si="7"/>
        <v>0</v>
      </c>
      <c r="V14" s="247">
        <f t="shared" si="41"/>
        <v>0</v>
      </c>
      <c r="W14" s="333">
        <f t="shared" si="41"/>
        <v>0</v>
      </c>
      <c r="X14" s="248">
        <f>IFERROR(IF(T13&lt;&gt;0,T14/T13,0),0)</f>
        <v>0</v>
      </c>
      <c r="Y14" s="98">
        <f t="shared" si="8"/>
        <v>0</v>
      </c>
      <c r="Z14" s="172">
        <f t="shared" si="8"/>
        <v>0</v>
      </c>
      <c r="AA14" s="172">
        <f t="shared" si="8"/>
        <v>0</v>
      </c>
      <c r="AB14" s="172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2">
        <f t="shared" si="17"/>
        <v>0</v>
      </c>
      <c r="AX14" s="183">
        <f t="shared" si="17"/>
        <v>0</v>
      </c>
      <c r="AY14" s="183">
        <f t="shared" si="17"/>
        <v>0</v>
      </c>
      <c r="AZ14" s="183">
        <f t="shared" si="17"/>
        <v>0</v>
      </c>
      <c r="BA14" s="229">
        <f t="shared" si="42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8"/>
        <v>0</v>
      </c>
      <c r="BD14" s="230">
        <f t="shared" si="43"/>
        <v>0</v>
      </c>
      <c r="BE14" s="178">
        <f t="shared" si="44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 t="shared" si="20"/>
        <v>0</v>
      </c>
      <c r="BK14" s="96">
        <f t="shared" si="21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5"/>
        <v>0</v>
      </c>
      <c r="BS14" s="230">
        <f t="shared" si="22"/>
        <v>0</v>
      </c>
      <c r="BT14" s="229">
        <f t="shared" si="23"/>
        <v>0</v>
      </c>
      <c r="BU14" s="230">
        <f t="shared" si="23"/>
        <v>0</v>
      </c>
      <c r="BV14" s="230">
        <f>IFERROR(VLOOKUP($B14 &amp; $C14&amp;CompareVer,tblForecast,BV$2,FALSE),0)</f>
        <v>0</v>
      </c>
      <c r="BW14" s="230">
        <f t="shared" si="24"/>
        <v>0</v>
      </c>
      <c r="BX14" s="230">
        <f t="shared" si="24"/>
        <v>0</v>
      </c>
      <c r="BY14" s="177">
        <f>IFERROR(VLOOKUP($B14-IF(CompareVer="LY",1,0) &amp; $C14 &amp;BY$4,tblForecast,BY$2,FALSE),0)</f>
        <v>0</v>
      </c>
      <c r="BZ14" s="178">
        <f t="shared" si="46"/>
        <v>0</v>
      </c>
      <c r="CA14" s="172">
        <f t="shared" si="26"/>
        <v>0</v>
      </c>
      <c r="CB14" s="172">
        <f t="shared" si="26"/>
        <v>0</v>
      </c>
      <c r="CC14" s="172">
        <f>IFERROR(VLOOKUP($B14 &amp; $C14&amp;CompareVer,tblForecast,CC$2,FALSE),0)</f>
        <v>0</v>
      </c>
      <c r="CD14" s="172">
        <f t="shared" si="27"/>
        <v>0</v>
      </c>
      <c r="CE14" s="172">
        <f t="shared" si="27"/>
        <v>0</v>
      </c>
      <c r="CF14" s="172">
        <f>IFERROR(VLOOKUP($B14-IF(CompareVer="LY",1,0) &amp; $C14 &amp;CF$4,tblForecast,CF$2,FALSE),0)</f>
        <v>0</v>
      </c>
      <c r="CG14" s="178">
        <f t="shared" si="47"/>
        <v>0</v>
      </c>
      <c r="CH14" s="172">
        <f t="shared" si="29"/>
        <v>0</v>
      </c>
      <c r="CI14" s="172">
        <f t="shared" si="29"/>
        <v>0</v>
      </c>
      <c r="CJ14" s="172">
        <f>IFERROR(VLOOKUP($B14 &amp; $C14&amp;CompareVer,tblForecast,CJ$2,FALSE),0)</f>
        <v>0</v>
      </c>
      <c r="CK14" s="172">
        <f t="shared" si="30"/>
        <v>0</v>
      </c>
      <c r="CL14" s="172">
        <f t="shared" si="30"/>
        <v>0</v>
      </c>
      <c r="CM14" s="172">
        <f>IFERROR(VLOOKUP($B14-IF(CompareVer="LY",1,0) &amp; $C14 &amp;CM$4,tblForecast,CM$2,FALSE),0)</f>
        <v>0</v>
      </c>
      <c r="CN14" s="178">
        <f t="shared" si="48"/>
        <v>0</v>
      </c>
      <c r="CO14" s="179">
        <f t="shared" ref="CO14:CO77" si="51">IFERROR(CE14/BX14,0)</f>
        <v>0</v>
      </c>
      <c r="CP14" s="225">
        <f t="shared" si="33"/>
        <v>0</v>
      </c>
      <c r="CQ14" s="178">
        <f t="shared" si="34"/>
        <v>0</v>
      </c>
      <c r="CR14" s="179">
        <f t="shared" si="49"/>
        <v>0</v>
      </c>
      <c r="CS14" s="225">
        <f t="shared" si="35"/>
        <v>0</v>
      </c>
      <c r="CT14" s="178">
        <f t="shared" ref="CT14:CT77" si="52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7"/>
        <v>0</v>
      </c>
      <c r="CZ14" s="280">
        <f>IFERROR(VLOOKUP(Brand&amp;Channel&amp;Country&amp;$C14,tblDiscount,6,FALSE),0)</f>
        <v>0.3</v>
      </c>
      <c r="DA14" s="281">
        <f>(1-CZ14)*DB14</f>
        <v>17.590999999999998</v>
      </c>
      <c r="DB14" s="281">
        <f>IFERROR(VLOOKUP(Brand&amp;Country &amp; Channel &amp; FC,tblFCSettings,8,FALSE),0)</f>
        <v>25.13</v>
      </c>
      <c r="DC14" s="282">
        <f>IFERROR(VLOOKUP(Brand&amp;Country &amp; Channel&amp;FC,tblFCSettings,9,FALSE),0)</f>
        <v>4.22</v>
      </c>
    </row>
    <row r="15" spans="1:107" ht="16.5" thickBot="1" x14ac:dyDescent="0.3">
      <c r="C15" s="255" t="s">
        <v>21</v>
      </c>
      <c r="D15" s="256">
        <f t="shared" ref="D15:E15" si="53">SUM(D11:D14)</f>
        <v>0</v>
      </c>
      <c r="E15" s="257">
        <f t="shared" si="53"/>
        <v>0</v>
      </c>
      <c r="F15" s="258">
        <f t="shared" si="50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54">SUM(M11:M14)</f>
        <v>0</v>
      </c>
      <c r="N15" s="261">
        <f t="shared" si="54"/>
        <v>0</v>
      </c>
      <c r="O15" s="261">
        <f t="shared" si="54"/>
        <v>0</v>
      </c>
      <c r="P15" s="262">
        <f t="shared" si="40"/>
        <v>0</v>
      </c>
      <c r="Q15" s="263">
        <f>SUM(Q11:Q14)</f>
        <v>0</v>
      </c>
      <c r="R15" s="264">
        <f t="shared" ref="R15:S15" si="55">SUM(R11:R14)</f>
        <v>0</v>
      </c>
      <c r="S15" s="264">
        <f t="shared" si="55"/>
        <v>0</v>
      </c>
      <c r="T15" s="264">
        <f>SUM(T11:T14)</f>
        <v>0</v>
      </c>
      <c r="U15" s="262">
        <f t="shared" si="7"/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6">SUM(Z11:Z14)</f>
        <v>0</v>
      </c>
      <c r="AA15" s="261">
        <f t="shared" si="56"/>
        <v>0</v>
      </c>
      <c r="AB15" s="261">
        <f t="shared" si="56"/>
        <v>0</v>
      </c>
      <c r="AC15" s="262">
        <f t="shared" si="9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12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4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6"/>
        <v>0</v>
      </c>
      <c r="AW15" s="271">
        <f t="shared" si="17"/>
        <v>0</v>
      </c>
      <c r="AX15" s="272">
        <f t="shared" si="17"/>
        <v>0</v>
      </c>
      <c r="AY15" s="272">
        <f t="shared" si="17"/>
        <v>0</v>
      </c>
      <c r="AZ15" s="272">
        <f t="shared" si="17"/>
        <v>0</v>
      </c>
      <c r="BA15" s="263">
        <f>BA14</f>
        <v>0</v>
      </c>
      <c r="BB15" s="264">
        <f t="shared" ref="BB15:BD15" si="57">BB14</f>
        <v>0</v>
      </c>
      <c r="BC15" s="264">
        <f t="shared" si="57"/>
        <v>0</v>
      </c>
      <c r="BD15" s="264">
        <f t="shared" si="57"/>
        <v>0</v>
      </c>
      <c r="BE15" s="262">
        <f t="shared" si="19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 t="shared" si="20"/>
        <v>0</v>
      </c>
      <c r="BK15" s="276">
        <f t="shared" si="21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8">SUM(BO11:BO14)</f>
        <v>0</v>
      </c>
      <c r="BP15" s="263">
        <f>SUM(BP11:BP14)</f>
        <v>0</v>
      </c>
      <c r="BQ15" s="264">
        <f t="shared" si="58"/>
        <v>0</v>
      </c>
      <c r="BR15" s="263">
        <f t="shared" si="45"/>
        <v>0</v>
      </c>
      <c r="BS15" s="264">
        <f t="shared" si="22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" si="59">SUM(BW11:BW14)</f>
        <v>0</v>
      </c>
      <c r="BX15" s="264">
        <f t="shared" ref="BX15" si="60">SUM(BX11:BX14)</f>
        <v>0</v>
      </c>
      <c r="BY15" s="277">
        <f>SUM(BY11:BY14)</f>
        <v>0</v>
      </c>
      <c r="BZ15" s="262">
        <f t="shared" si="25"/>
        <v>0</v>
      </c>
      <c r="CA15" s="261">
        <f t="shared" ref="CA15:CF15" si="61">SUM(CA11:CA14)</f>
        <v>0</v>
      </c>
      <c r="CB15" s="261">
        <f t="shared" si="61"/>
        <v>0</v>
      </c>
      <c r="CC15" s="261">
        <f>SUM(CC11:CC14)</f>
        <v>0</v>
      </c>
      <c r="CD15" s="261">
        <f t="shared" si="61"/>
        <v>0</v>
      </c>
      <c r="CE15" s="261">
        <f t="shared" si="61"/>
        <v>0</v>
      </c>
      <c r="CF15" s="261">
        <f t="shared" si="61"/>
        <v>0</v>
      </c>
      <c r="CG15" s="262">
        <f t="shared" si="28"/>
        <v>0</v>
      </c>
      <c r="CH15" s="261">
        <f t="shared" ref="CH15:CM15" si="62">SUM(CH11:CH14)</f>
        <v>0</v>
      </c>
      <c r="CI15" s="261">
        <f t="shared" si="62"/>
        <v>0</v>
      </c>
      <c r="CJ15" s="261">
        <f>SUM(CJ11:CJ14)</f>
        <v>0</v>
      </c>
      <c r="CK15" s="261">
        <f t="shared" si="62"/>
        <v>0</v>
      </c>
      <c r="CL15" s="261">
        <f t="shared" si="62"/>
        <v>0</v>
      </c>
      <c r="CM15" s="261">
        <f t="shared" si="62"/>
        <v>0</v>
      </c>
      <c r="CN15" s="262">
        <f t="shared" si="31"/>
        <v>0</v>
      </c>
      <c r="CO15" s="278">
        <f t="shared" si="51"/>
        <v>0</v>
      </c>
      <c r="CP15" s="279">
        <f t="shared" si="33"/>
        <v>0</v>
      </c>
      <c r="CQ15" s="262">
        <f t="shared" si="34"/>
        <v>0</v>
      </c>
      <c r="CR15" s="278">
        <f t="shared" si="49"/>
        <v>0</v>
      </c>
      <c r="CS15" s="279">
        <f t="shared" si="35"/>
        <v>0</v>
      </c>
      <c r="CT15" s="262">
        <f t="shared" si="52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7"/>
        <v>0</v>
      </c>
      <c r="CZ15" s="280"/>
      <c r="DA15" s="281"/>
      <c r="DB15" s="281"/>
      <c r="DC15" s="282"/>
    </row>
    <row r="16" spans="1:107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50"/>
        <v>0</v>
      </c>
      <c r="G16" s="199">
        <f t="shared" ref="G16:I20" si="63">IFERROR(VLOOKUP($B16 &amp; $C16&amp;G$4&amp;$A16,tblForecast,G$2,FALSE),0)</f>
        <v>0</v>
      </c>
      <c r="H16" s="202">
        <f t="shared" si="63"/>
        <v>0</v>
      </c>
      <c r="I16" s="202">
        <f t="shared" si="63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 t="shared" ref="L16:O20" si="64">Q16*AM16</f>
        <v>0</v>
      </c>
      <c r="M16" s="90">
        <f t="shared" si="64"/>
        <v>0</v>
      </c>
      <c r="N16" s="90">
        <f t="shared" si="64"/>
        <v>0</v>
      </c>
      <c r="O16" s="90">
        <f t="shared" si="64"/>
        <v>0</v>
      </c>
      <c r="P16" s="91">
        <f t="shared" si="40"/>
        <v>0</v>
      </c>
      <c r="Q16" s="240">
        <f>IFERROR(VLOOKUP($B16 &amp; $C16&amp;CompareVer,tblForecast,Q$2,FALSE),0)</f>
        <v>0</v>
      </c>
      <c r="R16" s="241">
        <f t="shared" ref="R16:S20" si="65">IFERROR(VLOOKUP($B16 &amp; $C16&amp;R$4,tblForecast,R$2,FALSE),0)</f>
        <v>0</v>
      </c>
      <c r="S16" s="241">
        <f t="shared" si="65"/>
        <v>0</v>
      </c>
      <c r="T16" s="242">
        <f>IFERROR(VLOOKUP($B16-IF(CompareVer="LY",1,0) &amp; $C16 &amp;T$4,tblForecast,T$2,FALSE),0)</f>
        <v>0</v>
      </c>
      <c r="U16" s="91">
        <f t="shared" si="7"/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 t="shared" ref="Y16:AB20" si="66">IFERROR(L16*AD16,0)</f>
        <v>0</v>
      </c>
      <c r="Z16" s="90">
        <f t="shared" si="66"/>
        <v>0</v>
      </c>
      <c r="AA16" s="90">
        <f t="shared" si="66"/>
        <v>0</v>
      </c>
      <c r="AB16" s="90">
        <f t="shared" si="66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7">IF(AN16&lt;&gt;0,1-AS16/AN16,0)</f>
        <v>0</v>
      </c>
      <c r="AF16" s="93">
        <f t="shared" si="67"/>
        <v>0</v>
      </c>
      <c r="AG16" s="93">
        <f t="shared" si="67"/>
        <v>0</v>
      </c>
      <c r="AH16" s="104">
        <f>IFERROR(VLOOKUP($B16 &amp; $C16&amp;CompareVer,tblForecast,AH$2,FALSE),0)</f>
        <v>0</v>
      </c>
      <c r="AI16" s="94">
        <f t="shared" ref="AI16:AJ20" si="68">IFERROR(VLOOKUP($B16 &amp; $C16&amp;AI$4,tblForecast,AI$2,FALSE),0)</f>
        <v>0</v>
      </c>
      <c r="AJ16" s="94">
        <f t="shared" si="68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9">IFERROR(VLOOKUP($B16 &amp; $C16&amp;AN$4,tblForecast,AN$2,FALSE),0)</f>
        <v>0</v>
      </c>
      <c r="AO16" s="94">
        <f t="shared" si="69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70">IFERROR(VLOOKUP($B16 &amp; $C16&amp;AS$4,tblForecast,AS$2,FALSE),0)</f>
        <v>0</v>
      </c>
      <c r="AT16" s="94">
        <f t="shared" si="70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2">
        <f t="shared" si="17"/>
        <v>0</v>
      </c>
      <c r="AX16" s="183">
        <f t="shared" si="17"/>
        <v>0</v>
      </c>
      <c r="AY16" s="183">
        <f t="shared" si="17"/>
        <v>0</v>
      </c>
      <c r="AZ16" s="183">
        <f t="shared" si="17"/>
        <v>0</v>
      </c>
      <c r="BA16" s="229">
        <f t="shared" ref="BA16:BA20" si="71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72">IFERROR(VLOOKUP($B16 &amp; $C16&amp;BC$4,tblForecast,BC$2,FALSE),0)</f>
        <v>0</v>
      </c>
      <c r="BD16" s="230">
        <f t="shared" ref="BD16:BD20" si="73">CX16+BG16</f>
        <v>0</v>
      </c>
      <c r="BE16" s="178">
        <f t="shared" ref="BE16:BE20" si="74">IFERROR(BA16/BD16-1,)</f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 t="shared" si="20"/>
        <v>0</v>
      </c>
      <c r="BK16" s="96">
        <f t="shared" si="21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5"/>
        <v>0</v>
      </c>
      <c r="BS16" s="230">
        <f t="shared" si="22"/>
        <v>0</v>
      </c>
      <c r="BT16" s="229">
        <f t="shared" ref="BT16:BU20" si="75">IFERROR(VLOOKUP($B16 &amp; $C16&amp;BT$4,tblForecast,BT$2,FALSE),0)</f>
        <v>0</v>
      </c>
      <c r="BU16" s="230">
        <f t="shared" si="75"/>
        <v>0</v>
      </c>
      <c r="BV16" s="230">
        <f>IFERROR(VLOOKUP($B16 &amp; $C16&amp;CompareVer,tblForecast,BV$2,FALSE),0)</f>
        <v>0</v>
      </c>
      <c r="BW16" s="230">
        <f t="shared" ref="BW16:BX20" si="76">IFERROR(VLOOKUP($B16 &amp; $C16&amp;BW$4,tblForecast,BW$2,FALSE),0)</f>
        <v>0</v>
      </c>
      <c r="BX16" s="230">
        <f t="shared" si="76"/>
        <v>0</v>
      </c>
      <c r="BY16" s="177">
        <f>IFERROR(VLOOKUP($B16-IF(CompareVer="LY",1,0) &amp; $C16 &amp;BY$4,tblForecast,BY$2,FALSE),0)</f>
        <v>0</v>
      </c>
      <c r="BZ16" s="178">
        <f t="shared" ref="BZ16:BZ20" si="77">IFERROR(BV16/BY16-1,)</f>
        <v>0</v>
      </c>
      <c r="CA16" s="90">
        <f t="shared" ref="CA16:CB20" si="78">IFERROR(VLOOKUP($B16 &amp; $C16&amp;CA$4,tblForecast,CA$2,FALSE),0)</f>
        <v>0</v>
      </c>
      <c r="CB16" s="90">
        <f t="shared" si="78"/>
        <v>0</v>
      </c>
      <c r="CC16" s="90">
        <f>IFERROR(VLOOKUP($B16 &amp; $C16&amp;CompareVer,tblForecast,CC$2,FALSE),0)</f>
        <v>0</v>
      </c>
      <c r="CD16" s="90">
        <f t="shared" ref="CD16:CE20" si="79">IFERROR(VLOOKUP($B16 &amp; $C16&amp;CD$4,tblForecast,CD$2,FALSE),0)</f>
        <v>0</v>
      </c>
      <c r="CE16" s="90">
        <f t="shared" si="79"/>
        <v>0</v>
      </c>
      <c r="CF16" s="90">
        <f>IFERROR(VLOOKUP($B16-IF(CompareVer="LY",1,0) &amp; $C16 &amp;CF$4,tblForecast,CF$2,FALSE),0)</f>
        <v>0</v>
      </c>
      <c r="CG16" s="178">
        <f t="shared" ref="CG16:CG20" si="80">IFERROR(CC16/CF16-1,)</f>
        <v>0</v>
      </c>
      <c r="CH16" s="90">
        <f t="shared" ref="CH16:CI20" si="81">IFERROR(VLOOKUP($B16 &amp; $C16&amp;CH$4,tblForecast,CH$2,FALSE),0)</f>
        <v>0</v>
      </c>
      <c r="CI16" s="90">
        <f t="shared" si="81"/>
        <v>0</v>
      </c>
      <c r="CJ16" s="90">
        <f>IFERROR(VLOOKUP($B16 &amp; $C16&amp;CompareVer,tblForecast,CJ$2,FALSE),0)</f>
        <v>0</v>
      </c>
      <c r="CK16" s="90">
        <f t="shared" ref="CK16:CL20" si="82">IFERROR(VLOOKUP($B16 &amp; $C16&amp;CK$4,tblForecast,CK$2,FALSE),0)</f>
        <v>0</v>
      </c>
      <c r="CL16" s="90">
        <f t="shared" si="82"/>
        <v>0</v>
      </c>
      <c r="CM16" s="90">
        <f>IFERROR(VLOOKUP($B16-IF(CompareVer="LY",1,0) &amp; $C16 &amp;CM$4,tblForecast,CM$2,FALSE),0)</f>
        <v>0</v>
      </c>
      <c r="CN16" s="178">
        <f t="shared" ref="CN16:CN20" si="83">IFERROR(CJ16/CM16-1,)</f>
        <v>0</v>
      </c>
      <c r="CO16" s="179">
        <f t="shared" si="51"/>
        <v>0</v>
      </c>
      <c r="CP16" s="225">
        <f t="shared" si="33"/>
        <v>0</v>
      </c>
      <c r="CQ16" s="178">
        <f t="shared" si="34"/>
        <v>0</v>
      </c>
      <c r="CR16" s="179">
        <f t="shared" si="49"/>
        <v>0</v>
      </c>
      <c r="CS16" s="225">
        <f t="shared" si="35"/>
        <v>0</v>
      </c>
      <c r="CT16" s="178">
        <f t="shared" si="52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7"/>
        <v>0</v>
      </c>
      <c r="CZ16" s="280">
        <f>IFERROR(VLOOKUP(Brand&amp;Channel&amp;Country&amp;$C16,tblDiscount,6,FALSE),0)</f>
        <v>0.35</v>
      </c>
      <c r="DA16" s="281">
        <f>(1-CZ16)*DB16</f>
        <v>16.334499999999998</v>
      </c>
      <c r="DB16" s="281">
        <f>IFERROR(VLOOKUP(Brand&amp;Country &amp; Channel &amp;FC,tblFCSettings,8,FALSE),0)</f>
        <v>25.13</v>
      </c>
      <c r="DC16" s="282">
        <f>IFERROR(VLOOKUP(Brand&amp;Country &amp; Channel &amp;FC,tblFCSettings,9,FALSE),0)</f>
        <v>4.22</v>
      </c>
    </row>
    <row r="17" spans="1:107" x14ac:dyDescent="0.25">
      <c r="A17" s="44" t="s">
        <v>340</v>
      </c>
      <c r="B17" s="44">
        <v>2018</v>
      </c>
      <c r="C17" s="88">
        <v>6</v>
      </c>
      <c r="D17" s="97">
        <f t="shared" ref="D17:D18" si="84">G17*H17</f>
        <v>0</v>
      </c>
      <c r="E17" s="203">
        <f t="shared" ref="E17:E20" si="85">IFERROR(D17*F17,0)</f>
        <v>0</v>
      </c>
      <c r="F17" s="183">
        <f t="shared" si="50"/>
        <v>0</v>
      </c>
      <c r="G17" s="177">
        <f t="shared" si="63"/>
        <v>0</v>
      </c>
      <c r="H17" s="204">
        <f t="shared" si="63"/>
        <v>0</v>
      </c>
      <c r="I17" s="204">
        <f t="shared" si="63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 t="shared" si="64"/>
        <v>0</v>
      </c>
      <c r="M17" s="90">
        <f t="shared" si="64"/>
        <v>0</v>
      </c>
      <c r="N17" s="90">
        <f t="shared" si="64"/>
        <v>0</v>
      </c>
      <c r="O17" s="90">
        <f t="shared" si="64"/>
        <v>0</v>
      </c>
      <c r="P17" s="91">
        <f t="shared" si="40"/>
        <v>0</v>
      </c>
      <c r="Q17" s="240">
        <f>IFERROR(VLOOKUP($B17 &amp; $C17&amp;CompareVer,tblForecast,Q$2,FALSE),0)</f>
        <v>0</v>
      </c>
      <c r="R17" s="242">
        <f t="shared" si="65"/>
        <v>0</v>
      </c>
      <c r="S17" s="242">
        <f t="shared" si="65"/>
        <v>0</v>
      </c>
      <c r="T17" s="242">
        <f>IFERROR(VLOOKUP($B17-IF(CompareVer="LY",1,0) &amp; $C17 &amp;T$4,tblForecast,T$2,FALSE),0)</f>
        <v>0</v>
      </c>
      <c r="U17" s="91">
        <f t="shared" si="7"/>
        <v>0</v>
      </c>
      <c r="V17" s="247">
        <f t="shared" ref="V17:W20" si="86">IFERROR(IF(Q16&lt;&gt;0,Q17/Q16,0),0)</f>
        <v>0</v>
      </c>
      <c r="W17" s="333">
        <f t="shared" si="86"/>
        <v>0</v>
      </c>
      <c r="X17" s="248">
        <f t="shared" ref="X17:X25" si="87">IFERROR(IF(T16&lt;&gt;0,T17/T16,0),0)</f>
        <v>0</v>
      </c>
      <c r="Y17" s="97">
        <f t="shared" si="66"/>
        <v>0</v>
      </c>
      <c r="Z17" s="90">
        <f t="shared" si="66"/>
        <v>0</v>
      </c>
      <c r="AA17" s="90">
        <f t="shared" si="66"/>
        <v>0</v>
      </c>
      <c r="AB17" s="90">
        <f t="shared" si="66"/>
        <v>0</v>
      </c>
      <c r="AC17" s="91">
        <f t="shared" si="9"/>
        <v>0</v>
      </c>
      <c r="AD17" s="75">
        <f>IF(AM17&lt;&gt;0,1-AR17/AM17,0)</f>
        <v>0</v>
      </c>
      <c r="AE17" s="93">
        <f t="shared" si="67"/>
        <v>0</v>
      </c>
      <c r="AF17" s="93">
        <f t="shared" si="67"/>
        <v>0</v>
      </c>
      <c r="AG17" s="93">
        <f t="shared" si="67"/>
        <v>0</v>
      </c>
      <c r="AH17" s="104">
        <f>IFERROR(VLOOKUP($B17 &amp; $C17&amp;CompareVer,tblForecast,AH$2,FALSE),0)</f>
        <v>0</v>
      </c>
      <c r="AI17" s="94">
        <f t="shared" si="68"/>
        <v>0</v>
      </c>
      <c r="AJ17" s="94">
        <f t="shared" si="68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9"/>
        <v>0</v>
      </c>
      <c r="AO17" s="94">
        <f t="shared" si="69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70"/>
        <v>0</v>
      </c>
      <c r="AT17" s="94">
        <f t="shared" si="70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2">
        <f t="shared" si="17"/>
        <v>0</v>
      </c>
      <c r="AX17" s="183">
        <f t="shared" si="17"/>
        <v>0</v>
      </c>
      <c r="AY17" s="183">
        <f t="shared" si="17"/>
        <v>0</v>
      </c>
      <c r="AZ17" s="183">
        <f t="shared" si="17"/>
        <v>0</v>
      </c>
      <c r="BA17" s="229">
        <f t="shared" si="71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72"/>
        <v>0</v>
      </c>
      <c r="BD17" s="230">
        <f t="shared" si="73"/>
        <v>0</v>
      </c>
      <c r="BE17" s="178">
        <f t="shared" si="74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 t="shared" si="20"/>
        <v>0</v>
      </c>
      <c r="BK17" s="96">
        <f t="shared" si="21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5"/>
        <v>0</v>
      </c>
      <c r="BS17" s="230">
        <f t="shared" si="22"/>
        <v>0</v>
      </c>
      <c r="BT17" s="229">
        <f t="shared" si="75"/>
        <v>0</v>
      </c>
      <c r="BU17" s="230">
        <f t="shared" si="75"/>
        <v>0</v>
      </c>
      <c r="BV17" s="230">
        <f>IFERROR(VLOOKUP($B17 &amp; $C17&amp;CompareVer,tblForecast,BV$2,FALSE),0)</f>
        <v>0</v>
      </c>
      <c r="BW17" s="230">
        <f t="shared" si="76"/>
        <v>0</v>
      </c>
      <c r="BX17" s="230">
        <f t="shared" si="76"/>
        <v>0</v>
      </c>
      <c r="BY17" s="177">
        <f>IFERROR(VLOOKUP($B17-IF(CompareVer="LY",1,0) &amp; $C17 &amp;BY$4,tblForecast,BY$2,FALSE),0)</f>
        <v>0</v>
      </c>
      <c r="BZ17" s="178">
        <f t="shared" si="77"/>
        <v>0</v>
      </c>
      <c r="CA17" s="90">
        <f t="shared" si="78"/>
        <v>0</v>
      </c>
      <c r="CB17" s="90">
        <f t="shared" si="78"/>
        <v>0</v>
      </c>
      <c r="CC17" s="90">
        <f>IFERROR(VLOOKUP($B17 &amp; $C17&amp;CompareVer,tblForecast,CC$2,FALSE),0)</f>
        <v>0</v>
      </c>
      <c r="CD17" s="90">
        <f t="shared" si="79"/>
        <v>0</v>
      </c>
      <c r="CE17" s="90">
        <f t="shared" si="79"/>
        <v>0</v>
      </c>
      <c r="CF17" s="90">
        <f>IFERROR(VLOOKUP($B17-IF(CompareVer="LY",1,0) &amp; $C17 &amp;CF$4,tblForecast,CF$2,FALSE),0)</f>
        <v>0</v>
      </c>
      <c r="CG17" s="178">
        <f t="shared" si="80"/>
        <v>0</v>
      </c>
      <c r="CH17" s="90">
        <f t="shared" si="81"/>
        <v>0</v>
      </c>
      <c r="CI17" s="90">
        <f t="shared" si="81"/>
        <v>0</v>
      </c>
      <c r="CJ17" s="90">
        <f>IFERROR(VLOOKUP($B17 &amp; $C17&amp;CompareVer,tblForecast,CJ$2,FALSE),0)</f>
        <v>0</v>
      </c>
      <c r="CK17" s="90">
        <f t="shared" si="82"/>
        <v>0</v>
      </c>
      <c r="CL17" s="90">
        <f t="shared" si="82"/>
        <v>0</v>
      </c>
      <c r="CM17" s="90">
        <f>IFERROR(VLOOKUP($B17-IF(CompareVer="LY",1,0) &amp; $C17 &amp;CM$4,tblForecast,CM$2,FALSE),0)</f>
        <v>0</v>
      </c>
      <c r="CN17" s="178">
        <f t="shared" si="83"/>
        <v>0</v>
      </c>
      <c r="CO17" s="179">
        <f t="shared" si="51"/>
        <v>0</v>
      </c>
      <c r="CP17" s="225">
        <f t="shared" si="33"/>
        <v>0</v>
      </c>
      <c r="CQ17" s="178">
        <f t="shared" si="34"/>
        <v>0</v>
      </c>
      <c r="CR17" s="179">
        <f t="shared" si="49"/>
        <v>0</v>
      </c>
      <c r="CS17" s="225">
        <f t="shared" si="35"/>
        <v>0</v>
      </c>
      <c r="CT17" s="178">
        <f t="shared" si="52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7"/>
        <v>0</v>
      </c>
      <c r="CZ17" s="280">
        <f>IFERROR(VLOOKUP(Brand&amp;Channel&amp;Country&amp;$C17,tblDiscount,6,FALSE),0)</f>
        <v>0.35</v>
      </c>
      <c r="DA17" s="281">
        <f>(1-CZ17)*DB17</f>
        <v>16.334499999999998</v>
      </c>
      <c r="DB17" s="281">
        <f>IFERROR(VLOOKUP(Brand&amp;Country &amp; Channel &amp;FC,tblFCSettings,8,FALSE),0)</f>
        <v>25.13</v>
      </c>
      <c r="DC17" s="282">
        <f>IFERROR(VLOOKUP(Brand&amp;Country &amp; Channel &amp;FC,tblFCSettings,9,FALSE),0)</f>
        <v>4.22</v>
      </c>
    </row>
    <row r="18" spans="1:107" x14ac:dyDescent="0.25">
      <c r="A18" s="44" t="s">
        <v>340</v>
      </c>
      <c r="B18" s="44">
        <v>2018</v>
      </c>
      <c r="C18" s="88">
        <v>7</v>
      </c>
      <c r="D18" s="97">
        <f t="shared" si="84"/>
        <v>0</v>
      </c>
      <c r="E18" s="203">
        <f t="shared" si="85"/>
        <v>0</v>
      </c>
      <c r="F18" s="183">
        <f t="shared" si="50"/>
        <v>0</v>
      </c>
      <c r="G18" s="177">
        <f t="shared" si="63"/>
        <v>0</v>
      </c>
      <c r="H18" s="204">
        <f t="shared" si="63"/>
        <v>0</v>
      </c>
      <c r="I18" s="204">
        <f t="shared" si="63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 t="shared" si="64"/>
        <v>0</v>
      </c>
      <c r="M18" s="90">
        <f t="shared" si="64"/>
        <v>0</v>
      </c>
      <c r="N18" s="90">
        <f t="shared" si="64"/>
        <v>0</v>
      </c>
      <c r="O18" s="90">
        <f t="shared" si="64"/>
        <v>0</v>
      </c>
      <c r="P18" s="91">
        <f t="shared" si="40"/>
        <v>0</v>
      </c>
      <c r="Q18" s="240">
        <f>IFERROR(VLOOKUP($B18 &amp; $C18&amp;CompareVer,tblForecast,Q$2,FALSE),0)</f>
        <v>0</v>
      </c>
      <c r="R18" s="242">
        <f t="shared" si="65"/>
        <v>0</v>
      </c>
      <c r="S18" s="242">
        <f t="shared" si="65"/>
        <v>0</v>
      </c>
      <c r="T18" s="242">
        <f>IFERROR(VLOOKUP($B18-IF(CompareVer="LY",1,0) &amp; $C18 &amp;T$4,tblForecast,T$2,FALSE),0)</f>
        <v>0</v>
      </c>
      <c r="U18" s="91">
        <f t="shared" si="7"/>
        <v>0</v>
      </c>
      <c r="V18" s="247">
        <f t="shared" si="86"/>
        <v>0</v>
      </c>
      <c r="W18" s="333">
        <f t="shared" si="86"/>
        <v>0</v>
      </c>
      <c r="X18" s="248">
        <f t="shared" si="87"/>
        <v>0</v>
      </c>
      <c r="Y18" s="97">
        <f t="shared" si="66"/>
        <v>0</v>
      </c>
      <c r="Z18" s="90">
        <f t="shared" si="66"/>
        <v>0</v>
      </c>
      <c r="AA18" s="90">
        <f t="shared" si="66"/>
        <v>0</v>
      </c>
      <c r="AB18" s="90">
        <f t="shared" si="66"/>
        <v>0</v>
      </c>
      <c r="AC18" s="91">
        <f t="shared" si="9"/>
        <v>0</v>
      </c>
      <c r="AD18" s="75">
        <f>IF(AM18&lt;&gt;0,1-AR18/AM18,0)</f>
        <v>0</v>
      </c>
      <c r="AE18" s="93">
        <f t="shared" si="67"/>
        <v>0</v>
      </c>
      <c r="AF18" s="93">
        <f t="shared" si="67"/>
        <v>0</v>
      </c>
      <c r="AG18" s="93">
        <f t="shared" si="67"/>
        <v>0</v>
      </c>
      <c r="AH18" s="104">
        <f>IFERROR(VLOOKUP($B18 &amp; $C18&amp;CompareVer,tblForecast,AH$2,FALSE),0)</f>
        <v>0</v>
      </c>
      <c r="AI18" s="94">
        <f t="shared" si="68"/>
        <v>0</v>
      </c>
      <c r="AJ18" s="94">
        <f t="shared" si="68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9"/>
        <v>0</v>
      </c>
      <c r="AO18" s="94">
        <f t="shared" si="69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70"/>
        <v>0</v>
      </c>
      <c r="AT18" s="94">
        <f t="shared" si="70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2">
        <f t="shared" si="17"/>
        <v>0</v>
      </c>
      <c r="AX18" s="183">
        <f t="shared" si="17"/>
        <v>0</v>
      </c>
      <c r="AY18" s="183">
        <f t="shared" si="17"/>
        <v>0</v>
      </c>
      <c r="AZ18" s="183">
        <f t="shared" si="17"/>
        <v>0</v>
      </c>
      <c r="BA18" s="229">
        <f t="shared" si="71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72"/>
        <v>0</v>
      </c>
      <c r="BD18" s="230">
        <f t="shared" si="73"/>
        <v>0</v>
      </c>
      <c r="BE18" s="178">
        <f t="shared" si="74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 t="shared" si="20"/>
        <v>0</v>
      </c>
      <c r="BK18" s="96">
        <f t="shared" si="21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5"/>
        <v>0</v>
      </c>
      <c r="BS18" s="230">
        <f t="shared" si="22"/>
        <v>0</v>
      </c>
      <c r="BT18" s="229">
        <f t="shared" si="75"/>
        <v>0</v>
      </c>
      <c r="BU18" s="230">
        <f t="shared" si="75"/>
        <v>0</v>
      </c>
      <c r="BV18" s="230">
        <f>IFERROR(VLOOKUP($B18 &amp; $C18&amp;CompareVer,tblForecast,BV$2,FALSE),0)</f>
        <v>0</v>
      </c>
      <c r="BW18" s="230">
        <f t="shared" si="76"/>
        <v>0</v>
      </c>
      <c r="BX18" s="230">
        <f t="shared" si="76"/>
        <v>0</v>
      </c>
      <c r="BY18" s="177">
        <f>IFERROR(VLOOKUP($B18-IF(CompareVer="LY",1,0) &amp; $C18 &amp;BY$4,tblForecast,BY$2,FALSE),0)</f>
        <v>0</v>
      </c>
      <c r="BZ18" s="178">
        <f t="shared" si="77"/>
        <v>0</v>
      </c>
      <c r="CA18" s="90">
        <f t="shared" si="78"/>
        <v>0</v>
      </c>
      <c r="CB18" s="90">
        <f t="shared" si="78"/>
        <v>0</v>
      </c>
      <c r="CC18" s="90">
        <f>IFERROR(VLOOKUP($B18 &amp; $C18&amp;CompareVer,tblForecast,CC$2,FALSE),0)</f>
        <v>0</v>
      </c>
      <c r="CD18" s="90">
        <f t="shared" si="79"/>
        <v>0</v>
      </c>
      <c r="CE18" s="90">
        <f t="shared" si="79"/>
        <v>0</v>
      </c>
      <c r="CF18" s="90">
        <f>IFERROR(VLOOKUP($B18-IF(CompareVer="LY",1,0) &amp; $C18 &amp;CF$4,tblForecast,CF$2,FALSE),0)</f>
        <v>0</v>
      </c>
      <c r="CG18" s="178">
        <f t="shared" si="80"/>
        <v>0</v>
      </c>
      <c r="CH18" s="90">
        <f t="shared" si="81"/>
        <v>0</v>
      </c>
      <c r="CI18" s="90">
        <f t="shared" si="81"/>
        <v>0</v>
      </c>
      <c r="CJ18" s="90">
        <f>IFERROR(VLOOKUP($B18 &amp; $C18&amp;CompareVer,tblForecast,CJ$2,FALSE),0)</f>
        <v>0</v>
      </c>
      <c r="CK18" s="90">
        <f t="shared" si="82"/>
        <v>0</v>
      </c>
      <c r="CL18" s="90">
        <f t="shared" si="82"/>
        <v>0</v>
      </c>
      <c r="CM18" s="90">
        <f>IFERROR(VLOOKUP($B18-IF(CompareVer="LY",1,0) &amp; $C18 &amp;CM$4,tblForecast,CM$2,FALSE),0)</f>
        <v>0</v>
      </c>
      <c r="CN18" s="178">
        <f t="shared" si="83"/>
        <v>0</v>
      </c>
      <c r="CO18" s="179">
        <f t="shared" si="51"/>
        <v>0</v>
      </c>
      <c r="CP18" s="225">
        <f t="shared" si="33"/>
        <v>0</v>
      </c>
      <c r="CQ18" s="178">
        <f t="shared" si="34"/>
        <v>0</v>
      </c>
      <c r="CR18" s="179">
        <f t="shared" si="49"/>
        <v>0</v>
      </c>
      <c r="CS18" s="225">
        <f t="shared" si="35"/>
        <v>0</v>
      </c>
      <c r="CT18" s="178">
        <f t="shared" si="52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7"/>
        <v>0</v>
      </c>
      <c r="CZ18" s="280">
        <f>IFERROR(VLOOKUP(Brand&amp;Channel&amp;Country&amp;$C18,tblDiscount,6,FALSE),0)</f>
        <v>0.35</v>
      </c>
      <c r="DA18" s="281">
        <f>(1-CZ18)*DB18</f>
        <v>16.334499999999998</v>
      </c>
      <c r="DB18" s="281">
        <f>IFERROR(VLOOKUP(Brand&amp;Country &amp; Channel &amp;FC,tblFCSettings,8,FALSE),0)</f>
        <v>25.13</v>
      </c>
      <c r="DC18" s="282">
        <f>IFERROR(VLOOKUP(Brand&amp;Country &amp; Channel &amp;FC,tblFCSettings,9,FALSE),0)</f>
        <v>4.22</v>
      </c>
    </row>
    <row r="19" spans="1:107" x14ac:dyDescent="0.25">
      <c r="A19" s="44" t="s">
        <v>340</v>
      </c>
      <c r="B19" s="44">
        <v>2018</v>
      </c>
      <c r="C19" s="88">
        <v>8</v>
      </c>
      <c r="D19" s="97">
        <f t="shared" ref="D19:D20" si="88">G19*H19</f>
        <v>0</v>
      </c>
      <c r="E19" s="203">
        <f t="shared" si="85"/>
        <v>0</v>
      </c>
      <c r="F19" s="183">
        <f t="shared" si="50"/>
        <v>0</v>
      </c>
      <c r="G19" s="177">
        <f t="shared" si="63"/>
        <v>0</v>
      </c>
      <c r="H19" s="204">
        <f t="shared" si="63"/>
        <v>0</v>
      </c>
      <c r="I19" s="204">
        <f t="shared" si="63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 t="shared" si="64"/>
        <v>0</v>
      </c>
      <c r="M19" s="90">
        <f t="shared" si="64"/>
        <v>0</v>
      </c>
      <c r="N19" s="90">
        <f t="shared" si="64"/>
        <v>0</v>
      </c>
      <c r="O19" s="90">
        <f t="shared" si="64"/>
        <v>0</v>
      </c>
      <c r="P19" s="91">
        <f t="shared" si="40"/>
        <v>0</v>
      </c>
      <c r="Q19" s="240">
        <f>IFERROR(VLOOKUP($B19 &amp; $C19&amp;CompareVer,tblForecast,Q$2,FALSE),0)</f>
        <v>0</v>
      </c>
      <c r="R19" s="242">
        <f t="shared" si="65"/>
        <v>0</v>
      </c>
      <c r="S19" s="242">
        <f t="shared" si="65"/>
        <v>0</v>
      </c>
      <c r="T19" s="242">
        <f>IFERROR(VLOOKUP($B19-IF(CompareVer="LY",1,0) &amp; $C19 &amp;T$4,tblForecast,T$2,FALSE),0)</f>
        <v>0</v>
      </c>
      <c r="U19" s="91">
        <f t="shared" si="7"/>
        <v>0</v>
      </c>
      <c r="V19" s="247">
        <f t="shared" si="86"/>
        <v>0</v>
      </c>
      <c r="W19" s="333">
        <f t="shared" si="86"/>
        <v>0</v>
      </c>
      <c r="X19" s="248">
        <f t="shared" si="87"/>
        <v>0</v>
      </c>
      <c r="Y19" s="97">
        <f t="shared" si="66"/>
        <v>0</v>
      </c>
      <c r="Z19" s="90">
        <f t="shared" si="66"/>
        <v>0</v>
      </c>
      <c r="AA19" s="90">
        <f t="shared" si="66"/>
        <v>0</v>
      </c>
      <c r="AB19" s="90">
        <f t="shared" si="66"/>
        <v>0</v>
      </c>
      <c r="AC19" s="91">
        <f t="shared" si="9"/>
        <v>0</v>
      </c>
      <c r="AD19" s="75">
        <f>IF(AM19&lt;&gt;0,1-AR19/AM19,0)</f>
        <v>0</v>
      </c>
      <c r="AE19" s="93">
        <f t="shared" si="67"/>
        <v>0</v>
      </c>
      <c r="AF19" s="93">
        <f t="shared" si="67"/>
        <v>0</v>
      </c>
      <c r="AG19" s="93">
        <f t="shared" si="67"/>
        <v>0</v>
      </c>
      <c r="AH19" s="104">
        <f>IFERROR(VLOOKUP($B19 &amp; $C19&amp;CompareVer,tblForecast,AH$2,FALSE),0)</f>
        <v>0</v>
      </c>
      <c r="AI19" s="94">
        <f t="shared" si="68"/>
        <v>0</v>
      </c>
      <c r="AJ19" s="94">
        <f t="shared" si="68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9"/>
        <v>0</v>
      </c>
      <c r="AO19" s="94">
        <f t="shared" si="69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70"/>
        <v>0</v>
      </c>
      <c r="AT19" s="94">
        <f t="shared" si="70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2">
        <f t="shared" si="17"/>
        <v>0</v>
      </c>
      <c r="AX19" s="183">
        <f t="shared" si="17"/>
        <v>0</v>
      </c>
      <c r="AY19" s="183">
        <f t="shared" si="17"/>
        <v>0</v>
      </c>
      <c r="AZ19" s="183">
        <f t="shared" si="17"/>
        <v>0</v>
      </c>
      <c r="BA19" s="229">
        <f t="shared" si="71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72"/>
        <v>0</v>
      </c>
      <c r="BD19" s="230">
        <f t="shared" si="73"/>
        <v>0</v>
      </c>
      <c r="BE19" s="178">
        <f t="shared" si="74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 t="shared" si="20"/>
        <v>0</v>
      </c>
      <c r="BK19" s="96">
        <f t="shared" si="21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5"/>
        <v>0</v>
      </c>
      <c r="BS19" s="230">
        <f t="shared" si="22"/>
        <v>0</v>
      </c>
      <c r="BT19" s="229">
        <f t="shared" si="75"/>
        <v>0</v>
      </c>
      <c r="BU19" s="230">
        <f t="shared" si="75"/>
        <v>0</v>
      </c>
      <c r="BV19" s="230">
        <f>IFERROR(VLOOKUP($B19 &amp; $C19&amp;CompareVer,tblForecast,BV$2,FALSE),0)</f>
        <v>0</v>
      </c>
      <c r="BW19" s="230">
        <f t="shared" si="76"/>
        <v>0</v>
      </c>
      <c r="BX19" s="230">
        <f t="shared" si="76"/>
        <v>0</v>
      </c>
      <c r="BY19" s="177">
        <f>IFERROR(VLOOKUP($B19-IF(CompareVer="LY",1,0) &amp; $C19 &amp;BY$4,tblForecast,BY$2,FALSE),0)</f>
        <v>0</v>
      </c>
      <c r="BZ19" s="178">
        <f t="shared" si="77"/>
        <v>0</v>
      </c>
      <c r="CA19" s="90">
        <f t="shared" si="78"/>
        <v>0</v>
      </c>
      <c r="CB19" s="90">
        <f t="shared" si="78"/>
        <v>0</v>
      </c>
      <c r="CC19" s="90">
        <f>IFERROR(VLOOKUP($B19 &amp; $C19&amp;CompareVer,tblForecast,CC$2,FALSE),0)</f>
        <v>0</v>
      </c>
      <c r="CD19" s="90">
        <f t="shared" si="79"/>
        <v>0</v>
      </c>
      <c r="CE19" s="90">
        <f t="shared" si="79"/>
        <v>0</v>
      </c>
      <c r="CF19" s="90">
        <f>IFERROR(VLOOKUP($B19-IF(CompareVer="LY",1,0) &amp; $C19 &amp;CF$4,tblForecast,CF$2,FALSE),0)</f>
        <v>0</v>
      </c>
      <c r="CG19" s="178">
        <f t="shared" si="80"/>
        <v>0</v>
      </c>
      <c r="CH19" s="90">
        <f t="shared" si="81"/>
        <v>0</v>
      </c>
      <c r="CI19" s="90">
        <f t="shared" si="81"/>
        <v>0</v>
      </c>
      <c r="CJ19" s="90">
        <f>IFERROR(VLOOKUP($B19 &amp; $C19&amp;CompareVer,tblForecast,CJ$2,FALSE),0)</f>
        <v>0</v>
      </c>
      <c r="CK19" s="90">
        <f t="shared" si="82"/>
        <v>0</v>
      </c>
      <c r="CL19" s="90">
        <f t="shared" si="82"/>
        <v>0</v>
      </c>
      <c r="CM19" s="90">
        <f>IFERROR(VLOOKUP($B19-IF(CompareVer="LY",1,0) &amp; $C19 &amp;CM$4,tblForecast,CM$2,FALSE),0)</f>
        <v>0</v>
      </c>
      <c r="CN19" s="178">
        <f t="shared" si="83"/>
        <v>0</v>
      </c>
      <c r="CO19" s="179">
        <f t="shared" si="51"/>
        <v>0</v>
      </c>
      <c r="CP19" s="225">
        <f t="shared" si="33"/>
        <v>0</v>
      </c>
      <c r="CQ19" s="178">
        <f t="shared" si="34"/>
        <v>0</v>
      </c>
      <c r="CR19" s="179">
        <f t="shared" si="49"/>
        <v>0</v>
      </c>
      <c r="CS19" s="225">
        <f t="shared" si="35"/>
        <v>0</v>
      </c>
      <c r="CT19" s="178">
        <f t="shared" si="52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7"/>
        <v>0</v>
      </c>
      <c r="CZ19" s="280">
        <f>IFERROR(VLOOKUP(Brand&amp;Channel&amp;Country&amp;$C19,tblDiscount,6,FALSE),0)</f>
        <v>0.4</v>
      </c>
      <c r="DA19" s="281">
        <f>(1-CZ19)*DB19</f>
        <v>15.077999999999999</v>
      </c>
      <c r="DB19" s="281">
        <f>IFERROR(VLOOKUP(Brand&amp;Country &amp; Channel &amp;FC,tblFCSettings,8,FALSE),0)</f>
        <v>25.13</v>
      </c>
      <c r="DC19" s="282">
        <f>IFERROR(VLOOKUP(Brand&amp;Country &amp; Channel &amp;FC,tblFCSettings,9,FALSE),0)</f>
        <v>4.22</v>
      </c>
    </row>
    <row r="20" spans="1:107" ht="16.5" thickBot="1" x14ac:dyDescent="0.3">
      <c r="A20" s="44" t="s">
        <v>340</v>
      </c>
      <c r="B20" s="44">
        <v>2018</v>
      </c>
      <c r="C20" s="88">
        <v>9</v>
      </c>
      <c r="D20" s="97">
        <f t="shared" si="88"/>
        <v>0</v>
      </c>
      <c r="E20" s="203">
        <f t="shared" si="85"/>
        <v>0</v>
      </c>
      <c r="F20" s="183">
        <f t="shared" si="50"/>
        <v>0</v>
      </c>
      <c r="G20" s="177">
        <f t="shared" si="63"/>
        <v>0</v>
      </c>
      <c r="H20" s="204">
        <f t="shared" si="63"/>
        <v>0</v>
      </c>
      <c r="I20" s="204">
        <f t="shared" si="63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 t="shared" si="64"/>
        <v>0</v>
      </c>
      <c r="M20" s="90">
        <f t="shared" si="64"/>
        <v>0</v>
      </c>
      <c r="N20" s="90">
        <f t="shared" si="64"/>
        <v>0</v>
      </c>
      <c r="O20" s="90">
        <f t="shared" si="64"/>
        <v>0</v>
      </c>
      <c r="P20" s="91">
        <f t="shared" si="40"/>
        <v>0</v>
      </c>
      <c r="Q20" s="240">
        <f>IFERROR(VLOOKUP($B20 &amp; $C20&amp;CompareVer,tblForecast,Q$2,FALSE),0)</f>
        <v>0</v>
      </c>
      <c r="R20" s="242">
        <f t="shared" si="65"/>
        <v>0</v>
      </c>
      <c r="S20" s="242">
        <f t="shared" si="65"/>
        <v>0</v>
      </c>
      <c r="T20" s="242">
        <f>IFERROR(VLOOKUP($B20-IF(CompareVer="LY",1,0) &amp; $C20 &amp;T$4,tblForecast,T$2,FALSE),0)</f>
        <v>0</v>
      </c>
      <c r="U20" s="91">
        <f t="shared" si="7"/>
        <v>0</v>
      </c>
      <c r="V20" s="247">
        <f t="shared" si="86"/>
        <v>0</v>
      </c>
      <c r="W20" s="333">
        <f t="shared" si="86"/>
        <v>0</v>
      </c>
      <c r="X20" s="248">
        <f t="shared" si="87"/>
        <v>0</v>
      </c>
      <c r="Y20" s="97">
        <f t="shared" si="66"/>
        <v>0</v>
      </c>
      <c r="Z20" s="90">
        <f t="shared" si="66"/>
        <v>0</v>
      </c>
      <c r="AA20" s="90">
        <f t="shared" si="66"/>
        <v>0</v>
      </c>
      <c r="AB20" s="90">
        <f t="shared" si="66"/>
        <v>0</v>
      </c>
      <c r="AC20" s="91">
        <f t="shared" si="9"/>
        <v>0</v>
      </c>
      <c r="AD20" s="75">
        <f>IF(AM20&lt;&gt;0,1-AR20/AM20,0)</f>
        <v>0</v>
      </c>
      <c r="AE20" s="93">
        <f t="shared" si="67"/>
        <v>0</v>
      </c>
      <c r="AF20" s="93">
        <f t="shared" si="67"/>
        <v>0</v>
      </c>
      <c r="AG20" s="93">
        <f t="shared" si="67"/>
        <v>0</v>
      </c>
      <c r="AH20" s="104">
        <f>IFERROR(VLOOKUP($B20 &amp; $C20&amp;CompareVer,tblForecast,AH$2,FALSE),0)</f>
        <v>0</v>
      </c>
      <c r="AI20" s="94">
        <f t="shared" si="68"/>
        <v>0</v>
      </c>
      <c r="AJ20" s="94">
        <f t="shared" si="68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9"/>
        <v>0</v>
      </c>
      <c r="AO20" s="94">
        <f t="shared" si="69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70"/>
        <v>0</v>
      </c>
      <c r="AT20" s="94">
        <f t="shared" si="70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2">
        <f t="shared" si="17"/>
        <v>0</v>
      </c>
      <c r="AX20" s="183">
        <f t="shared" si="17"/>
        <v>0</v>
      </c>
      <c r="AY20" s="183">
        <f t="shared" si="17"/>
        <v>0</v>
      </c>
      <c r="AZ20" s="183">
        <f t="shared" si="17"/>
        <v>0</v>
      </c>
      <c r="BA20" s="229">
        <f t="shared" si="71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72"/>
        <v>0</v>
      </c>
      <c r="BD20" s="230">
        <f t="shared" si="73"/>
        <v>0</v>
      </c>
      <c r="BE20" s="178">
        <f t="shared" si="74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 t="shared" si="20"/>
        <v>0</v>
      </c>
      <c r="BK20" s="96">
        <f t="shared" si="21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5"/>
        <v>0</v>
      </c>
      <c r="BS20" s="230">
        <f t="shared" si="22"/>
        <v>0</v>
      </c>
      <c r="BT20" s="229">
        <f t="shared" si="75"/>
        <v>0</v>
      </c>
      <c r="BU20" s="230">
        <f t="shared" si="75"/>
        <v>0</v>
      </c>
      <c r="BV20" s="230">
        <f>IFERROR(VLOOKUP($B20 &amp; $C20&amp;CompareVer,tblForecast,BV$2,FALSE),0)</f>
        <v>0</v>
      </c>
      <c r="BW20" s="230">
        <f t="shared" si="76"/>
        <v>0</v>
      </c>
      <c r="BX20" s="230">
        <f t="shared" si="76"/>
        <v>0</v>
      </c>
      <c r="BY20" s="177">
        <f>IFERROR(VLOOKUP($B20-IF(CompareVer="LY",1,0) &amp; $C20 &amp;BY$4,tblForecast,BY$2,FALSE),0)</f>
        <v>0</v>
      </c>
      <c r="BZ20" s="178">
        <f t="shared" si="77"/>
        <v>0</v>
      </c>
      <c r="CA20" s="90">
        <f t="shared" si="78"/>
        <v>0</v>
      </c>
      <c r="CB20" s="90">
        <f t="shared" si="78"/>
        <v>0</v>
      </c>
      <c r="CC20" s="90">
        <f>IFERROR(VLOOKUP($B20 &amp; $C20&amp;CompareVer,tblForecast,CC$2,FALSE),0)</f>
        <v>0</v>
      </c>
      <c r="CD20" s="90">
        <f t="shared" si="79"/>
        <v>0</v>
      </c>
      <c r="CE20" s="90">
        <f t="shared" si="79"/>
        <v>0</v>
      </c>
      <c r="CF20" s="90">
        <f>IFERROR(VLOOKUP($B20-IF(CompareVer="LY",1,0) &amp; $C20 &amp;CF$4,tblForecast,CF$2,FALSE),0)</f>
        <v>0</v>
      </c>
      <c r="CG20" s="178">
        <f t="shared" si="80"/>
        <v>0</v>
      </c>
      <c r="CH20" s="90">
        <f t="shared" si="81"/>
        <v>0</v>
      </c>
      <c r="CI20" s="90">
        <f t="shared" si="81"/>
        <v>0</v>
      </c>
      <c r="CJ20" s="90">
        <f>IFERROR(VLOOKUP($B20 &amp; $C20&amp;CompareVer,tblForecast,CJ$2,FALSE),0)</f>
        <v>0</v>
      </c>
      <c r="CK20" s="90">
        <f t="shared" si="82"/>
        <v>0</v>
      </c>
      <c r="CL20" s="90">
        <f t="shared" si="82"/>
        <v>0</v>
      </c>
      <c r="CM20" s="90">
        <f>IFERROR(VLOOKUP($B20-IF(CompareVer="LY",1,0) &amp; $C20 &amp;CM$4,tblForecast,CM$2,FALSE),0)</f>
        <v>0</v>
      </c>
      <c r="CN20" s="178">
        <f t="shared" si="83"/>
        <v>0</v>
      </c>
      <c r="CO20" s="179">
        <f t="shared" si="51"/>
        <v>0</v>
      </c>
      <c r="CP20" s="225">
        <f t="shared" si="33"/>
        <v>0</v>
      </c>
      <c r="CQ20" s="178">
        <f t="shared" si="34"/>
        <v>0</v>
      </c>
      <c r="CR20" s="179">
        <f t="shared" si="49"/>
        <v>0</v>
      </c>
      <c r="CS20" s="225">
        <f t="shared" si="35"/>
        <v>0</v>
      </c>
      <c r="CT20" s="178">
        <f t="shared" si="52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7"/>
        <v>0</v>
      </c>
      <c r="CZ20" s="280">
        <f>IFERROR(VLOOKUP(Brand&amp;Channel&amp;Country&amp;$C20,tblDiscount,6,FALSE),0)</f>
        <v>0.4</v>
      </c>
      <c r="DA20" s="281">
        <f>(1-CZ20)*DB20</f>
        <v>15.077999999999999</v>
      </c>
      <c r="DB20" s="281">
        <f>IFERROR(VLOOKUP(Brand&amp;Country &amp; Channel &amp;FC,tblFCSettings,8,FALSE),0)</f>
        <v>25.13</v>
      </c>
      <c r="DC20" s="282">
        <f>IFERROR(VLOOKUP(Brand&amp;Country &amp; Channel &amp;FC,tblFCSettings,9,FALSE),0)</f>
        <v>4.22</v>
      </c>
    </row>
    <row r="21" spans="1:107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50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89">SUM(M16:M20)</f>
        <v>0</v>
      </c>
      <c r="N21" s="261">
        <f t="shared" si="89"/>
        <v>0</v>
      </c>
      <c r="O21" s="261">
        <f t="shared" si="89"/>
        <v>0</v>
      </c>
      <c r="P21" s="262">
        <f t="shared" si="40"/>
        <v>0</v>
      </c>
      <c r="Q21" s="263">
        <f>SUM(Q16:Q20)</f>
        <v>0</v>
      </c>
      <c r="R21" s="264">
        <f t="shared" ref="R21:S21" si="90">SUM(R16:R20)</f>
        <v>0</v>
      </c>
      <c r="S21" s="264">
        <f t="shared" si="90"/>
        <v>0</v>
      </c>
      <c r="T21" s="264">
        <f>SUM(T16:T20)</f>
        <v>0</v>
      </c>
      <c r="U21" s="262">
        <f t="shared" si="7"/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91">SUM(Z16:Z20)</f>
        <v>0</v>
      </c>
      <c r="AA21" s="261">
        <f t="shared" si="91"/>
        <v>0</v>
      </c>
      <c r="AB21" s="261">
        <f t="shared" si="91"/>
        <v>0</v>
      </c>
      <c r="AC21" s="262">
        <f t="shared" si="9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" si="92">IFERROR(SUMPRODUCT(AJ17:AJ20,S17:S20)/S21,0)</f>
        <v>0</v>
      </c>
      <c r="AK21" s="270">
        <f t="shared" ref="AK21" si="93">IFERROR(SUMPRODUCT(AK17:AK20,T17:T20)/T21,0)</f>
        <v>0</v>
      </c>
      <c r="AL21" s="262">
        <f t="shared" ref="AL21" si="94">IFERROR(AH21/AK21-1,)</f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ref="AQ21" si="95">IFERROR(AM21/AP21-1,)</f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ref="AV21" si="96">IFERROR(AR21/AU21-1,)</f>
        <v>0</v>
      </c>
      <c r="AW21" s="271">
        <f t="shared" ref="AW21" si="97">IFERROR((AM21/AH21-1)*-1,0)</f>
        <v>0</v>
      </c>
      <c r="AX21" s="272">
        <f t="shared" ref="AX21" si="98">IFERROR((AN21/AI21-1)*-1,0)</f>
        <v>0</v>
      </c>
      <c r="AY21" s="272">
        <f t="shared" ref="AY21" si="99">IFERROR((AO21/AJ21-1)*-1,0)</f>
        <v>0</v>
      </c>
      <c r="AZ21" s="272">
        <f t="shared" ref="AZ21" si="100">IFERROR((AP21/AK21-1)*-1,0)</f>
        <v>0</v>
      </c>
      <c r="BA21" s="263">
        <f>BA20</f>
        <v>0</v>
      </c>
      <c r="BB21" s="264">
        <f t="shared" ref="BB21" si="101">BB20</f>
        <v>0</v>
      </c>
      <c r="BC21" s="264">
        <f t="shared" ref="BC21" si="102">BC20</f>
        <v>0</v>
      </c>
      <c r="BD21" s="264">
        <f t="shared" ref="BD21" si="103">BD20</f>
        <v>0</v>
      </c>
      <c r="BE21" s="262">
        <f t="shared" ref="BE21:BE25" si="104">IFERROR(BA21/BD21-1,)</f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 t="shared" si="20"/>
        <v>0</v>
      </c>
      <c r="BK21" s="276">
        <f t="shared" si="21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105">SUM(BO16:BO20)</f>
        <v>0</v>
      </c>
      <c r="BP21" s="263">
        <f>SUM(BP16:BP20)</f>
        <v>0</v>
      </c>
      <c r="BQ21" s="264">
        <f t="shared" si="105"/>
        <v>0</v>
      </c>
      <c r="BR21" s="263">
        <f t="shared" si="45"/>
        <v>0</v>
      </c>
      <c r="BS21" s="264">
        <f t="shared" si="22"/>
        <v>0</v>
      </c>
      <c r="BT21" s="263">
        <f t="shared" ref="BT21:BY21" si="106">SUM(BT16:BT20)</f>
        <v>0</v>
      </c>
      <c r="BU21" s="264">
        <f t="shared" si="106"/>
        <v>0</v>
      </c>
      <c r="BV21" s="264">
        <f>SUM(BV16:BV20)</f>
        <v>0</v>
      </c>
      <c r="BW21" s="264">
        <f t="shared" si="106"/>
        <v>0</v>
      </c>
      <c r="BX21" s="264">
        <f t="shared" si="106"/>
        <v>0</v>
      </c>
      <c r="BY21" s="277">
        <f t="shared" si="106"/>
        <v>0</v>
      </c>
      <c r="BZ21" s="262">
        <f t="shared" si="25"/>
        <v>0</v>
      </c>
      <c r="CA21" s="261">
        <f t="shared" ref="CA21:CF21" si="107">SUM(CA16:CA20)</f>
        <v>0</v>
      </c>
      <c r="CB21" s="261">
        <f t="shared" si="107"/>
        <v>0</v>
      </c>
      <c r="CC21" s="261">
        <f>SUM(CC16:CC20)</f>
        <v>0</v>
      </c>
      <c r="CD21" s="261">
        <f t="shared" si="107"/>
        <v>0</v>
      </c>
      <c r="CE21" s="261">
        <f t="shared" si="107"/>
        <v>0</v>
      </c>
      <c r="CF21" s="261">
        <f t="shared" si="107"/>
        <v>0</v>
      </c>
      <c r="CG21" s="262">
        <f t="shared" si="28"/>
        <v>0</v>
      </c>
      <c r="CH21" s="261">
        <f t="shared" ref="CH21:CM21" si="108">SUM(CH16:CH20)</f>
        <v>0</v>
      </c>
      <c r="CI21" s="261">
        <f t="shared" si="108"/>
        <v>0</v>
      </c>
      <c r="CJ21" s="261">
        <f>SUM(CJ16:CJ20)</f>
        <v>0</v>
      </c>
      <c r="CK21" s="261">
        <f t="shared" si="108"/>
        <v>0</v>
      </c>
      <c r="CL21" s="261">
        <f t="shared" si="108"/>
        <v>0</v>
      </c>
      <c r="CM21" s="261">
        <f t="shared" si="108"/>
        <v>0</v>
      </c>
      <c r="CN21" s="262">
        <f t="shared" si="31"/>
        <v>0</v>
      </c>
      <c r="CO21" s="278">
        <f t="shared" si="51"/>
        <v>0</v>
      </c>
      <c r="CP21" s="279">
        <f t="shared" si="33"/>
        <v>0</v>
      </c>
      <c r="CQ21" s="262">
        <f t="shared" si="34"/>
        <v>0</v>
      </c>
      <c r="CR21" s="278">
        <f t="shared" si="49"/>
        <v>0</v>
      </c>
      <c r="CS21" s="279">
        <f t="shared" si="35"/>
        <v>0</v>
      </c>
      <c r="CT21" s="262">
        <f t="shared" si="52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7"/>
        <v>0</v>
      </c>
      <c r="CZ21" s="280"/>
      <c r="DA21" s="281"/>
      <c r="DB21" s="281"/>
      <c r="DC21" s="282"/>
    </row>
    <row r="22" spans="1:107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50"/>
        <v>0</v>
      </c>
      <c r="G22" s="199">
        <f t="shared" ref="G22:I25" si="109">IFERROR(VLOOKUP($B22 &amp; $C22&amp;G$4&amp;$A22,tblForecast,G$2,FALSE),0)</f>
        <v>0</v>
      </c>
      <c r="H22" s="202">
        <f t="shared" si="109"/>
        <v>0</v>
      </c>
      <c r="I22" s="202">
        <f t="shared" si="109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 t="shared" ref="L22:O25" si="110">Q22*AM22</f>
        <v>0</v>
      </c>
      <c r="M22" s="90">
        <f t="shared" si="110"/>
        <v>0</v>
      </c>
      <c r="N22" s="90">
        <f t="shared" si="110"/>
        <v>0</v>
      </c>
      <c r="O22" s="90">
        <f t="shared" si="110"/>
        <v>0</v>
      </c>
      <c r="P22" s="91">
        <f t="shared" si="40"/>
        <v>0</v>
      </c>
      <c r="Q22" s="240">
        <f>IFERROR(VLOOKUP($B22 &amp; $C22&amp;CompareVer,tblForecast,Q$2,FALSE),0)</f>
        <v>0</v>
      </c>
      <c r="R22" s="241">
        <f t="shared" ref="R22:S25" si="111">IFERROR(VLOOKUP($B22 &amp; $C22&amp;R$4,tblForecast,R$2,FALSE),0)</f>
        <v>0</v>
      </c>
      <c r="S22" s="241">
        <f t="shared" si="111"/>
        <v>0</v>
      </c>
      <c r="T22" s="242">
        <f>IFERROR(VLOOKUP($B22-IF(CompareVer="LY",1,0) &amp; $C22 &amp;T$4,tblForecast,T$2,FALSE),0)</f>
        <v>0</v>
      </c>
      <c r="U22" s="91">
        <f t="shared" si="7"/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 t="shared" ref="Y22:AB25" si="112">IFERROR(L22*AD22,0)</f>
        <v>0</v>
      </c>
      <c r="Z22" s="90">
        <f t="shared" si="112"/>
        <v>0</v>
      </c>
      <c r="AA22" s="90">
        <f t="shared" si="112"/>
        <v>0</v>
      </c>
      <c r="AB22" s="90">
        <f t="shared" si="112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113">IF(AN22&lt;&gt;0,1-AS22/AN22,0)</f>
        <v>0</v>
      </c>
      <c r="AF22" s="93">
        <f t="shared" si="113"/>
        <v>0</v>
      </c>
      <c r="AG22" s="93">
        <f t="shared" si="113"/>
        <v>0</v>
      </c>
      <c r="AH22" s="104">
        <f>IFERROR(VLOOKUP($B22 &amp; $C22&amp;CompareVer,tblForecast,AH$2,FALSE),0)</f>
        <v>0</v>
      </c>
      <c r="AI22" s="94">
        <f t="shared" ref="AI22:AJ25" si="114">IFERROR(VLOOKUP($B22 &amp; $C22&amp;AI$4,tblForecast,AI$2,FALSE),0)</f>
        <v>0</v>
      </c>
      <c r="AJ22" s="94">
        <f t="shared" si="114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115">IFERROR(VLOOKUP($B22 &amp; $C22&amp;AN$4,tblForecast,AN$2,FALSE),0)</f>
        <v>0</v>
      </c>
      <c r="AO22" s="94">
        <f t="shared" si="115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116">IFERROR(VLOOKUP($B22 &amp; $C22&amp;AS$4,tblForecast,AS$2,FALSE),0)</f>
        <v>0</v>
      </c>
      <c r="AT22" s="94">
        <f t="shared" si="116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2">
        <f t="shared" si="17"/>
        <v>0</v>
      </c>
      <c r="AX22" s="183">
        <f t="shared" si="17"/>
        <v>0</v>
      </c>
      <c r="AY22" s="183">
        <f t="shared" si="17"/>
        <v>0</v>
      </c>
      <c r="AZ22" s="183">
        <f t="shared" si="17"/>
        <v>0</v>
      </c>
      <c r="BA22" s="229">
        <f t="shared" ref="BA22:BA25" si="117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118">IFERROR(VLOOKUP($B22 &amp; $C22&amp;BC$4,tblForecast,BC$2,FALSE),0)</f>
        <v>0</v>
      </c>
      <c r="BD22" s="230">
        <f t="shared" ref="BD22:BD25" si="119">CX22+BG22</f>
        <v>0</v>
      </c>
      <c r="BE22" s="178">
        <f t="shared" si="104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 t="shared" si="20"/>
        <v>0</v>
      </c>
      <c r="BK22" s="96">
        <f t="shared" si="21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5"/>
        <v>0</v>
      </c>
      <c r="BS22" s="230">
        <f t="shared" si="22"/>
        <v>0</v>
      </c>
      <c r="BT22" s="229">
        <f t="shared" ref="BT22:BU25" si="120">IFERROR(VLOOKUP($B22 &amp; $C22&amp;BT$4,tblForecast,BT$2,FALSE),0)</f>
        <v>0</v>
      </c>
      <c r="BU22" s="230">
        <f t="shared" si="120"/>
        <v>0</v>
      </c>
      <c r="BV22" s="230">
        <f>IFERROR(VLOOKUP($B22 &amp; $C22&amp;CompareVer,tblForecast,BV$2,FALSE),0)</f>
        <v>0</v>
      </c>
      <c r="BW22" s="230">
        <f t="shared" ref="BW22:BX25" si="121">IFERROR(VLOOKUP($B22 &amp; $C22&amp;BW$4,tblForecast,BW$2,FALSE),0)</f>
        <v>0</v>
      </c>
      <c r="BX22" s="230">
        <f t="shared" si="121"/>
        <v>0</v>
      </c>
      <c r="BY22" s="177">
        <f>IFERROR(VLOOKUP($B22-IF(CompareVer="LY",1,0) &amp; $C22 &amp;BY$4,tblForecast,BY$2,FALSE),0)</f>
        <v>0</v>
      </c>
      <c r="BZ22" s="178">
        <f t="shared" ref="BZ22:BZ25" si="122">IFERROR(BV22/BY22-1,)</f>
        <v>0</v>
      </c>
      <c r="CA22" s="90">
        <f t="shared" ref="CA22:CB25" si="123">IFERROR(VLOOKUP($B22 &amp; $C22&amp;CA$4,tblForecast,CA$2,FALSE),0)</f>
        <v>0</v>
      </c>
      <c r="CB22" s="90">
        <f t="shared" si="123"/>
        <v>0</v>
      </c>
      <c r="CC22" s="90">
        <f>IFERROR(VLOOKUP($B22 &amp; $C22&amp;CompareVer,tblForecast,CC$2,FALSE),0)</f>
        <v>0</v>
      </c>
      <c r="CD22" s="90">
        <f t="shared" ref="CD22:CE25" si="124">IFERROR(VLOOKUP($B22 &amp; $C22&amp;CD$4,tblForecast,CD$2,FALSE),0)</f>
        <v>0</v>
      </c>
      <c r="CE22" s="90">
        <f t="shared" si="124"/>
        <v>0</v>
      </c>
      <c r="CF22" s="90">
        <f>IFERROR(VLOOKUP($B22-IF(CompareVer="LY",1,0) &amp; $C22 &amp;CF$4,tblForecast,CF$2,FALSE),0)</f>
        <v>0</v>
      </c>
      <c r="CG22" s="178">
        <f t="shared" ref="CG22:CG25" si="125">IFERROR(CC22/CF22-1,)</f>
        <v>0</v>
      </c>
      <c r="CH22" s="90">
        <f t="shared" ref="CH22:CI25" si="126">IFERROR(VLOOKUP($B22 &amp; $C22&amp;CH$4,tblForecast,CH$2,FALSE),0)</f>
        <v>0</v>
      </c>
      <c r="CI22" s="90">
        <f t="shared" si="126"/>
        <v>0</v>
      </c>
      <c r="CJ22" s="90">
        <f>IFERROR(VLOOKUP($B22 &amp; $C22&amp;CompareVer,tblForecast,CJ$2,FALSE),0)</f>
        <v>0</v>
      </c>
      <c r="CK22" s="90">
        <f t="shared" ref="CK22:CL25" si="127">IFERROR(VLOOKUP($B22 &amp; $C22&amp;CK$4,tblForecast,CK$2,FALSE),0)</f>
        <v>0</v>
      </c>
      <c r="CL22" s="90">
        <f t="shared" si="127"/>
        <v>0</v>
      </c>
      <c r="CM22" s="90">
        <f>IFERROR(VLOOKUP($B22-IF(CompareVer="LY",1,0) &amp; $C22 &amp;CM$4,tblForecast,CM$2,FALSE),0)</f>
        <v>0</v>
      </c>
      <c r="CN22" s="178">
        <f t="shared" ref="CN22:CN25" si="128">IFERROR(CJ22/CM22-1,)</f>
        <v>0</v>
      </c>
      <c r="CO22" s="179">
        <f t="shared" si="51"/>
        <v>0</v>
      </c>
      <c r="CP22" s="225">
        <f t="shared" si="33"/>
        <v>0</v>
      </c>
      <c r="CQ22" s="178">
        <f t="shared" si="34"/>
        <v>0</v>
      </c>
      <c r="CR22" s="179">
        <f t="shared" si="49"/>
        <v>0</v>
      </c>
      <c r="CS22" s="225">
        <f t="shared" si="35"/>
        <v>0</v>
      </c>
      <c r="CT22" s="178">
        <f t="shared" si="52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7"/>
        <v>0</v>
      </c>
      <c r="CZ22" s="280">
        <f>IFERROR(VLOOKUP(Brand&amp;Channel&amp;Country&amp;$C22,tblDiscount,6,FALSE),0)</f>
        <v>0.4</v>
      </c>
      <c r="DA22" s="281">
        <f>(1-CZ22)*DB22</f>
        <v>15.077999999999999</v>
      </c>
      <c r="DB22" s="281">
        <f>IFERROR(VLOOKUP(Brand&amp;Country &amp; Channel &amp;FC,tblFCSettings,8,FALSE),0)</f>
        <v>25.13</v>
      </c>
      <c r="DC22" s="282">
        <f>IFERROR(VLOOKUP(Brand&amp;Country &amp; Channel &amp;FC,tblFCSettings,9,FALSE),0)</f>
        <v>4.22</v>
      </c>
    </row>
    <row r="23" spans="1:107" x14ac:dyDescent="0.25">
      <c r="A23" s="44" t="s">
        <v>340</v>
      </c>
      <c r="B23" s="44">
        <v>2018</v>
      </c>
      <c r="C23" s="88">
        <v>11</v>
      </c>
      <c r="D23" s="97">
        <f t="shared" ref="D23:D25" si="129">G23*H23</f>
        <v>0</v>
      </c>
      <c r="E23" s="203">
        <f t="shared" ref="E23:E25" si="130">IFERROR(D23*F23,0)</f>
        <v>0</v>
      </c>
      <c r="F23" s="183">
        <f t="shared" si="50"/>
        <v>0</v>
      </c>
      <c r="G23" s="177">
        <f t="shared" si="109"/>
        <v>0</v>
      </c>
      <c r="H23" s="204">
        <f t="shared" si="109"/>
        <v>0</v>
      </c>
      <c r="I23" s="204">
        <f t="shared" si="109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 t="shared" si="110"/>
        <v>0</v>
      </c>
      <c r="M23" s="90">
        <f t="shared" si="110"/>
        <v>0</v>
      </c>
      <c r="N23" s="90">
        <f t="shared" si="110"/>
        <v>0</v>
      </c>
      <c r="O23" s="90">
        <f t="shared" si="110"/>
        <v>0</v>
      </c>
      <c r="P23" s="91">
        <f t="shared" si="40"/>
        <v>0</v>
      </c>
      <c r="Q23" s="240">
        <f>IFERROR(VLOOKUP($B23 &amp; $C23&amp;CompareVer,tblForecast,Q$2,FALSE),0)</f>
        <v>0</v>
      </c>
      <c r="R23" s="242">
        <f t="shared" si="111"/>
        <v>0</v>
      </c>
      <c r="S23" s="242">
        <f t="shared" si="111"/>
        <v>0</v>
      </c>
      <c r="T23" s="242">
        <f>IFERROR(VLOOKUP($B23-IF(CompareVer="LY",1,0) &amp; $C23 &amp;T$4,tblForecast,T$2,FALSE),0)</f>
        <v>0</v>
      </c>
      <c r="U23" s="91">
        <f t="shared" si="7"/>
        <v>0</v>
      </c>
      <c r="V23" s="247">
        <f t="shared" ref="V23:W25" si="131">IFERROR(IF(Q22&lt;&gt;0,Q23/Q22,0),0)</f>
        <v>0</v>
      </c>
      <c r="W23" s="333">
        <f t="shared" si="131"/>
        <v>0</v>
      </c>
      <c r="X23" s="248">
        <f t="shared" si="87"/>
        <v>0</v>
      </c>
      <c r="Y23" s="97">
        <f t="shared" si="112"/>
        <v>0</v>
      </c>
      <c r="Z23" s="90">
        <f t="shared" si="112"/>
        <v>0</v>
      </c>
      <c r="AA23" s="90">
        <f t="shared" si="112"/>
        <v>0</v>
      </c>
      <c r="AB23" s="90">
        <f t="shared" si="112"/>
        <v>0</v>
      </c>
      <c r="AC23" s="91">
        <f t="shared" si="9"/>
        <v>0</v>
      </c>
      <c r="AD23" s="75">
        <f>IF(AM23&lt;&gt;0,1-AR23/AM23,0)</f>
        <v>0</v>
      </c>
      <c r="AE23" s="93">
        <f t="shared" si="113"/>
        <v>0</v>
      </c>
      <c r="AF23" s="93">
        <f t="shared" si="113"/>
        <v>0</v>
      </c>
      <c r="AG23" s="93">
        <f t="shared" si="113"/>
        <v>0</v>
      </c>
      <c r="AH23" s="104">
        <f>IFERROR(VLOOKUP($B23 &amp; $C23&amp;CompareVer,tblForecast,AH$2,FALSE),0)</f>
        <v>0</v>
      </c>
      <c r="AI23" s="94">
        <f t="shared" si="114"/>
        <v>0</v>
      </c>
      <c r="AJ23" s="94">
        <f t="shared" si="114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115"/>
        <v>0</v>
      </c>
      <c r="AO23" s="94">
        <f t="shared" si="115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116"/>
        <v>0</v>
      </c>
      <c r="AT23" s="94">
        <f t="shared" si="116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2">
        <f t="shared" si="17"/>
        <v>0</v>
      </c>
      <c r="AX23" s="183">
        <f t="shared" si="17"/>
        <v>0</v>
      </c>
      <c r="AY23" s="183">
        <f t="shared" si="17"/>
        <v>0</v>
      </c>
      <c r="AZ23" s="183">
        <f t="shared" si="17"/>
        <v>0</v>
      </c>
      <c r="BA23" s="229">
        <f t="shared" si="117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118"/>
        <v>0</v>
      </c>
      <c r="BD23" s="230">
        <f t="shared" si="119"/>
        <v>0</v>
      </c>
      <c r="BE23" s="178">
        <f t="shared" si="104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 t="shared" si="20"/>
        <v>0</v>
      </c>
      <c r="BK23" s="96">
        <f t="shared" si="21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5"/>
        <v>0</v>
      </c>
      <c r="BS23" s="230">
        <f t="shared" si="22"/>
        <v>0</v>
      </c>
      <c r="BT23" s="229">
        <f t="shared" si="120"/>
        <v>0</v>
      </c>
      <c r="BU23" s="230">
        <f t="shared" si="120"/>
        <v>0</v>
      </c>
      <c r="BV23" s="230">
        <f>IFERROR(VLOOKUP($B23 &amp; $C23&amp;CompareVer,tblForecast,BV$2,FALSE),0)</f>
        <v>0</v>
      </c>
      <c r="BW23" s="230">
        <f t="shared" si="121"/>
        <v>0</v>
      </c>
      <c r="BX23" s="230">
        <f t="shared" si="121"/>
        <v>0</v>
      </c>
      <c r="BY23" s="177">
        <f>IFERROR(VLOOKUP($B23-IF(CompareVer="LY",1,0) &amp; $C23 &amp;BY$4,tblForecast,BY$2,FALSE),0)</f>
        <v>0</v>
      </c>
      <c r="BZ23" s="178">
        <f t="shared" si="122"/>
        <v>0</v>
      </c>
      <c r="CA23" s="90">
        <f t="shared" si="123"/>
        <v>0</v>
      </c>
      <c r="CB23" s="90">
        <f t="shared" si="123"/>
        <v>0</v>
      </c>
      <c r="CC23" s="90">
        <f>IFERROR(VLOOKUP($B23 &amp; $C23&amp;CompareVer,tblForecast,CC$2,FALSE),0)</f>
        <v>0</v>
      </c>
      <c r="CD23" s="90">
        <f t="shared" si="124"/>
        <v>0</v>
      </c>
      <c r="CE23" s="90">
        <f t="shared" si="124"/>
        <v>0</v>
      </c>
      <c r="CF23" s="90">
        <f>IFERROR(VLOOKUP($B23-IF(CompareVer="LY",1,0) &amp; $C23 &amp;CF$4,tblForecast,CF$2,FALSE),0)</f>
        <v>0</v>
      </c>
      <c r="CG23" s="178">
        <f t="shared" si="125"/>
        <v>0</v>
      </c>
      <c r="CH23" s="90">
        <f t="shared" si="126"/>
        <v>0</v>
      </c>
      <c r="CI23" s="90">
        <f t="shared" si="126"/>
        <v>0</v>
      </c>
      <c r="CJ23" s="90">
        <f>IFERROR(VLOOKUP($B23 &amp; $C23&amp;CompareVer,tblForecast,CJ$2,FALSE),0)</f>
        <v>0</v>
      </c>
      <c r="CK23" s="90">
        <f t="shared" si="127"/>
        <v>0</v>
      </c>
      <c r="CL23" s="90">
        <f t="shared" si="127"/>
        <v>0</v>
      </c>
      <c r="CM23" s="90">
        <f>IFERROR(VLOOKUP($B23-IF(CompareVer="LY",1,0) &amp; $C23 &amp;CM$4,tblForecast,CM$2,FALSE),0)</f>
        <v>0</v>
      </c>
      <c r="CN23" s="178">
        <f t="shared" si="128"/>
        <v>0</v>
      </c>
      <c r="CO23" s="179">
        <f t="shared" si="51"/>
        <v>0</v>
      </c>
      <c r="CP23" s="225">
        <f t="shared" si="33"/>
        <v>0</v>
      </c>
      <c r="CQ23" s="178">
        <f t="shared" si="34"/>
        <v>0</v>
      </c>
      <c r="CR23" s="179">
        <f t="shared" si="49"/>
        <v>0</v>
      </c>
      <c r="CS23" s="225">
        <f t="shared" si="35"/>
        <v>0</v>
      </c>
      <c r="CT23" s="178">
        <f t="shared" si="52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7"/>
        <v>0</v>
      </c>
      <c r="CZ23" s="280">
        <f>IFERROR(VLOOKUP(Brand&amp;Channel&amp;Country&amp;$C23,tblDiscount,6,FALSE),0)</f>
        <v>0.45</v>
      </c>
      <c r="DA23" s="281">
        <f>(1-CZ23)*DB23</f>
        <v>13.8215</v>
      </c>
      <c r="DB23" s="281">
        <f>IFERROR(VLOOKUP(Brand&amp;Country &amp; Channel &amp;FC,tblFCSettings,8,FALSE),0)</f>
        <v>25.13</v>
      </c>
      <c r="DC23" s="282">
        <f>IFERROR(VLOOKUP(Brand&amp;Country &amp; Channel &amp;FC,tblFCSettings,9,FALSE),0)</f>
        <v>4.22</v>
      </c>
    </row>
    <row r="24" spans="1:107" x14ac:dyDescent="0.25">
      <c r="A24" s="44" t="s">
        <v>340</v>
      </c>
      <c r="B24" s="44">
        <v>2018</v>
      </c>
      <c r="C24" s="88">
        <v>12</v>
      </c>
      <c r="D24" s="97">
        <f t="shared" si="129"/>
        <v>0</v>
      </c>
      <c r="E24" s="203">
        <f t="shared" si="130"/>
        <v>0</v>
      </c>
      <c r="F24" s="183">
        <f t="shared" si="50"/>
        <v>0</v>
      </c>
      <c r="G24" s="177">
        <f t="shared" si="109"/>
        <v>0</v>
      </c>
      <c r="H24" s="204">
        <f t="shared" si="109"/>
        <v>0</v>
      </c>
      <c r="I24" s="204">
        <f t="shared" si="109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 t="shared" si="110"/>
        <v>0</v>
      </c>
      <c r="M24" s="90">
        <f t="shared" si="110"/>
        <v>0</v>
      </c>
      <c r="N24" s="90">
        <f t="shared" si="110"/>
        <v>0</v>
      </c>
      <c r="O24" s="90">
        <f t="shared" si="110"/>
        <v>0</v>
      </c>
      <c r="P24" s="91">
        <f t="shared" si="40"/>
        <v>0</v>
      </c>
      <c r="Q24" s="240">
        <f>IFERROR(VLOOKUP($B24 &amp; $C24&amp;CompareVer,tblForecast,Q$2,FALSE),0)</f>
        <v>0</v>
      </c>
      <c r="R24" s="242">
        <f t="shared" si="111"/>
        <v>0</v>
      </c>
      <c r="S24" s="242">
        <f t="shared" si="111"/>
        <v>0</v>
      </c>
      <c r="T24" s="242">
        <f>IFERROR(VLOOKUP($B24-IF(CompareVer="LY",1,0) &amp; $C24 &amp;T$4,tblForecast,T$2,FALSE),0)</f>
        <v>0</v>
      </c>
      <c r="U24" s="91">
        <f t="shared" si="7"/>
        <v>0</v>
      </c>
      <c r="V24" s="247">
        <f t="shared" si="131"/>
        <v>0</v>
      </c>
      <c r="W24" s="333">
        <f t="shared" si="131"/>
        <v>0</v>
      </c>
      <c r="X24" s="248">
        <f t="shared" si="87"/>
        <v>0</v>
      </c>
      <c r="Y24" s="97">
        <f t="shared" si="112"/>
        <v>0</v>
      </c>
      <c r="Z24" s="90">
        <f t="shared" si="112"/>
        <v>0</v>
      </c>
      <c r="AA24" s="90">
        <f t="shared" si="112"/>
        <v>0</v>
      </c>
      <c r="AB24" s="90">
        <f t="shared" si="112"/>
        <v>0</v>
      </c>
      <c r="AC24" s="91">
        <f t="shared" si="9"/>
        <v>0</v>
      </c>
      <c r="AD24" s="75">
        <f>IF(AM24&lt;&gt;0,1-AR24/AM24,0)</f>
        <v>0</v>
      </c>
      <c r="AE24" s="93">
        <f t="shared" si="113"/>
        <v>0</v>
      </c>
      <c r="AF24" s="93">
        <f t="shared" si="113"/>
        <v>0</v>
      </c>
      <c r="AG24" s="93">
        <f t="shared" si="113"/>
        <v>0</v>
      </c>
      <c r="AH24" s="104">
        <f>IFERROR(VLOOKUP($B24 &amp; $C24&amp;CompareVer,tblForecast,AH$2,FALSE),0)</f>
        <v>0</v>
      </c>
      <c r="AI24" s="94">
        <f t="shared" si="114"/>
        <v>0</v>
      </c>
      <c r="AJ24" s="94">
        <f t="shared" si="114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115"/>
        <v>0</v>
      </c>
      <c r="AO24" s="94">
        <f t="shared" si="115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116"/>
        <v>0</v>
      </c>
      <c r="AT24" s="94">
        <f t="shared" si="116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2">
        <f t="shared" si="17"/>
        <v>0</v>
      </c>
      <c r="AX24" s="183">
        <f t="shared" si="17"/>
        <v>0</v>
      </c>
      <c r="AY24" s="183">
        <f t="shared" si="17"/>
        <v>0</v>
      </c>
      <c r="AZ24" s="183">
        <f t="shared" si="17"/>
        <v>0</v>
      </c>
      <c r="BA24" s="229">
        <f t="shared" si="117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118"/>
        <v>0</v>
      </c>
      <c r="BD24" s="230">
        <f t="shared" si="119"/>
        <v>0</v>
      </c>
      <c r="BE24" s="178">
        <f t="shared" si="104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 t="shared" si="20"/>
        <v>0</v>
      </c>
      <c r="BK24" s="96">
        <f t="shared" si="21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5"/>
        <v>0</v>
      </c>
      <c r="BS24" s="230">
        <f t="shared" si="22"/>
        <v>0</v>
      </c>
      <c r="BT24" s="229">
        <f t="shared" si="120"/>
        <v>0</v>
      </c>
      <c r="BU24" s="230">
        <f t="shared" si="120"/>
        <v>0</v>
      </c>
      <c r="BV24" s="230">
        <f>IFERROR(VLOOKUP($B24 &amp; $C24&amp;CompareVer,tblForecast,BV$2,FALSE),0)</f>
        <v>0</v>
      </c>
      <c r="BW24" s="230">
        <f t="shared" si="121"/>
        <v>0</v>
      </c>
      <c r="BX24" s="230">
        <f t="shared" si="121"/>
        <v>0</v>
      </c>
      <c r="BY24" s="177">
        <f>IFERROR(VLOOKUP($B24-IF(CompareVer="LY",1,0) &amp; $C24 &amp;BY$4,tblForecast,BY$2,FALSE),0)</f>
        <v>0</v>
      </c>
      <c r="BZ24" s="178">
        <f t="shared" si="122"/>
        <v>0</v>
      </c>
      <c r="CA24" s="90">
        <f t="shared" si="123"/>
        <v>0</v>
      </c>
      <c r="CB24" s="90">
        <f t="shared" si="123"/>
        <v>0</v>
      </c>
      <c r="CC24" s="90">
        <f>IFERROR(VLOOKUP($B24 &amp; $C24&amp;CompareVer,tblForecast,CC$2,FALSE),0)</f>
        <v>0</v>
      </c>
      <c r="CD24" s="90">
        <f t="shared" si="124"/>
        <v>0</v>
      </c>
      <c r="CE24" s="90">
        <f t="shared" si="124"/>
        <v>0</v>
      </c>
      <c r="CF24" s="90">
        <f>IFERROR(VLOOKUP($B24-IF(CompareVer="LY",1,0) &amp; $C24 &amp;CF$4,tblForecast,CF$2,FALSE),0)</f>
        <v>0</v>
      </c>
      <c r="CG24" s="178">
        <f t="shared" si="125"/>
        <v>0</v>
      </c>
      <c r="CH24" s="90">
        <f t="shared" si="126"/>
        <v>0</v>
      </c>
      <c r="CI24" s="90">
        <f t="shared" si="126"/>
        <v>0</v>
      </c>
      <c r="CJ24" s="90">
        <f>IFERROR(VLOOKUP($B24 &amp; $C24&amp;CompareVer,tblForecast,CJ$2,FALSE),0)</f>
        <v>0</v>
      </c>
      <c r="CK24" s="90">
        <f t="shared" si="127"/>
        <v>0</v>
      </c>
      <c r="CL24" s="90">
        <f t="shared" si="127"/>
        <v>0</v>
      </c>
      <c r="CM24" s="90">
        <f>IFERROR(VLOOKUP($B24-IF(CompareVer="LY",1,0) &amp; $C24 &amp;CM$4,tblForecast,CM$2,FALSE),0)</f>
        <v>0</v>
      </c>
      <c r="CN24" s="178">
        <f t="shared" si="128"/>
        <v>0</v>
      </c>
      <c r="CO24" s="179">
        <f t="shared" si="51"/>
        <v>0</v>
      </c>
      <c r="CP24" s="225">
        <f t="shared" si="33"/>
        <v>0</v>
      </c>
      <c r="CQ24" s="178">
        <f t="shared" si="34"/>
        <v>0</v>
      </c>
      <c r="CR24" s="179">
        <f t="shared" si="49"/>
        <v>0</v>
      </c>
      <c r="CS24" s="225">
        <f t="shared" si="35"/>
        <v>0</v>
      </c>
      <c r="CT24" s="178">
        <f t="shared" si="52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7"/>
        <v>0</v>
      </c>
      <c r="CZ24" s="280">
        <f>IFERROR(VLOOKUP(Brand&amp;Channel&amp;Country&amp;$C24,tblDiscount,6,FALSE),0)</f>
        <v>0.45</v>
      </c>
      <c r="DA24" s="281">
        <f>(1-CZ24)*DB24</f>
        <v>13.8215</v>
      </c>
      <c r="DB24" s="281">
        <f>IFERROR(VLOOKUP(Brand&amp;Country &amp; Channel &amp;FC,tblFCSettings,8,FALSE),0)</f>
        <v>25.13</v>
      </c>
      <c r="DC24" s="282">
        <f>IFERROR(VLOOKUP(Brand&amp;Country &amp; Channel &amp;FC,tblFCSettings,9,FALSE),0)</f>
        <v>4.22</v>
      </c>
    </row>
    <row r="25" spans="1:107" ht="16.5" thickBot="1" x14ac:dyDescent="0.3">
      <c r="A25" s="44" t="s">
        <v>340</v>
      </c>
      <c r="B25" s="44">
        <v>2018</v>
      </c>
      <c r="C25" s="88">
        <v>13</v>
      </c>
      <c r="D25" s="97">
        <f t="shared" si="129"/>
        <v>0</v>
      </c>
      <c r="E25" s="203">
        <f t="shared" si="130"/>
        <v>0</v>
      </c>
      <c r="F25" s="183">
        <f t="shared" si="50"/>
        <v>0</v>
      </c>
      <c r="G25" s="177">
        <f t="shared" si="109"/>
        <v>0</v>
      </c>
      <c r="H25" s="204">
        <f t="shared" si="109"/>
        <v>0</v>
      </c>
      <c r="I25" s="204">
        <f t="shared" si="109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 t="shared" si="110"/>
        <v>0</v>
      </c>
      <c r="M25" s="90">
        <f t="shared" si="110"/>
        <v>0</v>
      </c>
      <c r="N25" s="90">
        <f t="shared" si="110"/>
        <v>0</v>
      </c>
      <c r="O25" s="90">
        <f t="shared" si="110"/>
        <v>0</v>
      </c>
      <c r="P25" s="91">
        <f t="shared" si="40"/>
        <v>0</v>
      </c>
      <c r="Q25" s="240">
        <f>IFERROR(VLOOKUP($B25 &amp; $C25&amp;CompareVer,tblForecast,Q$2,FALSE),0)</f>
        <v>0</v>
      </c>
      <c r="R25" s="243">
        <f t="shared" si="111"/>
        <v>0</v>
      </c>
      <c r="S25" s="243">
        <f t="shared" si="111"/>
        <v>0</v>
      </c>
      <c r="T25" s="242">
        <f>IFERROR(VLOOKUP($B25-IF(CompareVer="LY",1,0) &amp; $C25 &amp;T$4,tblForecast,T$2,FALSE),0)</f>
        <v>0</v>
      </c>
      <c r="U25" s="91">
        <f t="shared" si="7"/>
        <v>0</v>
      </c>
      <c r="V25" s="247">
        <f t="shared" si="131"/>
        <v>0</v>
      </c>
      <c r="W25" s="333">
        <f t="shared" si="131"/>
        <v>0</v>
      </c>
      <c r="X25" s="248">
        <f t="shared" si="87"/>
        <v>0</v>
      </c>
      <c r="Y25" s="97">
        <f t="shared" si="112"/>
        <v>0</v>
      </c>
      <c r="Z25" s="90">
        <f t="shared" si="112"/>
        <v>0</v>
      </c>
      <c r="AA25" s="90">
        <f t="shared" si="112"/>
        <v>0</v>
      </c>
      <c r="AB25" s="90">
        <f t="shared" si="112"/>
        <v>0</v>
      </c>
      <c r="AC25" s="91">
        <f t="shared" si="9"/>
        <v>0</v>
      </c>
      <c r="AD25" s="75">
        <f>IF(AM25&lt;&gt;0,1-AR25/AM25,0)</f>
        <v>0</v>
      </c>
      <c r="AE25" s="93">
        <f t="shared" si="113"/>
        <v>0</v>
      </c>
      <c r="AF25" s="93">
        <f t="shared" si="113"/>
        <v>0</v>
      </c>
      <c r="AG25" s="93">
        <f t="shared" si="113"/>
        <v>0</v>
      </c>
      <c r="AH25" s="104">
        <f>IFERROR(VLOOKUP($B25 &amp; $C25&amp;CompareVer,tblForecast,AH$2,FALSE),0)</f>
        <v>0</v>
      </c>
      <c r="AI25" s="94">
        <f t="shared" si="114"/>
        <v>0</v>
      </c>
      <c r="AJ25" s="94">
        <f t="shared" si="114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115"/>
        <v>0</v>
      </c>
      <c r="AO25" s="94">
        <f t="shared" si="115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116"/>
        <v>0</v>
      </c>
      <c r="AT25" s="94">
        <f t="shared" si="116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2">
        <f t="shared" si="17"/>
        <v>0</v>
      </c>
      <c r="AX25" s="183">
        <f t="shared" si="17"/>
        <v>0</v>
      </c>
      <c r="AY25" s="183">
        <f t="shared" si="17"/>
        <v>0</v>
      </c>
      <c r="AZ25" s="183">
        <f t="shared" si="17"/>
        <v>0</v>
      </c>
      <c r="BA25" s="229">
        <f t="shared" si="117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118"/>
        <v>0</v>
      </c>
      <c r="BD25" s="230">
        <f t="shared" si="119"/>
        <v>0</v>
      </c>
      <c r="BE25" s="178">
        <f t="shared" si="104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 t="shared" si="20"/>
        <v>0</v>
      </c>
      <c r="BK25" s="96">
        <f t="shared" si="21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5"/>
        <v>0</v>
      </c>
      <c r="BS25" s="230">
        <f t="shared" si="22"/>
        <v>0</v>
      </c>
      <c r="BT25" s="229">
        <f t="shared" si="120"/>
        <v>0</v>
      </c>
      <c r="BU25" s="230">
        <f t="shared" si="120"/>
        <v>0</v>
      </c>
      <c r="BV25" s="230">
        <f>IFERROR(VLOOKUP($B25 &amp; $C25&amp;CompareVer,tblForecast,BV$2,FALSE),0)</f>
        <v>0</v>
      </c>
      <c r="BW25" s="230">
        <f t="shared" si="121"/>
        <v>0</v>
      </c>
      <c r="BX25" s="230">
        <f t="shared" si="121"/>
        <v>0</v>
      </c>
      <c r="BY25" s="177">
        <f>IFERROR(VLOOKUP($B25-IF(CompareVer="LY",1,0) &amp; $C25 &amp;BY$4,tblForecast,BY$2,FALSE),0)</f>
        <v>0</v>
      </c>
      <c r="BZ25" s="178">
        <f t="shared" si="122"/>
        <v>0</v>
      </c>
      <c r="CA25" s="90">
        <f t="shared" si="123"/>
        <v>0</v>
      </c>
      <c r="CB25" s="90">
        <f t="shared" si="123"/>
        <v>0</v>
      </c>
      <c r="CC25" s="90">
        <f>IFERROR(VLOOKUP($B25 &amp; $C25&amp;CompareVer,tblForecast,CC$2,FALSE),0)</f>
        <v>0</v>
      </c>
      <c r="CD25" s="90">
        <f t="shared" si="124"/>
        <v>0</v>
      </c>
      <c r="CE25" s="90">
        <f t="shared" si="124"/>
        <v>0</v>
      </c>
      <c r="CF25" s="90">
        <f>IFERROR(VLOOKUP($B25-IF(CompareVer="LY",1,0) &amp; $C25 &amp;CF$4,tblForecast,CF$2,FALSE),0)</f>
        <v>0</v>
      </c>
      <c r="CG25" s="178">
        <f t="shared" si="125"/>
        <v>0</v>
      </c>
      <c r="CH25" s="90">
        <f t="shared" si="126"/>
        <v>0</v>
      </c>
      <c r="CI25" s="90">
        <f t="shared" si="126"/>
        <v>0</v>
      </c>
      <c r="CJ25" s="90">
        <f>IFERROR(VLOOKUP($B25 &amp; $C25&amp;CompareVer,tblForecast,CJ$2,FALSE),0)</f>
        <v>0</v>
      </c>
      <c r="CK25" s="90">
        <f t="shared" si="127"/>
        <v>0</v>
      </c>
      <c r="CL25" s="90">
        <f t="shared" si="127"/>
        <v>0</v>
      </c>
      <c r="CM25" s="90">
        <f>IFERROR(VLOOKUP($B25-IF(CompareVer="LY",1,0) &amp; $C25 &amp;CM$4,tblForecast,CM$2,FALSE),0)</f>
        <v>0</v>
      </c>
      <c r="CN25" s="178">
        <f t="shared" si="128"/>
        <v>0</v>
      </c>
      <c r="CO25" s="179">
        <f t="shared" si="51"/>
        <v>0</v>
      </c>
      <c r="CP25" s="225">
        <f t="shared" si="33"/>
        <v>0</v>
      </c>
      <c r="CQ25" s="178">
        <f t="shared" si="34"/>
        <v>0</v>
      </c>
      <c r="CR25" s="179">
        <f t="shared" si="49"/>
        <v>0</v>
      </c>
      <c r="CS25" s="225">
        <f t="shared" si="35"/>
        <v>0</v>
      </c>
      <c r="CT25" s="178">
        <f t="shared" si="52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7"/>
        <v>0</v>
      </c>
      <c r="CZ25" s="280">
        <f>IFERROR(VLOOKUP(Brand&amp;Channel&amp;Country&amp;$C25,tblDiscount,6,FALSE),0)</f>
        <v>0.45</v>
      </c>
      <c r="DA25" s="281">
        <f>(1-CZ25)*DB25</f>
        <v>13.8215</v>
      </c>
      <c r="DB25" s="281">
        <f>IFERROR(VLOOKUP(Brand&amp;Country &amp; Channel &amp;FC,tblFCSettings,8,FALSE),0)</f>
        <v>25.13</v>
      </c>
      <c r="DC25" s="282">
        <f>IFERROR(VLOOKUP(Brand&amp;Country &amp; Channel &amp;FC,tblFCSettings,9,FALSE),0)</f>
        <v>4.22</v>
      </c>
    </row>
    <row r="26" spans="1:107" ht="16.5" thickBot="1" x14ac:dyDescent="0.3">
      <c r="C26" s="255" t="s">
        <v>23</v>
      </c>
      <c r="D26" s="256">
        <f t="shared" ref="D26" si="132">SUM(D22:D25)</f>
        <v>0</v>
      </c>
      <c r="E26" s="257">
        <f t="shared" ref="E26" si="133">SUM(E22:E25)</f>
        <v>0</v>
      </c>
      <c r="F26" s="258">
        <f t="shared" si="50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34">SUM(M22:M25)</f>
        <v>0</v>
      </c>
      <c r="N26" s="261">
        <f t="shared" si="134"/>
        <v>0</v>
      </c>
      <c r="O26" s="261">
        <f t="shared" si="134"/>
        <v>0</v>
      </c>
      <c r="P26" s="262">
        <f t="shared" si="40"/>
        <v>0</v>
      </c>
      <c r="Q26" s="263">
        <f>SUM(Q22:Q25)</f>
        <v>0</v>
      </c>
      <c r="R26" s="264">
        <f t="shared" ref="R26" si="135">SUM(R22:R25)</f>
        <v>0</v>
      </c>
      <c r="S26" s="264">
        <f t="shared" ref="S26" si="136">SUM(S22:S25)</f>
        <v>0</v>
      </c>
      <c r="T26" s="264">
        <f>SUM(T22:T25)</f>
        <v>0</v>
      </c>
      <c r="U26" s="262">
        <f t="shared" si="7"/>
        <v>0</v>
      </c>
      <c r="V26" s="265">
        <f t="shared" ref="V26:W26" si="137">V25</f>
        <v>0</v>
      </c>
      <c r="W26" s="334">
        <f t="shared" si="137"/>
        <v>0</v>
      </c>
      <c r="X26" s="266">
        <f t="shared" ref="X26:X27" si="138">X25</f>
        <v>0</v>
      </c>
      <c r="Y26" s="256">
        <f>SUM(Y22:Y25)</f>
        <v>0</v>
      </c>
      <c r="Z26" s="261">
        <f t="shared" ref="Z26:AB26" si="139">SUM(Z22:Z25)</f>
        <v>0</v>
      </c>
      <c r="AA26" s="261">
        <f t="shared" si="139"/>
        <v>0</v>
      </c>
      <c r="AB26" s="261">
        <f t="shared" si="139"/>
        <v>0</v>
      </c>
      <c r="AC26" s="262">
        <f t="shared" si="9"/>
        <v>0</v>
      </c>
      <c r="AD26" s="267">
        <f t="shared" ref="AD26:AG27" si="140">IFERROR(Y26/L26,0)</f>
        <v>0</v>
      </c>
      <c r="AE26" s="268">
        <f t="shared" si="140"/>
        <v>0</v>
      </c>
      <c r="AF26" s="268">
        <f t="shared" si="140"/>
        <v>0</v>
      </c>
      <c r="AG26" s="268">
        <f t="shared" si="140"/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" si="141">IFERROR(SUMPRODUCT(AJ22:AJ25,S22:S25)/S26,0)</f>
        <v>0</v>
      </c>
      <c r="AK26" s="270">
        <f t="shared" ref="AK26" si="142">IFERROR(SUMPRODUCT(AK22:AK25,T22:T25)/T26,0)</f>
        <v>0</v>
      </c>
      <c r="AL26" s="262">
        <f t="shared" ref="AL26" si="143">IFERROR(AH26/AK26-1,)</f>
        <v>0</v>
      </c>
      <c r="AM26" s="269">
        <f t="shared" ref="AM26:AP27" si="144">IF(Q26&lt;&gt;0,L26/Q26,0)</f>
        <v>0</v>
      </c>
      <c r="AN26" s="270">
        <f t="shared" si="144"/>
        <v>0</v>
      </c>
      <c r="AO26" s="270">
        <f t="shared" si="144"/>
        <v>0</v>
      </c>
      <c r="AP26" s="270">
        <f t="shared" si="144"/>
        <v>0</v>
      </c>
      <c r="AQ26" s="262">
        <f t="shared" ref="AQ26:AQ27" si="145">IFERROR(AM26/AP26-1,)</f>
        <v>0</v>
      </c>
      <c r="AR26" s="269">
        <f t="shared" ref="AR26:AU27" si="146">IFERROR((L26*(1-AD26))/Q26,0)</f>
        <v>0</v>
      </c>
      <c r="AS26" s="270">
        <f t="shared" si="146"/>
        <v>0</v>
      </c>
      <c r="AT26" s="270">
        <f t="shared" si="146"/>
        <v>0</v>
      </c>
      <c r="AU26" s="270">
        <f t="shared" si="146"/>
        <v>0</v>
      </c>
      <c r="AV26" s="262">
        <f t="shared" ref="AV26" si="147">IFERROR(AR26/AU26-1,)</f>
        <v>0</v>
      </c>
      <c r="AW26" s="271">
        <f t="shared" ref="AW26" si="148">IFERROR((AM26/AH26-1)*-1,0)</f>
        <v>0</v>
      </c>
      <c r="AX26" s="272">
        <f t="shared" ref="AX26" si="149">IFERROR((AN26/AI26-1)*-1,0)</f>
        <v>0</v>
      </c>
      <c r="AY26" s="272">
        <f t="shared" ref="AY26" si="150">IFERROR((AO26/AJ26-1)*-1,0)</f>
        <v>0</v>
      </c>
      <c r="AZ26" s="272">
        <f t="shared" ref="AZ26" si="151">IFERROR((AP26/AK26-1)*-1,0)</f>
        <v>0</v>
      </c>
      <c r="BA26" s="263">
        <f t="shared" ref="BA26:BA27" si="152">BA25</f>
        <v>0</v>
      </c>
      <c r="BB26" s="264">
        <f t="shared" ref="BB26:BB27" si="153">BB25</f>
        <v>0</v>
      </c>
      <c r="BC26" s="264">
        <f t="shared" ref="BC26:BC27" si="154">BC25</f>
        <v>0</v>
      </c>
      <c r="BD26" s="264">
        <f t="shared" ref="BD26:BD27" si="155">BD25</f>
        <v>0</v>
      </c>
      <c r="BE26" s="262">
        <f t="shared" ref="BE26:BE31" si="156">IFERROR(BA26/BD26-1,)</f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 t="shared" si="20"/>
        <v>0</v>
      </c>
      <c r="BK26" s="276">
        <f t="shared" si="21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57">SUM(BO22:BO25)</f>
        <v>0</v>
      </c>
      <c r="BP26" s="263">
        <f>SUM(BP22:BP25)</f>
        <v>0</v>
      </c>
      <c r="BQ26" s="264">
        <f t="shared" si="157"/>
        <v>0</v>
      </c>
      <c r="BR26" s="263">
        <f t="shared" si="45"/>
        <v>0</v>
      </c>
      <c r="BS26" s="264">
        <f t="shared" si="22"/>
        <v>0</v>
      </c>
      <c r="BT26" s="263">
        <f t="shared" ref="BT26:BY26" si="158">SUM(BT22:BT25)</f>
        <v>0</v>
      </c>
      <c r="BU26" s="264">
        <f t="shared" si="158"/>
        <v>0</v>
      </c>
      <c r="BV26" s="264">
        <f>SUM(BV22:BV25)</f>
        <v>0</v>
      </c>
      <c r="BW26" s="264">
        <f t="shared" si="158"/>
        <v>0</v>
      </c>
      <c r="BX26" s="264">
        <f t="shared" si="158"/>
        <v>0</v>
      </c>
      <c r="BY26" s="277">
        <f t="shared" si="158"/>
        <v>0</v>
      </c>
      <c r="BZ26" s="262">
        <f t="shared" si="25"/>
        <v>0</v>
      </c>
      <c r="CA26" s="261">
        <f t="shared" ref="CA26:CF26" si="159">SUM(CA22:CA25)</f>
        <v>0</v>
      </c>
      <c r="CB26" s="261">
        <f t="shared" si="159"/>
        <v>0</v>
      </c>
      <c r="CC26" s="261">
        <f>SUM(CC22:CC25)</f>
        <v>0</v>
      </c>
      <c r="CD26" s="261">
        <f t="shared" si="159"/>
        <v>0</v>
      </c>
      <c r="CE26" s="261">
        <f t="shared" si="159"/>
        <v>0</v>
      </c>
      <c r="CF26" s="261">
        <f t="shared" si="159"/>
        <v>0</v>
      </c>
      <c r="CG26" s="262">
        <f t="shared" si="28"/>
        <v>0</v>
      </c>
      <c r="CH26" s="261">
        <f t="shared" ref="CH26:CM26" si="160">SUM(CH22:CH25)</f>
        <v>0</v>
      </c>
      <c r="CI26" s="261">
        <f t="shared" si="160"/>
        <v>0</v>
      </c>
      <c r="CJ26" s="261">
        <f>SUM(CJ22:CJ25)</f>
        <v>0</v>
      </c>
      <c r="CK26" s="261">
        <f t="shared" si="160"/>
        <v>0</v>
      </c>
      <c r="CL26" s="261">
        <f t="shared" si="160"/>
        <v>0</v>
      </c>
      <c r="CM26" s="261">
        <f t="shared" si="160"/>
        <v>0</v>
      </c>
      <c r="CN26" s="262">
        <f t="shared" si="31"/>
        <v>0</v>
      </c>
      <c r="CO26" s="278">
        <f t="shared" si="51"/>
        <v>0</v>
      </c>
      <c r="CP26" s="279">
        <f t="shared" si="33"/>
        <v>0</v>
      </c>
      <c r="CQ26" s="262">
        <f t="shared" si="34"/>
        <v>0</v>
      </c>
      <c r="CR26" s="278">
        <f t="shared" si="49"/>
        <v>0</v>
      </c>
      <c r="CS26" s="279">
        <f t="shared" si="35"/>
        <v>0</v>
      </c>
      <c r="CT26" s="262">
        <f t="shared" si="52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7"/>
        <v>0</v>
      </c>
      <c r="CZ26" s="280"/>
      <c r="DA26" s="281"/>
      <c r="DB26" s="281"/>
      <c r="DC26" s="282"/>
    </row>
    <row r="27" spans="1:107" ht="16.5" thickBot="1" x14ac:dyDescent="0.3">
      <c r="C27" s="105" t="s">
        <v>24</v>
      </c>
      <c r="D27" s="52">
        <f t="shared" ref="D27:E27" si="161">D15+D21+D26</f>
        <v>0</v>
      </c>
      <c r="E27" s="206">
        <f t="shared" si="161"/>
        <v>0</v>
      </c>
      <c r="F27" s="207">
        <f t="shared" si="50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62">J15+J21+J26</f>
        <v>0</v>
      </c>
      <c r="K27" s="304">
        <f t="shared" si="162"/>
        <v>0</v>
      </c>
      <c r="L27" s="53">
        <f>L15+L21+L26</f>
        <v>0</v>
      </c>
      <c r="M27" s="53">
        <f t="shared" ref="M27:O27" si="163">M15+M21+M26</f>
        <v>0</v>
      </c>
      <c r="N27" s="53">
        <f t="shared" si="163"/>
        <v>0</v>
      </c>
      <c r="O27" s="53">
        <f t="shared" si="163"/>
        <v>0</v>
      </c>
      <c r="P27" s="54">
        <f t="shared" si="40"/>
        <v>0</v>
      </c>
      <c r="Q27" s="232">
        <f t="shared" ref="Q27:S27" si="164">Q15+Q21+Q26</f>
        <v>0</v>
      </c>
      <c r="R27" s="232">
        <f t="shared" si="164"/>
        <v>0</v>
      </c>
      <c r="S27" s="232">
        <f t="shared" si="164"/>
        <v>0</v>
      </c>
      <c r="T27" s="232">
        <f>T15+T21+T26</f>
        <v>0</v>
      </c>
      <c r="U27" s="54">
        <f t="shared" si="7"/>
        <v>0</v>
      </c>
      <c r="V27" s="249">
        <f t="shared" ref="V27:W27" si="165">V26</f>
        <v>0</v>
      </c>
      <c r="W27" s="335">
        <f t="shared" si="165"/>
        <v>0</v>
      </c>
      <c r="X27" s="250">
        <f t="shared" si="138"/>
        <v>0</v>
      </c>
      <c r="Y27" s="52">
        <f>Y15+Y21+Y26</f>
        <v>0</v>
      </c>
      <c r="Z27" s="53">
        <f t="shared" ref="Z27:AB27" si="166">Z15+Z21+Z26</f>
        <v>0</v>
      </c>
      <c r="AA27" s="53">
        <f t="shared" si="166"/>
        <v>0</v>
      </c>
      <c r="AB27" s="53">
        <f t="shared" si="166"/>
        <v>0</v>
      </c>
      <c r="AC27" s="54">
        <f t="shared" si="9"/>
        <v>0</v>
      </c>
      <c r="AD27" s="77">
        <f t="shared" si="140"/>
        <v>0</v>
      </c>
      <c r="AE27" s="78">
        <f t="shared" si="140"/>
        <v>0</v>
      </c>
      <c r="AF27" s="78">
        <f t="shared" si="140"/>
        <v>0</v>
      </c>
      <c r="AG27" s="78">
        <f t="shared" si="140"/>
        <v>0</v>
      </c>
      <c r="AH27" s="58">
        <f>IFERROR((AH15*Q15+AH21*Q21+AH26*Q26)/Q27,0)</f>
        <v>0</v>
      </c>
      <c r="AI27" s="58">
        <f t="shared" ref="AI27:AL27" si="167">IFERROR((AI15*R15+AI21*R21+AI26*R26)/R27,0)</f>
        <v>0</v>
      </c>
      <c r="AJ27" s="58">
        <f t="shared" si="167"/>
        <v>0</v>
      </c>
      <c r="AK27" s="58">
        <f t="shared" si="167"/>
        <v>0</v>
      </c>
      <c r="AL27" s="54">
        <f t="shared" si="167"/>
        <v>0</v>
      </c>
      <c r="AM27" s="57">
        <f t="shared" si="144"/>
        <v>0</v>
      </c>
      <c r="AN27" s="58">
        <f t="shared" si="144"/>
        <v>0</v>
      </c>
      <c r="AO27" s="58">
        <f t="shared" si="144"/>
        <v>0</v>
      </c>
      <c r="AP27" s="58">
        <f t="shared" si="144"/>
        <v>0</v>
      </c>
      <c r="AQ27" s="54">
        <f t="shared" si="145"/>
        <v>0</v>
      </c>
      <c r="AR27" s="57">
        <f t="shared" si="146"/>
        <v>0</v>
      </c>
      <c r="AS27" s="58">
        <f t="shared" si="146"/>
        <v>0</v>
      </c>
      <c r="AT27" s="58">
        <f t="shared" si="146"/>
        <v>0</v>
      </c>
      <c r="AU27" s="58">
        <f t="shared" si="146"/>
        <v>0</v>
      </c>
      <c r="AV27" s="54">
        <f t="shared" ref="AV27" si="168">IFERROR(AR27/AU27-1,)</f>
        <v>0</v>
      </c>
      <c r="AW27" s="59">
        <f t="shared" ref="AW27" si="169">IFERROR((AM27/AH27-1)*-1,0)</f>
        <v>0</v>
      </c>
      <c r="AX27" s="60">
        <f t="shared" ref="AX27" si="170">IFERROR((AN27/AI27-1)*-1,0)</f>
        <v>0</v>
      </c>
      <c r="AY27" s="60">
        <f t="shared" ref="AY27" si="171">IFERROR((AO27/AJ27-1)*-1,0)</f>
        <v>0</v>
      </c>
      <c r="AZ27" s="60">
        <f t="shared" ref="AZ27" si="172">IFERROR((AP27/AK27-1)*-1,0)</f>
        <v>0</v>
      </c>
      <c r="BA27" s="231">
        <f t="shared" si="152"/>
        <v>0</v>
      </c>
      <c r="BB27" s="232">
        <f t="shared" si="153"/>
        <v>0</v>
      </c>
      <c r="BC27" s="232">
        <f t="shared" si="154"/>
        <v>0</v>
      </c>
      <c r="BD27" s="232">
        <f t="shared" si="155"/>
        <v>0</v>
      </c>
      <c r="BE27" s="54">
        <f t="shared" si="156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 t="shared" si="20"/>
        <v>0</v>
      </c>
      <c r="BK27" s="61">
        <f t="shared" si="21"/>
        <v>0</v>
      </c>
      <c r="BL27" s="231">
        <f t="shared" ref="BL27" si="173">BL15+BL21+BL26</f>
        <v>0</v>
      </c>
      <c r="BM27" s="232">
        <f t="shared" ref="BM27:BN27" si="174">BM15+BM21+BM26</f>
        <v>0</v>
      </c>
      <c r="BN27" s="231">
        <f t="shared" si="174"/>
        <v>0</v>
      </c>
      <c r="BO27" s="232">
        <f t="shared" ref="BO27:BQ27" si="175">BO15+BO21+BO26</f>
        <v>0</v>
      </c>
      <c r="BP27" s="231">
        <f t="shared" si="175"/>
        <v>0</v>
      </c>
      <c r="BQ27" s="232">
        <f t="shared" si="175"/>
        <v>0</v>
      </c>
      <c r="BR27" s="231">
        <f t="shared" si="45"/>
        <v>0</v>
      </c>
      <c r="BS27" s="232">
        <f t="shared" si="22"/>
        <v>0</v>
      </c>
      <c r="BT27" s="231">
        <f t="shared" ref="BT27:BY27" si="176">BT15+BT21+BT26</f>
        <v>0</v>
      </c>
      <c r="BU27" s="232">
        <f t="shared" si="176"/>
        <v>0</v>
      </c>
      <c r="BV27" s="232">
        <f t="shared" si="176"/>
        <v>0</v>
      </c>
      <c r="BW27" s="232">
        <f t="shared" si="176"/>
        <v>0</v>
      </c>
      <c r="BX27" s="232">
        <f t="shared" si="176"/>
        <v>0</v>
      </c>
      <c r="BY27" s="56">
        <f t="shared" si="176"/>
        <v>0</v>
      </c>
      <c r="BZ27" s="54">
        <f t="shared" si="25"/>
        <v>0</v>
      </c>
      <c r="CA27" s="53">
        <f t="shared" ref="CA27:CF27" si="177">CA15+CA21+CA26</f>
        <v>0</v>
      </c>
      <c r="CB27" s="53">
        <f t="shared" si="177"/>
        <v>0</v>
      </c>
      <c r="CC27" s="53">
        <f t="shared" si="177"/>
        <v>0</v>
      </c>
      <c r="CD27" s="53">
        <f t="shared" si="177"/>
        <v>0</v>
      </c>
      <c r="CE27" s="53">
        <f t="shared" si="177"/>
        <v>0</v>
      </c>
      <c r="CF27" s="53">
        <f t="shared" si="177"/>
        <v>0</v>
      </c>
      <c r="CG27" s="54">
        <f t="shared" si="28"/>
        <v>0</v>
      </c>
      <c r="CH27" s="53">
        <f t="shared" ref="CH27:CM27" si="178">CH15+CH21+CH26</f>
        <v>0</v>
      </c>
      <c r="CI27" s="53">
        <f t="shared" si="178"/>
        <v>0</v>
      </c>
      <c r="CJ27" s="53">
        <f t="shared" si="178"/>
        <v>0</v>
      </c>
      <c r="CK27" s="53">
        <f t="shared" si="178"/>
        <v>0</v>
      </c>
      <c r="CL27" s="53">
        <f t="shared" si="178"/>
        <v>0</v>
      </c>
      <c r="CM27" s="53">
        <f t="shared" si="178"/>
        <v>0</v>
      </c>
      <c r="CN27" s="54">
        <f t="shared" si="31"/>
        <v>0</v>
      </c>
      <c r="CO27" s="55">
        <f t="shared" si="51"/>
        <v>0</v>
      </c>
      <c r="CP27" s="226">
        <f t="shared" si="33"/>
        <v>0</v>
      </c>
      <c r="CQ27" s="54">
        <f t="shared" si="34"/>
        <v>0</v>
      </c>
      <c r="CR27" s="55">
        <f t="shared" si="49"/>
        <v>0</v>
      </c>
      <c r="CS27" s="226">
        <f t="shared" si="35"/>
        <v>0</v>
      </c>
      <c r="CT27" s="54">
        <f t="shared" si="52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7"/>
        <v>0</v>
      </c>
      <c r="CZ27" s="280"/>
      <c r="DA27" s="281"/>
      <c r="DB27" s="281"/>
      <c r="DC27" s="282"/>
    </row>
    <row r="28" spans="1:107" x14ac:dyDescent="0.25">
      <c r="A28" s="44" t="s">
        <v>340</v>
      </c>
      <c r="B28" s="44">
        <v>2018</v>
      </c>
      <c r="C28" s="88">
        <v>14</v>
      </c>
      <c r="D28" s="97">
        <f t="shared" ref="D28:D31" si="179">G28*H28</f>
        <v>0</v>
      </c>
      <c r="E28" s="200">
        <f t="shared" ref="E28:E31" si="180">IFERROR(D28*F28,0)</f>
        <v>0</v>
      </c>
      <c r="F28" s="201">
        <f t="shared" si="50"/>
        <v>0</v>
      </c>
      <c r="G28" s="199">
        <f t="shared" ref="G28:I31" si="181">IFERROR(VLOOKUP($B28 &amp; $C28&amp;G$4&amp;$A28,tblForecast,G$2,FALSE),0)</f>
        <v>0</v>
      </c>
      <c r="H28" s="202">
        <f t="shared" si="181"/>
        <v>0</v>
      </c>
      <c r="I28" s="202">
        <f t="shared" si="181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M31" si="182">R28*AN28</f>
        <v>0</v>
      </c>
      <c r="N28" s="90">
        <f t="shared" ref="N28:N31" si="183">S28*AO28</f>
        <v>0</v>
      </c>
      <c r="O28" s="90">
        <f t="shared" ref="O28:O31" si="184">T28*AP28</f>
        <v>0</v>
      </c>
      <c r="P28" s="91">
        <f t="shared" ref="P28:P31" si="185">IFERROR(L28/O28-1,)</f>
        <v>0</v>
      </c>
      <c r="Q28" s="240">
        <f>IFERROR(VLOOKUP($B28 &amp; $C28&amp;CompareVer,tblForecast,Q$2,FALSE),0)</f>
        <v>0</v>
      </c>
      <c r="R28" s="241">
        <f t="shared" ref="R28:S31" si="186">IFERROR(VLOOKUP($B28 &amp; $C28&amp;R$4,tblForecast,R$2,FALSE),0)</f>
        <v>0</v>
      </c>
      <c r="S28" s="241">
        <f t="shared" si="186"/>
        <v>0</v>
      </c>
      <c r="T28" s="242">
        <f>IFERROR(VLOOKUP($B28-IF(CompareVer="LY",1,0) &amp; $C28 &amp;T$4,tblForecast,T$2,FALSE),0)</f>
        <v>0</v>
      </c>
      <c r="U28" s="91">
        <f t="shared" si="7"/>
        <v>0</v>
      </c>
      <c r="V28" s="247">
        <f t="shared" ref="V28:W31" si="187">IFERROR(IF(Q26&gt;0,Q28/Q26,0),0)</f>
        <v>0</v>
      </c>
      <c r="W28" s="333">
        <f t="shared" si="187"/>
        <v>0</v>
      </c>
      <c r="X28" s="248">
        <f t="shared" ref="X28:X31" si="188">IFERROR(IF(T26&gt;0,T28/T26,0),0)</f>
        <v>0</v>
      </c>
      <c r="Y28" s="97">
        <f t="shared" ref="Y28:AB31" si="189">IFERROR(L28*AD28,0)</f>
        <v>0</v>
      </c>
      <c r="Z28" s="90">
        <f t="shared" si="189"/>
        <v>0</v>
      </c>
      <c r="AA28" s="90">
        <f t="shared" si="189"/>
        <v>0</v>
      </c>
      <c r="AB28" s="90">
        <f t="shared" si="189"/>
        <v>0</v>
      </c>
      <c r="AC28" s="91">
        <f t="shared" ref="AC28:AC31" si="190">IFERROR(Y28/AB28-1,)</f>
        <v>0</v>
      </c>
      <c r="AD28" s="75">
        <f t="shared" ref="AD28:AD31" si="191">IF(AM28&lt;&gt;0,1-AR28/AM28,0)</f>
        <v>0</v>
      </c>
      <c r="AE28" s="93">
        <f t="shared" ref="AE28:AE31" si="192">IF(AN28&lt;&gt;0,1-AS28/AN28,0)</f>
        <v>0</v>
      </c>
      <c r="AF28" s="93">
        <f t="shared" ref="AF28:AF31" si="193">IF(AO28&lt;&gt;0,1-AT28/AO28,0)</f>
        <v>0</v>
      </c>
      <c r="AG28" s="93">
        <f t="shared" ref="AG28:AG31" si="194">IF(AP28&lt;&gt;0,1-AU28/AP28,0)</f>
        <v>0</v>
      </c>
      <c r="AH28" s="104">
        <f>IFERROR(VLOOKUP($B28 &amp; $C28&amp;CompareVer,tblForecast,AH$2,FALSE),0)</f>
        <v>0</v>
      </c>
      <c r="AI28" s="94">
        <f t="shared" ref="AI28:AJ31" si="195">IFERROR(VLOOKUP($B28 &amp; $C28&amp;AI$4,tblForecast,AI$2,FALSE),0)</f>
        <v>0</v>
      </c>
      <c r="AJ28" s="94">
        <f t="shared" si="195"/>
        <v>0</v>
      </c>
      <c r="AK28" s="94">
        <f>IFERROR(VLOOKUP($B28-IF(CompareVer="LY",1,0) &amp; $C28 &amp;AK$4,tblForecast,AK$2,FALSE),0)</f>
        <v>0</v>
      </c>
      <c r="AL28" s="91">
        <f t="shared" ref="AL28:AL32" si="196">IFERROR(AH28/AK28-1,)</f>
        <v>0</v>
      </c>
      <c r="AM28" s="104">
        <f>IFERROR(VLOOKUP($B28 &amp; $C28&amp;CompareVer,tblForecast,AM$2,FALSE),0)</f>
        <v>0</v>
      </c>
      <c r="AN28" s="94">
        <f t="shared" ref="AN28:AO31" si="197">IFERROR(VLOOKUP($B28 &amp; $C28&amp;AN$4,tblForecast,AN$2,FALSE),0)</f>
        <v>0</v>
      </c>
      <c r="AO28" s="94">
        <f t="shared" si="197"/>
        <v>0</v>
      </c>
      <c r="AP28" s="94">
        <f>IFERROR(VLOOKUP($B28-IF(CompareVer="LY",1,0) &amp; $C28 &amp;AP$4,tblForecast,AP$2,FALSE),0)</f>
        <v>0</v>
      </c>
      <c r="AQ28" s="91">
        <f t="shared" ref="AQ28:AQ32" si="198">IFERROR(AM28/AP28-1,)</f>
        <v>0</v>
      </c>
      <c r="AR28" s="104">
        <f>IFERROR(VLOOKUP($B28 &amp; $C28&amp;CompareVer,tblForecast,AR$2,FALSE),0)</f>
        <v>0</v>
      </c>
      <c r="AS28" s="94">
        <f t="shared" ref="AS28:AT31" si="199">IFERROR(VLOOKUP($B28 &amp; $C28&amp;AS$4,tblForecast,AS$2,FALSE),0)</f>
        <v>0</v>
      </c>
      <c r="AT28" s="94">
        <f t="shared" si="199"/>
        <v>0</v>
      </c>
      <c r="AU28" s="94">
        <f>IFERROR(VLOOKUP($B28-IF(CompareVer="LY",1,0) &amp; $C28 &amp;AU$4,tblForecast,AU$2,FALSE),0)</f>
        <v>0</v>
      </c>
      <c r="AV28" s="91">
        <f t="shared" ref="AV28:AV32" si="200">IFERROR(AR28/AU28-1,)</f>
        <v>0</v>
      </c>
      <c r="AW28" s="182">
        <f t="shared" ref="AW28:AW32" si="201">IFERROR((AM28/AH28-1)*-1,0)</f>
        <v>0</v>
      </c>
      <c r="AX28" s="183">
        <f t="shared" ref="AX28:AX32" si="202">IFERROR((AN28/AI28-1)*-1,0)</f>
        <v>0</v>
      </c>
      <c r="AY28" s="183">
        <f t="shared" ref="AY28:AY32" si="203">IFERROR((AO28/AJ28-1)*-1,0)</f>
        <v>0</v>
      </c>
      <c r="AZ28" s="183">
        <f t="shared" ref="AZ28:AZ32" si="204">IFERROR((AP28/AK28-1)*-1,0)</f>
        <v>0</v>
      </c>
      <c r="BA28" s="229">
        <f t="shared" ref="BA28:BA31" si="205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206">IFERROR(VLOOKUP($B28 &amp; $C28&amp;BC$4,tblForecast,BC$2,FALSE),0)</f>
        <v>0</v>
      </c>
      <c r="BD28" s="230">
        <f t="shared" ref="BD28:BD42" si="207">CX28+BG28</f>
        <v>0</v>
      </c>
      <c r="BE28" s="178">
        <f t="shared" si="156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208">IF(T28&lt;&gt;0,BD28/T28,0)</f>
        <v>0</v>
      </c>
      <c r="BJ28" s="185">
        <f t="shared" si="20"/>
        <v>0</v>
      </c>
      <c r="BK28" s="96">
        <f t="shared" ref="BK28:BK31" si="209">IF(BD28&lt;&gt;0,T28/BD28,0)</f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ref="BR28:BR31" si="210">BN28-BP28</f>
        <v>0</v>
      </c>
      <c r="BS28" s="230">
        <f t="shared" ref="BS28:BS31" si="211">BO28-BQ28</f>
        <v>0</v>
      </c>
      <c r="BT28" s="229">
        <f t="shared" ref="BT28:BU31" si="212">IFERROR(VLOOKUP($B28 &amp; $C28&amp;BT$4,tblForecast,BT$2,FALSE),0)</f>
        <v>0</v>
      </c>
      <c r="BU28" s="230">
        <f t="shared" si="212"/>
        <v>0</v>
      </c>
      <c r="BV28" s="230">
        <f>IFERROR(VLOOKUP($B28 &amp; $C28&amp;CompareVer,tblForecast,BV$2,FALSE),0)</f>
        <v>0</v>
      </c>
      <c r="BW28" s="230">
        <f t="shared" ref="BW28:BX31" si="213">IFERROR(VLOOKUP($B28 &amp; $C28&amp;BW$4,tblForecast,BW$2,FALSE),0)</f>
        <v>0</v>
      </c>
      <c r="BX28" s="230">
        <f t="shared" si="213"/>
        <v>0</v>
      </c>
      <c r="BY28" s="177">
        <f>IFERROR(VLOOKUP($B28-IF(CompareVer="LY",1,0) &amp; $C28 &amp;BY$4,tblForecast,BY$2,FALSE),0)</f>
        <v>0</v>
      </c>
      <c r="BZ28" s="178">
        <f t="shared" si="25"/>
        <v>0</v>
      </c>
      <c r="CA28" s="90">
        <f t="shared" ref="CA28:CB31" si="214">IFERROR(VLOOKUP($B28 &amp; $C28&amp;CA$4,tblForecast,CA$2,FALSE),0)</f>
        <v>0</v>
      </c>
      <c r="CB28" s="90">
        <f t="shared" si="214"/>
        <v>0</v>
      </c>
      <c r="CC28" s="90">
        <f>IFERROR(VLOOKUP($B28 &amp; $C28&amp;CompareVer,tblForecast,CC$2,FALSE),0)</f>
        <v>0</v>
      </c>
      <c r="CD28" s="90">
        <f t="shared" ref="CD28:CE31" si="215">IFERROR(VLOOKUP($B28 &amp; $C28&amp;CD$4,tblForecast,CD$2,FALSE),0)</f>
        <v>0</v>
      </c>
      <c r="CE28" s="90">
        <f t="shared" si="215"/>
        <v>0</v>
      </c>
      <c r="CF28" s="90">
        <f>IFERROR(VLOOKUP($B28-IF(CompareVer="LY",1,0) &amp; $C28 &amp;CF$4,tblForecast,CF$2,FALSE),0)</f>
        <v>0</v>
      </c>
      <c r="CG28" s="178">
        <f t="shared" si="28"/>
        <v>0</v>
      </c>
      <c r="CH28" s="90">
        <f t="shared" ref="CH28:CI31" si="216">IFERROR(VLOOKUP($B28 &amp; $C28&amp;CH$4,tblForecast,CH$2,FALSE),0)</f>
        <v>0</v>
      </c>
      <c r="CI28" s="90">
        <f t="shared" si="216"/>
        <v>0</v>
      </c>
      <c r="CJ28" s="90">
        <f>IFERROR(VLOOKUP($B28 &amp; $C28&amp;CompareVer,tblForecast,CJ$2,FALSE),0)</f>
        <v>0</v>
      </c>
      <c r="CK28" s="90">
        <f t="shared" ref="CK28:CL31" si="217">IFERROR(VLOOKUP($B28 &amp; $C28&amp;CK$4,tblForecast,CK$2,FALSE),0)</f>
        <v>0</v>
      </c>
      <c r="CL28" s="90">
        <f t="shared" si="217"/>
        <v>0</v>
      </c>
      <c r="CM28" s="90">
        <f>IFERROR(VLOOKUP($B28-IF(CompareVer="LY",1,0) &amp; $C28 &amp;CM$4,tblForecast,CM$2,FALSE),0)</f>
        <v>0</v>
      </c>
      <c r="CN28" s="178">
        <f t="shared" si="31"/>
        <v>0</v>
      </c>
      <c r="CO28" s="179">
        <f t="shared" si="51"/>
        <v>0</v>
      </c>
      <c r="CP28" s="225">
        <f t="shared" si="33"/>
        <v>0</v>
      </c>
      <c r="CQ28" s="178">
        <f t="shared" si="34"/>
        <v>0</v>
      </c>
      <c r="CR28" s="179">
        <f t="shared" si="49"/>
        <v>0</v>
      </c>
      <c r="CS28" s="225">
        <f t="shared" si="35"/>
        <v>0</v>
      </c>
      <c r="CT28" s="178">
        <f t="shared" si="52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7"/>
        <v>0</v>
      </c>
      <c r="CZ28" s="280">
        <f>IFERROR(VLOOKUP(Brand&amp;Channel&amp;Country&amp;$C28,tblDiscount,6,FALSE),0)</f>
        <v>0.5</v>
      </c>
      <c r="DA28" s="281">
        <f>(1-CZ28)*DB28</f>
        <v>12.565</v>
      </c>
      <c r="DB28" s="281">
        <f>IFERROR(VLOOKUP(Brand&amp;Country &amp; Channel &amp;FC,tblFCSettings,8,FALSE),0)</f>
        <v>25.13</v>
      </c>
      <c r="DC28" s="282">
        <f>IFERROR(VLOOKUP(Brand&amp;Country &amp; Channel &amp;FC,tblFCSettings,9,FALSE),0)</f>
        <v>4.22</v>
      </c>
    </row>
    <row r="29" spans="1:107" ht="15" customHeight="1" x14ac:dyDescent="0.25">
      <c r="A29" s="44" t="s">
        <v>340</v>
      </c>
      <c r="B29" s="44">
        <v>2018</v>
      </c>
      <c r="C29" s="88">
        <v>15</v>
      </c>
      <c r="D29" s="97">
        <f t="shared" si="179"/>
        <v>0</v>
      </c>
      <c r="E29" s="203">
        <f t="shared" si="180"/>
        <v>0</v>
      </c>
      <c r="F29" s="183">
        <f t="shared" si="50"/>
        <v>0</v>
      </c>
      <c r="G29" s="177">
        <f t="shared" si="181"/>
        <v>0</v>
      </c>
      <c r="H29" s="204">
        <f t="shared" si="181"/>
        <v>0</v>
      </c>
      <c r="I29" s="204">
        <f t="shared" si="181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82"/>
        <v>0</v>
      </c>
      <c r="N29" s="90">
        <f t="shared" si="183"/>
        <v>0</v>
      </c>
      <c r="O29" s="90">
        <f t="shared" si="184"/>
        <v>0</v>
      </c>
      <c r="P29" s="91">
        <f t="shared" si="185"/>
        <v>0</v>
      </c>
      <c r="Q29" s="240">
        <f>IFERROR(VLOOKUP($B29 &amp; $C29&amp;CompareVer,tblForecast,Q$2,FALSE),0)</f>
        <v>0</v>
      </c>
      <c r="R29" s="242">
        <f t="shared" si="186"/>
        <v>0</v>
      </c>
      <c r="S29" s="242">
        <f t="shared" si="186"/>
        <v>0</v>
      </c>
      <c r="T29" s="242">
        <f>IFERROR(VLOOKUP($B29-IF(CompareVer="LY",1,0) &amp; $C29 &amp;T$4,tblForecast,T$2,FALSE),0)</f>
        <v>0</v>
      </c>
      <c r="U29" s="91">
        <f t="shared" si="7"/>
        <v>0</v>
      </c>
      <c r="V29" s="247">
        <f t="shared" si="187"/>
        <v>0</v>
      </c>
      <c r="W29" s="333">
        <f t="shared" si="187"/>
        <v>0</v>
      </c>
      <c r="X29" s="248">
        <f t="shared" si="188"/>
        <v>0</v>
      </c>
      <c r="Y29" s="97">
        <f t="shared" si="189"/>
        <v>0</v>
      </c>
      <c r="Z29" s="90">
        <f t="shared" si="189"/>
        <v>0</v>
      </c>
      <c r="AA29" s="90">
        <f t="shared" si="189"/>
        <v>0</v>
      </c>
      <c r="AB29" s="90">
        <f t="shared" si="189"/>
        <v>0</v>
      </c>
      <c r="AC29" s="91">
        <f t="shared" si="190"/>
        <v>0</v>
      </c>
      <c r="AD29" s="75">
        <f t="shared" si="191"/>
        <v>0</v>
      </c>
      <c r="AE29" s="93">
        <f t="shared" si="192"/>
        <v>0</v>
      </c>
      <c r="AF29" s="93">
        <f t="shared" si="193"/>
        <v>0</v>
      </c>
      <c r="AG29" s="93">
        <f t="shared" si="194"/>
        <v>0</v>
      </c>
      <c r="AH29" s="104">
        <f>IFERROR(VLOOKUP($B29 &amp; $C29&amp;CompareVer,tblForecast,AH$2,FALSE),0)</f>
        <v>0</v>
      </c>
      <c r="AI29" s="94">
        <f t="shared" si="195"/>
        <v>0</v>
      </c>
      <c r="AJ29" s="94">
        <f t="shared" si="195"/>
        <v>0</v>
      </c>
      <c r="AK29" s="94">
        <f>IFERROR(VLOOKUP($B29-IF(CompareVer="LY",1,0) &amp; $C29 &amp;AK$4,tblForecast,AK$2,FALSE),0)</f>
        <v>0</v>
      </c>
      <c r="AL29" s="91">
        <f t="shared" si="196"/>
        <v>0</v>
      </c>
      <c r="AM29" s="104">
        <f>IFERROR(VLOOKUP($B29 &amp; $C29&amp;CompareVer,tblForecast,AM$2,FALSE),0)</f>
        <v>0</v>
      </c>
      <c r="AN29" s="94">
        <f t="shared" si="197"/>
        <v>0</v>
      </c>
      <c r="AO29" s="94">
        <f t="shared" si="197"/>
        <v>0</v>
      </c>
      <c r="AP29" s="94">
        <f>IFERROR(VLOOKUP($B29-IF(CompareVer="LY",1,0) &amp; $C29 &amp;AP$4,tblForecast,AP$2,FALSE),0)</f>
        <v>0</v>
      </c>
      <c r="AQ29" s="91">
        <f t="shared" si="198"/>
        <v>0</v>
      </c>
      <c r="AR29" s="104">
        <f>IFERROR(VLOOKUP($B29 &amp; $C29&amp;CompareVer,tblForecast,AR$2,FALSE),0)</f>
        <v>0</v>
      </c>
      <c r="AS29" s="94">
        <f t="shared" si="199"/>
        <v>0</v>
      </c>
      <c r="AT29" s="94">
        <f t="shared" si="199"/>
        <v>0</v>
      </c>
      <c r="AU29" s="94">
        <f>IFERROR(VLOOKUP($B29-IF(CompareVer="LY",1,0) &amp; $C29 &amp;AU$4,tblForecast,AU$2,FALSE),0)</f>
        <v>0</v>
      </c>
      <c r="AV29" s="91">
        <f t="shared" si="200"/>
        <v>0</v>
      </c>
      <c r="AW29" s="182">
        <f t="shared" si="201"/>
        <v>0</v>
      </c>
      <c r="AX29" s="183">
        <f t="shared" si="202"/>
        <v>0</v>
      </c>
      <c r="AY29" s="183">
        <f t="shared" si="203"/>
        <v>0</v>
      </c>
      <c r="AZ29" s="183">
        <f t="shared" si="204"/>
        <v>0</v>
      </c>
      <c r="BA29" s="229">
        <f t="shared" si="205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206"/>
        <v>0</v>
      </c>
      <c r="BD29" s="230">
        <f t="shared" si="207"/>
        <v>0</v>
      </c>
      <c r="BE29" s="178">
        <f t="shared" si="156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208"/>
        <v>0</v>
      </c>
      <c r="BJ29" s="185">
        <f t="shared" si="20"/>
        <v>0</v>
      </c>
      <c r="BK29" s="96">
        <f t="shared" si="209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210"/>
        <v>0</v>
      </c>
      <c r="BS29" s="230">
        <f t="shared" si="211"/>
        <v>0</v>
      </c>
      <c r="BT29" s="229">
        <f t="shared" si="212"/>
        <v>0</v>
      </c>
      <c r="BU29" s="230">
        <f t="shared" si="212"/>
        <v>0</v>
      </c>
      <c r="BV29" s="230">
        <f>IFERROR(VLOOKUP($B29 &amp; $C29&amp;CompareVer,tblForecast,BV$2,FALSE),0)</f>
        <v>0</v>
      </c>
      <c r="BW29" s="230">
        <f t="shared" si="213"/>
        <v>0</v>
      </c>
      <c r="BX29" s="230">
        <f t="shared" si="213"/>
        <v>0</v>
      </c>
      <c r="BY29" s="177">
        <f>IFERROR(VLOOKUP($B29-IF(CompareVer="LY",1,0) &amp; $C29 &amp;BY$4,tblForecast,BY$2,FALSE),0)</f>
        <v>0</v>
      </c>
      <c r="BZ29" s="178">
        <f t="shared" si="25"/>
        <v>0</v>
      </c>
      <c r="CA29" s="90">
        <f t="shared" si="214"/>
        <v>0</v>
      </c>
      <c r="CB29" s="90">
        <f t="shared" si="214"/>
        <v>0</v>
      </c>
      <c r="CC29" s="90">
        <f>IFERROR(VLOOKUP($B29 &amp; $C29&amp;CompareVer,tblForecast,CC$2,FALSE),0)</f>
        <v>0</v>
      </c>
      <c r="CD29" s="90">
        <f t="shared" si="215"/>
        <v>0</v>
      </c>
      <c r="CE29" s="90">
        <f t="shared" si="215"/>
        <v>0</v>
      </c>
      <c r="CF29" s="90">
        <f>IFERROR(VLOOKUP($B29-IF(CompareVer="LY",1,0) &amp; $C29 &amp;CF$4,tblForecast,CF$2,FALSE),0)</f>
        <v>0</v>
      </c>
      <c r="CG29" s="178">
        <f t="shared" si="28"/>
        <v>0</v>
      </c>
      <c r="CH29" s="90">
        <f t="shared" si="216"/>
        <v>0</v>
      </c>
      <c r="CI29" s="90">
        <f t="shared" si="216"/>
        <v>0</v>
      </c>
      <c r="CJ29" s="90">
        <f>IFERROR(VLOOKUP($B29 &amp; $C29&amp;CompareVer,tblForecast,CJ$2,FALSE),0)</f>
        <v>0</v>
      </c>
      <c r="CK29" s="90">
        <f t="shared" si="217"/>
        <v>0</v>
      </c>
      <c r="CL29" s="90">
        <f t="shared" si="217"/>
        <v>0</v>
      </c>
      <c r="CM29" s="90">
        <f>IFERROR(VLOOKUP($B29-IF(CompareVer="LY",1,0) &amp; $C29 &amp;CM$4,tblForecast,CM$2,FALSE),0)</f>
        <v>0</v>
      </c>
      <c r="CN29" s="178">
        <f t="shared" si="31"/>
        <v>0</v>
      </c>
      <c r="CO29" s="179">
        <f t="shared" si="51"/>
        <v>0</v>
      </c>
      <c r="CP29" s="225">
        <f t="shared" si="33"/>
        <v>0</v>
      </c>
      <c r="CQ29" s="178">
        <f t="shared" si="34"/>
        <v>0</v>
      </c>
      <c r="CR29" s="179">
        <f t="shared" si="49"/>
        <v>0</v>
      </c>
      <c r="CS29" s="225">
        <f t="shared" si="35"/>
        <v>0</v>
      </c>
      <c r="CT29" s="178">
        <f t="shared" si="52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7"/>
        <v>0</v>
      </c>
      <c r="CZ29" s="280">
        <f>IFERROR(VLOOKUP(Brand&amp;Channel&amp;Country&amp;$C29,tblDiscount,6,FALSE),0)</f>
        <v>0.5</v>
      </c>
      <c r="DA29" s="281">
        <f>(1-CZ29)*DB29</f>
        <v>12.565</v>
      </c>
      <c r="DB29" s="281">
        <f>IFERROR(VLOOKUP(Brand&amp;Country &amp; Channel &amp;FC,tblFCSettings,8,FALSE),0)</f>
        <v>25.13</v>
      </c>
      <c r="DC29" s="282">
        <f>IFERROR(VLOOKUP(Brand&amp;Country &amp; Channel &amp;FC,tblFCSettings,9,FALSE),0)</f>
        <v>4.22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79"/>
        <v>0</v>
      </c>
      <c r="E30" s="203">
        <f t="shared" si="180"/>
        <v>0</v>
      </c>
      <c r="F30" s="183">
        <f t="shared" si="50"/>
        <v>0</v>
      </c>
      <c r="G30" s="177">
        <f t="shared" si="181"/>
        <v>0</v>
      </c>
      <c r="H30" s="204">
        <f t="shared" si="181"/>
        <v>0</v>
      </c>
      <c r="I30" s="204">
        <f t="shared" si="181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82"/>
        <v>0</v>
      </c>
      <c r="N30" s="90">
        <f t="shared" si="183"/>
        <v>0</v>
      </c>
      <c r="O30" s="90">
        <f t="shared" si="184"/>
        <v>0</v>
      </c>
      <c r="P30" s="91">
        <f t="shared" si="185"/>
        <v>0</v>
      </c>
      <c r="Q30" s="240">
        <f>IFERROR(VLOOKUP($B30 &amp; $C30&amp;CompareVer,tblForecast,Q$2,FALSE),0)</f>
        <v>0</v>
      </c>
      <c r="R30" s="242">
        <f t="shared" si="186"/>
        <v>0</v>
      </c>
      <c r="S30" s="242">
        <f t="shared" si="186"/>
        <v>0</v>
      </c>
      <c r="T30" s="242">
        <f>IFERROR(VLOOKUP($B30-IF(CompareVer="LY",1,0) &amp; $C30 &amp;T$4,tblForecast,T$2,FALSE),0)</f>
        <v>0</v>
      </c>
      <c r="U30" s="91">
        <f t="shared" si="7"/>
        <v>0</v>
      </c>
      <c r="V30" s="247">
        <f t="shared" si="187"/>
        <v>0</v>
      </c>
      <c r="W30" s="333">
        <f t="shared" si="187"/>
        <v>0</v>
      </c>
      <c r="X30" s="248">
        <f t="shared" si="188"/>
        <v>0</v>
      </c>
      <c r="Y30" s="97">
        <f t="shared" si="189"/>
        <v>0</v>
      </c>
      <c r="Z30" s="90">
        <f t="shared" si="189"/>
        <v>0</v>
      </c>
      <c r="AA30" s="90">
        <f t="shared" si="189"/>
        <v>0</v>
      </c>
      <c r="AB30" s="90">
        <f t="shared" si="189"/>
        <v>0</v>
      </c>
      <c r="AC30" s="91">
        <f t="shared" si="190"/>
        <v>0</v>
      </c>
      <c r="AD30" s="75">
        <f t="shared" si="191"/>
        <v>0</v>
      </c>
      <c r="AE30" s="93">
        <f t="shared" si="192"/>
        <v>0</v>
      </c>
      <c r="AF30" s="93">
        <f t="shared" si="193"/>
        <v>0</v>
      </c>
      <c r="AG30" s="93">
        <f t="shared" si="194"/>
        <v>0</v>
      </c>
      <c r="AH30" s="104">
        <f>IFERROR(VLOOKUP($B30 &amp; $C30&amp;CompareVer,tblForecast,AH$2,FALSE),0)</f>
        <v>0</v>
      </c>
      <c r="AI30" s="94">
        <f t="shared" si="195"/>
        <v>0</v>
      </c>
      <c r="AJ30" s="94">
        <f t="shared" si="195"/>
        <v>0</v>
      </c>
      <c r="AK30" s="94">
        <f>IFERROR(VLOOKUP($B30-IF(CompareVer="LY",1,0) &amp; $C30 &amp;AK$4,tblForecast,AK$2,FALSE),0)</f>
        <v>0</v>
      </c>
      <c r="AL30" s="91">
        <f t="shared" si="196"/>
        <v>0</v>
      </c>
      <c r="AM30" s="104">
        <f>IFERROR(VLOOKUP($B30 &amp; $C30&amp;CompareVer,tblForecast,AM$2,FALSE),0)</f>
        <v>0</v>
      </c>
      <c r="AN30" s="94">
        <f t="shared" si="197"/>
        <v>0</v>
      </c>
      <c r="AO30" s="94">
        <f t="shared" si="197"/>
        <v>0</v>
      </c>
      <c r="AP30" s="94">
        <f>IFERROR(VLOOKUP($B30-IF(CompareVer="LY",1,0) &amp; $C30 &amp;AP$4,tblForecast,AP$2,FALSE),0)</f>
        <v>0</v>
      </c>
      <c r="AQ30" s="91">
        <f t="shared" si="198"/>
        <v>0</v>
      </c>
      <c r="AR30" s="104">
        <f>IFERROR(VLOOKUP($B30 &amp; $C30&amp;CompareVer,tblForecast,AR$2,FALSE),0)</f>
        <v>0</v>
      </c>
      <c r="AS30" s="94">
        <f t="shared" si="199"/>
        <v>0</v>
      </c>
      <c r="AT30" s="94">
        <f t="shared" si="199"/>
        <v>0</v>
      </c>
      <c r="AU30" s="94">
        <f>IFERROR(VLOOKUP($B30-IF(CompareVer="LY",1,0) &amp; $C30 &amp;AU$4,tblForecast,AU$2,FALSE),0)</f>
        <v>0</v>
      </c>
      <c r="AV30" s="91">
        <f t="shared" si="200"/>
        <v>0</v>
      </c>
      <c r="AW30" s="182">
        <f t="shared" si="201"/>
        <v>0</v>
      </c>
      <c r="AX30" s="183">
        <f t="shared" si="202"/>
        <v>0</v>
      </c>
      <c r="AY30" s="183">
        <f t="shared" si="203"/>
        <v>0</v>
      </c>
      <c r="AZ30" s="183">
        <f t="shared" si="204"/>
        <v>0</v>
      </c>
      <c r="BA30" s="229">
        <f t="shared" si="205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206"/>
        <v>0</v>
      </c>
      <c r="BD30" s="230">
        <f t="shared" si="207"/>
        <v>0</v>
      </c>
      <c r="BE30" s="178">
        <f t="shared" si="156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208"/>
        <v>0</v>
      </c>
      <c r="BJ30" s="185">
        <f t="shared" si="20"/>
        <v>0</v>
      </c>
      <c r="BK30" s="96">
        <f t="shared" si="209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210"/>
        <v>0</v>
      </c>
      <c r="BS30" s="230">
        <f t="shared" si="211"/>
        <v>0</v>
      </c>
      <c r="BT30" s="229">
        <f t="shared" si="212"/>
        <v>0</v>
      </c>
      <c r="BU30" s="230">
        <f t="shared" si="212"/>
        <v>0</v>
      </c>
      <c r="BV30" s="230">
        <f>IFERROR(VLOOKUP($B30 &amp; $C30&amp;CompareVer,tblForecast,BV$2,FALSE),0)</f>
        <v>0</v>
      </c>
      <c r="BW30" s="230">
        <f t="shared" si="213"/>
        <v>0</v>
      </c>
      <c r="BX30" s="230">
        <f t="shared" si="213"/>
        <v>0</v>
      </c>
      <c r="BY30" s="177">
        <f>IFERROR(VLOOKUP($B30-IF(CompareVer="LY",1,0) &amp; $C30 &amp;BY$4,tblForecast,BY$2,FALSE),0)</f>
        <v>0</v>
      </c>
      <c r="BZ30" s="178">
        <f t="shared" si="25"/>
        <v>0</v>
      </c>
      <c r="CA30" s="90">
        <f t="shared" si="214"/>
        <v>0</v>
      </c>
      <c r="CB30" s="90">
        <f t="shared" si="214"/>
        <v>0</v>
      </c>
      <c r="CC30" s="90">
        <f>IFERROR(VLOOKUP($B30 &amp; $C30&amp;CompareVer,tblForecast,CC$2,FALSE),0)</f>
        <v>0</v>
      </c>
      <c r="CD30" s="90">
        <f t="shared" si="215"/>
        <v>0</v>
      </c>
      <c r="CE30" s="90">
        <f t="shared" si="215"/>
        <v>0</v>
      </c>
      <c r="CF30" s="90">
        <f>IFERROR(VLOOKUP($B30-IF(CompareVer="LY",1,0) &amp; $C30 &amp;CF$4,tblForecast,CF$2,FALSE),0)</f>
        <v>0</v>
      </c>
      <c r="CG30" s="178">
        <f t="shared" si="28"/>
        <v>0</v>
      </c>
      <c r="CH30" s="90">
        <f t="shared" si="216"/>
        <v>0</v>
      </c>
      <c r="CI30" s="90">
        <f t="shared" si="216"/>
        <v>0</v>
      </c>
      <c r="CJ30" s="90">
        <f>IFERROR(VLOOKUP($B30 &amp; $C30&amp;CompareVer,tblForecast,CJ$2,FALSE),0)</f>
        <v>0</v>
      </c>
      <c r="CK30" s="90">
        <f t="shared" si="217"/>
        <v>0</v>
      </c>
      <c r="CL30" s="90">
        <f t="shared" si="217"/>
        <v>0</v>
      </c>
      <c r="CM30" s="90">
        <f>IFERROR(VLOOKUP($B30-IF(CompareVer="LY",1,0) &amp; $C30 &amp;CM$4,tblForecast,CM$2,FALSE),0)</f>
        <v>0</v>
      </c>
      <c r="CN30" s="178">
        <f t="shared" si="31"/>
        <v>0</v>
      </c>
      <c r="CO30" s="179">
        <f t="shared" si="51"/>
        <v>0</v>
      </c>
      <c r="CP30" s="225">
        <f t="shared" si="33"/>
        <v>0</v>
      </c>
      <c r="CQ30" s="178">
        <f t="shared" si="34"/>
        <v>0</v>
      </c>
      <c r="CR30" s="179">
        <f t="shared" si="49"/>
        <v>0</v>
      </c>
      <c r="CS30" s="225">
        <f t="shared" si="35"/>
        <v>0</v>
      </c>
      <c r="CT30" s="178">
        <f t="shared" si="52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7"/>
        <v>0</v>
      </c>
      <c r="CZ30" s="280">
        <f>IFERROR(VLOOKUP(Brand&amp;Channel&amp;Country&amp;$C30,tblDiscount,6,FALSE),0)</f>
        <v>0.5</v>
      </c>
      <c r="DA30" s="281">
        <f>(1-CZ30)*DB30</f>
        <v>12.565</v>
      </c>
      <c r="DB30" s="281">
        <f>IFERROR(VLOOKUP(Brand&amp;Country &amp; Channel &amp;FC,tblFCSettings,8,FALSE),0)</f>
        <v>25.13</v>
      </c>
      <c r="DC30" s="282">
        <f>IFERROR(VLOOKUP(Brand&amp;Country &amp; Channel &amp;FC,tblFCSettings,9,FALSE),0)</f>
        <v>4.22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79"/>
        <v>0</v>
      </c>
      <c r="E31" s="203">
        <f t="shared" si="180"/>
        <v>0</v>
      </c>
      <c r="F31" s="183">
        <f t="shared" si="50"/>
        <v>0</v>
      </c>
      <c r="G31" s="177">
        <f t="shared" si="181"/>
        <v>0</v>
      </c>
      <c r="H31" s="204">
        <f t="shared" si="181"/>
        <v>0</v>
      </c>
      <c r="I31" s="204">
        <f t="shared" si="181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82"/>
        <v>0</v>
      </c>
      <c r="N31" s="90">
        <f t="shared" si="183"/>
        <v>0</v>
      </c>
      <c r="O31" s="90">
        <f t="shared" si="184"/>
        <v>0</v>
      </c>
      <c r="P31" s="91">
        <f t="shared" si="185"/>
        <v>0</v>
      </c>
      <c r="Q31" s="240">
        <f>IFERROR(VLOOKUP($B31 &amp; $C31&amp;CompareVer,tblForecast,Q$2,FALSE),0)</f>
        <v>0</v>
      </c>
      <c r="R31" s="242">
        <f t="shared" si="186"/>
        <v>0</v>
      </c>
      <c r="S31" s="242">
        <f t="shared" si="186"/>
        <v>0</v>
      </c>
      <c r="T31" s="242">
        <f>IFERROR(VLOOKUP($B31-IF(CompareVer="LY",1,0) &amp; $C31 &amp;T$4,tblForecast,T$2,FALSE),0)</f>
        <v>0</v>
      </c>
      <c r="U31" s="91">
        <f t="shared" si="7"/>
        <v>0</v>
      </c>
      <c r="V31" s="247">
        <f t="shared" si="187"/>
        <v>0</v>
      </c>
      <c r="W31" s="333">
        <f t="shared" si="187"/>
        <v>0</v>
      </c>
      <c r="X31" s="248">
        <f t="shared" si="188"/>
        <v>0</v>
      </c>
      <c r="Y31" s="97">
        <f t="shared" si="189"/>
        <v>0</v>
      </c>
      <c r="Z31" s="90">
        <f t="shared" si="189"/>
        <v>0</v>
      </c>
      <c r="AA31" s="90">
        <f t="shared" si="189"/>
        <v>0</v>
      </c>
      <c r="AB31" s="90">
        <f t="shared" si="189"/>
        <v>0</v>
      </c>
      <c r="AC31" s="91">
        <f t="shared" si="190"/>
        <v>0</v>
      </c>
      <c r="AD31" s="75">
        <f t="shared" si="191"/>
        <v>0</v>
      </c>
      <c r="AE31" s="93">
        <f t="shared" si="192"/>
        <v>0</v>
      </c>
      <c r="AF31" s="93">
        <f t="shared" si="193"/>
        <v>0</v>
      </c>
      <c r="AG31" s="93">
        <f t="shared" si="194"/>
        <v>0</v>
      </c>
      <c r="AH31" s="104">
        <f>IFERROR(VLOOKUP($B31 &amp; $C31&amp;CompareVer,tblForecast,AH$2,FALSE),0)</f>
        <v>0</v>
      </c>
      <c r="AI31" s="94">
        <f t="shared" si="195"/>
        <v>0</v>
      </c>
      <c r="AJ31" s="94">
        <f t="shared" si="195"/>
        <v>0</v>
      </c>
      <c r="AK31" s="94">
        <f>IFERROR(VLOOKUP($B31-IF(CompareVer="LY",1,0) &amp; $C31 &amp;AK$4,tblForecast,AK$2,FALSE),0)</f>
        <v>0</v>
      </c>
      <c r="AL31" s="91">
        <f t="shared" si="196"/>
        <v>0</v>
      </c>
      <c r="AM31" s="104">
        <f>IFERROR(VLOOKUP($B31 &amp; $C31&amp;CompareVer,tblForecast,AM$2,FALSE),0)</f>
        <v>0</v>
      </c>
      <c r="AN31" s="94">
        <f t="shared" si="197"/>
        <v>0</v>
      </c>
      <c r="AO31" s="94">
        <f t="shared" si="197"/>
        <v>0</v>
      </c>
      <c r="AP31" s="94">
        <f>IFERROR(VLOOKUP($B31-IF(CompareVer="LY",1,0) &amp; $C31 &amp;AP$4,tblForecast,AP$2,FALSE),0)</f>
        <v>0</v>
      </c>
      <c r="AQ31" s="91">
        <f t="shared" si="198"/>
        <v>0</v>
      </c>
      <c r="AR31" s="104">
        <f>IFERROR(VLOOKUP($B31 &amp; $C31&amp;CompareVer,tblForecast,AR$2,FALSE),0)</f>
        <v>0</v>
      </c>
      <c r="AS31" s="94">
        <f t="shared" si="199"/>
        <v>0</v>
      </c>
      <c r="AT31" s="94">
        <f t="shared" si="199"/>
        <v>0</v>
      </c>
      <c r="AU31" s="94">
        <f>IFERROR(VLOOKUP($B31-IF(CompareVer="LY",1,0) &amp; $C31 &amp;AU$4,tblForecast,AU$2,FALSE),0)</f>
        <v>0</v>
      </c>
      <c r="AV31" s="91">
        <f t="shared" si="200"/>
        <v>0</v>
      </c>
      <c r="AW31" s="182">
        <f t="shared" si="201"/>
        <v>0</v>
      </c>
      <c r="AX31" s="183">
        <f t="shared" si="202"/>
        <v>0</v>
      </c>
      <c r="AY31" s="183">
        <f t="shared" si="203"/>
        <v>0</v>
      </c>
      <c r="AZ31" s="183">
        <f t="shared" si="204"/>
        <v>0</v>
      </c>
      <c r="BA31" s="229">
        <f t="shared" si="205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206"/>
        <v>0</v>
      </c>
      <c r="BD31" s="230">
        <f t="shared" si="207"/>
        <v>0</v>
      </c>
      <c r="BE31" s="178">
        <f t="shared" si="156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208"/>
        <v>0</v>
      </c>
      <c r="BJ31" s="185">
        <f t="shared" si="20"/>
        <v>0</v>
      </c>
      <c r="BK31" s="96">
        <f t="shared" si="209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210"/>
        <v>0</v>
      </c>
      <c r="BS31" s="230">
        <f t="shared" si="211"/>
        <v>0</v>
      </c>
      <c r="BT31" s="229">
        <f t="shared" si="212"/>
        <v>0</v>
      </c>
      <c r="BU31" s="230">
        <f t="shared" si="212"/>
        <v>0</v>
      </c>
      <c r="BV31" s="230">
        <f>IFERROR(VLOOKUP($B31 &amp; $C31&amp;CompareVer,tblForecast,BV$2,FALSE),0)</f>
        <v>0</v>
      </c>
      <c r="BW31" s="230">
        <f t="shared" si="213"/>
        <v>0</v>
      </c>
      <c r="BX31" s="230">
        <f t="shared" si="213"/>
        <v>0</v>
      </c>
      <c r="BY31" s="177">
        <f>IFERROR(VLOOKUP($B31-IF(CompareVer="LY",1,0) &amp; $C31 &amp;BY$4,tblForecast,BY$2,FALSE),0)</f>
        <v>0</v>
      </c>
      <c r="BZ31" s="178">
        <f t="shared" si="25"/>
        <v>0</v>
      </c>
      <c r="CA31" s="90">
        <f t="shared" si="214"/>
        <v>0</v>
      </c>
      <c r="CB31" s="90">
        <f t="shared" si="214"/>
        <v>0</v>
      </c>
      <c r="CC31" s="90">
        <f>IFERROR(VLOOKUP($B31 &amp; $C31&amp;CompareVer,tblForecast,CC$2,FALSE),0)</f>
        <v>0</v>
      </c>
      <c r="CD31" s="90">
        <f t="shared" si="215"/>
        <v>0</v>
      </c>
      <c r="CE31" s="90">
        <f t="shared" si="215"/>
        <v>0</v>
      </c>
      <c r="CF31" s="90">
        <f>IFERROR(VLOOKUP($B31-IF(CompareVer="LY",1,0) &amp; $C31 &amp;CF$4,tblForecast,CF$2,FALSE),0)</f>
        <v>0</v>
      </c>
      <c r="CG31" s="178">
        <f t="shared" si="28"/>
        <v>0</v>
      </c>
      <c r="CH31" s="90">
        <f t="shared" si="216"/>
        <v>0</v>
      </c>
      <c r="CI31" s="90">
        <f t="shared" si="216"/>
        <v>0</v>
      </c>
      <c r="CJ31" s="90">
        <f>IFERROR(VLOOKUP($B31 &amp; $C31&amp;CompareVer,tblForecast,CJ$2,FALSE),0)</f>
        <v>0</v>
      </c>
      <c r="CK31" s="90">
        <f t="shared" si="217"/>
        <v>0</v>
      </c>
      <c r="CL31" s="90">
        <f t="shared" si="217"/>
        <v>0</v>
      </c>
      <c r="CM31" s="90">
        <f>IFERROR(VLOOKUP($B31-IF(CompareVer="LY",1,0) &amp; $C31 &amp;CM$4,tblForecast,CM$2,FALSE),0)</f>
        <v>0</v>
      </c>
      <c r="CN31" s="178">
        <f t="shared" si="31"/>
        <v>0</v>
      </c>
      <c r="CO31" s="179">
        <f t="shared" si="51"/>
        <v>0</v>
      </c>
      <c r="CP31" s="225">
        <f t="shared" si="33"/>
        <v>0</v>
      </c>
      <c r="CQ31" s="178">
        <f t="shared" si="34"/>
        <v>0</v>
      </c>
      <c r="CR31" s="179">
        <f t="shared" si="49"/>
        <v>0</v>
      </c>
      <c r="CS31" s="225">
        <f t="shared" si="35"/>
        <v>0</v>
      </c>
      <c r="CT31" s="178">
        <f t="shared" si="52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7"/>
        <v>0</v>
      </c>
      <c r="CZ31" s="280">
        <f>IFERROR(VLOOKUP(Brand&amp;Channel&amp;Country&amp;$C31,tblDiscount,6,FALSE),0)</f>
        <v>0.55000000000000004</v>
      </c>
      <c r="DA31" s="281">
        <f>(1-CZ31)*DB31</f>
        <v>11.308499999999999</v>
      </c>
      <c r="DB31" s="281">
        <f>IFERROR(VLOOKUP(Brand&amp;Country &amp; Channel &amp;FC,tblFCSettings,8,FALSE),0)</f>
        <v>25.13</v>
      </c>
      <c r="DC31" s="282">
        <f>IFERROR(VLOOKUP(Brand&amp;Country &amp; Channel &amp;FC,tblFCSettings,9,FALSE),0)</f>
        <v>4.22</v>
      </c>
    </row>
    <row r="32" spans="1:107" ht="16.5" thickBot="1" x14ac:dyDescent="0.3">
      <c r="C32" s="255" t="s">
        <v>28</v>
      </c>
      <c r="D32" s="256">
        <f t="shared" ref="D32" si="218">SUM(D28:D31)</f>
        <v>0</v>
      </c>
      <c r="E32" s="257">
        <f t="shared" ref="E32" si="219">SUM(E28:E31)</f>
        <v>0</v>
      </c>
      <c r="F32" s="258">
        <f t="shared" si="50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220">SUM(M28:M31)</f>
        <v>0</v>
      </c>
      <c r="N32" s="261">
        <f t="shared" si="220"/>
        <v>0</v>
      </c>
      <c r="O32" s="261">
        <f t="shared" si="220"/>
        <v>0</v>
      </c>
      <c r="P32" s="262">
        <f t="shared" si="40"/>
        <v>0</v>
      </c>
      <c r="Q32" s="263">
        <f>SUM(Q28:Q31)</f>
        <v>0</v>
      </c>
      <c r="R32" s="264">
        <f t="shared" ref="R32" si="221">SUM(R28:R31)</f>
        <v>0</v>
      </c>
      <c r="S32" s="264">
        <f t="shared" ref="S32" si="222">SUM(S28:S31)</f>
        <v>0</v>
      </c>
      <c r="T32" s="264">
        <f>SUM(T28:T31)</f>
        <v>0</v>
      </c>
      <c r="U32" s="262">
        <f t="shared" si="7"/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223">SUM(Z28:Z31)</f>
        <v>0</v>
      </c>
      <c r="AA32" s="261">
        <f t="shared" si="223"/>
        <v>0</v>
      </c>
      <c r="AB32" s="261">
        <f t="shared" si="223"/>
        <v>0</v>
      </c>
      <c r="AC32" s="262">
        <f t="shared" si="9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" si="224">IFERROR(SUMPRODUCT(AJ28:AJ31,S28:S31)/S32,0)</f>
        <v>0</v>
      </c>
      <c r="AK32" s="270">
        <f t="shared" ref="AK32" si="225">IFERROR(SUMPRODUCT(AK28:AK31,T28:T31)/T32,0)</f>
        <v>0</v>
      </c>
      <c r="AL32" s="262">
        <f t="shared" si="196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98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200"/>
        <v>0</v>
      </c>
      <c r="AW32" s="271">
        <f t="shared" si="201"/>
        <v>0</v>
      </c>
      <c r="AX32" s="272">
        <f t="shared" si="202"/>
        <v>0</v>
      </c>
      <c r="AY32" s="272">
        <f t="shared" si="203"/>
        <v>0</v>
      </c>
      <c r="AZ32" s="272">
        <f t="shared" si="204"/>
        <v>0</v>
      </c>
      <c r="BA32" s="263">
        <f>BA31</f>
        <v>0</v>
      </c>
      <c r="BB32" s="264">
        <f t="shared" ref="BB32" si="226">BB31</f>
        <v>0</v>
      </c>
      <c r="BC32" s="264">
        <f t="shared" ref="BC32" si="227">BC31</f>
        <v>0</v>
      </c>
      <c r="BD32" s="264">
        <f t="shared" ref="BD32" si="228">BD31</f>
        <v>0</v>
      </c>
      <c r="BE32" s="262">
        <f t="shared" ref="BE32:BE37" si="229">IFERROR(BA32/BD32-1,)</f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 t="shared" si="20"/>
        <v>0</v>
      </c>
      <c r="BK32" s="276">
        <f t="shared" si="21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230">SUM(BO28:BO31)</f>
        <v>0</v>
      </c>
      <c r="BP32" s="263">
        <f>SUM(BP28:BP31)</f>
        <v>0</v>
      </c>
      <c r="BQ32" s="264">
        <f t="shared" si="230"/>
        <v>0</v>
      </c>
      <c r="BR32" s="263">
        <f t="shared" si="45"/>
        <v>0</v>
      </c>
      <c r="BS32" s="264">
        <f t="shared" si="22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" si="231">SUM(BW28:BW31)</f>
        <v>0</v>
      </c>
      <c r="BX32" s="264">
        <f t="shared" ref="BX32" si="232">SUM(BX28:BX31)</f>
        <v>0</v>
      </c>
      <c r="BY32" s="277">
        <f>SUM(BY28:BY31)</f>
        <v>0</v>
      </c>
      <c r="BZ32" s="262">
        <f t="shared" si="25"/>
        <v>0</v>
      </c>
      <c r="CA32" s="261">
        <f t="shared" ref="CA32:CF32" si="233">SUM(CA28:CA31)</f>
        <v>0</v>
      </c>
      <c r="CB32" s="261">
        <f t="shared" si="233"/>
        <v>0</v>
      </c>
      <c r="CC32" s="261">
        <f>SUM(CC28:CC31)</f>
        <v>0</v>
      </c>
      <c r="CD32" s="261">
        <f t="shared" si="233"/>
        <v>0</v>
      </c>
      <c r="CE32" s="261">
        <f t="shared" si="233"/>
        <v>0</v>
      </c>
      <c r="CF32" s="261">
        <f t="shared" si="233"/>
        <v>0</v>
      </c>
      <c r="CG32" s="262">
        <f t="shared" si="28"/>
        <v>0</v>
      </c>
      <c r="CH32" s="261">
        <f t="shared" ref="CH32:CM32" si="234">SUM(CH28:CH31)</f>
        <v>0</v>
      </c>
      <c r="CI32" s="261">
        <f t="shared" si="234"/>
        <v>0</v>
      </c>
      <c r="CJ32" s="261">
        <f>SUM(CJ28:CJ31)</f>
        <v>0</v>
      </c>
      <c r="CK32" s="261">
        <f t="shared" si="234"/>
        <v>0</v>
      </c>
      <c r="CL32" s="261">
        <f t="shared" si="234"/>
        <v>0</v>
      </c>
      <c r="CM32" s="261">
        <f t="shared" si="234"/>
        <v>0</v>
      </c>
      <c r="CN32" s="262">
        <f t="shared" si="31"/>
        <v>0</v>
      </c>
      <c r="CO32" s="278">
        <f t="shared" si="51"/>
        <v>0</v>
      </c>
      <c r="CP32" s="279">
        <f t="shared" si="33"/>
        <v>0</v>
      </c>
      <c r="CQ32" s="262">
        <f t="shared" si="34"/>
        <v>0</v>
      </c>
      <c r="CR32" s="278">
        <f t="shared" si="49"/>
        <v>0</v>
      </c>
      <c r="CS32" s="279">
        <f t="shared" si="35"/>
        <v>0</v>
      </c>
      <c r="CT32" s="262">
        <f t="shared" si="52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7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50"/>
        <v>0</v>
      </c>
      <c r="G33" s="199">
        <f t="shared" ref="G33:I37" si="235">IFERROR(VLOOKUP($B33 &amp; $C33&amp;G$4&amp;$A33,tblForecast,G$2,FALSE),0)</f>
        <v>0</v>
      </c>
      <c r="H33" s="202">
        <f t="shared" si="235"/>
        <v>0</v>
      </c>
      <c r="I33" s="202">
        <f t="shared" si="235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M34" si="236">R33*AN33</f>
        <v>0</v>
      </c>
      <c r="N33" s="90">
        <f t="shared" ref="N33:N34" si="237">S33*AO33</f>
        <v>0</v>
      </c>
      <c r="O33" s="90">
        <f t="shared" ref="O33:O34" si="238">T33*AP33</f>
        <v>0</v>
      </c>
      <c r="P33" s="91">
        <f t="shared" ref="P33:P34" si="239">IFERROR(L33/O33-1,)</f>
        <v>0</v>
      </c>
      <c r="Q33" s="240">
        <f>IFERROR(VLOOKUP($B33 &amp; $C33&amp;CompareVer,tblForecast,Q$2,FALSE),0)</f>
        <v>0</v>
      </c>
      <c r="R33" s="241">
        <f t="shared" ref="R33:S37" si="240">IFERROR(VLOOKUP($B33 &amp; $C33&amp;R$4,tblForecast,R$2,FALSE),0)</f>
        <v>0</v>
      </c>
      <c r="S33" s="241">
        <f t="shared" si="240"/>
        <v>0</v>
      </c>
      <c r="T33" s="242">
        <f>IFERROR(VLOOKUP($B33-IF(CompareVer="LY",1,0) &amp; $C33 &amp;T$4,tblForecast,T$2,FALSE),0)</f>
        <v>0</v>
      </c>
      <c r="U33" s="91">
        <f t="shared" si="7"/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 t="shared" ref="Y33:AB37" si="241">IFERROR(L33*AD33,0)</f>
        <v>0</v>
      </c>
      <c r="Z33" s="90">
        <f t="shared" si="241"/>
        <v>0</v>
      </c>
      <c r="AA33" s="90">
        <f t="shared" si="241"/>
        <v>0</v>
      </c>
      <c r="AB33" s="90">
        <f t="shared" si="241"/>
        <v>0</v>
      </c>
      <c r="AC33" s="91">
        <f t="shared" ref="AC33:AC34" si="242">IFERROR(Y33/AB33-1,)</f>
        <v>0</v>
      </c>
      <c r="AD33" s="75">
        <f>IF(AM33&lt;&gt;0,1-AR33/AM33,0)</f>
        <v>0</v>
      </c>
      <c r="AE33" s="93">
        <f t="shared" ref="AE33:AE34" si="243">IF(AN33&lt;&gt;0,1-AS33/AN33,0)</f>
        <v>0</v>
      </c>
      <c r="AF33" s="93">
        <f t="shared" ref="AF33:AF34" si="244">IF(AO33&lt;&gt;0,1-AT33/AO33,0)</f>
        <v>0</v>
      </c>
      <c r="AG33" s="93">
        <f t="shared" ref="AG33:AG34" si="245">IF(AP33&lt;&gt;0,1-AU33/AP33,0)</f>
        <v>0</v>
      </c>
      <c r="AH33" s="104">
        <f>IFERROR(VLOOKUP($B33 &amp; $C33&amp;CompareVer,tblForecast,AH$2,FALSE),0)</f>
        <v>0</v>
      </c>
      <c r="AI33" s="94">
        <f t="shared" ref="AI33:AJ42" si="246">IFERROR(VLOOKUP($B33 &amp; $C33&amp;AI$4,tblForecast,AI$2,FALSE),0)</f>
        <v>0</v>
      </c>
      <c r="AJ33" s="94">
        <f t="shared" si="246"/>
        <v>0</v>
      </c>
      <c r="AK33" s="94">
        <f>IFERROR(VLOOKUP($B33-IF(CompareVer="LY",1,0) &amp; $C33 &amp;AK$4,tblForecast,AK$2,FALSE),0)</f>
        <v>0</v>
      </c>
      <c r="AL33" s="91">
        <f t="shared" ref="AL33:AL34" si="247">IFERROR(AH33/AK33-1,)</f>
        <v>0</v>
      </c>
      <c r="AM33" s="104">
        <f>IFERROR(VLOOKUP($B33 &amp; $C33&amp;CompareVer,tblForecast,AM$2,FALSE),0)</f>
        <v>0</v>
      </c>
      <c r="AN33" s="94">
        <f t="shared" ref="AN33:AO42" si="248">IFERROR(VLOOKUP($B33 &amp; $C33&amp;AN$4,tblForecast,AN$2,FALSE),0)</f>
        <v>0</v>
      </c>
      <c r="AO33" s="94">
        <f t="shared" si="248"/>
        <v>0</v>
      </c>
      <c r="AP33" s="94">
        <f>IFERROR(VLOOKUP($B33-IF(CompareVer="LY",1,0) &amp; $C33 &amp;AP$4,tblForecast,AP$2,FALSE),0)</f>
        <v>0</v>
      </c>
      <c r="AQ33" s="91">
        <f t="shared" ref="AQ33:AQ34" si="249">IFERROR(AM33/AP33-1,)</f>
        <v>0</v>
      </c>
      <c r="AR33" s="104">
        <f>IFERROR(VLOOKUP($B33 &amp; $C33&amp;CompareVer,tblForecast,AR$2,FALSE),0)</f>
        <v>0</v>
      </c>
      <c r="AS33" s="94">
        <f t="shared" ref="AS33:AT37" si="250">IFERROR(VLOOKUP($B33 &amp; $C33&amp;AS$4,tblForecast,AS$2,FALSE),0)</f>
        <v>0</v>
      </c>
      <c r="AT33" s="94">
        <f t="shared" si="250"/>
        <v>0</v>
      </c>
      <c r="AU33" s="94">
        <f>IFERROR(VLOOKUP($B33-IF(CompareVer="LY",1,0) &amp; $C33 &amp;AU$4,tblForecast,AU$2,FALSE),0)</f>
        <v>0</v>
      </c>
      <c r="AV33" s="91">
        <f t="shared" ref="AV33:AV34" si="251">IFERROR(AR33/AU33-1,)</f>
        <v>0</v>
      </c>
      <c r="AW33" s="182">
        <f t="shared" ref="AW33:AW38" si="252">IFERROR((AM33/AH33-1)*-1,0)</f>
        <v>0</v>
      </c>
      <c r="AX33" s="183">
        <f t="shared" ref="AX33:AX38" si="253">IFERROR((AN33/AI33-1)*-1,0)</f>
        <v>0</v>
      </c>
      <c r="AY33" s="183">
        <f t="shared" ref="AY33:AY38" si="254">IFERROR((AO33/AJ33-1)*-1,0)</f>
        <v>0</v>
      </c>
      <c r="AZ33" s="183">
        <f t="shared" ref="AZ33:AZ44" si="255">IFERROR((AP33/AK33-1)*-1,0)</f>
        <v>0</v>
      </c>
      <c r="BA33" s="229">
        <f t="shared" ref="BA33:BA34" si="256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257">IFERROR(VLOOKUP($B33 &amp; $C33&amp;BC$4,tblForecast,BC$2,FALSE),0)</f>
        <v>0</v>
      </c>
      <c r="BD33" s="230">
        <f t="shared" si="207"/>
        <v>0</v>
      </c>
      <c r="BE33" s="178">
        <f t="shared" si="229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 t="shared" si="20"/>
        <v>0</v>
      </c>
      <c r="BK33" s="96">
        <f t="shared" ref="BK33:BK34" si="258">IF(BD33&lt;&gt;0,T33/BD33,0)</f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ref="BR33:BR34" si="259">BN33-BP33</f>
        <v>0</v>
      </c>
      <c r="BS33" s="230">
        <f t="shared" ref="BS33:BS34" si="260">BO33-BQ33</f>
        <v>0</v>
      </c>
      <c r="BT33" s="229">
        <f t="shared" ref="BT33:BU37" si="261">IFERROR(VLOOKUP($B33 &amp; $C33&amp;BT$4,tblForecast,BT$2,FALSE),0)</f>
        <v>0</v>
      </c>
      <c r="BU33" s="230">
        <f t="shared" si="261"/>
        <v>0</v>
      </c>
      <c r="BV33" s="230">
        <f>IFERROR(VLOOKUP($B33 &amp; $C33&amp;CompareVer,tblForecast,BV$2,FALSE),0)</f>
        <v>0</v>
      </c>
      <c r="BW33" s="230">
        <f t="shared" ref="BW33:BX37" si="262">IFERROR(VLOOKUP($B33 &amp; $C33&amp;BW$4,tblForecast,BW$2,FALSE),0)</f>
        <v>0</v>
      </c>
      <c r="BX33" s="230">
        <f t="shared" si="262"/>
        <v>0</v>
      </c>
      <c r="BY33" s="177">
        <f>IFERROR(VLOOKUP($B33-IF(CompareVer="LY",1,0) &amp; $C33 &amp;BY$4,tblForecast,BY$2,FALSE),0)</f>
        <v>0</v>
      </c>
      <c r="BZ33" s="178">
        <f t="shared" si="25"/>
        <v>0</v>
      </c>
      <c r="CA33" s="90">
        <f t="shared" ref="CA33:CB37" si="263">IFERROR(VLOOKUP($B33 &amp; $C33&amp;CA$4,tblForecast,CA$2,FALSE),0)</f>
        <v>0</v>
      </c>
      <c r="CB33" s="90">
        <f t="shared" si="263"/>
        <v>0</v>
      </c>
      <c r="CC33" s="90">
        <f>IFERROR(VLOOKUP($B33 &amp; $C33&amp;CompareVer,tblForecast,CC$2,FALSE),0)</f>
        <v>0</v>
      </c>
      <c r="CD33" s="90">
        <f t="shared" ref="CD33:CE37" si="264">IFERROR(VLOOKUP($B33 &amp; $C33&amp;CD$4,tblForecast,CD$2,FALSE),0)</f>
        <v>0</v>
      </c>
      <c r="CE33" s="90">
        <f t="shared" si="264"/>
        <v>0</v>
      </c>
      <c r="CF33" s="90">
        <f>IFERROR(VLOOKUP($B33-IF(CompareVer="LY",1,0) &amp; $C33 &amp;CF$4,tblForecast,CF$2,FALSE),0)</f>
        <v>0</v>
      </c>
      <c r="CG33" s="178">
        <f t="shared" si="28"/>
        <v>0</v>
      </c>
      <c r="CH33" s="90">
        <f t="shared" ref="CH33:CI37" si="265">IFERROR(VLOOKUP($B33 &amp; $C33&amp;CH$4,tblForecast,CH$2,FALSE),0)</f>
        <v>0</v>
      </c>
      <c r="CI33" s="90">
        <f t="shared" si="265"/>
        <v>0</v>
      </c>
      <c r="CJ33" s="90">
        <f>IFERROR(VLOOKUP($B33 &amp; $C33&amp;CompareVer,tblForecast,CJ$2,FALSE),0)</f>
        <v>0</v>
      </c>
      <c r="CK33" s="90">
        <f t="shared" ref="CK33:CL37" si="266">IFERROR(VLOOKUP($B33 &amp; $C33&amp;CK$4,tblForecast,CK$2,FALSE),0)</f>
        <v>0</v>
      </c>
      <c r="CL33" s="90">
        <f t="shared" si="266"/>
        <v>0</v>
      </c>
      <c r="CM33" s="90">
        <f>IFERROR(VLOOKUP($B33-IF(CompareVer="LY",1,0) &amp; $C33 &amp;CM$4,tblForecast,CM$2,FALSE),0)</f>
        <v>0</v>
      </c>
      <c r="CN33" s="178">
        <f t="shared" si="31"/>
        <v>0</v>
      </c>
      <c r="CO33" s="179">
        <f t="shared" si="51"/>
        <v>0</v>
      </c>
      <c r="CP33" s="225">
        <f t="shared" si="33"/>
        <v>0</v>
      </c>
      <c r="CQ33" s="178">
        <f t="shared" si="34"/>
        <v>0</v>
      </c>
      <c r="CR33" s="179">
        <f t="shared" si="49"/>
        <v>0</v>
      </c>
      <c r="CS33" s="225">
        <f t="shared" si="35"/>
        <v>0</v>
      </c>
      <c r="CT33" s="178">
        <f t="shared" si="52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7"/>
        <v>0</v>
      </c>
      <c r="CZ33" s="280">
        <f>IFERROR(VLOOKUP(Brand&amp;Channel&amp;Country&amp;$C33,tblDiscount,6,FALSE),0)</f>
        <v>0.55000000000000004</v>
      </c>
      <c r="DA33" s="281">
        <f>(1-CZ33)*DB33</f>
        <v>11.308499999999999</v>
      </c>
      <c r="DB33" s="281">
        <f>IFERROR(VLOOKUP(Brand&amp;Country &amp; Channel &amp;FC,tblFCSettings,8,FALSE),0)</f>
        <v>25.13</v>
      </c>
      <c r="DC33" s="282">
        <f>IFERROR(VLOOKUP(Brand&amp;Country &amp; Channel &amp;FC,tblFCSettings,9,FALSE),0)</f>
        <v>4.22</v>
      </c>
    </row>
    <row r="34" spans="1:107" ht="15" customHeight="1" x14ac:dyDescent="0.25">
      <c r="A34" s="44" t="s">
        <v>340</v>
      </c>
      <c r="B34" s="44">
        <v>2018</v>
      </c>
      <c r="C34" s="88">
        <v>19</v>
      </c>
      <c r="D34" s="97">
        <f t="shared" ref="D34" si="267">G34*H34</f>
        <v>0</v>
      </c>
      <c r="E34" s="203">
        <f t="shared" ref="E34" si="268">IFERROR(D34*F34,0)</f>
        <v>0</v>
      </c>
      <c r="F34" s="183">
        <f t="shared" ref="F34" si="269">IF(H34&lt;&gt;0,1-I34/H34,0)</f>
        <v>0</v>
      </c>
      <c r="G34" s="177">
        <f t="shared" si="235"/>
        <v>0</v>
      </c>
      <c r="H34" s="204">
        <f t="shared" si="235"/>
        <v>0</v>
      </c>
      <c r="I34" s="204">
        <f t="shared" si="235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236"/>
        <v>0</v>
      </c>
      <c r="N34" s="90">
        <f t="shared" si="237"/>
        <v>0</v>
      </c>
      <c r="O34" s="90">
        <f t="shared" si="238"/>
        <v>0</v>
      </c>
      <c r="P34" s="91">
        <f t="shared" si="239"/>
        <v>0</v>
      </c>
      <c r="Q34" s="240">
        <f>IFERROR(VLOOKUP($B34 &amp; $C34&amp;CompareVer,tblForecast,Q$2,FALSE),0)</f>
        <v>0</v>
      </c>
      <c r="R34" s="242">
        <f t="shared" si="240"/>
        <v>0</v>
      </c>
      <c r="S34" s="242">
        <f t="shared" si="240"/>
        <v>0</v>
      </c>
      <c r="T34" s="242">
        <f>IFERROR(VLOOKUP($B34-IF(CompareVer="LY",1,0) &amp; $C34 &amp;T$4,tblForecast,T$2,FALSE),0)</f>
        <v>0</v>
      </c>
      <c r="U34" s="91">
        <f t="shared" si="7"/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270">IFERROR(IF(T32&gt;0,T34/T32,0),0)</f>
        <v>0</v>
      </c>
      <c r="Y34" s="97">
        <f t="shared" si="241"/>
        <v>0</v>
      </c>
      <c r="Z34" s="90">
        <f t="shared" si="241"/>
        <v>0</v>
      </c>
      <c r="AA34" s="90">
        <f t="shared" si="241"/>
        <v>0</v>
      </c>
      <c r="AB34" s="90">
        <f t="shared" si="241"/>
        <v>0</v>
      </c>
      <c r="AC34" s="91">
        <f t="shared" si="242"/>
        <v>0</v>
      </c>
      <c r="AD34" s="75">
        <f t="shared" ref="AD34" si="271">IF(AM34&lt;&gt;0,1-AR34/AM34,0)</f>
        <v>0</v>
      </c>
      <c r="AE34" s="93">
        <f t="shared" si="243"/>
        <v>0</v>
      </c>
      <c r="AF34" s="93">
        <f t="shared" si="244"/>
        <v>0</v>
      </c>
      <c r="AG34" s="93">
        <f t="shared" si="245"/>
        <v>0</v>
      </c>
      <c r="AH34" s="104">
        <f>IFERROR(VLOOKUP($B34 &amp; $C34&amp;CompareVer,tblForecast,AH$2,FALSE),0)</f>
        <v>0</v>
      </c>
      <c r="AI34" s="94">
        <f t="shared" si="246"/>
        <v>0</v>
      </c>
      <c r="AJ34" s="94">
        <f t="shared" si="246"/>
        <v>0</v>
      </c>
      <c r="AK34" s="94">
        <f>IFERROR(VLOOKUP($B34-IF(CompareVer="LY",1,0) &amp; $C34 &amp;AK$4,tblForecast,AK$2,FALSE),0)</f>
        <v>0</v>
      </c>
      <c r="AL34" s="91">
        <f t="shared" si="247"/>
        <v>0</v>
      </c>
      <c r="AM34" s="104">
        <f>IFERROR(VLOOKUP($B34 &amp; $C34&amp;CompareVer,tblForecast,AM$2,FALSE),0)</f>
        <v>0</v>
      </c>
      <c r="AN34" s="94">
        <f t="shared" si="248"/>
        <v>0</v>
      </c>
      <c r="AO34" s="94">
        <f t="shared" si="248"/>
        <v>0</v>
      </c>
      <c r="AP34" s="94">
        <f>IFERROR(VLOOKUP($B34-IF(CompareVer="LY",1,0) &amp; $C34 &amp;AP$4,tblForecast,AP$2,FALSE),0)</f>
        <v>0</v>
      </c>
      <c r="AQ34" s="91">
        <f t="shared" si="249"/>
        <v>0</v>
      </c>
      <c r="AR34" s="104">
        <f>IFERROR(VLOOKUP($B34 &amp; $C34&amp;CompareVer,tblForecast,AR$2,FALSE),0)</f>
        <v>0</v>
      </c>
      <c r="AS34" s="94">
        <f t="shared" si="250"/>
        <v>0</v>
      </c>
      <c r="AT34" s="94">
        <f t="shared" si="250"/>
        <v>0</v>
      </c>
      <c r="AU34" s="94">
        <f>IFERROR(VLOOKUP($B34-IF(CompareVer="LY",1,0) &amp; $C34 &amp;AU$4,tblForecast,AU$2,FALSE),0)</f>
        <v>0</v>
      </c>
      <c r="AV34" s="91">
        <f t="shared" si="251"/>
        <v>0</v>
      </c>
      <c r="AW34" s="182">
        <f t="shared" si="252"/>
        <v>0</v>
      </c>
      <c r="AX34" s="183">
        <f t="shared" si="253"/>
        <v>0</v>
      </c>
      <c r="AY34" s="183">
        <f t="shared" si="254"/>
        <v>0</v>
      </c>
      <c r="AZ34" s="183">
        <f t="shared" si="255"/>
        <v>0</v>
      </c>
      <c r="BA34" s="229">
        <f t="shared" si="256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257"/>
        <v>0</v>
      </c>
      <c r="BD34" s="230">
        <f t="shared" ref="BD34" si="272">CX34+BG34</f>
        <v>0</v>
      </c>
      <c r="BE34" s="178">
        <f t="shared" si="229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273">IF(T34&lt;&gt;0,BD34/T34,0)</f>
        <v>0</v>
      </c>
      <c r="BJ34" s="185">
        <f t="shared" si="20"/>
        <v>0</v>
      </c>
      <c r="BK34" s="96">
        <f t="shared" si="258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259"/>
        <v>0</v>
      </c>
      <c r="BS34" s="230">
        <f t="shared" si="260"/>
        <v>0</v>
      </c>
      <c r="BT34" s="229">
        <f t="shared" si="261"/>
        <v>0</v>
      </c>
      <c r="BU34" s="230">
        <f t="shared" si="261"/>
        <v>0</v>
      </c>
      <c r="BV34" s="230">
        <f>IFERROR(VLOOKUP($B34 &amp; $C34&amp;CompareVer,tblForecast,BV$2,FALSE),0)</f>
        <v>0</v>
      </c>
      <c r="BW34" s="230">
        <f t="shared" si="262"/>
        <v>0</v>
      </c>
      <c r="BX34" s="230">
        <f t="shared" si="262"/>
        <v>0</v>
      </c>
      <c r="BY34" s="177">
        <f>IFERROR(VLOOKUP($B34-IF(CompareVer="LY",1,0) &amp; $C34 &amp;BY$4,tblForecast,BY$2,FALSE),0)</f>
        <v>0</v>
      </c>
      <c r="BZ34" s="178">
        <f t="shared" ref="BZ34" si="274">IFERROR(BV34/BY34-1,)</f>
        <v>0</v>
      </c>
      <c r="CA34" s="90">
        <f t="shared" si="263"/>
        <v>0</v>
      </c>
      <c r="CB34" s="90">
        <f t="shared" si="263"/>
        <v>0</v>
      </c>
      <c r="CC34" s="90">
        <f>IFERROR(VLOOKUP($B34 &amp; $C34&amp;CompareVer,tblForecast,CC$2,FALSE),0)</f>
        <v>0</v>
      </c>
      <c r="CD34" s="90">
        <f t="shared" si="264"/>
        <v>0</v>
      </c>
      <c r="CE34" s="90">
        <f t="shared" si="264"/>
        <v>0</v>
      </c>
      <c r="CF34" s="90">
        <f>IFERROR(VLOOKUP($B34-IF(CompareVer="LY",1,0) &amp; $C34 &amp;CF$4,tblForecast,CF$2,FALSE),0)</f>
        <v>0</v>
      </c>
      <c r="CG34" s="178">
        <f t="shared" ref="CG34" si="275">IFERROR(CC34/CF34-1,)</f>
        <v>0</v>
      </c>
      <c r="CH34" s="90">
        <f t="shared" si="265"/>
        <v>0</v>
      </c>
      <c r="CI34" s="90">
        <f t="shared" si="265"/>
        <v>0</v>
      </c>
      <c r="CJ34" s="90">
        <f>IFERROR(VLOOKUP($B34 &amp; $C34&amp;CompareVer,tblForecast,CJ$2,FALSE),0)</f>
        <v>0</v>
      </c>
      <c r="CK34" s="90">
        <f t="shared" si="266"/>
        <v>0</v>
      </c>
      <c r="CL34" s="90">
        <f t="shared" si="266"/>
        <v>0</v>
      </c>
      <c r="CM34" s="90">
        <f>IFERROR(VLOOKUP($B34-IF(CompareVer="LY",1,0) &amp; $C34 &amp;CM$4,tblForecast,CM$2,FALSE),0)</f>
        <v>0</v>
      </c>
      <c r="CN34" s="178">
        <f t="shared" ref="CN34" si="276">IFERROR(CJ34/CM34-1,)</f>
        <v>0</v>
      </c>
      <c r="CO34" s="179">
        <f t="shared" ref="CO34" si="277">IFERROR(CE34/BX34,0)</f>
        <v>0</v>
      </c>
      <c r="CP34" s="225">
        <f t="shared" ref="CP34" si="278">IFERROR(CF34/BY34,0)</f>
        <v>0</v>
      </c>
      <c r="CQ34" s="178">
        <f t="shared" ref="CQ34" si="279">IFERROR(CL34/CP34-1,)</f>
        <v>0</v>
      </c>
      <c r="CR34" s="179">
        <f t="shared" ref="CR34" si="280">IFERROR(CL34/BX34,0)</f>
        <v>0</v>
      </c>
      <c r="CS34" s="225">
        <f t="shared" ref="CS34" si="281">IFERROR(CM34/BY34,0)</f>
        <v>0</v>
      </c>
      <c r="CT34" s="178">
        <f t="shared" ref="CT34" si="282">IFERROR(CO34/CS34-1,)</f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ref="CY34" si="283">IFERROR(CW34/CX34-1,)</f>
        <v>0</v>
      </c>
      <c r="CZ34" s="280">
        <f>IFERROR(VLOOKUP(Brand&amp;Channel&amp;Country&amp;$C34,tblDiscount,6,FALSE),0)</f>
        <v>0.55000000000000004</v>
      </c>
      <c r="DA34" s="281">
        <f>(1-CZ34)*DB34</f>
        <v>11.308499999999999</v>
      </c>
      <c r="DB34" s="281">
        <f>IFERROR(VLOOKUP(Brand&amp;Country &amp; Channel &amp;FC,tblFCSettings,8,FALSE),0)</f>
        <v>25.13</v>
      </c>
      <c r="DC34" s="282">
        <f>IFERROR(VLOOKUP(Brand&amp;Country &amp; Channel &amp;FC,tblFCSettings,9,FALSE),0)</f>
        <v>4.22</v>
      </c>
    </row>
    <row r="35" spans="1:107" x14ac:dyDescent="0.25">
      <c r="B35" s="44">
        <v>2018</v>
      </c>
      <c r="C35" s="88">
        <v>20</v>
      </c>
      <c r="D35" s="51">
        <f t="shared" ref="D35:D37" si="284">G35*H35</f>
        <v>0</v>
      </c>
      <c r="E35" s="203">
        <f t="shared" ref="E35:E37" si="285">IFERROR(D35*F35,0)</f>
        <v>0</v>
      </c>
      <c r="F35" s="183">
        <f t="shared" si="50"/>
        <v>0</v>
      </c>
      <c r="G35" s="177">
        <f t="shared" si="235"/>
        <v>0</v>
      </c>
      <c r="H35" s="204">
        <f t="shared" si="235"/>
        <v>0</v>
      </c>
      <c r="I35" s="204">
        <f t="shared" si="235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 t="shared" ref="M35:O37" si="286">R35*AN35</f>
        <v>0</v>
      </c>
      <c r="N35" s="46">
        <f t="shared" si="286"/>
        <v>0</v>
      </c>
      <c r="O35" s="46">
        <f t="shared" si="286"/>
        <v>0</v>
      </c>
      <c r="P35" s="47">
        <f t="shared" si="40"/>
        <v>0</v>
      </c>
      <c r="Q35" s="244">
        <f>IF(A34="a",IF(CV35=0,R35,IF(BA34-(Q34*IF(W35=0,X35,W35))&lt;0,BA34,Q34*IF(W35=0,X35,W35))),IF(BA34-(Q34*IF(W35=0,X35,W35))&lt;0,BA34,Q34*IF(W35=0,X35,W35)))</f>
        <v>0</v>
      </c>
      <c r="R35" s="242">
        <f t="shared" si="240"/>
        <v>0</v>
      </c>
      <c r="S35" s="242">
        <f t="shared" si="240"/>
        <v>0</v>
      </c>
      <c r="T35" s="242">
        <f>IFERROR(VLOOKUP($B35-IF(CompareVer="LY",1,0) &amp; $C35 &amp;T$4,tblForecast,T$2,FALSE),0)</f>
        <v>0</v>
      </c>
      <c r="U35" s="91">
        <f t="shared" si="7"/>
        <v>0</v>
      </c>
      <c r="V35" s="251">
        <f t="shared" ref="V35:W37" si="287">IFERROR(IF(Q34&lt;&gt;0,Q35/Q34,0),0)</f>
        <v>0</v>
      </c>
      <c r="W35" s="336">
        <f t="shared" si="287"/>
        <v>0</v>
      </c>
      <c r="X35" s="252">
        <f>IFERROR(IF(T34&lt;&gt;0,T35/T34,0),0)</f>
        <v>0</v>
      </c>
      <c r="Y35" s="51">
        <f t="shared" si="241"/>
        <v>0</v>
      </c>
      <c r="Z35" s="46">
        <f t="shared" si="241"/>
        <v>0</v>
      </c>
      <c r="AA35" s="46">
        <f t="shared" si="241"/>
        <v>0</v>
      </c>
      <c r="AB35" s="46">
        <f t="shared" si="241"/>
        <v>0</v>
      </c>
      <c r="AC35" s="91">
        <f t="shared" si="9"/>
        <v>0</v>
      </c>
      <c r="AD35" s="75">
        <f>IF(AM35&lt;&gt;0,1-AR35/AM35,0)</f>
        <v>0.58018304814962196</v>
      </c>
      <c r="AE35" s="93">
        <f t="shared" ref="AE35:AG37" si="288">IF(AN35&lt;&gt;0,1-AS35/AN35,0)</f>
        <v>0</v>
      </c>
      <c r="AF35" s="93">
        <f t="shared" si="288"/>
        <v>0</v>
      </c>
      <c r="AG35" s="76">
        <f t="shared" si="288"/>
        <v>0</v>
      </c>
      <c r="AH35" s="73">
        <f>DB35</f>
        <v>25.13</v>
      </c>
      <c r="AI35" s="94">
        <f t="shared" si="246"/>
        <v>0</v>
      </c>
      <c r="AJ35" s="94">
        <f t="shared" si="246"/>
        <v>0</v>
      </c>
      <c r="AK35" s="49">
        <f>IFERROR(VLOOKUP($B35-IF(CompareVer="LY",1,0) &amp; $C35 &amp;AK$4,tblForecast,AK$2,FALSE),0)</f>
        <v>0</v>
      </c>
      <c r="AL35" s="47">
        <f t="shared" ref="AL35" si="289">IFERROR(AH35/AK35-1,)</f>
        <v>0</v>
      </c>
      <c r="AM35" s="73">
        <f>DA35</f>
        <v>10.052</v>
      </c>
      <c r="AN35" s="94">
        <f t="shared" si="248"/>
        <v>0</v>
      </c>
      <c r="AO35" s="94">
        <f t="shared" si="248"/>
        <v>0</v>
      </c>
      <c r="AP35" s="49">
        <f>IFERROR(VLOOKUP($B35-IF(CompareVer="LY",1,0) &amp; $C35 &amp;AP$4,tblForecast,AP$2,FALSE),0)</f>
        <v>0</v>
      </c>
      <c r="AQ35" s="47">
        <f t="shared" ref="AQ35" si="290">IFERROR(AM35/AP35-1,)</f>
        <v>0</v>
      </c>
      <c r="AR35" s="73">
        <f>DC35</f>
        <v>4.22</v>
      </c>
      <c r="AS35" s="94">
        <f t="shared" si="250"/>
        <v>0</v>
      </c>
      <c r="AT35" s="94">
        <f t="shared" si="250"/>
        <v>0</v>
      </c>
      <c r="AU35" s="49">
        <f>IFERROR(VLOOKUP($B35-IF(CompareVer="LY",1,0) &amp; $C35 &amp;AU$4,tblForecast,AU$2,FALSE),0)</f>
        <v>0</v>
      </c>
      <c r="AV35" s="47">
        <f t="shared" si="16"/>
        <v>0</v>
      </c>
      <c r="AW35" s="192">
        <f t="shared" si="252"/>
        <v>0.6</v>
      </c>
      <c r="AX35" s="193">
        <f t="shared" si="253"/>
        <v>0</v>
      </c>
      <c r="AY35" s="193">
        <f t="shared" si="254"/>
        <v>0</v>
      </c>
      <c r="AZ35" s="193">
        <f t="shared" si="255"/>
        <v>0</v>
      </c>
      <c r="BA35" s="237">
        <f>IF(BA34+BV35+BL35+BR35-Q35&lt;0,0,BA34+BF34+BV35+BL35+BR35-Q35)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257"/>
        <v>0</v>
      </c>
      <c r="BD35" s="233">
        <f t="shared" si="207"/>
        <v>0</v>
      </c>
      <c r="BE35" s="195">
        <f t="shared" si="229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 t="shared" si="20"/>
        <v>0</v>
      </c>
      <c r="BK35" s="50">
        <f t="shared" si="21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5"/>
        <v>0</v>
      </c>
      <c r="BS35" s="233">
        <f t="shared" si="22"/>
        <v>0</v>
      </c>
      <c r="BT35" s="236">
        <f t="shared" si="261"/>
        <v>0</v>
      </c>
      <c r="BU35" s="233">
        <f t="shared" si="261"/>
        <v>0</v>
      </c>
      <c r="BV35" s="233">
        <f>IF($A35="a",IFERROR(VLOOKUP($B35 &amp; $C35&amp;BV$4,tblForecast,BV$2,FALSE),0),BT35+BU35)</f>
        <v>0</v>
      </c>
      <c r="BW35" s="233">
        <f t="shared" si="262"/>
        <v>0</v>
      </c>
      <c r="BX35" s="233">
        <f t="shared" si="262"/>
        <v>0</v>
      </c>
      <c r="BY35" s="194">
        <f>IFERROR(VLOOKUP($B35-IF(CompareVer="LY",1,0) &amp; $C35 &amp;BY$4,tblForecast,BY$2,FALSE),0)</f>
        <v>0</v>
      </c>
      <c r="BZ35" s="195">
        <f t="shared" si="25"/>
        <v>0</v>
      </c>
      <c r="CA35" s="339">
        <f t="shared" si="263"/>
        <v>0</v>
      </c>
      <c r="CB35" s="46">
        <f t="shared" si="263"/>
        <v>0</v>
      </c>
      <c r="CC35" s="46">
        <f>IF($A35="a",IFERROR(VLOOKUP($B35 &amp; $C35&amp;CC$4,tblForecast,CC$2,FALSE),0),CA35+CB35)</f>
        <v>0</v>
      </c>
      <c r="CD35" s="46">
        <f t="shared" si="264"/>
        <v>0</v>
      </c>
      <c r="CE35" s="46">
        <f t="shared" si="264"/>
        <v>0</v>
      </c>
      <c r="CF35" s="46">
        <f>IFERROR(VLOOKUP($B35-IF(CompareVer="LY",1,0) &amp; $C35 &amp;CF$4,tblForecast,CF$2,FALSE),0)</f>
        <v>0</v>
      </c>
      <c r="CG35" s="195">
        <f t="shared" si="28"/>
        <v>0</v>
      </c>
      <c r="CH35" s="339">
        <f t="shared" si="265"/>
        <v>0</v>
      </c>
      <c r="CI35" s="46">
        <f t="shared" si="265"/>
        <v>0</v>
      </c>
      <c r="CJ35" s="46">
        <f>IF($A35="a",IFERROR(VLOOKUP($B35 &amp; $C35&amp;CJ$4,tblForecast,CJ$2,FALSE),0),CH35+CI35)</f>
        <v>0</v>
      </c>
      <c r="CK35" s="46">
        <f t="shared" si="266"/>
        <v>0</v>
      </c>
      <c r="CL35" s="46">
        <f t="shared" si="266"/>
        <v>0</v>
      </c>
      <c r="CM35" s="46">
        <f>IFERROR(VLOOKUP($B35-IF(CompareVer="LY",1,0) &amp; $C35 &amp;CM$4,tblForecast,CM$2,FALSE),0)</f>
        <v>0</v>
      </c>
      <c r="CN35" s="195">
        <f t="shared" si="31"/>
        <v>0</v>
      </c>
      <c r="CO35" s="179">
        <f t="shared" si="51"/>
        <v>0</v>
      </c>
      <c r="CP35" s="225">
        <f t="shared" si="33"/>
        <v>0</v>
      </c>
      <c r="CQ35" s="195">
        <f t="shared" si="34"/>
        <v>0</v>
      </c>
      <c r="CR35" s="179">
        <f t="shared" si="49"/>
        <v>0</v>
      </c>
      <c r="CS35" s="225">
        <f t="shared" si="35"/>
        <v>0</v>
      </c>
      <c r="CT35" s="195">
        <f t="shared" si="52"/>
        <v>0</v>
      </c>
      <c r="CU35" s="44"/>
      <c r="CV35" s="345">
        <f t="shared" ref="CV35:CV37" si="291">IFERROR(VLOOKUP($B35 &amp; $C35&amp;CV$4,tblForecast,CV$2,FALSE),0)</f>
        <v>0</v>
      </c>
      <c r="CW35" s="102">
        <f>IFERROR(VLOOKUP($B35 &amp; $C35&amp;27,tblForecast,CW$2,FALSE),0)</f>
        <v>0</v>
      </c>
      <c r="CX35" s="48">
        <f>IFERROR(VLOOKUP($B35-IF(CompareVer="LY",1,0) &amp; $C35 &amp;CX$4,tblForecast,CX$2,FALSE),0)</f>
        <v>0</v>
      </c>
      <c r="CY35" s="47">
        <f t="shared" si="37"/>
        <v>0</v>
      </c>
      <c r="CZ35" s="280">
        <f>IFERROR(VLOOKUP(Brand&amp;Channel&amp;Country&amp;$C35,tblDiscount,6,FALSE),0)</f>
        <v>0.6</v>
      </c>
      <c r="DA35" s="281">
        <f>(1-CZ35)*DB35</f>
        <v>10.052</v>
      </c>
      <c r="DB35" s="281">
        <f>IFERROR(VLOOKUP(Brand&amp;Country &amp; Channel &amp;FC,tblFCSettings,8,FALSE),0)</f>
        <v>25.13</v>
      </c>
      <c r="DC35" s="282">
        <f>IFERROR(VLOOKUP(Brand&amp;Country &amp; Channel &amp;FC,tblFCSettings,9,FALSE),0)</f>
        <v>4.22</v>
      </c>
    </row>
    <row r="36" spans="1:107" x14ac:dyDescent="0.25">
      <c r="B36" s="44">
        <v>2018</v>
      </c>
      <c r="C36" s="88">
        <v>21</v>
      </c>
      <c r="D36" s="51">
        <f t="shared" si="284"/>
        <v>0</v>
      </c>
      <c r="E36" s="203">
        <f t="shared" si="285"/>
        <v>0</v>
      </c>
      <c r="F36" s="183">
        <f t="shared" si="50"/>
        <v>0</v>
      </c>
      <c r="G36" s="177">
        <f t="shared" si="235"/>
        <v>0</v>
      </c>
      <c r="H36" s="204">
        <f t="shared" si="235"/>
        <v>0</v>
      </c>
      <c r="I36" s="204">
        <f t="shared" si="235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286"/>
        <v>0</v>
      </c>
      <c r="N36" s="46">
        <f t="shared" si="286"/>
        <v>0</v>
      </c>
      <c r="O36" s="46">
        <f t="shared" si="286"/>
        <v>0</v>
      </c>
      <c r="P36" s="47">
        <f t="shared" si="40"/>
        <v>0</v>
      </c>
      <c r="Q36" s="244">
        <f t="shared" ref="Q36:Q37" si="292">IF(A35="a",IF(CV36=0,R36,IF(BA35-(Q35*IF(W36=0,X36,W36))&lt;0,BA35,Q35*IF(W36=0,X36,W36))),IF(BA35-(Q35*IF(W36=0,X36,W36))&lt;0,BA35,Q35*IF(W36=0,X36,W36)))</f>
        <v>0</v>
      </c>
      <c r="R36" s="242">
        <f t="shared" si="240"/>
        <v>0</v>
      </c>
      <c r="S36" s="242">
        <f t="shared" si="240"/>
        <v>0</v>
      </c>
      <c r="T36" s="242">
        <f>IFERROR(VLOOKUP($B36-IF(CompareVer="LY",1,0) &amp; $C36 &amp;T$4,tblForecast,T$2,FALSE),0)</f>
        <v>0</v>
      </c>
      <c r="U36" s="91">
        <f t="shared" si="7"/>
        <v>0</v>
      </c>
      <c r="V36" s="251">
        <f t="shared" si="287"/>
        <v>0</v>
      </c>
      <c r="W36" s="336">
        <f t="shared" si="287"/>
        <v>0</v>
      </c>
      <c r="X36" s="252">
        <f>IFERROR(IF(T35&lt;&gt;0,T36/T35,0),0)</f>
        <v>0</v>
      </c>
      <c r="Y36" s="51">
        <f t="shared" si="241"/>
        <v>0</v>
      </c>
      <c r="Z36" s="46">
        <f t="shared" si="241"/>
        <v>0</v>
      </c>
      <c r="AA36" s="46">
        <f t="shared" si="241"/>
        <v>0</v>
      </c>
      <c r="AB36" s="46">
        <f t="shared" si="241"/>
        <v>0</v>
      </c>
      <c r="AC36" s="91">
        <f t="shared" si="9"/>
        <v>0</v>
      </c>
      <c r="AD36" s="75">
        <f>IF(AM36&lt;&gt;0,1-AR36/AM36,0)</f>
        <v>0.58018304814962196</v>
      </c>
      <c r="AE36" s="93">
        <f t="shared" si="288"/>
        <v>0</v>
      </c>
      <c r="AF36" s="93">
        <f t="shared" si="288"/>
        <v>0</v>
      </c>
      <c r="AG36" s="76">
        <f t="shared" si="288"/>
        <v>0</v>
      </c>
      <c r="AH36" s="73">
        <f t="shared" ref="AH36:AH37" si="293">DB36</f>
        <v>25.13</v>
      </c>
      <c r="AI36" s="94">
        <f t="shared" si="246"/>
        <v>0</v>
      </c>
      <c r="AJ36" s="94">
        <f t="shared" si="246"/>
        <v>0</v>
      </c>
      <c r="AK36" s="49">
        <f>IFERROR(VLOOKUP($B36-IF(CompareVer="LY",1,0) &amp; $C36 &amp;AK$4,tblForecast,AK$2,FALSE),0)</f>
        <v>0</v>
      </c>
      <c r="AL36" s="47">
        <f t="shared" ref="AL36:AL37" si="294">IFERROR(AH36/AK36-1,)</f>
        <v>0</v>
      </c>
      <c r="AM36" s="73">
        <f t="shared" ref="AM36:AM37" si="295">DA36</f>
        <v>10.052</v>
      </c>
      <c r="AN36" s="94">
        <f t="shared" si="248"/>
        <v>0</v>
      </c>
      <c r="AO36" s="94">
        <f t="shared" si="248"/>
        <v>0</v>
      </c>
      <c r="AP36" s="49">
        <f>IFERROR(VLOOKUP($B36-IF(CompareVer="LY",1,0) &amp; $C36 &amp;AP$4,tblForecast,AP$2,FALSE),0)</f>
        <v>0</v>
      </c>
      <c r="AQ36" s="47">
        <f t="shared" ref="AQ36:AQ37" si="296">IFERROR(AM36/AP36-1,)</f>
        <v>0</v>
      </c>
      <c r="AR36" s="73">
        <f t="shared" ref="AR36:AR37" si="297">DC36</f>
        <v>4.22</v>
      </c>
      <c r="AS36" s="94">
        <f t="shared" si="250"/>
        <v>0</v>
      </c>
      <c r="AT36" s="94">
        <f t="shared" si="250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2">
        <f t="shared" si="252"/>
        <v>0.6</v>
      </c>
      <c r="AX36" s="193">
        <f t="shared" si="253"/>
        <v>0</v>
      </c>
      <c r="AY36" s="193">
        <f t="shared" si="254"/>
        <v>0</v>
      </c>
      <c r="AZ36" s="193">
        <f t="shared" si="255"/>
        <v>0</v>
      </c>
      <c r="BA36" s="237">
        <f t="shared" ref="BA36:BA37" si="298">IF(BA35+BV36+BL36+BR36-Q36&lt;0,0,BA35+BF35+BV36+BL36+BR36-Q36)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257"/>
        <v>0</v>
      </c>
      <c r="BD36" s="233">
        <f t="shared" si="207"/>
        <v>0</v>
      </c>
      <c r="BE36" s="195">
        <f t="shared" si="229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 t="shared" si="20"/>
        <v>0</v>
      </c>
      <c r="BK36" s="50">
        <f t="shared" si="21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5"/>
        <v>0</v>
      </c>
      <c r="BS36" s="233">
        <f t="shared" si="22"/>
        <v>0</v>
      </c>
      <c r="BT36" s="236">
        <f t="shared" si="261"/>
        <v>0</v>
      </c>
      <c r="BU36" s="233">
        <f t="shared" si="261"/>
        <v>0</v>
      </c>
      <c r="BV36" s="233">
        <f>IF($A36="a",IFERROR(VLOOKUP($B36 &amp; $C36&amp;BV$4,tblForecast,BV$2,FALSE),0),BT36+BU36)</f>
        <v>0</v>
      </c>
      <c r="BW36" s="233">
        <f t="shared" si="262"/>
        <v>0</v>
      </c>
      <c r="BX36" s="233">
        <f t="shared" si="262"/>
        <v>0</v>
      </c>
      <c r="BY36" s="194">
        <f>IFERROR(VLOOKUP($B36-IF(CompareVer="LY",1,0) &amp; $C36 &amp;BY$4,tblForecast,BY$2,FALSE),0)</f>
        <v>0</v>
      </c>
      <c r="BZ36" s="195">
        <f t="shared" si="25"/>
        <v>0</v>
      </c>
      <c r="CA36" s="339">
        <f t="shared" si="263"/>
        <v>0</v>
      </c>
      <c r="CB36" s="46">
        <f t="shared" si="263"/>
        <v>0</v>
      </c>
      <c r="CC36" s="46">
        <f>IF($A36="a",IFERROR(VLOOKUP($B36 &amp; $C36&amp;CC$4,tblForecast,CC$2,FALSE),0),CA36+CB36)</f>
        <v>0</v>
      </c>
      <c r="CD36" s="46">
        <f t="shared" si="264"/>
        <v>0</v>
      </c>
      <c r="CE36" s="46">
        <f t="shared" si="264"/>
        <v>0</v>
      </c>
      <c r="CF36" s="46">
        <f>IFERROR(VLOOKUP($B36-IF(CompareVer="LY",1,0) &amp; $C36 &amp;CF$4,tblForecast,CF$2,FALSE),0)</f>
        <v>0</v>
      </c>
      <c r="CG36" s="195">
        <f t="shared" si="28"/>
        <v>0</v>
      </c>
      <c r="CH36" s="339">
        <f t="shared" si="265"/>
        <v>0</v>
      </c>
      <c r="CI36" s="46">
        <f t="shared" si="265"/>
        <v>0</v>
      </c>
      <c r="CJ36" s="46">
        <f>IF($A36="a",IFERROR(VLOOKUP($B36 &amp; $C36&amp;CJ$4,tblForecast,CJ$2,FALSE),0),CH36+CI36)</f>
        <v>0</v>
      </c>
      <c r="CK36" s="46">
        <f t="shared" si="266"/>
        <v>0</v>
      </c>
      <c r="CL36" s="46">
        <f t="shared" si="266"/>
        <v>0</v>
      </c>
      <c r="CM36" s="46">
        <f>IFERROR(VLOOKUP($B36-IF(CompareVer="LY",1,0) &amp; $C36 &amp;CM$4,tblForecast,CM$2,FALSE),0)</f>
        <v>0</v>
      </c>
      <c r="CN36" s="195">
        <f t="shared" si="31"/>
        <v>0</v>
      </c>
      <c r="CO36" s="179">
        <f t="shared" si="51"/>
        <v>0</v>
      </c>
      <c r="CP36" s="225">
        <f t="shared" si="33"/>
        <v>0</v>
      </c>
      <c r="CQ36" s="195">
        <f t="shared" si="34"/>
        <v>0</v>
      </c>
      <c r="CR36" s="179">
        <f t="shared" si="49"/>
        <v>0</v>
      </c>
      <c r="CS36" s="225">
        <f t="shared" si="35"/>
        <v>0</v>
      </c>
      <c r="CT36" s="195">
        <f t="shared" si="52"/>
        <v>0</v>
      </c>
      <c r="CU36" s="44"/>
      <c r="CV36" s="345">
        <f t="shared" si="291"/>
        <v>0</v>
      </c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7"/>
        <v>0</v>
      </c>
      <c r="CZ36" s="280">
        <f>IFERROR(VLOOKUP(Brand&amp;Channel&amp;Country&amp;$C36,tblDiscount,6,FALSE),0)</f>
        <v>0.6</v>
      </c>
      <c r="DA36" s="281">
        <f>(1-CZ36)*DB36</f>
        <v>10.052</v>
      </c>
      <c r="DB36" s="281">
        <f>IFERROR(VLOOKUP(Brand&amp;Country &amp; Channel &amp;FC,tblFCSettings,8,FALSE),0)</f>
        <v>25.13</v>
      </c>
      <c r="DC36" s="282">
        <f>IFERROR(VLOOKUP(Brand&amp;Country &amp; Channel &amp;FC,tblFCSettings,9,FALSE),0)</f>
        <v>4.22</v>
      </c>
    </row>
    <row r="37" spans="1:107" ht="16.5" thickBot="1" x14ac:dyDescent="0.3">
      <c r="B37" s="44">
        <v>2018</v>
      </c>
      <c r="C37" s="88">
        <v>22</v>
      </c>
      <c r="D37" s="51">
        <f t="shared" si="284"/>
        <v>0</v>
      </c>
      <c r="E37" s="203">
        <f t="shared" si="285"/>
        <v>0</v>
      </c>
      <c r="F37" s="183">
        <f t="shared" si="50"/>
        <v>0</v>
      </c>
      <c r="G37" s="177">
        <f t="shared" si="235"/>
        <v>0</v>
      </c>
      <c r="H37" s="204">
        <f t="shared" si="235"/>
        <v>0</v>
      </c>
      <c r="I37" s="204">
        <f t="shared" si="235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286"/>
        <v>0</v>
      </c>
      <c r="N37" s="46">
        <f t="shared" si="286"/>
        <v>0</v>
      </c>
      <c r="O37" s="46">
        <f t="shared" si="286"/>
        <v>0</v>
      </c>
      <c r="P37" s="47">
        <f t="shared" si="40"/>
        <v>0</v>
      </c>
      <c r="Q37" s="244">
        <f t="shared" si="292"/>
        <v>0</v>
      </c>
      <c r="R37" s="242">
        <f t="shared" si="240"/>
        <v>0</v>
      </c>
      <c r="S37" s="242">
        <f t="shared" si="240"/>
        <v>0</v>
      </c>
      <c r="T37" s="242">
        <f>IFERROR(VLOOKUP($B37-IF(CompareVer="LY",1,0) &amp; $C37 &amp;T$4,tblForecast,T$2,FALSE),0)</f>
        <v>0</v>
      </c>
      <c r="U37" s="91">
        <f t="shared" si="7"/>
        <v>0</v>
      </c>
      <c r="V37" s="251">
        <f t="shared" si="287"/>
        <v>0</v>
      </c>
      <c r="W37" s="336">
        <f t="shared" si="287"/>
        <v>0</v>
      </c>
      <c r="X37" s="252">
        <f>IFERROR(IF(T36&lt;&gt;0,T37/T36,0),0)</f>
        <v>0</v>
      </c>
      <c r="Y37" s="51">
        <f t="shared" si="241"/>
        <v>0</v>
      </c>
      <c r="Z37" s="46">
        <f t="shared" si="241"/>
        <v>0</v>
      </c>
      <c r="AA37" s="46">
        <f t="shared" si="241"/>
        <v>0</v>
      </c>
      <c r="AB37" s="46">
        <f t="shared" si="241"/>
        <v>0</v>
      </c>
      <c r="AC37" s="91">
        <f t="shared" si="9"/>
        <v>0</v>
      </c>
      <c r="AD37" s="75">
        <f>IF(AM37&lt;&gt;0,1-AR37/AM37,0)</f>
        <v>0.58018304814962196</v>
      </c>
      <c r="AE37" s="93">
        <f t="shared" si="288"/>
        <v>0</v>
      </c>
      <c r="AF37" s="93">
        <f t="shared" si="288"/>
        <v>0</v>
      </c>
      <c r="AG37" s="76">
        <f t="shared" si="288"/>
        <v>0</v>
      </c>
      <c r="AH37" s="73">
        <f t="shared" si="293"/>
        <v>25.13</v>
      </c>
      <c r="AI37" s="94">
        <f t="shared" si="246"/>
        <v>0</v>
      </c>
      <c r="AJ37" s="94">
        <f t="shared" si="246"/>
        <v>0</v>
      </c>
      <c r="AK37" s="49">
        <f>IFERROR(VLOOKUP($B37-IF(CompareVer="LY",1,0) &amp; $C37 &amp;AK$4,tblForecast,AK$2,FALSE),0)</f>
        <v>0</v>
      </c>
      <c r="AL37" s="47">
        <f t="shared" si="294"/>
        <v>0</v>
      </c>
      <c r="AM37" s="73">
        <f t="shared" si="295"/>
        <v>10.052</v>
      </c>
      <c r="AN37" s="94">
        <f t="shared" si="248"/>
        <v>0</v>
      </c>
      <c r="AO37" s="94">
        <f t="shared" si="248"/>
        <v>0</v>
      </c>
      <c r="AP37" s="49">
        <f>IFERROR(VLOOKUP($B37-IF(CompareVer="LY",1,0) &amp; $C37 &amp;AP$4,tblForecast,AP$2,FALSE),0)</f>
        <v>0</v>
      </c>
      <c r="AQ37" s="47">
        <f t="shared" si="296"/>
        <v>0</v>
      </c>
      <c r="AR37" s="73">
        <f t="shared" si="297"/>
        <v>4.22</v>
      </c>
      <c r="AS37" s="94">
        <f t="shared" si="250"/>
        <v>0</v>
      </c>
      <c r="AT37" s="94">
        <f t="shared" si="250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2">
        <f t="shared" si="252"/>
        <v>0.6</v>
      </c>
      <c r="AX37" s="193">
        <f t="shared" si="253"/>
        <v>0</v>
      </c>
      <c r="AY37" s="193">
        <f t="shared" si="254"/>
        <v>0</v>
      </c>
      <c r="AZ37" s="193">
        <f t="shared" si="255"/>
        <v>0</v>
      </c>
      <c r="BA37" s="237">
        <f t="shared" si="298"/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257"/>
        <v>0</v>
      </c>
      <c r="BD37" s="233">
        <f t="shared" si="207"/>
        <v>0</v>
      </c>
      <c r="BE37" s="195">
        <f t="shared" si="229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 t="shared" si="20"/>
        <v>0</v>
      </c>
      <c r="BK37" s="50">
        <f t="shared" si="21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5"/>
        <v>0</v>
      </c>
      <c r="BS37" s="233">
        <f t="shared" si="22"/>
        <v>0</v>
      </c>
      <c r="BT37" s="236">
        <f t="shared" si="261"/>
        <v>0</v>
      </c>
      <c r="BU37" s="233">
        <f t="shared" si="261"/>
        <v>0</v>
      </c>
      <c r="BV37" s="233">
        <f>IF($A37="a",IFERROR(VLOOKUP($B37 &amp; $C37&amp;BV$4,tblForecast,BV$2,FALSE),0),BT37+BU37)</f>
        <v>0</v>
      </c>
      <c r="BW37" s="233">
        <f t="shared" si="262"/>
        <v>0</v>
      </c>
      <c r="BX37" s="233">
        <f t="shared" si="262"/>
        <v>0</v>
      </c>
      <c r="BY37" s="194">
        <f>IFERROR(VLOOKUP($B37-IF(CompareVer="LY",1,0) &amp; $C37 &amp;BY$4,tblForecast,BY$2,FALSE),0)</f>
        <v>0</v>
      </c>
      <c r="BZ37" s="195">
        <f t="shared" si="25"/>
        <v>0</v>
      </c>
      <c r="CA37" s="339">
        <f t="shared" si="263"/>
        <v>0</v>
      </c>
      <c r="CB37" s="46">
        <f t="shared" si="263"/>
        <v>0</v>
      </c>
      <c r="CC37" s="46">
        <f>IF($A37="a",IFERROR(VLOOKUP($B37 &amp; $C37&amp;CC$4,tblForecast,CC$2,FALSE),0),CA37+CB37)</f>
        <v>0</v>
      </c>
      <c r="CD37" s="46">
        <f t="shared" si="264"/>
        <v>0</v>
      </c>
      <c r="CE37" s="46">
        <f t="shared" si="264"/>
        <v>0</v>
      </c>
      <c r="CF37" s="46">
        <f>IFERROR(VLOOKUP($B37-IF(CompareVer="LY",1,0) &amp; $C37 &amp;CF$4,tblForecast,CF$2,FALSE),0)</f>
        <v>0</v>
      </c>
      <c r="CG37" s="195">
        <f t="shared" si="28"/>
        <v>0</v>
      </c>
      <c r="CH37" s="339">
        <f t="shared" si="265"/>
        <v>0</v>
      </c>
      <c r="CI37" s="46">
        <f t="shared" si="265"/>
        <v>0</v>
      </c>
      <c r="CJ37" s="46">
        <f>IF($A37="a",IFERROR(VLOOKUP($B37 &amp; $C37&amp;CJ$4,tblForecast,CJ$2,FALSE),0),CH37+CI37)</f>
        <v>0</v>
      </c>
      <c r="CK37" s="46">
        <f t="shared" si="266"/>
        <v>0</v>
      </c>
      <c r="CL37" s="46">
        <f t="shared" si="266"/>
        <v>0</v>
      </c>
      <c r="CM37" s="46">
        <f>IFERROR(VLOOKUP($B37-IF(CompareVer="LY",1,0) &amp; $C37 &amp;CM$4,tblForecast,CM$2,FALSE),0)</f>
        <v>0</v>
      </c>
      <c r="CN37" s="195">
        <f t="shared" si="31"/>
        <v>0</v>
      </c>
      <c r="CO37" s="179">
        <f t="shared" si="51"/>
        <v>0</v>
      </c>
      <c r="CP37" s="225">
        <f t="shared" si="33"/>
        <v>0</v>
      </c>
      <c r="CQ37" s="195">
        <f t="shared" si="34"/>
        <v>0</v>
      </c>
      <c r="CR37" s="179">
        <f t="shared" si="49"/>
        <v>0</v>
      </c>
      <c r="CS37" s="225">
        <f t="shared" si="35"/>
        <v>0</v>
      </c>
      <c r="CT37" s="195">
        <f t="shared" si="52"/>
        <v>0</v>
      </c>
      <c r="CU37" s="44"/>
      <c r="CV37" s="345">
        <f t="shared" si="291"/>
        <v>0</v>
      </c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7"/>
        <v>0</v>
      </c>
      <c r="CZ37" s="280">
        <f>IFERROR(VLOOKUP(Brand&amp;Channel&amp;Country&amp;$C37,tblDiscount,6,FALSE),0)</f>
        <v>0.6</v>
      </c>
      <c r="DA37" s="281">
        <f>(1-CZ37)*DB37</f>
        <v>10.052</v>
      </c>
      <c r="DB37" s="281">
        <f>IFERROR(VLOOKUP(Brand&amp;Country &amp; Channel &amp;FC,tblFCSettings,8,FALSE),0)</f>
        <v>25.13</v>
      </c>
      <c r="DC37" s="282">
        <f>IFERROR(VLOOKUP(Brand&amp;Country &amp; Channel &amp;FC,tblFCSettings,9,FALSE),0)</f>
        <v>4.22</v>
      </c>
    </row>
    <row r="38" spans="1:107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50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299">SUM(M33:M37)</f>
        <v>0</v>
      </c>
      <c r="N38" s="261">
        <f t="shared" si="299"/>
        <v>0</v>
      </c>
      <c r="O38" s="261">
        <f t="shared" si="299"/>
        <v>0</v>
      </c>
      <c r="P38" s="262">
        <f t="shared" si="40"/>
        <v>0</v>
      </c>
      <c r="Q38" s="263">
        <f>SUM(Q33:Q37)</f>
        <v>0</v>
      </c>
      <c r="R38" s="264">
        <f t="shared" ref="R38:S38" si="300">SUM(R33:R37)</f>
        <v>0</v>
      </c>
      <c r="S38" s="264">
        <f t="shared" si="300"/>
        <v>0</v>
      </c>
      <c r="T38" s="264">
        <f>SUM(T33:T37)</f>
        <v>0</v>
      </c>
      <c r="U38" s="262">
        <f t="shared" si="7"/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301">SUM(Z33:Z37)</f>
        <v>0</v>
      </c>
      <c r="AA38" s="261">
        <f t="shared" si="301"/>
        <v>0</v>
      </c>
      <c r="AB38" s="261">
        <f t="shared" si="301"/>
        <v>0</v>
      </c>
      <c r="AC38" s="262">
        <f t="shared" si="9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" si="302">IFERROR(SUMPRODUCT(AJ34:AJ37,S34:S37)/S38,0)</f>
        <v>0</v>
      </c>
      <c r="AK38" s="270">
        <f t="shared" ref="AK38" si="303">IFERROR(SUMPRODUCT(AK34:AK37,T34:T37)/T38,0)</f>
        <v>0</v>
      </c>
      <c r="AL38" s="262">
        <f t="shared" ref="AL38:AL42" si="304">IFERROR(AH38/AK38-1,)</f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ref="AQ38:AQ42" si="305">IFERROR(AM38/AP38-1,)</f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ref="AV38" si="306">IFERROR(AR38/AU38-1,)</f>
        <v>0</v>
      </c>
      <c r="AW38" s="271">
        <f t="shared" si="252"/>
        <v>0</v>
      </c>
      <c r="AX38" s="272">
        <f t="shared" si="253"/>
        <v>0</v>
      </c>
      <c r="AY38" s="272">
        <f t="shared" si="254"/>
        <v>0</v>
      </c>
      <c r="AZ38" s="272">
        <f t="shared" si="255"/>
        <v>0</v>
      </c>
      <c r="BA38" s="263">
        <f>BA37</f>
        <v>0</v>
      </c>
      <c r="BB38" s="264">
        <f t="shared" ref="BB38" si="307">BB37</f>
        <v>0</v>
      </c>
      <c r="BC38" s="264">
        <f t="shared" ref="BC38" si="308">BC37</f>
        <v>0</v>
      </c>
      <c r="BD38" s="264">
        <f t="shared" ref="BD38" si="309">BD37</f>
        <v>0</v>
      </c>
      <c r="BE38" s="262">
        <f t="shared" ref="BE38" si="310">IFERROR(BA38/BD38-1,)</f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 t="shared" si="20"/>
        <v>0</v>
      </c>
      <c r="BK38" s="276">
        <f t="shared" si="21"/>
        <v>0</v>
      </c>
      <c r="BL38" s="263">
        <f t="shared" ref="BL38" si="311">SUM(BL33:BL37)</f>
        <v>0</v>
      </c>
      <c r="BM38" s="264">
        <f>SUM(BM33:BM37)</f>
        <v>0</v>
      </c>
      <c r="BN38" s="263">
        <f t="shared" ref="BN38" si="312">SUM(BN33:BN37)</f>
        <v>0</v>
      </c>
      <c r="BO38" s="264">
        <f t="shared" ref="BO38:BQ38" si="313">SUM(BO33:BO37)</f>
        <v>0</v>
      </c>
      <c r="BP38" s="263">
        <f t="shared" si="313"/>
        <v>0</v>
      </c>
      <c r="BQ38" s="264">
        <f t="shared" si="313"/>
        <v>0</v>
      </c>
      <c r="BR38" s="263">
        <f t="shared" si="45"/>
        <v>0</v>
      </c>
      <c r="BS38" s="264">
        <f t="shared" si="22"/>
        <v>0</v>
      </c>
      <c r="BT38" s="263">
        <f t="shared" ref="BT38:BY38" si="314">SUM(BT33:BT37)</f>
        <v>0</v>
      </c>
      <c r="BU38" s="264">
        <f t="shared" si="314"/>
        <v>0</v>
      </c>
      <c r="BV38" s="264">
        <f t="shared" si="314"/>
        <v>0</v>
      </c>
      <c r="BW38" s="264">
        <f t="shared" ref="BW38" si="315">SUM(BW33:BW37)</f>
        <v>0</v>
      </c>
      <c r="BX38" s="264">
        <f t="shared" ref="BX38" si="316">SUM(BX33:BX37)</f>
        <v>0</v>
      </c>
      <c r="BY38" s="277">
        <f t="shared" si="314"/>
        <v>0</v>
      </c>
      <c r="BZ38" s="262">
        <f t="shared" si="25"/>
        <v>0</v>
      </c>
      <c r="CA38" s="340">
        <f t="shared" ref="CA38" si="317">SUM(CA33:CA37)</f>
        <v>0</v>
      </c>
      <c r="CB38" s="261">
        <f t="shared" ref="CB38:CC38" si="318">SUM(CB33:CB37)</f>
        <v>0</v>
      </c>
      <c r="CC38" s="261">
        <f t="shared" si="318"/>
        <v>0</v>
      </c>
      <c r="CD38" s="261">
        <f t="shared" ref="CD38:CE38" si="319">SUM(CD33:CD37)</f>
        <v>0</v>
      </c>
      <c r="CE38" s="261">
        <f t="shared" si="319"/>
        <v>0</v>
      </c>
      <c r="CF38" s="261">
        <f t="shared" ref="CF38" si="320">SUM(CF33:CF37)</f>
        <v>0</v>
      </c>
      <c r="CG38" s="262">
        <f t="shared" si="28"/>
        <v>0</v>
      </c>
      <c r="CH38" s="340">
        <f t="shared" ref="CH38" si="321">SUM(CH33:CH37)</f>
        <v>0</v>
      </c>
      <c r="CI38" s="261">
        <f t="shared" ref="CI38:CJ38" si="322">SUM(CI33:CI37)</f>
        <v>0</v>
      </c>
      <c r="CJ38" s="261">
        <f t="shared" si="322"/>
        <v>0</v>
      </c>
      <c r="CK38" s="261">
        <f t="shared" ref="CK38:CL38" si="323">SUM(CK33:CK37)</f>
        <v>0</v>
      </c>
      <c r="CL38" s="261">
        <f t="shared" si="323"/>
        <v>0</v>
      </c>
      <c r="CM38" s="261">
        <f t="shared" ref="CM38" si="324">SUM(CM33:CM37)</f>
        <v>0</v>
      </c>
      <c r="CN38" s="262">
        <f t="shared" si="31"/>
        <v>0</v>
      </c>
      <c r="CO38" s="278">
        <f t="shared" si="51"/>
        <v>0</v>
      </c>
      <c r="CP38" s="279">
        <f t="shared" si="33"/>
        <v>0</v>
      </c>
      <c r="CQ38" s="262">
        <f t="shared" si="34"/>
        <v>0</v>
      </c>
      <c r="CR38" s="278">
        <f t="shared" si="49"/>
        <v>0</v>
      </c>
      <c r="CS38" s="279">
        <f t="shared" si="35"/>
        <v>0</v>
      </c>
      <c r="CT38" s="262">
        <f t="shared" si="52"/>
        <v>0</v>
      </c>
      <c r="CU38" s="44"/>
      <c r="CV38" s="346"/>
      <c r="CW38" s="100">
        <f>CW37</f>
        <v>0</v>
      </c>
      <c r="CX38" s="101">
        <f>CX37</f>
        <v>0</v>
      </c>
      <c r="CY38" s="99">
        <f t="shared" si="37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50"/>
        <v>0</v>
      </c>
      <c r="G39" s="177">
        <f t="shared" ref="G39:I42" si="325">IFERROR(VLOOKUP($B39 &amp; $C39&amp;G$4&amp;$A39,tblForecast,G$2,FALSE),0)</f>
        <v>0</v>
      </c>
      <c r="H39" s="204">
        <f t="shared" si="325"/>
        <v>0</v>
      </c>
      <c r="I39" s="204">
        <f t="shared" si="325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 t="shared" ref="L39:O42" si="326">Q39*AM39</f>
        <v>0</v>
      </c>
      <c r="M39" s="90">
        <f t="shared" si="326"/>
        <v>0</v>
      </c>
      <c r="N39" s="46">
        <f t="shared" si="326"/>
        <v>0</v>
      </c>
      <c r="O39" s="46">
        <f t="shared" si="326"/>
        <v>0</v>
      </c>
      <c r="P39" s="47">
        <f t="shared" si="40"/>
        <v>0</v>
      </c>
      <c r="Q39" s="244">
        <f>IF(A37="a",IF(CV39=0,R39,IF(BA37-(Q37*IF(W39=0,X39,W39))&lt;0,BA37,Q37*IF(W39=0,X39,W39))),IF(BA37-(Q37*IF(W39=0,X39,W39))&lt;0,BA37,Q37*IF(W39=0,X39,W39)))</f>
        <v>0</v>
      </c>
      <c r="R39" s="242">
        <f t="shared" ref="R39:S42" si="327">IFERROR(VLOOKUP($B39 &amp; $C39&amp;R$4,tblForecast,R$2,FALSE),0)</f>
        <v>0</v>
      </c>
      <c r="S39" s="242">
        <f t="shared" si="327"/>
        <v>0</v>
      </c>
      <c r="T39" s="242">
        <f>IFERROR(VLOOKUP($B39-IF(CompareVer="LY",1,0) &amp; $C39 &amp;T$4,tblForecast,T$2,FALSE),0)</f>
        <v>0</v>
      </c>
      <c r="U39" s="91">
        <f t="shared" si="7"/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 t="shared" ref="Y39:AB42" si="328">IFERROR(L39*AD39,0)</f>
        <v>0</v>
      </c>
      <c r="Z39" s="46">
        <f t="shared" si="328"/>
        <v>0</v>
      </c>
      <c r="AA39" s="46">
        <f t="shared" si="328"/>
        <v>0</v>
      </c>
      <c r="AB39" s="46">
        <f t="shared" si="328"/>
        <v>0</v>
      </c>
      <c r="AC39" s="91">
        <f t="shared" si="9"/>
        <v>0</v>
      </c>
      <c r="AD39" s="75">
        <f>IF(AM39&lt;&gt;0,1-AR39/AM39,0)</f>
        <v>0.52020919788528219</v>
      </c>
      <c r="AE39" s="93">
        <f t="shared" ref="AE39:AG42" si="329">IF(AN39&lt;&gt;0,1-AS39/AN39,0)</f>
        <v>0</v>
      </c>
      <c r="AF39" s="93">
        <f t="shared" si="329"/>
        <v>0</v>
      </c>
      <c r="AG39" s="76">
        <f t="shared" si="329"/>
        <v>0</v>
      </c>
      <c r="AH39" s="73">
        <f t="shared" ref="AH39:AH42" si="330">DB39</f>
        <v>25.13</v>
      </c>
      <c r="AI39" s="94">
        <f t="shared" si="246"/>
        <v>0</v>
      </c>
      <c r="AJ39" s="94">
        <f t="shared" si="246"/>
        <v>0</v>
      </c>
      <c r="AK39" s="49">
        <f>IFERROR(VLOOKUP($B39-IF(CompareVer="LY",1,0) &amp; $C39 &amp;AK$4,tblForecast,AK$2,FALSE),0)</f>
        <v>0</v>
      </c>
      <c r="AL39" s="47">
        <f t="shared" si="304"/>
        <v>0</v>
      </c>
      <c r="AM39" s="73">
        <f t="shared" ref="AM39:AM42" si="331">DA39</f>
        <v>8.7954999999999988</v>
      </c>
      <c r="AN39" s="94">
        <f t="shared" si="248"/>
        <v>0</v>
      </c>
      <c r="AO39" s="94">
        <f t="shared" si="248"/>
        <v>0</v>
      </c>
      <c r="AP39" s="49">
        <f>IFERROR(VLOOKUP($B39-IF(CompareVer="LY",1,0) &amp; $C39 &amp;AP$4,tblForecast,AP$2,FALSE),0)</f>
        <v>0</v>
      </c>
      <c r="AQ39" s="47">
        <f t="shared" si="305"/>
        <v>0</v>
      </c>
      <c r="AR39" s="73">
        <f t="shared" ref="AR39:AR42" si="332">DC39</f>
        <v>4.22</v>
      </c>
      <c r="AS39" s="94">
        <f t="shared" ref="AS39:AT42" si="333">IFERROR(VLOOKUP($B39 &amp; $C39&amp;AS$4,tblForecast,AS$2,FALSE),0)</f>
        <v>0</v>
      </c>
      <c r="AT39" s="94">
        <f t="shared" si="333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2">
        <f t="shared" ref="AW39:AW44" si="334">IFERROR((AM39/AH39-1)*-1,0)</f>
        <v>0.65</v>
      </c>
      <c r="AX39" s="193">
        <f t="shared" ref="AX39:AX44" si="335">IFERROR((AN39/AI39-1)*-1,0)</f>
        <v>0</v>
      </c>
      <c r="AY39" s="193">
        <f t="shared" ref="AY39:AY44" si="336">IFERROR((AO39/AJ39-1)*-1,0)</f>
        <v>0</v>
      </c>
      <c r="AZ39" s="193">
        <f t="shared" si="255"/>
        <v>0</v>
      </c>
      <c r="BA39" s="237">
        <f t="shared" ref="BA39:BA42" si="337">IF(BA38+BV39+BL39+BR39-Q39&lt;0,0,BA38+BF38+BV39+BL39+BR39-Q39)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207"/>
        <v>0</v>
      </c>
      <c r="BE39" s="195">
        <f t="shared" si="19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 t="shared" si="20"/>
        <v>0</v>
      </c>
      <c r="BK39" s="50">
        <f t="shared" si="21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5"/>
        <v>0</v>
      </c>
      <c r="BS39" s="233">
        <f t="shared" si="22"/>
        <v>0</v>
      </c>
      <c r="BT39" s="236">
        <f t="shared" ref="BT39:BU42" si="338">IFERROR(VLOOKUP($B39 &amp; $C39&amp;BT$4,tblForecast,BT$2,FALSE),0)</f>
        <v>0</v>
      </c>
      <c r="BU39" s="233">
        <f t="shared" si="338"/>
        <v>0</v>
      </c>
      <c r="BV39" s="233">
        <f>IF($A39="a",IFERROR(VLOOKUP($B39 &amp; $C39&amp;BV$4,tblForecast,BV$2,FALSE),0),BT39+BU39)</f>
        <v>0</v>
      </c>
      <c r="BW39" s="233">
        <f t="shared" ref="BW39:BX42" si="339">IFERROR(VLOOKUP($B39 &amp; $C39&amp;BW$4,tblForecast,BW$2,FALSE),0)</f>
        <v>0</v>
      </c>
      <c r="BX39" s="233">
        <f t="shared" si="339"/>
        <v>0</v>
      </c>
      <c r="BY39" s="194">
        <f>IFERROR(VLOOKUP($B39-IF(CompareVer="LY",1,0) &amp; $C39 &amp;BY$4,tblForecast,BY$2,FALSE),0)</f>
        <v>0</v>
      </c>
      <c r="BZ39" s="195">
        <f t="shared" si="25"/>
        <v>0</v>
      </c>
      <c r="CA39" s="339">
        <f t="shared" ref="CA39:CA42" si="340">IFERROR(VLOOKUP($B39 &amp; $C39&amp;CA$4,tblForecast,CA$2,FALSE),0)</f>
        <v>0</v>
      </c>
      <c r="CB39" s="46">
        <f t="shared" ref="CB39:CB42" si="341">IFERROR(VLOOKUP($B39 &amp; $C39&amp;CB$4,tblForecast,CB$2,FALSE),0)</f>
        <v>0</v>
      </c>
      <c r="CC39" s="46">
        <f>IF($A39="a",IFERROR(VLOOKUP($B39 &amp; $C39&amp;CC$4,tblForecast,CC$2,FALSE),0),CA39+CB39)</f>
        <v>0</v>
      </c>
      <c r="CD39" s="46">
        <f t="shared" ref="CD39:CE42" si="342">IFERROR(VLOOKUP($B39 &amp; $C39&amp;CD$4,tblForecast,CD$2,FALSE),0)</f>
        <v>0</v>
      </c>
      <c r="CE39" s="46">
        <f t="shared" si="342"/>
        <v>0</v>
      </c>
      <c r="CF39" s="46">
        <f>IFERROR(VLOOKUP($B39-IF(CompareVer="LY",1,0) &amp; $C39 &amp;CF$4,tblForecast,CF$2,FALSE),0)</f>
        <v>0</v>
      </c>
      <c r="CG39" s="195">
        <f t="shared" si="28"/>
        <v>0</v>
      </c>
      <c r="CH39" s="339">
        <f t="shared" ref="CH39:CH42" si="343">IFERROR(VLOOKUP($B39 &amp; $C39&amp;CH$4,tblForecast,CH$2,FALSE),0)</f>
        <v>0</v>
      </c>
      <c r="CI39" s="46">
        <f t="shared" ref="CI39:CI42" si="344">IFERROR(VLOOKUP($B39 &amp; $C39&amp;CI$4,tblForecast,CI$2,FALSE),0)</f>
        <v>0</v>
      </c>
      <c r="CJ39" s="46">
        <f>IF($A39="a",IFERROR(VLOOKUP($B39 &amp; $C39&amp;CJ$4,tblForecast,CJ$2,FALSE),0),CH39+CI39)</f>
        <v>0</v>
      </c>
      <c r="CK39" s="46">
        <f t="shared" ref="CK39:CL42" si="345">IFERROR(VLOOKUP($B39 &amp; $C39&amp;CK$4,tblForecast,CK$2,FALSE),0)</f>
        <v>0</v>
      </c>
      <c r="CL39" s="46">
        <f t="shared" si="345"/>
        <v>0</v>
      </c>
      <c r="CM39" s="46">
        <f>IFERROR(VLOOKUP($B39-IF(CompareVer="LY",1,0) &amp; $C39 &amp;CM$4,tblForecast,CM$2,FALSE),0)</f>
        <v>0</v>
      </c>
      <c r="CN39" s="195">
        <f t="shared" si="31"/>
        <v>0</v>
      </c>
      <c r="CO39" s="179">
        <f t="shared" si="51"/>
        <v>0</v>
      </c>
      <c r="CP39" s="225">
        <f t="shared" si="33"/>
        <v>0</v>
      </c>
      <c r="CQ39" s="195">
        <f t="shared" si="34"/>
        <v>0</v>
      </c>
      <c r="CR39" s="179">
        <f t="shared" si="49"/>
        <v>0</v>
      </c>
      <c r="CS39" s="225">
        <f t="shared" si="35"/>
        <v>0</v>
      </c>
      <c r="CT39" s="195">
        <f t="shared" si="52"/>
        <v>0</v>
      </c>
      <c r="CU39" s="44"/>
      <c r="CV39" s="345">
        <f t="shared" ref="CV39:CV42" si="346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7"/>
        <v>0</v>
      </c>
      <c r="CZ39" s="280">
        <f>IFERROR(VLOOKUP(Brand&amp;Channel&amp;Country&amp;$C39,tblDiscount,6,FALSE),0)</f>
        <v>0.65</v>
      </c>
      <c r="DA39" s="281">
        <f>(1-CZ39)*DB39</f>
        <v>8.7954999999999988</v>
      </c>
      <c r="DB39" s="281">
        <f>IFERROR(VLOOKUP(Brand&amp;Country &amp; Channel &amp;FC,tblFCSettings,8,FALSE),0)</f>
        <v>25.13</v>
      </c>
      <c r="DC39" s="282">
        <f>IFERROR(VLOOKUP(Brand&amp;Country &amp; Channel &amp;FC,tblFCSettings,9,FALSE),0)</f>
        <v>4.22</v>
      </c>
    </row>
    <row r="40" spans="1:107" x14ac:dyDescent="0.25">
      <c r="B40" s="44">
        <v>2018</v>
      </c>
      <c r="C40" s="88">
        <v>24</v>
      </c>
      <c r="D40" s="51">
        <f t="shared" ref="D40:D42" si="347">G40*H40</f>
        <v>0</v>
      </c>
      <c r="E40" s="203">
        <f t="shared" ref="E40:E42" si="348">IFERROR(D40*F40,0)</f>
        <v>0</v>
      </c>
      <c r="F40" s="183">
        <f t="shared" si="50"/>
        <v>0</v>
      </c>
      <c r="G40" s="177">
        <f t="shared" si="325"/>
        <v>0</v>
      </c>
      <c r="H40" s="204">
        <f t="shared" si="325"/>
        <v>0</v>
      </c>
      <c r="I40" s="204">
        <f t="shared" si="325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 t="shared" si="326"/>
        <v>0</v>
      </c>
      <c r="M40" s="90">
        <f t="shared" si="326"/>
        <v>0</v>
      </c>
      <c r="N40" s="46">
        <f t="shared" si="326"/>
        <v>0</v>
      </c>
      <c r="O40" s="46">
        <f t="shared" si="326"/>
        <v>0</v>
      </c>
      <c r="P40" s="47">
        <f t="shared" si="40"/>
        <v>0</v>
      </c>
      <c r="Q40" s="244">
        <f t="shared" ref="Q40:Q42" si="349">IF(A39="a",IF(CV40=0,R40,IF(BA39-(Q39*IF(W40=0,X40,W40))&lt;0,BA39,Q39*IF(W40=0,X40,W40))),IF(BA39-(Q39*IF(W40=0,X40,W40))&lt;0,BA39,Q39*IF(W40=0,X40,W40)))</f>
        <v>0</v>
      </c>
      <c r="R40" s="242">
        <f t="shared" si="327"/>
        <v>0</v>
      </c>
      <c r="S40" s="242">
        <f t="shared" si="327"/>
        <v>0</v>
      </c>
      <c r="T40" s="242">
        <f>IFERROR(VLOOKUP($B40-IF(CompareVer="LY",1,0) &amp; $C40 &amp;T$4,tblForecast,T$2,FALSE),0)</f>
        <v>0</v>
      </c>
      <c r="U40" s="91">
        <f t="shared" si="7"/>
        <v>0</v>
      </c>
      <c r="V40" s="251">
        <f t="shared" ref="V40:W42" si="350">IFERROR(IF(Q39&lt;&gt;0,Q40/Q39,0),0)</f>
        <v>0</v>
      </c>
      <c r="W40" s="336">
        <f t="shared" si="350"/>
        <v>0</v>
      </c>
      <c r="X40" s="252">
        <f>IFERROR(IF(T39&lt;&gt;0,T40/T39,0),0)</f>
        <v>0</v>
      </c>
      <c r="Y40" s="51">
        <f t="shared" si="328"/>
        <v>0</v>
      </c>
      <c r="Z40" s="46">
        <f t="shared" si="328"/>
        <v>0</v>
      </c>
      <c r="AA40" s="46">
        <f t="shared" si="328"/>
        <v>0</v>
      </c>
      <c r="AB40" s="46">
        <f t="shared" si="328"/>
        <v>0</v>
      </c>
      <c r="AC40" s="91">
        <f t="shared" si="9"/>
        <v>0</v>
      </c>
      <c r="AD40" s="75">
        <f>IF(AM40&lt;&gt;0,1-AR40/AM40,0)</f>
        <v>0.52020919788528219</v>
      </c>
      <c r="AE40" s="93">
        <f t="shared" si="329"/>
        <v>0</v>
      </c>
      <c r="AF40" s="93">
        <f t="shared" si="329"/>
        <v>0</v>
      </c>
      <c r="AG40" s="76">
        <f t="shared" si="329"/>
        <v>0</v>
      </c>
      <c r="AH40" s="73">
        <f t="shared" si="330"/>
        <v>25.13</v>
      </c>
      <c r="AI40" s="94">
        <f t="shared" si="246"/>
        <v>0</v>
      </c>
      <c r="AJ40" s="94">
        <f t="shared" si="246"/>
        <v>0</v>
      </c>
      <c r="AK40" s="49">
        <f>IFERROR(VLOOKUP($B40-IF(CompareVer="LY",1,0) &amp; $C40 &amp;AK$4,tblForecast,AK$2,FALSE),0)</f>
        <v>0</v>
      </c>
      <c r="AL40" s="47">
        <f t="shared" si="304"/>
        <v>0</v>
      </c>
      <c r="AM40" s="73">
        <f t="shared" si="331"/>
        <v>8.7954999999999988</v>
      </c>
      <c r="AN40" s="94">
        <f t="shared" si="248"/>
        <v>0</v>
      </c>
      <c r="AO40" s="94">
        <f t="shared" si="248"/>
        <v>0</v>
      </c>
      <c r="AP40" s="49">
        <f>IFERROR(VLOOKUP($B40-IF(CompareVer="LY",1,0) &amp; $C40 &amp;AP$4,tblForecast,AP$2,FALSE),0)</f>
        <v>0</v>
      </c>
      <c r="AQ40" s="47">
        <f t="shared" si="305"/>
        <v>0</v>
      </c>
      <c r="AR40" s="73">
        <f t="shared" si="332"/>
        <v>4.22</v>
      </c>
      <c r="AS40" s="94">
        <f t="shared" si="333"/>
        <v>0</v>
      </c>
      <c r="AT40" s="94">
        <f t="shared" si="333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2">
        <f t="shared" si="334"/>
        <v>0.65</v>
      </c>
      <c r="AX40" s="193">
        <f t="shared" si="335"/>
        <v>0</v>
      </c>
      <c r="AY40" s="193">
        <f t="shared" si="336"/>
        <v>0</v>
      </c>
      <c r="AZ40" s="193">
        <f t="shared" si="255"/>
        <v>0</v>
      </c>
      <c r="BA40" s="237">
        <f t="shared" si="337"/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207"/>
        <v>0</v>
      </c>
      <c r="BE40" s="195">
        <f t="shared" si="19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 t="shared" si="20"/>
        <v>0</v>
      </c>
      <c r="BK40" s="50">
        <f t="shared" si="21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5"/>
        <v>0</v>
      </c>
      <c r="BS40" s="233">
        <f t="shared" si="22"/>
        <v>0</v>
      </c>
      <c r="BT40" s="236">
        <f t="shared" si="338"/>
        <v>0</v>
      </c>
      <c r="BU40" s="233">
        <f t="shared" si="338"/>
        <v>0</v>
      </c>
      <c r="BV40" s="233">
        <f>IF($A40="a",IFERROR(VLOOKUP($B40 &amp; $C40&amp;BV$4,tblForecast,BV$2,FALSE),0),BT40+BU40)</f>
        <v>0</v>
      </c>
      <c r="BW40" s="233">
        <f t="shared" si="339"/>
        <v>0</v>
      </c>
      <c r="BX40" s="233">
        <f t="shared" si="339"/>
        <v>0</v>
      </c>
      <c r="BY40" s="194">
        <f>IFERROR(VLOOKUP($B40-IF(CompareVer="LY",1,0) &amp; $C40 &amp;BY$4,tblForecast,BY$2,FALSE),0)</f>
        <v>0</v>
      </c>
      <c r="BZ40" s="195">
        <f t="shared" si="25"/>
        <v>0</v>
      </c>
      <c r="CA40" s="339">
        <f t="shared" si="340"/>
        <v>0</v>
      </c>
      <c r="CB40" s="46">
        <f t="shared" si="341"/>
        <v>0</v>
      </c>
      <c r="CC40" s="46">
        <f>IF($A40="a",IFERROR(VLOOKUP($B40 &amp; $C40&amp;CC$4,tblForecast,CC$2,FALSE),0),CA40+CB40)</f>
        <v>0</v>
      </c>
      <c r="CD40" s="46">
        <f t="shared" si="342"/>
        <v>0</v>
      </c>
      <c r="CE40" s="46">
        <f t="shared" si="342"/>
        <v>0</v>
      </c>
      <c r="CF40" s="46">
        <f>IFERROR(VLOOKUP($B40-IF(CompareVer="LY",1,0) &amp; $C40 &amp;CF$4,tblForecast,CF$2,FALSE),0)</f>
        <v>0</v>
      </c>
      <c r="CG40" s="195">
        <f t="shared" si="28"/>
        <v>0</v>
      </c>
      <c r="CH40" s="339">
        <f t="shared" si="343"/>
        <v>0</v>
      </c>
      <c r="CI40" s="46">
        <f t="shared" si="344"/>
        <v>0</v>
      </c>
      <c r="CJ40" s="46">
        <f>IF($A40="a",IFERROR(VLOOKUP($B40 &amp; $C40&amp;CJ$4,tblForecast,CJ$2,FALSE),0),CH40+CI40)</f>
        <v>0</v>
      </c>
      <c r="CK40" s="46">
        <f t="shared" si="345"/>
        <v>0</v>
      </c>
      <c r="CL40" s="46">
        <f t="shared" si="345"/>
        <v>0</v>
      </c>
      <c r="CM40" s="46">
        <f>IFERROR(VLOOKUP($B40-IF(CompareVer="LY",1,0) &amp; $C40 &amp;CM$4,tblForecast,CM$2,FALSE),0)</f>
        <v>0</v>
      </c>
      <c r="CN40" s="195">
        <f t="shared" si="31"/>
        <v>0</v>
      </c>
      <c r="CO40" s="179">
        <f t="shared" si="51"/>
        <v>0</v>
      </c>
      <c r="CP40" s="225">
        <f t="shared" si="33"/>
        <v>0</v>
      </c>
      <c r="CQ40" s="195">
        <f t="shared" si="34"/>
        <v>0</v>
      </c>
      <c r="CR40" s="179">
        <f t="shared" si="49"/>
        <v>0</v>
      </c>
      <c r="CS40" s="225">
        <f t="shared" si="35"/>
        <v>0</v>
      </c>
      <c r="CT40" s="195">
        <f t="shared" si="52"/>
        <v>0</v>
      </c>
      <c r="CU40" s="44"/>
      <c r="CV40" s="345">
        <f t="shared" si="346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7"/>
        <v>0</v>
      </c>
      <c r="CZ40" s="280">
        <f>IFERROR(VLOOKUP(Brand&amp;Channel&amp;Country&amp;$C40,tblDiscount,6,FALSE),0)</f>
        <v>0.65</v>
      </c>
      <c r="DA40" s="281">
        <f>(1-CZ40)*DB40</f>
        <v>8.7954999999999988</v>
      </c>
      <c r="DB40" s="281">
        <f>IFERROR(VLOOKUP(Brand&amp;Country &amp; Channel &amp;FC,tblFCSettings,8,FALSE),0)</f>
        <v>25.13</v>
      </c>
      <c r="DC40" s="282">
        <f>IFERROR(VLOOKUP(Brand&amp;Country &amp; Channel &amp;FC,tblFCSettings,9,FALSE),0)</f>
        <v>4.22</v>
      </c>
    </row>
    <row r="41" spans="1:107" x14ac:dyDescent="0.25">
      <c r="B41" s="44">
        <v>2018</v>
      </c>
      <c r="C41" s="88">
        <v>25</v>
      </c>
      <c r="D41" s="51">
        <f t="shared" si="347"/>
        <v>0</v>
      </c>
      <c r="E41" s="203">
        <f t="shared" si="348"/>
        <v>0</v>
      </c>
      <c r="F41" s="183">
        <f t="shared" si="50"/>
        <v>0</v>
      </c>
      <c r="G41" s="177">
        <f t="shared" si="325"/>
        <v>0</v>
      </c>
      <c r="H41" s="204">
        <f t="shared" si="325"/>
        <v>0</v>
      </c>
      <c r="I41" s="204">
        <f t="shared" si="325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 t="shared" si="326"/>
        <v>0</v>
      </c>
      <c r="M41" s="90">
        <f t="shared" si="326"/>
        <v>0</v>
      </c>
      <c r="N41" s="46">
        <f t="shared" si="326"/>
        <v>0</v>
      </c>
      <c r="O41" s="46">
        <f t="shared" si="326"/>
        <v>0</v>
      </c>
      <c r="P41" s="47">
        <f t="shared" si="40"/>
        <v>0</v>
      </c>
      <c r="Q41" s="244">
        <f t="shared" si="349"/>
        <v>0</v>
      </c>
      <c r="R41" s="242">
        <f t="shared" si="327"/>
        <v>0</v>
      </c>
      <c r="S41" s="242">
        <f t="shared" si="327"/>
        <v>0</v>
      </c>
      <c r="T41" s="242">
        <f>IFERROR(VLOOKUP($B41-IF(CompareVer="LY",1,0) &amp; $C41 &amp;T$4,tblForecast,T$2,FALSE),0)</f>
        <v>0</v>
      </c>
      <c r="U41" s="91">
        <f t="shared" si="7"/>
        <v>0</v>
      </c>
      <c r="V41" s="251">
        <f t="shared" si="350"/>
        <v>0</v>
      </c>
      <c r="W41" s="336">
        <f t="shared" si="350"/>
        <v>0</v>
      </c>
      <c r="X41" s="252">
        <f>IFERROR(IF(T40&lt;&gt;0,T41/T40,0),0)</f>
        <v>0</v>
      </c>
      <c r="Y41" s="51">
        <f t="shared" si="328"/>
        <v>0</v>
      </c>
      <c r="Z41" s="46">
        <f t="shared" si="328"/>
        <v>0</v>
      </c>
      <c r="AA41" s="46">
        <f t="shared" si="328"/>
        <v>0</v>
      </c>
      <c r="AB41" s="46">
        <f t="shared" si="328"/>
        <v>0</v>
      </c>
      <c r="AC41" s="91">
        <f t="shared" si="9"/>
        <v>0</v>
      </c>
      <c r="AD41" s="75">
        <f>IF(AM41&lt;&gt;0,1-AR41/AM41,0)</f>
        <v>0.52020919788528219</v>
      </c>
      <c r="AE41" s="93">
        <f t="shared" si="329"/>
        <v>0</v>
      </c>
      <c r="AF41" s="93">
        <f t="shared" si="329"/>
        <v>0</v>
      </c>
      <c r="AG41" s="76">
        <f t="shared" si="329"/>
        <v>0</v>
      </c>
      <c r="AH41" s="73">
        <f t="shared" si="330"/>
        <v>25.13</v>
      </c>
      <c r="AI41" s="94">
        <f t="shared" si="246"/>
        <v>0</v>
      </c>
      <c r="AJ41" s="94">
        <f t="shared" si="246"/>
        <v>0</v>
      </c>
      <c r="AK41" s="49">
        <f>IFERROR(VLOOKUP($B41-IF(CompareVer="LY",1,0) &amp; $C41 &amp;AK$4,tblForecast,AK$2,FALSE),0)</f>
        <v>0</v>
      </c>
      <c r="AL41" s="47">
        <f t="shared" si="304"/>
        <v>0</v>
      </c>
      <c r="AM41" s="73">
        <f t="shared" si="331"/>
        <v>8.7954999999999988</v>
      </c>
      <c r="AN41" s="94">
        <f t="shared" si="248"/>
        <v>0</v>
      </c>
      <c r="AO41" s="94">
        <f t="shared" si="248"/>
        <v>0</v>
      </c>
      <c r="AP41" s="49">
        <f>IFERROR(VLOOKUP($B41-IF(CompareVer="LY",1,0) &amp; $C41 &amp;AP$4,tblForecast,AP$2,FALSE),0)</f>
        <v>0</v>
      </c>
      <c r="AQ41" s="47">
        <f t="shared" si="305"/>
        <v>0</v>
      </c>
      <c r="AR41" s="73">
        <f t="shared" si="332"/>
        <v>4.22</v>
      </c>
      <c r="AS41" s="94">
        <f t="shared" si="333"/>
        <v>0</v>
      </c>
      <c r="AT41" s="94">
        <f t="shared" si="333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2">
        <f t="shared" si="334"/>
        <v>0.65</v>
      </c>
      <c r="AX41" s="193">
        <f t="shared" si="335"/>
        <v>0</v>
      </c>
      <c r="AY41" s="193">
        <f t="shared" si="336"/>
        <v>0</v>
      </c>
      <c r="AZ41" s="193">
        <f t="shared" si="255"/>
        <v>0</v>
      </c>
      <c r="BA41" s="237">
        <f t="shared" si="337"/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207"/>
        <v>0</v>
      </c>
      <c r="BE41" s="195">
        <f t="shared" si="19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 t="shared" si="20"/>
        <v>0</v>
      </c>
      <c r="BK41" s="50">
        <f t="shared" si="21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5"/>
        <v>0</v>
      </c>
      <c r="BS41" s="233">
        <f t="shared" si="22"/>
        <v>0</v>
      </c>
      <c r="BT41" s="236">
        <f t="shared" si="338"/>
        <v>0</v>
      </c>
      <c r="BU41" s="233">
        <f t="shared" si="338"/>
        <v>0</v>
      </c>
      <c r="BV41" s="233">
        <f>IF($A41="a",IFERROR(VLOOKUP($B41 &amp; $C41&amp;BV$4,tblForecast,BV$2,FALSE),0),BT41+BU41)</f>
        <v>0</v>
      </c>
      <c r="BW41" s="233">
        <f t="shared" si="339"/>
        <v>0</v>
      </c>
      <c r="BX41" s="233">
        <f t="shared" si="339"/>
        <v>0</v>
      </c>
      <c r="BY41" s="194">
        <f>IFERROR(VLOOKUP($B41-IF(CompareVer="LY",1,0) &amp; $C41 &amp;BY$4,tblForecast,BY$2,FALSE),0)</f>
        <v>0</v>
      </c>
      <c r="BZ41" s="195">
        <f t="shared" si="25"/>
        <v>0</v>
      </c>
      <c r="CA41" s="339">
        <f t="shared" si="340"/>
        <v>0</v>
      </c>
      <c r="CB41" s="46">
        <f t="shared" si="341"/>
        <v>0</v>
      </c>
      <c r="CC41" s="46">
        <f>IF($A41="a",IFERROR(VLOOKUP($B41 &amp; $C41&amp;CC$4,tblForecast,CC$2,FALSE),0),CA41+CB41)</f>
        <v>0</v>
      </c>
      <c r="CD41" s="46">
        <f t="shared" si="342"/>
        <v>0</v>
      </c>
      <c r="CE41" s="46">
        <f t="shared" si="342"/>
        <v>0</v>
      </c>
      <c r="CF41" s="46">
        <f>IFERROR(VLOOKUP($B41-IF(CompareVer="LY",1,0) &amp; $C41 &amp;CF$4,tblForecast,CF$2,FALSE),0)</f>
        <v>0</v>
      </c>
      <c r="CG41" s="195">
        <f t="shared" si="28"/>
        <v>0</v>
      </c>
      <c r="CH41" s="339">
        <f t="shared" si="343"/>
        <v>0</v>
      </c>
      <c r="CI41" s="46">
        <f t="shared" si="344"/>
        <v>0</v>
      </c>
      <c r="CJ41" s="46">
        <f>IF($A41="a",IFERROR(VLOOKUP($B41 &amp; $C41&amp;CJ$4,tblForecast,CJ$2,FALSE),0),CH41+CI41)</f>
        <v>0</v>
      </c>
      <c r="CK41" s="46">
        <f t="shared" si="345"/>
        <v>0</v>
      </c>
      <c r="CL41" s="46">
        <f t="shared" si="345"/>
        <v>0</v>
      </c>
      <c r="CM41" s="46">
        <f>IFERROR(VLOOKUP($B41-IF(CompareVer="LY",1,0) &amp; $C41 &amp;CM$4,tblForecast,CM$2,FALSE),0)</f>
        <v>0</v>
      </c>
      <c r="CN41" s="195">
        <f t="shared" si="31"/>
        <v>0</v>
      </c>
      <c r="CO41" s="179">
        <f t="shared" si="51"/>
        <v>0</v>
      </c>
      <c r="CP41" s="225">
        <f t="shared" si="33"/>
        <v>0</v>
      </c>
      <c r="CQ41" s="195">
        <f t="shared" si="34"/>
        <v>0</v>
      </c>
      <c r="CR41" s="179">
        <f t="shared" si="49"/>
        <v>0</v>
      </c>
      <c r="CS41" s="225">
        <f t="shared" si="35"/>
        <v>0</v>
      </c>
      <c r="CT41" s="195">
        <f t="shared" si="52"/>
        <v>0</v>
      </c>
      <c r="CU41" s="44"/>
      <c r="CV41" s="345">
        <f t="shared" si="346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7"/>
        <v>0</v>
      </c>
      <c r="CZ41" s="280">
        <f>IFERROR(VLOOKUP(Brand&amp;Channel&amp;Country&amp;$C41,tblDiscount,6,FALSE),0)</f>
        <v>0.65</v>
      </c>
      <c r="DA41" s="281">
        <f>(1-CZ41)*DB41</f>
        <v>8.7954999999999988</v>
      </c>
      <c r="DB41" s="281">
        <f>IFERROR(VLOOKUP(Brand&amp;Country &amp; Channel &amp;FC,tblFCSettings,8,FALSE),0)</f>
        <v>25.13</v>
      </c>
      <c r="DC41" s="282">
        <f>IFERROR(VLOOKUP(Brand&amp;Country &amp; Channel &amp;FC,tblFCSettings,9,FALSE),0)</f>
        <v>4.22</v>
      </c>
    </row>
    <row r="42" spans="1:107" ht="16.5" thickBot="1" x14ac:dyDescent="0.3">
      <c r="B42" s="44">
        <v>2018</v>
      </c>
      <c r="C42" s="88">
        <v>26</v>
      </c>
      <c r="D42" s="51">
        <f t="shared" si="347"/>
        <v>0</v>
      </c>
      <c r="E42" s="203">
        <f t="shared" si="348"/>
        <v>0</v>
      </c>
      <c r="F42" s="183">
        <f t="shared" si="50"/>
        <v>0</v>
      </c>
      <c r="G42" s="177">
        <f t="shared" si="325"/>
        <v>0</v>
      </c>
      <c r="H42" s="204">
        <f t="shared" si="325"/>
        <v>0</v>
      </c>
      <c r="I42" s="204">
        <f t="shared" si="325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 t="shared" si="326"/>
        <v>0</v>
      </c>
      <c r="M42" s="90">
        <f t="shared" si="326"/>
        <v>0</v>
      </c>
      <c r="N42" s="46">
        <f t="shared" si="326"/>
        <v>0</v>
      </c>
      <c r="O42" s="46">
        <f t="shared" si="326"/>
        <v>0</v>
      </c>
      <c r="P42" s="47">
        <f t="shared" si="40"/>
        <v>0</v>
      </c>
      <c r="Q42" s="244">
        <f t="shared" si="349"/>
        <v>0</v>
      </c>
      <c r="R42" s="242">
        <f t="shared" si="327"/>
        <v>0</v>
      </c>
      <c r="S42" s="242">
        <f t="shared" si="327"/>
        <v>0</v>
      </c>
      <c r="T42" s="242">
        <f>IFERROR(VLOOKUP($B42-IF(CompareVer="LY",1,0) &amp; $C42 &amp;T$4,tblForecast,T$2,FALSE),0)</f>
        <v>0</v>
      </c>
      <c r="U42" s="91">
        <f t="shared" si="7"/>
        <v>0</v>
      </c>
      <c r="V42" s="251">
        <f t="shared" si="350"/>
        <v>0</v>
      </c>
      <c r="W42" s="336">
        <f t="shared" si="350"/>
        <v>0</v>
      </c>
      <c r="X42" s="252">
        <f>IFERROR(IF(T41&lt;&gt;0,T42/T41,0),0)</f>
        <v>0</v>
      </c>
      <c r="Y42" s="51">
        <f t="shared" si="328"/>
        <v>0</v>
      </c>
      <c r="Z42" s="46">
        <f t="shared" si="328"/>
        <v>0</v>
      </c>
      <c r="AA42" s="46">
        <f t="shared" si="328"/>
        <v>0</v>
      </c>
      <c r="AB42" s="46">
        <f t="shared" si="328"/>
        <v>0</v>
      </c>
      <c r="AC42" s="91">
        <f t="shared" si="9"/>
        <v>0</v>
      </c>
      <c r="AD42" s="75">
        <f>IF(AM42&lt;&gt;0,1-AR42/AM42,0)</f>
        <v>0.44024406419949602</v>
      </c>
      <c r="AE42" s="93">
        <f t="shared" si="329"/>
        <v>0</v>
      </c>
      <c r="AF42" s="93">
        <f t="shared" si="329"/>
        <v>0</v>
      </c>
      <c r="AG42" s="76">
        <f t="shared" si="329"/>
        <v>0</v>
      </c>
      <c r="AH42" s="73">
        <f t="shared" si="330"/>
        <v>25.13</v>
      </c>
      <c r="AI42" s="94">
        <f t="shared" si="246"/>
        <v>0</v>
      </c>
      <c r="AJ42" s="94">
        <f t="shared" si="246"/>
        <v>0</v>
      </c>
      <c r="AK42" s="49">
        <f>IFERROR(VLOOKUP($B42-IF(CompareVer="LY",1,0) &amp; $C42 &amp;AK$4,tblForecast,AK$2,FALSE),0)</f>
        <v>0</v>
      </c>
      <c r="AL42" s="47">
        <f t="shared" si="304"/>
        <v>0</v>
      </c>
      <c r="AM42" s="73">
        <f t="shared" si="331"/>
        <v>7.5390000000000006</v>
      </c>
      <c r="AN42" s="94">
        <f t="shared" si="248"/>
        <v>0</v>
      </c>
      <c r="AO42" s="94">
        <f t="shared" si="248"/>
        <v>0</v>
      </c>
      <c r="AP42" s="49">
        <f>IFERROR(VLOOKUP($B42-IF(CompareVer="LY",1,0) &amp; $C42 &amp;AP$4,tblForecast,AP$2,FALSE),0)</f>
        <v>0</v>
      </c>
      <c r="AQ42" s="47">
        <f t="shared" si="305"/>
        <v>0</v>
      </c>
      <c r="AR42" s="73">
        <f t="shared" si="332"/>
        <v>4.22</v>
      </c>
      <c r="AS42" s="94">
        <f t="shared" si="333"/>
        <v>0</v>
      </c>
      <c r="AT42" s="94">
        <f t="shared" si="333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2">
        <f t="shared" si="334"/>
        <v>0.7</v>
      </c>
      <c r="AX42" s="193">
        <f t="shared" si="335"/>
        <v>0</v>
      </c>
      <c r="AY42" s="193">
        <f t="shared" si="336"/>
        <v>0</v>
      </c>
      <c r="AZ42" s="193">
        <f t="shared" si="255"/>
        <v>0</v>
      </c>
      <c r="BA42" s="237">
        <f t="shared" si="337"/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207"/>
        <v>0</v>
      </c>
      <c r="BE42" s="195">
        <f t="shared" si="19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 t="shared" si="20"/>
        <v>0</v>
      </c>
      <c r="BK42" s="50">
        <f t="shared" si="21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5"/>
        <v>0</v>
      </c>
      <c r="BS42" s="233">
        <f t="shared" si="22"/>
        <v>0</v>
      </c>
      <c r="BT42" s="236">
        <f t="shared" si="338"/>
        <v>0</v>
      </c>
      <c r="BU42" s="233">
        <f t="shared" si="338"/>
        <v>0</v>
      </c>
      <c r="BV42" s="233">
        <f>IF($A42="a",IFERROR(VLOOKUP($B42 &amp; $C42&amp;BV$4,tblForecast,BV$2,FALSE),0),BT42+BU42)</f>
        <v>0</v>
      </c>
      <c r="BW42" s="233">
        <f t="shared" si="339"/>
        <v>0</v>
      </c>
      <c r="BX42" s="233">
        <f t="shared" si="339"/>
        <v>0</v>
      </c>
      <c r="BY42" s="194">
        <f>IFERROR(VLOOKUP($B42-IF(CompareVer="LY",1,0) &amp; $C42 &amp;BY$4,tblForecast,BY$2,FALSE),0)</f>
        <v>0</v>
      </c>
      <c r="BZ42" s="195">
        <f t="shared" si="25"/>
        <v>0</v>
      </c>
      <c r="CA42" s="339">
        <f t="shared" si="340"/>
        <v>0</v>
      </c>
      <c r="CB42" s="46">
        <f t="shared" si="341"/>
        <v>0</v>
      </c>
      <c r="CC42" s="46">
        <f>IF($A42="a",IFERROR(VLOOKUP($B42 &amp; $C42&amp;CC$4,tblForecast,CC$2,FALSE),0),CA42+CB42)</f>
        <v>0</v>
      </c>
      <c r="CD42" s="46">
        <f t="shared" si="342"/>
        <v>0</v>
      </c>
      <c r="CE42" s="46">
        <f t="shared" si="342"/>
        <v>0</v>
      </c>
      <c r="CF42" s="46">
        <f>IFERROR(VLOOKUP($B42-IF(CompareVer="LY",1,0) &amp; $C42 &amp;CF$4,tblForecast,CF$2,FALSE),0)</f>
        <v>0</v>
      </c>
      <c r="CG42" s="195">
        <f t="shared" si="28"/>
        <v>0</v>
      </c>
      <c r="CH42" s="339">
        <f t="shared" si="343"/>
        <v>0</v>
      </c>
      <c r="CI42" s="46">
        <f t="shared" si="344"/>
        <v>0</v>
      </c>
      <c r="CJ42" s="46">
        <f>IF($A42="a",IFERROR(VLOOKUP($B42 &amp; $C42&amp;CJ$4,tblForecast,CJ$2,FALSE),0),CH42+CI42)</f>
        <v>0</v>
      </c>
      <c r="CK42" s="46">
        <f t="shared" si="345"/>
        <v>0</v>
      </c>
      <c r="CL42" s="46">
        <f t="shared" si="345"/>
        <v>0</v>
      </c>
      <c r="CM42" s="46">
        <f>IFERROR(VLOOKUP($B42-IF(CompareVer="LY",1,0) &amp; $C42 &amp;CM$4,tblForecast,CM$2,FALSE),0)</f>
        <v>0</v>
      </c>
      <c r="CN42" s="195">
        <f t="shared" si="31"/>
        <v>0</v>
      </c>
      <c r="CO42" s="179">
        <f t="shared" si="51"/>
        <v>0</v>
      </c>
      <c r="CP42" s="225">
        <f t="shared" si="33"/>
        <v>0</v>
      </c>
      <c r="CQ42" s="195">
        <f t="shared" si="34"/>
        <v>0</v>
      </c>
      <c r="CR42" s="179">
        <f t="shared" si="49"/>
        <v>0</v>
      </c>
      <c r="CS42" s="225">
        <f t="shared" si="35"/>
        <v>0</v>
      </c>
      <c r="CT42" s="195">
        <f t="shared" si="52"/>
        <v>0</v>
      </c>
      <c r="CU42" s="44"/>
      <c r="CV42" s="345">
        <f t="shared" si="346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7"/>
        <v>0</v>
      </c>
      <c r="CZ42" s="280">
        <f>IFERROR(VLOOKUP(Brand&amp;Channel&amp;Country&amp;$C42,tblDiscount,6,FALSE),0)</f>
        <v>0.7</v>
      </c>
      <c r="DA42" s="281">
        <f>(1-CZ42)*DB42</f>
        <v>7.5390000000000006</v>
      </c>
      <c r="DB42" s="281">
        <f>IFERROR(VLOOKUP(Brand&amp;Country &amp; Channel &amp;FC,tblFCSettings,8,FALSE),0)</f>
        <v>25.13</v>
      </c>
      <c r="DC42" s="282">
        <f>IFERROR(VLOOKUP(Brand&amp;Country &amp; Channel &amp;FC,tblFCSettings,9,FALSE),0)</f>
        <v>4.22</v>
      </c>
    </row>
    <row r="43" spans="1:107" ht="16.5" thickBot="1" x14ac:dyDescent="0.3">
      <c r="C43" s="255" t="s">
        <v>41</v>
      </c>
      <c r="D43" s="256">
        <f t="shared" ref="D43" si="351">SUM(D39:D42)</f>
        <v>0</v>
      </c>
      <c r="E43" s="257">
        <f t="shared" ref="E43" si="352">SUM(E39:E42)</f>
        <v>0</v>
      </c>
      <c r="F43" s="258">
        <f t="shared" si="50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353">SUM(M39:M42)</f>
        <v>0</v>
      </c>
      <c r="N43" s="261">
        <f t="shared" si="353"/>
        <v>0</v>
      </c>
      <c r="O43" s="261">
        <f t="shared" si="353"/>
        <v>0</v>
      </c>
      <c r="P43" s="262">
        <f t="shared" si="40"/>
        <v>0</v>
      </c>
      <c r="Q43" s="263">
        <f>SUM(Q39:Q42)</f>
        <v>0</v>
      </c>
      <c r="R43" s="264">
        <f t="shared" ref="R43" si="354">SUM(R39:R42)</f>
        <v>0</v>
      </c>
      <c r="S43" s="264">
        <f t="shared" ref="S43" si="355">SUM(S39:S42)</f>
        <v>0</v>
      </c>
      <c r="T43" s="264">
        <f>SUM(T39:T42)</f>
        <v>0</v>
      </c>
      <c r="U43" s="262">
        <f t="shared" ref="U43:U74" si="356">IFERROR(Q43/T43-1,)</f>
        <v>0</v>
      </c>
      <c r="V43" s="265">
        <f t="shared" ref="V43:W43" si="357">V42</f>
        <v>0</v>
      </c>
      <c r="W43" s="334">
        <f t="shared" si="357"/>
        <v>0</v>
      </c>
      <c r="X43" s="266">
        <f t="shared" ref="X43:X44" si="358">X42</f>
        <v>0</v>
      </c>
      <c r="Y43" s="256">
        <f>SUM(Y39:Y42)</f>
        <v>0</v>
      </c>
      <c r="Z43" s="261">
        <f t="shared" ref="Z43:AB43" si="359">SUM(Z39:Z42)</f>
        <v>0</v>
      </c>
      <c r="AA43" s="261">
        <f t="shared" si="359"/>
        <v>0</v>
      </c>
      <c r="AB43" s="261">
        <f t="shared" si="359"/>
        <v>0</v>
      </c>
      <c r="AC43" s="262">
        <f t="shared" ref="AC43:AC74" si="360">IFERROR(Y43/AB43-1,)</f>
        <v>0</v>
      </c>
      <c r="AD43" s="267">
        <f t="shared" ref="AD43:AG44" si="361">IFERROR(Y43/L43,0)</f>
        <v>0</v>
      </c>
      <c r="AE43" s="268">
        <f t="shared" si="361"/>
        <v>0</v>
      </c>
      <c r="AF43" s="268">
        <f t="shared" si="361"/>
        <v>0</v>
      </c>
      <c r="AG43" s="268">
        <f t="shared" si="361"/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" si="362">IFERROR(SUMPRODUCT(AJ39:AJ42,S39:S42)/S43,0)</f>
        <v>0</v>
      </c>
      <c r="AK43" s="270">
        <f t="shared" ref="AK43" si="363">IFERROR(SUMPRODUCT(AK39:AK42,T39:T42)/T43,0)</f>
        <v>0</v>
      </c>
      <c r="AL43" s="262">
        <f t="shared" ref="AL43" si="364">IFERROR(AH43/AK43-1,)</f>
        <v>0</v>
      </c>
      <c r="AM43" s="269">
        <f t="shared" ref="AM43:AP44" si="365">IF(Q43&lt;&gt;0,L43/Q43,0)</f>
        <v>0</v>
      </c>
      <c r="AN43" s="270">
        <f t="shared" si="365"/>
        <v>0</v>
      </c>
      <c r="AO43" s="270">
        <f t="shared" si="365"/>
        <v>0</v>
      </c>
      <c r="AP43" s="270">
        <f t="shared" si="365"/>
        <v>0</v>
      </c>
      <c r="AQ43" s="262">
        <f t="shared" ref="AQ43:AQ48" si="366">IFERROR(AM43/AP43-1,)</f>
        <v>0</v>
      </c>
      <c r="AR43" s="269">
        <f t="shared" ref="AR43:AU44" si="367">IFERROR((L43*(1-AD43))/Q43,0)</f>
        <v>0</v>
      </c>
      <c r="AS43" s="270">
        <f t="shared" si="367"/>
        <v>0</v>
      </c>
      <c r="AT43" s="270">
        <f t="shared" si="367"/>
        <v>0</v>
      </c>
      <c r="AU43" s="270">
        <f t="shared" si="367"/>
        <v>0</v>
      </c>
      <c r="AV43" s="262">
        <f t="shared" ref="AV43:AV44" si="368">IFERROR(AR43/AU43-1,)</f>
        <v>0</v>
      </c>
      <c r="AW43" s="271">
        <f t="shared" si="334"/>
        <v>0</v>
      </c>
      <c r="AX43" s="272">
        <f t="shared" si="335"/>
        <v>0</v>
      </c>
      <c r="AY43" s="272">
        <f t="shared" si="336"/>
        <v>0</v>
      </c>
      <c r="AZ43" s="272">
        <f t="shared" si="255"/>
        <v>0</v>
      </c>
      <c r="BA43" s="263">
        <f>BA42</f>
        <v>0</v>
      </c>
      <c r="BB43" s="264">
        <f t="shared" ref="BB43:BB44" si="369">BB42</f>
        <v>0</v>
      </c>
      <c r="BC43" s="264">
        <f t="shared" ref="BC43:BC44" si="370">BC42</f>
        <v>0</v>
      </c>
      <c r="BD43" s="264">
        <f t="shared" ref="BD43:BD44" si="371">BD42</f>
        <v>0</v>
      </c>
      <c r="BE43" s="262">
        <f t="shared" ref="BE43:BE44" si="372">IFERROR(BA43/BD43-1,)</f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 t="shared" ref="BJ43:BJ74" si="373">IF(BA43&lt;&gt;0,Q43/BA43,0)</f>
        <v>0</v>
      </c>
      <c r="BK43" s="276">
        <f t="shared" si="21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374">SUM(BO39:BO42)</f>
        <v>0</v>
      </c>
      <c r="BP43" s="263">
        <f>SUM(BP39:BP42)</f>
        <v>0</v>
      </c>
      <c r="BQ43" s="264">
        <f t="shared" si="374"/>
        <v>0</v>
      </c>
      <c r="BR43" s="263">
        <f t="shared" si="45"/>
        <v>0</v>
      </c>
      <c r="BS43" s="264">
        <f t="shared" si="22"/>
        <v>0</v>
      </c>
      <c r="BT43" s="263">
        <f t="shared" ref="BT43:BY43" si="375">SUM(BT39:BT42)</f>
        <v>0</v>
      </c>
      <c r="BU43" s="264">
        <f t="shared" si="375"/>
        <v>0</v>
      </c>
      <c r="BV43" s="264">
        <f t="shared" si="375"/>
        <v>0</v>
      </c>
      <c r="BW43" s="264">
        <f t="shared" si="375"/>
        <v>0</v>
      </c>
      <c r="BX43" s="264">
        <f t="shared" si="375"/>
        <v>0</v>
      </c>
      <c r="BY43" s="277">
        <f t="shared" si="375"/>
        <v>0</v>
      </c>
      <c r="BZ43" s="262">
        <f t="shared" si="25"/>
        <v>0</v>
      </c>
      <c r="CA43" s="340">
        <f t="shared" ref="CA43" si="376">SUM(CA39:CA42)</f>
        <v>0</v>
      </c>
      <c r="CB43" s="261">
        <f t="shared" ref="CB43:CF43" si="377">SUM(CB39:CB42)</f>
        <v>0</v>
      </c>
      <c r="CC43" s="261">
        <f t="shared" si="377"/>
        <v>0</v>
      </c>
      <c r="CD43" s="261">
        <f t="shared" si="377"/>
        <v>0</v>
      </c>
      <c r="CE43" s="261">
        <f t="shared" si="377"/>
        <v>0</v>
      </c>
      <c r="CF43" s="261">
        <f t="shared" si="377"/>
        <v>0</v>
      </c>
      <c r="CG43" s="262">
        <f t="shared" si="28"/>
        <v>0</v>
      </c>
      <c r="CH43" s="340">
        <f t="shared" ref="CH43" si="378">SUM(CH39:CH42)</f>
        <v>0</v>
      </c>
      <c r="CI43" s="261">
        <f t="shared" ref="CI43:CM43" si="379">SUM(CI39:CI42)</f>
        <v>0</v>
      </c>
      <c r="CJ43" s="261">
        <f t="shared" si="379"/>
        <v>0</v>
      </c>
      <c r="CK43" s="261">
        <f t="shared" si="379"/>
        <v>0</v>
      </c>
      <c r="CL43" s="261">
        <f t="shared" si="379"/>
        <v>0</v>
      </c>
      <c r="CM43" s="261">
        <f t="shared" si="379"/>
        <v>0</v>
      </c>
      <c r="CN43" s="262">
        <f t="shared" si="31"/>
        <v>0</v>
      </c>
      <c r="CO43" s="278">
        <f t="shared" si="51"/>
        <v>0</v>
      </c>
      <c r="CP43" s="279">
        <f t="shared" si="33"/>
        <v>0</v>
      </c>
      <c r="CQ43" s="262">
        <f t="shared" si="34"/>
        <v>0</v>
      </c>
      <c r="CR43" s="278">
        <f t="shared" si="49"/>
        <v>0</v>
      </c>
      <c r="CS43" s="279">
        <f t="shared" si="35"/>
        <v>0</v>
      </c>
      <c r="CT43" s="262">
        <f t="shared" si="52"/>
        <v>0</v>
      </c>
      <c r="CU43" s="44"/>
      <c r="CV43" s="346"/>
      <c r="CW43" s="100">
        <f>CW42</f>
        <v>0</v>
      </c>
      <c r="CX43" s="101">
        <f>CX42</f>
        <v>0</v>
      </c>
      <c r="CY43" s="99">
        <f t="shared" si="37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" si="380">D32+D38+D43</f>
        <v>0</v>
      </c>
      <c r="E44" s="206">
        <f t="shared" ref="E44" si="381">E32+E38+E43</f>
        <v>0</v>
      </c>
      <c r="F44" s="207">
        <f t="shared" si="50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" si="382">J32+J38+J43</f>
        <v>0</v>
      </c>
      <c r="K44" s="304">
        <f t="shared" ref="K44" si="383">K32+K38+K43</f>
        <v>0</v>
      </c>
      <c r="L44" s="53">
        <f>L32+L38+L43</f>
        <v>0</v>
      </c>
      <c r="M44" s="53">
        <f t="shared" ref="M44:O44" si="384">M32+M38+M43</f>
        <v>0</v>
      </c>
      <c r="N44" s="53">
        <f t="shared" si="384"/>
        <v>0</v>
      </c>
      <c r="O44" s="53">
        <f t="shared" si="384"/>
        <v>0</v>
      </c>
      <c r="P44" s="54">
        <f t="shared" si="40"/>
        <v>0</v>
      </c>
      <c r="Q44" s="231">
        <f>Q32+Q38+Q43</f>
        <v>0</v>
      </c>
      <c r="R44" s="232">
        <f t="shared" ref="R44:S44" si="385">R32+R38+R43</f>
        <v>0</v>
      </c>
      <c r="S44" s="232">
        <f t="shared" si="385"/>
        <v>0</v>
      </c>
      <c r="T44" s="232">
        <f>T32+T38+T43</f>
        <v>0</v>
      </c>
      <c r="U44" s="54">
        <f t="shared" si="356"/>
        <v>0</v>
      </c>
      <c r="V44" s="249">
        <f t="shared" ref="V44:W44" si="386">V43</f>
        <v>0</v>
      </c>
      <c r="W44" s="335">
        <f t="shared" si="386"/>
        <v>0</v>
      </c>
      <c r="X44" s="250">
        <f t="shared" si="358"/>
        <v>0</v>
      </c>
      <c r="Y44" s="52">
        <f>Y32+Y38+Y43</f>
        <v>0</v>
      </c>
      <c r="Z44" s="53">
        <f t="shared" ref="Z44:AB44" si="387">Z32+Z38+Z43</f>
        <v>0</v>
      </c>
      <c r="AA44" s="53">
        <f t="shared" si="387"/>
        <v>0</v>
      </c>
      <c r="AB44" s="53">
        <f t="shared" si="387"/>
        <v>0</v>
      </c>
      <c r="AC44" s="54">
        <f t="shared" si="360"/>
        <v>0</v>
      </c>
      <c r="AD44" s="77">
        <f t="shared" si="361"/>
        <v>0</v>
      </c>
      <c r="AE44" s="78">
        <f t="shared" si="361"/>
        <v>0</v>
      </c>
      <c r="AF44" s="78">
        <f t="shared" si="361"/>
        <v>0</v>
      </c>
      <c r="AG44" s="78">
        <f t="shared" si="361"/>
        <v>0</v>
      </c>
      <c r="AH44" s="58">
        <f>IFERROR((AH32*Q32+AH38*Q38+AH43*Q43)/Q44,0)</f>
        <v>0</v>
      </c>
      <c r="AI44" s="58">
        <f t="shared" ref="AI44" si="388">IFERROR((AI32*R32+AI38*R38+AI43*R43)/R44,0)</f>
        <v>0</v>
      </c>
      <c r="AJ44" s="58">
        <f t="shared" ref="AJ44" si="389">IFERROR((AJ32*S32+AJ38*S38+AJ43*S43)/S44,0)</f>
        <v>0</v>
      </c>
      <c r="AK44" s="58">
        <f t="shared" ref="AK44" si="390">IFERROR((AK32*T32+AK38*T38+AK43*T43)/T44,0)</f>
        <v>0</v>
      </c>
      <c r="AL44" s="54">
        <f t="shared" ref="AL44" si="391">IFERROR((AL32*U32+AL38*U38+AL43*U43)/U44,0)</f>
        <v>0</v>
      </c>
      <c r="AM44" s="57">
        <f t="shared" si="365"/>
        <v>0</v>
      </c>
      <c r="AN44" s="58">
        <f t="shared" si="365"/>
        <v>0</v>
      </c>
      <c r="AO44" s="58">
        <f t="shared" si="365"/>
        <v>0</v>
      </c>
      <c r="AP44" s="58">
        <f t="shared" si="365"/>
        <v>0</v>
      </c>
      <c r="AQ44" s="54">
        <f t="shared" si="366"/>
        <v>0</v>
      </c>
      <c r="AR44" s="57">
        <f t="shared" si="367"/>
        <v>0</v>
      </c>
      <c r="AS44" s="58">
        <f t="shared" si="367"/>
        <v>0</v>
      </c>
      <c r="AT44" s="58">
        <f t="shared" si="367"/>
        <v>0</v>
      </c>
      <c r="AU44" s="58">
        <f t="shared" si="367"/>
        <v>0</v>
      </c>
      <c r="AV44" s="54">
        <f t="shared" si="368"/>
        <v>0</v>
      </c>
      <c r="AW44" s="59">
        <f t="shared" si="334"/>
        <v>0</v>
      </c>
      <c r="AX44" s="60">
        <f t="shared" si="335"/>
        <v>0</v>
      </c>
      <c r="AY44" s="60">
        <f t="shared" si="336"/>
        <v>0</v>
      </c>
      <c r="AZ44" s="60">
        <f t="shared" si="255"/>
        <v>0</v>
      </c>
      <c r="BA44" s="238">
        <f>BA43</f>
        <v>0</v>
      </c>
      <c r="BB44" s="232">
        <f t="shared" si="369"/>
        <v>0</v>
      </c>
      <c r="BC44" s="232">
        <f t="shared" si="370"/>
        <v>0</v>
      </c>
      <c r="BD44" s="232">
        <f t="shared" si="371"/>
        <v>0</v>
      </c>
      <c r="BE44" s="54">
        <f t="shared" si="372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 t="shared" si="373"/>
        <v>0</v>
      </c>
      <c r="BK44" s="61">
        <f t="shared" si="21"/>
        <v>0</v>
      </c>
      <c r="BL44" s="231">
        <f t="shared" ref="BL44:BM44" si="392">BL32+BL38+BL43</f>
        <v>0</v>
      </c>
      <c r="BM44" s="232">
        <f t="shared" si="392"/>
        <v>0</v>
      </c>
      <c r="BN44" s="231">
        <f t="shared" ref="BN44" si="393">BN32+BN38+BN43</f>
        <v>0</v>
      </c>
      <c r="BO44" s="232">
        <f t="shared" ref="BO44:BQ44" si="394">BO32+BO38+BO43</f>
        <v>0</v>
      </c>
      <c r="BP44" s="231">
        <f t="shared" si="394"/>
        <v>0</v>
      </c>
      <c r="BQ44" s="232">
        <f t="shared" si="394"/>
        <v>0</v>
      </c>
      <c r="BR44" s="231">
        <f t="shared" si="45"/>
        <v>0</v>
      </c>
      <c r="BS44" s="232">
        <f t="shared" si="22"/>
        <v>0</v>
      </c>
      <c r="BT44" s="231">
        <f t="shared" ref="BT44:BY44" si="395">BT32+BT38+BT43</f>
        <v>0</v>
      </c>
      <c r="BU44" s="232">
        <f t="shared" si="395"/>
        <v>0</v>
      </c>
      <c r="BV44" s="232">
        <f t="shared" si="395"/>
        <v>0</v>
      </c>
      <c r="BW44" s="232">
        <f t="shared" si="395"/>
        <v>0</v>
      </c>
      <c r="BX44" s="232">
        <f t="shared" si="395"/>
        <v>0</v>
      </c>
      <c r="BY44" s="56">
        <f t="shared" si="395"/>
        <v>0</v>
      </c>
      <c r="BZ44" s="54">
        <f t="shared" si="25"/>
        <v>0</v>
      </c>
      <c r="CA44" s="341">
        <f t="shared" ref="CA44" si="396">CA32+CA38+CA43</f>
        <v>0</v>
      </c>
      <c r="CB44" s="53">
        <f t="shared" ref="CB44:CF44" si="397">CB32+CB38+CB43</f>
        <v>0</v>
      </c>
      <c r="CC44" s="53">
        <f t="shared" si="397"/>
        <v>0</v>
      </c>
      <c r="CD44" s="53">
        <f t="shared" si="397"/>
        <v>0</v>
      </c>
      <c r="CE44" s="53">
        <f t="shared" si="397"/>
        <v>0</v>
      </c>
      <c r="CF44" s="53">
        <f t="shared" si="397"/>
        <v>0</v>
      </c>
      <c r="CG44" s="54">
        <f t="shared" si="28"/>
        <v>0</v>
      </c>
      <c r="CH44" s="341">
        <f t="shared" ref="CH44" si="398">CH32+CH38+CH43</f>
        <v>0</v>
      </c>
      <c r="CI44" s="53">
        <f t="shared" ref="CI44:CM44" si="399">CI32+CI38+CI43</f>
        <v>0</v>
      </c>
      <c r="CJ44" s="53">
        <f t="shared" si="399"/>
        <v>0</v>
      </c>
      <c r="CK44" s="53">
        <f t="shared" si="399"/>
        <v>0</v>
      </c>
      <c r="CL44" s="53">
        <f t="shared" si="399"/>
        <v>0</v>
      </c>
      <c r="CM44" s="53">
        <f t="shared" si="399"/>
        <v>0</v>
      </c>
      <c r="CN44" s="54">
        <f t="shared" si="31"/>
        <v>0</v>
      </c>
      <c r="CO44" s="55">
        <f t="shared" si="51"/>
        <v>0</v>
      </c>
      <c r="CP44" s="226">
        <f t="shared" si="33"/>
        <v>0</v>
      </c>
      <c r="CQ44" s="54">
        <f t="shared" si="34"/>
        <v>0</v>
      </c>
      <c r="CR44" s="55">
        <f t="shared" si="49"/>
        <v>0</v>
      </c>
      <c r="CS44" s="226">
        <f t="shared" si="35"/>
        <v>0</v>
      </c>
      <c r="CT44" s="54">
        <f t="shared" si="52"/>
        <v>0</v>
      </c>
      <c r="CU44" s="44"/>
      <c r="CV44" s="347"/>
      <c r="CW44" s="55">
        <f>CW43</f>
        <v>0</v>
      </c>
      <c r="CX44" s="56">
        <f>CX43</f>
        <v>0</v>
      </c>
      <c r="CY44" s="54">
        <f t="shared" si="37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50"/>
        <v>0</v>
      </c>
      <c r="G45" s="177">
        <f t="shared" ref="G45:I48" si="400">IFERROR(VLOOKUP($B45 &amp; $C45&amp;G$4&amp;$A45,tblForecast,G$2,FALSE),0)</f>
        <v>0</v>
      </c>
      <c r="H45" s="204">
        <f t="shared" si="400"/>
        <v>0</v>
      </c>
      <c r="I45" s="204">
        <f t="shared" si="400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 t="shared" ref="L45:O48" si="401">Q45*AM45</f>
        <v>0</v>
      </c>
      <c r="M45" s="90">
        <f t="shared" si="401"/>
        <v>0</v>
      </c>
      <c r="N45" s="46">
        <f t="shared" si="401"/>
        <v>0</v>
      </c>
      <c r="O45" s="46">
        <f t="shared" si="401"/>
        <v>0</v>
      </c>
      <c r="P45" s="47">
        <f t="shared" si="40"/>
        <v>0</v>
      </c>
      <c r="Q45" s="244">
        <f>IF(A42="a",IF(CV45=0,R45,IF(BA42-(Q42*IF(W45=0,X45,W45))&lt;0,BA42,Q42*IF(W45=0,X45,W45))),IF(BA42-(Q42*IF(W45=0,X45,W45))&lt;0,BA42,Q42*IF(W45=0,X45,W45)))</f>
        <v>0</v>
      </c>
      <c r="R45" s="242">
        <f t="shared" ref="R45:S48" si="402">IFERROR(VLOOKUP($B45 &amp; $C45&amp;R$4,tblForecast,R$2,FALSE),0)</f>
        <v>0</v>
      </c>
      <c r="S45" s="242">
        <f t="shared" si="402"/>
        <v>0</v>
      </c>
      <c r="T45" s="242">
        <f>IFERROR(VLOOKUP($B45-IF(CompareVer="LY",1,0) &amp; $C45 &amp;T$4,tblForecast,T$2,FALSE),0)</f>
        <v>0</v>
      </c>
      <c r="U45" s="91">
        <f t="shared" si="356"/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 t="shared" ref="Y45:AB48" si="403">IFERROR(L45*AD45,0)</f>
        <v>0</v>
      </c>
      <c r="Z45" s="46">
        <f t="shared" si="403"/>
        <v>0</v>
      </c>
      <c r="AA45" s="46">
        <f t="shared" si="403"/>
        <v>0</v>
      </c>
      <c r="AB45" s="46">
        <f t="shared" si="403"/>
        <v>0</v>
      </c>
      <c r="AC45" s="91">
        <f t="shared" si="360"/>
        <v>0</v>
      </c>
      <c r="AD45" s="75">
        <f>IF(AM45&lt;&gt;0,1-AR45/AM45,0)</f>
        <v>0.44024406419949602</v>
      </c>
      <c r="AE45" s="93">
        <f t="shared" ref="AE45:AG48" si="404">IF(AN45&lt;&gt;0,1-AS45/AN45,0)</f>
        <v>0</v>
      </c>
      <c r="AF45" s="93">
        <f t="shared" si="404"/>
        <v>0</v>
      </c>
      <c r="AG45" s="76">
        <f t="shared" si="404"/>
        <v>0</v>
      </c>
      <c r="AH45" s="73">
        <f t="shared" ref="AH45:AH48" si="405">DB45</f>
        <v>25.13</v>
      </c>
      <c r="AI45" s="94">
        <f t="shared" ref="AI45:AJ48" si="406">IFERROR(VLOOKUP($B45 &amp; $C45&amp;AI$4,tblForecast,AI$2,FALSE),0)</f>
        <v>0</v>
      </c>
      <c r="AJ45" s="94">
        <f t="shared" si="406"/>
        <v>0</v>
      </c>
      <c r="AK45" s="49">
        <f>IFERROR(VLOOKUP($B45-IF(CompareVer="LY",1,0) &amp; $C45 &amp;AK$4,tblForecast,AK$2,FALSE),0)</f>
        <v>0</v>
      </c>
      <c r="AL45" s="47">
        <f t="shared" ref="AL45:AL48" si="407">IFERROR(AH45/AK45-1,)</f>
        <v>0</v>
      </c>
      <c r="AM45" s="73">
        <f t="shared" ref="AM45:AM48" si="408">DA45</f>
        <v>7.5390000000000006</v>
      </c>
      <c r="AN45" s="94">
        <f t="shared" ref="AN45:AO48" si="409">IFERROR(VLOOKUP($B45 &amp; $C45&amp;AN$4,tblForecast,AN$2,FALSE),0)</f>
        <v>0</v>
      </c>
      <c r="AO45" s="94">
        <f t="shared" si="409"/>
        <v>0</v>
      </c>
      <c r="AP45" s="49">
        <f>IFERROR(VLOOKUP($B45-IF(CompareVer="LY",1,0) &amp; $C45 &amp;AP$4,tblForecast,AP$2,FALSE),0)</f>
        <v>0</v>
      </c>
      <c r="AQ45" s="47">
        <f t="shared" si="366"/>
        <v>0</v>
      </c>
      <c r="AR45" s="73">
        <f t="shared" ref="AR45:AR48" si="410">DC45</f>
        <v>4.22</v>
      </c>
      <c r="AS45" s="94">
        <f t="shared" ref="AS45:AT48" si="411">IFERROR(VLOOKUP($B45 &amp; $C45&amp;AS$4,tblForecast,AS$2,FALSE),0)</f>
        <v>0</v>
      </c>
      <c r="AT45" s="94">
        <f t="shared" si="411"/>
        <v>0</v>
      </c>
      <c r="AU45" s="49">
        <f>IFERROR(VLOOKUP($B45-IF(CompareVer="LY",1,0) &amp; $C45 &amp;AU$4,tblForecast,AU$2,FALSE),0)</f>
        <v>0</v>
      </c>
      <c r="AV45" s="47">
        <f t="shared" ref="AV45:AV74" si="412">IFERROR(AR45/AU45-1,)</f>
        <v>0</v>
      </c>
      <c r="AW45" s="192">
        <f t="shared" ref="AW45:AW48" si="413">IFERROR((AM45/AH45-1)*-1,0)</f>
        <v>0.7</v>
      </c>
      <c r="AX45" s="193">
        <f t="shared" ref="AX45:AX48" si="414">IFERROR((AN45/AI45-1)*-1,0)</f>
        <v>0</v>
      </c>
      <c r="AY45" s="193">
        <f t="shared" ref="AY45:AY48" si="415">IFERROR((AO45/AJ45-1)*-1,0)</f>
        <v>0</v>
      </c>
      <c r="AZ45" s="193">
        <f t="shared" ref="AZ45:AZ48" si="416">IFERROR((AP45/AK45-1)*-1,0)</f>
        <v>0</v>
      </c>
      <c r="BA45" s="237">
        <f t="shared" ref="BA45:BA48" si="417">IF(BA44+BV45+BL45+BR45-Q45&lt;0,0,BA44+BF44+BV45+BL45+BR45-Q45)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418">CX45+BG45</f>
        <v>0</v>
      </c>
      <c r="BE45" s="195">
        <f t="shared" si="19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 t="shared" si="373"/>
        <v>0</v>
      </c>
      <c r="BK45" s="50">
        <f t="shared" si="21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5"/>
        <v>0</v>
      </c>
      <c r="BS45" s="233">
        <f t="shared" si="22"/>
        <v>0</v>
      </c>
      <c r="BT45" s="236">
        <f t="shared" ref="BT45:BU48" si="419">IFERROR(VLOOKUP($B45 &amp; $C45&amp;BT$4,tblForecast,BT$2,FALSE),0)</f>
        <v>0</v>
      </c>
      <c r="BU45" s="233">
        <f t="shared" si="419"/>
        <v>0</v>
      </c>
      <c r="BV45" s="233">
        <f>IF($A45="a",IFERROR(VLOOKUP($B45 &amp; $C45&amp;BV$4,tblForecast,BV$2,FALSE),0),BT45+BU45)</f>
        <v>0</v>
      </c>
      <c r="BW45" s="233">
        <f t="shared" ref="BW45:BX48" si="420">IFERROR(VLOOKUP($B45 &amp; $C45&amp;BW$4,tblForecast,BW$2,FALSE),0)</f>
        <v>0</v>
      </c>
      <c r="BX45" s="233">
        <f t="shared" si="420"/>
        <v>0</v>
      </c>
      <c r="BY45" s="194">
        <f>IFERROR(VLOOKUP($B45-IF(CompareVer="LY",1,0) &amp; $C45 &amp;BY$4,tblForecast,BY$2,FALSE),0)</f>
        <v>0</v>
      </c>
      <c r="BZ45" s="195">
        <f t="shared" si="25"/>
        <v>0</v>
      </c>
      <c r="CA45" s="339">
        <f t="shared" ref="CA45:CA48" si="421">IFERROR(VLOOKUP($B45 &amp; $C45&amp;CA$4,tblForecast,CA$2,FALSE),0)</f>
        <v>0</v>
      </c>
      <c r="CB45" s="46">
        <f t="shared" ref="CB45:CB48" si="422">IFERROR(VLOOKUP($B45 &amp; $C45&amp;CB$4,tblForecast,CB$2,FALSE),0)</f>
        <v>0</v>
      </c>
      <c r="CC45" s="46">
        <f>IF($A45="a",IFERROR(VLOOKUP($B45 &amp; $C45&amp;CC$4,tblForecast,CC$2,FALSE),0),CA45+CB45)</f>
        <v>0</v>
      </c>
      <c r="CD45" s="46">
        <f t="shared" ref="CD45:CE48" si="423">IFERROR(VLOOKUP($B45 &amp; $C45&amp;CD$4,tblForecast,CD$2,FALSE),0)</f>
        <v>0</v>
      </c>
      <c r="CE45" s="46">
        <f t="shared" si="423"/>
        <v>0</v>
      </c>
      <c r="CF45" s="46">
        <f>IFERROR(VLOOKUP($B45-IF(CompareVer="LY",1,0) &amp; $C45 &amp;CF$4,tblForecast,CF$2,FALSE),0)</f>
        <v>0</v>
      </c>
      <c r="CG45" s="195">
        <f t="shared" si="28"/>
        <v>0</v>
      </c>
      <c r="CH45" s="339">
        <f t="shared" ref="CH45:CH48" si="424">IFERROR(VLOOKUP($B45 &amp; $C45&amp;CH$4,tblForecast,CH$2,FALSE),0)</f>
        <v>0</v>
      </c>
      <c r="CI45" s="46">
        <f t="shared" ref="CI45:CI48" si="425">IFERROR(VLOOKUP($B45 &amp; $C45&amp;CI$4,tblForecast,CI$2,FALSE),0)</f>
        <v>0</v>
      </c>
      <c r="CJ45" s="46">
        <f>IF($A45="a",IFERROR(VLOOKUP($B45 &amp; $C45&amp;CJ$4,tblForecast,CJ$2,FALSE),0),CH45+CI45)</f>
        <v>0</v>
      </c>
      <c r="CK45" s="46">
        <f t="shared" ref="CK45:CL48" si="426">IFERROR(VLOOKUP($B45 &amp; $C45&amp;CK$4,tblForecast,CK$2,FALSE),0)</f>
        <v>0</v>
      </c>
      <c r="CL45" s="46">
        <f t="shared" si="426"/>
        <v>0</v>
      </c>
      <c r="CM45" s="46">
        <f>IFERROR(VLOOKUP($B45-IF(CompareVer="LY",1,0) &amp; $C45 &amp;CM$4,tblForecast,CM$2,FALSE),0)</f>
        <v>0</v>
      </c>
      <c r="CN45" s="195">
        <f t="shared" si="31"/>
        <v>0</v>
      </c>
      <c r="CO45" s="179">
        <f t="shared" si="51"/>
        <v>0</v>
      </c>
      <c r="CP45" s="225">
        <f t="shared" si="33"/>
        <v>0</v>
      </c>
      <c r="CQ45" s="195">
        <f t="shared" si="34"/>
        <v>0</v>
      </c>
      <c r="CR45" s="179">
        <f t="shared" si="49"/>
        <v>0</v>
      </c>
      <c r="CS45" s="225">
        <f t="shared" si="35"/>
        <v>0</v>
      </c>
      <c r="CT45" s="195">
        <f t="shared" si="52"/>
        <v>0</v>
      </c>
      <c r="CU45" s="44"/>
      <c r="CV45" s="345">
        <f t="shared" ref="CV45:CV48" si="427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7"/>
        <v>0</v>
      </c>
      <c r="CZ45" s="280">
        <f>IFERROR(VLOOKUP(Brand&amp;Channel&amp;Country&amp;$C45,tblDiscount,6,FALSE),0)</f>
        <v>0.7</v>
      </c>
      <c r="DA45" s="281">
        <f>(1-CZ45)*DB45</f>
        <v>7.5390000000000006</v>
      </c>
      <c r="DB45" s="281">
        <f>IFERROR(VLOOKUP(Brand&amp;Country &amp; Channel &amp;FC,tblFCSettings,8,FALSE),0)</f>
        <v>25.13</v>
      </c>
      <c r="DC45" s="282">
        <f>IFERROR(VLOOKUP(Brand&amp;Country &amp; Channel &amp;FC,tblFCSettings,9,FALSE),0)</f>
        <v>4.22</v>
      </c>
    </row>
    <row r="46" spans="1:107" x14ac:dyDescent="0.25">
      <c r="B46" s="44">
        <v>2018</v>
      </c>
      <c r="C46" s="88">
        <v>28</v>
      </c>
      <c r="D46" s="51">
        <f t="shared" ref="D46:D48" si="428">G46*H46</f>
        <v>0</v>
      </c>
      <c r="E46" s="203">
        <f t="shared" ref="E46:E48" si="429">IFERROR(D46*F46,0)</f>
        <v>0</v>
      </c>
      <c r="F46" s="183">
        <f t="shared" si="50"/>
        <v>0</v>
      </c>
      <c r="G46" s="177">
        <f t="shared" si="400"/>
        <v>0</v>
      </c>
      <c r="H46" s="204">
        <f t="shared" si="400"/>
        <v>0</v>
      </c>
      <c r="I46" s="204">
        <f t="shared" si="400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 t="shared" si="401"/>
        <v>0</v>
      </c>
      <c r="M46" s="90">
        <f t="shared" si="401"/>
        <v>0</v>
      </c>
      <c r="N46" s="46">
        <f t="shared" si="401"/>
        <v>0</v>
      </c>
      <c r="O46" s="46">
        <f t="shared" si="401"/>
        <v>0</v>
      </c>
      <c r="P46" s="47">
        <f t="shared" si="40"/>
        <v>0</v>
      </c>
      <c r="Q46" s="244">
        <f t="shared" ref="Q46:Q48" si="430">IF(A45="a",IF(CV46=0,R46,IF(BA45-(Q45*IF(W46=0,X46,W46))&lt;0,BA45,Q45*IF(W46=0,X46,W46))),IF(BA45-(Q45*IF(W46=0,X46,W46))&lt;0,BA45,Q45*IF(W46=0,X46,W46)))</f>
        <v>0</v>
      </c>
      <c r="R46" s="242">
        <f t="shared" si="402"/>
        <v>0</v>
      </c>
      <c r="S46" s="242">
        <f t="shared" si="402"/>
        <v>0</v>
      </c>
      <c r="T46" s="242">
        <f>IFERROR(VLOOKUP($B46-IF(CompareVer="LY",1,0) &amp; $C46 &amp;T$4,tblForecast,T$2,FALSE),0)</f>
        <v>0</v>
      </c>
      <c r="U46" s="91">
        <f t="shared" si="356"/>
        <v>0</v>
      </c>
      <c r="V46" s="251">
        <f t="shared" ref="V46:W48" si="431">IFERROR(IF(Q45&lt;&gt;0,Q46/Q45,0),0)</f>
        <v>0</v>
      </c>
      <c r="W46" s="336">
        <f t="shared" si="431"/>
        <v>0</v>
      </c>
      <c r="X46" s="252">
        <f>IFERROR(IF(T45&lt;&gt;0,T46/T45,0),0)</f>
        <v>0</v>
      </c>
      <c r="Y46" s="51">
        <f t="shared" si="403"/>
        <v>0</v>
      </c>
      <c r="Z46" s="46">
        <f t="shared" si="403"/>
        <v>0</v>
      </c>
      <c r="AA46" s="46">
        <f t="shared" si="403"/>
        <v>0</v>
      </c>
      <c r="AB46" s="46">
        <f t="shared" si="403"/>
        <v>0</v>
      </c>
      <c r="AC46" s="91">
        <f t="shared" si="360"/>
        <v>0</v>
      </c>
      <c r="AD46" s="75">
        <f>IF(AM46&lt;&gt;0,1-AR46/AM46,0)</f>
        <v>0.44024406419949602</v>
      </c>
      <c r="AE46" s="93">
        <f t="shared" si="404"/>
        <v>0</v>
      </c>
      <c r="AF46" s="93">
        <f t="shared" si="404"/>
        <v>0</v>
      </c>
      <c r="AG46" s="76">
        <f t="shared" si="404"/>
        <v>0</v>
      </c>
      <c r="AH46" s="73">
        <f t="shared" si="405"/>
        <v>25.13</v>
      </c>
      <c r="AI46" s="94">
        <f t="shared" si="406"/>
        <v>0</v>
      </c>
      <c r="AJ46" s="94">
        <f t="shared" si="406"/>
        <v>0</v>
      </c>
      <c r="AK46" s="49">
        <f>IFERROR(VLOOKUP($B46-IF(CompareVer="LY",1,0) &amp; $C46 &amp;AK$4,tblForecast,AK$2,FALSE),0)</f>
        <v>0</v>
      </c>
      <c r="AL46" s="47">
        <f t="shared" si="407"/>
        <v>0</v>
      </c>
      <c r="AM46" s="73">
        <f t="shared" si="408"/>
        <v>7.5390000000000006</v>
      </c>
      <c r="AN46" s="94">
        <f t="shared" si="409"/>
        <v>0</v>
      </c>
      <c r="AO46" s="94">
        <f t="shared" si="409"/>
        <v>0</v>
      </c>
      <c r="AP46" s="49">
        <f>IFERROR(VLOOKUP($B46-IF(CompareVer="LY",1,0) &amp; $C46 &amp;AP$4,tblForecast,AP$2,FALSE),0)</f>
        <v>0</v>
      </c>
      <c r="AQ46" s="47">
        <f t="shared" si="366"/>
        <v>0</v>
      </c>
      <c r="AR46" s="73">
        <f t="shared" si="410"/>
        <v>4.22</v>
      </c>
      <c r="AS46" s="94">
        <f t="shared" si="411"/>
        <v>0</v>
      </c>
      <c r="AT46" s="94">
        <f t="shared" si="411"/>
        <v>0</v>
      </c>
      <c r="AU46" s="49">
        <f>IFERROR(VLOOKUP($B46-IF(CompareVer="LY",1,0) &amp; $C46 &amp;AU$4,tblForecast,AU$2,FALSE),0)</f>
        <v>0</v>
      </c>
      <c r="AV46" s="47">
        <f t="shared" si="412"/>
        <v>0</v>
      </c>
      <c r="AW46" s="192">
        <f t="shared" si="413"/>
        <v>0.7</v>
      </c>
      <c r="AX46" s="193">
        <f t="shared" si="414"/>
        <v>0</v>
      </c>
      <c r="AY46" s="193">
        <f t="shared" si="415"/>
        <v>0</v>
      </c>
      <c r="AZ46" s="193">
        <f t="shared" si="416"/>
        <v>0</v>
      </c>
      <c r="BA46" s="237">
        <f t="shared" si="417"/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418"/>
        <v>0</v>
      </c>
      <c r="BE46" s="195">
        <f t="shared" si="19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 t="shared" si="373"/>
        <v>0</v>
      </c>
      <c r="BK46" s="50">
        <f t="shared" si="21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5"/>
        <v>0</v>
      </c>
      <c r="BS46" s="233">
        <f t="shared" si="22"/>
        <v>0</v>
      </c>
      <c r="BT46" s="236">
        <f t="shared" si="419"/>
        <v>0</v>
      </c>
      <c r="BU46" s="233">
        <f t="shared" si="419"/>
        <v>0</v>
      </c>
      <c r="BV46" s="233">
        <f>IF($A46="a",IFERROR(VLOOKUP($B46 &amp; $C46&amp;BV$4,tblForecast,BV$2,FALSE),0),BT46+BU46)</f>
        <v>0</v>
      </c>
      <c r="BW46" s="233">
        <f t="shared" si="420"/>
        <v>0</v>
      </c>
      <c r="BX46" s="233">
        <f t="shared" si="420"/>
        <v>0</v>
      </c>
      <c r="BY46" s="194">
        <f>IFERROR(VLOOKUP($B46-IF(CompareVer="LY",1,0) &amp; $C46 &amp;BY$4,tblForecast,BY$2,FALSE),0)</f>
        <v>0</v>
      </c>
      <c r="BZ46" s="195">
        <f t="shared" si="25"/>
        <v>0</v>
      </c>
      <c r="CA46" s="339">
        <f t="shared" si="421"/>
        <v>0</v>
      </c>
      <c r="CB46" s="46">
        <f t="shared" si="422"/>
        <v>0</v>
      </c>
      <c r="CC46" s="46">
        <f>IF($A46="a",IFERROR(VLOOKUP($B46 &amp; $C46&amp;CC$4,tblForecast,CC$2,FALSE),0),CA46+CB46)</f>
        <v>0</v>
      </c>
      <c r="CD46" s="46">
        <f t="shared" si="423"/>
        <v>0</v>
      </c>
      <c r="CE46" s="46">
        <f t="shared" si="423"/>
        <v>0</v>
      </c>
      <c r="CF46" s="46">
        <f>IFERROR(VLOOKUP($B46-IF(CompareVer="LY",1,0) &amp; $C46 &amp;CF$4,tblForecast,CF$2,FALSE),0)</f>
        <v>0</v>
      </c>
      <c r="CG46" s="195">
        <f t="shared" si="28"/>
        <v>0</v>
      </c>
      <c r="CH46" s="339">
        <f t="shared" si="424"/>
        <v>0</v>
      </c>
      <c r="CI46" s="46">
        <f t="shared" si="425"/>
        <v>0</v>
      </c>
      <c r="CJ46" s="46">
        <f>IF($A46="a",IFERROR(VLOOKUP($B46 &amp; $C46&amp;CJ$4,tblForecast,CJ$2,FALSE),0),CH46+CI46)</f>
        <v>0</v>
      </c>
      <c r="CK46" s="46">
        <f t="shared" si="426"/>
        <v>0</v>
      </c>
      <c r="CL46" s="46">
        <f t="shared" si="426"/>
        <v>0</v>
      </c>
      <c r="CM46" s="46">
        <f>IFERROR(VLOOKUP($B46-IF(CompareVer="LY",1,0) &amp; $C46 &amp;CM$4,tblForecast,CM$2,FALSE),0)</f>
        <v>0</v>
      </c>
      <c r="CN46" s="195">
        <f t="shared" si="31"/>
        <v>0</v>
      </c>
      <c r="CO46" s="179">
        <f t="shared" si="51"/>
        <v>0</v>
      </c>
      <c r="CP46" s="225">
        <f t="shared" si="33"/>
        <v>0</v>
      </c>
      <c r="CQ46" s="195">
        <f t="shared" si="34"/>
        <v>0</v>
      </c>
      <c r="CR46" s="179">
        <f t="shared" si="49"/>
        <v>0</v>
      </c>
      <c r="CS46" s="225">
        <f t="shared" si="35"/>
        <v>0</v>
      </c>
      <c r="CT46" s="195">
        <f t="shared" si="52"/>
        <v>0</v>
      </c>
      <c r="CU46" s="44"/>
      <c r="CV46" s="345">
        <f t="shared" si="427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7"/>
        <v>0</v>
      </c>
      <c r="CZ46" s="280">
        <f>IFERROR(VLOOKUP(Brand&amp;Channel&amp;Country&amp;$C46,tblDiscount,6,FALSE),0)</f>
        <v>0.7</v>
      </c>
      <c r="DA46" s="281">
        <f>(1-CZ46)*DB46</f>
        <v>7.5390000000000006</v>
      </c>
      <c r="DB46" s="281">
        <f>IFERROR(VLOOKUP(Brand&amp;Country &amp; Channel &amp;FC,tblFCSettings,8,FALSE),0)</f>
        <v>25.13</v>
      </c>
      <c r="DC46" s="282">
        <f>IFERROR(VLOOKUP(Brand&amp;Country &amp; Channel &amp;FC,tblFCSettings,9,FALSE),0)</f>
        <v>4.22</v>
      </c>
    </row>
    <row r="47" spans="1:107" x14ac:dyDescent="0.25">
      <c r="B47" s="44">
        <v>2018</v>
      </c>
      <c r="C47" s="88">
        <v>29</v>
      </c>
      <c r="D47" s="51">
        <f t="shared" si="428"/>
        <v>0</v>
      </c>
      <c r="E47" s="203">
        <f t="shared" si="429"/>
        <v>0</v>
      </c>
      <c r="F47" s="183">
        <f t="shared" si="50"/>
        <v>0</v>
      </c>
      <c r="G47" s="177">
        <f t="shared" si="400"/>
        <v>0</v>
      </c>
      <c r="H47" s="204">
        <f t="shared" si="400"/>
        <v>0</v>
      </c>
      <c r="I47" s="204">
        <f t="shared" si="400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 t="shared" si="401"/>
        <v>0</v>
      </c>
      <c r="M47" s="90">
        <f t="shared" si="401"/>
        <v>0</v>
      </c>
      <c r="N47" s="46">
        <f t="shared" si="401"/>
        <v>0</v>
      </c>
      <c r="O47" s="46">
        <f t="shared" si="401"/>
        <v>0</v>
      </c>
      <c r="P47" s="47">
        <f t="shared" si="40"/>
        <v>0</v>
      </c>
      <c r="Q47" s="244">
        <f t="shared" si="430"/>
        <v>0</v>
      </c>
      <c r="R47" s="242">
        <f t="shared" si="402"/>
        <v>0</v>
      </c>
      <c r="S47" s="242">
        <f t="shared" si="402"/>
        <v>0</v>
      </c>
      <c r="T47" s="242">
        <f>IFERROR(VLOOKUP($B47-IF(CompareVer="LY",1,0) &amp; $C47 &amp;T$4,tblForecast,T$2,FALSE),0)</f>
        <v>0</v>
      </c>
      <c r="U47" s="91">
        <f t="shared" si="356"/>
        <v>0</v>
      </c>
      <c r="V47" s="251">
        <f t="shared" si="431"/>
        <v>0</v>
      </c>
      <c r="W47" s="336">
        <f t="shared" si="431"/>
        <v>0</v>
      </c>
      <c r="X47" s="252">
        <f>IFERROR(IF(T46&lt;&gt;0,T47/T46,0),0)</f>
        <v>0</v>
      </c>
      <c r="Y47" s="51">
        <f t="shared" si="403"/>
        <v>0</v>
      </c>
      <c r="Z47" s="46">
        <f t="shared" si="403"/>
        <v>0</v>
      </c>
      <c r="AA47" s="46">
        <f t="shared" si="403"/>
        <v>0</v>
      </c>
      <c r="AB47" s="46">
        <f t="shared" si="403"/>
        <v>0</v>
      </c>
      <c r="AC47" s="91">
        <f t="shared" si="360"/>
        <v>0</v>
      </c>
      <c r="AD47" s="75">
        <f>IF(AM47&lt;&gt;0,1-AR47/AM47,0)</f>
        <v>0.32829287703939514</v>
      </c>
      <c r="AE47" s="93">
        <f t="shared" si="404"/>
        <v>0</v>
      </c>
      <c r="AF47" s="93">
        <f t="shared" si="404"/>
        <v>0</v>
      </c>
      <c r="AG47" s="76">
        <f t="shared" si="404"/>
        <v>0</v>
      </c>
      <c r="AH47" s="73">
        <f t="shared" si="405"/>
        <v>25.13</v>
      </c>
      <c r="AI47" s="94">
        <f t="shared" si="406"/>
        <v>0</v>
      </c>
      <c r="AJ47" s="94">
        <f t="shared" si="406"/>
        <v>0</v>
      </c>
      <c r="AK47" s="49">
        <f>IFERROR(VLOOKUP($B47-IF(CompareVer="LY",1,0) &amp; $C47 &amp;AK$4,tblForecast,AK$2,FALSE),0)</f>
        <v>0</v>
      </c>
      <c r="AL47" s="47">
        <f t="shared" si="407"/>
        <v>0</v>
      </c>
      <c r="AM47" s="73">
        <f t="shared" si="408"/>
        <v>6.2824999999999998</v>
      </c>
      <c r="AN47" s="94">
        <f t="shared" si="409"/>
        <v>0</v>
      </c>
      <c r="AO47" s="94">
        <f t="shared" si="409"/>
        <v>0</v>
      </c>
      <c r="AP47" s="49">
        <f>IFERROR(VLOOKUP($B47-IF(CompareVer="LY",1,0) &amp; $C47 &amp;AP$4,tblForecast,AP$2,FALSE),0)</f>
        <v>0</v>
      </c>
      <c r="AQ47" s="47">
        <f t="shared" si="366"/>
        <v>0</v>
      </c>
      <c r="AR47" s="73">
        <f t="shared" si="410"/>
        <v>4.22</v>
      </c>
      <c r="AS47" s="94">
        <f t="shared" si="411"/>
        <v>0</v>
      </c>
      <c r="AT47" s="94">
        <f t="shared" si="411"/>
        <v>0</v>
      </c>
      <c r="AU47" s="49">
        <f>IFERROR(VLOOKUP($B47-IF(CompareVer="LY",1,0) &amp; $C47 &amp;AU$4,tblForecast,AU$2,FALSE),0)</f>
        <v>0</v>
      </c>
      <c r="AV47" s="47">
        <f t="shared" si="412"/>
        <v>0</v>
      </c>
      <c r="AW47" s="192">
        <f t="shared" si="413"/>
        <v>0.75</v>
      </c>
      <c r="AX47" s="193">
        <f t="shared" si="414"/>
        <v>0</v>
      </c>
      <c r="AY47" s="193">
        <f t="shared" si="415"/>
        <v>0</v>
      </c>
      <c r="AZ47" s="193">
        <f t="shared" si="416"/>
        <v>0</v>
      </c>
      <c r="BA47" s="237">
        <f t="shared" si="417"/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418"/>
        <v>0</v>
      </c>
      <c r="BE47" s="195">
        <f t="shared" si="19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 t="shared" si="373"/>
        <v>0</v>
      </c>
      <c r="BK47" s="50">
        <f t="shared" si="21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5"/>
        <v>0</v>
      </c>
      <c r="BS47" s="233">
        <f t="shared" si="22"/>
        <v>0</v>
      </c>
      <c r="BT47" s="236">
        <f t="shared" si="419"/>
        <v>0</v>
      </c>
      <c r="BU47" s="233">
        <f t="shared" si="419"/>
        <v>0</v>
      </c>
      <c r="BV47" s="233">
        <f>IF($A47="a",IFERROR(VLOOKUP($B47 &amp; $C47&amp;BV$4,tblForecast,BV$2,FALSE),0),BT47+BU47)</f>
        <v>0</v>
      </c>
      <c r="BW47" s="233">
        <f t="shared" si="420"/>
        <v>0</v>
      </c>
      <c r="BX47" s="233">
        <f t="shared" si="420"/>
        <v>0</v>
      </c>
      <c r="BY47" s="194">
        <f>IFERROR(VLOOKUP($B47-IF(CompareVer="LY",1,0) &amp; $C47 &amp;BY$4,tblForecast,BY$2,FALSE),0)</f>
        <v>0</v>
      </c>
      <c r="BZ47" s="195">
        <f t="shared" si="25"/>
        <v>0</v>
      </c>
      <c r="CA47" s="339">
        <f t="shared" si="421"/>
        <v>0</v>
      </c>
      <c r="CB47" s="46">
        <f t="shared" si="422"/>
        <v>0</v>
      </c>
      <c r="CC47" s="46">
        <f>IF($A47="a",IFERROR(VLOOKUP($B47 &amp; $C47&amp;CC$4,tblForecast,CC$2,FALSE),0),CA47+CB47)</f>
        <v>0</v>
      </c>
      <c r="CD47" s="46">
        <f t="shared" si="423"/>
        <v>0</v>
      </c>
      <c r="CE47" s="46">
        <f t="shared" si="423"/>
        <v>0</v>
      </c>
      <c r="CF47" s="46">
        <f>IFERROR(VLOOKUP($B47-IF(CompareVer="LY",1,0) &amp; $C47 &amp;CF$4,tblForecast,CF$2,FALSE),0)</f>
        <v>0</v>
      </c>
      <c r="CG47" s="195">
        <f t="shared" si="28"/>
        <v>0</v>
      </c>
      <c r="CH47" s="339">
        <f t="shared" si="424"/>
        <v>0</v>
      </c>
      <c r="CI47" s="46">
        <f t="shared" si="425"/>
        <v>0</v>
      </c>
      <c r="CJ47" s="46">
        <f>IF($A47="a",IFERROR(VLOOKUP($B47 &amp; $C47&amp;CJ$4,tblForecast,CJ$2,FALSE),0),CH47+CI47)</f>
        <v>0</v>
      </c>
      <c r="CK47" s="46">
        <f t="shared" si="426"/>
        <v>0</v>
      </c>
      <c r="CL47" s="46">
        <f t="shared" si="426"/>
        <v>0</v>
      </c>
      <c r="CM47" s="46">
        <f>IFERROR(VLOOKUP($B47-IF(CompareVer="LY",1,0) &amp; $C47 &amp;CM$4,tblForecast,CM$2,FALSE),0)</f>
        <v>0</v>
      </c>
      <c r="CN47" s="195">
        <f t="shared" si="31"/>
        <v>0</v>
      </c>
      <c r="CO47" s="179">
        <f t="shared" si="51"/>
        <v>0</v>
      </c>
      <c r="CP47" s="225">
        <f t="shared" si="33"/>
        <v>0</v>
      </c>
      <c r="CQ47" s="195">
        <f t="shared" si="34"/>
        <v>0</v>
      </c>
      <c r="CR47" s="179">
        <f t="shared" si="49"/>
        <v>0</v>
      </c>
      <c r="CS47" s="225">
        <f t="shared" si="35"/>
        <v>0</v>
      </c>
      <c r="CT47" s="195">
        <f t="shared" si="52"/>
        <v>0</v>
      </c>
      <c r="CU47" s="44"/>
      <c r="CV47" s="345">
        <f t="shared" si="427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7"/>
        <v>0</v>
      </c>
      <c r="CZ47" s="280">
        <f>IFERROR(VLOOKUP(Brand&amp;Channel&amp;Country&amp;$C47,tblDiscount,6,FALSE),0)</f>
        <v>0.75</v>
      </c>
      <c r="DA47" s="281">
        <f>(1-CZ47)*DB47</f>
        <v>6.2824999999999998</v>
      </c>
      <c r="DB47" s="281">
        <f>IFERROR(VLOOKUP(Brand&amp;Country &amp; Channel &amp;FC,tblFCSettings,8,FALSE),0)</f>
        <v>25.13</v>
      </c>
      <c r="DC47" s="282">
        <f>IFERROR(VLOOKUP(Brand&amp;Country &amp; Channel &amp;FC,tblFCSettings,9,FALSE),0)</f>
        <v>4.22</v>
      </c>
    </row>
    <row r="48" spans="1:107" ht="16.5" thickBot="1" x14ac:dyDescent="0.3">
      <c r="B48" s="44">
        <v>2018</v>
      </c>
      <c r="C48" s="88">
        <v>30</v>
      </c>
      <c r="D48" s="51">
        <f t="shared" si="428"/>
        <v>0</v>
      </c>
      <c r="E48" s="203">
        <f t="shared" si="429"/>
        <v>0</v>
      </c>
      <c r="F48" s="183">
        <f t="shared" si="50"/>
        <v>0</v>
      </c>
      <c r="G48" s="177">
        <f t="shared" si="400"/>
        <v>0</v>
      </c>
      <c r="H48" s="204">
        <f t="shared" si="400"/>
        <v>0</v>
      </c>
      <c r="I48" s="204">
        <f t="shared" si="400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 t="shared" si="401"/>
        <v>0</v>
      </c>
      <c r="M48" s="90">
        <f t="shared" si="401"/>
        <v>0</v>
      </c>
      <c r="N48" s="46">
        <f t="shared" si="401"/>
        <v>0</v>
      </c>
      <c r="O48" s="46">
        <f t="shared" si="401"/>
        <v>0</v>
      </c>
      <c r="P48" s="47">
        <f t="shared" si="40"/>
        <v>0</v>
      </c>
      <c r="Q48" s="244">
        <f t="shared" si="430"/>
        <v>0</v>
      </c>
      <c r="R48" s="242">
        <f t="shared" si="402"/>
        <v>0</v>
      </c>
      <c r="S48" s="242">
        <f t="shared" si="402"/>
        <v>0</v>
      </c>
      <c r="T48" s="242">
        <f>IFERROR(VLOOKUP($B48-IF(CompareVer="LY",1,0) &amp; $C48 &amp;T$4,tblForecast,T$2,FALSE),0)</f>
        <v>0</v>
      </c>
      <c r="U48" s="91">
        <f t="shared" si="356"/>
        <v>0</v>
      </c>
      <c r="V48" s="251">
        <f t="shared" si="431"/>
        <v>0</v>
      </c>
      <c r="W48" s="336">
        <f t="shared" si="431"/>
        <v>0</v>
      </c>
      <c r="X48" s="252">
        <f>IFERROR(IF(T47&lt;&gt;0,T48/T47,0),0)</f>
        <v>0</v>
      </c>
      <c r="Y48" s="51">
        <f t="shared" si="403"/>
        <v>0</v>
      </c>
      <c r="Z48" s="46">
        <f t="shared" si="403"/>
        <v>0</v>
      </c>
      <c r="AA48" s="46">
        <f t="shared" si="403"/>
        <v>0</v>
      </c>
      <c r="AB48" s="46">
        <f t="shared" si="403"/>
        <v>0</v>
      </c>
      <c r="AC48" s="91">
        <f t="shared" si="360"/>
        <v>0</v>
      </c>
      <c r="AD48" s="75">
        <f>IF(AM48&lt;&gt;0,1-AR48/AM48,0)</f>
        <v>0.32829287703939514</v>
      </c>
      <c r="AE48" s="93">
        <f t="shared" si="404"/>
        <v>0</v>
      </c>
      <c r="AF48" s="93">
        <f t="shared" si="404"/>
        <v>0</v>
      </c>
      <c r="AG48" s="76">
        <f t="shared" si="404"/>
        <v>0</v>
      </c>
      <c r="AH48" s="73">
        <f t="shared" si="405"/>
        <v>25.13</v>
      </c>
      <c r="AI48" s="94">
        <f t="shared" si="406"/>
        <v>0</v>
      </c>
      <c r="AJ48" s="94">
        <f t="shared" si="406"/>
        <v>0</v>
      </c>
      <c r="AK48" s="49">
        <f>IFERROR(VLOOKUP($B48-IF(CompareVer="LY",1,0) &amp; $C48 &amp;AK$4,tblForecast,AK$2,FALSE),0)</f>
        <v>0</v>
      </c>
      <c r="AL48" s="47">
        <f t="shared" si="407"/>
        <v>0</v>
      </c>
      <c r="AM48" s="73">
        <f t="shared" si="408"/>
        <v>6.2824999999999998</v>
      </c>
      <c r="AN48" s="94">
        <f t="shared" si="409"/>
        <v>0</v>
      </c>
      <c r="AO48" s="94">
        <f t="shared" si="409"/>
        <v>0</v>
      </c>
      <c r="AP48" s="49">
        <f>IFERROR(VLOOKUP($B48-IF(CompareVer="LY",1,0) &amp; $C48 &amp;AP$4,tblForecast,AP$2,FALSE),0)</f>
        <v>0</v>
      </c>
      <c r="AQ48" s="47">
        <f t="shared" si="366"/>
        <v>0</v>
      </c>
      <c r="AR48" s="73">
        <f t="shared" si="410"/>
        <v>4.22</v>
      </c>
      <c r="AS48" s="94">
        <f t="shared" si="411"/>
        <v>0</v>
      </c>
      <c r="AT48" s="94">
        <f t="shared" si="411"/>
        <v>0</v>
      </c>
      <c r="AU48" s="49">
        <f>IFERROR(VLOOKUP($B48-IF(CompareVer="LY",1,0) &amp; $C48 &amp;AU$4,tblForecast,AU$2,FALSE),0)</f>
        <v>0</v>
      </c>
      <c r="AV48" s="47">
        <f t="shared" si="412"/>
        <v>0</v>
      </c>
      <c r="AW48" s="192">
        <f t="shared" si="413"/>
        <v>0.75</v>
      </c>
      <c r="AX48" s="193">
        <f t="shared" si="414"/>
        <v>0</v>
      </c>
      <c r="AY48" s="193">
        <f t="shared" si="415"/>
        <v>0</v>
      </c>
      <c r="AZ48" s="193">
        <f t="shared" si="416"/>
        <v>0</v>
      </c>
      <c r="BA48" s="237">
        <f t="shared" si="417"/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418"/>
        <v>0</v>
      </c>
      <c r="BE48" s="195">
        <f t="shared" si="19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 t="shared" si="373"/>
        <v>0</v>
      </c>
      <c r="BK48" s="50">
        <f t="shared" si="21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5"/>
        <v>0</v>
      </c>
      <c r="BS48" s="233">
        <f t="shared" si="22"/>
        <v>0</v>
      </c>
      <c r="BT48" s="236">
        <f t="shared" si="419"/>
        <v>0</v>
      </c>
      <c r="BU48" s="233">
        <f t="shared" si="419"/>
        <v>0</v>
      </c>
      <c r="BV48" s="233">
        <f>IF($A48="a",IFERROR(VLOOKUP($B48 &amp; $C48&amp;BV$4,tblForecast,BV$2,FALSE),0),BT48+BU48)</f>
        <v>0</v>
      </c>
      <c r="BW48" s="233">
        <f t="shared" si="420"/>
        <v>0</v>
      </c>
      <c r="BX48" s="233">
        <f t="shared" si="420"/>
        <v>0</v>
      </c>
      <c r="BY48" s="194">
        <f>IFERROR(VLOOKUP($B48-IF(CompareVer="LY",1,0) &amp; $C48 &amp;BY$4,tblForecast,BY$2,FALSE),0)</f>
        <v>0</v>
      </c>
      <c r="BZ48" s="195">
        <f t="shared" si="25"/>
        <v>0</v>
      </c>
      <c r="CA48" s="339">
        <f t="shared" si="421"/>
        <v>0</v>
      </c>
      <c r="CB48" s="46">
        <f t="shared" si="422"/>
        <v>0</v>
      </c>
      <c r="CC48" s="46">
        <f>IF($A48="a",IFERROR(VLOOKUP($B48 &amp; $C48&amp;CC$4,tblForecast,CC$2,FALSE),0),CA48+CB48)</f>
        <v>0</v>
      </c>
      <c r="CD48" s="46">
        <f t="shared" si="423"/>
        <v>0</v>
      </c>
      <c r="CE48" s="46">
        <f t="shared" si="423"/>
        <v>0</v>
      </c>
      <c r="CF48" s="46">
        <f>IFERROR(VLOOKUP($B48-IF(CompareVer="LY",1,0) &amp; $C48 &amp;CF$4,tblForecast,CF$2,FALSE),0)</f>
        <v>0</v>
      </c>
      <c r="CG48" s="195">
        <f t="shared" si="28"/>
        <v>0</v>
      </c>
      <c r="CH48" s="339">
        <f t="shared" si="424"/>
        <v>0</v>
      </c>
      <c r="CI48" s="46">
        <f t="shared" si="425"/>
        <v>0</v>
      </c>
      <c r="CJ48" s="46">
        <f>IF($A48="a",IFERROR(VLOOKUP($B48 &amp; $C48&amp;CJ$4,tblForecast,CJ$2,FALSE),0),CH48+CI48)</f>
        <v>0</v>
      </c>
      <c r="CK48" s="46">
        <f t="shared" si="426"/>
        <v>0</v>
      </c>
      <c r="CL48" s="46">
        <f t="shared" si="426"/>
        <v>0</v>
      </c>
      <c r="CM48" s="46">
        <f>IFERROR(VLOOKUP($B48-IF(CompareVer="LY",1,0) &amp; $C48 &amp;CM$4,tblForecast,CM$2,FALSE),0)</f>
        <v>0</v>
      </c>
      <c r="CN48" s="195">
        <f t="shared" si="31"/>
        <v>0</v>
      </c>
      <c r="CO48" s="179">
        <f t="shared" si="51"/>
        <v>0</v>
      </c>
      <c r="CP48" s="225">
        <f t="shared" si="33"/>
        <v>0</v>
      </c>
      <c r="CQ48" s="195">
        <f t="shared" si="34"/>
        <v>0</v>
      </c>
      <c r="CR48" s="179">
        <f t="shared" si="49"/>
        <v>0</v>
      </c>
      <c r="CS48" s="225">
        <f t="shared" si="35"/>
        <v>0</v>
      </c>
      <c r="CT48" s="195">
        <f t="shared" si="52"/>
        <v>0</v>
      </c>
      <c r="CU48" s="44"/>
      <c r="CV48" s="345">
        <f t="shared" si="427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7"/>
        <v>0</v>
      </c>
      <c r="CZ48" s="280">
        <f>IFERROR(VLOOKUP(Brand&amp;Channel&amp;Country&amp;$C48,tblDiscount,6,FALSE),0)</f>
        <v>0.75</v>
      </c>
      <c r="DA48" s="281">
        <f>(1-CZ48)*DB48</f>
        <v>6.2824999999999998</v>
      </c>
      <c r="DB48" s="281">
        <f>IFERROR(VLOOKUP(Brand&amp;Country &amp; Channel &amp;FC,tblFCSettings,8,FALSE),0)</f>
        <v>25.13</v>
      </c>
      <c r="DC48" s="282">
        <f>IFERROR(VLOOKUP(Brand&amp;Country &amp; Channel &amp;FC,tblFCSettings,9,FALSE),0)</f>
        <v>4.22</v>
      </c>
    </row>
    <row r="49" spans="2:107" ht="16.5" thickBot="1" x14ac:dyDescent="0.3">
      <c r="C49" s="255" t="s">
        <v>317</v>
      </c>
      <c r="D49" s="256">
        <f t="shared" ref="D49" si="432">SUM(D45:D48)</f>
        <v>0</v>
      </c>
      <c r="E49" s="257">
        <f t="shared" ref="E49" si="433">SUM(E45:E48)</f>
        <v>0</v>
      </c>
      <c r="F49" s="258">
        <f t="shared" si="50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434">SUM(M45:M48)</f>
        <v>0</v>
      </c>
      <c r="N49" s="261">
        <f t="shared" si="434"/>
        <v>0</v>
      </c>
      <c r="O49" s="261">
        <f t="shared" si="434"/>
        <v>0</v>
      </c>
      <c r="P49" s="262">
        <f t="shared" si="40"/>
        <v>0</v>
      </c>
      <c r="Q49" s="264">
        <f t="shared" ref="Q49:R49" si="435">SUM(Q45:Q48)</f>
        <v>0</v>
      </c>
      <c r="R49" s="264">
        <f t="shared" si="435"/>
        <v>0</v>
      </c>
      <c r="S49" s="264">
        <f t="shared" ref="S49" si="436">SUM(S45:S48)</f>
        <v>0</v>
      </c>
      <c r="T49" s="264">
        <f>SUM(T45:T48)</f>
        <v>0</v>
      </c>
      <c r="U49" s="262">
        <f t="shared" si="356"/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437">SUM(Z45:Z48)</f>
        <v>0</v>
      </c>
      <c r="AA49" s="261">
        <f t="shared" si="437"/>
        <v>0</v>
      </c>
      <c r="AB49" s="261">
        <f t="shared" si="437"/>
        <v>0</v>
      </c>
      <c r="AC49" s="262">
        <f t="shared" si="360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" si="438">IFERROR(SUMPRODUCT(AJ45:AJ48,S45:S48)/S49,0)</f>
        <v>0</v>
      </c>
      <c r="AK49" s="270">
        <f t="shared" ref="AK49" si="439">IFERROR(SUMPRODUCT(AK45:AK48,T45:T48)/T49,0)</f>
        <v>0</v>
      </c>
      <c r="AL49" s="262">
        <f t="shared" ref="AL49:AL54" si="440">IFERROR(AH49/AK49-1,)</f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ref="AQ49:AQ83" si="441">IFERROR(AM49/AP49-1,)</f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412"/>
        <v>0</v>
      </c>
      <c r="AW49" s="271">
        <f>IFERROR(SUMPRODUCT(AW45:AW48,V45:V48)/V49,0)</f>
        <v>0</v>
      </c>
      <c r="AX49" s="272">
        <f t="shared" ref="AX49:AZ49" si="442">IFERROR(SUMPRODUCT(AX45:AX48,X45:X48)/X49,0)</f>
        <v>0</v>
      </c>
      <c r="AY49" s="272">
        <f t="shared" si="442"/>
        <v>0</v>
      </c>
      <c r="AZ49" s="272">
        <f t="shared" si="442"/>
        <v>0</v>
      </c>
      <c r="BA49" s="263">
        <f>BA48</f>
        <v>0</v>
      </c>
      <c r="BB49" s="264">
        <f t="shared" ref="BB49" si="443">BB48</f>
        <v>0</v>
      </c>
      <c r="BC49" s="264">
        <f t="shared" ref="BC49" si="444">BC48</f>
        <v>0</v>
      </c>
      <c r="BD49" s="264">
        <f t="shared" ref="BD49" si="445">BD48</f>
        <v>0</v>
      </c>
      <c r="BE49" s="262">
        <f t="shared" ref="BE49" si="446">IFERROR(BA49/BD49-1,)</f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 t="shared" si="373"/>
        <v>0</v>
      </c>
      <c r="BK49" s="276">
        <f t="shared" si="21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447">SUM(BO45:BO48)</f>
        <v>0</v>
      </c>
      <c r="BP49" s="263">
        <f>SUM(BP45:BP48)</f>
        <v>0</v>
      </c>
      <c r="BQ49" s="264">
        <f t="shared" si="447"/>
        <v>0</v>
      </c>
      <c r="BR49" s="263">
        <f t="shared" si="45"/>
        <v>0</v>
      </c>
      <c r="BS49" s="264">
        <f t="shared" si="22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" si="448">SUM(BW45:BW48)</f>
        <v>0</v>
      </c>
      <c r="BX49" s="264">
        <f t="shared" ref="BX49" si="449">SUM(BX45:BX48)</f>
        <v>0</v>
      </c>
      <c r="BY49" s="277">
        <f>SUM(BY45:BY48)</f>
        <v>0</v>
      </c>
      <c r="BZ49" s="262">
        <f t="shared" si="25"/>
        <v>0</v>
      </c>
      <c r="CA49" s="340">
        <f>SUM(CA45:CA48)</f>
        <v>0</v>
      </c>
      <c r="CB49" s="261">
        <f t="shared" ref="CB49:CF49" si="450">SUM(CB45:CB48)</f>
        <v>0</v>
      </c>
      <c r="CC49" s="261">
        <f t="shared" si="450"/>
        <v>0</v>
      </c>
      <c r="CD49" s="261">
        <f t="shared" si="450"/>
        <v>0</v>
      </c>
      <c r="CE49" s="261">
        <f t="shared" si="450"/>
        <v>0</v>
      </c>
      <c r="CF49" s="261">
        <f t="shared" si="450"/>
        <v>0</v>
      </c>
      <c r="CG49" s="262">
        <f t="shared" si="28"/>
        <v>0</v>
      </c>
      <c r="CH49" s="340">
        <f>SUM(CH45:CH48)</f>
        <v>0</v>
      </c>
      <c r="CI49" s="261">
        <f t="shared" ref="CI49:CM49" si="451">SUM(CI45:CI48)</f>
        <v>0</v>
      </c>
      <c r="CJ49" s="261">
        <f t="shared" si="451"/>
        <v>0</v>
      </c>
      <c r="CK49" s="261">
        <f t="shared" si="451"/>
        <v>0</v>
      </c>
      <c r="CL49" s="261">
        <f t="shared" si="451"/>
        <v>0</v>
      </c>
      <c r="CM49" s="261">
        <f t="shared" si="451"/>
        <v>0</v>
      </c>
      <c r="CN49" s="262">
        <f t="shared" si="31"/>
        <v>0</v>
      </c>
      <c r="CO49" s="278">
        <f t="shared" si="51"/>
        <v>0</v>
      </c>
      <c r="CP49" s="279">
        <f t="shared" si="33"/>
        <v>0</v>
      </c>
      <c r="CQ49" s="262">
        <f t="shared" si="34"/>
        <v>0</v>
      </c>
      <c r="CR49" s="278">
        <f t="shared" si="49"/>
        <v>0</v>
      </c>
      <c r="CS49" s="279">
        <f t="shared" si="35"/>
        <v>0</v>
      </c>
      <c r="CT49" s="262">
        <f t="shared" si="52"/>
        <v>0</v>
      </c>
      <c r="CU49" s="44"/>
      <c r="CV49" s="346"/>
      <c r="CW49" s="100">
        <f>CW48</f>
        <v>0</v>
      </c>
      <c r="CX49" s="101">
        <f>CX48</f>
        <v>0</v>
      </c>
      <c r="CY49" s="99">
        <f t="shared" si="37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50"/>
        <v>0</v>
      </c>
      <c r="G50" s="177">
        <f t="shared" ref="G50:I54" si="452">IFERROR(VLOOKUP($B50 &amp; $C50&amp;G$4&amp;$A50,tblForecast,G$2,FALSE),0)</f>
        <v>0</v>
      </c>
      <c r="H50" s="204">
        <f t="shared" si="452"/>
        <v>0</v>
      </c>
      <c r="I50" s="204">
        <f t="shared" si="452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 t="shared" ref="L50:O54" si="453">Q50*AM50</f>
        <v>0</v>
      </c>
      <c r="M50" s="90">
        <f t="shared" si="453"/>
        <v>0</v>
      </c>
      <c r="N50" s="46">
        <f t="shared" si="453"/>
        <v>0</v>
      </c>
      <c r="O50" s="46">
        <f t="shared" si="453"/>
        <v>0</v>
      </c>
      <c r="P50" s="47">
        <f t="shared" si="40"/>
        <v>0</v>
      </c>
      <c r="Q50" s="244">
        <f>IF(A48="a",IF(CV50=0,R50,IF(BA48-(Q48*IF(W50=0,X50,W50))&lt;0,BA48,Q48*IF(W50=0,X50,W50))),IF(BA48-(Q48*IF(W50=0,X50,W50))&lt;0,BA48,Q48*IF(W50=0,X50,W50)))</f>
        <v>0</v>
      </c>
      <c r="R50" s="242">
        <f t="shared" ref="R50:S54" si="454">IFERROR(VLOOKUP($B50 &amp; $C50&amp;R$4,tblForecast,R$2,FALSE),0)</f>
        <v>0</v>
      </c>
      <c r="S50" s="242">
        <f t="shared" si="454"/>
        <v>0</v>
      </c>
      <c r="T50" s="242">
        <f>IFERROR(VLOOKUP($B50-IF(CompareVer="LY",1,0) &amp; $C50 &amp;T$4,tblForecast,T$2,FALSE),0)</f>
        <v>0</v>
      </c>
      <c r="U50" s="91">
        <f t="shared" si="356"/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 t="shared" ref="Y50:AB54" si="455">IFERROR(L50*AD50,0)</f>
        <v>0</v>
      </c>
      <c r="Z50" s="46">
        <f t="shared" si="455"/>
        <v>0</v>
      </c>
      <c r="AA50" s="46">
        <f t="shared" si="455"/>
        <v>0</v>
      </c>
      <c r="AB50" s="46">
        <f t="shared" si="455"/>
        <v>0</v>
      </c>
      <c r="AC50" s="91">
        <f t="shared" si="360"/>
        <v>0</v>
      </c>
      <c r="AD50" s="75">
        <f>IF(AM50&lt;&gt;0,1-AR50/AM50,0)</f>
        <v>0.32829287703939514</v>
      </c>
      <c r="AE50" s="93">
        <f t="shared" ref="AE50:AG54" si="456">IF(AN50&lt;&gt;0,1-AS50/AN50,0)</f>
        <v>0</v>
      </c>
      <c r="AF50" s="93">
        <f t="shared" si="456"/>
        <v>0</v>
      </c>
      <c r="AG50" s="76">
        <f t="shared" si="456"/>
        <v>0</v>
      </c>
      <c r="AH50" s="73">
        <f t="shared" ref="AH50:AH54" si="457">DB50</f>
        <v>25.13</v>
      </c>
      <c r="AI50" s="94">
        <f t="shared" ref="AI50:AJ54" si="458">IFERROR(VLOOKUP($B50 &amp; $C50&amp;AI$4,tblForecast,AI$2,FALSE),0)</f>
        <v>0</v>
      </c>
      <c r="AJ50" s="94">
        <f t="shared" si="458"/>
        <v>0</v>
      </c>
      <c r="AK50" s="49">
        <f>IFERROR(VLOOKUP($B50-IF(CompareVer="LY",1,0) &amp; $C50 &amp;AK$4,tblForecast,AK$2,FALSE),0)</f>
        <v>0</v>
      </c>
      <c r="AL50" s="47">
        <f t="shared" si="440"/>
        <v>0</v>
      </c>
      <c r="AM50" s="73">
        <f t="shared" ref="AM50:AM54" si="459">DA50</f>
        <v>6.2824999999999998</v>
      </c>
      <c r="AN50" s="94">
        <f t="shared" ref="AN50:AO54" si="460">IFERROR(VLOOKUP($B50 &amp; $C50&amp;AN$4,tblForecast,AN$2,FALSE),0)</f>
        <v>0</v>
      </c>
      <c r="AO50" s="94">
        <f t="shared" si="460"/>
        <v>0</v>
      </c>
      <c r="AP50" s="49">
        <f>IFERROR(VLOOKUP($B50-IF(CompareVer="LY",1,0) &amp; $C50 &amp;AP$4,tblForecast,AP$2,FALSE),0)</f>
        <v>0</v>
      </c>
      <c r="AQ50" s="47">
        <f t="shared" si="441"/>
        <v>0</v>
      </c>
      <c r="AR50" s="73">
        <f t="shared" ref="AR50:AR54" si="461">DC50</f>
        <v>4.22</v>
      </c>
      <c r="AS50" s="94">
        <f t="shared" ref="AS50:AT54" si="462">IFERROR(VLOOKUP($B50 &amp; $C50&amp;AS$4,tblForecast,AS$2,FALSE),0)</f>
        <v>0</v>
      </c>
      <c r="AT50" s="94">
        <f t="shared" si="462"/>
        <v>0</v>
      </c>
      <c r="AU50" s="49">
        <f>IFERROR(VLOOKUP($B50-IF(CompareVer="LY",1,0) &amp; $C50 &amp;AU$4,tblForecast,AU$2,FALSE),0)</f>
        <v>0</v>
      </c>
      <c r="AV50" s="47">
        <f t="shared" si="412"/>
        <v>0</v>
      </c>
      <c r="AW50" s="192">
        <f t="shared" ref="AW50:AW54" si="463">IFERROR((AM50/AH50-1)*-1,0)</f>
        <v>0.75</v>
      </c>
      <c r="AX50" s="193">
        <f t="shared" ref="AX50:AX54" si="464">IFERROR((AN50/AI50-1)*-1,0)</f>
        <v>0</v>
      </c>
      <c r="AY50" s="193">
        <f t="shared" ref="AY50:AY54" si="465">IFERROR((AO50/AJ50-1)*-1,0)</f>
        <v>0</v>
      </c>
      <c r="AZ50" s="193">
        <f t="shared" ref="AZ50:AZ54" si="466">IFERROR((AP50/AK50-1)*-1,0)</f>
        <v>0</v>
      </c>
      <c r="BA50" s="237">
        <f t="shared" ref="BA50:BA54" si="467">IF(BA49+BV50+BL50+BR50-Q50&lt;0,0,BA49+BF49+BV50+BL50+BR50-Q50)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468">CX50+BG50</f>
        <v>0</v>
      </c>
      <c r="BE50" s="195">
        <f t="shared" si="19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 t="shared" si="373"/>
        <v>0</v>
      </c>
      <c r="BK50" s="50">
        <f t="shared" si="21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5"/>
        <v>0</v>
      </c>
      <c r="BS50" s="233">
        <f t="shared" si="22"/>
        <v>0</v>
      </c>
      <c r="BT50" s="236">
        <f t="shared" ref="BT50:BU54" si="469">IFERROR(VLOOKUP($B50 &amp; $C50&amp;BT$4,tblForecast,BT$2,FALSE),0)</f>
        <v>0</v>
      </c>
      <c r="BU50" s="233">
        <f t="shared" si="469"/>
        <v>0</v>
      </c>
      <c r="BV50" s="233">
        <f>IF($A50="a",IFERROR(VLOOKUP($B50 &amp; $C50&amp;BV$4,tblForecast,BV$2,FALSE),0),BT50+BU50)</f>
        <v>0</v>
      </c>
      <c r="BW50" s="233">
        <f t="shared" ref="BW50:BX54" si="470">IFERROR(VLOOKUP($B50 &amp; $C50&amp;BW$4,tblForecast,BW$2,FALSE),0)</f>
        <v>0</v>
      </c>
      <c r="BX50" s="233">
        <f t="shared" si="470"/>
        <v>0</v>
      </c>
      <c r="BY50" s="194">
        <f>IFERROR(VLOOKUP($B50-IF(CompareVer="LY",1,0) &amp; $C50 &amp;BY$4,tblForecast,BY$2,FALSE),0)</f>
        <v>0</v>
      </c>
      <c r="BZ50" s="195">
        <f t="shared" si="25"/>
        <v>0</v>
      </c>
      <c r="CA50" s="339">
        <f t="shared" ref="CA50:CA54" si="471">IFERROR(VLOOKUP($B50 &amp; $C50&amp;CA$4,tblForecast,CA$2,FALSE),0)</f>
        <v>0</v>
      </c>
      <c r="CB50" s="46">
        <f t="shared" ref="CB50:CB54" si="472">IFERROR(VLOOKUP($B50 &amp; $C50&amp;CB$4,tblForecast,CB$2,FALSE),0)</f>
        <v>0</v>
      </c>
      <c r="CC50" s="46">
        <f>IF($A50="a",IFERROR(VLOOKUP($B50 &amp; $C50&amp;CC$4,tblForecast,CC$2,FALSE),0),CA50+CB50)</f>
        <v>0</v>
      </c>
      <c r="CD50" s="46">
        <f t="shared" ref="CD50:CE54" si="473">IFERROR(VLOOKUP($B50 &amp; $C50&amp;CD$4,tblForecast,CD$2,FALSE),0)</f>
        <v>0</v>
      </c>
      <c r="CE50" s="46">
        <f t="shared" si="473"/>
        <v>0</v>
      </c>
      <c r="CF50" s="46">
        <f>IFERROR(VLOOKUP($B50-IF(CompareVer="LY",1,0) &amp; $C50 &amp;CF$4,tblForecast,CF$2,FALSE),0)</f>
        <v>0</v>
      </c>
      <c r="CG50" s="195">
        <f t="shared" si="28"/>
        <v>0</v>
      </c>
      <c r="CH50" s="339">
        <f t="shared" ref="CH50:CH54" si="474">IFERROR(VLOOKUP($B50 &amp; $C50&amp;CH$4,tblForecast,CH$2,FALSE),0)</f>
        <v>0</v>
      </c>
      <c r="CI50" s="46">
        <f t="shared" ref="CI50:CI54" si="475">IFERROR(VLOOKUP($B50 &amp; $C50&amp;CI$4,tblForecast,CI$2,FALSE),0)</f>
        <v>0</v>
      </c>
      <c r="CJ50" s="46">
        <f>IF($A50="a",IFERROR(VLOOKUP($B50 &amp; $C50&amp;CJ$4,tblForecast,CJ$2,FALSE),0),CH50+CI50)</f>
        <v>0</v>
      </c>
      <c r="CK50" s="46">
        <f t="shared" ref="CK50:CL54" si="476">IFERROR(VLOOKUP($B50 &amp; $C50&amp;CK$4,tblForecast,CK$2,FALSE),0)</f>
        <v>0</v>
      </c>
      <c r="CL50" s="46">
        <f t="shared" si="476"/>
        <v>0</v>
      </c>
      <c r="CM50" s="46">
        <f>IFERROR(VLOOKUP($B50-IF(CompareVer="LY",1,0) &amp; $C50 &amp;CM$4,tblForecast,CM$2,FALSE),0)</f>
        <v>0</v>
      </c>
      <c r="CN50" s="195">
        <f t="shared" si="31"/>
        <v>0</v>
      </c>
      <c r="CO50" s="179">
        <f t="shared" si="51"/>
        <v>0</v>
      </c>
      <c r="CP50" s="225">
        <f t="shared" si="33"/>
        <v>0</v>
      </c>
      <c r="CQ50" s="195">
        <f t="shared" si="34"/>
        <v>0</v>
      </c>
      <c r="CR50" s="179">
        <f t="shared" si="49"/>
        <v>0</v>
      </c>
      <c r="CS50" s="225">
        <f t="shared" si="35"/>
        <v>0</v>
      </c>
      <c r="CT50" s="195">
        <f t="shared" si="52"/>
        <v>0</v>
      </c>
      <c r="CU50" s="44"/>
      <c r="CV50" s="345">
        <f t="shared" ref="CV50:CV54" si="477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7"/>
        <v>0</v>
      </c>
      <c r="CZ50" s="280">
        <f>IFERROR(VLOOKUP(Brand&amp;Channel&amp;Country&amp;$C50,tblDiscount,6,FALSE),0)</f>
        <v>0.75</v>
      </c>
      <c r="DA50" s="281">
        <f>(1-CZ50)*DB50</f>
        <v>6.2824999999999998</v>
      </c>
      <c r="DB50" s="281">
        <f>IFERROR(VLOOKUP(Brand&amp;Country &amp; Channel &amp;FC,tblFCSettings,8,FALSE),0)</f>
        <v>25.13</v>
      </c>
      <c r="DC50" s="282">
        <f>IFERROR(VLOOKUP(Brand&amp;Country &amp; Channel &amp;FC,tblFCSettings,9,FALSE),0)</f>
        <v>4.22</v>
      </c>
    </row>
    <row r="51" spans="2:107" x14ac:dyDescent="0.25">
      <c r="B51" s="44">
        <v>2018</v>
      </c>
      <c r="C51" s="88">
        <v>32</v>
      </c>
      <c r="D51" s="51">
        <f t="shared" ref="D51:D54" si="478">G51*H51</f>
        <v>0</v>
      </c>
      <c r="E51" s="203">
        <f t="shared" ref="E51:E54" si="479">IFERROR(D51*F51,0)</f>
        <v>0</v>
      </c>
      <c r="F51" s="183">
        <f t="shared" si="50"/>
        <v>0</v>
      </c>
      <c r="G51" s="177">
        <f t="shared" si="452"/>
        <v>0</v>
      </c>
      <c r="H51" s="204">
        <f t="shared" si="452"/>
        <v>0</v>
      </c>
      <c r="I51" s="204">
        <f t="shared" si="452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 t="shared" si="453"/>
        <v>0</v>
      </c>
      <c r="M51" s="90">
        <f t="shared" si="453"/>
        <v>0</v>
      </c>
      <c r="N51" s="46">
        <f t="shared" si="453"/>
        <v>0</v>
      </c>
      <c r="O51" s="46">
        <f t="shared" si="453"/>
        <v>0</v>
      </c>
      <c r="P51" s="47">
        <f t="shared" si="40"/>
        <v>0</v>
      </c>
      <c r="Q51" s="244">
        <f t="shared" ref="Q51:Q54" si="480">IF(A50="a",IF(CV51=0,R51,IF(BA50-(Q50*IF(W51=0,X51,W51))&lt;0,BA50,Q50*IF(W51=0,X51,W51))),IF(BA50-(Q50*IF(W51=0,X51,W51))&lt;0,BA50,Q50*IF(W51=0,X51,W51)))</f>
        <v>0</v>
      </c>
      <c r="R51" s="242">
        <f t="shared" si="454"/>
        <v>0</v>
      </c>
      <c r="S51" s="242">
        <f t="shared" si="454"/>
        <v>0</v>
      </c>
      <c r="T51" s="242">
        <f>IFERROR(VLOOKUP($B51-IF(CompareVer="LY",1,0) &amp; $C51 &amp;T$4,tblForecast,T$2,FALSE),0)</f>
        <v>0</v>
      </c>
      <c r="U51" s="91">
        <f t="shared" si="356"/>
        <v>0</v>
      </c>
      <c r="V51" s="251">
        <f t="shared" ref="V51:W54" si="481">IFERROR(IF(Q50&lt;&gt;0,Q51/Q50,0),0)</f>
        <v>0</v>
      </c>
      <c r="W51" s="336">
        <f t="shared" si="481"/>
        <v>0</v>
      </c>
      <c r="X51" s="252">
        <f>IFERROR(IF(T50&lt;&gt;0,T51/T50,0),0)</f>
        <v>0</v>
      </c>
      <c r="Y51" s="51">
        <f t="shared" si="455"/>
        <v>0</v>
      </c>
      <c r="Z51" s="46">
        <f t="shared" si="455"/>
        <v>0</v>
      </c>
      <c r="AA51" s="46">
        <f t="shared" si="455"/>
        <v>0</v>
      </c>
      <c r="AB51" s="46">
        <f t="shared" si="455"/>
        <v>0</v>
      </c>
      <c r="AC51" s="91">
        <f t="shared" si="360"/>
        <v>0</v>
      </c>
      <c r="AD51" s="75">
        <f>IF(AM51&lt;&gt;0,1-AR51/AM51,0)</f>
        <v>0.32829287703939514</v>
      </c>
      <c r="AE51" s="93">
        <f t="shared" si="456"/>
        <v>0</v>
      </c>
      <c r="AF51" s="93">
        <f t="shared" si="456"/>
        <v>0</v>
      </c>
      <c r="AG51" s="76">
        <f t="shared" si="456"/>
        <v>0</v>
      </c>
      <c r="AH51" s="73">
        <f t="shared" si="457"/>
        <v>25.13</v>
      </c>
      <c r="AI51" s="94">
        <f t="shared" si="458"/>
        <v>0</v>
      </c>
      <c r="AJ51" s="94">
        <f t="shared" si="458"/>
        <v>0</v>
      </c>
      <c r="AK51" s="49">
        <f>IFERROR(VLOOKUP($B51-IF(CompareVer="LY",1,0) &amp; $C51 &amp;AK$4,tblForecast,AK$2,FALSE),0)</f>
        <v>0</v>
      </c>
      <c r="AL51" s="47">
        <f t="shared" si="440"/>
        <v>0</v>
      </c>
      <c r="AM51" s="73">
        <f t="shared" si="459"/>
        <v>6.2824999999999998</v>
      </c>
      <c r="AN51" s="94">
        <f t="shared" si="460"/>
        <v>0</v>
      </c>
      <c r="AO51" s="94">
        <f t="shared" si="460"/>
        <v>0</v>
      </c>
      <c r="AP51" s="49">
        <f>IFERROR(VLOOKUP($B51-IF(CompareVer="LY",1,0) &amp; $C51 &amp;AP$4,tblForecast,AP$2,FALSE),0)</f>
        <v>0</v>
      </c>
      <c r="AQ51" s="47">
        <f t="shared" si="441"/>
        <v>0</v>
      </c>
      <c r="AR51" s="73">
        <f t="shared" si="461"/>
        <v>4.22</v>
      </c>
      <c r="AS51" s="94">
        <f t="shared" si="462"/>
        <v>0</v>
      </c>
      <c r="AT51" s="94">
        <f t="shared" si="462"/>
        <v>0</v>
      </c>
      <c r="AU51" s="49">
        <f>IFERROR(VLOOKUP($B51-IF(CompareVer="LY",1,0) &amp; $C51 &amp;AU$4,tblForecast,AU$2,FALSE),0)</f>
        <v>0</v>
      </c>
      <c r="AV51" s="47">
        <f t="shared" si="412"/>
        <v>0</v>
      </c>
      <c r="AW51" s="192">
        <f t="shared" si="463"/>
        <v>0.75</v>
      </c>
      <c r="AX51" s="193">
        <f t="shared" si="464"/>
        <v>0</v>
      </c>
      <c r="AY51" s="193">
        <f t="shared" si="465"/>
        <v>0</v>
      </c>
      <c r="AZ51" s="193">
        <f t="shared" si="466"/>
        <v>0</v>
      </c>
      <c r="BA51" s="237">
        <f t="shared" si="467"/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468"/>
        <v>0</v>
      </c>
      <c r="BE51" s="195">
        <f t="shared" si="19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 t="shared" si="373"/>
        <v>0</v>
      </c>
      <c r="BK51" s="50">
        <f t="shared" si="21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5"/>
        <v>0</v>
      </c>
      <c r="BS51" s="233">
        <f t="shared" si="22"/>
        <v>0</v>
      </c>
      <c r="BT51" s="236">
        <f t="shared" si="469"/>
        <v>0</v>
      </c>
      <c r="BU51" s="233">
        <f t="shared" si="469"/>
        <v>0</v>
      </c>
      <c r="BV51" s="233">
        <f>IF($A51="a",IFERROR(VLOOKUP($B51 &amp; $C51&amp;BV$4,tblForecast,BV$2,FALSE),0),BT51+BU51)</f>
        <v>0</v>
      </c>
      <c r="BW51" s="233">
        <f t="shared" si="470"/>
        <v>0</v>
      </c>
      <c r="BX51" s="233">
        <f t="shared" si="470"/>
        <v>0</v>
      </c>
      <c r="BY51" s="194">
        <f>IFERROR(VLOOKUP($B51-IF(CompareVer="LY",1,0) &amp; $C51 &amp;BY$4,tblForecast,BY$2,FALSE),0)</f>
        <v>0</v>
      </c>
      <c r="BZ51" s="195">
        <f t="shared" si="25"/>
        <v>0</v>
      </c>
      <c r="CA51" s="339">
        <f t="shared" si="471"/>
        <v>0</v>
      </c>
      <c r="CB51" s="46">
        <f t="shared" si="472"/>
        <v>0</v>
      </c>
      <c r="CC51" s="46">
        <f>IF($A51="a",IFERROR(VLOOKUP($B51 &amp; $C51&amp;CC$4,tblForecast,CC$2,FALSE),0),CA51+CB51)</f>
        <v>0</v>
      </c>
      <c r="CD51" s="46">
        <f t="shared" si="473"/>
        <v>0</v>
      </c>
      <c r="CE51" s="46">
        <f t="shared" si="473"/>
        <v>0</v>
      </c>
      <c r="CF51" s="46">
        <f>IFERROR(VLOOKUP($B51-IF(CompareVer="LY",1,0) &amp; $C51 &amp;CF$4,tblForecast,CF$2,FALSE),0)</f>
        <v>0</v>
      </c>
      <c r="CG51" s="195">
        <f t="shared" si="28"/>
        <v>0</v>
      </c>
      <c r="CH51" s="339">
        <f t="shared" si="474"/>
        <v>0</v>
      </c>
      <c r="CI51" s="46">
        <f t="shared" si="475"/>
        <v>0</v>
      </c>
      <c r="CJ51" s="46">
        <f>IF($A51="a",IFERROR(VLOOKUP($B51 &amp; $C51&amp;CJ$4,tblForecast,CJ$2,FALSE),0),CH51+CI51)</f>
        <v>0</v>
      </c>
      <c r="CK51" s="46">
        <f t="shared" si="476"/>
        <v>0</v>
      </c>
      <c r="CL51" s="46">
        <f t="shared" si="476"/>
        <v>0</v>
      </c>
      <c r="CM51" s="46">
        <f>IFERROR(VLOOKUP($B51-IF(CompareVer="LY",1,0) &amp; $C51 &amp;CM$4,tblForecast,CM$2,FALSE),0)</f>
        <v>0</v>
      </c>
      <c r="CN51" s="195">
        <f t="shared" si="31"/>
        <v>0</v>
      </c>
      <c r="CO51" s="179">
        <f t="shared" si="51"/>
        <v>0</v>
      </c>
      <c r="CP51" s="225">
        <f t="shared" si="33"/>
        <v>0</v>
      </c>
      <c r="CQ51" s="195">
        <f t="shared" si="34"/>
        <v>0</v>
      </c>
      <c r="CR51" s="179">
        <f t="shared" si="49"/>
        <v>0</v>
      </c>
      <c r="CS51" s="225">
        <f t="shared" si="35"/>
        <v>0</v>
      </c>
      <c r="CT51" s="195">
        <f t="shared" si="52"/>
        <v>0</v>
      </c>
      <c r="CU51" s="44"/>
      <c r="CV51" s="345">
        <f t="shared" si="477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7"/>
        <v>0</v>
      </c>
      <c r="CZ51" s="280">
        <f>IFERROR(VLOOKUP(Brand&amp;Channel&amp;Country&amp;$C51,tblDiscount,6,FALSE),0)</f>
        <v>0.75</v>
      </c>
      <c r="DA51" s="281">
        <f>(1-CZ51)*DB51</f>
        <v>6.2824999999999998</v>
      </c>
      <c r="DB51" s="281">
        <f>IFERROR(VLOOKUP(Brand&amp;Country &amp; Channel &amp;FC,tblFCSettings,8,FALSE),0)</f>
        <v>25.13</v>
      </c>
      <c r="DC51" s="282">
        <f>IFERROR(VLOOKUP(Brand&amp;Country &amp; Channel &amp;FC,tblFCSettings,9,FALSE),0)</f>
        <v>4.22</v>
      </c>
    </row>
    <row r="52" spans="2:107" x14ac:dyDescent="0.25">
      <c r="B52" s="44">
        <v>2018</v>
      </c>
      <c r="C52" s="88">
        <v>33</v>
      </c>
      <c r="D52" s="51">
        <f t="shared" si="478"/>
        <v>0</v>
      </c>
      <c r="E52" s="203">
        <f t="shared" si="479"/>
        <v>0</v>
      </c>
      <c r="F52" s="183">
        <f t="shared" si="50"/>
        <v>0</v>
      </c>
      <c r="G52" s="177">
        <f t="shared" si="452"/>
        <v>0</v>
      </c>
      <c r="H52" s="204">
        <f t="shared" si="452"/>
        <v>0</v>
      </c>
      <c r="I52" s="204">
        <f t="shared" si="452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 t="shared" si="453"/>
        <v>0</v>
      </c>
      <c r="M52" s="90">
        <f t="shared" si="453"/>
        <v>0</v>
      </c>
      <c r="N52" s="46">
        <f t="shared" si="453"/>
        <v>0</v>
      </c>
      <c r="O52" s="46">
        <f t="shared" si="453"/>
        <v>0</v>
      </c>
      <c r="P52" s="47">
        <f t="shared" si="40"/>
        <v>0</v>
      </c>
      <c r="Q52" s="244">
        <f t="shared" si="480"/>
        <v>0</v>
      </c>
      <c r="R52" s="242">
        <f t="shared" si="454"/>
        <v>0</v>
      </c>
      <c r="S52" s="242">
        <f t="shared" si="454"/>
        <v>0</v>
      </c>
      <c r="T52" s="242">
        <f>IFERROR(VLOOKUP($B52-IF(CompareVer="LY",1,0) &amp; $C52 &amp;T$4,tblForecast,T$2,FALSE),0)</f>
        <v>0</v>
      </c>
      <c r="U52" s="91">
        <f t="shared" si="356"/>
        <v>0</v>
      </c>
      <c r="V52" s="251">
        <f t="shared" si="481"/>
        <v>0</v>
      </c>
      <c r="W52" s="336">
        <f t="shared" si="481"/>
        <v>0</v>
      </c>
      <c r="X52" s="252">
        <f>IFERROR(IF(T51&lt;&gt;0,T52/T51,0),0)</f>
        <v>0</v>
      </c>
      <c r="Y52" s="51">
        <f t="shared" si="455"/>
        <v>0</v>
      </c>
      <c r="Z52" s="46">
        <f t="shared" si="455"/>
        <v>0</v>
      </c>
      <c r="AA52" s="46">
        <f t="shared" si="455"/>
        <v>0</v>
      </c>
      <c r="AB52" s="46">
        <f t="shared" si="455"/>
        <v>0</v>
      </c>
      <c r="AC52" s="91">
        <f t="shared" si="360"/>
        <v>0</v>
      </c>
      <c r="AD52" s="75">
        <f>IF(AM52&lt;&gt;0,1-AR52/AM52,0)</f>
        <v>0.16036609629924381</v>
      </c>
      <c r="AE52" s="93">
        <f t="shared" si="456"/>
        <v>0</v>
      </c>
      <c r="AF52" s="93">
        <f t="shared" si="456"/>
        <v>0</v>
      </c>
      <c r="AG52" s="76">
        <f t="shared" si="456"/>
        <v>0</v>
      </c>
      <c r="AH52" s="73">
        <f t="shared" si="457"/>
        <v>25.13</v>
      </c>
      <c r="AI52" s="94">
        <f t="shared" si="458"/>
        <v>0</v>
      </c>
      <c r="AJ52" s="94">
        <f t="shared" si="458"/>
        <v>0</v>
      </c>
      <c r="AK52" s="49">
        <f>IFERROR(VLOOKUP($B52-IF(CompareVer="LY",1,0) &amp; $C52 &amp;AK$4,tblForecast,AK$2,FALSE),0)</f>
        <v>0</v>
      </c>
      <c r="AL52" s="47">
        <f t="shared" si="440"/>
        <v>0</v>
      </c>
      <c r="AM52" s="73">
        <f t="shared" si="459"/>
        <v>5.0259999999999989</v>
      </c>
      <c r="AN52" s="94">
        <f t="shared" si="460"/>
        <v>0</v>
      </c>
      <c r="AO52" s="94">
        <f t="shared" si="460"/>
        <v>0</v>
      </c>
      <c r="AP52" s="49">
        <f>IFERROR(VLOOKUP($B52-IF(CompareVer="LY",1,0) &amp; $C52 &amp;AP$4,tblForecast,AP$2,FALSE),0)</f>
        <v>0</v>
      </c>
      <c r="AQ52" s="47">
        <f t="shared" si="441"/>
        <v>0</v>
      </c>
      <c r="AR52" s="73">
        <f t="shared" si="461"/>
        <v>4.22</v>
      </c>
      <c r="AS52" s="94">
        <f t="shared" si="462"/>
        <v>0</v>
      </c>
      <c r="AT52" s="94">
        <f t="shared" si="462"/>
        <v>0</v>
      </c>
      <c r="AU52" s="49">
        <f>IFERROR(VLOOKUP($B52-IF(CompareVer="LY",1,0) &amp; $C52 &amp;AU$4,tblForecast,AU$2,FALSE),0)</f>
        <v>0</v>
      </c>
      <c r="AV52" s="47">
        <f t="shared" si="412"/>
        <v>0</v>
      </c>
      <c r="AW52" s="192">
        <f t="shared" si="463"/>
        <v>0.8</v>
      </c>
      <c r="AX52" s="193">
        <f t="shared" si="464"/>
        <v>0</v>
      </c>
      <c r="AY52" s="193">
        <f t="shared" si="465"/>
        <v>0</v>
      </c>
      <c r="AZ52" s="193">
        <f t="shared" si="466"/>
        <v>0</v>
      </c>
      <c r="BA52" s="237">
        <f t="shared" si="467"/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468"/>
        <v>0</v>
      </c>
      <c r="BE52" s="195">
        <f t="shared" si="19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 t="shared" si="373"/>
        <v>0</v>
      </c>
      <c r="BK52" s="50">
        <f t="shared" si="21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5"/>
        <v>0</v>
      </c>
      <c r="BS52" s="233">
        <f t="shared" si="22"/>
        <v>0</v>
      </c>
      <c r="BT52" s="236">
        <f t="shared" si="469"/>
        <v>0</v>
      </c>
      <c r="BU52" s="233">
        <f t="shared" si="469"/>
        <v>0</v>
      </c>
      <c r="BV52" s="233">
        <f>IF($A52="a",IFERROR(VLOOKUP($B52 &amp; $C52&amp;BV$4,tblForecast,BV$2,FALSE),0),BT52+BU52)</f>
        <v>0</v>
      </c>
      <c r="BW52" s="233">
        <f t="shared" si="470"/>
        <v>0</v>
      </c>
      <c r="BX52" s="233">
        <f t="shared" si="470"/>
        <v>0</v>
      </c>
      <c r="BY52" s="194">
        <f>IFERROR(VLOOKUP($B52-IF(CompareVer="LY",1,0) &amp; $C52 &amp;BY$4,tblForecast,BY$2,FALSE),0)</f>
        <v>0</v>
      </c>
      <c r="BZ52" s="195">
        <f t="shared" si="25"/>
        <v>0</v>
      </c>
      <c r="CA52" s="339">
        <f t="shared" si="471"/>
        <v>0</v>
      </c>
      <c r="CB52" s="46">
        <f t="shared" si="472"/>
        <v>0</v>
      </c>
      <c r="CC52" s="46">
        <f>IF($A52="a",IFERROR(VLOOKUP($B52 &amp; $C52&amp;CC$4,tblForecast,CC$2,FALSE),0),CA52+CB52)</f>
        <v>0</v>
      </c>
      <c r="CD52" s="46">
        <f t="shared" si="473"/>
        <v>0</v>
      </c>
      <c r="CE52" s="46">
        <f t="shared" si="473"/>
        <v>0</v>
      </c>
      <c r="CF52" s="46">
        <f>IFERROR(VLOOKUP($B52-IF(CompareVer="LY",1,0) &amp; $C52 &amp;CF$4,tblForecast,CF$2,FALSE),0)</f>
        <v>0</v>
      </c>
      <c r="CG52" s="195">
        <f t="shared" si="28"/>
        <v>0</v>
      </c>
      <c r="CH52" s="339">
        <f t="shared" si="474"/>
        <v>0</v>
      </c>
      <c r="CI52" s="46">
        <f t="shared" si="475"/>
        <v>0</v>
      </c>
      <c r="CJ52" s="46">
        <f>IF($A52="a",IFERROR(VLOOKUP($B52 &amp; $C52&amp;CJ$4,tblForecast,CJ$2,FALSE),0),CH52+CI52)</f>
        <v>0</v>
      </c>
      <c r="CK52" s="46">
        <f t="shared" si="476"/>
        <v>0</v>
      </c>
      <c r="CL52" s="46">
        <f t="shared" si="476"/>
        <v>0</v>
      </c>
      <c r="CM52" s="46">
        <f>IFERROR(VLOOKUP($B52-IF(CompareVer="LY",1,0) &amp; $C52 &amp;CM$4,tblForecast,CM$2,FALSE),0)</f>
        <v>0</v>
      </c>
      <c r="CN52" s="195">
        <f t="shared" si="31"/>
        <v>0</v>
      </c>
      <c r="CO52" s="179">
        <f t="shared" si="51"/>
        <v>0</v>
      </c>
      <c r="CP52" s="225">
        <f t="shared" si="33"/>
        <v>0</v>
      </c>
      <c r="CQ52" s="195">
        <f t="shared" si="34"/>
        <v>0</v>
      </c>
      <c r="CR52" s="179">
        <f t="shared" si="49"/>
        <v>0</v>
      </c>
      <c r="CS52" s="225">
        <f t="shared" si="35"/>
        <v>0</v>
      </c>
      <c r="CT52" s="195">
        <f t="shared" si="52"/>
        <v>0</v>
      </c>
      <c r="CU52" s="44"/>
      <c r="CV52" s="345">
        <f t="shared" si="477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7"/>
        <v>0</v>
      </c>
      <c r="CZ52" s="280">
        <f>IFERROR(VLOOKUP(Brand&amp;Channel&amp;Country&amp;$C52,tblDiscount,6,FALSE),0)</f>
        <v>0.8</v>
      </c>
      <c r="DA52" s="281">
        <f>(1-CZ52)*DB52</f>
        <v>5.0259999999999989</v>
      </c>
      <c r="DB52" s="281">
        <f>IFERROR(VLOOKUP(Brand&amp;Country &amp; Channel &amp;FC,tblFCSettings,8,FALSE),0)</f>
        <v>25.13</v>
      </c>
      <c r="DC52" s="282">
        <f>IFERROR(VLOOKUP(Brand&amp;Country &amp; Channel &amp;FC,tblFCSettings,9,FALSE),0)</f>
        <v>4.22</v>
      </c>
    </row>
    <row r="53" spans="2:107" x14ac:dyDescent="0.25">
      <c r="B53" s="44">
        <v>2018</v>
      </c>
      <c r="C53" s="88">
        <v>34</v>
      </c>
      <c r="D53" s="51">
        <f t="shared" si="478"/>
        <v>0</v>
      </c>
      <c r="E53" s="203">
        <f t="shared" si="479"/>
        <v>0</v>
      </c>
      <c r="F53" s="183">
        <f t="shared" si="50"/>
        <v>0</v>
      </c>
      <c r="G53" s="177">
        <f t="shared" si="452"/>
        <v>0</v>
      </c>
      <c r="H53" s="204">
        <f t="shared" si="452"/>
        <v>0</v>
      </c>
      <c r="I53" s="204">
        <f t="shared" si="452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 t="shared" si="453"/>
        <v>0</v>
      </c>
      <c r="M53" s="90">
        <f t="shared" si="453"/>
        <v>0</v>
      </c>
      <c r="N53" s="46">
        <f t="shared" si="453"/>
        <v>0</v>
      </c>
      <c r="O53" s="46">
        <f t="shared" si="453"/>
        <v>0</v>
      </c>
      <c r="P53" s="47">
        <f t="shared" si="40"/>
        <v>0</v>
      </c>
      <c r="Q53" s="244">
        <f t="shared" si="480"/>
        <v>0</v>
      </c>
      <c r="R53" s="242">
        <f t="shared" si="454"/>
        <v>0</v>
      </c>
      <c r="S53" s="242">
        <f t="shared" si="454"/>
        <v>0</v>
      </c>
      <c r="T53" s="242">
        <f>IFERROR(VLOOKUP($B53-IF(CompareVer="LY",1,0) &amp; $C53 &amp;T$4,tblForecast,T$2,FALSE),0)</f>
        <v>0</v>
      </c>
      <c r="U53" s="91">
        <f t="shared" si="356"/>
        <v>0</v>
      </c>
      <c r="V53" s="251">
        <f t="shared" si="481"/>
        <v>0</v>
      </c>
      <c r="W53" s="336">
        <f t="shared" si="481"/>
        <v>0</v>
      </c>
      <c r="X53" s="252">
        <f>IFERROR(IF(T52&lt;&gt;0,T53/T52,0),0)</f>
        <v>0</v>
      </c>
      <c r="Y53" s="51">
        <f t="shared" si="455"/>
        <v>0</v>
      </c>
      <c r="Z53" s="46">
        <f t="shared" si="455"/>
        <v>0</v>
      </c>
      <c r="AA53" s="46">
        <f t="shared" si="455"/>
        <v>0</v>
      </c>
      <c r="AB53" s="46">
        <f t="shared" si="455"/>
        <v>0</v>
      </c>
      <c r="AC53" s="91">
        <f t="shared" si="360"/>
        <v>0</v>
      </c>
      <c r="AD53" s="75">
        <f>IF(AM53&lt;&gt;0,1-AR53/AM53,0)</f>
        <v>0.16036609629924381</v>
      </c>
      <c r="AE53" s="93">
        <f t="shared" si="456"/>
        <v>0</v>
      </c>
      <c r="AF53" s="93">
        <f t="shared" si="456"/>
        <v>0</v>
      </c>
      <c r="AG53" s="76">
        <f t="shared" si="456"/>
        <v>0</v>
      </c>
      <c r="AH53" s="73">
        <f t="shared" si="457"/>
        <v>25.13</v>
      </c>
      <c r="AI53" s="94">
        <f t="shared" si="458"/>
        <v>0</v>
      </c>
      <c r="AJ53" s="94">
        <f t="shared" si="458"/>
        <v>0</v>
      </c>
      <c r="AK53" s="49">
        <f>IFERROR(VLOOKUP($B53-IF(CompareVer="LY",1,0) &amp; $C53 &amp;AK$4,tblForecast,AK$2,FALSE),0)</f>
        <v>0</v>
      </c>
      <c r="AL53" s="47">
        <f t="shared" si="440"/>
        <v>0</v>
      </c>
      <c r="AM53" s="73">
        <f t="shared" si="459"/>
        <v>5.0259999999999989</v>
      </c>
      <c r="AN53" s="94">
        <f t="shared" si="460"/>
        <v>0</v>
      </c>
      <c r="AO53" s="94">
        <f t="shared" si="460"/>
        <v>0</v>
      </c>
      <c r="AP53" s="49">
        <f>IFERROR(VLOOKUP($B53-IF(CompareVer="LY",1,0) &amp; $C53 &amp;AP$4,tblForecast,AP$2,FALSE),0)</f>
        <v>0</v>
      </c>
      <c r="AQ53" s="47">
        <f t="shared" si="441"/>
        <v>0</v>
      </c>
      <c r="AR53" s="73">
        <f t="shared" si="461"/>
        <v>4.22</v>
      </c>
      <c r="AS53" s="94">
        <f t="shared" si="462"/>
        <v>0</v>
      </c>
      <c r="AT53" s="94">
        <f t="shared" si="462"/>
        <v>0</v>
      </c>
      <c r="AU53" s="49">
        <f>IFERROR(VLOOKUP($B53-IF(CompareVer="LY",1,0) &amp; $C53 &amp;AU$4,tblForecast,AU$2,FALSE),0)</f>
        <v>0</v>
      </c>
      <c r="AV53" s="47">
        <f t="shared" si="412"/>
        <v>0</v>
      </c>
      <c r="AW53" s="192">
        <f t="shared" si="463"/>
        <v>0.8</v>
      </c>
      <c r="AX53" s="193">
        <f t="shared" si="464"/>
        <v>0</v>
      </c>
      <c r="AY53" s="193">
        <f t="shared" si="465"/>
        <v>0</v>
      </c>
      <c r="AZ53" s="193">
        <f t="shared" si="466"/>
        <v>0</v>
      </c>
      <c r="BA53" s="237">
        <f t="shared" si="467"/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468"/>
        <v>0</v>
      </c>
      <c r="BE53" s="195">
        <f t="shared" si="19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 t="shared" si="373"/>
        <v>0</v>
      </c>
      <c r="BK53" s="50">
        <f t="shared" si="21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5"/>
        <v>0</v>
      </c>
      <c r="BS53" s="233">
        <f t="shared" si="22"/>
        <v>0</v>
      </c>
      <c r="BT53" s="236">
        <f t="shared" si="469"/>
        <v>0</v>
      </c>
      <c r="BU53" s="233">
        <f t="shared" si="469"/>
        <v>0</v>
      </c>
      <c r="BV53" s="233">
        <f>IF($A53="a",IFERROR(VLOOKUP($B53 &amp; $C53&amp;BV$4,tblForecast,BV$2,FALSE),0),BT53+BU53)</f>
        <v>0</v>
      </c>
      <c r="BW53" s="233">
        <f t="shared" si="470"/>
        <v>0</v>
      </c>
      <c r="BX53" s="233">
        <f t="shared" si="470"/>
        <v>0</v>
      </c>
      <c r="BY53" s="194">
        <f>IFERROR(VLOOKUP($B53-IF(CompareVer="LY",1,0) &amp; $C53 &amp;BY$4,tblForecast,BY$2,FALSE),0)</f>
        <v>0</v>
      </c>
      <c r="BZ53" s="195">
        <f t="shared" si="25"/>
        <v>0</v>
      </c>
      <c r="CA53" s="339">
        <f t="shared" si="471"/>
        <v>0</v>
      </c>
      <c r="CB53" s="46">
        <f t="shared" si="472"/>
        <v>0</v>
      </c>
      <c r="CC53" s="46">
        <f>IF($A53="a",IFERROR(VLOOKUP($B53 &amp; $C53&amp;CC$4,tblForecast,CC$2,FALSE),0),CA53+CB53)</f>
        <v>0</v>
      </c>
      <c r="CD53" s="46">
        <f t="shared" si="473"/>
        <v>0</v>
      </c>
      <c r="CE53" s="46">
        <f t="shared" si="473"/>
        <v>0</v>
      </c>
      <c r="CF53" s="46">
        <f>IFERROR(VLOOKUP($B53-IF(CompareVer="LY",1,0) &amp; $C53 &amp;CF$4,tblForecast,CF$2,FALSE),0)</f>
        <v>0</v>
      </c>
      <c r="CG53" s="195">
        <f t="shared" si="28"/>
        <v>0</v>
      </c>
      <c r="CH53" s="339">
        <f t="shared" si="474"/>
        <v>0</v>
      </c>
      <c r="CI53" s="46">
        <f t="shared" si="475"/>
        <v>0</v>
      </c>
      <c r="CJ53" s="46">
        <f>IF($A53="a",IFERROR(VLOOKUP($B53 &amp; $C53&amp;CJ$4,tblForecast,CJ$2,FALSE),0),CH53+CI53)</f>
        <v>0</v>
      </c>
      <c r="CK53" s="46">
        <f t="shared" si="476"/>
        <v>0</v>
      </c>
      <c r="CL53" s="46">
        <f t="shared" si="476"/>
        <v>0</v>
      </c>
      <c r="CM53" s="46">
        <f>IFERROR(VLOOKUP($B53-IF(CompareVer="LY",1,0) &amp; $C53 &amp;CM$4,tblForecast,CM$2,FALSE),0)</f>
        <v>0</v>
      </c>
      <c r="CN53" s="195">
        <f t="shared" si="31"/>
        <v>0</v>
      </c>
      <c r="CO53" s="179">
        <f t="shared" si="51"/>
        <v>0</v>
      </c>
      <c r="CP53" s="225">
        <f t="shared" si="33"/>
        <v>0</v>
      </c>
      <c r="CQ53" s="195">
        <f t="shared" si="34"/>
        <v>0</v>
      </c>
      <c r="CR53" s="179">
        <f t="shared" si="49"/>
        <v>0</v>
      </c>
      <c r="CS53" s="225">
        <f t="shared" si="35"/>
        <v>0</v>
      </c>
      <c r="CT53" s="195">
        <f t="shared" si="52"/>
        <v>0</v>
      </c>
      <c r="CU53" s="44"/>
      <c r="CV53" s="345">
        <f t="shared" si="477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7"/>
        <v>0</v>
      </c>
      <c r="CZ53" s="280">
        <f>IFERROR(VLOOKUP(Brand&amp;Channel&amp;Country&amp;$C53,tblDiscount,6,FALSE),0)</f>
        <v>0.8</v>
      </c>
      <c r="DA53" s="281">
        <f>(1-CZ53)*DB53</f>
        <v>5.0259999999999989</v>
      </c>
      <c r="DB53" s="281">
        <f>IFERROR(VLOOKUP(Brand&amp;Country &amp; Channel &amp;FC,tblFCSettings,8,FALSE),0)</f>
        <v>25.13</v>
      </c>
      <c r="DC53" s="282">
        <f>IFERROR(VLOOKUP(Brand&amp;Country &amp; Channel &amp;FC,tblFCSettings,9,FALSE),0)</f>
        <v>4.22</v>
      </c>
    </row>
    <row r="54" spans="2:107" ht="16.5" thickBot="1" x14ac:dyDescent="0.3">
      <c r="B54" s="44">
        <v>2018</v>
      </c>
      <c r="C54" s="88">
        <v>35</v>
      </c>
      <c r="D54" s="51">
        <f t="shared" si="478"/>
        <v>0</v>
      </c>
      <c r="E54" s="203">
        <f t="shared" si="479"/>
        <v>0</v>
      </c>
      <c r="F54" s="183">
        <f t="shared" si="50"/>
        <v>0</v>
      </c>
      <c r="G54" s="177">
        <f t="shared" si="452"/>
        <v>0</v>
      </c>
      <c r="H54" s="204">
        <f t="shared" si="452"/>
        <v>0</v>
      </c>
      <c r="I54" s="204">
        <f t="shared" si="452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 t="shared" si="453"/>
        <v>0</v>
      </c>
      <c r="M54" s="90">
        <f t="shared" si="453"/>
        <v>0</v>
      </c>
      <c r="N54" s="46">
        <f t="shared" si="453"/>
        <v>0</v>
      </c>
      <c r="O54" s="46">
        <f t="shared" si="453"/>
        <v>0</v>
      </c>
      <c r="P54" s="47">
        <f t="shared" si="40"/>
        <v>0</v>
      </c>
      <c r="Q54" s="244">
        <f t="shared" si="480"/>
        <v>0</v>
      </c>
      <c r="R54" s="242">
        <f t="shared" si="454"/>
        <v>0</v>
      </c>
      <c r="S54" s="242">
        <f t="shared" si="454"/>
        <v>0</v>
      </c>
      <c r="T54" s="242">
        <f>IFERROR(VLOOKUP($B54-IF(CompareVer="LY",1,0) &amp; $C54 &amp;T$4,tblForecast,T$2,FALSE),0)</f>
        <v>0</v>
      </c>
      <c r="U54" s="91">
        <f t="shared" si="356"/>
        <v>0</v>
      </c>
      <c r="V54" s="251">
        <f t="shared" si="481"/>
        <v>0</v>
      </c>
      <c r="W54" s="336">
        <f t="shared" si="481"/>
        <v>0</v>
      </c>
      <c r="X54" s="252">
        <f>IFERROR(IF(T53&lt;&gt;0,T54/T53,0),0)</f>
        <v>0</v>
      </c>
      <c r="Y54" s="51">
        <f t="shared" si="455"/>
        <v>0</v>
      </c>
      <c r="Z54" s="46">
        <f t="shared" si="455"/>
        <v>0</v>
      </c>
      <c r="AA54" s="46">
        <f t="shared" si="455"/>
        <v>0</v>
      </c>
      <c r="AB54" s="46">
        <f t="shared" si="455"/>
        <v>0</v>
      </c>
      <c r="AC54" s="91">
        <f t="shared" si="360"/>
        <v>0</v>
      </c>
      <c r="AD54" s="75">
        <f>IF(AM54&lt;&gt;0,1-AR54/AM54,0)</f>
        <v>0.16036609629924381</v>
      </c>
      <c r="AE54" s="93">
        <f t="shared" si="456"/>
        <v>0</v>
      </c>
      <c r="AF54" s="93">
        <f t="shared" si="456"/>
        <v>0</v>
      </c>
      <c r="AG54" s="76">
        <f t="shared" si="456"/>
        <v>0</v>
      </c>
      <c r="AH54" s="73">
        <f t="shared" si="457"/>
        <v>25.13</v>
      </c>
      <c r="AI54" s="94">
        <f t="shared" si="458"/>
        <v>0</v>
      </c>
      <c r="AJ54" s="94">
        <f t="shared" si="458"/>
        <v>0</v>
      </c>
      <c r="AK54" s="49">
        <f>IFERROR(VLOOKUP($B54-IF(CompareVer="LY",1,0) &amp; $C54 &amp;AK$4,tblForecast,AK$2,FALSE),0)</f>
        <v>0</v>
      </c>
      <c r="AL54" s="47">
        <f t="shared" si="440"/>
        <v>0</v>
      </c>
      <c r="AM54" s="73">
        <f t="shared" si="459"/>
        <v>5.0259999999999989</v>
      </c>
      <c r="AN54" s="94">
        <f t="shared" si="460"/>
        <v>0</v>
      </c>
      <c r="AO54" s="94">
        <f t="shared" si="460"/>
        <v>0</v>
      </c>
      <c r="AP54" s="49">
        <f>IFERROR(VLOOKUP($B54-IF(CompareVer="LY",1,0) &amp; $C54 &amp;AP$4,tblForecast,AP$2,FALSE),0)</f>
        <v>0</v>
      </c>
      <c r="AQ54" s="47">
        <f t="shared" si="441"/>
        <v>0</v>
      </c>
      <c r="AR54" s="73">
        <f t="shared" si="461"/>
        <v>4.22</v>
      </c>
      <c r="AS54" s="94">
        <f t="shared" si="462"/>
        <v>0</v>
      </c>
      <c r="AT54" s="94">
        <f t="shared" si="462"/>
        <v>0</v>
      </c>
      <c r="AU54" s="49">
        <f>IFERROR(VLOOKUP($B54-IF(CompareVer="LY",1,0) &amp; $C54 &amp;AU$4,tblForecast,AU$2,FALSE),0)</f>
        <v>0</v>
      </c>
      <c r="AV54" s="47">
        <f t="shared" si="412"/>
        <v>0</v>
      </c>
      <c r="AW54" s="192">
        <f t="shared" si="463"/>
        <v>0.8</v>
      </c>
      <c r="AX54" s="193">
        <f t="shared" si="464"/>
        <v>0</v>
      </c>
      <c r="AY54" s="193">
        <f t="shared" si="465"/>
        <v>0</v>
      </c>
      <c r="AZ54" s="193">
        <f t="shared" si="466"/>
        <v>0</v>
      </c>
      <c r="BA54" s="237">
        <f t="shared" si="467"/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468"/>
        <v>0</v>
      </c>
      <c r="BE54" s="195">
        <f t="shared" si="19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 t="shared" si="373"/>
        <v>0</v>
      </c>
      <c r="BK54" s="50">
        <f t="shared" si="21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5"/>
        <v>0</v>
      </c>
      <c r="BS54" s="233">
        <f t="shared" si="22"/>
        <v>0</v>
      </c>
      <c r="BT54" s="236">
        <f t="shared" si="469"/>
        <v>0</v>
      </c>
      <c r="BU54" s="233">
        <f t="shared" si="469"/>
        <v>0</v>
      </c>
      <c r="BV54" s="233">
        <f>IF($A54="a",IFERROR(VLOOKUP($B54 &amp; $C54&amp;BV$4,tblForecast,BV$2,FALSE),0),BT54+BU54)</f>
        <v>0</v>
      </c>
      <c r="BW54" s="233">
        <f t="shared" si="470"/>
        <v>0</v>
      </c>
      <c r="BX54" s="233">
        <f t="shared" si="470"/>
        <v>0</v>
      </c>
      <c r="BY54" s="194">
        <f>IFERROR(VLOOKUP($B54-IF(CompareVer="LY",1,0) &amp; $C54 &amp;BY$4,tblForecast,BY$2,FALSE),0)</f>
        <v>0</v>
      </c>
      <c r="BZ54" s="195">
        <f t="shared" si="25"/>
        <v>0</v>
      </c>
      <c r="CA54" s="339">
        <f t="shared" si="471"/>
        <v>0</v>
      </c>
      <c r="CB54" s="46">
        <f t="shared" si="472"/>
        <v>0</v>
      </c>
      <c r="CC54" s="46">
        <f>IF($A54="a",IFERROR(VLOOKUP($B54 &amp; $C54&amp;CC$4,tblForecast,CC$2,FALSE),0),CA54+CB54)</f>
        <v>0</v>
      </c>
      <c r="CD54" s="46">
        <f t="shared" si="473"/>
        <v>0</v>
      </c>
      <c r="CE54" s="46">
        <f t="shared" si="473"/>
        <v>0</v>
      </c>
      <c r="CF54" s="46">
        <f>IFERROR(VLOOKUP($B54-IF(CompareVer="LY",1,0) &amp; $C54 &amp;CF$4,tblForecast,CF$2,FALSE),0)</f>
        <v>0</v>
      </c>
      <c r="CG54" s="195">
        <f t="shared" si="28"/>
        <v>0</v>
      </c>
      <c r="CH54" s="339">
        <f t="shared" si="474"/>
        <v>0</v>
      </c>
      <c r="CI54" s="46">
        <f t="shared" si="475"/>
        <v>0</v>
      </c>
      <c r="CJ54" s="46">
        <f>IF($A54="a",IFERROR(VLOOKUP($B54 &amp; $C54&amp;CJ$4,tblForecast,CJ$2,FALSE),0),CH54+CI54)</f>
        <v>0</v>
      </c>
      <c r="CK54" s="46">
        <f t="shared" si="476"/>
        <v>0</v>
      </c>
      <c r="CL54" s="46">
        <f t="shared" si="476"/>
        <v>0</v>
      </c>
      <c r="CM54" s="46">
        <f>IFERROR(VLOOKUP($B54-IF(CompareVer="LY",1,0) &amp; $C54 &amp;CM$4,tblForecast,CM$2,FALSE),0)</f>
        <v>0</v>
      </c>
      <c r="CN54" s="195">
        <f t="shared" si="31"/>
        <v>0</v>
      </c>
      <c r="CO54" s="179">
        <f t="shared" si="51"/>
        <v>0</v>
      </c>
      <c r="CP54" s="225">
        <f t="shared" si="33"/>
        <v>0</v>
      </c>
      <c r="CQ54" s="195">
        <f t="shared" si="34"/>
        <v>0</v>
      </c>
      <c r="CR54" s="179">
        <f t="shared" si="49"/>
        <v>0</v>
      </c>
      <c r="CS54" s="225">
        <f t="shared" si="35"/>
        <v>0</v>
      </c>
      <c r="CT54" s="195">
        <f t="shared" si="52"/>
        <v>0</v>
      </c>
      <c r="CU54" s="44"/>
      <c r="CV54" s="345">
        <f t="shared" si="477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7"/>
        <v>0</v>
      </c>
      <c r="CZ54" s="280">
        <f>IFERROR(VLOOKUP(Brand&amp;Channel&amp;Country&amp;$C54,tblDiscount,6,FALSE),0)</f>
        <v>0.8</v>
      </c>
      <c r="DA54" s="281">
        <f>(1-CZ54)*DB54</f>
        <v>5.0259999999999989</v>
      </c>
      <c r="DB54" s="281">
        <f>IFERROR(VLOOKUP(Brand&amp;Country &amp; Channel &amp;FC,tblFCSettings,8,FALSE),0)</f>
        <v>25.13</v>
      </c>
      <c r="DC54" s="282">
        <f>IFERROR(VLOOKUP(Brand&amp;Country &amp; Channel &amp;FC,tblFCSettings,9,FALSE),0)</f>
        <v>4.22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50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482">SUM(M50:M54)</f>
        <v>0</v>
      </c>
      <c r="N55" s="261">
        <f t="shared" si="482"/>
        <v>0</v>
      </c>
      <c r="O55" s="261">
        <f t="shared" si="482"/>
        <v>0</v>
      </c>
      <c r="P55" s="262">
        <f t="shared" si="40"/>
        <v>0</v>
      </c>
      <c r="Q55" s="263">
        <f>SUM(Q50:Q54)</f>
        <v>0</v>
      </c>
      <c r="R55" s="264">
        <f t="shared" ref="R55" si="483">SUM(R50:R54)</f>
        <v>0</v>
      </c>
      <c r="S55" s="264">
        <f t="shared" ref="S55" si="484">SUM(S50:S54)</f>
        <v>0</v>
      </c>
      <c r="T55" s="264">
        <f>SUM(T50:T54)</f>
        <v>0</v>
      </c>
      <c r="U55" s="262">
        <f t="shared" si="356"/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485">SUM(Z50:Z54)</f>
        <v>0</v>
      </c>
      <c r="AA55" s="261">
        <f t="shared" si="485"/>
        <v>0</v>
      </c>
      <c r="AB55" s="261">
        <f t="shared" si="485"/>
        <v>0</v>
      </c>
      <c r="AC55" s="262">
        <f t="shared" si="360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" si="486">IFERROR(SUMPRODUCT(AJ51:AJ54,S51:S54)/S55,0)</f>
        <v>0</v>
      </c>
      <c r="AK55" s="270">
        <f t="shared" ref="AK55" si="487">IFERROR(SUMPRODUCT(AK51:AK54,T51:T54)/T55,0)</f>
        <v>0</v>
      </c>
      <c r="AL55" s="262">
        <f t="shared" ref="AL55:AL59" si="488">IFERROR(AH55/AK55-1,)</f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441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412"/>
        <v>0</v>
      </c>
      <c r="AW55" s="271">
        <f>IFERROR(SUMPRODUCT(AW50:AW54,V50:V54)/V55,0)</f>
        <v>0</v>
      </c>
      <c r="AX55" s="272">
        <f t="shared" ref="AX55:AZ55" si="489">IFERROR(SUMPRODUCT(AX50:AX54,X50:X54)/X55,0)</f>
        <v>0</v>
      </c>
      <c r="AY55" s="272">
        <f t="shared" si="489"/>
        <v>0</v>
      </c>
      <c r="AZ55" s="272">
        <f t="shared" si="489"/>
        <v>0</v>
      </c>
      <c r="BA55" s="263">
        <f>BA54</f>
        <v>0</v>
      </c>
      <c r="BB55" s="264">
        <f t="shared" ref="BB55" si="490">BB54</f>
        <v>0</v>
      </c>
      <c r="BC55" s="264">
        <f t="shared" ref="BC55" si="491">BC54</f>
        <v>0</v>
      </c>
      <c r="BD55" s="264">
        <f t="shared" ref="BD55" si="492">BD54</f>
        <v>0</v>
      </c>
      <c r="BE55" s="262">
        <f t="shared" ref="BE55" si="493">IFERROR(BA55/BD55-1,)</f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 t="shared" si="373"/>
        <v>0</v>
      </c>
      <c r="BK55" s="276">
        <f t="shared" si="21"/>
        <v>0</v>
      </c>
      <c r="BL55" s="263">
        <f t="shared" ref="BL55" si="494">SUM(BL50:BL54)</f>
        <v>0</v>
      </c>
      <c r="BM55" s="264">
        <f>SUM(BM50:BM54)</f>
        <v>0</v>
      </c>
      <c r="BN55" s="263">
        <f t="shared" ref="BN55" si="495">SUM(BN50:BN54)</f>
        <v>0</v>
      </c>
      <c r="BO55" s="264">
        <f t="shared" ref="BO55:BQ55" si="496">SUM(BO50:BO54)</f>
        <v>0</v>
      </c>
      <c r="BP55" s="263">
        <f t="shared" si="496"/>
        <v>0</v>
      </c>
      <c r="BQ55" s="264">
        <f t="shared" si="496"/>
        <v>0</v>
      </c>
      <c r="BR55" s="263">
        <f t="shared" si="45"/>
        <v>0</v>
      </c>
      <c r="BS55" s="264">
        <f t="shared" si="22"/>
        <v>0</v>
      </c>
      <c r="BT55" s="263">
        <f t="shared" ref="BT55:BY55" si="497">SUM(BT50:BT54)</f>
        <v>0</v>
      </c>
      <c r="BU55" s="264">
        <f t="shared" si="497"/>
        <v>0</v>
      </c>
      <c r="BV55" s="264">
        <f t="shared" si="497"/>
        <v>0</v>
      </c>
      <c r="BW55" s="264">
        <f t="shared" ref="BW55" si="498">SUM(BW50:BW54)</f>
        <v>0</v>
      </c>
      <c r="BX55" s="264">
        <f t="shared" ref="BX55" si="499">SUM(BX50:BX54)</f>
        <v>0</v>
      </c>
      <c r="BY55" s="277">
        <f t="shared" si="497"/>
        <v>0</v>
      </c>
      <c r="BZ55" s="262">
        <f t="shared" si="25"/>
        <v>0</v>
      </c>
      <c r="CA55" s="340">
        <f t="shared" ref="CA55" si="500">SUM(CA50:CA54)</f>
        <v>0</v>
      </c>
      <c r="CB55" s="261">
        <f t="shared" ref="CB55:CC55" si="501">SUM(CB50:CB54)</f>
        <v>0</v>
      </c>
      <c r="CC55" s="261">
        <f t="shared" si="501"/>
        <v>0</v>
      </c>
      <c r="CD55" s="261">
        <f t="shared" ref="CD55:CE55" si="502">SUM(CD50:CD54)</f>
        <v>0</v>
      </c>
      <c r="CE55" s="261">
        <f t="shared" si="502"/>
        <v>0</v>
      </c>
      <c r="CF55" s="261">
        <f t="shared" ref="CF55" si="503">SUM(CF50:CF54)</f>
        <v>0</v>
      </c>
      <c r="CG55" s="262">
        <f t="shared" si="28"/>
        <v>0</v>
      </c>
      <c r="CH55" s="340">
        <f t="shared" ref="CH55" si="504">SUM(CH50:CH54)</f>
        <v>0</v>
      </c>
      <c r="CI55" s="261">
        <f t="shared" ref="CI55:CJ55" si="505">SUM(CI50:CI54)</f>
        <v>0</v>
      </c>
      <c r="CJ55" s="261">
        <f t="shared" si="505"/>
        <v>0</v>
      </c>
      <c r="CK55" s="261">
        <f t="shared" ref="CK55:CL55" si="506">SUM(CK50:CK54)</f>
        <v>0</v>
      </c>
      <c r="CL55" s="261">
        <f t="shared" si="506"/>
        <v>0</v>
      </c>
      <c r="CM55" s="261">
        <f t="shared" ref="CM55" si="507">SUM(CM50:CM54)</f>
        <v>0</v>
      </c>
      <c r="CN55" s="262">
        <f t="shared" si="31"/>
        <v>0</v>
      </c>
      <c r="CO55" s="278">
        <f t="shared" si="51"/>
        <v>0</v>
      </c>
      <c r="CP55" s="279">
        <f t="shared" si="33"/>
        <v>0</v>
      </c>
      <c r="CQ55" s="262">
        <f t="shared" si="34"/>
        <v>0</v>
      </c>
      <c r="CR55" s="278">
        <f t="shared" si="49"/>
        <v>0</v>
      </c>
      <c r="CS55" s="279">
        <f t="shared" si="35"/>
        <v>0</v>
      </c>
      <c r="CT55" s="262">
        <f t="shared" si="52"/>
        <v>0</v>
      </c>
      <c r="CU55" s="44"/>
      <c r="CV55" s="346"/>
      <c r="CW55" s="100">
        <f>CW54</f>
        <v>0</v>
      </c>
      <c r="CX55" s="101">
        <f>CX54</f>
        <v>0</v>
      </c>
      <c r="CY55" s="99">
        <f t="shared" si="37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50"/>
        <v>0</v>
      </c>
      <c r="G56" s="177">
        <f t="shared" ref="G56:I59" si="508">IFERROR(VLOOKUP($B56 &amp; $C56&amp;G$4&amp;$A56,tblForecast,G$2,FALSE),0)</f>
        <v>0</v>
      </c>
      <c r="H56" s="204">
        <f t="shared" si="508"/>
        <v>0</v>
      </c>
      <c r="I56" s="204">
        <f t="shared" si="508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 t="shared" ref="L56:O59" si="509">Q56*AM56</f>
        <v>0</v>
      </c>
      <c r="M56" s="90">
        <f t="shared" si="509"/>
        <v>0</v>
      </c>
      <c r="N56" s="46">
        <f t="shared" si="509"/>
        <v>0</v>
      </c>
      <c r="O56" s="46">
        <f t="shared" si="509"/>
        <v>0</v>
      </c>
      <c r="P56" s="47">
        <f t="shared" si="40"/>
        <v>0</v>
      </c>
      <c r="Q56" s="244">
        <f>IF(A54="a",IF(CV56=0,R56,IF(BA54-(Q54*IF(W56=0,X56,W56))&lt;0,BA54,Q54*IF(W56=0,X56,W56))),IF(BA54-(Q54*IF(W56=0,X56,W56))&lt;0,BA54,Q54*IF(W56=0,X56,W56)))</f>
        <v>0</v>
      </c>
      <c r="R56" s="242">
        <f t="shared" ref="R56:S59" si="510">IFERROR(VLOOKUP($B56 &amp; $C56&amp;R$4,tblForecast,R$2,FALSE),0)</f>
        <v>0</v>
      </c>
      <c r="S56" s="242">
        <f t="shared" si="510"/>
        <v>0</v>
      </c>
      <c r="T56" s="242">
        <f>IFERROR(VLOOKUP($B56-IF(CompareVer="LY",1,0) &amp; $C56 &amp;T$4,tblForecast,T$2,FALSE),0)</f>
        <v>0</v>
      </c>
      <c r="U56" s="91">
        <f t="shared" si="356"/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 t="shared" ref="Y56:AB59" si="511">IFERROR(L56*AD56,0)</f>
        <v>0</v>
      </c>
      <c r="Z56" s="46">
        <f t="shared" si="511"/>
        <v>0</v>
      </c>
      <c r="AA56" s="46">
        <f t="shared" si="511"/>
        <v>0</v>
      </c>
      <c r="AB56" s="46">
        <f t="shared" si="511"/>
        <v>0</v>
      </c>
      <c r="AC56" s="91">
        <f t="shared" si="360"/>
        <v>0</v>
      </c>
      <c r="AD56" s="75">
        <f>IF(AM56&lt;&gt;0,1-AR56/AM56,0)</f>
        <v>0.16036609629924381</v>
      </c>
      <c r="AE56" s="93">
        <f t="shared" ref="AE56:AG59" si="512">IF(AN56&lt;&gt;0,1-AS56/AN56,0)</f>
        <v>0</v>
      </c>
      <c r="AF56" s="93">
        <f t="shared" si="512"/>
        <v>0</v>
      </c>
      <c r="AG56" s="76">
        <f t="shared" si="512"/>
        <v>0</v>
      </c>
      <c r="AH56" s="73">
        <f t="shared" ref="AH56:AH59" si="513">DB56</f>
        <v>25.13</v>
      </c>
      <c r="AI56" s="94">
        <f t="shared" ref="AI56:AJ59" si="514">IFERROR(VLOOKUP($B56 &amp; $C56&amp;AI$4,tblForecast,AI$2,FALSE),0)</f>
        <v>0</v>
      </c>
      <c r="AJ56" s="94">
        <f t="shared" si="514"/>
        <v>0</v>
      </c>
      <c r="AK56" s="49">
        <f>IFERROR(VLOOKUP($B56-IF(CompareVer="LY",1,0) &amp; $C56 &amp;AK$4,tblForecast,AK$2,FALSE),0)</f>
        <v>0</v>
      </c>
      <c r="AL56" s="47">
        <f t="shared" si="488"/>
        <v>0</v>
      </c>
      <c r="AM56" s="73">
        <f t="shared" ref="AM56:AM59" si="515">DA56</f>
        <v>5.0259999999999989</v>
      </c>
      <c r="AN56" s="94">
        <f t="shared" ref="AN56:AO59" si="516">IFERROR(VLOOKUP($B56 &amp; $C56&amp;AN$4,tblForecast,AN$2,FALSE),0)</f>
        <v>0</v>
      </c>
      <c r="AO56" s="94">
        <f t="shared" si="516"/>
        <v>0</v>
      </c>
      <c r="AP56" s="49">
        <f>IFERROR(VLOOKUP($B56-IF(CompareVer="LY",1,0) &amp; $C56 &amp;AP$4,tblForecast,AP$2,FALSE),0)</f>
        <v>0</v>
      </c>
      <c r="AQ56" s="47">
        <f t="shared" si="441"/>
        <v>0</v>
      </c>
      <c r="AR56" s="73">
        <f t="shared" ref="AR56:AR59" si="517">DC56</f>
        <v>4.22</v>
      </c>
      <c r="AS56" s="94">
        <f t="shared" ref="AS56:AT59" si="518">IFERROR(VLOOKUP($B56 &amp; $C56&amp;AS$4,tblForecast,AS$2,FALSE),0)</f>
        <v>0</v>
      </c>
      <c r="AT56" s="94">
        <f t="shared" si="518"/>
        <v>0</v>
      </c>
      <c r="AU56" s="49">
        <f>IFERROR(VLOOKUP($B56-IF(CompareVer="LY",1,0) &amp; $C56 &amp;AU$4,tblForecast,AU$2,FALSE),0)</f>
        <v>0</v>
      </c>
      <c r="AV56" s="47">
        <f t="shared" si="412"/>
        <v>0</v>
      </c>
      <c r="AW56" s="192">
        <f t="shared" ref="AW56:AW59" si="519">IFERROR((AM56/AH56-1)*-1,0)</f>
        <v>0.8</v>
      </c>
      <c r="AX56" s="193">
        <f t="shared" ref="AX56:AX59" si="520">IFERROR((AN56/AI56-1)*-1,0)</f>
        <v>0</v>
      </c>
      <c r="AY56" s="193">
        <f t="shared" ref="AY56:AY59" si="521">IFERROR((AO56/AJ56-1)*-1,0)</f>
        <v>0</v>
      </c>
      <c r="AZ56" s="193">
        <f t="shared" ref="AZ56:AZ59" si="522">IFERROR((AP56/AK56-1)*-1,0)</f>
        <v>0</v>
      </c>
      <c r="BA56" s="237">
        <f t="shared" ref="BA56:BA59" si="523">IF(BA55+BV56+BL56+BR56-Q56&lt;0,0,BA55+BF55+BV56+BL56+BR56-Q56)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524">CX56+BG56</f>
        <v>0</v>
      </c>
      <c r="BE56" s="195">
        <f t="shared" si="19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 t="shared" si="373"/>
        <v>0</v>
      </c>
      <c r="BK56" s="50">
        <f t="shared" si="21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5"/>
        <v>0</v>
      </c>
      <c r="BS56" s="233">
        <f t="shared" si="22"/>
        <v>0</v>
      </c>
      <c r="BT56" s="236">
        <f t="shared" ref="BT56:BU59" si="525">IFERROR(VLOOKUP($B56 &amp; $C56&amp;BT$4,tblForecast,BT$2,FALSE),0)</f>
        <v>0</v>
      </c>
      <c r="BU56" s="233">
        <f t="shared" si="525"/>
        <v>0</v>
      </c>
      <c r="BV56" s="233">
        <f>IF($A56="a",IFERROR(VLOOKUP($B56 &amp; $C56&amp;BV$4,tblForecast,BV$2,FALSE),0),BT56+BU56)</f>
        <v>0</v>
      </c>
      <c r="BW56" s="233">
        <f t="shared" ref="BW56:BX59" si="526">IFERROR(VLOOKUP($B56 &amp; $C56&amp;BW$4,tblForecast,BW$2,FALSE),0)</f>
        <v>0</v>
      </c>
      <c r="BX56" s="233">
        <f t="shared" si="526"/>
        <v>0</v>
      </c>
      <c r="BY56" s="194">
        <f>IFERROR(VLOOKUP($B56-IF(CompareVer="LY",1,0) &amp; $C56 &amp;BY$4,tblForecast,BY$2,FALSE),0)</f>
        <v>0</v>
      </c>
      <c r="BZ56" s="195">
        <f t="shared" si="25"/>
        <v>0</v>
      </c>
      <c r="CA56" s="339">
        <f t="shared" ref="CA56:CA59" si="527">IFERROR(VLOOKUP($B56 &amp; $C56&amp;CA$4,tblForecast,CA$2,FALSE),0)</f>
        <v>0</v>
      </c>
      <c r="CB56" s="46">
        <f t="shared" ref="CB56:CB59" si="528">IFERROR(VLOOKUP($B56 &amp; $C56&amp;CB$4,tblForecast,CB$2,FALSE),0)</f>
        <v>0</v>
      </c>
      <c r="CC56" s="46">
        <f>IF($A56="a",IFERROR(VLOOKUP($B56 &amp; $C56&amp;CC$4,tblForecast,CC$2,FALSE),0),CA56+CB56)</f>
        <v>0</v>
      </c>
      <c r="CD56" s="46">
        <f t="shared" ref="CD56:CE59" si="529">IFERROR(VLOOKUP($B56 &amp; $C56&amp;CD$4,tblForecast,CD$2,FALSE),0)</f>
        <v>0</v>
      </c>
      <c r="CE56" s="46">
        <f t="shared" si="529"/>
        <v>0</v>
      </c>
      <c r="CF56" s="46">
        <f>IFERROR(VLOOKUP($B56-IF(CompareVer="LY",1,0) &amp; $C56 &amp;CF$4,tblForecast,CF$2,FALSE),0)</f>
        <v>0</v>
      </c>
      <c r="CG56" s="195">
        <f t="shared" si="28"/>
        <v>0</v>
      </c>
      <c r="CH56" s="339">
        <f t="shared" ref="CH56:CH59" si="530">IFERROR(VLOOKUP($B56 &amp; $C56&amp;CH$4,tblForecast,CH$2,FALSE),0)</f>
        <v>0</v>
      </c>
      <c r="CI56" s="46">
        <f t="shared" ref="CI56:CI59" si="531">IFERROR(VLOOKUP($B56 &amp; $C56&amp;CI$4,tblForecast,CI$2,FALSE),0)</f>
        <v>0</v>
      </c>
      <c r="CJ56" s="46">
        <f>IF($A56="a",IFERROR(VLOOKUP($B56 &amp; $C56&amp;CJ$4,tblForecast,CJ$2,FALSE),0),CH56+CI56)</f>
        <v>0</v>
      </c>
      <c r="CK56" s="46">
        <f t="shared" ref="CK56:CL59" si="532">IFERROR(VLOOKUP($B56 &amp; $C56&amp;CK$4,tblForecast,CK$2,FALSE),0)</f>
        <v>0</v>
      </c>
      <c r="CL56" s="46">
        <f t="shared" si="532"/>
        <v>0</v>
      </c>
      <c r="CM56" s="46">
        <f>IFERROR(VLOOKUP($B56-IF(CompareVer="LY",1,0) &amp; $C56 &amp;CM$4,tblForecast,CM$2,FALSE),0)</f>
        <v>0</v>
      </c>
      <c r="CN56" s="195">
        <f t="shared" si="31"/>
        <v>0</v>
      </c>
      <c r="CO56" s="179">
        <f t="shared" si="51"/>
        <v>0</v>
      </c>
      <c r="CP56" s="225">
        <f t="shared" si="33"/>
        <v>0</v>
      </c>
      <c r="CQ56" s="195">
        <f t="shared" si="34"/>
        <v>0</v>
      </c>
      <c r="CR56" s="179">
        <f t="shared" si="49"/>
        <v>0</v>
      </c>
      <c r="CS56" s="225">
        <f t="shared" si="35"/>
        <v>0</v>
      </c>
      <c r="CT56" s="195">
        <f t="shared" si="52"/>
        <v>0</v>
      </c>
      <c r="CU56" s="44"/>
      <c r="CV56" s="345">
        <f t="shared" ref="CV56:CV59" si="533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7"/>
        <v>0</v>
      </c>
      <c r="CZ56" s="280">
        <f>IFERROR(VLOOKUP(Brand&amp;Channel&amp;Country&amp;$C56,tblDiscount,6,FALSE),0)</f>
        <v>0.8</v>
      </c>
      <c r="DA56" s="281">
        <f>(1-CZ56)*DB56</f>
        <v>5.0259999999999989</v>
      </c>
      <c r="DB56" s="281">
        <f>IFERROR(VLOOKUP(Brand&amp;Country &amp; Channel &amp;FC,tblFCSettings,8,FALSE),0)</f>
        <v>25.13</v>
      </c>
      <c r="DC56" s="282">
        <f>IFERROR(VLOOKUP(Brand&amp;Country &amp; Channel &amp;FC,tblFCSettings,9,FALSE),0)</f>
        <v>4.22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3">
        <f t="shared" ref="E57:E59" si="535">IFERROR(D57*F57,0)</f>
        <v>0</v>
      </c>
      <c r="F57" s="183">
        <f t="shared" si="50"/>
        <v>0</v>
      </c>
      <c r="G57" s="177">
        <f t="shared" si="508"/>
        <v>0</v>
      </c>
      <c r="H57" s="204">
        <f t="shared" si="508"/>
        <v>0</v>
      </c>
      <c r="I57" s="204">
        <f t="shared" si="508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 t="shared" si="509"/>
        <v>0</v>
      </c>
      <c r="M57" s="90">
        <f t="shared" si="509"/>
        <v>0</v>
      </c>
      <c r="N57" s="46">
        <f t="shared" si="509"/>
        <v>0</v>
      </c>
      <c r="O57" s="46">
        <f t="shared" si="509"/>
        <v>0</v>
      </c>
      <c r="P57" s="47">
        <f t="shared" si="40"/>
        <v>0</v>
      </c>
      <c r="Q57" s="344">
        <f t="shared" ref="Q57:Q59" si="536">IF(A56="a",IF(CV57=0,R57,IF(BA56-(Q56*IF(W57=0,X57,W57))&lt;0,BA56,Q56*IF(W57=0,X57,W57))),IF(BA56-(Q56*IF(W57=0,X57,W57))&lt;0,BA56,Q56*IF(W57=0,X57,W57)))</f>
        <v>0</v>
      </c>
      <c r="R57" s="242">
        <f t="shared" si="510"/>
        <v>0</v>
      </c>
      <c r="S57" s="242">
        <f t="shared" si="510"/>
        <v>0</v>
      </c>
      <c r="T57" s="242">
        <f>IFERROR(VLOOKUP($B57-IF(CompareVer="LY",1,0) &amp; $C57 &amp;T$4,tblForecast,T$2,FALSE),0)</f>
        <v>0</v>
      </c>
      <c r="U57" s="91">
        <f t="shared" si="356"/>
        <v>0</v>
      </c>
      <c r="V57" s="251">
        <f t="shared" ref="V57:W59" si="537">IFERROR(IF(Q56&lt;&gt;0,Q57/Q56,0),0)</f>
        <v>0</v>
      </c>
      <c r="W57" s="336">
        <f t="shared" si="537"/>
        <v>0</v>
      </c>
      <c r="X57" s="252">
        <f>IFERROR(IF(T56&lt;&gt;0,T57/T56,0),0)</f>
        <v>0</v>
      </c>
      <c r="Y57" s="51">
        <f t="shared" si="511"/>
        <v>0</v>
      </c>
      <c r="Z57" s="46">
        <f t="shared" si="511"/>
        <v>0</v>
      </c>
      <c r="AA57" s="46">
        <f t="shared" si="511"/>
        <v>0</v>
      </c>
      <c r="AB57" s="46">
        <f t="shared" si="511"/>
        <v>0</v>
      </c>
      <c r="AC57" s="91">
        <f t="shared" si="360"/>
        <v>0</v>
      </c>
      <c r="AD57" s="75">
        <f>IF(AM57&lt;&gt;0,1-AR57/AM57,0)</f>
        <v>0.16036609629924381</v>
      </c>
      <c r="AE57" s="93">
        <f t="shared" si="512"/>
        <v>0</v>
      </c>
      <c r="AF57" s="93">
        <f t="shared" si="512"/>
        <v>0</v>
      </c>
      <c r="AG57" s="76">
        <f t="shared" si="512"/>
        <v>0</v>
      </c>
      <c r="AH57" s="73">
        <f t="shared" si="513"/>
        <v>25.13</v>
      </c>
      <c r="AI57" s="94">
        <f t="shared" si="514"/>
        <v>0</v>
      </c>
      <c r="AJ57" s="94">
        <f t="shared" si="514"/>
        <v>0</v>
      </c>
      <c r="AK57" s="49">
        <f>IFERROR(VLOOKUP($B57-IF(CompareVer="LY",1,0) &amp; $C57 &amp;AK$4,tblForecast,AK$2,FALSE),0)</f>
        <v>0</v>
      </c>
      <c r="AL57" s="47">
        <f t="shared" si="488"/>
        <v>0</v>
      </c>
      <c r="AM57" s="73">
        <f t="shared" si="515"/>
        <v>5.0259999999999989</v>
      </c>
      <c r="AN57" s="94">
        <f t="shared" si="516"/>
        <v>0</v>
      </c>
      <c r="AO57" s="94">
        <f t="shared" si="516"/>
        <v>0</v>
      </c>
      <c r="AP57" s="49">
        <f>IFERROR(VLOOKUP($B57-IF(CompareVer="LY",1,0) &amp; $C57 &amp;AP$4,tblForecast,AP$2,FALSE),0)</f>
        <v>0</v>
      </c>
      <c r="AQ57" s="47">
        <f t="shared" si="441"/>
        <v>0</v>
      </c>
      <c r="AR57" s="73">
        <f t="shared" si="517"/>
        <v>4.22</v>
      </c>
      <c r="AS57" s="94">
        <f t="shared" si="518"/>
        <v>0</v>
      </c>
      <c r="AT57" s="94">
        <f t="shared" si="518"/>
        <v>0</v>
      </c>
      <c r="AU57" s="49">
        <f>IFERROR(VLOOKUP($B57-IF(CompareVer="LY",1,0) &amp; $C57 &amp;AU$4,tblForecast,AU$2,FALSE),0)</f>
        <v>0</v>
      </c>
      <c r="AV57" s="47">
        <f t="shared" si="412"/>
        <v>0</v>
      </c>
      <c r="AW57" s="192">
        <f t="shared" si="519"/>
        <v>0.8</v>
      </c>
      <c r="AX57" s="193">
        <f t="shared" si="520"/>
        <v>0</v>
      </c>
      <c r="AY57" s="193">
        <f t="shared" si="521"/>
        <v>0</v>
      </c>
      <c r="AZ57" s="193">
        <f t="shared" si="522"/>
        <v>0</v>
      </c>
      <c r="BA57" s="237">
        <f t="shared" si="523"/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524"/>
        <v>0</v>
      </c>
      <c r="BE57" s="195">
        <f t="shared" si="19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 t="shared" si="373"/>
        <v>0</v>
      </c>
      <c r="BK57" s="50">
        <f t="shared" si="21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5"/>
        <v>0</v>
      </c>
      <c r="BS57" s="233">
        <f t="shared" si="22"/>
        <v>0</v>
      </c>
      <c r="BT57" s="236">
        <f t="shared" si="525"/>
        <v>0</v>
      </c>
      <c r="BU57" s="233">
        <f t="shared" si="525"/>
        <v>0</v>
      </c>
      <c r="BV57" s="233">
        <f>IF($A57="a",IFERROR(VLOOKUP($B57 &amp; $C57&amp;BV$4,tblForecast,BV$2,FALSE),0),BT57+BU57)</f>
        <v>0</v>
      </c>
      <c r="BW57" s="233">
        <f t="shared" si="526"/>
        <v>0</v>
      </c>
      <c r="BX57" s="233">
        <f t="shared" si="526"/>
        <v>0</v>
      </c>
      <c r="BY57" s="194">
        <f>IFERROR(VLOOKUP($B57-IF(CompareVer="LY",1,0) &amp; $C57 &amp;BY$4,tblForecast,BY$2,FALSE),0)</f>
        <v>0</v>
      </c>
      <c r="BZ57" s="195">
        <f t="shared" si="25"/>
        <v>0</v>
      </c>
      <c r="CA57" s="339">
        <f t="shared" si="527"/>
        <v>0</v>
      </c>
      <c r="CB57" s="46">
        <f t="shared" si="528"/>
        <v>0</v>
      </c>
      <c r="CC57" s="46">
        <f>IF($A57="a",IFERROR(VLOOKUP($B57 &amp; $C57&amp;CC$4,tblForecast,CC$2,FALSE),0),CA57+CB57)</f>
        <v>0</v>
      </c>
      <c r="CD57" s="46">
        <f t="shared" si="529"/>
        <v>0</v>
      </c>
      <c r="CE57" s="46">
        <f t="shared" si="529"/>
        <v>0</v>
      </c>
      <c r="CF57" s="46">
        <f>IFERROR(VLOOKUP($B57-IF(CompareVer="LY",1,0) &amp; $C57 &amp;CF$4,tblForecast,CF$2,FALSE),0)</f>
        <v>0</v>
      </c>
      <c r="CG57" s="195">
        <f t="shared" si="28"/>
        <v>0</v>
      </c>
      <c r="CH57" s="339">
        <f t="shared" si="530"/>
        <v>0</v>
      </c>
      <c r="CI57" s="46">
        <f t="shared" si="531"/>
        <v>0</v>
      </c>
      <c r="CJ57" s="46">
        <f>IF($A57="a",IFERROR(VLOOKUP($B57 &amp; $C57&amp;CJ$4,tblForecast,CJ$2,FALSE),0),CH57+CI57)</f>
        <v>0</v>
      </c>
      <c r="CK57" s="46">
        <f t="shared" si="532"/>
        <v>0</v>
      </c>
      <c r="CL57" s="46">
        <f t="shared" si="532"/>
        <v>0</v>
      </c>
      <c r="CM57" s="46">
        <f>IFERROR(VLOOKUP($B57-IF(CompareVer="LY",1,0) &amp; $C57 &amp;CM$4,tblForecast,CM$2,FALSE),0)</f>
        <v>0</v>
      </c>
      <c r="CN57" s="195">
        <f t="shared" si="31"/>
        <v>0</v>
      </c>
      <c r="CO57" s="179">
        <f t="shared" si="51"/>
        <v>0</v>
      </c>
      <c r="CP57" s="225">
        <f t="shared" si="33"/>
        <v>0</v>
      </c>
      <c r="CQ57" s="195">
        <f t="shared" si="34"/>
        <v>0</v>
      </c>
      <c r="CR57" s="179">
        <f t="shared" si="49"/>
        <v>0</v>
      </c>
      <c r="CS57" s="225">
        <f t="shared" si="35"/>
        <v>0</v>
      </c>
      <c r="CT57" s="195">
        <f t="shared" si="52"/>
        <v>0</v>
      </c>
      <c r="CU57" s="44"/>
      <c r="CV57" s="345">
        <f t="shared" si="533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7"/>
        <v>0</v>
      </c>
      <c r="CZ57" s="280">
        <f>IFERROR(VLOOKUP(Brand&amp;Channel&amp;Country&amp;$C57,tblDiscount,6,FALSE),0)</f>
        <v>0.8</v>
      </c>
      <c r="DA57" s="281">
        <f>(1-CZ57)*DB57</f>
        <v>5.0259999999999989</v>
      </c>
      <c r="DB57" s="281">
        <f>IFERROR(VLOOKUP(Brand&amp;Country &amp; Channel &amp;FC,tblFCSettings,8,FALSE),0)</f>
        <v>25.13</v>
      </c>
      <c r="DC57" s="282">
        <f>IFERROR(VLOOKUP(Brand&amp;Country &amp; Channel &amp;FC,tblFCSettings,9,FALSE),0)</f>
        <v>4.22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3">
        <f t="shared" si="535"/>
        <v>0</v>
      </c>
      <c r="F58" s="183">
        <f t="shared" si="50"/>
        <v>0</v>
      </c>
      <c r="G58" s="177">
        <f t="shared" si="508"/>
        <v>0</v>
      </c>
      <c r="H58" s="204">
        <f t="shared" si="508"/>
        <v>0</v>
      </c>
      <c r="I58" s="204">
        <f t="shared" si="508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 t="shared" si="509"/>
        <v>0</v>
      </c>
      <c r="M58" s="90">
        <f t="shared" si="509"/>
        <v>0</v>
      </c>
      <c r="N58" s="46">
        <f t="shared" si="509"/>
        <v>0</v>
      </c>
      <c r="O58" s="46">
        <f t="shared" si="509"/>
        <v>0</v>
      </c>
      <c r="P58" s="47">
        <f t="shared" si="40"/>
        <v>0</v>
      </c>
      <c r="Q58" s="344">
        <f t="shared" si="536"/>
        <v>0</v>
      </c>
      <c r="R58" s="242">
        <f t="shared" si="510"/>
        <v>0</v>
      </c>
      <c r="S58" s="242">
        <f t="shared" si="510"/>
        <v>0</v>
      </c>
      <c r="T58" s="242">
        <f>IFERROR(VLOOKUP($B58-IF(CompareVer="LY",1,0) &amp; $C58 &amp;T$4,tblForecast,T$2,FALSE),0)</f>
        <v>0</v>
      </c>
      <c r="U58" s="91">
        <f t="shared" si="356"/>
        <v>0</v>
      </c>
      <c r="V58" s="251">
        <f t="shared" si="537"/>
        <v>0</v>
      </c>
      <c r="W58" s="336">
        <f t="shared" si="537"/>
        <v>0</v>
      </c>
      <c r="X58" s="252">
        <f>IFERROR(IF(T57&lt;&gt;0,T58/T57,0),0)</f>
        <v>0</v>
      </c>
      <c r="Y58" s="51">
        <f t="shared" si="511"/>
        <v>0</v>
      </c>
      <c r="Z58" s="46">
        <f t="shared" si="511"/>
        <v>0</v>
      </c>
      <c r="AA58" s="46">
        <f t="shared" si="511"/>
        <v>0</v>
      </c>
      <c r="AB58" s="46">
        <f t="shared" si="511"/>
        <v>0</v>
      </c>
      <c r="AC58" s="91">
        <f t="shared" si="360"/>
        <v>0</v>
      </c>
      <c r="AD58" s="75">
        <f>IF(AM58&lt;&gt;0,1-AR58/AM58,0)</f>
        <v>0.16036609629924381</v>
      </c>
      <c r="AE58" s="93">
        <f t="shared" si="512"/>
        <v>0</v>
      </c>
      <c r="AF58" s="93">
        <f t="shared" si="512"/>
        <v>0</v>
      </c>
      <c r="AG58" s="76">
        <f t="shared" si="512"/>
        <v>0</v>
      </c>
      <c r="AH58" s="73">
        <f t="shared" si="513"/>
        <v>25.13</v>
      </c>
      <c r="AI58" s="94">
        <f t="shared" si="514"/>
        <v>0</v>
      </c>
      <c r="AJ58" s="94">
        <f t="shared" si="514"/>
        <v>0</v>
      </c>
      <c r="AK58" s="49">
        <f>IFERROR(VLOOKUP($B58-IF(CompareVer="LY",1,0) &amp; $C58 &amp;AK$4,tblForecast,AK$2,FALSE),0)</f>
        <v>0</v>
      </c>
      <c r="AL58" s="47">
        <f t="shared" si="488"/>
        <v>0</v>
      </c>
      <c r="AM58" s="73">
        <f t="shared" si="515"/>
        <v>5.0259999999999989</v>
      </c>
      <c r="AN58" s="94">
        <f t="shared" si="516"/>
        <v>0</v>
      </c>
      <c r="AO58" s="94">
        <f t="shared" si="516"/>
        <v>0</v>
      </c>
      <c r="AP58" s="49">
        <f>IFERROR(VLOOKUP($B58-IF(CompareVer="LY",1,0) &amp; $C58 &amp;AP$4,tblForecast,AP$2,FALSE),0)</f>
        <v>0</v>
      </c>
      <c r="AQ58" s="47">
        <f t="shared" si="441"/>
        <v>0</v>
      </c>
      <c r="AR58" s="73">
        <f t="shared" si="517"/>
        <v>4.22</v>
      </c>
      <c r="AS58" s="94">
        <f t="shared" si="518"/>
        <v>0</v>
      </c>
      <c r="AT58" s="94">
        <f t="shared" si="518"/>
        <v>0</v>
      </c>
      <c r="AU58" s="49">
        <f>IFERROR(VLOOKUP($B58-IF(CompareVer="LY",1,0) &amp; $C58 &amp;AU$4,tblForecast,AU$2,FALSE),0)</f>
        <v>0</v>
      </c>
      <c r="AV58" s="47">
        <f t="shared" si="412"/>
        <v>0</v>
      </c>
      <c r="AW58" s="192">
        <f t="shared" si="519"/>
        <v>0.8</v>
      </c>
      <c r="AX58" s="193">
        <f t="shared" si="520"/>
        <v>0</v>
      </c>
      <c r="AY58" s="193">
        <f t="shared" si="521"/>
        <v>0</v>
      </c>
      <c r="AZ58" s="193">
        <f t="shared" si="522"/>
        <v>0</v>
      </c>
      <c r="BA58" s="237">
        <f t="shared" si="523"/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524"/>
        <v>0</v>
      </c>
      <c r="BE58" s="195">
        <f t="shared" si="19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 t="shared" si="373"/>
        <v>0</v>
      </c>
      <c r="BK58" s="50">
        <f t="shared" si="21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5"/>
        <v>0</v>
      </c>
      <c r="BS58" s="233">
        <f t="shared" si="22"/>
        <v>0</v>
      </c>
      <c r="BT58" s="236">
        <f t="shared" si="525"/>
        <v>0</v>
      </c>
      <c r="BU58" s="233">
        <f t="shared" si="525"/>
        <v>0</v>
      </c>
      <c r="BV58" s="233">
        <f>IF($A58="a",IFERROR(VLOOKUP($B58 &amp; $C58&amp;BV$4,tblForecast,BV$2,FALSE),0),BT58+BU58)</f>
        <v>0</v>
      </c>
      <c r="BW58" s="233">
        <f t="shared" si="526"/>
        <v>0</v>
      </c>
      <c r="BX58" s="233">
        <f t="shared" si="526"/>
        <v>0</v>
      </c>
      <c r="BY58" s="194">
        <f>IFERROR(VLOOKUP($B58-IF(CompareVer="LY",1,0) &amp; $C58 &amp;BY$4,tblForecast,BY$2,FALSE),0)</f>
        <v>0</v>
      </c>
      <c r="BZ58" s="195">
        <f t="shared" si="25"/>
        <v>0</v>
      </c>
      <c r="CA58" s="339">
        <f t="shared" si="527"/>
        <v>0</v>
      </c>
      <c r="CB58" s="46">
        <f t="shared" si="528"/>
        <v>0</v>
      </c>
      <c r="CC58" s="46">
        <f>IF($A58="a",IFERROR(VLOOKUP($B58 &amp; $C58&amp;CC$4,tblForecast,CC$2,FALSE),0),CA58+CB58)</f>
        <v>0</v>
      </c>
      <c r="CD58" s="46">
        <f t="shared" si="529"/>
        <v>0</v>
      </c>
      <c r="CE58" s="46">
        <f t="shared" si="529"/>
        <v>0</v>
      </c>
      <c r="CF58" s="46">
        <f>IFERROR(VLOOKUP($B58-IF(CompareVer="LY",1,0) &amp; $C58 &amp;CF$4,tblForecast,CF$2,FALSE),0)</f>
        <v>0</v>
      </c>
      <c r="CG58" s="195">
        <f t="shared" si="28"/>
        <v>0</v>
      </c>
      <c r="CH58" s="339">
        <f t="shared" si="530"/>
        <v>0</v>
      </c>
      <c r="CI58" s="46">
        <f t="shared" si="531"/>
        <v>0</v>
      </c>
      <c r="CJ58" s="46">
        <f>IF($A58="a",IFERROR(VLOOKUP($B58 &amp; $C58&amp;CJ$4,tblForecast,CJ$2,FALSE),0),CH58+CI58)</f>
        <v>0</v>
      </c>
      <c r="CK58" s="46">
        <f t="shared" si="532"/>
        <v>0</v>
      </c>
      <c r="CL58" s="46">
        <f t="shared" si="532"/>
        <v>0</v>
      </c>
      <c r="CM58" s="46">
        <f>IFERROR(VLOOKUP($B58-IF(CompareVer="LY",1,0) &amp; $C58 &amp;CM$4,tblForecast,CM$2,FALSE),0)</f>
        <v>0</v>
      </c>
      <c r="CN58" s="195">
        <f t="shared" si="31"/>
        <v>0</v>
      </c>
      <c r="CO58" s="179">
        <f t="shared" si="51"/>
        <v>0</v>
      </c>
      <c r="CP58" s="225">
        <f t="shared" si="33"/>
        <v>0</v>
      </c>
      <c r="CQ58" s="195">
        <f t="shared" si="34"/>
        <v>0</v>
      </c>
      <c r="CR58" s="179">
        <f t="shared" si="49"/>
        <v>0</v>
      </c>
      <c r="CS58" s="225">
        <f t="shared" si="35"/>
        <v>0</v>
      </c>
      <c r="CT58" s="195">
        <f t="shared" si="52"/>
        <v>0</v>
      </c>
      <c r="CU58" s="44"/>
      <c r="CV58" s="345">
        <f t="shared" si="533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7"/>
        <v>0</v>
      </c>
      <c r="CZ58" s="280">
        <f>IFERROR(VLOOKUP(Brand&amp;Channel&amp;Country&amp;$C58,tblDiscount,6,FALSE),0)</f>
        <v>0.8</v>
      </c>
      <c r="DA58" s="281">
        <f>(1-CZ58)*DB58</f>
        <v>5.0259999999999989</v>
      </c>
      <c r="DB58" s="281">
        <f>IFERROR(VLOOKUP(Brand&amp;Country &amp; Channel &amp;FC,tblFCSettings,8,FALSE),0)</f>
        <v>25.13</v>
      </c>
      <c r="DC58" s="282">
        <f>IFERROR(VLOOKUP(Brand&amp;Country &amp; Channel &amp;FC,tblFCSettings,9,FALSE),0)</f>
        <v>4.22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3">
        <f t="shared" si="535"/>
        <v>0</v>
      </c>
      <c r="F59" s="183">
        <f t="shared" si="50"/>
        <v>0</v>
      </c>
      <c r="G59" s="177">
        <f t="shared" si="508"/>
        <v>0</v>
      </c>
      <c r="H59" s="204">
        <f t="shared" si="508"/>
        <v>0</v>
      </c>
      <c r="I59" s="204">
        <f t="shared" si="508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 t="shared" si="509"/>
        <v>0</v>
      </c>
      <c r="M59" s="90">
        <f t="shared" si="509"/>
        <v>0</v>
      </c>
      <c r="N59" s="46">
        <f t="shared" si="509"/>
        <v>0</v>
      </c>
      <c r="O59" s="46">
        <f t="shared" si="509"/>
        <v>0</v>
      </c>
      <c r="P59" s="47">
        <f t="shared" si="40"/>
        <v>0</v>
      </c>
      <c r="Q59" s="344">
        <f t="shared" si="536"/>
        <v>0</v>
      </c>
      <c r="R59" s="242">
        <f t="shared" si="510"/>
        <v>0</v>
      </c>
      <c r="S59" s="242">
        <f t="shared" si="510"/>
        <v>0</v>
      </c>
      <c r="T59" s="242">
        <f>IFERROR(VLOOKUP($B59-IF(CompareVer="LY",1,0) &amp; $C59 &amp;T$4,tblForecast,T$2,FALSE),0)</f>
        <v>0</v>
      </c>
      <c r="U59" s="91">
        <f t="shared" si="356"/>
        <v>0</v>
      </c>
      <c r="V59" s="251">
        <f t="shared" si="537"/>
        <v>0</v>
      </c>
      <c r="W59" s="336">
        <f t="shared" si="537"/>
        <v>0</v>
      </c>
      <c r="X59" s="252">
        <f>IFERROR(IF(T58&lt;&gt;0,T59/T58,0),0)</f>
        <v>0</v>
      </c>
      <c r="Y59" s="51">
        <f t="shared" si="511"/>
        <v>0</v>
      </c>
      <c r="Z59" s="46">
        <f t="shared" si="511"/>
        <v>0</v>
      </c>
      <c r="AA59" s="46">
        <f t="shared" si="511"/>
        <v>0</v>
      </c>
      <c r="AB59" s="46">
        <f t="shared" si="511"/>
        <v>0</v>
      </c>
      <c r="AC59" s="91">
        <f t="shared" si="360"/>
        <v>0</v>
      </c>
      <c r="AD59" s="75">
        <f>IF(AM59&lt;&gt;0,1-AR59/AM59,0)</f>
        <v>0.16036609629924381</v>
      </c>
      <c r="AE59" s="93">
        <f t="shared" si="512"/>
        <v>0</v>
      </c>
      <c r="AF59" s="93">
        <f t="shared" si="512"/>
        <v>0</v>
      </c>
      <c r="AG59" s="76">
        <f t="shared" si="512"/>
        <v>0</v>
      </c>
      <c r="AH59" s="73">
        <f t="shared" si="513"/>
        <v>25.13</v>
      </c>
      <c r="AI59" s="94">
        <f t="shared" si="514"/>
        <v>0</v>
      </c>
      <c r="AJ59" s="94">
        <f t="shared" si="514"/>
        <v>0</v>
      </c>
      <c r="AK59" s="49">
        <f>IFERROR(VLOOKUP($B59-IF(CompareVer="LY",1,0) &amp; $C59 &amp;AK$4,tblForecast,AK$2,FALSE),0)</f>
        <v>0</v>
      </c>
      <c r="AL59" s="47">
        <f t="shared" si="488"/>
        <v>0</v>
      </c>
      <c r="AM59" s="73">
        <f t="shared" si="515"/>
        <v>5.0259999999999989</v>
      </c>
      <c r="AN59" s="94">
        <f t="shared" si="516"/>
        <v>0</v>
      </c>
      <c r="AO59" s="94">
        <f t="shared" si="516"/>
        <v>0</v>
      </c>
      <c r="AP59" s="49">
        <f>IFERROR(VLOOKUP($B59-IF(CompareVer="LY",1,0) &amp; $C59 &amp;AP$4,tblForecast,AP$2,FALSE),0)</f>
        <v>0</v>
      </c>
      <c r="AQ59" s="47">
        <f t="shared" si="441"/>
        <v>0</v>
      </c>
      <c r="AR59" s="73">
        <f t="shared" si="517"/>
        <v>4.22</v>
      </c>
      <c r="AS59" s="94">
        <f t="shared" si="518"/>
        <v>0</v>
      </c>
      <c r="AT59" s="94">
        <f t="shared" si="518"/>
        <v>0</v>
      </c>
      <c r="AU59" s="49">
        <f>IFERROR(VLOOKUP($B59-IF(CompareVer="LY",1,0) &amp; $C59 &amp;AU$4,tblForecast,AU$2,FALSE),0)</f>
        <v>0</v>
      </c>
      <c r="AV59" s="47">
        <f t="shared" si="412"/>
        <v>0</v>
      </c>
      <c r="AW59" s="192">
        <f t="shared" si="519"/>
        <v>0.8</v>
      </c>
      <c r="AX59" s="193">
        <f t="shared" si="520"/>
        <v>0</v>
      </c>
      <c r="AY59" s="193">
        <f t="shared" si="521"/>
        <v>0</v>
      </c>
      <c r="AZ59" s="193">
        <f t="shared" si="522"/>
        <v>0</v>
      </c>
      <c r="BA59" s="237">
        <f t="shared" si="523"/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524"/>
        <v>0</v>
      </c>
      <c r="BE59" s="195">
        <f t="shared" si="19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 t="shared" si="373"/>
        <v>0</v>
      </c>
      <c r="BK59" s="50">
        <f t="shared" si="21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5"/>
        <v>0</v>
      </c>
      <c r="BS59" s="233">
        <f t="shared" si="22"/>
        <v>0</v>
      </c>
      <c r="BT59" s="236">
        <f t="shared" si="525"/>
        <v>0</v>
      </c>
      <c r="BU59" s="233">
        <f t="shared" si="525"/>
        <v>0</v>
      </c>
      <c r="BV59" s="233">
        <f>IF($A59="a",IFERROR(VLOOKUP($B59 &amp; $C59&amp;BV$4,tblForecast,BV$2,FALSE),0),BT59+BU59)</f>
        <v>0</v>
      </c>
      <c r="BW59" s="233">
        <f t="shared" si="526"/>
        <v>0</v>
      </c>
      <c r="BX59" s="233">
        <f t="shared" si="526"/>
        <v>0</v>
      </c>
      <c r="BY59" s="194">
        <f>IFERROR(VLOOKUP($B59-IF(CompareVer="LY",1,0) &amp; $C59 &amp;BY$4,tblForecast,BY$2,FALSE),0)</f>
        <v>0</v>
      </c>
      <c r="BZ59" s="195">
        <f t="shared" si="25"/>
        <v>0</v>
      </c>
      <c r="CA59" s="339">
        <f t="shared" si="527"/>
        <v>0</v>
      </c>
      <c r="CB59" s="46">
        <f t="shared" si="528"/>
        <v>0</v>
      </c>
      <c r="CC59" s="46">
        <f>IF($A59="a",IFERROR(VLOOKUP($B59 &amp; $C59&amp;CC$4,tblForecast,CC$2,FALSE),0),CA59+CB59)</f>
        <v>0</v>
      </c>
      <c r="CD59" s="46">
        <f t="shared" si="529"/>
        <v>0</v>
      </c>
      <c r="CE59" s="46">
        <f t="shared" si="529"/>
        <v>0</v>
      </c>
      <c r="CF59" s="46">
        <f>IFERROR(VLOOKUP($B59-IF(CompareVer="LY",1,0) &amp; $C59 &amp;CF$4,tblForecast,CF$2,FALSE),0)</f>
        <v>0</v>
      </c>
      <c r="CG59" s="195">
        <f t="shared" si="28"/>
        <v>0</v>
      </c>
      <c r="CH59" s="339">
        <f t="shared" si="530"/>
        <v>0</v>
      </c>
      <c r="CI59" s="46">
        <f t="shared" si="531"/>
        <v>0</v>
      </c>
      <c r="CJ59" s="46">
        <f>IF($A59="a",IFERROR(VLOOKUP($B59 &amp; $C59&amp;CJ$4,tblForecast,CJ$2,FALSE),0),CH59+CI59)</f>
        <v>0</v>
      </c>
      <c r="CK59" s="46">
        <f t="shared" si="532"/>
        <v>0</v>
      </c>
      <c r="CL59" s="46">
        <f t="shared" si="532"/>
        <v>0</v>
      </c>
      <c r="CM59" s="46">
        <f>IFERROR(VLOOKUP($B59-IF(CompareVer="LY",1,0) &amp; $C59 &amp;CM$4,tblForecast,CM$2,FALSE),0)</f>
        <v>0</v>
      </c>
      <c r="CN59" s="195">
        <f t="shared" si="31"/>
        <v>0</v>
      </c>
      <c r="CO59" s="179">
        <f t="shared" si="51"/>
        <v>0</v>
      </c>
      <c r="CP59" s="225">
        <f t="shared" si="33"/>
        <v>0</v>
      </c>
      <c r="CQ59" s="195">
        <f t="shared" si="34"/>
        <v>0</v>
      </c>
      <c r="CR59" s="179">
        <f t="shared" si="49"/>
        <v>0</v>
      </c>
      <c r="CS59" s="225">
        <f t="shared" si="35"/>
        <v>0</v>
      </c>
      <c r="CT59" s="195">
        <f t="shared" si="52"/>
        <v>0</v>
      </c>
      <c r="CU59" s="44"/>
      <c r="CV59" s="345">
        <f t="shared" si="533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7"/>
        <v>0</v>
      </c>
      <c r="CZ59" s="280">
        <f>IFERROR(VLOOKUP(Brand&amp;Channel&amp;Country&amp;$C59,tblDiscount,6,FALSE),0)</f>
        <v>0.8</v>
      </c>
      <c r="DA59" s="281">
        <f>(1-CZ59)*DB59</f>
        <v>5.0259999999999989</v>
      </c>
      <c r="DB59" s="281">
        <f>IFERROR(VLOOKUP(Brand&amp;Country &amp; Channel &amp;FC,tblFCSettings,8,FALSE),0)</f>
        <v>25.13</v>
      </c>
      <c r="DC59" s="282">
        <f>IFERROR(VLOOKUP(Brand&amp;Country &amp; Channel &amp;FC,tblFCSettings,9,FALSE),0)</f>
        <v>4.22</v>
      </c>
    </row>
    <row r="60" spans="2:107" ht="16.5" thickBot="1" x14ac:dyDescent="0.3">
      <c r="C60" s="255" t="s">
        <v>319</v>
      </c>
      <c r="D60" s="256">
        <f t="shared" ref="D60" si="538">SUM(D56:D59)</f>
        <v>0</v>
      </c>
      <c r="E60" s="257">
        <f t="shared" ref="E60" si="539">SUM(E56:E59)</f>
        <v>0</v>
      </c>
      <c r="F60" s="258">
        <f t="shared" si="50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540">SUM(M56:M59)</f>
        <v>0</v>
      </c>
      <c r="N60" s="261">
        <f t="shared" si="540"/>
        <v>0</v>
      </c>
      <c r="O60" s="261">
        <f t="shared" si="540"/>
        <v>0</v>
      </c>
      <c r="P60" s="262">
        <f t="shared" si="40"/>
        <v>0</v>
      </c>
      <c r="Q60" s="263">
        <f>SUM(Q56:Q59)</f>
        <v>0</v>
      </c>
      <c r="R60" s="264">
        <f t="shared" ref="R60" si="541">SUM(R56:R59)</f>
        <v>0</v>
      </c>
      <c r="S60" s="264">
        <f t="shared" ref="S60" si="542">SUM(S56:S59)</f>
        <v>0</v>
      </c>
      <c r="T60" s="264">
        <f>SUM(T56:T59)</f>
        <v>0</v>
      </c>
      <c r="U60" s="262">
        <f t="shared" si="356"/>
        <v>0</v>
      </c>
      <c r="V60" s="265">
        <f t="shared" ref="V60:W60" si="543">V59</f>
        <v>0</v>
      </c>
      <c r="W60" s="334">
        <f t="shared" si="543"/>
        <v>0</v>
      </c>
      <c r="X60" s="266">
        <f t="shared" ref="X60:X61" si="544">X59</f>
        <v>0</v>
      </c>
      <c r="Y60" s="256">
        <f>SUM(Y56:Y59)</f>
        <v>0</v>
      </c>
      <c r="Z60" s="261">
        <f t="shared" ref="Z60:AB60" si="545">SUM(Z56:Z59)</f>
        <v>0</v>
      </c>
      <c r="AA60" s="261">
        <f t="shared" si="545"/>
        <v>0</v>
      </c>
      <c r="AB60" s="261">
        <f t="shared" si="545"/>
        <v>0</v>
      </c>
      <c r="AC60" s="262">
        <f t="shared" si="360"/>
        <v>0</v>
      </c>
      <c r="AD60" s="267">
        <f t="shared" ref="AD60:AG61" si="546">IFERROR(Y60/L60,0)</f>
        <v>0</v>
      </c>
      <c r="AE60" s="268">
        <f t="shared" si="546"/>
        <v>0</v>
      </c>
      <c r="AF60" s="268">
        <f t="shared" si="546"/>
        <v>0</v>
      </c>
      <c r="AG60" s="268">
        <f t="shared" si="546"/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" si="547">IFERROR(SUMPRODUCT(AJ56:AJ59,S56:S59)/S60,0)</f>
        <v>0</v>
      </c>
      <c r="AK60" s="270">
        <f t="shared" ref="AK60" si="548">IFERROR(SUMPRODUCT(AK56:AK59,T56:T59)/T60,0)</f>
        <v>0</v>
      </c>
      <c r="AL60" s="262">
        <f t="shared" ref="AL60" si="549">IFERROR(AH60/AK60-1,)</f>
        <v>0</v>
      </c>
      <c r="AM60" s="269">
        <f t="shared" ref="AM60:AP61" si="550">IF(Q60&lt;&gt;0,L60/Q60,0)</f>
        <v>0</v>
      </c>
      <c r="AN60" s="270">
        <f t="shared" si="550"/>
        <v>0</v>
      </c>
      <c r="AO60" s="270">
        <f t="shared" si="550"/>
        <v>0</v>
      </c>
      <c r="AP60" s="270">
        <f t="shared" si="550"/>
        <v>0</v>
      </c>
      <c r="AQ60" s="262">
        <f t="shared" si="441"/>
        <v>0</v>
      </c>
      <c r="AR60" s="269">
        <f t="shared" ref="AR60:AU61" si="551">IFERROR((L60*(1-AD60))/Q60,0)</f>
        <v>0</v>
      </c>
      <c r="AS60" s="270">
        <f t="shared" si="551"/>
        <v>0</v>
      </c>
      <c r="AT60" s="270">
        <f t="shared" si="551"/>
        <v>0</v>
      </c>
      <c r="AU60" s="270">
        <f t="shared" si="551"/>
        <v>0</v>
      </c>
      <c r="AV60" s="262">
        <f t="shared" si="412"/>
        <v>0</v>
      </c>
      <c r="AW60" s="271">
        <f>IFERROR(SUMPRODUCT(AW56:AW59,Q56:Q59)/Q60,0)</f>
        <v>0</v>
      </c>
      <c r="AX60" s="272">
        <f t="shared" ref="AX60:AZ60" si="552">IFERROR(SUMPRODUCT(AX56:AX59,X56:X59)/X60,0)</f>
        <v>0</v>
      </c>
      <c r="AY60" s="272">
        <f t="shared" si="552"/>
        <v>0</v>
      </c>
      <c r="AZ60" s="272">
        <f t="shared" si="552"/>
        <v>0</v>
      </c>
      <c r="BA60" s="263">
        <f>BA59</f>
        <v>0</v>
      </c>
      <c r="BB60" s="264">
        <f t="shared" ref="BB60:BB61" si="553">BB59</f>
        <v>0</v>
      </c>
      <c r="BC60" s="264">
        <f t="shared" ref="BC60:BC61" si="554">BC59</f>
        <v>0</v>
      </c>
      <c r="BD60" s="264">
        <f t="shared" ref="BD60:BD61" si="555">BD59</f>
        <v>0</v>
      </c>
      <c r="BE60" s="262">
        <f t="shared" ref="BE60:BE61" si="556">IFERROR(BA60/BD60-1,)</f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 t="shared" si="373"/>
        <v>0</v>
      </c>
      <c r="BK60" s="276">
        <f t="shared" si="21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557">SUM(BO56:BO59)</f>
        <v>0</v>
      </c>
      <c r="BP60" s="263">
        <f>SUM(BP56:BP59)</f>
        <v>0</v>
      </c>
      <c r="BQ60" s="264">
        <f t="shared" si="557"/>
        <v>0</v>
      </c>
      <c r="BR60" s="263">
        <f t="shared" si="45"/>
        <v>0</v>
      </c>
      <c r="BS60" s="264">
        <f t="shared" si="22"/>
        <v>0</v>
      </c>
      <c r="BT60" s="263">
        <f t="shared" ref="BT60:BY60" si="558">SUM(BT56:BT59)</f>
        <v>0</v>
      </c>
      <c r="BU60" s="264">
        <f t="shared" si="558"/>
        <v>0</v>
      </c>
      <c r="BV60" s="264">
        <f t="shared" si="558"/>
        <v>0</v>
      </c>
      <c r="BW60" s="264">
        <f t="shared" si="558"/>
        <v>0</v>
      </c>
      <c r="BX60" s="264">
        <f t="shared" si="558"/>
        <v>0</v>
      </c>
      <c r="BY60" s="277">
        <f t="shared" si="558"/>
        <v>0</v>
      </c>
      <c r="BZ60" s="262">
        <f t="shared" si="25"/>
        <v>0</v>
      </c>
      <c r="CA60" s="340">
        <f t="shared" ref="CA60" si="559">SUM(CA56:CA59)</f>
        <v>0</v>
      </c>
      <c r="CB60" s="261">
        <f t="shared" ref="CB60:CF60" si="560">SUM(CB56:CB59)</f>
        <v>0</v>
      </c>
      <c r="CC60" s="261">
        <f t="shared" si="560"/>
        <v>0</v>
      </c>
      <c r="CD60" s="261">
        <f t="shared" si="560"/>
        <v>0</v>
      </c>
      <c r="CE60" s="261">
        <f t="shared" si="560"/>
        <v>0</v>
      </c>
      <c r="CF60" s="261">
        <f t="shared" si="560"/>
        <v>0</v>
      </c>
      <c r="CG60" s="262">
        <f t="shared" si="28"/>
        <v>0</v>
      </c>
      <c r="CH60" s="340">
        <f t="shared" ref="CH60" si="561">SUM(CH56:CH59)</f>
        <v>0</v>
      </c>
      <c r="CI60" s="261">
        <f t="shared" ref="CI60:CM60" si="562">SUM(CI56:CI59)</f>
        <v>0</v>
      </c>
      <c r="CJ60" s="261">
        <f t="shared" si="562"/>
        <v>0</v>
      </c>
      <c r="CK60" s="261">
        <f t="shared" si="562"/>
        <v>0</v>
      </c>
      <c r="CL60" s="261">
        <f t="shared" si="562"/>
        <v>0</v>
      </c>
      <c r="CM60" s="261">
        <f t="shared" si="562"/>
        <v>0</v>
      </c>
      <c r="CN60" s="262">
        <f t="shared" si="31"/>
        <v>0</v>
      </c>
      <c r="CO60" s="278">
        <f t="shared" si="51"/>
        <v>0</v>
      </c>
      <c r="CP60" s="279">
        <f t="shared" si="33"/>
        <v>0</v>
      </c>
      <c r="CQ60" s="262">
        <f t="shared" si="34"/>
        <v>0</v>
      </c>
      <c r="CR60" s="278">
        <f t="shared" si="49"/>
        <v>0</v>
      </c>
      <c r="CS60" s="279">
        <f t="shared" si="35"/>
        <v>0</v>
      </c>
      <c r="CT60" s="262">
        <f t="shared" si="52"/>
        <v>0</v>
      </c>
      <c r="CU60" s="44"/>
      <c r="CV60" s="346"/>
      <c r="CW60" s="100">
        <f>CW59</f>
        <v>0</v>
      </c>
      <c r="CX60" s="101">
        <f>CX59</f>
        <v>0</v>
      </c>
      <c r="CY60" s="99">
        <f t="shared" si="37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" si="563">D49+D55+D60</f>
        <v>0</v>
      </c>
      <c r="E61" s="206">
        <f t="shared" ref="E61" si="564">E49+E55+E60</f>
        <v>0</v>
      </c>
      <c r="F61" s="207">
        <f t="shared" si="50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" si="565">J49+J55+J60</f>
        <v>0</v>
      </c>
      <c r="K61" s="304">
        <f t="shared" ref="K61" si="566">K49+K55+K60</f>
        <v>0</v>
      </c>
      <c r="L61" s="53">
        <f>L49+L55+L60</f>
        <v>0</v>
      </c>
      <c r="M61" s="53">
        <f t="shared" ref="M61:O61" si="567">M49+M55+M60</f>
        <v>0</v>
      </c>
      <c r="N61" s="53">
        <f t="shared" si="567"/>
        <v>0</v>
      </c>
      <c r="O61" s="53">
        <f t="shared" si="567"/>
        <v>0</v>
      </c>
      <c r="P61" s="54">
        <f t="shared" si="40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 t="shared" si="356"/>
        <v>0</v>
      </c>
      <c r="V61" s="249">
        <f t="shared" ref="V61:W61" si="568">V60</f>
        <v>0</v>
      </c>
      <c r="W61" s="335">
        <f t="shared" si="568"/>
        <v>0</v>
      </c>
      <c r="X61" s="250">
        <f t="shared" si="544"/>
        <v>0</v>
      </c>
      <c r="Y61" s="52">
        <f>Y49+Y55+Y60</f>
        <v>0</v>
      </c>
      <c r="Z61" s="53">
        <f t="shared" ref="Z61:AB61" si="569">Z49+Z55+Z60</f>
        <v>0</v>
      </c>
      <c r="AA61" s="53">
        <f t="shared" si="569"/>
        <v>0</v>
      </c>
      <c r="AB61" s="53">
        <f t="shared" si="569"/>
        <v>0</v>
      </c>
      <c r="AC61" s="54">
        <f t="shared" si="360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" si="570">IFERROR((AI49*R49+AI55*R55+AI60*R60)/R61,0)</f>
        <v>0</v>
      </c>
      <c r="AJ61" s="58">
        <f t="shared" ref="AJ61" si="571">IFERROR((AJ49*S49+AJ55*S55+AJ60*S60)/S61,0)</f>
        <v>0</v>
      </c>
      <c r="AK61" s="58">
        <f t="shared" ref="AK61" si="572">IFERROR((AK49*T49+AK55*T55+AK60*T60)/T61,0)</f>
        <v>0</v>
      </c>
      <c r="AL61" s="54">
        <f t="shared" ref="AL61" si="573">IFERROR((AL49*U49+AL55*U55+AL60*U60)/U61,0)</f>
        <v>0</v>
      </c>
      <c r="AM61" s="57">
        <f t="shared" si="550"/>
        <v>0</v>
      </c>
      <c r="AN61" s="58">
        <f t="shared" si="550"/>
        <v>0</v>
      </c>
      <c r="AO61" s="58">
        <f t="shared" si="550"/>
        <v>0</v>
      </c>
      <c r="AP61" s="58">
        <f t="shared" si="550"/>
        <v>0</v>
      </c>
      <c r="AQ61" s="54">
        <f t="shared" si="441"/>
        <v>0</v>
      </c>
      <c r="AR61" s="57">
        <f t="shared" si="551"/>
        <v>0</v>
      </c>
      <c r="AS61" s="58">
        <f t="shared" si="551"/>
        <v>0</v>
      </c>
      <c r="AT61" s="58">
        <f t="shared" si="551"/>
        <v>0</v>
      </c>
      <c r="AU61" s="58">
        <f t="shared" si="551"/>
        <v>0</v>
      </c>
      <c r="AV61" s="54">
        <f t="shared" si="412"/>
        <v>0</v>
      </c>
      <c r="AW61" s="59">
        <f>IFERROR((AW49*V49+AW55*V55+AW60*V60)/V61,0)</f>
        <v>0</v>
      </c>
      <c r="AX61" s="60">
        <f t="shared" ref="AX61:AZ61" si="574">IFERROR((AX49*X49+AX55*X55+AX60*X60)/X61,0)</f>
        <v>0</v>
      </c>
      <c r="AY61" s="60">
        <f t="shared" si="574"/>
        <v>0</v>
      </c>
      <c r="AZ61" s="60">
        <f t="shared" si="574"/>
        <v>0</v>
      </c>
      <c r="BA61" s="238">
        <f>BA60</f>
        <v>0</v>
      </c>
      <c r="BB61" s="232">
        <f t="shared" si="553"/>
        <v>0</v>
      </c>
      <c r="BC61" s="232">
        <f t="shared" si="554"/>
        <v>0</v>
      </c>
      <c r="BD61" s="232">
        <f t="shared" si="555"/>
        <v>0</v>
      </c>
      <c r="BE61" s="54">
        <f t="shared" si="556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 t="shared" si="373"/>
        <v>0</v>
      </c>
      <c r="BK61" s="61">
        <f t="shared" si="21"/>
        <v>0</v>
      </c>
      <c r="BL61" s="231">
        <f t="shared" ref="BL61:BY61" si="575">BL49+BL55+BL60</f>
        <v>0</v>
      </c>
      <c r="BM61" s="232">
        <f t="shared" si="575"/>
        <v>0</v>
      </c>
      <c r="BN61" s="231">
        <f t="shared" ref="BN61" si="576">BN49+BN55+BN60</f>
        <v>0</v>
      </c>
      <c r="BO61" s="232">
        <f t="shared" ref="BO61:BQ61" si="577">BO49+BO55+BO60</f>
        <v>0</v>
      </c>
      <c r="BP61" s="231">
        <f t="shared" si="577"/>
        <v>0</v>
      </c>
      <c r="BQ61" s="232">
        <f t="shared" si="577"/>
        <v>0</v>
      </c>
      <c r="BR61" s="231">
        <f t="shared" si="45"/>
        <v>0</v>
      </c>
      <c r="BS61" s="232">
        <f t="shared" si="22"/>
        <v>0</v>
      </c>
      <c r="BT61" s="231">
        <f t="shared" si="575"/>
        <v>0</v>
      </c>
      <c r="BU61" s="232">
        <f t="shared" si="575"/>
        <v>0</v>
      </c>
      <c r="BV61" s="232">
        <f t="shared" si="575"/>
        <v>0</v>
      </c>
      <c r="BW61" s="232">
        <f t="shared" si="575"/>
        <v>0</v>
      </c>
      <c r="BX61" s="232">
        <f t="shared" si="575"/>
        <v>0</v>
      </c>
      <c r="BY61" s="56">
        <f t="shared" si="575"/>
        <v>0</v>
      </c>
      <c r="BZ61" s="54">
        <f t="shared" si="25"/>
        <v>0</v>
      </c>
      <c r="CA61" s="341">
        <f t="shared" ref="CA61" si="578">CA49+CA55+CA60</f>
        <v>0</v>
      </c>
      <c r="CB61" s="53">
        <f t="shared" ref="CB61:CF61" si="579">CB49+CB55+CB60</f>
        <v>0</v>
      </c>
      <c r="CC61" s="53">
        <f t="shared" si="579"/>
        <v>0</v>
      </c>
      <c r="CD61" s="53">
        <f t="shared" si="579"/>
        <v>0</v>
      </c>
      <c r="CE61" s="53">
        <f t="shared" si="579"/>
        <v>0</v>
      </c>
      <c r="CF61" s="53">
        <f t="shared" si="579"/>
        <v>0</v>
      </c>
      <c r="CG61" s="54">
        <f t="shared" si="28"/>
        <v>0</v>
      </c>
      <c r="CH61" s="341">
        <f t="shared" ref="CH61" si="580">CH49+CH55+CH60</f>
        <v>0</v>
      </c>
      <c r="CI61" s="53">
        <f t="shared" ref="CI61:CM61" si="581">CI49+CI55+CI60</f>
        <v>0</v>
      </c>
      <c r="CJ61" s="53">
        <f t="shared" si="581"/>
        <v>0</v>
      </c>
      <c r="CK61" s="53">
        <f t="shared" si="581"/>
        <v>0</v>
      </c>
      <c r="CL61" s="53">
        <f t="shared" si="581"/>
        <v>0</v>
      </c>
      <c r="CM61" s="53">
        <f t="shared" si="581"/>
        <v>0</v>
      </c>
      <c r="CN61" s="54">
        <f t="shared" si="31"/>
        <v>0</v>
      </c>
      <c r="CO61" s="55">
        <f t="shared" si="51"/>
        <v>0</v>
      </c>
      <c r="CP61" s="226">
        <f t="shared" si="33"/>
        <v>0</v>
      </c>
      <c r="CQ61" s="54">
        <f t="shared" si="34"/>
        <v>0</v>
      </c>
      <c r="CR61" s="55">
        <f t="shared" si="49"/>
        <v>0</v>
      </c>
      <c r="CS61" s="226">
        <f t="shared" si="35"/>
        <v>0</v>
      </c>
      <c r="CT61" s="54">
        <f t="shared" si="52"/>
        <v>0</v>
      </c>
      <c r="CU61" s="44"/>
      <c r="CV61" s="347"/>
      <c r="CW61" s="55">
        <f>CW60</f>
        <v>0</v>
      </c>
      <c r="CX61" s="56">
        <f>CX60</f>
        <v>0</v>
      </c>
      <c r="CY61" s="54">
        <f t="shared" si="37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50"/>
        <v>0</v>
      </c>
      <c r="G62" s="177">
        <f t="shared" ref="G62:I65" si="582">IFERROR(VLOOKUP($B62 &amp; $C62&amp;G$4&amp;$A62,tblForecast,G$2,FALSE),0)</f>
        <v>0</v>
      </c>
      <c r="H62" s="204">
        <f t="shared" si="582"/>
        <v>0</v>
      </c>
      <c r="I62" s="204">
        <f t="shared" si="582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 t="shared" ref="L62:O65" si="583">Q62*AM62</f>
        <v>0</v>
      </c>
      <c r="M62" s="90">
        <f t="shared" si="583"/>
        <v>0</v>
      </c>
      <c r="N62" s="46">
        <f t="shared" si="583"/>
        <v>0</v>
      </c>
      <c r="O62" s="46">
        <f t="shared" si="583"/>
        <v>0</v>
      </c>
      <c r="P62" s="47">
        <f t="shared" si="40"/>
        <v>0</v>
      </c>
      <c r="Q62" s="244">
        <f>IF(A59="a",IF(CV62=0,R62,IF(BA59-(Q59*IF(W62=0,X62,W62))&lt;0,BA59,Q59*IF(W62=0,X62,W62))),IF(BA59-(Q59*IF(W62=0,X62,W62))&lt;0,BA59,Q59*IF(W62=0,X62,W62)))</f>
        <v>0</v>
      </c>
      <c r="R62" s="242">
        <f t="shared" ref="R62:S65" si="584">IFERROR(VLOOKUP($B62 &amp; $C62&amp;R$4,tblForecast,R$2,FALSE),0)</f>
        <v>0</v>
      </c>
      <c r="S62" s="242">
        <f t="shared" si="584"/>
        <v>0</v>
      </c>
      <c r="T62" s="242">
        <f>IFERROR(VLOOKUP($B62-IF(CompareVer="LY",1,0) &amp; $C62 &amp;T$4,tblForecast,T$2,FALSE),0)</f>
        <v>0</v>
      </c>
      <c r="U62" s="91">
        <f t="shared" si="356"/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 t="shared" ref="Y62:AB65" si="585">IFERROR(L62*AD62,0)</f>
        <v>0</v>
      </c>
      <c r="Z62" s="46">
        <f t="shared" si="585"/>
        <v>0</v>
      </c>
      <c r="AA62" s="46">
        <f t="shared" si="585"/>
        <v>0</v>
      </c>
      <c r="AB62" s="46">
        <f t="shared" si="585"/>
        <v>0</v>
      </c>
      <c r="AC62" s="91">
        <f t="shared" si="360"/>
        <v>0</v>
      </c>
      <c r="AD62" s="75">
        <f>IF(AM62&lt;&gt;0,1-AR62/AM62,0)</f>
        <v>0.16036609629924381</v>
      </c>
      <c r="AE62" s="93">
        <f t="shared" ref="AE62:AG65" si="586">IF(AN62&lt;&gt;0,1-AS62/AN62,0)</f>
        <v>0</v>
      </c>
      <c r="AF62" s="93">
        <f t="shared" si="586"/>
        <v>0</v>
      </c>
      <c r="AG62" s="76">
        <f t="shared" si="586"/>
        <v>0</v>
      </c>
      <c r="AH62" s="73">
        <f t="shared" ref="AH62:AH65" si="587">DB62</f>
        <v>25.13</v>
      </c>
      <c r="AI62" s="94">
        <f t="shared" ref="AI62:AJ65" si="588">IFERROR(VLOOKUP($B62 &amp; $C62&amp;AI$4,tblForecast,AI$2,FALSE),0)</f>
        <v>0</v>
      </c>
      <c r="AJ62" s="94">
        <f t="shared" si="588"/>
        <v>0</v>
      </c>
      <c r="AK62" s="49">
        <f>IFERROR(VLOOKUP($B62-IF(CompareVer="LY",1,0) &amp; $C62 &amp;AK$4,tblForecast,AK$2,FALSE),0)</f>
        <v>0</v>
      </c>
      <c r="AL62" s="47">
        <f t="shared" ref="AL62:AL65" si="589">IFERROR(AH62/AK62-1,)</f>
        <v>0</v>
      </c>
      <c r="AM62" s="73">
        <f t="shared" ref="AM62:AM65" si="590">DA62</f>
        <v>5.0259999999999989</v>
      </c>
      <c r="AN62" s="94">
        <f t="shared" ref="AN62:AO65" si="591">IFERROR(VLOOKUP($B62 &amp; $C62&amp;AN$4,tblForecast,AN$2,FALSE),0)</f>
        <v>0</v>
      </c>
      <c r="AO62" s="94">
        <f t="shared" si="591"/>
        <v>0</v>
      </c>
      <c r="AP62" s="49">
        <f>IFERROR(VLOOKUP($B62-IF(CompareVer="LY",1,0) &amp; $C62 &amp;AP$4,tblForecast,AP$2,FALSE),0)</f>
        <v>0</v>
      </c>
      <c r="AQ62" s="47">
        <f t="shared" si="441"/>
        <v>0</v>
      </c>
      <c r="AR62" s="73">
        <f t="shared" ref="AR62:AR65" si="592">DC62</f>
        <v>4.22</v>
      </c>
      <c r="AS62" s="94">
        <f t="shared" ref="AS62:AT65" si="593">IFERROR(VLOOKUP($B62 &amp; $C62&amp;AS$4,tblForecast,AS$2,FALSE),0)</f>
        <v>0</v>
      </c>
      <c r="AT62" s="94">
        <f t="shared" si="593"/>
        <v>0</v>
      </c>
      <c r="AU62" s="49">
        <f>IFERROR(VLOOKUP($B62-IF(CompareVer="LY",1,0) &amp; $C62 &amp;AU$4,tblForecast,AU$2,FALSE),0)</f>
        <v>0</v>
      </c>
      <c r="AV62" s="47">
        <f t="shared" si="412"/>
        <v>0</v>
      </c>
      <c r="AW62" s="192">
        <f t="shared" ref="AW62:AW65" si="594">IFERROR((AM62/AH62-1)*-1,0)</f>
        <v>0.8</v>
      </c>
      <c r="AX62" s="193">
        <f t="shared" ref="AX62:AX65" si="595">IFERROR((AN62/AI62-1)*-1,0)</f>
        <v>0</v>
      </c>
      <c r="AY62" s="193">
        <f t="shared" ref="AY62:AY65" si="596">IFERROR((AO62/AJ62-1)*-1,0)</f>
        <v>0</v>
      </c>
      <c r="AZ62" s="193">
        <f t="shared" ref="AZ62:AZ65" si="597">IFERROR((AP62/AK62-1)*-1,0)</f>
        <v>0</v>
      </c>
      <c r="BA62" s="237">
        <f t="shared" ref="BA62:BA65" si="598">IF(BA61+BV62+BL62+BR62-Q62&lt;0,0,BA61+BF61+BV62+BL62+BR62-Q62)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599">CX62+BG62</f>
        <v>0</v>
      </c>
      <c r="BE62" s="195">
        <f t="shared" si="19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 t="shared" si="373"/>
        <v>0</v>
      </c>
      <c r="BK62" s="50">
        <f t="shared" si="21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5"/>
        <v>0</v>
      </c>
      <c r="BS62" s="233">
        <f t="shared" si="22"/>
        <v>0</v>
      </c>
      <c r="BT62" s="236">
        <f t="shared" ref="BT62:BU65" si="600">IFERROR(VLOOKUP($B62 &amp; $C62&amp;BT$4,tblForecast,BT$2,FALSE),0)</f>
        <v>0</v>
      </c>
      <c r="BU62" s="233">
        <f t="shared" si="600"/>
        <v>0</v>
      </c>
      <c r="BV62" s="233">
        <f>IF($A62="a",IFERROR(VLOOKUP($B62 &amp; $C62&amp;BV$4,tblForecast,BV$2,FALSE),0),BT62+BU62)</f>
        <v>0</v>
      </c>
      <c r="BW62" s="233">
        <f t="shared" ref="BW62:BX65" si="601">IFERROR(VLOOKUP($B62 &amp; $C62&amp;BW$4,tblForecast,BW$2,FALSE),0)</f>
        <v>0</v>
      </c>
      <c r="BX62" s="233">
        <f t="shared" si="601"/>
        <v>0</v>
      </c>
      <c r="BY62" s="194">
        <f>IFERROR(VLOOKUP($B62-IF(CompareVer="LY",1,0) &amp; $C62 &amp;BY$4,tblForecast,BY$2,FALSE),0)</f>
        <v>0</v>
      </c>
      <c r="BZ62" s="195">
        <f t="shared" si="25"/>
        <v>0</v>
      </c>
      <c r="CA62" s="339">
        <f t="shared" ref="CA62:CA65" si="602">IFERROR(VLOOKUP($B62 &amp; $C62&amp;CA$4,tblForecast,CA$2,FALSE),0)</f>
        <v>0</v>
      </c>
      <c r="CB62" s="46">
        <f t="shared" ref="CB62:CB65" si="603">IFERROR(VLOOKUP($B62 &amp; $C62&amp;CB$4,tblForecast,CB$2,FALSE),0)</f>
        <v>0</v>
      </c>
      <c r="CC62" s="46">
        <f>IF($A62="a",IFERROR(VLOOKUP($B62 &amp; $C62&amp;CC$4,tblForecast,CC$2,FALSE),0),CA62+CB62)</f>
        <v>0</v>
      </c>
      <c r="CD62" s="46">
        <f t="shared" ref="CD62:CE65" si="604">IFERROR(VLOOKUP($B62 &amp; $C62&amp;CD$4,tblForecast,CD$2,FALSE),0)</f>
        <v>0</v>
      </c>
      <c r="CE62" s="46">
        <f t="shared" si="604"/>
        <v>0</v>
      </c>
      <c r="CF62" s="46">
        <f>IFERROR(VLOOKUP($B62-IF(CompareVer="LY",1,0) &amp; $C62 &amp;CF$4,tblForecast,CF$2,FALSE),0)</f>
        <v>0</v>
      </c>
      <c r="CG62" s="195">
        <f t="shared" si="28"/>
        <v>0</v>
      </c>
      <c r="CH62" s="339">
        <f t="shared" ref="CH62:CH65" si="605">IFERROR(VLOOKUP($B62 &amp; $C62&amp;CH$4,tblForecast,CH$2,FALSE),0)</f>
        <v>0</v>
      </c>
      <c r="CI62" s="46">
        <f t="shared" ref="CI62:CI65" si="606">IFERROR(VLOOKUP($B62 &amp; $C62&amp;CI$4,tblForecast,CI$2,FALSE),0)</f>
        <v>0</v>
      </c>
      <c r="CJ62" s="46">
        <f>IF($A62="a",IFERROR(VLOOKUP($B62 &amp; $C62&amp;CJ$4,tblForecast,CJ$2,FALSE),0),CH62+CI62)</f>
        <v>0</v>
      </c>
      <c r="CK62" s="46">
        <f t="shared" ref="CK62:CL65" si="607">IFERROR(VLOOKUP($B62 &amp; $C62&amp;CK$4,tblForecast,CK$2,FALSE),0)</f>
        <v>0</v>
      </c>
      <c r="CL62" s="46">
        <f t="shared" si="607"/>
        <v>0</v>
      </c>
      <c r="CM62" s="46">
        <f>IFERROR(VLOOKUP($B62-IF(CompareVer="LY",1,0) &amp; $C62 &amp;CM$4,tblForecast,CM$2,FALSE),0)</f>
        <v>0</v>
      </c>
      <c r="CN62" s="195">
        <f t="shared" si="31"/>
        <v>0</v>
      </c>
      <c r="CO62" s="179">
        <f t="shared" si="51"/>
        <v>0</v>
      </c>
      <c r="CP62" s="225">
        <f t="shared" si="33"/>
        <v>0</v>
      </c>
      <c r="CQ62" s="195">
        <f t="shared" si="34"/>
        <v>0</v>
      </c>
      <c r="CR62" s="179">
        <f t="shared" si="49"/>
        <v>0</v>
      </c>
      <c r="CS62" s="225">
        <f t="shared" si="35"/>
        <v>0</v>
      </c>
      <c r="CT62" s="195">
        <f t="shared" si="52"/>
        <v>0</v>
      </c>
      <c r="CU62" s="44"/>
      <c r="CV62" s="345">
        <f t="shared" ref="CV62:CV65" si="608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7"/>
        <v>0</v>
      </c>
      <c r="CZ62" s="280">
        <f>IFERROR(VLOOKUP(Brand&amp;Channel&amp;Country&amp;$C62,tblDiscount,6,FALSE),0)</f>
        <v>0.8</v>
      </c>
      <c r="DA62" s="281">
        <f>(1-CZ62)*DB62</f>
        <v>5.0259999999999989</v>
      </c>
      <c r="DB62" s="281">
        <f>IFERROR(VLOOKUP(Brand&amp;Country &amp; Channel &amp;FC,tblFCSettings,8,FALSE),0)</f>
        <v>25.13</v>
      </c>
      <c r="DC62" s="282">
        <f>IFERROR(VLOOKUP(Brand&amp;Country &amp; Channel &amp;FC,tblFCSettings,9,FALSE),0)</f>
        <v>4.22</v>
      </c>
    </row>
    <row r="63" spans="2:107" x14ac:dyDescent="0.25">
      <c r="B63" s="44">
        <v>2018</v>
      </c>
      <c r="C63" s="88">
        <v>41</v>
      </c>
      <c r="D63" s="51">
        <f t="shared" ref="D63:D65" si="609">G63*H63</f>
        <v>0</v>
      </c>
      <c r="E63" s="203">
        <f t="shared" ref="E63:E65" si="610">IFERROR(D63*F63,0)</f>
        <v>0</v>
      </c>
      <c r="F63" s="183">
        <f t="shared" si="50"/>
        <v>0</v>
      </c>
      <c r="G63" s="177">
        <f t="shared" si="582"/>
        <v>0</v>
      </c>
      <c r="H63" s="204">
        <f t="shared" si="582"/>
        <v>0</v>
      </c>
      <c r="I63" s="204">
        <f t="shared" si="582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 t="shared" si="583"/>
        <v>0</v>
      </c>
      <c r="M63" s="90">
        <f t="shared" si="583"/>
        <v>0</v>
      </c>
      <c r="N63" s="46">
        <f t="shared" si="583"/>
        <v>0</v>
      </c>
      <c r="O63" s="46">
        <f t="shared" si="583"/>
        <v>0</v>
      </c>
      <c r="P63" s="47">
        <f t="shared" si="40"/>
        <v>0</v>
      </c>
      <c r="Q63" s="244">
        <f t="shared" ref="Q63:Q65" si="611">IF(A62="a",IF(CV63=0,R63,IF(BA62-(Q62*IF(W63=0,X63,W63))&lt;0,BA62,Q62*IF(W63=0,X63,W63))),IF(BA62-(Q62*IF(W63=0,X63,W63))&lt;0,BA62,Q62*IF(W63=0,X63,W63)))</f>
        <v>0</v>
      </c>
      <c r="R63" s="242">
        <f t="shared" si="584"/>
        <v>0</v>
      </c>
      <c r="S63" s="242">
        <f t="shared" si="584"/>
        <v>0</v>
      </c>
      <c r="T63" s="242">
        <f>IFERROR(VLOOKUP($B63-IF(CompareVer="LY",1,0) &amp; $C63 &amp;T$4,tblForecast,T$2,FALSE),0)</f>
        <v>0</v>
      </c>
      <c r="U63" s="91">
        <f t="shared" si="356"/>
        <v>0</v>
      </c>
      <c r="V63" s="251">
        <f t="shared" ref="V63:W65" si="612">IFERROR(IF(Q62&lt;&gt;0,Q63/Q62,0),0)</f>
        <v>0</v>
      </c>
      <c r="W63" s="336">
        <f t="shared" si="612"/>
        <v>0</v>
      </c>
      <c r="X63" s="252">
        <f>IFERROR(IF(T62&lt;&gt;0,T63/T62,0),0)</f>
        <v>0</v>
      </c>
      <c r="Y63" s="51">
        <f t="shared" si="585"/>
        <v>0</v>
      </c>
      <c r="Z63" s="46">
        <f t="shared" si="585"/>
        <v>0</v>
      </c>
      <c r="AA63" s="46">
        <f t="shared" si="585"/>
        <v>0</v>
      </c>
      <c r="AB63" s="46">
        <f t="shared" si="585"/>
        <v>0</v>
      </c>
      <c r="AC63" s="91">
        <f t="shared" si="360"/>
        <v>0</v>
      </c>
      <c r="AD63" s="75">
        <f>IF(AM63&lt;&gt;0,1-AR63/AM63,0)</f>
        <v>0.16036609629924381</v>
      </c>
      <c r="AE63" s="93">
        <f t="shared" si="586"/>
        <v>0</v>
      </c>
      <c r="AF63" s="93">
        <f t="shared" si="586"/>
        <v>0</v>
      </c>
      <c r="AG63" s="76">
        <f t="shared" si="586"/>
        <v>0</v>
      </c>
      <c r="AH63" s="73">
        <f t="shared" si="587"/>
        <v>25.13</v>
      </c>
      <c r="AI63" s="94">
        <f t="shared" si="588"/>
        <v>0</v>
      </c>
      <c r="AJ63" s="94">
        <f t="shared" si="588"/>
        <v>0</v>
      </c>
      <c r="AK63" s="49">
        <f>IFERROR(VLOOKUP($B63-IF(CompareVer="LY",1,0) &amp; $C63 &amp;AK$4,tblForecast,AK$2,FALSE),0)</f>
        <v>0</v>
      </c>
      <c r="AL63" s="47">
        <f t="shared" si="589"/>
        <v>0</v>
      </c>
      <c r="AM63" s="73">
        <f t="shared" si="590"/>
        <v>5.0259999999999989</v>
      </c>
      <c r="AN63" s="94">
        <f t="shared" si="591"/>
        <v>0</v>
      </c>
      <c r="AO63" s="94">
        <f t="shared" si="591"/>
        <v>0</v>
      </c>
      <c r="AP63" s="49">
        <f>IFERROR(VLOOKUP($B63-IF(CompareVer="LY",1,0) &amp; $C63 &amp;AP$4,tblForecast,AP$2,FALSE),0)</f>
        <v>0</v>
      </c>
      <c r="AQ63" s="47">
        <f t="shared" si="441"/>
        <v>0</v>
      </c>
      <c r="AR63" s="73">
        <f t="shared" si="592"/>
        <v>4.22</v>
      </c>
      <c r="AS63" s="94">
        <f t="shared" si="593"/>
        <v>0</v>
      </c>
      <c r="AT63" s="94">
        <f t="shared" si="593"/>
        <v>0</v>
      </c>
      <c r="AU63" s="49">
        <f>IFERROR(VLOOKUP($B63-IF(CompareVer="LY",1,0) &amp; $C63 &amp;AU$4,tblForecast,AU$2,FALSE),0)</f>
        <v>0</v>
      </c>
      <c r="AV63" s="47">
        <f t="shared" si="412"/>
        <v>0</v>
      </c>
      <c r="AW63" s="192">
        <f t="shared" si="594"/>
        <v>0.8</v>
      </c>
      <c r="AX63" s="193">
        <f t="shared" si="595"/>
        <v>0</v>
      </c>
      <c r="AY63" s="193">
        <f t="shared" si="596"/>
        <v>0</v>
      </c>
      <c r="AZ63" s="193">
        <f t="shared" si="597"/>
        <v>0</v>
      </c>
      <c r="BA63" s="237">
        <f t="shared" si="598"/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599"/>
        <v>0</v>
      </c>
      <c r="BE63" s="195">
        <f t="shared" si="19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 t="shared" si="373"/>
        <v>0</v>
      </c>
      <c r="BK63" s="50">
        <f t="shared" si="21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5"/>
        <v>0</v>
      </c>
      <c r="BS63" s="233">
        <f t="shared" si="22"/>
        <v>0</v>
      </c>
      <c r="BT63" s="236">
        <f t="shared" si="600"/>
        <v>0</v>
      </c>
      <c r="BU63" s="233">
        <f t="shared" si="600"/>
        <v>0</v>
      </c>
      <c r="BV63" s="233">
        <f>IF($A63="a",IFERROR(VLOOKUP($B63 &amp; $C63&amp;BV$4,tblForecast,BV$2,FALSE),0),BT63+BU63)</f>
        <v>0</v>
      </c>
      <c r="BW63" s="233">
        <f t="shared" si="601"/>
        <v>0</v>
      </c>
      <c r="BX63" s="233">
        <f t="shared" si="601"/>
        <v>0</v>
      </c>
      <c r="BY63" s="194">
        <f>IFERROR(VLOOKUP($B63-IF(CompareVer="LY",1,0) &amp; $C63 &amp;BY$4,tblForecast,BY$2,FALSE),0)</f>
        <v>0</v>
      </c>
      <c r="BZ63" s="195">
        <f t="shared" si="25"/>
        <v>0</v>
      </c>
      <c r="CA63" s="339">
        <f t="shared" si="602"/>
        <v>0</v>
      </c>
      <c r="CB63" s="46">
        <f t="shared" si="603"/>
        <v>0</v>
      </c>
      <c r="CC63" s="46">
        <f>IF($A63="a",IFERROR(VLOOKUP($B63 &amp; $C63&amp;CC$4,tblForecast,CC$2,FALSE),0),CA63+CB63)</f>
        <v>0</v>
      </c>
      <c r="CD63" s="46">
        <f t="shared" si="604"/>
        <v>0</v>
      </c>
      <c r="CE63" s="46">
        <f t="shared" si="604"/>
        <v>0</v>
      </c>
      <c r="CF63" s="46">
        <f>IFERROR(VLOOKUP($B63-IF(CompareVer="LY",1,0) &amp; $C63 &amp;CF$4,tblForecast,CF$2,FALSE),0)</f>
        <v>0</v>
      </c>
      <c r="CG63" s="195">
        <f t="shared" si="28"/>
        <v>0</v>
      </c>
      <c r="CH63" s="339">
        <f t="shared" si="605"/>
        <v>0</v>
      </c>
      <c r="CI63" s="46">
        <f t="shared" si="606"/>
        <v>0</v>
      </c>
      <c r="CJ63" s="46">
        <f>IF($A63="a",IFERROR(VLOOKUP($B63 &amp; $C63&amp;CJ$4,tblForecast,CJ$2,FALSE),0),CH63+CI63)</f>
        <v>0</v>
      </c>
      <c r="CK63" s="46">
        <f t="shared" si="607"/>
        <v>0</v>
      </c>
      <c r="CL63" s="46">
        <f t="shared" si="607"/>
        <v>0</v>
      </c>
      <c r="CM63" s="46">
        <f>IFERROR(VLOOKUP($B63-IF(CompareVer="LY",1,0) &amp; $C63 &amp;CM$4,tblForecast,CM$2,FALSE),0)</f>
        <v>0</v>
      </c>
      <c r="CN63" s="195">
        <f t="shared" si="31"/>
        <v>0</v>
      </c>
      <c r="CO63" s="179">
        <f t="shared" si="51"/>
        <v>0</v>
      </c>
      <c r="CP63" s="225">
        <f t="shared" si="33"/>
        <v>0</v>
      </c>
      <c r="CQ63" s="195">
        <f t="shared" si="34"/>
        <v>0</v>
      </c>
      <c r="CR63" s="179">
        <f t="shared" si="49"/>
        <v>0</v>
      </c>
      <c r="CS63" s="225">
        <f t="shared" si="35"/>
        <v>0</v>
      </c>
      <c r="CT63" s="195">
        <f t="shared" si="52"/>
        <v>0</v>
      </c>
      <c r="CU63" s="44"/>
      <c r="CV63" s="345">
        <f t="shared" si="608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7"/>
        <v>0</v>
      </c>
      <c r="CZ63" s="280">
        <f>IFERROR(VLOOKUP(Brand&amp;Channel&amp;Country&amp;$C63,tblDiscount,6,FALSE),0)</f>
        <v>0.8</v>
      </c>
      <c r="DA63" s="281">
        <f>(1-CZ63)*DB63</f>
        <v>5.0259999999999989</v>
      </c>
      <c r="DB63" s="281">
        <f>IFERROR(VLOOKUP(Brand&amp;Country &amp; Channel &amp;FC,tblFCSettings,8,FALSE),0)</f>
        <v>25.13</v>
      </c>
      <c r="DC63" s="282">
        <f>IFERROR(VLOOKUP(Brand&amp;Country &amp; Channel &amp;FC,tblFCSettings,9,FALSE),0)</f>
        <v>4.22</v>
      </c>
    </row>
    <row r="64" spans="2:107" x14ac:dyDescent="0.25">
      <c r="B64" s="44">
        <v>2018</v>
      </c>
      <c r="C64" s="88">
        <v>42</v>
      </c>
      <c r="D64" s="51">
        <f t="shared" si="609"/>
        <v>0</v>
      </c>
      <c r="E64" s="203">
        <f t="shared" si="610"/>
        <v>0</v>
      </c>
      <c r="F64" s="183">
        <f t="shared" si="50"/>
        <v>0</v>
      </c>
      <c r="G64" s="177">
        <f t="shared" si="582"/>
        <v>0</v>
      </c>
      <c r="H64" s="204">
        <f t="shared" si="582"/>
        <v>0</v>
      </c>
      <c r="I64" s="204">
        <f t="shared" si="582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 t="shared" si="583"/>
        <v>0</v>
      </c>
      <c r="M64" s="90">
        <f t="shared" si="583"/>
        <v>0</v>
      </c>
      <c r="N64" s="46">
        <f t="shared" si="583"/>
        <v>0</v>
      </c>
      <c r="O64" s="46">
        <f t="shared" si="583"/>
        <v>0</v>
      </c>
      <c r="P64" s="47">
        <f t="shared" si="40"/>
        <v>0</v>
      </c>
      <c r="Q64" s="244">
        <f t="shared" si="611"/>
        <v>0</v>
      </c>
      <c r="R64" s="242">
        <f t="shared" si="584"/>
        <v>0</v>
      </c>
      <c r="S64" s="242">
        <f t="shared" si="584"/>
        <v>0</v>
      </c>
      <c r="T64" s="242">
        <f>IFERROR(VLOOKUP($B64-IF(CompareVer="LY",1,0) &amp; $C64 &amp;T$4,tblForecast,T$2,FALSE),0)</f>
        <v>0</v>
      </c>
      <c r="U64" s="91">
        <f t="shared" si="356"/>
        <v>0</v>
      </c>
      <c r="V64" s="251">
        <f t="shared" si="612"/>
        <v>0</v>
      </c>
      <c r="W64" s="336">
        <f t="shared" si="612"/>
        <v>0</v>
      </c>
      <c r="X64" s="252">
        <f>IFERROR(IF(T63&lt;&gt;0,T64/T63,0),0)</f>
        <v>0</v>
      </c>
      <c r="Y64" s="51">
        <f t="shared" si="585"/>
        <v>0</v>
      </c>
      <c r="Z64" s="46">
        <f t="shared" si="585"/>
        <v>0</v>
      </c>
      <c r="AA64" s="46">
        <f t="shared" si="585"/>
        <v>0</v>
      </c>
      <c r="AB64" s="46">
        <f t="shared" si="585"/>
        <v>0</v>
      </c>
      <c r="AC64" s="91">
        <f t="shared" si="360"/>
        <v>0</v>
      </c>
      <c r="AD64" s="75">
        <f>IF(AM64&lt;&gt;0,1-AR64/AM64,0)</f>
        <v>0.16036609629924381</v>
      </c>
      <c r="AE64" s="93">
        <f t="shared" si="586"/>
        <v>0</v>
      </c>
      <c r="AF64" s="93">
        <f t="shared" si="586"/>
        <v>0</v>
      </c>
      <c r="AG64" s="76">
        <f t="shared" si="586"/>
        <v>0</v>
      </c>
      <c r="AH64" s="73">
        <f t="shared" si="587"/>
        <v>25.13</v>
      </c>
      <c r="AI64" s="94">
        <f t="shared" si="588"/>
        <v>0</v>
      </c>
      <c r="AJ64" s="94">
        <f t="shared" si="588"/>
        <v>0</v>
      </c>
      <c r="AK64" s="49">
        <f>IFERROR(VLOOKUP($B64-IF(CompareVer="LY",1,0) &amp; $C64 &amp;AK$4,tblForecast,AK$2,FALSE),0)</f>
        <v>0</v>
      </c>
      <c r="AL64" s="47">
        <f t="shared" si="589"/>
        <v>0</v>
      </c>
      <c r="AM64" s="73">
        <f t="shared" si="590"/>
        <v>5.0259999999999989</v>
      </c>
      <c r="AN64" s="94">
        <f t="shared" si="591"/>
        <v>0</v>
      </c>
      <c r="AO64" s="94">
        <f t="shared" si="591"/>
        <v>0</v>
      </c>
      <c r="AP64" s="49">
        <f>IFERROR(VLOOKUP($B64-IF(CompareVer="LY",1,0) &amp; $C64 &amp;AP$4,tblForecast,AP$2,FALSE),0)</f>
        <v>0</v>
      </c>
      <c r="AQ64" s="47">
        <f t="shared" si="441"/>
        <v>0</v>
      </c>
      <c r="AR64" s="73">
        <f t="shared" si="592"/>
        <v>4.22</v>
      </c>
      <c r="AS64" s="94">
        <f t="shared" si="593"/>
        <v>0</v>
      </c>
      <c r="AT64" s="94">
        <f t="shared" si="593"/>
        <v>0</v>
      </c>
      <c r="AU64" s="49">
        <f>IFERROR(VLOOKUP($B64-IF(CompareVer="LY",1,0) &amp; $C64 &amp;AU$4,tblForecast,AU$2,FALSE),0)</f>
        <v>0</v>
      </c>
      <c r="AV64" s="47">
        <f t="shared" si="412"/>
        <v>0</v>
      </c>
      <c r="AW64" s="192">
        <f t="shared" si="594"/>
        <v>0.8</v>
      </c>
      <c r="AX64" s="193">
        <f t="shared" si="595"/>
        <v>0</v>
      </c>
      <c r="AY64" s="193">
        <f t="shared" si="596"/>
        <v>0</v>
      </c>
      <c r="AZ64" s="193">
        <f t="shared" si="597"/>
        <v>0</v>
      </c>
      <c r="BA64" s="237">
        <f t="shared" si="598"/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599"/>
        <v>0</v>
      </c>
      <c r="BE64" s="195">
        <f t="shared" si="19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 t="shared" si="373"/>
        <v>0</v>
      </c>
      <c r="BK64" s="50">
        <f t="shared" si="21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5"/>
        <v>0</v>
      </c>
      <c r="BS64" s="233">
        <f t="shared" si="22"/>
        <v>0</v>
      </c>
      <c r="BT64" s="236">
        <f t="shared" si="600"/>
        <v>0</v>
      </c>
      <c r="BU64" s="233">
        <f t="shared" si="600"/>
        <v>0</v>
      </c>
      <c r="BV64" s="233">
        <f>IF($A64="a",IFERROR(VLOOKUP($B64 &amp; $C64&amp;BV$4,tblForecast,BV$2,FALSE),0),BT64+BU64)</f>
        <v>0</v>
      </c>
      <c r="BW64" s="233">
        <f t="shared" si="601"/>
        <v>0</v>
      </c>
      <c r="BX64" s="233">
        <f t="shared" si="601"/>
        <v>0</v>
      </c>
      <c r="BY64" s="194">
        <f>IFERROR(VLOOKUP($B64-IF(CompareVer="LY",1,0) &amp; $C64 &amp;BY$4,tblForecast,BY$2,FALSE),0)</f>
        <v>0</v>
      </c>
      <c r="BZ64" s="195">
        <f t="shared" si="25"/>
        <v>0</v>
      </c>
      <c r="CA64" s="339">
        <f t="shared" si="602"/>
        <v>0</v>
      </c>
      <c r="CB64" s="46">
        <f t="shared" si="603"/>
        <v>0</v>
      </c>
      <c r="CC64" s="46">
        <f>IF($A64="a",IFERROR(VLOOKUP($B64 &amp; $C64&amp;CC$4,tblForecast,CC$2,FALSE),0),CA64+CB64)</f>
        <v>0</v>
      </c>
      <c r="CD64" s="46">
        <f t="shared" si="604"/>
        <v>0</v>
      </c>
      <c r="CE64" s="46">
        <f t="shared" si="604"/>
        <v>0</v>
      </c>
      <c r="CF64" s="46">
        <f>IFERROR(VLOOKUP($B64-IF(CompareVer="LY",1,0) &amp; $C64 &amp;CF$4,tblForecast,CF$2,FALSE),0)</f>
        <v>0</v>
      </c>
      <c r="CG64" s="195">
        <f t="shared" si="28"/>
        <v>0</v>
      </c>
      <c r="CH64" s="339">
        <f t="shared" si="605"/>
        <v>0</v>
      </c>
      <c r="CI64" s="46">
        <f t="shared" si="606"/>
        <v>0</v>
      </c>
      <c r="CJ64" s="46">
        <f>IF($A64="a",IFERROR(VLOOKUP($B64 &amp; $C64&amp;CJ$4,tblForecast,CJ$2,FALSE),0),CH64+CI64)</f>
        <v>0</v>
      </c>
      <c r="CK64" s="46">
        <f t="shared" si="607"/>
        <v>0</v>
      </c>
      <c r="CL64" s="46">
        <f t="shared" si="607"/>
        <v>0</v>
      </c>
      <c r="CM64" s="46">
        <f>IFERROR(VLOOKUP($B64-IF(CompareVer="LY",1,0) &amp; $C64 &amp;CM$4,tblForecast,CM$2,FALSE),0)</f>
        <v>0</v>
      </c>
      <c r="CN64" s="195">
        <f t="shared" si="31"/>
        <v>0</v>
      </c>
      <c r="CO64" s="179">
        <f t="shared" si="51"/>
        <v>0</v>
      </c>
      <c r="CP64" s="225">
        <f t="shared" si="33"/>
        <v>0</v>
      </c>
      <c r="CQ64" s="195">
        <f t="shared" si="34"/>
        <v>0</v>
      </c>
      <c r="CR64" s="179">
        <f t="shared" si="49"/>
        <v>0</v>
      </c>
      <c r="CS64" s="225">
        <f t="shared" si="35"/>
        <v>0</v>
      </c>
      <c r="CT64" s="195">
        <f t="shared" si="52"/>
        <v>0</v>
      </c>
      <c r="CU64" s="44"/>
      <c r="CV64" s="345">
        <f t="shared" si="608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7"/>
        <v>0</v>
      </c>
      <c r="CZ64" s="280">
        <f>IFERROR(VLOOKUP(Brand&amp;Channel&amp;Country&amp;$C64,tblDiscount,6,FALSE),0)</f>
        <v>0.8</v>
      </c>
      <c r="DA64" s="281">
        <f>(1-CZ64)*DB64</f>
        <v>5.0259999999999989</v>
      </c>
      <c r="DB64" s="281">
        <f>IFERROR(VLOOKUP(Brand&amp;Country &amp; Channel &amp;FC,tblFCSettings,8,FALSE),0)</f>
        <v>25.13</v>
      </c>
      <c r="DC64" s="282">
        <f>IFERROR(VLOOKUP(Brand&amp;Country &amp; Channel &amp;FC,tblFCSettings,9,FALSE),0)</f>
        <v>4.22</v>
      </c>
    </row>
    <row r="65" spans="2:107" ht="16.5" thickBot="1" x14ac:dyDescent="0.3">
      <c r="B65" s="44">
        <v>2018</v>
      </c>
      <c r="C65" s="88">
        <v>43</v>
      </c>
      <c r="D65" s="51">
        <f t="shared" si="609"/>
        <v>0</v>
      </c>
      <c r="E65" s="203">
        <f t="shared" si="610"/>
        <v>0</v>
      </c>
      <c r="F65" s="183">
        <f t="shared" si="50"/>
        <v>0</v>
      </c>
      <c r="G65" s="177">
        <f t="shared" si="582"/>
        <v>0</v>
      </c>
      <c r="H65" s="204">
        <f t="shared" si="582"/>
        <v>0</v>
      </c>
      <c r="I65" s="204">
        <f t="shared" si="582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 t="shared" si="583"/>
        <v>0</v>
      </c>
      <c r="M65" s="90">
        <f t="shared" si="583"/>
        <v>0</v>
      </c>
      <c r="N65" s="46">
        <f t="shared" si="583"/>
        <v>0</v>
      </c>
      <c r="O65" s="46">
        <f t="shared" si="583"/>
        <v>0</v>
      </c>
      <c r="P65" s="47">
        <f t="shared" si="40"/>
        <v>0</v>
      </c>
      <c r="Q65" s="244">
        <f t="shared" si="611"/>
        <v>0</v>
      </c>
      <c r="R65" s="242">
        <f t="shared" si="584"/>
        <v>0</v>
      </c>
      <c r="S65" s="242">
        <f t="shared" si="584"/>
        <v>0</v>
      </c>
      <c r="T65" s="242">
        <f>IFERROR(VLOOKUP($B65-IF(CompareVer="LY",1,0) &amp; $C65 &amp;T$4,tblForecast,T$2,FALSE),0)</f>
        <v>0</v>
      </c>
      <c r="U65" s="91">
        <f t="shared" si="356"/>
        <v>0</v>
      </c>
      <c r="V65" s="251">
        <f t="shared" si="612"/>
        <v>0</v>
      </c>
      <c r="W65" s="336">
        <f t="shared" si="612"/>
        <v>0</v>
      </c>
      <c r="X65" s="252">
        <f>IFERROR(IF(T64&lt;&gt;0,T65/T64,0),0)</f>
        <v>0</v>
      </c>
      <c r="Y65" s="51">
        <f t="shared" si="585"/>
        <v>0</v>
      </c>
      <c r="Z65" s="46">
        <f t="shared" si="585"/>
        <v>0</v>
      </c>
      <c r="AA65" s="46">
        <f t="shared" si="585"/>
        <v>0</v>
      </c>
      <c r="AB65" s="46">
        <f t="shared" si="585"/>
        <v>0</v>
      </c>
      <c r="AC65" s="91">
        <f t="shared" si="360"/>
        <v>0</v>
      </c>
      <c r="AD65" s="75">
        <f>IF(AM65&lt;&gt;0,1-AR65/AM65,0)</f>
        <v>0.16036609629924381</v>
      </c>
      <c r="AE65" s="93">
        <f t="shared" si="586"/>
        <v>0</v>
      </c>
      <c r="AF65" s="93">
        <f t="shared" si="586"/>
        <v>0</v>
      </c>
      <c r="AG65" s="76">
        <f t="shared" si="586"/>
        <v>0</v>
      </c>
      <c r="AH65" s="73">
        <f t="shared" si="587"/>
        <v>25.13</v>
      </c>
      <c r="AI65" s="94">
        <f t="shared" si="588"/>
        <v>0</v>
      </c>
      <c r="AJ65" s="94">
        <f t="shared" si="588"/>
        <v>0</v>
      </c>
      <c r="AK65" s="49">
        <f>IFERROR(VLOOKUP($B65-IF(CompareVer="LY",1,0) &amp; $C65 &amp;AK$4,tblForecast,AK$2,FALSE),0)</f>
        <v>0</v>
      </c>
      <c r="AL65" s="47">
        <f t="shared" si="589"/>
        <v>0</v>
      </c>
      <c r="AM65" s="73">
        <f t="shared" si="590"/>
        <v>5.0259999999999989</v>
      </c>
      <c r="AN65" s="94">
        <f t="shared" si="591"/>
        <v>0</v>
      </c>
      <c r="AO65" s="94">
        <f t="shared" si="591"/>
        <v>0</v>
      </c>
      <c r="AP65" s="49">
        <f>IFERROR(VLOOKUP($B65-IF(CompareVer="LY",1,0) &amp; $C65 &amp;AP$4,tblForecast,AP$2,FALSE),0)</f>
        <v>0</v>
      </c>
      <c r="AQ65" s="47">
        <f t="shared" si="441"/>
        <v>0</v>
      </c>
      <c r="AR65" s="73">
        <f t="shared" si="592"/>
        <v>4.22</v>
      </c>
      <c r="AS65" s="94">
        <f t="shared" si="593"/>
        <v>0</v>
      </c>
      <c r="AT65" s="94">
        <f t="shared" si="593"/>
        <v>0</v>
      </c>
      <c r="AU65" s="49">
        <f>IFERROR(VLOOKUP($B65-IF(CompareVer="LY",1,0) &amp; $C65 &amp;AU$4,tblForecast,AU$2,FALSE),0)</f>
        <v>0</v>
      </c>
      <c r="AV65" s="47">
        <f t="shared" si="412"/>
        <v>0</v>
      </c>
      <c r="AW65" s="192">
        <f t="shared" si="594"/>
        <v>0.8</v>
      </c>
      <c r="AX65" s="193">
        <f t="shared" si="595"/>
        <v>0</v>
      </c>
      <c r="AY65" s="193">
        <f t="shared" si="596"/>
        <v>0</v>
      </c>
      <c r="AZ65" s="193">
        <f t="shared" si="597"/>
        <v>0</v>
      </c>
      <c r="BA65" s="237">
        <f t="shared" si="598"/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599"/>
        <v>0</v>
      </c>
      <c r="BE65" s="195">
        <f t="shared" si="19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 t="shared" si="373"/>
        <v>0</v>
      </c>
      <c r="BK65" s="50">
        <f t="shared" si="21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5"/>
        <v>0</v>
      </c>
      <c r="BS65" s="233">
        <f t="shared" si="22"/>
        <v>0</v>
      </c>
      <c r="BT65" s="236">
        <f t="shared" si="600"/>
        <v>0</v>
      </c>
      <c r="BU65" s="233">
        <f t="shared" si="600"/>
        <v>0</v>
      </c>
      <c r="BV65" s="233">
        <f>IF($A65="a",IFERROR(VLOOKUP($B65 &amp; $C65&amp;BV$4,tblForecast,BV$2,FALSE),0),BT65+BU65)</f>
        <v>0</v>
      </c>
      <c r="BW65" s="233">
        <f t="shared" si="601"/>
        <v>0</v>
      </c>
      <c r="BX65" s="233">
        <f t="shared" si="601"/>
        <v>0</v>
      </c>
      <c r="BY65" s="194">
        <f>IFERROR(VLOOKUP($B65-IF(CompareVer="LY",1,0) &amp; $C65 &amp;BY$4,tblForecast,BY$2,FALSE),0)</f>
        <v>0</v>
      </c>
      <c r="BZ65" s="195">
        <f t="shared" si="25"/>
        <v>0</v>
      </c>
      <c r="CA65" s="339">
        <f t="shared" si="602"/>
        <v>0</v>
      </c>
      <c r="CB65" s="46">
        <f t="shared" si="603"/>
        <v>0</v>
      </c>
      <c r="CC65" s="46">
        <f>IF($A65="a",IFERROR(VLOOKUP($B65 &amp; $C65&amp;CC$4,tblForecast,CC$2,FALSE),0),CA65+CB65)</f>
        <v>0</v>
      </c>
      <c r="CD65" s="46">
        <f t="shared" si="604"/>
        <v>0</v>
      </c>
      <c r="CE65" s="46">
        <f t="shared" si="604"/>
        <v>0</v>
      </c>
      <c r="CF65" s="46">
        <f>IFERROR(VLOOKUP($B65-IF(CompareVer="LY",1,0) &amp; $C65 &amp;CF$4,tblForecast,CF$2,FALSE),0)</f>
        <v>0</v>
      </c>
      <c r="CG65" s="195">
        <f t="shared" si="28"/>
        <v>0</v>
      </c>
      <c r="CH65" s="339">
        <f t="shared" si="605"/>
        <v>0</v>
      </c>
      <c r="CI65" s="46">
        <f t="shared" si="606"/>
        <v>0</v>
      </c>
      <c r="CJ65" s="46">
        <f>IF($A65="a",IFERROR(VLOOKUP($B65 &amp; $C65&amp;CJ$4,tblForecast,CJ$2,FALSE),0),CH65+CI65)</f>
        <v>0</v>
      </c>
      <c r="CK65" s="46">
        <f t="shared" si="607"/>
        <v>0</v>
      </c>
      <c r="CL65" s="46">
        <f t="shared" si="607"/>
        <v>0</v>
      </c>
      <c r="CM65" s="46">
        <f>IFERROR(VLOOKUP($B65-IF(CompareVer="LY",1,0) &amp; $C65 &amp;CM$4,tblForecast,CM$2,FALSE),0)</f>
        <v>0</v>
      </c>
      <c r="CN65" s="195">
        <f t="shared" si="31"/>
        <v>0</v>
      </c>
      <c r="CO65" s="179">
        <f t="shared" si="51"/>
        <v>0</v>
      </c>
      <c r="CP65" s="225">
        <f t="shared" si="33"/>
        <v>0</v>
      </c>
      <c r="CQ65" s="195">
        <f t="shared" si="34"/>
        <v>0</v>
      </c>
      <c r="CR65" s="179">
        <f t="shared" si="49"/>
        <v>0</v>
      </c>
      <c r="CS65" s="225">
        <f t="shared" si="35"/>
        <v>0</v>
      </c>
      <c r="CT65" s="195">
        <f t="shared" si="52"/>
        <v>0</v>
      </c>
      <c r="CU65" s="44"/>
      <c r="CV65" s="345">
        <f t="shared" si="608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7"/>
        <v>0</v>
      </c>
      <c r="CZ65" s="280">
        <f>IFERROR(VLOOKUP(Brand&amp;Channel&amp;Country&amp;$C65,tblDiscount,6,FALSE),0)</f>
        <v>0.8</v>
      </c>
      <c r="DA65" s="281">
        <f>(1-CZ65)*DB65</f>
        <v>5.0259999999999989</v>
      </c>
      <c r="DB65" s="281">
        <f>IFERROR(VLOOKUP(Brand&amp;Country &amp; Channel &amp;FC,tblFCSettings,8,FALSE),0)</f>
        <v>25.13</v>
      </c>
      <c r="DC65" s="282">
        <f>IFERROR(VLOOKUP(Brand&amp;Country &amp; Channel &amp;FC,tblFCSettings,9,FALSE),0)</f>
        <v>4.22</v>
      </c>
    </row>
    <row r="66" spans="2:107" ht="16.5" thickBot="1" x14ac:dyDescent="0.3">
      <c r="C66" s="255" t="s">
        <v>320</v>
      </c>
      <c r="D66" s="256">
        <f t="shared" ref="D66" si="613">SUM(D62:D65)</f>
        <v>0</v>
      </c>
      <c r="E66" s="257">
        <f t="shared" ref="E66" si="614">SUM(E62:E65)</f>
        <v>0</v>
      </c>
      <c r="F66" s="258">
        <f t="shared" si="50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615">SUM(M62:M65)</f>
        <v>0</v>
      </c>
      <c r="N66" s="261">
        <f t="shared" si="615"/>
        <v>0</v>
      </c>
      <c r="O66" s="261">
        <f t="shared" si="615"/>
        <v>0</v>
      </c>
      <c r="P66" s="262">
        <f t="shared" si="40"/>
        <v>0</v>
      </c>
      <c r="Q66" s="264">
        <f t="shared" ref="Q66" si="616">SUM(Q62:Q65)</f>
        <v>0</v>
      </c>
      <c r="R66" s="264">
        <f t="shared" ref="R66" si="617">SUM(R62:R65)</f>
        <v>0</v>
      </c>
      <c r="S66" s="264">
        <f t="shared" ref="S66" si="618">SUM(S62:S65)</f>
        <v>0</v>
      </c>
      <c r="T66" s="264">
        <f>SUM(T62:T65)</f>
        <v>0</v>
      </c>
      <c r="U66" s="262">
        <f t="shared" si="356"/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619">SUM(Z62:Z65)</f>
        <v>0</v>
      </c>
      <c r="AA66" s="261">
        <f t="shared" si="619"/>
        <v>0</v>
      </c>
      <c r="AB66" s="261">
        <f t="shared" si="619"/>
        <v>0</v>
      </c>
      <c r="AC66" s="262">
        <f t="shared" si="360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" si="620">IFERROR(SUMPRODUCT(AJ62:AJ65,S62:S65)/S66,0)</f>
        <v>0</v>
      </c>
      <c r="AK66" s="270">
        <f t="shared" ref="AK66" si="621">IFERROR(SUMPRODUCT(AK62:AK65,T62:T65)/T66,0)</f>
        <v>0</v>
      </c>
      <c r="AL66" s="262">
        <f t="shared" ref="AL66:AL71" si="622">IFERROR(AH66/AK66-1,)</f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441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412"/>
        <v>0</v>
      </c>
      <c r="AW66" s="271">
        <f>IFERROR(SUMPRODUCT(AW62:AW65,V62:V65)/V66,0)</f>
        <v>0</v>
      </c>
      <c r="AX66" s="272">
        <f t="shared" ref="AX66:AZ66" si="623">IFERROR(SUMPRODUCT(AX62:AX65,X62:X65)/X66,0)</f>
        <v>0</v>
      </c>
      <c r="AY66" s="272">
        <f t="shared" si="623"/>
        <v>0</v>
      </c>
      <c r="AZ66" s="272">
        <f t="shared" si="623"/>
        <v>0</v>
      </c>
      <c r="BA66" s="263">
        <f>BA65</f>
        <v>0</v>
      </c>
      <c r="BB66" s="264">
        <f t="shared" ref="BB66" si="624">BB65</f>
        <v>0</v>
      </c>
      <c r="BC66" s="264">
        <f t="shared" ref="BC66" si="625">BC65</f>
        <v>0</v>
      </c>
      <c r="BD66" s="264">
        <f t="shared" ref="BD66" si="626">BD65</f>
        <v>0</v>
      </c>
      <c r="BE66" s="262">
        <f t="shared" ref="BE66" si="627">IFERROR(BA66/BD66-1,)</f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 t="shared" si="373"/>
        <v>0</v>
      </c>
      <c r="BK66" s="276">
        <f t="shared" si="21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628">SUM(BO62:BO65)</f>
        <v>0</v>
      </c>
      <c r="BP66" s="263">
        <f>SUM(BP62:BP65)</f>
        <v>0</v>
      </c>
      <c r="BQ66" s="264">
        <f t="shared" si="628"/>
        <v>0</v>
      </c>
      <c r="BR66" s="263">
        <f t="shared" si="45"/>
        <v>0</v>
      </c>
      <c r="BS66" s="264">
        <f t="shared" si="22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" si="629">SUM(BW62:BW65)</f>
        <v>0</v>
      </c>
      <c r="BX66" s="264">
        <f t="shared" ref="BX66" si="630">SUM(BX62:BX65)</f>
        <v>0</v>
      </c>
      <c r="BY66" s="277">
        <f>SUM(BY62:BY65)</f>
        <v>0</v>
      </c>
      <c r="BZ66" s="262">
        <f t="shared" si="25"/>
        <v>0</v>
      </c>
      <c r="CA66" s="340">
        <f>SUM(CA62:CA65)</f>
        <v>0</v>
      </c>
      <c r="CB66" s="261">
        <f t="shared" ref="CB66:CF66" si="631">SUM(CB62:CB65)</f>
        <v>0</v>
      </c>
      <c r="CC66" s="261">
        <f t="shared" si="631"/>
        <v>0</v>
      </c>
      <c r="CD66" s="261">
        <f t="shared" si="631"/>
        <v>0</v>
      </c>
      <c r="CE66" s="261">
        <f t="shared" si="631"/>
        <v>0</v>
      </c>
      <c r="CF66" s="261">
        <f t="shared" si="631"/>
        <v>0</v>
      </c>
      <c r="CG66" s="262">
        <f t="shared" si="28"/>
        <v>0</v>
      </c>
      <c r="CH66" s="340">
        <f>SUM(CH62:CH65)</f>
        <v>0</v>
      </c>
      <c r="CI66" s="261">
        <f t="shared" ref="CI66:CM66" si="632">SUM(CI62:CI65)</f>
        <v>0</v>
      </c>
      <c r="CJ66" s="261">
        <f t="shared" si="632"/>
        <v>0</v>
      </c>
      <c r="CK66" s="261">
        <f t="shared" si="632"/>
        <v>0</v>
      </c>
      <c r="CL66" s="261">
        <f t="shared" si="632"/>
        <v>0</v>
      </c>
      <c r="CM66" s="261">
        <f t="shared" si="632"/>
        <v>0</v>
      </c>
      <c r="CN66" s="262">
        <f t="shared" si="31"/>
        <v>0</v>
      </c>
      <c r="CO66" s="278">
        <f t="shared" si="51"/>
        <v>0</v>
      </c>
      <c r="CP66" s="279">
        <f t="shared" si="33"/>
        <v>0</v>
      </c>
      <c r="CQ66" s="262">
        <f t="shared" si="34"/>
        <v>0</v>
      </c>
      <c r="CR66" s="278">
        <f t="shared" si="49"/>
        <v>0</v>
      </c>
      <c r="CS66" s="279">
        <f t="shared" si="35"/>
        <v>0</v>
      </c>
      <c r="CT66" s="262">
        <f t="shared" si="52"/>
        <v>0</v>
      </c>
      <c r="CU66" s="44"/>
      <c r="CV66" s="346"/>
      <c r="CW66" s="100">
        <f>CW65</f>
        <v>0</v>
      </c>
      <c r="CX66" s="101">
        <f>CX65</f>
        <v>0</v>
      </c>
      <c r="CY66" s="99">
        <f t="shared" si="37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50"/>
        <v>0</v>
      </c>
      <c r="G67" s="177">
        <f t="shared" ref="G67:I71" si="633">IFERROR(VLOOKUP($B67 &amp; $C67&amp;G$4&amp;$A67,tblForecast,G$2,FALSE),0)</f>
        <v>0</v>
      </c>
      <c r="H67" s="204">
        <f t="shared" si="633"/>
        <v>0</v>
      </c>
      <c r="I67" s="204">
        <f t="shared" si="633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 t="shared" ref="L67:O71" si="634">Q67*AM67</f>
        <v>0</v>
      </c>
      <c r="M67" s="90">
        <f t="shared" si="634"/>
        <v>0</v>
      </c>
      <c r="N67" s="46">
        <f t="shared" si="634"/>
        <v>0</v>
      </c>
      <c r="O67" s="46">
        <f t="shared" si="634"/>
        <v>0</v>
      </c>
      <c r="P67" s="47">
        <f t="shared" si="40"/>
        <v>0</v>
      </c>
      <c r="Q67" s="244">
        <f>IF(A65="a",IF(CV67=0,R67,IF(BA65-(Q65*IF(W67=0,X67,W67))&lt;0,BA65,Q65*IF(W67=0,X67,W67))),IF(BA65-(Q65*IF(W67=0,X67,W67))&lt;0,BA65,Q65*IF(W67=0,X67,W67)))</f>
        <v>0</v>
      </c>
      <c r="R67" s="242">
        <f t="shared" ref="R67:S71" si="635">IFERROR(VLOOKUP($B67 &amp; $C67&amp;R$4,tblForecast,R$2,FALSE),0)</f>
        <v>0</v>
      </c>
      <c r="S67" s="242">
        <f t="shared" si="635"/>
        <v>0</v>
      </c>
      <c r="T67" s="242">
        <f>IFERROR(VLOOKUP($B67-IF(CompareVer="LY",1,0) &amp; $C67 &amp;T$4,tblForecast,T$2,FALSE),0)</f>
        <v>0</v>
      </c>
      <c r="U67" s="91">
        <f t="shared" si="356"/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 t="shared" ref="Y67:AB71" si="636">IFERROR(L67*AD67,0)</f>
        <v>0</v>
      </c>
      <c r="Z67" s="46">
        <f t="shared" si="636"/>
        <v>0</v>
      </c>
      <c r="AA67" s="46">
        <f t="shared" si="636"/>
        <v>0</v>
      </c>
      <c r="AB67" s="46">
        <f t="shared" si="636"/>
        <v>0</v>
      </c>
      <c r="AC67" s="91">
        <f t="shared" si="360"/>
        <v>0</v>
      </c>
      <c r="AD67" s="75">
        <f>IF(AM67&lt;&gt;0,1-AR67/AM67,0)</f>
        <v>0.16036609629924381</v>
      </c>
      <c r="AE67" s="93">
        <f t="shared" ref="AE67:AG71" si="637">IF(AN67&lt;&gt;0,1-AS67/AN67,0)</f>
        <v>0</v>
      </c>
      <c r="AF67" s="93">
        <f t="shared" si="637"/>
        <v>0</v>
      </c>
      <c r="AG67" s="76">
        <f t="shared" si="637"/>
        <v>0</v>
      </c>
      <c r="AH67" s="73">
        <f t="shared" ref="AH67:AH71" si="638">DB67</f>
        <v>25.13</v>
      </c>
      <c r="AI67" s="94">
        <f t="shared" ref="AI67:AJ71" si="639">IFERROR(VLOOKUP($B67 &amp; $C67&amp;AI$4,tblForecast,AI$2,FALSE),0)</f>
        <v>0</v>
      </c>
      <c r="AJ67" s="94">
        <f t="shared" si="639"/>
        <v>0</v>
      </c>
      <c r="AK67" s="49">
        <f>IFERROR(VLOOKUP($B67-IF(CompareVer="LY",1,0) &amp; $C67 &amp;AK$4,tblForecast,AK$2,FALSE),0)</f>
        <v>0</v>
      </c>
      <c r="AL67" s="47">
        <f t="shared" si="622"/>
        <v>0</v>
      </c>
      <c r="AM67" s="73">
        <f t="shared" ref="AM67:AM71" si="640">DA67</f>
        <v>5.0259999999999989</v>
      </c>
      <c r="AN67" s="94">
        <f t="shared" ref="AN67:AO71" si="641">IFERROR(VLOOKUP($B67 &amp; $C67&amp;AN$4,tblForecast,AN$2,FALSE),0)</f>
        <v>0</v>
      </c>
      <c r="AO67" s="94">
        <f t="shared" si="641"/>
        <v>0</v>
      </c>
      <c r="AP67" s="49">
        <f>IFERROR(VLOOKUP($B67-IF(CompareVer="LY",1,0) &amp; $C67 &amp;AP$4,tblForecast,AP$2,FALSE),0)</f>
        <v>0</v>
      </c>
      <c r="AQ67" s="47">
        <f t="shared" si="441"/>
        <v>0</v>
      </c>
      <c r="AR67" s="73">
        <f t="shared" ref="AR67:AR71" si="642">DC67</f>
        <v>4.22</v>
      </c>
      <c r="AS67" s="94">
        <f t="shared" ref="AS67:AT71" si="643">IFERROR(VLOOKUP($B67 &amp; $C67&amp;AS$4,tblForecast,AS$2,FALSE),0)</f>
        <v>0</v>
      </c>
      <c r="AT67" s="94">
        <f t="shared" si="643"/>
        <v>0</v>
      </c>
      <c r="AU67" s="49">
        <f>IFERROR(VLOOKUP($B67-IF(CompareVer="LY",1,0) &amp; $C67 &amp;AU$4,tblForecast,AU$2,FALSE),0)</f>
        <v>0</v>
      </c>
      <c r="AV67" s="47">
        <f t="shared" si="412"/>
        <v>0</v>
      </c>
      <c r="AW67" s="192">
        <f t="shared" ref="AW67:AW71" si="644">IFERROR((AM67/AH67-1)*-1,0)</f>
        <v>0.8</v>
      </c>
      <c r="AX67" s="193">
        <f t="shared" ref="AX67:AX71" si="645">IFERROR((AN67/AI67-1)*-1,0)</f>
        <v>0</v>
      </c>
      <c r="AY67" s="193">
        <f t="shared" ref="AY67:AY71" si="646">IFERROR((AO67/AJ67-1)*-1,0)</f>
        <v>0</v>
      </c>
      <c r="AZ67" s="193">
        <f t="shared" ref="AZ67:AZ71" si="647">IFERROR((AP67/AK67-1)*-1,0)</f>
        <v>0</v>
      </c>
      <c r="BA67" s="237">
        <f t="shared" ref="BA67:BA71" si="648">IF(BA66+BV67+BL67+BR67-Q67&lt;0,0,BA66+BF66+BV67+BL67+BR67-Q67)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649">CX67+BG67</f>
        <v>0</v>
      </c>
      <c r="BE67" s="195">
        <f t="shared" si="19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 t="shared" si="373"/>
        <v>0</v>
      </c>
      <c r="BK67" s="50">
        <f t="shared" si="21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5"/>
        <v>0</v>
      </c>
      <c r="BS67" s="233">
        <f t="shared" si="22"/>
        <v>0</v>
      </c>
      <c r="BT67" s="236">
        <f t="shared" ref="BT67:BU71" si="650">IFERROR(VLOOKUP($B67 &amp; $C67&amp;BT$4,tblForecast,BT$2,FALSE),0)</f>
        <v>0</v>
      </c>
      <c r="BU67" s="233">
        <f t="shared" si="650"/>
        <v>0</v>
      </c>
      <c r="BV67" s="233">
        <f>IF($A67="a",IFERROR(VLOOKUP($B67 &amp; $C67&amp;BV$4,tblForecast,BV$2,FALSE),0),BT67+BU67)</f>
        <v>0</v>
      </c>
      <c r="BW67" s="233">
        <f t="shared" ref="BW67:BX71" si="651">IFERROR(VLOOKUP($B67 &amp; $C67&amp;BW$4,tblForecast,BW$2,FALSE),0)</f>
        <v>0</v>
      </c>
      <c r="BX67" s="233">
        <f t="shared" si="651"/>
        <v>0</v>
      </c>
      <c r="BY67" s="194">
        <f>IFERROR(VLOOKUP($B67-IF(CompareVer="LY",1,0) &amp; $C67 &amp;BY$4,tblForecast,BY$2,FALSE),0)</f>
        <v>0</v>
      </c>
      <c r="BZ67" s="195">
        <f t="shared" si="25"/>
        <v>0</v>
      </c>
      <c r="CA67" s="339">
        <f t="shared" ref="CA67:CA71" si="652">IFERROR(VLOOKUP($B67 &amp; $C67&amp;CA$4,tblForecast,CA$2,FALSE),0)</f>
        <v>0</v>
      </c>
      <c r="CB67" s="46">
        <f t="shared" ref="CB67:CB71" si="653">IFERROR(VLOOKUP($B67 &amp; $C67&amp;CB$4,tblForecast,CB$2,FALSE),0)</f>
        <v>0</v>
      </c>
      <c r="CC67" s="46">
        <f>IF($A67="a",IFERROR(VLOOKUP($B67 &amp; $C67&amp;CC$4,tblForecast,CC$2,FALSE),0),CA67+CB67)</f>
        <v>0</v>
      </c>
      <c r="CD67" s="46">
        <f t="shared" ref="CD67:CE71" si="654">IFERROR(VLOOKUP($B67 &amp; $C67&amp;CD$4,tblForecast,CD$2,FALSE),0)</f>
        <v>0</v>
      </c>
      <c r="CE67" s="46">
        <f t="shared" si="654"/>
        <v>0</v>
      </c>
      <c r="CF67" s="46">
        <f>IFERROR(VLOOKUP($B67-IF(CompareVer="LY",1,0) &amp; $C67 &amp;CF$4,tblForecast,CF$2,FALSE),0)</f>
        <v>0</v>
      </c>
      <c r="CG67" s="195">
        <f t="shared" si="28"/>
        <v>0</v>
      </c>
      <c r="CH67" s="339">
        <f t="shared" ref="CH67:CH71" si="655">IFERROR(VLOOKUP($B67 &amp; $C67&amp;CH$4,tblForecast,CH$2,FALSE),0)</f>
        <v>0</v>
      </c>
      <c r="CI67" s="46">
        <f t="shared" ref="CI67:CI71" si="656">IFERROR(VLOOKUP($B67 &amp; $C67&amp;CI$4,tblForecast,CI$2,FALSE),0)</f>
        <v>0</v>
      </c>
      <c r="CJ67" s="46">
        <f>IF($A67="a",IFERROR(VLOOKUP($B67 &amp; $C67&amp;CJ$4,tblForecast,CJ$2,FALSE),0),CH67+CI67)</f>
        <v>0</v>
      </c>
      <c r="CK67" s="46">
        <f t="shared" ref="CK67:CL71" si="657">IFERROR(VLOOKUP($B67 &amp; $C67&amp;CK$4,tblForecast,CK$2,FALSE),0)</f>
        <v>0</v>
      </c>
      <c r="CL67" s="46">
        <f t="shared" si="657"/>
        <v>0</v>
      </c>
      <c r="CM67" s="46">
        <f>IFERROR(VLOOKUP($B67-IF(CompareVer="LY",1,0) &amp; $C67 &amp;CM$4,tblForecast,CM$2,FALSE),0)</f>
        <v>0</v>
      </c>
      <c r="CN67" s="195">
        <f t="shared" si="31"/>
        <v>0</v>
      </c>
      <c r="CO67" s="179">
        <f t="shared" si="51"/>
        <v>0</v>
      </c>
      <c r="CP67" s="225">
        <f t="shared" si="33"/>
        <v>0</v>
      </c>
      <c r="CQ67" s="195">
        <f t="shared" si="34"/>
        <v>0</v>
      </c>
      <c r="CR67" s="179">
        <f t="shared" si="49"/>
        <v>0</v>
      </c>
      <c r="CS67" s="225">
        <f t="shared" si="35"/>
        <v>0</v>
      </c>
      <c r="CT67" s="195">
        <f t="shared" si="52"/>
        <v>0</v>
      </c>
      <c r="CU67" s="44"/>
      <c r="CV67" s="345">
        <f t="shared" ref="CV67:CV71" si="658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7"/>
        <v>0</v>
      </c>
      <c r="CZ67" s="280">
        <f>IFERROR(VLOOKUP(Brand&amp;Channel&amp;Country&amp;$C67,tblDiscount,6,FALSE),0)</f>
        <v>0.8</v>
      </c>
      <c r="DA67" s="281">
        <f>(1-CZ67)*DB67</f>
        <v>5.0259999999999989</v>
      </c>
      <c r="DB67" s="281">
        <f>IFERROR(VLOOKUP(Brand&amp;Country &amp; Channel &amp;FC,tblFCSettings,8,FALSE),0)</f>
        <v>25.13</v>
      </c>
      <c r="DC67" s="282">
        <f>IFERROR(VLOOKUP(Brand&amp;Country &amp; Channel &amp;FC,tblFCSettings,9,FALSE),0)</f>
        <v>4.22</v>
      </c>
    </row>
    <row r="68" spans="2:107" x14ac:dyDescent="0.25">
      <c r="B68" s="44">
        <v>2018</v>
      </c>
      <c r="C68" s="88">
        <v>45</v>
      </c>
      <c r="D68" s="51">
        <f t="shared" ref="D68:D71" si="659">G68*H68</f>
        <v>0</v>
      </c>
      <c r="E68" s="203">
        <f t="shared" ref="E68:E71" si="660">IFERROR(D68*F68,0)</f>
        <v>0</v>
      </c>
      <c r="F68" s="183">
        <f t="shared" si="50"/>
        <v>0</v>
      </c>
      <c r="G68" s="177">
        <f t="shared" si="633"/>
        <v>0</v>
      </c>
      <c r="H68" s="204">
        <f t="shared" si="633"/>
        <v>0</v>
      </c>
      <c r="I68" s="204">
        <f t="shared" si="633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 t="shared" si="634"/>
        <v>0</v>
      </c>
      <c r="M68" s="90">
        <f t="shared" si="634"/>
        <v>0</v>
      </c>
      <c r="N68" s="46">
        <f t="shared" si="634"/>
        <v>0</v>
      </c>
      <c r="O68" s="46">
        <f t="shared" si="634"/>
        <v>0</v>
      </c>
      <c r="P68" s="47">
        <f t="shared" si="40"/>
        <v>0</v>
      </c>
      <c r="Q68" s="244">
        <f t="shared" ref="Q68:Q71" si="661">IF(A67="a",IF(CV68=0,R68,IF(BA67-(Q67*IF(W68=0,X68,W68))&lt;0,BA67,Q67*IF(W68=0,X68,W68))),IF(BA67-(Q67*IF(W68=0,X68,W68))&lt;0,BA67,Q67*IF(W68=0,X68,W68)))</f>
        <v>0</v>
      </c>
      <c r="R68" s="242">
        <f t="shared" si="635"/>
        <v>0</v>
      </c>
      <c r="S68" s="242">
        <f t="shared" si="635"/>
        <v>0</v>
      </c>
      <c r="T68" s="242">
        <f>IFERROR(VLOOKUP($B68-IF(CompareVer="LY",1,0) &amp; $C68 &amp;T$4,tblForecast,T$2,FALSE),0)</f>
        <v>0</v>
      </c>
      <c r="U68" s="91">
        <f t="shared" si="356"/>
        <v>0</v>
      </c>
      <c r="V68" s="251">
        <f t="shared" ref="V68:W71" si="662">IFERROR(IF(Q67&lt;&gt;0,Q68/Q67,0),0)</f>
        <v>0</v>
      </c>
      <c r="W68" s="336">
        <f t="shared" si="662"/>
        <v>0</v>
      </c>
      <c r="X68" s="252">
        <f>IFERROR(IF(T67&lt;&gt;0,T68/T67,0),0)</f>
        <v>0</v>
      </c>
      <c r="Y68" s="51">
        <f t="shared" si="636"/>
        <v>0</v>
      </c>
      <c r="Z68" s="46">
        <f t="shared" si="636"/>
        <v>0</v>
      </c>
      <c r="AA68" s="46">
        <f t="shared" si="636"/>
        <v>0</v>
      </c>
      <c r="AB68" s="46">
        <f t="shared" si="636"/>
        <v>0</v>
      </c>
      <c r="AC68" s="91">
        <f t="shared" si="360"/>
        <v>0</v>
      </c>
      <c r="AD68" s="75">
        <f>IF(AM68&lt;&gt;0,1-AR68/AM68,0)</f>
        <v>0.16036609629924381</v>
      </c>
      <c r="AE68" s="93">
        <f t="shared" si="637"/>
        <v>0</v>
      </c>
      <c r="AF68" s="93">
        <f t="shared" si="637"/>
        <v>0</v>
      </c>
      <c r="AG68" s="76">
        <f t="shared" si="637"/>
        <v>0</v>
      </c>
      <c r="AH68" s="73">
        <f t="shared" si="638"/>
        <v>25.13</v>
      </c>
      <c r="AI68" s="94">
        <f t="shared" si="639"/>
        <v>0</v>
      </c>
      <c r="AJ68" s="94">
        <f t="shared" si="639"/>
        <v>0</v>
      </c>
      <c r="AK68" s="49">
        <f>IFERROR(VLOOKUP($B68-IF(CompareVer="LY",1,0) &amp; $C68 &amp;AK$4,tblForecast,AK$2,FALSE),0)</f>
        <v>0</v>
      </c>
      <c r="AL68" s="47">
        <f t="shared" si="622"/>
        <v>0</v>
      </c>
      <c r="AM68" s="73">
        <f t="shared" si="640"/>
        <v>5.0259999999999989</v>
      </c>
      <c r="AN68" s="94">
        <f t="shared" si="641"/>
        <v>0</v>
      </c>
      <c r="AO68" s="94">
        <f t="shared" si="641"/>
        <v>0</v>
      </c>
      <c r="AP68" s="49">
        <f>IFERROR(VLOOKUP($B68-IF(CompareVer="LY",1,0) &amp; $C68 &amp;AP$4,tblForecast,AP$2,FALSE),0)</f>
        <v>0</v>
      </c>
      <c r="AQ68" s="47">
        <f t="shared" si="441"/>
        <v>0</v>
      </c>
      <c r="AR68" s="73">
        <f t="shared" si="642"/>
        <v>4.22</v>
      </c>
      <c r="AS68" s="94">
        <f t="shared" si="643"/>
        <v>0</v>
      </c>
      <c r="AT68" s="94">
        <f t="shared" si="643"/>
        <v>0</v>
      </c>
      <c r="AU68" s="49">
        <f>IFERROR(VLOOKUP($B68-IF(CompareVer="LY",1,0) &amp; $C68 &amp;AU$4,tblForecast,AU$2,FALSE),0)</f>
        <v>0</v>
      </c>
      <c r="AV68" s="47">
        <f t="shared" si="412"/>
        <v>0</v>
      </c>
      <c r="AW68" s="192">
        <f t="shared" si="644"/>
        <v>0.8</v>
      </c>
      <c r="AX68" s="193">
        <f t="shared" si="645"/>
        <v>0</v>
      </c>
      <c r="AY68" s="193">
        <f t="shared" si="646"/>
        <v>0</v>
      </c>
      <c r="AZ68" s="193">
        <f t="shared" si="647"/>
        <v>0</v>
      </c>
      <c r="BA68" s="237">
        <f t="shared" si="648"/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649"/>
        <v>0</v>
      </c>
      <c r="BE68" s="195">
        <f t="shared" si="19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 t="shared" si="373"/>
        <v>0</v>
      </c>
      <c r="BK68" s="50">
        <f t="shared" si="21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5"/>
        <v>0</v>
      </c>
      <c r="BS68" s="233">
        <f t="shared" si="22"/>
        <v>0</v>
      </c>
      <c r="BT68" s="236">
        <f t="shared" si="650"/>
        <v>0</v>
      </c>
      <c r="BU68" s="233">
        <f t="shared" si="650"/>
        <v>0</v>
      </c>
      <c r="BV68" s="233">
        <f>IF($A68="a",IFERROR(VLOOKUP($B68 &amp; $C68&amp;BV$4,tblForecast,BV$2,FALSE),0),BT68+BU68)</f>
        <v>0</v>
      </c>
      <c r="BW68" s="233">
        <f t="shared" si="651"/>
        <v>0</v>
      </c>
      <c r="BX68" s="233">
        <f t="shared" si="651"/>
        <v>0</v>
      </c>
      <c r="BY68" s="194">
        <f>IFERROR(VLOOKUP($B68-IF(CompareVer="LY",1,0) &amp; $C68 &amp;BY$4,tblForecast,BY$2,FALSE),0)</f>
        <v>0</v>
      </c>
      <c r="BZ68" s="195">
        <f t="shared" si="25"/>
        <v>0</v>
      </c>
      <c r="CA68" s="339">
        <f t="shared" si="652"/>
        <v>0</v>
      </c>
      <c r="CB68" s="46">
        <f t="shared" si="653"/>
        <v>0</v>
      </c>
      <c r="CC68" s="46">
        <f>IF($A68="a",IFERROR(VLOOKUP($B68 &amp; $C68&amp;CC$4,tblForecast,CC$2,FALSE),0),CA68+CB68)</f>
        <v>0</v>
      </c>
      <c r="CD68" s="46">
        <f t="shared" si="654"/>
        <v>0</v>
      </c>
      <c r="CE68" s="46">
        <f t="shared" si="654"/>
        <v>0</v>
      </c>
      <c r="CF68" s="46">
        <f>IFERROR(VLOOKUP($B68-IF(CompareVer="LY",1,0) &amp; $C68 &amp;CF$4,tblForecast,CF$2,FALSE),0)</f>
        <v>0</v>
      </c>
      <c r="CG68" s="195">
        <f t="shared" si="28"/>
        <v>0</v>
      </c>
      <c r="CH68" s="339">
        <f t="shared" si="655"/>
        <v>0</v>
      </c>
      <c r="CI68" s="46">
        <f t="shared" si="656"/>
        <v>0</v>
      </c>
      <c r="CJ68" s="46">
        <f>IF($A68="a",IFERROR(VLOOKUP($B68 &amp; $C68&amp;CJ$4,tblForecast,CJ$2,FALSE),0),CH68+CI68)</f>
        <v>0</v>
      </c>
      <c r="CK68" s="46">
        <f t="shared" si="657"/>
        <v>0</v>
      </c>
      <c r="CL68" s="46">
        <f t="shared" si="657"/>
        <v>0</v>
      </c>
      <c r="CM68" s="46">
        <f>IFERROR(VLOOKUP($B68-IF(CompareVer="LY",1,0) &amp; $C68 &amp;CM$4,tblForecast,CM$2,FALSE),0)</f>
        <v>0</v>
      </c>
      <c r="CN68" s="195">
        <f t="shared" si="31"/>
        <v>0</v>
      </c>
      <c r="CO68" s="179">
        <f t="shared" si="51"/>
        <v>0</v>
      </c>
      <c r="CP68" s="225">
        <f t="shared" si="33"/>
        <v>0</v>
      </c>
      <c r="CQ68" s="195">
        <f t="shared" si="34"/>
        <v>0</v>
      </c>
      <c r="CR68" s="179">
        <f t="shared" si="49"/>
        <v>0</v>
      </c>
      <c r="CS68" s="225">
        <f t="shared" si="35"/>
        <v>0</v>
      </c>
      <c r="CT68" s="195">
        <f t="shared" si="52"/>
        <v>0</v>
      </c>
      <c r="CU68" s="44"/>
      <c r="CV68" s="345">
        <f t="shared" si="658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7"/>
        <v>0</v>
      </c>
      <c r="CZ68" s="280">
        <f>IFERROR(VLOOKUP(Brand&amp;Channel&amp;Country&amp;$C68,tblDiscount,6,FALSE),0)</f>
        <v>0.8</v>
      </c>
      <c r="DA68" s="281">
        <f>(1-CZ68)*DB68</f>
        <v>5.0259999999999989</v>
      </c>
      <c r="DB68" s="281">
        <f>IFERROR(VLOOKUP(Brand&amp;Country &amp; Channel &amp;FC,tblFCSettings,8,FALSE),0)</f>
        <v>25.13</v>
      </c>
      <c r="DC68" s="282">
        <f>IFERROR(VLOOKUP(Brand&amp;Country &amp; Channel &amp;FC,tblFCSettings,9,FALSE),0)</f>
        <v>4.22</v>
      </c>
    </row>
    <row r="69" spans="2:107" x14ac:dyDescent="0.25">
      <c r="B69" s="44">
        <v>2018</v>
      </c>
      <c r="C69" s="88">
        <v>46</v>
      </c>
      <c r="D69" s="51">
        <f t="shared" si="659"/>
        <v>0</v>
      </c>
      <c r="E69" s="203">
        <f t="shared" si="660"/>
        <v>0</v>
      </c>
      <c r="F69" s="183">
        <f t="shared" si="50"/>
        <v>0</v>
      </c>
      <c r="G69" s="177">
        <f t="shared" si="633"/>
        <v>0</v>
      </c>
      <c r="H69" s="204">
        <f t="shared" si="633"/>
        <v>0</v>
      </c>
      <c r="I69" s="204">
        <f t="shared" si="633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 t="shared" si="634"/>
        <v>0</v>
      </c>
      <c r="M69" s="90">
        <f t="shared" si="634"/>
        <v>0</v>
      </c>
      <c r="N69" s="46">
        <f t="shared" si="634"/>
        <v>0</v>
      </c>
      <c r="O69" s="46">
        <f t="shared" si="634"/>
        <v>0</v>
      </c>
      <c r="P69" s="47">
        <f t="shared" si="40"/>
        <v>0</v>
      </c>
      <c r="Q69" s="244">
        <f t="shared" si="661"/>
        <v>0</v>
      </c>
      <c r="R69" s="242">
        <f t="shared" si="635"/>
        <v>0</v>
      </c>
      <c r="S69" s="242">
        <f t="shared" si="635"/>
        <v>0</v>
      </c>
      <c r="T69" s="242">
        <f>IFERROR(VLOOKUP($B69-IF(CompareVer="LY",1,0) &amp; $C69 &amp;T$4,tblForecast,T$2,FALSE),0)</f>
        <v>0</v>
      </c>
      <c r="U69" s="91">
        <f t="shared" si="356"/>
        <v>0</v>
      </c>
      <c r="V69" s="251">
        <f t="shared" si="662"/>
        <v>0</v>
      </c>
      <c r="W69" s="336">
        <f t="shared" si="662"/>
        <v>0</v>
      </c>
      <c r="X69" s="252">
        <f>IFERROR(IF(T68&lt;&gt;0,T69/T68,0),0)</f>
        <v>0</v>
      </c>
      <c r="Y69" s="51">
        <f t="shared" si="636"/>
        <v>0</v>
      </c>
      <c r="Z69" s="46">
        <f t="shared" si="636"/>
        <v>0</v>
      </c>
      <c r="AA69" s="46">
        <f t="shared" si="636"/>
        <v>0</v>
      </c>
      <c r="AB69" s="46">
        <f t="shared" si="636"/>
        <v>0</v>
      </c>
      <c r="AC69" s="91">
        <f t="shared" si="360"/>
        <v>0</v>
      </c>
      <c r="AD69" s="75">
        <f>IF(AM69&lt;&gt;0,1-AR69/AM69,0)</f>
        <v>0.16036609629924381</v>
      </c>
      <c r="AE69" s="93">
        <f t="shared" si="637"/>
        <v>0</v>
      </c>
      <c r="AF69" s="93">
        <f t="shared" si="637"/>
        <v>0</v>
      </c>
      <c r="AG69" s="76">
        <f t="shared" si="637"/>
        <v>0</v>
      </c>
      <c r="AH69" s="73">
        <f t="shared" si="638"/>
        <v>25.13</v>
      </c>
      <c r="AI69" s="94">
        <f t="shared" si="639"/>
        <v>0</v>
      </c>
      <c r="AJ69" s="94">
        <f t="shared" si="639"/>
        <v>0</v>
      </c>
      <c r="AK69" s="49">
        <f>IFERROR(VLOOKUP($B69-IF(CompareVer="LY",1,0) &amp; $C69 &amp;AK$4,tblForecast,AK$2,FALSE),0)</f>
        <v>0</v>
      </c>
      <c r="AL69" s="47">
        <f t="shared" si="622"/>
        <v>0</v>
      </c>
      <c r="AM69" s="73">
        <f t="shared" si="640"/>
        <v>5.0259999999999989</v>
      </c>
      <c r="AN69" s="94">
        <f t="shared" si="641"/>
        <v>0</v>
      </c>
      <c r="AO69" s="94">
        <f t="shared" si="641"/>
        <v>0</v>
      </c>
      <c r="AP69" s="49">
        <f>IFERROR(VLOOKUP($B69-IF(CompareVer="LY",1,0) &amp; $C69 &amp;AP$4,tblForecast,AP$2,FALSE),0)</f>
        <v>0</v>
      </c>
      <c r="AQ69" s="47">
        <f t="shared" si="441"/>
        <v>0</v>
      </c>
      <c r="AR69" s="73">
        <f t="shared" si="642"/>
        <v>4.22</v>
      </c>
      <c r="AS69" s="94">
        <f t="shared" si="643"/>
        <v>0</v>
      </c>
      <c r="AT69" s="94">
        <f t="shared" si="643"/>
        <v>0</v>
      </c>
      <c r="AU69" s="49">
        <f>IFERROR(VLOOKUP($B69-IF(CompareVer="LY",1,0) &amp; $C69 &amp;AU$4,tblForecast,AU$2,FALSE),0)</f>
        <v>0</v>
      </c>
      <c r="AV69" s="47">
        <f t="shared" si="412"/>
        <v>0</v>
      </c>
      <c r="AW69" s="192">
        <f t="shared" si="644"/>
        <v>0.8</v>
      </c>
      <c r="AX69" s="193">
        <f t="shared" si="645"/>
        <v>0</v>
      </c>
      <c r="AY69" s="193">
        <f t="shared" si="646"/>
        <v>0</v>
      </c>
      <c r="AZ69" s="193">
        <f t="shared" si="647"/>
        <v>0</v>
      </c>
      <c r="BA69" s="237">
        <f t="shared" si="648"/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649"/>
        <v>0</v>
      </c>
      <c r="BE69" s="195">
        <f t="shared" si="19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 t="shared" si="373"/>
        <v>0</v>
      </c>
      <c r="BK69" s="50">
        <f t="shared" si="21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5"/>
        <v>0</v>
      </c>
      <c r="BS69" s="233">
        <f t="shared" si="22"/>
        <v>0</v>
      </c>
      <c r="BT69" s="236">
        <f t="shared" si="650"/>
        <v>0</v>
      </c>
      <c r="BU69" s="233">
        <f t="shared" si="650"/>
        <v>0</v>
      </c>
      <c r="BV69" s="233">
        <f>IF($A69="a",IFERROR(VLOOKUP($B69 &amp; $C69&amp;BV$4,tblForecast,BV$2,FALSE),0),BT69+BU69)</f>
        <v>0</v>
      </c>
      <c r="BW69" s="233">
        <f t="shared" si="651"/>
        <v>0</v>
      </c>
      <c r="BX69" s="233">
        <f t="shared" si="651"/>
        <v>0</v>
      </c>
      <c r="BY69" s="194">
        <f>IFERROR(VLOOKUP($B69-IF(CompareVer="LY",1,0) &amp; $C69 &amp;BY$4,tblForecast,BY$2,FALSE),0)</f>
        <v>0</v>
      </c>
      <c r="BZ69" s="195">
        <f t="shared" si="25"/>
        <v>0</v>
      </c>
      <c r="CA69" s="339">
        <f t="shared" si="652"/>
        <v>0</v>
      </c>
      <c r="CB69" s="46">
        <f t="shared" si="653"/>
        <v>0</v>
      </c>
      <c r="CC69" s="46">
        <f>IF($A69="a",IFERROR(VLOOKUP($B69 &amp; $C69&amp;CC$4,tblForecast,CC$2,FALSE),0),CA69+CB69)</f>
        <v>0</v>
      </c>
      <c r="CD69" s="46">
        <f t="shared" si="654"/>
        <v>0</v>
      </c>
      <c r="CE69" s="46">
        <f t="shared" si="654"/>
        <v>0</v>
      </c>
      <c r="CF69" s="46">
        <f>IFERROR(VLOOKUP($B69-IF(CompareVer="LY",1,0) &amp; $C69 &amp;CF$4,tblForecast,CF$2,FALSE),0)</f>
        <v>0</v>
      </c>
      <c r="CG69" s="195">
        <f t="shared" si="28"/>
        <v>0</v>
      </c>
      <c r="CH69" s="339">
        <f t="shared" si="655"/>
        <v>0</v>
      </c>
      <c r="CI69" s="46">
        <f t="shared" si="656"/>
        <v>0</v>
      </c>
      <c r="CJ69" s="46">
        <f>IF($A69="a",IFERROR(VLOOKUP($B69 &amp; $C69&amp;CJ$4,tblForecast,CJ$2,FALSE),0),CH69+CI69)</f>
        <v>0</v>
      </c>
      <c r="CK69" s="46">
        <f t="shared" si="657"/>
        <v>0</v>
      </c>
      <c r="CL69" s="46">
        <f t="shared" si="657"/>
        <v>0</v>
      </c>
      <c r="CM69" s="46">
        <f>IFERROR(VLOOKUP($B69-IF(CompareVer="LY",1,0) &amp; $C69 &amp;CM$4,tblForecast,CM$2,FALSE),0)</f>
        <v>0</v>
      </c>
      <c r="CN69" s="195">
        <f t="shared" si="31"/>
        <v>0</v>
      </c>
      <c r="CO69" s="179">
        <f t="shared" si="51"/>
        <v>0</v>
      </c>
      <c r="CP69" s="225">
        <f t="shared" si="33"/>
        <v>0</v>
      </c>
      <c r="CQ69" s="195">
        <f t="shared" si="34"/>
        <v>0</v>
      </c>
      <c r="CR69" s="179">
        <f t="shared" si="49"/>
        <v>0</v>
      </c>
      <c r="CS69" s="225">
        <f t="shared" si="35"/>
        <v>0</v>
      </c>
      <c r="CT69" s="195">
        <f t="shared" si="52"/>
        <v>0</v>
      </c>
      <c r="CU69" s="44"/>
      <c r="CV69" s="345">
        <f t="shared" si="658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7"/>
        <v>0</v>
      </c>
      <c r="CZ69" s="280">
        <f>IFERROR(VLOOKUP(Brand&amp;Channel&amp;Country&amp;$C69,tblDiscount,6,FALSE),0)</f>
        <v>0.8</v>
      </c>
      <c r="DA69" s="281">
        <f>(1-CZ69)*DB69</f>
        <v>5.0259999999999989</v>
      </c>
      <c r="DB69" s="281">
        <f>IFERROR(VLOOKUP(Brand&amp;Country &amp; Channel &amp;FC,tblFCSettings,8,FALSE),0)</f>
        <v>25.13</v>
      </c>
      <c r="DC69" s="282">
        <f>IFERROR(VLOOKUP(Brand&amp;Country &amp; Channel &amp;FC,tblFCSettings,9,FALSE),0)</f>
        <v>4.22</v>
      </c>
    </row>
    <row r="70" spans="2:107" x14ac:dyDescent="0.25">
      <c r="B70" s="44">
        <v>2018</v>
      </c>
      <c r="C70" s="88">
        <v>47</v>
      </c>
      <c r="D70" s="51">
        <f t="shared" si="659"/>
        <v>0</v>
      </c>
      <c r="E70" s="203">
        <f t="shared" si="660"/>
        <v>0</v>
      </c>
      <c r="F70" s="183">
        <f t="shared" si="50"/>
        <v>0</v>
      </c>
      <c r="G70" s="177">
        <f t="shared" si="633"/>
        <v>0</v>
      </c>
      <c r="H70" s="204">
        <f t="shared" si="633"/>
        <v>0</v>
      </c>
      <c r="I70" s="204">
        <f t="shared" si="633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 t="shared" si="634"/>
        <v>0</v>
      </c>
      <c r="M70" s="90">
        <f t="shared" si="634"/>
        <v>0</v>
      </c>
      <c r="N70" s="46">
        <f t="shared" si="634"/>
        <v>0</v>
      </c>
      <c r="O70" s="46">
        <f t="shared" si="634"/>
        <v>0</v>
      </c>
      <c r="P70" s="47">
        <f t="shared" si="40"/>
        <v>0</v>
      </c>
      <c r="Q70" s="244">
        <f t="shared" si="661"/>
        <v>0</v>
      </c>
      <c r="R70" s="242">
        <f t="shared" si="635"/>
        <v>0</v>
      </c>
      <c r="S70" s="242">
        <f t="shared" si="635"/>
        <v>0</v>
      </c>
      <c r="T70" s="242">
        <f>IFERROR(VLOOKUP($B70-IF(CompareVer="LY",1,0) &amp; $C70 &amp;T$4,tblForecast,T$2,FALSE),0)</f>
        <v>0</v>
      </c>
      <c r="U70" s="91">
        <f t="shared" si="356"/>
        <v>0</v>
      </c>
      <c r="V70" s="251">
        <f t="shared" si="662"/>
        <v>0</v>
      </c>
      <c r="W70" s="336">
        <f t="shared" si="662"/>
        <v>0</v>
      </c>
      <c r="X70" s="252">
        <f>IFERROR(IF(T69&lt;&gt;0,T70/T69,0),0)</f>
        <v>0</v>
      </c>
      <c r="Y70" s="51">
        <f t="shared" si="636"/>
        <v>0</v>
      </c>
      <c r="Z70" s="46">
        <f t="shared" si="636"/>
        <v>0</v>
      </c>
      <c r="AA70" s="46">
        <f t="shared" si="636"/>
        <v>0</v>
      </c>
      <c r="AB70" s="46">
        <f t="shared" si="636"/>
        <v>0</v>
      </c>
      <c r="AC70" s="91">
        <f t="shared" si="360"/>
        <v>0</v>
      </c>
      <c r="AD70" s="75">
        <f>IF(AM70&lt;&gt;0,1-AR70/AM70,0)</f>
        <v>0.16036609629924381</v>
      </c>
      <c r="AE70" s="93">
        <f t="shared" si="637"/>
        <v>0</v>
      </c>
      <c r="AF70" s="93">
        <f t="shared" si="637"/>
        <v>0</v>
      </c>
      <c r="AG70" s="76">
        <f t="shared" si="637"/>
        <v>0</v>
      </c>
      <c r="AH70" s="73">
        <f t="shared" si="638"/>
        <v>25.13</v>
      </c>
      <c r="AI70" s="94">
        <f t="shared" si="639"/>
        <v>0</v>
      </c>
      <c r="AJ70" s="94">
        <f t="shared" si="639"/>
        <v>0</v>
      </c>
      <c r="AK70" s="49">
        <f>IFERROR(VLOOKUP($B70-IF(CompareVer="LY",1,0) &amp; $C70 &amp;AK$4,tblForecast,AK$2,FALSE),0)</f>
        <v>0</v>
      </c>
      <c r="AL70" s="47">
        <f t="shared" si="622"/>
        <v>0</v>
      </c>
      <c r="AM70" s="73">
        <f t="shared" si="640"/>
        <v>5.0259999999999989</v>
      </c>
      <c r="AN70" s="94">
        <f t="shared" si="641"/>
        <v>0</v>
      </c>
      <c r="AO70" s="94">
        <f t="shared" si="641"/>
        <v>0</v>
      </c>
      <c r="AP70" s="49">
        <f>IFERROR(VLOOKUP($B70-IF(CompareVer="LY",1,0) &amp; $C70 &amp;AP$4,tblForecast,AP$2,FALSE),0)</f>
        <v>0</v>
      </c>
      <c r="AQ70" s="47">
        <f t="shared" si="441"/>
        <v>0</v>
      </c>
      <c r="AR70" s="73">
        <f t="shared" si="642"/>
        <v>4.22</v>
      </c>
      <c r="AS70" s="94">
        <f t="shared" si="643"/>
        <v>0</v>
      </c>
      <c r="AT70" s="94">
        <f t="shared" si="643"/>
        <v>0</v>
      </c>
      <c r="AU70" s="49">
        <f>IFERROR(VLOOKUP($B70-IF(CompareVer="LY",1,0) &amp; $C70 &amp;AU$4,tblForecast,AU$2,FALSE),0)</f>
        <v>0</v>
      </c>
      <c r="AV70" s="47">
        <f t="shared" si="412"/>
        <v>0</v>
      </c>
      <c r="AW70" s="192">
        <f t="shared" si="644"/>
        <v>0.8</v>
      </c>
      <c r="AX70" s="193">
        <f t="shared" si="645"/>
        <v>0</v>
      </c>
      <c r="AY70" s="193">
        <f t="shared" si="646"/>
        <v>0</v>
      </c>
      <c r="AZ70" s="193">
        <f t="shared" si="647"/>
        <v>0</v>
      </c>
      <c r="BA70" s="237">
        <f t="shared" si="648"/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649"/>
        <v>0</v>
      </c>
      <c r="BE70" s="195">
        <f t="shared" si="19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 t="shared" si="373"/>
        <v>0</v>
      </c>
      <c r="BK70" s="50">
        <f t="shared" si="21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5"/>
        <v>0</v>
      </c>
      <c r="BS70" s="233">
        <f t="shared" si="22"/>
        <v>0</v>
      </c>
      <c r="BT70" s="236">
        <f t="shared" si="650"/>
        <v>0</v>
      </c>
      <c r="BU70" s="233">
        <f t="shared" si="650"/>
        <v>0</v>
      </c>
      <c r="BV70" s="233">
        <f>IF($A70="a",IFERROR(VLOOKUP($B70 &amp; $C70&amp;BV$4,tblForecast,BV$2,FALSE),0),BT70+BU70)</f>
        <v>0</v>
      </c>
      <c r="BW70" s="233">
        <f t="shared" si="651"/>
        <v>0</v>
      </c>
      <c r="BX70" s="233">
        <f t="shared" si="651"/>
        <v>0</v>
      </c>
      <c r="BY70" s="194">
        <f>IFERROR(VLOOKUP($B70-IF(CompareVer="LY",1,0) &amp; $C70 &amp;BY$4,tblForecast,BY$2,FALSE),0)</f>
        <v>0</v>
      </c>
      <c r="BZ70" s="195">
        <f t="shared" si="25"/>
        <v>0</v>
      </c>
      <c r="CA70" s="339">
        <f t="shared" si="652"/>
        <v>0</v>
      </c>
      <c r="CB70" s="46">
        <f t="shared" si="653"/>
        <v>0</v>
      </c>
      <c r="CC70" s="46">
        <f>IF($A70="a",IFERROR(VLOOKUP($B70 &amp; $C70&amp;CC$4,tblForecast,CC$2,FALSE),0),CA70+CB70)</f>
        <v>0</v>
      </c>
      <c r="CD70" s="46">
        <f t="shared" si="654"/>
        <v>0</v>
      </c>
      <c r="CE70" s="46">
        <f t="shared" si="654"/>
        <v>0</v>
      </c>
      <c r="CF70" s="46">
        <f>IFERROR(VLOOKUP($B70-IF(CompareVer="LY",1,0) &amp; $C70 &amp;CF$4,tblForecast,CF$2,FALSE),0)</f>
        <v>0</v>
      </c>
      <c r="CG70" s="195">
        <f t="shared" si="28"/>
        <v>0</v>
      </c>
      <c r="CH70" s="339">
        <f t="shared" si="655"/>
        <v>0</v>
      </c>
      <c r="CI70" s="46">
        <f t="shared" si="656"/>
        <v>0</v>
      </c>
      <c r="CJ70" s="46">
        <f>IF($A70="a",IFERROR(VLOOKUP($B70 &amp; $C70&amp;CJ$4,tblForecast,CJ$2,FALSE),0),CH70+CI70)</f>
        <v>0</v>
      </c>
      <c r="CK70" s="46">
        <f t="shared" si="657"/>
        <v>0</v>
      </c>
      <c r="CL70" s="46">
        <f t="shared" si="657"/>
        <v>0</v>
      </c>
      <c r="CM70" s="46">
        <f>IFERROR(VLOOKUP($B70-IF(CompareVer="LY",1,0) &amp; $C70 &amp;CM$4,tblForecast,CM$2,FALSE),0)</f>
        <v>0</v>
      </c>
      <c r="CN70" s="195">
        <f t="shared" si="31"/>
        <v>0</v>
      </c>
      <c r="CO70" s="179">
        <f t="shared" si="51"/>
        <v>0</v>
      </c>
      <c r="CP70" s="225">
        <f t="shared" si="33"/>
        <v>0</v>
      </c>
      <c r="CQ70" s="195">
        <f t="shared" si="34"/>
        <v>0</v>
      </c>
      <c r="CR70" s="179">
        <f t="shared" si="49"/>
        <v>0</v>
      </c>
      <c r="CS70" s="225">
        <f t="shared" si="35"/>
        <v>0</v>
      </c>
      <c r="CT70" s="195">
        <f t="shared" si="52"/>
        <v>0</v>
      </c>
      <c r="CU70" s="44"/>
      <c r="CV70" s="345">
        <f t="shared" si="658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7"/>
        <v>0</v>
      </c>
      <c r="CZ70" s="280">
        <f>IFERROR(VLOOKUP(Brand&amp;Channel&amp;Country&amp;$C70,tblDiscount,6,FALSE),0)</f>
        <v>0.8</v>
      </c>
      <c r="DA70" s="281">
        <f>(1-CZ70)*DB70</f>
        <v>5.0259999999999989</v>
      </c>
      <c r="DB70" s="281">
        <f>IFERROR(VLOOKUP(Brand&amp;Country &amp; Channel &amp;FC,tblFCSettings,8,FALSE),0)</f>
        <v>25.13</v>
      </c>
      <c r="DC70" s="282">
        <f>IFERROR(VLOOKUP(Brand&amp;Country &amp; Channel &amp;FC,tblFCSettings,9,FALSE),0)</f>
        <v>4.22</v>
      </c>
    </row>
    <row r="71" spans="2:107" ht="16.5" thickBot="1" x14ac:dyDescent="0.3">
      <c r="B71" s="44">
        <v>2018</v>
      </c>
      <c r="C71" s="88">
        <v>48</v>
      </c>
      <c r="D71" s="51">
        <f t="shared" si="659"/>
        <v>0</v>
      </c>
      <c r="E71" s="203">
        <f t="shared" si="660"/>
        <v>0</v>
      </c>
      <c r="F71" s="183">
        <f t="shared" si="50"/>
        <v>0</v>
      </c>
      <c r="G71" s="177">
        <f t="shared" si="633"/>
        <v>0</v>
      </c>
      <c r="H71" s="204">
        <f t="shared" si="633"/>
        <v>0</v>
      </c>
      <c r="I71" s="204">
        <f t="shared" si="633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 t="shared" si="634"/>
        <v>0</v>
      </c>
      <c r="M71" s="90">
        <f t="shared" si="634"/>
        <v>0</v>
      </c>
      <c r="N71" s="46">
        <f t="shared" si="634"/>
        <v>0</v>
      </c>
      <c r="O71" s="46">
        <f t="shared" si="634"/>
        <v>0</v>
      </c>
      <c r="P71" s="47">
        <f t="shared" si="40"/>
        <v>0</v>
      </c>
      <c r="Q71" s="244">
        <f t="shared" si="661"/>
        <v>0</v>
      </c>
      <c r="R71" s="242">
        <f t="shared" si="635"/>
        <v>0</v>
      </c>
      <c r="S71" s="242">
        <f t="shared" si="635"/>
        <v>0</v>
      </c>
      <c r="T71" s="242">
        <f>IFERROR(VLOOKUP($B71-IF(CompareVer="LY",1,0) &amp; $C71 &amp;T$4,tblForecast,T$2,FALSE),0)</f>
        <v>0</v>
      </c>
      <c r="U71" s="91">
        <f t="shared" si="356"/>
        <v>0</v>
      </c>
      <c r="V71" s="251">
        <f t="shared" si="662"/>
        <v>0</v>
      </c>
      <c r="W71" s="336">
        <f t="shared" si="662"/>
        <v>0</v>
      </c>
      <c r="X71" s="252">
        <f>IFERROR(IF(T70&lt;&gt;0,T71/T70,0),0)</f>
        <v>0</v>
      </c>
      <c r="Y71" s="51">
        <f t="shared" si="636"/>
        <v>0</v>
      </c>
      <c r="Z71" s="46">
        <f t="shared" si="636"/>
        <v>0</v>
      </c>
      <c r="AA71" s="46">
        <f t="shared" si="636"/>
        <v>0</v>
      </c>
      <c r="AB71" s="46">
        <f t="shared" si="636"/>
        <v>0</v>
      </c>
      <c r="AC71" s="91">
        <f t="shared" si="360"/>
        <v>0</v>
      </c>
      <c r="AD71" s="75">
        <f>IF(AM71&lt;&gt;0,1-AR71/AM71,0)</f>
        <v>0.16036609629924381</v>
      </c>
      <c r="AE71" s="93">
        <f t="shared" si="637"/>
        <v>0</v>
      </c>
      <c r="AF71" s="93">
        <f t="shared" si="637"/>
        <v>0</v>
      </c>
      <c r="AG71" s="76">
        <f t="shared" si="637"/>
        <v>0</v>
      </c>
      <c r="AH71" s="73">
        <f t="shared" si="638"/>
        <v>25.13</v>
      </c>
      <c r="AI71" s="94">
        <f t="shared" si="639"/>
        <v>0</v>
      </c>
      <c r="AJ71" s="94">
        <f t="shared" si="639"/>
        <v>0</v>
      </c>
      <c r="AK71" s="49">
        <f>IFERROR(VLOOKUP($B71-IF(CompareVer="LY",1,0) &amp; $C71 &amp;AK$4,tblForecast,AK$2,FALSE),0)</f>
        <v>0</v>
      </c>
      <c r="AL71" s="47">
        <f t="shared" si="622"/>
        <v>0</v>
      </c>
      <c r="AM71" s="73">
        <f t="shared" si="640"/>
        <v>5.0259999999999989</v>
      </c>
      <c r="AN71" s="94">
        <f t="shared" si="641"/>
        <v>0</v>
      </c>
      <c r="AO71" s="94">
        <f t="shared" si="641"/>
        <v>0</v>
      </c>
      <c r="AP71" s="49">
        <f>IFERROR(VLOOKUP($B71-IF(CompareVer="LY",1,0) &amp; $C71 &amp;AP$4,tblForecast,AP$2,FALSE),0)</f>
        <v>0</v>
      </c>
      <c r="AQ71" s="47">
        <f t="shared" si="441"/>
        <v>0</v>
      </c>
      <c r="AR71" s="73">
        <f t="shared" si="642"/>
        <v>4.22</v>
      </c>
      <c r="AS71" s="94">
        <f t="shared" si="643"/>
        <v>0</v>
      </c>
      <c r="AT71" s="94">
        <f t="shared" si="643"/>
        <v>0</v>
      </c>
      <c r="AU71" s="49">
        <f>IFERROR(VLOOKUP($B71-IF(CompareVer="LY",1,0) &amp; $C71 &amp;AU$4,tblForecast,AU$2,FALSE),0)</f>
        <v>0</v>
      </c>
      <c r="AV71" s="47">
        <f t="shared" si="412"/>
        <v>0</v>
      </c>
      <c r="AW71" s="192">
        <f t="shared" si="644"/>
        <v>0.8</v>
      </c>
      <c r="AX71" s="193">
        <f t="shared" si="645"/>
        <v>0</v>
      </c>
      <c r="AY71" s="193">
        <f t="shared" si="646"/>
        <v>0</v>
      </c>
      <c r="AZ71" s="193">
        <f t="shared" si="647"/>
        <v>0</v>
      </c>
      <c r="BA71" s="237">
        <f t="shared" si="648"/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649"/>
        <v>0</v>
      </c>
      <c r="BE71" s="195">
        <f t="shared" si="19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 t="shared" si="373"/>
        <v>0</v>
      </c>
      <c r="BK71" s="50">
        <f t="shared" si="21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5"/>
        <v>0</v>
      </c>
      <c r="BS71" s="233">
        <f t="shared" si="22"/>
        <v>0</v>
      </c>
      <c r="BT71" s="236">
        <f t="shared" si="650"/>
        <v>0</v>
      </c>
      <c r="BU71" s="233">
        <f t="shared" si="650"/>
        <v>0</v>
      </c>
      <c r="BV71" s="233">
        <f>IF($A71="a",IFERROR(VLOOKUP($B71 &amp; $C71&amp;BV$4,tblForecast,BV$2,FALSE),0),BT71+BU71)</f>
        <v>0</v>
      </c>
      <c r="BW71" s="233">
        <f t="shared" si="651"/>
        <v>0</v>
      </c>
      <c r="BX71" s="233">
        <f t="shared" si="651"/>
        <v>0</v>
      </c>
      <c r="BY71" s="194">
        <f>IFERROR(VLOOKUP($B71-IF(CompareVer="LY",1,0) &amp; $C71 &amp;BY$4,tblForecast,BY$2,FALSE),0)</f>
        <v>0</v>
      </c>
      <c r="BZ71" s="195">
        <f t="shared" si="25"/>
        <v>0</v>
      </c>
      <c r="CA71" s="339">
        <f t="shared" si="652"/>
        <v>0</v>
      </c>
      <c r="CB71" s="46">
        <f t="shared" si="653"/>
        <v>0</v>
      </c>
      <c r="CC71" s="46">
        <f>IF($A71="a",IFERROR(VLOOKUP($B71 &amp; $C71&amp;CC$4,tblForecast,CC$2,FALSE),0),CA71+CB71)</f>
        <v>0</v>
      </c>
      <c r="CD71" s="46">
        <f t="shared" si="654"/>
        <v>0</v>
      </c>
      <c r="CE71" s="46">
        <f t="shared" si="654"/>
        <v>0</v>
      </c>
      <c r="CF71" s="46">
        <f>IFERROR(VLOOKUP($B71-IF(CompareVer="LY",1,0) &amp; $C71 &amp;CF$4,tblForecast,CF$2,FALSE),0)</f>
        <v>0</v>
      </c>
      <c r="CG71" s="195">
        <f t="shared" si="28"/>
        <v>0</v>
      </c>
      <c r="CH71" s="339">
        <f t="shared" si="655"/>
        <v>0</v>
      </c>
      <c r="CI71" s="46">
        <f t="shared" si="656"/>
        <v>0</v>
      </c>
      <c r="CJ71" s="46">
        <f>IF($A71="a",IFERROR(VLOOKUP($B71 &amp; $C71&amp;CJ$4,tblForecast,CJ$2,FALSE),0),CH71+CI71)</f>
        <v>0</v>
      </c>
      <c r="CK71" s="46">
        <f t="shared" si="657"/>
        <v>0</v>
      </c>
      <c r="CL71" s="46">
        <f t="shared" si="657"/>
        <v>0</v>
      </c>
      <c r="CM71" s="46">
        <f>IFERROR(VLOOKUP($B71-IF(CompareVer="LY",1,0) &amp; $C71 &amp;CM$4,tblForecast,CM$2,FALSE),0)</f>
        <v>0</v>
      </c>
      <c r="CN71" s="195">
        <f t="shared" si="31"/>
        <v>0</v>
      </c>
      <c r="CO71" s="179">
        <f t="shared" si="51"/>
        <v>0</v>
      </c>
      <c r="CP71" s="225">
        <f t="shared" si="33"/>
        <v>0</v>
      </c>
      <c r="CQ71" s="195">
        <f t="shared" si="34"/>
        <v>0</v>
      </c>
      <c r="CR71" s="179">
        <f t="shared" si="49"/>
        <v>0</v>
      </c>
      <c r="CS71" s="225">
        <f t="shared" si="35"/>
        <v>0</v>
      </c>
      <c r="CT71" s="195">
        <f t="shared" si="52"/>
        <v>0</v>
      </c>
      <c r="CU71" s="44"/>
      <c r="CV71" s="345">
        <f t="shared" si="658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7"/>
        <v>0</v>
      </c>
      <c r="CZ71" s="280">
        <f>IFERROR(VLOOKUP(Brand&amp;Channel&amp;Country&amp;$C71,tblDiscount,6,FALSE),0)</f>
        <v>0.8</v>
      </c>
      <c r="DA71" s="281">
        <f>(1-CZ71)*DB71</f>
        <v>5.0259999999999989</v>
      </c>
      <c r="DB71" s="281">
        <f>IFERROR(VLOOKUP(Brand&amp;Country &amp; Channel &amp;FC,tblFCSettings,8,FALSE),0)</f>
        <v>25.13</v>
      </c>
      <c r="DC71" s="282">
        <f>IFERROR(VLOOKUP(Brand&amp;Country &amp; Channel &amp;FC,tblFCSettings,9,FALSE),0)</f>
        <v>4.22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50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663">SUM(M67:M71)</f>
        <v>0</v>
      </c>
      <c r="N72" s="261">
        <f t="shared" si="663"/>
        <v>0</v>
      </c>
      <c r="O72" s="261">
        <f t="shared" si="663"/>
        <v>0</v>
      </c>
      <c r="P72" s="262">
        <f t="shared" si="40"/>
        <v>0</v>
      </c>
      <c r="Q72" s="263">
        <f>SUM(Q67:Q71)</f>
        <v>0</v>
      </c>
      <c r="R72" s="264">
        <f t="shared" ref="R72" si="664">SUM(R67:R71)</f>
        <v>0</v>
      </c>
      <c r="S72" s="264">
        <f t="shared" ref="S72" si="665">SUM(S67:S71)</f>
        <v>0</v>
      </c>
      <c r="T72" s="264">
        <f>SUM(T67:T71)</f>
        <v>0</v>
      </c>
      <c r="U72" s="262">
        <f t="shared" si="356"/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666">SUM(Z67:Z71)</f>
        <v>0</v>
      </c>
      <c r="AA72" s="261">
        <f t="shared" si="666"/>
        <v>0</v>
      </c>
      <c r="AB72" s="261">
        <f t="shared" si="666"/>
        <v>0</v>
      </c>
      <c r="AC72" s="262">
        <f t="shared" si="360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" si="667">IFERROR(SUMPRODUCT(AJ68:AJ71,S68:S71)/S72,0)</f>
        <v>0</v>
      </c>
      <c r="AK72" s="270">
        <f t="shared" ref="AK72" si="668">IFERROR(SUMPRODUCT(AK68:AK71,T68:T71)/T72,0)</f>
        <v>0</v>
      </c>
      <c r="AL72" s="262">
        <f t="shared" ref="AL72:AL76" si="669">IFERROR(AH72/AK72-1,)</f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441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412"/>
        <v>0</v>
      </c>
      <c r="AW72" s="271">
        <f>IFERROR(SUMPRODUCT(AW67:AW71,V67:V71)/V72,0)</f>
        <v>0</v>
      </c>
      <c r="AX72" s="272">
        <f t="shared" ref="AX72:AZ72" si="670">IFERROR(SUMPRODUCT(AX67:AX71,X67:X71)/X72,0)</f>
        <v>0</v>
      </c>
      <c r="AY72" s="272">
        <f t="shared" si="670"/>
        <v>0</v>
      </c>
      <c r="AZ72" s="272">
        <f t="shared" si="670"/>
        <v>0</v>
      </c>
      <c r="BA72" s="263">
        <f>BA71</f>
        <v>0</v>
      </c>
      <c r="BB72" s="264">
        <f t="shared" ref="BB72" si="671">BB71</f>
        <v>0</v>
      </c>
      <c r="BC72" s="264">
        <f t="shared" ref="BC72" si="672">BC71</f>
        <v>0</v>
      </c>
      <c r="BD72" s="264">
        <f t="shared" ref="BD72" si="673">BD71</f>
        <v>0</v>
      </c>
      <c r="BE72" s="262">
        <f t="shared" ref="BE72" si="674">IFERROR(BA72/BD72-1,)</f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 t="shared" si="373"/>
        <v>0</v>
      </c>
      <c r="BK72" s="276">
        <f t="shared" si="21"/>
        <v>0</v>
      </c>
      <c r="BL72" s="263">
        <f t="shared" ref="BL72" si="675">SUM(BL67:BL71)</f>
        <v>0</v>
      </c>
      <c r="BM72" s="264">
        <f>SUM(BM67:BM71)</f>
        <v>0</v>
      </c>
      <c r="BN72" s="263">
        <f t="shared" ref="BN72" si="676">SUM(BN67:BN71)</f>
        <v>0</v>
      </c>
      <c r="BO72" s="264">
        <f t="shared" ref="BO72:BQ72" si="677">SUM(BO67:BO71)</f>
        <v>0</v>
      </c>
      <c r="BP72" s="263">
        <f t="shared" si="677"/>
        <v>0</v>
      </c>
      <c r="BQ72" s="264">
        <f t="shared" si="677"/>
        <v>0</v>
      </c>
      <c r="BR72" s="263">
        <f t="shared" si="45"/>
        <v>0</v>
      </c>
      <c r="BS72" s="264">
        <f t="shared" si="22"/>
        <v>0</v>
      </c>
      <c r="BT72" s="263">
        <f t="shared" ref="BT72:BY72" si="678">SUM(BT67:BT71)</f>
        <v>0</v>
      </c>
      <c r="BU72" s="264">
        <f t="shared" si="678"/>
        <v>0</v>
      </c>
      <c r="BV72" s="264">
        <f t="shared" si="678"/>
        <v>0</v>
      </c>
      <c r="BW72" s="264">
        <f t="shared" ref="BW72" si="679">SUM(BW67:BW71)</f>
        <v>0</v>
      </c>
      <c r="BX72" s="264">
        <f t="shared" ref="BX72" si="680">SUM(BX67:BX71)</f>
        <v>0</v>
      </c>
      <c r="BY72" s="277">
        <f t="shared" si="678"/>
        <v>0</v>
      </c>
      <c r="BZ72" s="262">
        <f t="shared" si="25"/>
        <v>0</v>
      </c>
      <c r="CA72" s="340">
        <f t="shared" ref="CA72" si="681">SUM(CA67:CA71)</f>
        <v>0</v>
      </c>
      <c r="CB72" s="261">
        <f t="shared" ref="CB72:CC72" si="682">SUM(CB67:CB71)</f>
        <v>0</v>
      </c>
      <c r="CC72" s="261">
        <f t="shared" si="682"/>
        <v>0</v>
      </c>
      <c r="CD72" s="261">
        <f t="shared" ref="CD72:CE72" si="683">SUM(CD67:CD71)</f>
        <v>0</v>
      </c>
      <c r="CE72" s="261">
        <f t="shared" si="683"/>
        <v>0</v>
      </c>
      <c r="CF72" s="261">
        <f t="shared" ref="CF72" si="684">SUM(CF67:CF71)</f>
        <v>0</v>
      </c>
      <c r="CG72" s="262">
        <f t="shared" si="28"/>
        <v>0</v>
      </c>
      <c r="CH72" s="340">
        <f t="shared" ref="CH72" si="685">SUM(CH67:CH71)</f>
        <v>0</v>
      </c>
      <c r="CI72" s="261">
        <f t="shared" ref="CI72:CJ72" si="686">SUM(CI67:CI71)</f>
        <v>0</v>
      </c>
      <c r="CJ72" s="261">
        <f t="shared" si="686"/>
        <v>0</v>
      </c>
      <c r="CK72" s="261">
        <f t="shared" ref="CK72:CL72" si="687">SUM(CK67:CK71)</f>
        <v>0</v>
      </c>
      <c r="CL72" s="261">
        <f t="shared" si="687"/>
        <v>0</v>
      </c>
      <c r="CM72" s="261">
        <f t="shared" ref="CM72" si="688">SUM(CM67:CM71)</f>
        <v>0</v>
      </c>
      <c r="CN72" s="262">
        <f t="shared" si="31"/>
        <v>0</v>
      </c>
      <c r="CO72" s="278">
        <f t="shared" si="51"/>
        <v>0</v>
      </c>
      <c r="CP72" s="279">
        <f t="shared" si="33"/>
        <v>0</v>
      </c>
      <c r="CQ72" s="262">
        <f t="shared" si="34"/>
        <v>0</v>
      </c>
      <c r="CR72" s="278">
        <f t="shared" si="49"/>
        <v>0</v>
      </c>
      <c r="CS72" s="279">
        <f t="shared" si="35"/>
        <v>0</v>
      </c>
      <c r="CT72" s="262">
        <f t="shared" si="52"/>
        <v>0</v>
      </c>
      <c r="CU72" s="44"/>
      <c r="CV72" s="346"/>
      <c r="CW72" s="100">
        <f>CW71</f>
        <v>0</v>
      </c>
      <c r="CX72" s="101">
        <f>CX71</f>
        <v>0</v>
      </c>
      <c r="CY72" s="99">
        <f t="shared" si="37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50"/>
        <v>0</v>
      </c>
      <c r="G73" s="177">
        <f t="shared" ref="G73:I76" si="689">IFERROR(VLOOKUP($B73 &amp; $C73&amp;G$4&amp;$A73,tblForecast,G$2,FALSE),0)</f>
        <v>0</v>
      </c>
      <c r="H73" s="204">
        <f t="shared" si="689"/>
        <v>0</v>
      </c>
      <c r="I73" s="204">
        <f t="shared" si="689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 t="shared" ref="L73:O76" si="690">Q73*AM73</f>
        <v>0</v>
      </c>
      <c r="M73" s="90">
        <f t="shared" si="690"/>
        <v>0</v>
      </c>
      <c r="N73" s="46">
        <f t="shared" si="690"/>
        <v>0</v>
      </c>
      <c r="O73" s="46">
        <f t="shared" si="690"/>
        <v>0</v>
      </c>
      <c r="P73" s="47">
        <f t="shared" si="40"/>
        <v>0</v>
      </c>
      <c r="Q73" s="244">
        <f>IF(A71="a",IF(CV73=0,R73,IF(BA71-(Q71*IF(W73=0,X73,W73))&lt;0,BA71,Q71*IF(W73=0,X73,W73))),IF(BA71-(Q71*IF(W73=0,X73,W73))&lt;0,BA71,Q71*IF(W73=0,X73,W73)))</f>
        <v>0</v>
      </c>
      <c r="R73" s="242">
        <f t="shared" ref="R73:S76" si="691">IFERROR(VLOOKUP($B73 &amp; $C73&amp;R$4,tblForecast,R$2,FALSE),0)</f>
        <v>0</v>
      </c>
      <c r="S73" s="242">
        <f t="shared" si="691"/>
        <v>0</v>
      </c>
      <c r="T73" s="242">
        <f>IFERROR(VLOOKUP($B73-IF(CompareVer="LY",1,0) &amp; $C73 &amp;T$4,tblForecast,T$2,FALSE),0)</f>
        <v>0</v>
      </c>
      <c r="U73" s="91">
        <f t="shared" si="356"/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 t="shared" ref="Y73:AB76" si="692">IFERROR(L73*AD73,0)</f>
        <v>0</v>
      </c>
      <c r="Z73" s="46">
        <f t="shared" si="692"/>
        <v>0</v>
      </c>
      <c r="AA73" s="46">
        <f t="shared" si="692"/>
        <v>0</v>
      </c>
      <c r="AB73" s="46">
        <f t="shared" si="692"/>
        <v>0</v>
      </c>
      <c r="AC73" s="91">
        <f t="shared" si="360"/>
        <v>0</v>
      </c>
      <c r="AD73" s="75">
        <f>IF(AM73&lt;&gt;0,1-AR73/AM73,0)</f>
        <v>0.16036609629924381</v>
      </c>
      <c r="AE73" s="93">
        <f t="shared" ref="AE73:AG76" si="693">IF(AN73&lt;&gt;0,1-AS73/AN73,0)</f>
        <v>0</v>
      </c>
      <c r="AF73" s="93">
        <f t="shared" si="693"/>
        <v>0</v>
      </c>
      <c r="AG73" s="76">
        <f t="shared" si="693"/>
        <v>0</v>
      </c>
      <c r="AH73" s="73">
        <f t="shared" ref="AH73:AH76" si="694">DB73</f>
        <v>25.13</v>
      </c>
      <c r="AI73" s="94">
        <f t="shared" ref="AI73:AJ76" si="695">IFERROR(VLOOKUP($B73 &amp; $C73&amp;AI$4,tblForecast,AI$2,FALSE),0)</f>
        <v>0</v>
      </c>
      <c r="AJ73" s="94">
        <f t="shared" si="695"/>
        <v>0</v>
      </c>
      <c r="AK73" s="49">
        <f>IFERROR(VLOOKUP($B73-IF(CompareVer="LY",1,0) &amp; $C73 &amp;AK$4,tblForecast,AK$2,FALSE),0)</f>
        <v>0</v>
      </c>
      <c r="AL73" s="47">
        <f t="shared" si="669"/>
        <v>0</v>
      </c>
      <c r="AM73" s="73">
        <f t="shared" ref="AM73:AM76" si="696">DA73</f>
        <v>5.0259999999999989</v>
      </c>
      <c r="AN73" s="94">
        <f t="shared" ref="AN73:AO76" si="697">IFERROR(VLOOKUP($B73 &amp; $C73&amp;AN$4,tblForecast,AN$2,FALSE),0)</f>
        <v>0</v>
      </c>
      <c r="AO73" s="94">
        <f t="shared" si="697"/>
        <v>0</v>
      </c>
      <c r="AP73" s="49">
        <f>IFERROR(VLOOKUP($B73-IF(CompareVer="LY",1,0) &amp; $C73 &amp;AP$4,tblForecast,AP$2,FALSE),0)</f>
        <v>0</v>
      </c>
      <c r="AQ73" s="47">
        <f t="shared" si="441"/>
        <v>0</v>
      </c>
      <c r="AR73" s="73">
        <f t="shared" ref="AR73:AR76" si="698">DC73</f>
        <v>4.22</v>
      </c>
      <c r="AS73" s="94">
        <f t="shared" ref="AS73:AT76" si="699">IFERROR(VLOOKUP($B73 &amp; $C73&amp;AS$4,tblForecast,AS$2,FALSE),0)</f>
        <v>0</v>
      </c>
      <c r="AT73" s="94">
        <f t="shared" si="699"/>
        <v>0</v>
      </c>
      <c r="AU73" s="49">
        <f>IFERROR(VLOOKUP($B73-IF(CompareVer="LY",1,0) &amp; $C73 &amp;AU$4,tblForecast,AU$2,FALSE),0)</f>
        <v>0</v>
      </c>
      <c r="AV73" s="47">
        <f t="shared" si="412"/>
        <v>0</v>
      </c>
      <c r="AW73" s="192">
        <f t="shared" ref="AW73:AW76" si="700">IFERROR((AM73/AH73-1)*-1,0)</f>
        <v>0.8</v>
      </c>
      <c r="AX73" s="193">
        <f t="shared" ref="AX73:AX76" si="701">IFERROR((AN73/AI73-1)*-1,0)</f>
        <v>0</v>
      </c>
      <c r="AY73" s="193">
        <f t="shared" ref="AY73:AY76" si="702">IFERROR((AO73/AJ73-1)*-1,0)</f>
        <v>0</v>
      </c>
      <c r="AZ73" s="193">
        <f t="shared" ref="AZ73:AZ76" si="703">IFERROR((AP73/AK73-1)*-1,0)</f>
        <v>0</v>
      </c>
      <c r="BA73" s="237">
        <f t="shared" ref="BA73:BA76" si="704">IF(BA72+BV73+BL73+BR73-Q73&lt;0,0,BA72+BF72+BV73+BL73+BR73-Q73)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705">CX73+BG73</f>
        <v>0</v>
      </c>
      <c r="BE73" s="195">
        <f t="shared" si="19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 t="shared" si="373"/>
        <v>0</v>
      </c>
      <c r="BK73" s="50">
        <f t="shared" si="21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5"/>
        <v>0</v>
      </c>
      <c r="BS73" s="233">
        <f t="shared" si="22"/>
        <v>0</v>
      </c>
      <c r="BT73" s="236">
        <f t="shared" ref="BT73:BU76" si="706">IFERROR(VLOOKUP($B73 &amp; $C73&amp;BT$4,tblForecast,BT$2,FALSE),0)</f>
        <v>0</v>
      </c>
      <c r="BU73" s="233">
        <f t="shared" si="706"/>
        <v>0</v>
      </c>
      <c r="BV73" s="233">
        <f>IF($A73="a",IFERROR(VLOOKUP($B73 &amp; $C73&amp;BV$4,tblForecast,BV$2,FALSE),0),BT73+BU73)</f>
        <v>0</v>
      </c>
      <c r="BW73" s="233">
        <f t="shared" ref="BW73:BX76" si="707">IFERROR(VLOOKUP($B73 &amp; $C73&amp;BW$4,tblForecast,BW$2,FALSE),0)</f>
        <v>0</v>
      </c>
      <c r="BX73" s="233">
        <f t="shared" si="707"/>
        <v>0</v>
      </c>
      <c r="BY73" s="194">
        <f>IFERROR(VLOOKUP($B73-IF(CompareVer="LY",1,0) &amp; $C73 &amp;BY$4,tblForecast,BY$2,FALSE),0)</f>
        <v>0</v>
      </c>
      <c r="BZ73" s="195">
        <f t="shared" si="25"/>
        <v>0</v>
      </c>
      <c r="CA73" s="339">
        <f t="shared" ref="CA73:CA76" si="708">IFERROR(VLOOKUP($B73 &amp; $C73&amp;CA$4,tblForecast,CA$2,FALSE),0)</f>
        <v>0</v>
      </c>
      <c r="CB73" s="46">
        <f t="shared" ref="CB73:CB76" si="709">IFERROR(VLOOKUP($B73 &amp; $C73&amp;CB$4,tblForecast,CB$2,FALSE),0)</f>
        <v>0</v>
      </c>
      <c r="CC73" s="46">
        <f>IF($A73="a",IFERROR(VLOOKUP($B73 &amp; $C73&amp;CC$4,tblForecast,CC$2,FALSE),0),CA73+CB73)</f>
        <v>0</v>
      </c>
      <c r="CD73" s="46">
        <f t="shared" ref="CD73:CE76" si="710">IFERROR(VLOOKUP($B73 &amp; $C73&amp;CD$4,tblForecast,CD$2,FALSE),0)</f>
        <v>0</v>
      </c>
      <c r="CE73" s="46">
        <f t="shared" si="710"/>
        <v>0</v>
      </c>
      <c r="CF73" s="46">
        <f>IFERROR(VLOOKUP($B73-IF(CompareVer="LY",1,0) &amp; $C73 &amp;CF$4,tblForecast,CF$2,FALSE),0)</f>
        <v>0</v>
      </c>
      <c r="CG73" s="195">
        <f t="shared" si="28"/>
        <v>0</v>
      </c>
      <c r="CH73" s="339">
        <f t="shared" ref="CH73:CH76" si="711">IFERROR(VLOOKUP($B73 &amp; $C73&amp;CH$4,tblForecast,CH$2,FALSE),0)</f>
        <v>0</v>
      </c>
      <c r="CI73" s="46">
        <f t="shared" ref="CI73:CI76" si="712">IFERROR(VLOOKUP($B73 &amp; $C73&amp;CI$4,tblForecast,CI$2,FALSE),0)</f>
        <v>0</v>
      </c>
      <c r="CJ73" s="46">
        <f>IF($A73="a",IFERROR(VLOOKUP($B73 &amp; $C73&amp;CJ$4,tblForecast,CJ$2,FALSE),0),CH73+CI73)</f>
        <v>0</v>
      </c>
      <c r="CK73" s="46">
        <f t="shared" ref="CK73:CL76" si="713">IFERROR(VLOOKUP($B73 &amp; $C73&amp;CK$4,tblForecast,CK$2,FALSE),0)</f>
        <v>0</v>
      </c>
      <c r="CL73" s="46">
        <f t="shared" si="713"/>
        <v>0</v>
      </c>
      <c r="CM73" s="46">
        <f>IFERROR(VLOOKUP($B73-IF(CompareVer="LY",1,0) &amp; $C73 &amp;CM$4,tblForecast,CM$2,FALSE),0)</f>
        <v>0</v>
      </c>
      <c r="CN73" s="195">
        <f t="shared" si="31"/>
        <v>0</v>
      </c>
      <c r="CO73" s="179">
        <f t="shared" si="51"/>
        <v>0</v>
      </c>
      <c r="CP73" s="225">
        <f t="shared" si="33"/>
        <v>0</v>
      </c>
      <c r="CQ73" s="195">
        <f t="shared" si="34"/>
        <v>0</v>
      </c>
      <c r="CR73" s="179">
        <f t="shared" si="49"/>
        <v>0</v>
      </c>
      <c r="CS73" s="225">
        <f t="shared" si="35"/>
        <v>0</v>
      </c>
      <c r="CT73" s="195">
        <f t="shared" si="52"/>
        <v>0</v>
      </c>
      <c r="CU73" s="44"/>
      <c r="CV73" s="345">
        <f t="shared" ref="CV73:CV76" si="714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7"/>
        <v>0</v>
      </c>
      <c r="CZ73" s="280">
        <f>IFERROR(VLOOKUP(Brand&amp;Channel&amp;Country&amp;$C73,tblDiscount,6,FALSE),0)</f>
        <v>0.8</v>
      </c>
      <c r="DA73" s="281">
        <f>(1-CZ73)*DB73</f>
        <v>5.0259999999999989</v>
      </c>
      <c r="DB73" s="281">
        <f>IFERROR(VLOOKUP(Brand&amp;Country &amp; Channel &amp;FC,tblFCSettings,8,FALSE),0)</f>
        <v>25.13</v>
      </c>
      <c r="DC73" s="282">
        <f>IFERROR(VLOOKUP(Brand&amp;Country &amp; Channel &amp;FC,tblFCSettings,9,FALSE),0)</f>
        <v>4.22</v>
      </c>
    </row>
    <row r="74" spans="2:107" x14ac:dyDescent="0.25">
      <c r="B74" s="44">
        <v>2018</v>
      </c>
      <c r="C74" s="88">
        <v>50</v>
      </c>
      <c r="D74" s="51">
        <f t="shared" ref="D74:D76" si="715">G74*H74</f>
        <v>0</v>
      </c>
      <c r="E74" s="203">
        <f t="shared" ref="E74:E76" si="716">IFERROR(D74*F74,0)</f>
        <v>0</v>
      </c>
      <c r="F74" s="183">
        <f t="shared" si="50"/>
        <v>0</v>
      </c>
      <c r="G74" s="177">
        <f t="shared" si="689"/>
        <v>0</v>
      </c>
      <c r="H74" s="204">
        <f t="shared" si="689"/>
        <v>0</v>
      </c>
      <c r="I74" s="204">
        <f t="shared" si="689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 t="shared" si="690"/>
        <v>0</v>
      </c>
      <c r="M74" s="90">
        <f t="shared" si="690"/>
        <v>0</v>
      </c>
      <c r="N74" s="46">
        <f t="shared" si="690"/>
        <v>0</v>
      </c>
      <c r="O74" s="46">
        <f t="shared" si="690"/>
        <v>0</v>
      </c>
      <c r="P74" s="47">
        <f t="shared" si="40"/>
        <v>0</v>
      </c>
      <c r="Q74" s="344">
        <f t="shared" ref="Q74:Q76" si="717">IF(A73="a",IF(CV74=0,R74,IF(BA73-(Q73*IF(W74=0,X74,W74))&lt;0,BA73,Q73*IF(W74=0,X74,W74))),IF(BA73-(Q73*IF(W74=0,X74,W74))&lt;0,BA73,Q73*IF(W74=0,X74,W74)))</f>
        <v>0</v>
      </c>
      <c r="R74" s="242">
        <f t="shared" si="691"/>
        <v>0</v>
      </c>
      <c r="S74" s="242">
        <f t="shared" si="691"/>
        <v>0</v>
      </c>
      <c r="T74" s="242">
        <f>IFERROR(VLOOKUP($B74-IF(CompareVer="LY",1,0) &amp; $C74 &amp;T$4,tblForecast,T$2,FALSE),0)</f>
        <v>0</v>
      </c>
      <c r="U74" s="91">
        <f t="shared" si="356"/>
        <v>0</v>
      </c>
      <c r="V74" s="251">
        <f t="shared" ref="V74:W76" si="718">IFERROR(IF(Q73&lt;&gt;0,Q74/Q73,0),0)</f>
        <v>0</v>
      </c>
      <c r="W74" s="336">
        <f t="shared" si="718"/>
        <v>0</v>
      </c>
      <c r="X74" s="252">
        <f>IFERROR(IF(T73&lt;&gt;0,T74/T73,0),0)</f>
        <v>0</v>
      </c>
      <c r="Y74" s="51">
        <f t="shared" si="692"/>
        <v>0</v>
      </c>
      <c r="Z74" s="46">
        <f t="shared" si="692"/>
        <v>0</v>
      </c>
      <c r="AA74" s="46">
        <f t="shared" si="692"/>
        <v>0</v>
      </c>
      <c r="AB74" s="46">
        <f t="shared" si="692"/>
        <v>0</v>
      </c>
      <c r="AC74" s="91">
        <f t="shared" si="360"/>
        <v>0</v>
      </c>
      <c r="AD74" s="75">
        <f>IF(AM74&lt;&gt;0,1-AR74/AM74,0)</f>
        <v>0.16036609629924381</v>
      </c>
      <c r="AE74" s="93">
        <f t="shared" si="693"/>
        <v>0</v>
      </c>
      <c r="AF74" s="93">
        <f t="shared" si="693"/>
        <v>0</v>
      </c>
      <c r="AG74" s="76">
        <f t="shared" si="693"/>
        <v>0</v>
      </c>
      <c r="AH74" s="73">
        <f t="shared" si="694"/>
        <v>25.13</v>
      </c>
      <c r="AI74" s="94">
        <f t="shared" si="695"/>
        <v>0</v>
      </c>
      <c r="AJ74" s="94">
        <f t="shared" si="695"/>
        <v>0</v>
      </c>
      <c r="AK74" s="49">
        <f>IFERROR(VLOOKUP($B74-IF(CompareVer="LY",1,0) &amp; $C74 &amp;AK$4,tblForecast,AK$2,FALSE),0)</f>
        <v>0</v>
      </c>
      <c r="AL74" s="47">
        <f t="shared" si="669"/>
        <v>0</v>
      </c>
      <c r="AM74" s="73">
        <f t="shared" si="696"/>
        <v>5.0259999999999989</v>
      </c>
      <c r="AN74" s="94">
        <f t="shared" si="697"/>
        <v>0</v>
      </c>
      <c r="AO74" s="94">
        <f t="shared" si="697"/>
        <v>0</v>
      </c>
      <c r="AP74" s="49">
        <f>IFERROR(VLOOKUP($B74-IF(CompareVer="LY",1,0) &amp; $C74 &amp;AP$4,tblForecast,AP$2,FALSE),0)</f>
        <v>0</v>
      </c>
      <c r="AQ74" s="47">
        <f t="shared" si="441"/>
        <v>0</v>
      </c>
      <c r="AR74" s="73">
        <f t="shared" si="698"/>
        <v>4.22</v>
      </c>
      <c r="AS74" s="94">
        <f t="shared" si="699"/>
        <v>0</v>
      </c>
      <c r="AT74" s="94">
        <f t="shared" si="699"/>
        <v>0</v>
      </c>
      <c r="AU74" s="49">
        <f>IFERROR(VLOOKUP($B74-IF(CompareVer="LY",1,0) &amp; $C74 &amp;AU$4,tblForecast,AU$2,FALSE),0)</f>
        <v>0</v>
      </c>
      <c r="AV74" s="47">
        <f t="shared" si="412"/>
        <v>0</v>
      </c>
      <c r="AW74" s="192">
        <f t="shared" si="700"/>
        <v>0.8</v>
      </c>
      <c r="AX74" s="193">
        <f t="shared" si="701"/>
        <v>0</v>
      </c>
      <c r="AY74" s="193">
        <f t="shared" si="702"/>
        <v>0</v>
      </c>
      <c r="AZ74" s="193">
        <f t="shared" si="703"/>
        <v>0</v>
      </c>
      <c r="BA74" s="237">
        <f t="shared" si="704"/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705"/>
        <v>0</v>
      </c>
      <c r="BE74" s="195">
        <f t="shared" si="19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 t="shared" si="373"/>
        <v>0</v>
      </c>
      <c r="BK74" s="50">
        <f t="shared" si="21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5"/>
        <v>0</v>
      </c>
      <c r="BS74" s="233">
        <f t="shared" si="22"/>
        <v>0</v>
      </c>
      <c r="BT74" s="236">
        <f t="shared" si="706"/>
        <v>0</v>
      </c>
      <c r="BU74" s="233">
        <f t="shared" si="706"/>
        <v>0</v>
      </c>
      <c r="BV74" s="233">
        <f>IF($A74="a",IFERROR(VLOOKUP($B74 &amp; $C74&amp;BV$4,tblForecast,BV$2,FALSE),0),BT74+BU74)</f>
        <v>0</v>
      </c>
      <c r="BW74" s="233">
        <f t="shared" si="707"/>
        <v>0</v>
      </c>
      <c r="BX74" s="233">
        <f t="shared" si="707"/>
        <v>0</v>
      </c>
      <c r="BY74" s="194">
        <f>IFERROR(VLOOKUP($B74-IF(CompareVer="LY",1,0) &amp; $C74 &amp;BY$4,tblForecast,BY$2,FALSE),0)</f>
        <v>0</v>
      </c>
      <c r="BZ74" s="195">
        <f t="shared" si="25"/>
        <v>0</v>
      </c>
      <c r="CA74" s="339">
        <f t="shared" si="708"/>
        <v>0</v>
      </c>
      <c r="CB74" s="46">
        <f t="shared" si="709"/>
        <v>0</v>
      </c>
      <c r="CC74" s="46">
        <f>IF($A74="a",IFERROR(VLOOKUP($B74 &amp; $C74&amp;CC$4,tblForecast,CC$2,FALSE),0),CA74+CB74)</f>
        <v>0</v>
      </c>
      <c r="CD74" s="46">
        <f t="shared" si="710"/>
        <v>0</v>
      </c>
      <c r="CE74" s="46">
        <f t="shared" si="710"/>
        <v>0</v>
      </c>
      <c r="CF74" s="46">
        <f>IFERROR(VLOOKUP($B74-IF(CompareVer="LY",1,0) &amp; $C74 &amp;CF$4,tblForecast,CF$2,FALSE),0)</f>
        <v>0</v>
      </c>
      <c r="CG74" s="195">
        <f t="shared" si="28"/>
        <v>0</v>
      </c>
      <c r="CH74" s="339">
        <f t="shared" si="711"/>
        <v>0</v>
      </c>
      <c r="CI74" s="46">
        <f t="shared" si="712"/>
        <v>0</v>
      </c>
      <c r="CJ74" s="46">
        <f>IF($A74="a",IFERROR(VLOOKUP($B74 &amp; $C74&amp;CJ$4,tblForecast,CJ$2,FALSE),0),CH74+CI74)</f>
        <v>0</v>
      </c>
      <c r="CK74" s="46">
        <f t="shared" si="713"/>
        <v>0</v>
      </c>
      <c r="CL74" s="46">
        <f t="shared" si="713"/>
        <v>0</v>
      </c>
      <c r="CM74" s="46">
        <f>IFERROR(VLOOKUP($B74-IF(CompareVer="LY",1,0) &amp; $C74 &amp;CM$4,tblForecast,CM$2,FALSE),0)</f>
        <v>0</v>
      </c>
      <c r="CN74" s="195">
        <f t="shared" si="31"/>
        <v>0</v>
      </c>
      <c r="CO74" s="179">
        <f t="shared" si="51"/>
        <v>0</v>
      </c>
      <c r="CP74" s="225">
        <f t="shared" si="33"/>
        <v>0</v>
      </c>
      <c r="CQ74" s="195">
        <f t="shared" si="34"/>
        <v>0</v>
      </c>
      <c r="CR74" s="179">
        <f t="shared" si="49"/>
        <v>0</v>
      </c>
      <c r="CS74" s="225">
        <f t="shared" si="35"/>
        <v>0</v>
      </c>
      <c r="CT74" s="195">
        <f t="shared" si="52"/>
        <v>0</v>
      </c>
      <c r="CU74" s="44"/>
      <c r="CV74" s="345">
        <f t="shared" si="714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7"/>
        <v>0</v>
      </c>
      <c r="CZ74" s="280">
        <f>IFERROR(VLOOKUP(Brand&amp;Channel&amp;Country&amp;$C74,tblDiscount,6,FALSE),0)</f>
        <v>0.8</v>
      </c>
      <c r="DA74" s="281">
        <f>(1-CZ74)*DB74</f>
        <v>5.0259999999999989</v>
      </c>
      <c r="DB74" s="281">
        <f>IFERROR(VLOOKUP(Brand&amp;Country &amp; Channel &amp;FC,tblFCSettings,8,FALSE),0)</f>
        <v>25.13</v>
      </c>
      <c r="DC74" s="282">
        <f>IFERROR(VLOOKUP(Brand&amp;Country &amp; Channel &amp;FC,tblFCSettings,9,FALSE),0)</f>
        <v>4.22</v>
      </c>
    </row>
    <row r="75" spans="2:107" x14ac:dyDescent="0.25">
      <c r="B75" s="44">
        <v>2018</v>
      </c>
      <c r="C75" s="88">
        <v>51</v>
      </c>
      <c r="D75" s="51">
        <f t="shared" si="715"/>
        <v>0</v>
      </c>
      <c r="E75" s="203">
        <f t="shared" si="716"/>
        <v>0</v>
      </c>
      <c r="F75" s="183">
        <f t="shared" si="50"/>
        <v>0</v>
      </c>
      <c r="G75" s="177">
        <f t="shared" si="689"/>
        <v>0</v>
      </c>
      <c r="H75" s="204">
        <f t="shared" si="689"/>
        <v>0</v>
      </c>
      <c r="I75" s="204">
        <f t="shared" si="689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 t="shared" si="690"/>
        <v>0</v>
      </c>
      <c r="M75" s="90">
        <f t="shared" si="690"/>
        <v>0</v>
      </c>
      <c r="N75" s="46">
        <f t="shared" si="690"/>
        <v>0</v>
      </c>
      <c r="O75" s="46">
        <f t="shared" si="690"/>
        <v>0</v>
      </c>
      <c r="P75" s="47">
        <f t="shared" si="40"/>
        <v>0</v>
      </c>
      <c r="Q75" s="344">
        <f t="shared" si="717"/>
        <v>0</v>
      </c>
      <c r="R75" s="242">
        <f t="shared" si="691"/>
        <v>0</v>
      </c>
      <c r="S75" s="242">
        <f t="shared" si="691"/>
        <v>0</v>
      </c>
      <c r="T75" s="242">
        <f>IFERROR(VLOOKUP($B75-IF(CompareVer="LY",1,0) &amp; $C75 &amp;T$4,tblForecast,T$2,FALSE),0)</f>
        <v>0</v>
      </c>
      <c r="U75" s="91">
        <f t="shared" ref="U75:U96" si="719">IFERROR(Q75/T75-1,)</f>
        <v>0</v>
      </c>
      <c r="V75" s="251">
        <f t="shared" si="718"/>
        <v>0</v>
      </c>
      <c r="W75" s="336">
        <f t="shared" si="718"/>
        <v>0</v>
      </c>
      <c r="X75" s="252">
        <f>IFERROR(IF(T74&lt;&gt;0,T75/T74,0),0)</f>
        <v>0</v>
      </c>
      <c r="Y75" s="51">
        <f t="shared" si="692"/>
        <v>0</v>
      </c>
      <c r="Z75" s="46">
        <f t="shared" si="692"/>
        <v>0</v>
      </c>
      <c r="AA75" s="46">
        <f t="shared" si="692"/>
        <v>0</v>
      </c>
      <c r="AB75" s="46">
        <f t="shared" si="692"/>
        <v>0</v>
      </c>
      <c r="AC75" s="91">
        <f t="shared" ref="AC75:AC92" si="720">IFERROR(Y75/AB75-1,)</f>
        <v>0</v>
      </c>
      <c r="AD75" s="75">
        <f>IF(AM75&lt;&gt;0,1-AR75/AM75,0)</f>
        <v>0.16036609629924381</v>
      </c>
      <c r="AE75" s="93">
        <f t="shared" si="693"/>
        <v>0</v>
      </c>
      <c r="AF75" s="93">
        <f t="shared" si="693"/>
        <v>0</v>
      </c>
      <c r="AG75" s="76">
        <f t="shared" si="693"/>
        <v>0</v>
      </c>
      <c r="AH75" s="73">
        <f t="shared" si="694"/>
        <v>25.13</v>
      </c>
      <c r="AI75" s="94">
        <f t="shared" si="695"/>
        <v>0</v>
      </c>
      <c r="AJ75" s="94">
        <f t="shared" si="695"/>
        <v>0</v>
      </c>
      <c r="AK75" s="49">
        <f>IFERROR(VLOOKUP($B75-IF(CompareVer="LY",1,0) &amp; $C75 &amp;AK$4,tblForecast,AK$2,FALSE),0)</f>
        <v>0</v>
      </c>
      <c r="AL75" s="47">
        <f t="shared" si="669"/>
        <v>0</v>
      </c>
      <c r="AM75" s="73">
        <f t="shared" si="696"/>
        <v>5.0259999999999989</v>
      </c>
      <c r="AN75" s="94">
        <f t="shared" si="697"/>
        <v>0</v>
      </c>
      <c r="AO75" s="94">
        <f t="shared" si="697"/>
        <v>0</v>
      </c>
      <c r="AP75" s="49">
        <f>IFERROR(VLOOKUP($B75-IF(CompareVer="LY",1,0) &amp; $C75 &amp;AP$4,tblForecast,AP$2,FALSE),0)</f>
        <v>0</v>
      </c>
      <c r="AQ75" s="47">
        <f t="shared" si="441"/>
        <v>0</v>
      </c>
      <c r="AR75" s="73">
        <f t="shared" si="698"/>
        <v>4.22</v>
      </c>
      <c r="AS75" s="94">
        <f t="shared" si="699"/>
        <v>0</v>
      </c>
      <c r="AT75" s="94">
        <f t="shared" si="699"/>
        <v>0</v>
      </c>
      <c r="AU75" s="49">
        <f>IFERROR(VLOOKUP($B75-IF(CompareVer="LY",1,0) &amp; $C75 &amp;AU$4,tblForecast,AU$2,FALSE),0)</f>
        <v>0</v>
      </c>
      <c r="AV75" s="47">
        <f t="shared" ref="AV75:AV92" si="721">IFERROR(AR75/AU75-1,)</f>
        <v>0</v>
      </c>
      <c r="AW75" s="192">
        <f t="shared" si="700"/>
        <v>0.8</v>
      </c>
      <c r="AX75" s="193">
        <f t="shared" si="701"/>
        <v>0</v>
      </c>
      <c r="AY75" s="193">
        <f t="shared" si="702"/>
        <v>0</v>
      </c>
      <c r="AZ75" s="193">
        <f t="shared" si="703"/>
        <v>0</v>
      </c>
      <c r="BA75" s="237">
        <f t="shared" si="704"/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705"/>
        <v>0</v>
      </c>
      <c r="BE75" s="195">
        <f t="shared" ref="BE75:BE92" si="722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 t="shared" ref="BJ75:BJ96" si="723">IF(BA75&lt;&gt;0,Q75/BA75,0)</f>
        <v>0</v>
      </c>
      <c r="BK75" s="50">
        <f t="shared" ref="BK75:BK92" si="724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5"/>
        <v>0</v>
      </c>
      <c r="BS75" s="233">
        <f t="shared" si="45"/>
        <v>0</v>
      </c>
      <c r="BT75" s="236">
        <f t="shared" si="706"/>
        <v>0</v>
      </c>
      <c r="BU75" s="233">
        <f t="shared" si="706"/>
        <v>0</v>
      </c>
      <c r="BV75" s="233">
        <f>IF($A75="a",IFERROR(VLOOKUP($B75 &amp; $C75&amp;BV$4,tblForecast,BV$2,FALSE),0),BT75+BU75)</f>
        <v>0</v>
      </c>
      <c r="BW75" s="233">
        <f t="shared" si="707"/>
        <v>0</v>
      </c>
      <c r="BX75" s="233">
        <f t="shared" si="707"/>
        <v>0</v>
      </c>
      <c r="BY75" s="194">
        <f>IFERROR(VLOOKUP($B75-IF(CompareVer="LY",1,0) &amp; $C75 &amp;BY$4,tblForecast,BY$2,FALSE),0)</f>
        <v>0</v>
      </c>
      <c r="BZ75" s="195">
        <f t="shared" ref="BZ75:BZ92" si="725">IFERROR(BV75/BY75-1,)</f>
        <v>0</v>
      </c>
      <c r="CA75" s="339">
        <f t="shared" si="708"/>
        <v>0</v>
      </c>
      <c r="CB75" s="46">
        <f t="shared" si="709"/>
        <v>0</v>
      </c>
      <c r="CC75" s="46">
        <f>IF($A75="a",IFERROR(VLOOKUP($B75 &amp; $C75&amp;CC$4,tblForecast,CC$2,FALSE),0),CA75+CB75)</f>
        <v>0</v>
      </c>
      <c r="CD75" s="46">
        <f t="shared" si="710"/>
        <v>0</v>
      </c>
      <c r="CE75" s="46">
        <f t="shared" si="710"/>
        <v>0</v>
      </c>
      <c r="CF75" s="46">
        <f>IFERROR(VLOOKUP($B75-IF(CompareVer="LY",1,0) &amp; $C75 &amp;CF$4,tblForecast,CF$2,FALSE),0)</f>
        <v>0</v>
      </c>
      <c r="CG75" s="195">
        <f t="shared" ref="CG75:CG92" si="726">IFERROR(CC75/CF75-1,)</f>
        <v>0</v>
      </c>
      <c r="CH75" s="339">
        <f t="shared" si="711"/>
        <v>0</v>
      </c>
      <c r="CI75" s="46">
        <f t="shared" si="712"/>
        <v>0</v>
      </c>
      <c r="CJ75" s="46">
        <f>IF($A75="a",IFERROR(VLOOKUP($B75 &amp; $C75&amp;CJ$4,tblForecast,CJ$2,FALSE),0),CH75+CI75)</f>
        <v>0</v>
      </c>
      <c r="CK75" s="46">
        <f t="shared" si="713"/>
        <v>0</v>
      </c>
      <c r="CL75" s="46">
        <f t="shared" si="713"/>
        <v>0</v>
      </c>
      <c r="CM75" s="46">
        <f>IFERROR(VLOOKUP($B75-IF(CompareVer="LY",1,0) &amp; $C75 &amp;CM$4,tblForecast,CM$2,FALSE),0)</f>
        <v>0</v>
      </c>
      <c r="CN75" s="195">
        <f t="shared" ref="CN75:CN92" si="727">IFERROR(CJ75/CM75-1,)</f>
        <v>0</v>
      </c>
      <c r="CO75" s="179">
        <f t="shared" si="51"/>
        <v>0</v>
      </c>
      <c r="CP75" s="225">
        <f t="shared" ref="CP75:CP96" si="728">IFERROR(CF75/BY75,0)</f>
        <v>0</v>
      </c>
      <c r="CQ75" s="195">
        <f t="shared" ref="CQ75:CQ96" si="729">IFERROR(CL75/CP75-1,)</f>
        <v>0</v>
      </c>
      <c r="CR75" s="179">
        <f t="shared" si="49"/>
        <v>0</v>
      </c>
      <c r="CS75" s="225">
        <f t="shared" ref="CS75:CS96" si="730">IFERROR(CM75/BY75,0)</f>
        <v>0</v>
      </c>
      <c r="CT75" s="195">
        <f t="shared" si="52"/>
        <v>0</v>
      </c>
      <c r="CU75" s="44"/>
      <c r="CV75" s="345">
        <f t="shared" si="714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5.0259999999999989</v>
      </c>
      <c r="DB75" s="281">
        <f>IFERROR(VLOOKUP(Brand&amp;Country &amp; Channel &amp;FC,tblFCSettings,8,FALSE),0)</f>
        <v>25.13</v>
      </c>
      <c r="DC75" s="282">
        <f>IFERROR(VLOOKUP(Brand&amp;Country &amp; Channel &amp;FC,tblFCSettings,9,FALSE),0)</f>
        <v>4.22</v>
      </c>
    </row>
    <row r="76" spans="2:107" ht="16.5" thickBot="1" x14ac:dyDescent="0.3">
      <c r="B76" s="44">
        <v>2018</v>
      </c>
      <c r="C76" s="88">
        <v>52</v>
      </c>
      <c r="D76" s="51">
        <f t="shared" si="715"/>
        <v>0</v>
      </c>
      <c r="E76" s="203">
        <f t="shared" si="716"/>
        <v>0</v>
      </c>
      <c r="F76" s="183">
        <f t="shared" si="50"/>
        <v>0</v>
      </c>
      <c r="G76" s="177">
        <f t="shared" si="689"/>
        <v>0</v>
      </c>
      <c r="H76" s="204">
        <f t="shared" si="689"/>
        <v>0</v>
      </c>
      <c r="I76" s="204">
        <f t="shared" si="689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 t="shared" si="690"/>
        <v>0</v>
      </c>
      <c r="M76" s="90">
        <f t="shared" si="690"/>
        <v>0</v>
      </c>
      <c r="N76" s="46">
        <f t="shared" si="690"/>
        <v>0</v>
      </c>
      <c r="O76" s="46">
        <f t="shared" si="690"/>
        <v>0</v>
      </c>
      <c r="P76" s="47">
        <f t="shared" ref="P76:P93" si="731">IFERROR(L76/O76-1,)</f>
        <v>0</v>
      </c>
      <c r="Q76" s="344">
        <f t="shared" si="717"/>
        <v>0</v>
      </c>
      <c r="R76" s="242">
        <f t="shared" si="691"/>
        <v>0</v>
      </c>
      <c r="S76" s="242">
        <f t="shared" si="691"/>
        <v>0</v>
      </c>
      <c r="T76" s="242">
        <f>IFERROR(VLOOKUP($B76-IF(CompareVer="LY",1,0) &amp; $C76 &amp;T$4,tblForecast,T$2,FALSE),0)</f>
        <v>0</v>
      </c>
      <c r="U76" s="91">
        <f t="shared" si="719"/>
        <v>0</v>
      </c>
      <c r="V76" s="251">
        <f t="shared" si="718"/>
        <v>0</v>
      </c>
      <c r="W76" s="336">
        <f t="shared" si="718"/>
        <v>0</v>
      </c>
      <c r="X76" s="252">
        <f>IFERROR(IF(T75&lt;&gt;0,T76/T75,0),0)</f>
        <v>0</v>
      </c>
      <c r="Y76" s="51">
        <f t="shared" si="692"/>
        <v>0</v>
      </c>
      <c r="Z76" s="46">
        <f t="shared" si="692"/>
        <v>0</v>
      </c>
      <c r="AA76" s="46">
        <f t="shared" si="692"/>
        <v>0</v>
      </c>
      <c r="AB76" s="46">
        <f t="shared" si="692"/>
        <v>0</v>
      </c>
      <c r="AC76" s="91">
        <f t="shared" si="720"/>
        <v>0</v>
      </c>
      <c r="AD76" s="75">
        <f>IF(AM76&lt;&gt;0,1-AR76/AM76,0)</f>
        <v>0.16036609629924381</v>
      </c>
      <c r="AE76" s="93">
        <f t="shared" si="693"/>
        <v>0</v>
      </c>
      <c r="AF76" s="93">
        <f t="shared" si="693"/>
        <v>0</v>
      </c>
      <c r="AG76" s="76">
        <f t="shared" si="693"/>
        <v>0</v>
      </c>
      <c r="AH76" s="73">
        <f t="shared" si="694"/>
        <v>25.13</v>
      </c>
      <c r="AI76" s="94">
        <f t="shared" si="695"/>
        <v>0</v>
      </c>
      <c r="AJ76" s="94">
        <f t="shared" si="695"/>
        <v>0</v>
      </c>
      <c r="AK76" s="49">
        <f>IFERROR(VLOOKUP($B76-IF(CompareVer="LY",1,0) &amp; $C76 &amp;AK$4,tblForecast,AK$2,FALSE),0)</f>
        <v>0</v>
      </c>
      <c r="AL76" s="47">
        <f t="shared" si="669"/>
        <v>0</v>
      </c>
      <c r="AM76" s="73">
        <f t="shared" si="696"/>
        <v>5.0259999999999989</v>
      </c>
      <c r="AN76" s="94">
        <f t="shared" si="697"/>
        <v>0</v>
      </c>
      <c r="AO76" s="94">
        <f t="shared" si="697"/>
        <v>0</v>
      </c>
      <c r="AP76" s="49">
        <f>IFERROR(VLOOKUP($B76-IF(CompareVer="LY",1,0) &amp; $C76 &amp;AP$4,tblForecast,AP$2,FALSE),0)</f>
        <v>0</v>
      </c>
      <c r="AQ76" s="47">
        <f t="shared" si="441"/>
        <v>0</v>
      </c>
      <c r="AR76" s="73">
        <f t="shared" si="698"/>
        <v>4.22</v>
      </c>
      <c r="AS76" s="94">
        <f t="shared" si="699"/>
        <v>0</v>
      </c>
      <c r="AT76" s="94">
        <f t="shared" si="699"/>
        <v>0</v>
      </c>
      <c r="AU76" s="49">
        <f>IFERROR(VLOOKUP($B76-IF(CompareVer="LY",1,0) &amp; $C76 &amp;AU$4,tblForecast,AU$2,FALSE),0)</f>
        <v>0</v>
      </c>
      <c r="AV76" s="47">
        <f t="shared" si="721"/>
        <v>0</v>
      </c>
      <c r="AW76" s="192">
        <f t="shared" si="700"/>
        <v>0.8</v>
      </c>
      <c r="AX76" s="193">
        <f t="shared" si="701"/>
        <v>0</v>
      </c>
      <c r="AY76" s="193">
        <f t="shared" si="702"/>
        <v>0</v>
      </c>
      <c r="AZ76" s="193">
        <f t="shared" si="703"/>
        <v>0</v>
      </c>
      <c r="BA76" s="237">
        <f t="shared" si="704"/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705"/>
        <v>0</v>
      </c>
      <c r="BE76" s="195">
        <f t="shared" si="722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 t="shared" si="723"/>
        <v>0</v>
      </c>
      <c r="BK76" s="50">
        <f t="shared" si="724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732">BN76-BP76</f>
        <v>0</v>
      </c>
      <c r="BS76" s="233">
        <f t="shared" si="732"/>
        <v>0</v>
      </c>
      <c r="BT76" s="236">
        <f t="shared" si="706"/>
        <v>0</v>
      </c>
      <c r="BU76" s="233">
        <f t="shared" si="706"/>
        <v>0</v>
      </c>
      <c r="BV76" s="233">
        <f>IF($A76="a",IFERROR(VLOOKUP($B76 &amp; $C76&amp;BV$4,tblForecast,BV$2,FALSE),0),BT76+BU76)</f>
        <v>0</v>
      </c>
      <c r="BW76" s="233">
        <f t="shared" si="707"/>
        <v>0</v>
      </c>
      <c r="BX76" s="233">
        <f t="shared" si="707"/>
        <v>0</v>
      </c>
      <c r="BY76" s="194">
        <f>IFERROR(VLOOKUP($B76-IF(CompareVer="LY",1,0) &amp; $C76 &amp;BY$4,tblForecast,BY$2,FALSE),0)</f>
        <v>0</v>
      </c>
      <c r="BZ76" s="195">
        <f t="shared" si="725"/>
        <v>0</v>
      </c>
      <c r="CA76" s="339">
        <f t="shared" si="708"/>
        <v>0</v>
      </c>
      <c r="CB76" s="46">
        <f t="shared" si="709"/>
        <v>0</v>
      </c>
      <c r="CC76" s="46">
        <f>IF($A76="a",IFERROR(VLOOKUP($B76 &amp; $C76&amp;CC$4,tblForecast,CC$2,FALSE),0),CA76+CB76)</f>
        <v>0</v>
      </c>
      <c r="CD76" s="46">
        <f t="shared" si="710"/>
        <v>0</v>
      </c>
      <c r="CE76" s="46">
        <f t="shared" si="710"/>
        <v>0</v>
      </c>
      <c r="CF76" s="46">
        <f>IFERROR(VLOOKUP($B76-IF(CompareVer="LY",1,0) &amp; $C76 &amp;CF$4,tblForecast,CF$2,FALSE),0)</f>
        <v>0</v>
      </c>
      <c r="CG76" s="195">
        <f t="shared" si="726"/>
        <v>0</v>
      </c>
      <c r="CH76" s="339">
        <f t="shared" si="711"/>
        <v>0</v>
      </c>
      <c r="CI76" s="46">
        <f t="shared" si="712"/>
        <v>0</v>
      </c>
      <c r="CJ76" s="46">
        <f>IF($A76="a",IFERROR(VLOOKUP($B76 &amp; $C76&amp;CJ$4,tblForecast,CJ$2,FALSE),0),CH76+CI76)</f>
        <v>0</v>
      </c>
      <c r="CK76" s="46">
        <f t="shared" si="713"/>
        <v>0</v>
      </c>
      <c r="CL76" s="46">
        <f t="shared" si="713"/>
        <v>0</v>
      </c>
      <c r="CM76" s="46">
        <f>IFERROR(VLOOKUP($B76-IF(CompareVer="LY",1,0) &amp; $C76 &amp;CM$4,tblForecast,CM$2,FALSE),0)</f>
        <v>0</v>
      </c>
      <c r="CN76" s="195">
        <f t="shared" si="727"/>
        <v>0</v>
      </c>
      <c r="CO76" s="179">
        <f t="shared" si="51"/>
        <v>0</v>
      </c>
      <c r="CP76" s="225">
        <f t="shared" si="728"/>
        <v>0</v>
      </c>
      <c r="CQ76" s="195">
        <f t="shared" si="729"/>
        <v>0</v>
      </c>
      <c r="CR76" s="179">
        <f t="shared" ref="CR76:CR96" si="733">IFERROR(CL76/BX76,0)</f>
        <v>0</v>
      </c>
      <c r="CS76" s="225">
        <f t="shared" si="730"/>
        <v>0</v>
      </c>
      <c r="CT76" s="195">
        <f t="shared" si="52"/>
        <v>0</v>
      </c>
      <c r="CU76" s="44"/>
      <c r="CV76" s="345">
        <f t="shared" si="714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5.0259999999999989</v>
      </c>
      <c r="DB76" s="281">
        <f>IFERROR(VLOOKUP(Brand&amp;Country &amp; Channel &amp;FC,tblFCSettings,8,FALSE),0)</f>
        <v>25.13</v>
      </c>
      <c r="DC76" s="282">
        <f>IFERROR(VLOOKUP(Brand&amp;Country &amp; Channel &amp;FC,tblFCSettings,9,FALSE),0)</f>
        <v>4.22</v>
      </c>
    </row>
    <row r="77" spans="2:107" ht="16.5" thickBot="1" x14ac:dyDescent="0.3">
      <c r="C77" s="255" t="s">
        <v>322</v>
      </c>
      <c r="D77" s="256">
        <f t="shared" ref="D77" si="734">SUM(D73:D76)</f>
        <v>0</v>
      </c>
      <c r="E77" s="257">
        <f t="shared" ref="E77" si="735">SUM(E73:E76)</f>
        <v>0</v>
      </c>
      <c r="F77" s="258">
        <f t="shared" ref="F77:F96" si="736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737">SUM(M73:M76)</f>
        <v>0</v>
      </c>
      <c r="N77" s="261">
        <f t="shared" si="737"/>
        <v>0</v>
      </c>
      <c r="O77" s="261">
        <f t="shared" si="737"/>
        <v>0</v>
      </c>
      <c r="P77" s="262">
        <f t="shared" si="731"/>
        <v>0</v>
      </c>
      <c r="Q77" s="263">
        <f>SUM(Q73:Q76)</f>
        <v>0</v>
      </c>
      <c r="R77" s="264">
        <f t="shared" ref="R77" si="738">SUM(R73:R76)</f>
        <v>0</v>
      </c>
      <c r="S77" s="264">
        <f t="shared" ref="S77" si="739">SUM(S73:S76)</f>
        <v>0</v>
      </c>
      <c r="T77" s="264">
        <f>SUM(T73:T76)</f>
        <v>0</v>
      </c>
      <c r="U77" s="262">
        <f t="shared" si="719"/>
        <v>0</v>
      </c>
      <c r="V77" s="265">
        <f t="shared" ref="V77:X79" si="740">V76</f>
        <v>0</v>
      </c>
      <c r="W77" s="334">
        <f t="shared" ref="W77" si="741">W76</f>
        <v>0</v>
      </c>
      <c r="X77" s="266">
        <f t="shared" si="740"/>
        <v>0</v>
      </c>
      <c r="Y77" s="256">
        <f>SUM(Y73:Y76)</f>
        <v>0</v>
      </c>
      <c r="Z77" s="261">
        <f t="shared" ref="Z77:AB77" si="742">SUM(Z73:Z76)</f>
        <v>0</v>
      </c>
      <c r="AA77" s="261">
        <f t="shared" si="742"/>
        <v>0</v>
      </c>
      <c r="AB77" s="261">
        <f t="shared" si="742"/>
        <v>0</v>
      </c>
      <c r="AC77" s="262">
        <f t="shared" si="720"/>
        <v>0</v>
      </c>
      <c r="AD77" s="267">
        <f t="shared" ref="AD77:AG79" si="743">IFERROR(Y77/L77,0)</f>
        <v>0</v>
      </c>
      <c r="AE77" s="268">
        <f t="shared" si="743"/>
        <v>0</v>
      </c>
      <c r="AF77" s="268">
        <f t="shared" si="743"/>
        <v>0</v>
      </c>
      <c r="AG77" s="268">
        <f t="shared" si="743"/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" si="744">IFERROR(SUMPRODUCT(AJ73:AJ76,S73:S76)/S77,0)</f>
        <v>0</v>
      </c>
      <c r="AK77" s="270">
        <f t="shared" ref="AK77" si="745">IFERROR(SUMPRODUCT(AK73:AK76,T73:T76)/T77,0)</f>
        <v>0</v>
      </c>
      <c r="AL77" s="262">
        <f t="shared" ref="AL77:AL83" si="746">IFERROR(AH77/AK77-1,)</f>
        <v>0</v>
      </c>
      <c r="AM77" s="269">
        <f t="shared" ref="AM77:AP79" si="747">IF(Q77&lt;&gt;0,L77/Q77,0)</f>
        <v>0</v>
      </c>
      <c r="AN77" s="270">
        <f t="shared" si="747"/>
        <v>0</v>
      </c>
      <c r="AO77" s="270">
        <f t="shared" si="747"/>
        <v>0</v>
      </c>
      <c r="AP77" s="270">
        <f t="shared" si="747"/>
        <v>0</v>
      </c>
      <c r="AQ77" s="262">
        <f t="shared" si="441"/>
        <v>0</v>
      </c>
      <c r="AR77" s="269">
        <f t="shared" ref="AR77:AU79" si="748">IFERROR((L77*(1-AD77))/Q77,0)</f>
        <v>0</v>
      </c>
      <c r="AS77" s="270">
        <f t="shared" si="748"/>
        <v>0</v>
      </c>
      <c r="AT77" s="270">
        <f t="shared" si="748"/>
        <v>0</v>
      </c>
      <c r="AU77" s="270">
        <f t="shared" si="748"/>
        <v>0</v>
      </c>
      <c r="AV77" s="262">
        <f t="shared" si="721"/>
        <v>0</v>
      </c>
      <c r="AW77" s="271">
        <f>IFERROR(SUMPRODUCT(AW73:AW76,V73:V76)/V77,0)</f>
        <v>0</v>
      </c>
      <c r="AX77" s="272">
        <f t="shared" ref="AX77:AZ77" si="749">IFERROR(SUMPRODUCT(AX73:AX76,X73:X76)/X77,0)</f>
        <v>0</v>
      </c>
      <c r="AY77" s="272">
        <f t="shared" si="749"/>
        <v>0</v>
      </c>
      <c r="AZ77" s="272">
        <f t="shared" si="749"/>
        <v>0</v>
      </c>
      <c r="BA77" s="263">
        <f>BA76</f>
        <v>0</v>
      </c>
      <c r="BB77" s="264">
        <f t="shared" ref="BB77:BB79" si="750">BB76</f>
        <v>0</v>
      </c>
      <c r="BC77" s="264">
        <f t="shared" ref="BC77:BC79" si="751">BC76</f>
        <v>0</v>
      </c>
      <c r="BD77" s="264">
        <f t="shared" ref="BD77:BD79" si="752">BD76</f>
        <v>0</v>
      </c>
      <c r="BE77" s="262">
        <f t="shared" si="722"/>
        <v>0</v>
      </c>
      <c r="BF77" s="263">
        <f t="shared" ref="BF77:BG79" si="753">BF76</f>
        <v>0</v>
      </c>
      <c r="BG77" s="264">
        <f t="shared" si="753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 t="shared" si="723"/>
        <v>0</v>
      </c>
      <c r="BK77" s="276">
        <f t="shared" si="724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754">SUM(BO73:BO76)</f>
        <v>0</v>
      </c>
      <c r="BP77" s="263">
        <f>SUM(BP73:BP76)</f>
        <v>0</v>
      </c>
      <c r="BQ77" s="264">
        <f t="shared" si="754"/>
        <v>0</v>
      </c>
      <c r="BR77" s="263">
        <f t="shared" si="732"/>
        <v>0</v>
      </c>
      <c r="BS77" s="264">
        <f t="shared" si="732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" si="755">SUM(BW73:BW76)</f>
        <v>0</v>
      </c>
      <c r="BX77" s="264">
        <f t="shared" ref="BX77" si="756">SUM(BX73:BX76)</f>
        <v>0</v>
      </c>
      <c r="BY77" s="277">
        <f>SUM(BY73:BY76)</f>
        <v>0</v>
      </c>
      <c r="BZ77" s="262">
        <f t="shared" si="725"/>
        <v>0</v>
      </c>
      <c r="CA77" s="340">
        <f>SUM(CA74:CA76)</f>
        <v>0</v>
      </c>
      <c r="CB77" s="261">
        <f t="shared" ref="CB77" si="757">SUM(CB74:CB76)</f>
        <v>0</v>
      </c>
      <c r="CC77" s="261">
        <f t="shared" ref="CC77:CF77" si="758">SUM(CC73:CC76)</f>
        <v>0</v>
      </c>
      <c r="CD77" s="261">
        <f t="shared" si="758"/>
        <v>0</v>
      </c>
      <c r="CE77" s="261">
        <f t="shared" si="758"/>
        <v>0</v>
      </c>
      <c r="CF77" s="261">
        <f t="shared" si="758"/>
        <v>0</v>
      </c>
      <c r="CG77" s="262">
        <f t="shared" si="726"/>
        <v>0</v>
      </c>
      <c r="CH77" s="340">
        <f>SUM(CH74:CH76)</f>
        <v>0</v>
      </c>
      <c r="CI77" s="261">
        <f t="shared" ref="CI77" si="759">SUM(CI74:CI76)</f>
        <v>0</v>
      </c>
      <c r="CJ77" s="261">
        <f t="shared" ref="CJ77:CM77" si="760">SUM(CJ73:CJ76)</f>
        <v>0</v>
      </c>
      <c r="CK77" s="261">
        <f t="shared" si="760"/>
        <v>0</v>
      </c>
      <c r="CL77" s="261">
        <f t="shared" si="760"/>
        <v>0</v>
      </c>
      <c r="CM77" s="261">
        <f t="shared" si="760"/>
        <v>0</v>
      </c>
      <c r="CN77" s="262">
        <f t="shared" si="727"/>
        <v>0</v>
      </c>
      <c r="CO77" s="278">
        <f t="shared" si="51"/>
        <v>0</v>
      </c>
      <c r="CP77" s="279">
        <f t="shared" si="728"/>
        <v>0</v>
      </c>
      <c r="CQ77" s="262">
        <f t="shared" si="729"/>
        <v>0</v>
      </c>
      <c r="CR77" s="278">
        <f t="shared" si="733"/>
        <v>0</v>
      </c>
      <c r="CS77" s="279">
        <f t="shared" si="730"/>
        <v>0</v>
      </c>
      <c r="CT77" s="262">
        <f t="shared" si="52"/>
        <v>0</v>
      </c>
      <c r="CU77" s="44"/>
      <c r="CV77" s="346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" si="761">D66+D72+D77</f>
        <v>0</v>
      </c>
      <c r="E78" s="206">
        <f t="shared" ref="E78" si="762">E66+E72+E77</f>
        <v>0</v>
      </c>
      <c r="F78" s="207">
        <f t="shared" si="736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" si="763">J66+J72+J77</f>
        <v>0</v>
      </c>
      <c r="K78" s="304">
        <f t="shared" ref="K78" si="764">K66+K72+K77</f>
        <v>0</v>
      </c>
      <c r="L78" s="53">
        <f>L66+L72+L77</f>
        <v>0</v>
      </c>
      <c r="M78" s="53">
        <f t="shared" ref="M78:O78" si="765">M66+M72+M77</f>
        <v>0</v>
      </c>
      <c r="N78" s="53">
        <f t="shared" si="765"/>
        <v>0</v>
      </c>
      <c r="O78" s="53">
        <f t="shared" si="765"/>
        <v>0</v>
      </c>
      <c r="P78" s="54">
        <f t="shared" si="731"/>
        <v>0</v>
      </c>
      <c r="Q78" s="231">
        <f>Q66+Q72+Q77</f>
        <v>0</v>
      </c>
      <c r="R78" s="232">
        <f t="shared" ref="R78:S78" si="766">R66+R72+R77</f>
        <v>0</v>
      </c>
      <c r="S78" s="232">
        <f t="shared" si="766"/>
        <v>0</v>
      </c>
      <c r="T78" s="232">
        <f>T66+T72+T77</f>
        <v>0</v>
      </c>
      <c r="U78" s="54">
        <f t="shared" si="719"/>
        <v>0</v>
      </c>
      <c r="V78" s="249">
        <f t="shared" si="740"/>
        <v>0</v>
      </c>
      <c r="W78" s="335">
        <f t="shared" ref="W78" si="767">W77</f>
        <v>0</v>
      </c>
      <c r="X78" s="250">
        <f t="shared" si="740"/>
        <v>0</v>
      </c>
      <c r="Y78" s="52">
        <f>Y66+Y72+Y77</f>
        <v>0</v>
      </c>
      <c r="Z78" s="53">
        <f t="shared" ref="Z78:AB78" si="768">Z66+Z72+Z77</f>
        <v>0</v>
      </c>
      <c r="AA78" s="53">
        <f t="shared" si="768"/>
        <v>0</v>
      </c>
      <c r="AB78" s="53">
        <f t="shared" si="768"/>
        <v>0</v>
      </c>
      <c r="AC78" s="54">
        <f t="shared" si="720"/>
        <v>0</v>
      </c>
      <c r="AD78" s="77">
        <f t="shared" si="743"/>
        <v>0</v>
      </c>
      <c r="AE78" s="78">
        <f t="shared" si="743"/>
        <v>0</v>
      </c>
      <c r="AF78" s="78">
        <f t="shared" si="743"/>
        <v>0</v>
      </c>
      <c r="AG78" s="78">
        <f t="shared" si="743"/>
        <v>0</v>
      </c>
      <c r="AH78" s="58">
        <f>IFERROR((AH66*Q66+AH72*Q72+AH77*Q77)/Q78,0)</f>
        <v>0</v>
      </c>
      <c r="AI78" s="58">
        <f t="shared" ref="AI78" si="769">IFERROR((AI66*R66+AI72*R72+AI77*R77)/R78,0)</f>
        <v>0</v>
      </c>
      <c r="AJ78" s="58">
        <f t="shared" ref="AJ78" si="770">IFERROR((AJ66*S66+AJ72*S72+AJ77*S77)/S78,0)</f>
        <v>0</v>
      </c>
      <c r="AK78" s="58">
        <f t="shared" ref="AK78" si="771">IFERROR((AK66*T66+AK72*T72+AK77*T77)/T78,0)</f>
        <v>0</v>
      </c>
      <c r="AL78" s="54">
        <f t="shared" ref="AL78" si="772">IFERROR((AL66*U66+AL72*U72+AL77*U77)/U78,0)</f>
        <v>0</v>
      </c>
      <c r="AM78" s="57">
        <f t="shared" si="747"/>
        <v>0</v>
      </c>
      <c r="AN78" s="58">
        <f t="shared" si="747"/>
        <v>0</v>
      </c>
      <c r="AO78" s="58">
        <f t="shared" si="747"/>
        <v>0</v>
      </c>
      <c r="AP78" s="58">
        <f t="shared" si="747"/>
        <v>0</v>
      </c>
      <c r="AQ78" s="54">
        <f t="shared" si="441"/>
        <v>0</v>
      </c>
      <c r="AR78" s="57">
        <f t="shared" si="748"/>
        <v>0</v>
      </c>
      <c r="AS78" s="58">
        <f t="shared" si="748"/>
        <v>0</v>
      </c>
      <c r="AT78" s="58">
        <f t="shared" si="748"/>
        <v>0</v>
      </c>
      <c r="AU78" s="58">
        <f t="shared" si="748"/>
        <v>0</v>
      </c>
      <c r="AV78" s="54">
        <f t="shared" si="721"/>
        <v>0</v>
      </c>
      <c r="AW78" s="59">
        <f>IFERROR((AW66*V66+AW72*V72+AW77*V77)/V78,0)</f>
        <v>0</v>
      </c>
      <c r="AX78" s="60">
        <f t="shared" ref="AX78:AZ78" si="773">IFERROR((AX66*X66+AX72*X72+AX77*X77)/X78,0)</f>
        <v>0</v>
      </c>
      <c r="AY78" s="60">
        <f t="shared" si="773"/>
        <v>0</v>
      </c>
      <c r="AZ78" s="60">
        <f t="shared" si="773"/>
        <v>0</v>
      </c>
      <c r="BA78" s="238">
        <f>BA77</f>
        <v>0</v>
      </c>
      <c r="BB78" s="232">
        <f t="shared" si="750"/>
        <v>0</v>
      </c>
      <c r="BC78" s="232">
        <f t="shared" si="751"/>
        <v>0</v>
      </c>
      <c r="BD78" s="232">
        <f t="shared" si="752"/>
        <v>0</v>
      </c>
      <c r="BE78" s="54">
        <f t="shared" si="722"/>
        <v>0</v>
      </c>
      <c r="BF78" s="231">
        <f t="shared" si="753"/>
        <v>0</v>
      </c>
      <c r="BG78" s="232">
        <f t="shared" si="753"/>
        <v>0</v>
      </c>
      <c r="BH78" s="62">
        <f>IF(Q76&lt;&gt;0,(BA78/Q78),0)</f>
        <v>0</v>
      </c>
      <c r="BI78" s="134">
        <f>IF(T76&lt;&gt;0,(BD78/T76),0)</f>
        <v>0</v>
      </c>
      <c r="BJ78" s="191">
        <f t="shared" si="723"/>
        <v>0</v>
      </c>
      <c r="BK78" s="61">
        <f t="shared" si="724"/>
        <v>0</v>
      </c>
      <c r="BL78" s="231">
        <f>BL66+BL72+BL77</f>
        <v>0</v>
      </c>
      <c r="BM78" s="232">
        <f t="shared" ref="BM78" si="774">BM66+BM72+BM77</f>
        <v>0</v>
      </c>
      <c r="BN78" s="231">
        <f>BN66+BN72+BN77</f>
        <v>0</v>
      </c>
      <c r="BO78" s="232">
        <f t="shared" ref="BO78:BQ78" si="775">BO66+BO72+BO77</f>
        <v>0</v>
      </c>
      <c r="BP78" s="231">
        <f>BP66+BP72+BP77</f>
        <v>0</v>
      </c>
      <c r="BQ78" s="232">
        <f t="shared" si="775"/>
        <v>0</v>
      </c>
      <c r="BR78" s="231">
        <f t="shared" si="732"/>
        <v>0</v>
      </c>
      <c r="BS78" s="232">
        <f t="shared" si="732"/>
        <v>0</v>
      </c>
      <c r="BT78" s="231">
        <f t="shared" ref="BT78:BY78" si="776">BT66+BT72+BT77</f>
        <v>0</v>
      </c>
      <c r="BU78" s="232">
        <f t="shared" si="776"/>
        <v>0</v>
      </c>
      <c r="BV78" s="232">
        <f t="shared" si="776"/>
        <v>0</v>
      </c>
      <c r="BW78" s="232">
        <f t="shared" si="776"/>
        <v>0</v>
      </c>
      <c r="BX78" s="232">
        <f t="shared" si="776"/>
        <v>0</v>
      </c>
      <c r="BY78" s="56">
        <f t="shared" si="776"/>
        <v>0</v>
      </c>
      <c r="BZ78" s="54">
        <f t="shared" si="725"/>
        <v>0</v>
      </c>
      <c r="CA78" s="341">
        <f t="shared" ref="CA78" si="777">CA66+CA72+CA77</f>
        <v>0</v>
      </c>
      <c r="CB78" s="53">
        <f t="shared" ref="CB78:CF78" si="778">CB66+CB72+CB77</f>
        <v>0</v>
      </c>
      <c r="CC78" s="53">
        <f t="shared" si="778"/>
        <v>0</v>
      </c>
      <c r="CD78" s="53">
        <f t="shared" si="778"/>
        <v>0</v>
      </c>
      <c r="CE78" s="53">
        <f t="shared" si="778"/>
        <v>0</v>
      </c>
      <c r="CF78" s="53">
        <f t="shared" si="778"/>
        <v>0</v>
      </c>
      <c r="CG78" s="54">
        <f t="shared" si="726"/>
        <v>0</v>
      </c>
      <c r="CH78" s="341">
        <f t="shared" ref="CH78" si="779">CH66+CH72+CH77</f>
        <v>0</v>
      </c>
      <c r="CI78" s="53">
        <f t="shared" ref="CI78:CM78" si="780">CI66+CI72+CI77</f>
        <v>0</v>
      </c>
      <c r="CJ78" s="53">
        <f t="shared" si="780"/>
        <v>0</v>
      </c>
      <c r="CK78" s="53">
        <f t="shared" si="780"/>
        <v>0</v>
      </c>
      <c r="CL78" s="53">
        <f t="shared" si="780"/>
        <v>0</v>
      </c>
      <c r="CM78" s="53">
        <f t="shared" si="780"/>
        <v>0</v>
      </c>
      <c r="CN78" s="54">
        <f t="shared" si="727"/>
        <v>0</v>
      </c>
      <c r="CO78" s="55">
        <f t="shared" ref="CO78:CO96" si="781">IFERROR(CE78/BX78,0)</f>
        <v>0</v>
      </c>
      <c r="CP78" s="226">
        <f t="shared" si="728"/>
        <v>0</v>
      </c>
      <c r="CQ78" s="54">
        <f t="shared" si="729"/>
        <v>0</v>
      </c>
      <c r="CR78" s="55">
        <f t="shared" si="733"/>
        <v>0</v>
      </c>
      <c r="CS78" s="226">
        <f t="shared" si="730"/>
        <v>0</v>
      </c>
      <c r="CT78" s="54">
        <f t="shared" ref="CT78:CT96" si="782">IFERROR(CO78/CS78-1,)</f>
        <v>0</v>
      </c>
      <c r="CU78" s="44"/>
      <c r="CV78" s="347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783">D27+D44+D61+D78</f>
        <v>0</v>
      </c>
      <c r="E79" s="210">
        <f t="shared" si="783"/>
        <v>0</v>
      </c>
      <c r="F79" s="211">
        <f t="shared" si="736"/>
        <v>0</v>
      </c>
      <c r="G79" s="209">
        <f t="shared" si="783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783"/>
        <v>0</v>
      </c>
      <c r="K79" s="305">
        <f t="shared" si="783"/>
        <v>0</v>
      </c>
      <c r="L79" s="64">
        <f>L27+L44+L61+L78</f>
        <v>0</v>
      </c>
      <c r="M79" s="64">
        <f t="shared" ref="M79:O79" si="784">M27+M44+M61+M78</f>
        <v>0</v>
      </c>
      <c r="N79" s="64">
        <f t="shared" si="784"/>
        <v>0</v>
      </c>
      <c r="O79" s="64">
        <f t="shared" si="784"/>
        <v>0</v>
      </c>
      <c r="P79" s="65">
        <f t="shared" si="731"/>
        <v>0</v>
      </c>
      <c r="Q79" s="245">
        <f>Q27+Q44+Q61+Q78</f>
        <v>0</v>
      </c>
      <c r="R79" s="246">
        <f t="shared" ref="R79:S79" si="785">R27+R44+R61+R78</f>
        <v>0</v>
      </c>
      <c r="S79" s="246">
        <f t="shared" si="785"/>
        <v>0</v>
      </c>
      <c r="T79" s="246">
        <f>T27+T44+T61+T78</f>
        <v>0</v>
      </c>
      <c r="U79" s="65">
        <f t="shared" si="719"/>
        <v>0</v>
      </c>
      <c r="V79" s="253">
        <f t="shared" si="740"/>
        <v>0</v>
      </c>
      <c r="W79" s="337">
        <f t="shared" ref="W79" si="786">W78</f>
        <v>0</v>
      </c>
      <c r="X79" s="254">
        <f t="shared" si="740"/>
        <v>0</v>
      </c>
      <c r="Y79" s="63">
        <f>Y27+Y44+Y61+Y78</f>
        <v>0</v>
      </c>
      <c r="Z79" s="64">
        <f t="shared" ref="Z79:AB79" si="787">Z27+Z44+Z61+Z78</f>
        <v>0</v>
      </c>
      <c r="AA79" s="64">
        <f t="shared" si="787"/>
        <v>0</v>
      </c>
      <c r="AB79" s="64">
        <f t="shared" si="787"/>
        <v>0</v>
      </c>
      <c r="AC79" s="65">
        <f t="shared" si="720"/>
        <v>0</v>
      </c>
      <c r="AD79" s="79">
        <f t="shared" si="743"/>
        <v>0</v>
      </c>
      <c r="AE79" s="80">
        <f t="shared" si="743"/>
        <v>0</v>
      </c>
      <c r="AF79" s="80">
        <f t="shared" si="743"/>
        <v>0</v>
      </c>
      <c r="AG79" s="80">
        <f t="shared" si="743"/>
        <v>0</v>
      </c>
      <c r="AH79" s="69">
        <f>IFERROR((AH27*Q27+AH44*Q44+AH61*Q61+AH78*Q78)/Q79,0)</f>
        <v>0</v>
      </c>
      <c r="AI79" s="69">
        <f t="shared" ref="AI79:AK79" si="788">IFERROR((AI27*R27+AI44*R44+AI61*R61+AI78*R78)/R79,0)</f>
        <v>0</v>
      </c>
      <c r="AJ79" s="69">
        <f t="shared" si="788"/>
        <v>0</v>
      </c>
      <c r="AK79" s="69">
        <f t="shared" si="788"/>
        <v>0</v>
      </c>
      <c r="AL79" s="65">
        <f t="shared" si="746"/>
        <v>0</v>
      </c>
      <c r="AM79" s="68">
        <f t="shared" si="747"/>
        <v>0</v>
      </c>
      <c r="AN79" s="69">
        <f t="shared" si="747"/>
        <v>0</v>
      </c>
      <c r="AO79" s="69">
        <f t="shared" si="747"/>
        <v>0</v>
      </c>
      <c r="AP79" s="69">
        <f t="shared" si="747"/>
        <v>0</v>
      </c>
      <c r="AQ79" s="65">
        <f t="shared" si="441"/>
        <v>0</v>
      </c>
      <c r="AR79" s="68">
        <f t="shared" si="748"/>
        <v>0</v>
      </c>
      <c r="AS79" s="69">
        <f t="shared" si="748"/>
        <v>0</v>
      </c>
      <c r="AT79" s="69">
        <f t="shared" si="748"/>
        <v>0</v>
      </c>
      <c r="AU79" s="69">
        <f t="shared" si="748"/>
        <v>0</v>
      </c>
      <c r="AV79" s="65">
        <f t="shared" si="721"/>
        <v>0</v>
      </c>
      <c r="AW79" s="70">
        <f>IFERROR((AW27*V27+AW44*V44+AW61*V61+AW78*V78)/V79,0)</f>
        <v>0</v>
      </c>
      <c r="AX79" s="71">
        <f t="shared" ref="AX79:AZ79" si="789">IFERROR((AX27*X27+AX44*X44+AX61*X61+AX78*X78)/X79,0)</f>
        <v>0</v>
      </c>
      <c r="AY79" s="71">
        <f t="shared" si="789"/>
        <v>0</v>
      </c>
      <c r="AZ79" s="71">
        <f t="shared" si="789"/>
        <v>0</v>
      </c>
      <c r="BA79" s="239">
        <f>BA78</f>
        <v>0</v>
      </c>
      <c r="BB79" s="235">
        <f t="shared" si="750"/>
        <v>0</v>
      </c>
      <c r="BC79" s="235">
        <f t="shared" si="751"/>
        <v>0</v>
      </c>
      <c r="BD79" s="235">
        <f t="shared" si="752"/>
        <v>0</v>
      </c>
      <c r="BE79" s="136">
        <f t="shared" si="722"/>
        <v>0</v>
      </c>
      <c r="BF79" s="234">
        <f t="shared" si="753"/>
        <v>0</v>
      </c>
      <c r="BG79" s="235">
        <f t="shared" si="753"/>
        <v>0</v>
      </c>
      <c r="BH79" s="138">
        <f>IF(Q77&lt;&gt;0,(BA79/Q79),0)</f>
        <v>0</v>
      </c>
      <c r="BI79" s="139">
        <f>IF(T77&lt;&gt;0,(BD79/T77),0)</f>
        <v>0</v>
      </c>
      <c r="BJ79" s="197">
        <f t="shared" si="723"/>
        <v>0</v>
      </c>
      <c r="BK79" s="72">
        <f t="shared" si="724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790">BO27+BO44+BO61+BO78</f>
        <v>0</v>
      </c>
      <c r="BP79" s="234">
        <f>BP27+BP44+BP61+BP78</f>
        <v>0</v>
      </c>
      <c r="BQ79" s="235">
        <f t="shared" si="790"/>
        <v>0</v>
      </c>
      <c r="BR79" s="234">
        <f t="shared" si="732"/>
        <v>0</v>
      </c>
      <c r="BS79" s="235">
        <f t="shared" si="732"/>
        <v>0</v>
      </c>
      <c r="BT79" s="234">
        <f t="shared" ref="BT79:BY79" si="791">BT27+BT44+BT61+BT78</f>
        <v>0</v>
      </c>
      <c r="BU79" s="235">
        <f t="shared" si="791"/>
        <v>0</v>
      </c>
      <c r="BV79" s="235">
        <f t="shared" si="791"/>
        <v>0</v>
      </c>
      <c r="BW79" s="235">
        <f t="shared" si="791"/>
        <v>0</v>
      </c>
      <c r="BX79" s="235">
        <f t="shared" si="791"/>
        <v>0</v>
      </c>
      <c r="BY79" s="135">
        <f t="shared" si="791"/>
        <v>0</v>
      </c>
      <c r="BZ79" s="136">
        <f t="shared" si="725"/>
        <v>0</v>
      </c>
      <c r="CA79" s="342">
        <f t="shared" ref="CA79" si="792">CA27+CA44+CA61+CA78</f>
        <v>0</v>
      </c>
      <c r="CB79" s="64">
        <f t="shared" ref="CB79:CF79" si="793">CB27+CB44+CB61+CB78</f>
        <v>0</v>
      </c>
      <c r="CC79" s="64">
        <f t="shared" si="793"/>
        <v>0</v>
      </c>
      <c r="CD79" s="64">
        <f t="shared" si="793"/>
        <v>0</v>
      </c>
      <c r="CE79" s="64">
        <f t="shared" si="793"/>
        <v>0</v>
      </c>
      <c r="CF79" s="64">
        <f t="shared" si="793"/>
        <v>0</v>
      </c>
      <c r="CG79" s="136">
        <f t="shared" si="726"/>
        <v>0</v>
      </c>
      <c r="CH79" s="342">
        <f t="shared" ref="CH79" si="794">CH27+CH44+CH61+CH78</f>
        <v>0</v>
      </c>
      <c r="CI79" s="64">
        <f t="shared" ref="CI79:CM79" si="795">CI27+CI44+CI61+CI78</f>
        <v>0</v>
      </c>
      <c r="CJ79" s="64">
        <f t="shared" si="795"/>
        <v>0</v>
      </c>
      <c r="CK79" s="64">
        <f t="shared" si="795"/>
        <v>0</v>
      </c>
      <c r="CL79" s="64">
        <f t="shared" si="795"/>
        <v>0</v>
      </c>
      <c r="CM79" s="64">
        <f t="shared" si="795"/>
        <v>0</v>
      </c>
      <c r="CN79" s="136">
        <f t="shared" si="727"/>
        <v>0</v>
      </c>
      <c r="CO79" s="137">
        <f t="shared" si="781"/>
        <v>0</v>
      </c>
      <c r="CP79" s="227">
        <f t="shared" si="728"/>
        <v>0</v>
      </c>
      <c r="CQ79" s="136">
        <f t="shared" si="729"/>
        <v>0</v>
      </c>
      <c r="CR79" s="137">
        <f t="shared" si="733"/>
        <v>0</v>
      </c>
      <c r="CS79" s="227">
        <f t="shared" si="730"/>
        <v>0</v>
      </c>
      <c r="CT79" s="136">
        <f t="shared" si="782"/>
        <v>0</v>
      </c>
      <c r="CU79" s="44"/>
      <c r="CV79" s="348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736"/>
        <v>0</v>
      </c>
      <c r="G80" s="177">
        <f t="shared" ref="G80:I83" si="796">IFERROR(VLOOKUP($B80 &amp; $C80&amp;G$4&amp;$A80,tblForecast,G$2,FALSE),0)</f>
        <v>0</v>
      </c>
      <c r="H80" s="204">
        <f t="shared" si="796"/>
        <v>0</v>
      </c>
      <c r="I80" s="204">
        <f t="shared" si="796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M83" si="797">R80*AN80</f>
        <v>0</v>
      </c>
      <c r="N80" s="46">
        <f t="shared" ref="N80:N83" si="798">S80*AO80</f>
        <v>0</v>
      </c>
      <c r="O80" s="46">
        <f t="shared" ref="O80:O83" si="799">T80*AP80</f>
        <v>0</v>
      </c>
      <c r="P80" s="47">
        <f t="shared" si="731"/>
        <v>0</v>
      </c>
      <c r="Q80" s="244">
        <f>IF(A76="a",IF(CV80=0,R80,IF(BA76-(Q76*IF(W80=0,X80,W80))&lt;0,BA76,Q76*IF(W80=0,X80,W80))),IF(BA76-(Q76*IF(W80=0,X80,W80))&lt;0,BA76,Q76*IF(W80=0,X80,W80)))</f>
        <v>0</v>
      </c>
      <c r="R80" s="242">
        <f t="shared" ref="R80:S83" si="800">IFERROR(VLOOKUP($B80 &amp; $C80&amp;R$4,tblForecast,R$2,FALSE),0)</f>
        <v>0</v>
      </c>
      <c r="S80" s="242">
        <f t="shared" si="800"/>
        <v>0</v>
      </c>
      <c r="T80" s="242">
        <f>IFERROR(VLOOKUP($B80-IF(CompareVer="LY",1,0) &amp; $C80 &amp;T$4,tblForecast,T$2,FALSE),0)</f>
        <v>0</v>
      </c>
      <c r="U80" s="91">
        <f t="shared" si="719"/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 t="shared" ref="Y80:AB83" si="801">IFERROR(L80*AD80,0)</f>
        <v>0</v>
      </c>
      <c r="Z80" s="46">
        <f t="shared" si="801"/>
        <v>0</v>
      </c>
      <c r="AA80" s="46">
        <f t="shared" si="801"/>
        <v>0</v>
      </c>
      <c r="AB80" s="46">
        <f t="shared" si="801"/>
        <v>0</v>
      </c>
      <c r="AC80" s="91">
        <f t="shared" si="720"/>
        <v>0</v>
      </c>
      <c r="AD80" s="75">
        <f>IF(AM80&lt;&gt;0,1-AR80/AM80,0)</f>
        <v>0.76010459894264115</v>
      </c>
      <c r="AE80" s="93">
        <f t="shared" ref="AE80:AE83" si="802">IF(AN80&lt;&gt;0,1-AS80/AN80,0)</f>
        <v>0</v>
      </c>
      <c r="AF80" s="93">
        <f t="shared" ref="AF80:AF83" si="803">IF(AO80&lt;&gt;0,1-AT80/AO80,0)</f>
        <v>0</v>
      </c>
      <c r="AG80" s="76">
        <f t="shared" ref="AG80:AG83" si="804">IF(AP80&lt;&gt;0,1-AU80/AP80,0)</f>
        <v>0</v>
      </c>
      <c r="AH80" s="73">
        <f t="shared" ref="AH80:AH83" si="805">DB80</f>
        <v>25.13</v>
      </c>
      <c r="AI80" s="94">
        <f t="shared" ref="AI80:AJ83" si="806">IFERROR(VLOOKUP($B80 &amp; $C80&amp;AI$4,tblForecast,AI$2,FALSE),0)</f>
        <v>0</v>
      </c>
      <c r="AJ80" s="94">
        <f t="shared" si="806"/>
        <v>0</v>
      </c>
      <c r="AK80" s="49">
        <f>IFERROR(VLOOKUP($B80-IF(CompareVer="LY",1,0) &amp; $C80 &amp;AK$4,tblForecast,AK$2,FALSE),0)</f>
        <v>0</v>
      </c>
      <c r="AL80" s="47">
        <f t="shared" si="746"/>
        <v>0</v>
      </c>
      <c r="AM80" s="73">
        <f t="shared" ref="AM80:AM83" si="807">DA80</f>
        <v>17.590999999999998</v>
      </c>
      <c r="AN80" s="94">
        <f t="shared" ref="AN80:AO83" si="808">IFERROR(VLOOKUP($B80 &amp; $C80&amp;AN$4,tblForecast,AN$2,FALSE),0)</f>
        <v>0</v>
      </c>
      <c r="AO80" s="94">
        <f t="shared" si="808"/>
        <v>0</v>
      </c>
      <c r="AP80" s="49">
        <f>IFERROR(VLOOKUP($B80-IF(CompareVer="LY",1,0) &amp; $C80 &amp;AP$4,tblForecast,AP$2,FALSE),0)</f>
        <v>0</v>
      </c>
      <c r="AQ80" s="47">
        <f t="shared" si="441"/>
        <v>0</v>
      </c>
      <c r="AR80" s="73">
        <f t="shared" ref="AR80:AR83" si="809">DC80</f>
        <v>4.22</v>
      </c>
      <c r="AS80" s="94">
        <f t="shared" ref="AS80:AT83" si="810">IFERROR(VLOOKUP($B80 &amp; $C80&amp;AS$4,tblForecast,AS$2,FALSE),0)</f>
        <v>0</v>
      </c>
      <c r="AT80" s="94">
        <f t="shared" si="810"/>
        <v>0</v>
      </c>
      <c r="AU80" s="49">
        <f>IFERROR(VLOOKUP($B80-IF(CompareVer="LY",1,0) &amp; $C80 &amp;AU$4,tblForecast,AU$2,FALSE),0)</f>
        <v>0</v>
      </c>
      <c r="AV80" s="47">
        <f t="shared" si="721"/>
        <v>0</v>
      </c>
      <c r="AW80" s="192">
        <f t="shared" ref="AW80:AW83" si="811">IFERROR((AM80/AH80-1)*-1,0)</f>
        <v>0.30000000000000004</v>
      </c>
      <c r="AX80" s="193">
        <f t="shared" ref="AX80:AX83" si="812">IFERROR((AN80/AI80-1)*-1,0)</f>
        <v>0</v>
      </c>
      <c r="AY80" s="193">
        <f t="shared" ref="AY80:AY83" si="813">IFERROR((AO80/AJ80-1)*-1,0)</f>
        <v>0</v>
      </c>
      <c r="AZ80" s="193">
        <f t="shared" ref="AZ80:AZ83" si="814">IFERROR((AP80/AK80-1)*-1,0)</f>
        <v>0</v>
      </c>
      <c r="BA80" s="237">
        <f t="shared" ref="BA80:BA83" si="815">IF(BA79+BV80+BL80+BR80-Q80&lt;0,0,BA79+BF79+BV80+BL80+BR80-Q80)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816">CX80+BG80</f>
        <v>0</v>
      </c>
      <c r="BE80" s="195">
        <f t="shared" si="722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 t="shared" si="723"/>
        <v>0</v>
      </c>
      <c r="BK80" s="50">
        <f t="shared" si="724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732"/>
        <v>0</v>
      </c>
      <c r="BS80" s="233">
        <f t="shared" si="732"/>
        <v>0</v>
      </c>
      <c r="BT80" s="236">
        <f t="shared" ref="BT80:BU83" si="817">IFERROR(VLOOKUP($B80 &amp; $C80&amp;BT$4,tblForecast,BT$2,FALSE),0)</f>
        <v>0</v>
      </c>
      <c r="BU80" s="233">
        <f t="shared" si="817"/>
        <v>0</v>
      </c>
      <c r="BV80" s="233">
        <f>IF($A80="a",IFERROR(VLOOKUP($B80 &amp; $C80&amp;BV$4,tblForecast,BV$2,FALSE),0),BT80+BU80)</f>
        <v>0</v>
      </c>
      <c r="BW80" s="233">
        <f t="shared" ref="BW80:BX83" si="818">IFERROR(VLOOKUP($B80 &amp; $C80&amp;BW$4,tblForecast,BW$2,FALSE),0)</f>
        <v>0</v>
      </c>
      <c r="BX80" s="233">
        <f t="shared" si="818"/>
        <v>0</v>
      </c>
      <c r="BY80" s="194">
        <f>IFERROR(VLOOKUP($B80-IF(CompareVer="LY",1,0) &amp; $C80 &amp;BY$4,tblForecast,BY$2,FALSE),0)</f>
        <v>0</v>
      </c>
      <c r="BZ80" s="195">
        <f t="shared" si="725"/>
        <v>0</v>
      </c>
      <c r="CA80" s="339">
        <f t="shared" ref="CA80:CA83" si="819">IFERROR(VLOOKUP($B80 &amp; $C80&amp;CA$4,tblForecast,CA$2,FALSE),0)</f>
        <v>0</v>
      </c>
      <c r="CB80" s="46">
        <f t="shared" ref="CB80:CB83" si="820">IFERROR(VLOOKUP($B80 &amp; $C80&amp;CB$4,tblForecast,CB$2,FALSE),0)</f>
        <v>0</v>
      </c>
      <c r="CC80" s="46">
        <f>IF($A80="a",IFERROR(VLOOKUP($B80 &amp; $C80&amp;CC$4,tblForecast,CC$2,FALSE),0),CA80+CB80)</f>
        <v>0</v>
      </c>
      <c r="CD80" s="46">
        <f t="shared" ref="CD80:CE83" si="821">IFERROR(VLOOKUP($B80 &amp; $C80&amp;CD$4,tblForecast,CD$2,FALSE),0)</f>
        <v>0</v>
      </c>
      <c r="CE80" s="46">
        <f t="shared" si="821"/>
        <v>0</v>
      </c>
      <c r="CF80" s="46">
        <f>IFERROR(VLOOKUP($B80-IF(CompareVer="LY",1,0) &amp; $C80 &amp;CF$4,tblForecast,CF$2,FALSE),0)</f>
        <v>0</v>
      </c>
      <c r="CG80" s="195">
        <f t="shared" si="726"/>
        <v>0</v>
      </c>
      <c r="CH80" s="339">
        <f t="shared" ref="CH80:CH83" si="822">IFERROR(VLOOKUP($B80 &amp; $C80&amp;CH$4,tblForecast,CH$2,FALSE),0)</f>
        <v>0</v>
      </c>
      <c r="CI80" s="46">
        <f t="shared" ref="CI80:CI83" si="823">IFERROR(VLOOKUP($B80 &amp; $C80&amp;CI$4,tblForecast,CI$2,FALSE),0)</f>
        <v>0</v>
      </c>
      <c r="CJ80" s="46">
        <f>IF($A80="a",IFERROR(VLOOKUP($B80 &amp; $C80&amp;CJ$4,tblForecast,CJ$2,FALSE),0),CH80+CI80)</f>
        <v>0</v>
      </c>
      <c r="CK80" s="46">
        <f t="shared" ref="CK80:CL83" si="824">IFERROR(VLOOKUP($B80 &amp; $C80&amp;CK$4,tblForecast,CK$2,FALSE),0)</f>
        <v>0</v>
      </c>
      <c r="CL80" s="46">
        <f t="shared" si="824"/>
        <v>0</v>
      </c>
      <c r="CM80" s="46">
        <f>IFERROR(VLOOKUP($B80-IF(CompareVer="LY",1,0) &amp; $C80 &amp;CM$4,tblForecast,CM$2,FALSE),0)</f>
        <v>0</v>
      </c>
      <c r="CN80" s="195">
        <f t="shared" si="727"/>
        <v>0</v>
      </c>
      <c r="CO80" s="179">
        <f t="shared" si="781"/>
        <v>0</v>
      </c>
      <c r="CP80" s="225">
        <f t="shared" si="728"/>
        <v>0</v>
      </c>
      <c r="CQ80" s="195">
        <f t="shared" si="729"/>
        <v>0</v>
      </c>
      <c r="CR80" s="179">
        <f t="shared" si="733"/>
        <v>0</v>
      </c>
      <c r="CS80" s="225">
        <f t="shared" si="730"/>
        <v>0</v>
      </c>
      <c r="CT80" s="195">
        <f t="shared" si="782"/>
        <v>0</v>
      </c>
      <c r="CU80" s="44"/>
      <c r="CV80" s="345">
        <f t="shared" ref="CV80:CV83" si="825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826">IFERROR(CW80/CX80-1,)</f>
        <v>0</v>
      </c>
      <c r="CZ80" s="280">
        <f>IFERROR(VLOOKUP(Brand&amp;Channel&amp;Country&amp;$C80,tblDiscount,6,FALSE),0)</f>
        <v>0.3</v>
      </c>
      <c r="DA80" s="281">
        <f>(1-CZ80)*DB80</f>
        <v>17.590999999999998</v>
      </c>
      <c r="DB80" s="281">
        <f>IFERROR(VLOOKUP(Brand&amp;Country &amp; Channel &amp;FC,tblFCSettings,8,FALSE),0)</f>
        <v>25.13</v>
      </c>
      <c r="DC80" s="282">
        <f>IFERROR(VLOOKUP(Brand&amp;Country &amp; Channel &amp;FC,tblFCSettings,9,FALSE),0)</f>
        <v>4.22</v>
      </c>
    </row>
    <row r="81" spans="2:107" x14ac:dyDescent="0.25">
      <c r="B81" s="44">
        <v>2019</v>
      </c>
      <c r="C81" s="88">
        <v>2</v>
      </c>
      <c r="D81" s="51">
        <f t="shared" ref="D81:D83" si="827">G81*H81</f>
        <v>0</v>
      </c>
      <c r="E81" s="203">
        <f t="shared" ref="E81:E83" si="828">IFERROR(D81*F81,0)</f>
        <v>0</v>
      </c>
      <c r="F81" s="183">
        <f t="shared" si="736"/>
        <v>0</v>
      </c>
      <c r="G81" s="177">
        <f t="shared" si="796"/>
        <v>0</v>
      </c>
      <c r="H81" s="204">
        <f t="shared" si="796"/>
        <v>0</v>
      </c>
      <c r="I81" s="204">
        <f t="shared" si="796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97"/>
        <v>0</v>
      </c>
      <c r="N81" s="46">
        <f t="shared" si="798"/>
        <v>0</v>
      </c>
      <c r="O81" s="46">
        <f t="shared" si="799"/>
        <v>0</v>
      </c>
      <c r="P81" s="47">
        <f t="shared" si="731"/>
        <v>0</v>
      </c>
      <c r="Q81" s="244">
        <f t="shared" ref="Q81:Q83" si="829">IF(A80="a",IF(CV81=0,R81,IF(BA80-(Q80*IF(W81=0,X81,W81))&lt;0,BA80,Q80*IF(W81=0,X81,W81))),IF(BA80-(Q80*IF(W81=0,X81,W81))&lt;0,BA80,Q80*IF(W81=0,X81,W81)))</f>
        <v>0</v>
      </c>
      <c r="R81" s="242">
        <f t="shared" si="800"/>
        <v>0</v>
      </c>
      <c r="S81" s="242">
        <f t="shared" si="800"/>
        <v>0</v>
      </c>
      <c r="T81" s="242">
        <f>IFERROR(VLOOKUP($B81-IF(CompareVer="LY",1,0) &amp; $C81 &amp;T$4,tblForecast,T$2,FALSE),0)</f>
        <v>0</v>
      </c>
      <c r="U81" s="91">
        <f t="shared" si="719"/>
        <v>0</v>
      </c>
      <c r="V81" s="251">
        <f t="shared" ref="V81:W83" si="830">IFERROR(IF(Q80&lt;&gt;0,Q81/Q80,0),0)</f>
        <v>0</v>
      </c>
      <c r="W81" s="336">
        <f t="shared" si="830"/>
        <v>0</v>
      </c>
      <c r="X81" s="252">
        <f>IFERROR(IF(T80&lt;&gt;0,T81/T80,0),0)</f>
        <v>0</v>
      </c>
      <c r="Y81" s="51">
        <f t="shared" si="801"/>
        <v>0</v>
      </c>
      <c r="Z81" s="46">
        <f t="shared" si="801"/>
        <v>0</v>
      </c>
      <c r="AA81" s="46">
        <f t="shared" si="801"/>
        <v>0</v>
      </c>
      <c r="AB81" s="46">
        <f t="shared" si="801"/>
        <v>0</v>
      </c>
      <c r="AC81" s="91">
        <f t="shared" si="720"/>
        <v>0</v>
      </c>
      <c r="AD81" s="75">
        <f>IF(AM81&lt;&gt;0,1-AR81/AM81,0)</f>
        <v>0.76010459894264115</v>
      </c>
      <c r="AE81" s="93">
        <f t="shared" si="802"/>
        <v>0</v>
      </c>
      <c r="AF81" s="93">
        <f t="shared" si="803"/>
        <v>0</v>
      </c>
      <c r="AG81" s="76">
        <f t="shared" si="804"/>
        <v>0</v>
      </c>
      <c r="AH81" s="73">
        <f t="shared" si="805"/>
        <v>25.13</v>
      </c>
      <c r="AI81" s="94">
        <f t="shared" si="806"/>
        <v>0</v>
      </c>
      <c r="AJ81" s="94">
        <f t="shared" si="806"/>
        <v>0</v>
      </c>
      <c r="AK81" s="49">
        <f>IFERROR(VLOOKUP($B81-IF(CompareVer="LY",1,0) &amp; $C81 &amp;AK$4,tblForecast,AK$2,FALSE),0)</f>
        <v>0</v>
      </c>
      <c r="AL81" s="47">
        <f t="shared" si="746"/>
        <v>0</v>
      </c>
      <c r="AM81" s="73">
        <f t="shared" si="807"/>
        <v>17.590999999999998</v>
      </c>
      <c r="AN81" s="94">
        <f t="shared" si="808"/>
        <v>0</v>
      </c>
      <c r="AO81" s="94">
        <f t="shared" si="808"/>
        <v>0</v>
      </c>
      <c r="AP81" s="49">
        <f>IFERROR(VLOOKUP($B81-IF(CompareVer="LY",1,0) &amp; $C81 &amp;AP$4,tblForecast,AP$2,FALSE),0)</f>
        <v>0</v>
      </c>
      <c r="AQ81" s="47">
        <f t="shared" si="441"/>
        <v>0</v>
      </c>
      <c r="AR81" s="73">
        <f t="shared" si="809"/>
        <v>4.22</v>
      </c>
      <c r="AS81" s="94">
        <f t="shared" si="810"/>
        <v>0</v>
      </c>
      <c r="AT81" s="94">
        <f t="shared" si="810"/>
        <v>0</v>
      </c>
      <c r="AU81" s="49">
        <f>IFERROR(VLOOKUP($B81-IF(CompareVer="LY",1,0) &amp; $C81 &amp;AU$4,tblForecast,AU$2,FALSE),0)</f>
        <v>0</v>
      </c>
      <c r="AV81" s="47">
        <f t="shared" si="721"/>
        <v>0</v>
      </c>
      <c r="AW81" s="192">
        <f t="shared" si="811"/>
        <v>0.30000000000000004</v>
      </c>
      <c r="AX81" s="193">
        <f t="shared" si="812"/>
        <v>0</v>
      </c>
      <c r="AY81" s="193">
        <f t="shared" si="813"/>
        <v>0</v>
      </c>
      <c r="AZ81" s="193">
        <f t="shared" si="814"/>
        <v>0</v>
      </c>
      <c r="BA81" s="237">
        <f t="shared" si="815"/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816"/>
        <v>0</v>
      </c>
      <c r="BE81" s="195">
        <f t="shared" si="722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 t="shared" si="723"/>
        <v>0</v>
      </c>
      <c r="BK81" s="50">
        <f t="shared" si="724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732"/>
        <v>0</v>
      </c>
      <c r="BS81" s="233">
        <f t="shared" si="732"/>
        <v>0</v>
      </c>
      <c r="BT81" s="236">
        <f t="shared" si="817"/>
        <v>0</v>
      </c>
      <c r="BU81" s="233">
        <f t="shared" si="817"/>
        <v>0</v>
      </c>
      <c r="BV81" s="233">
        <f>IF($A81="a",IFERROR(VLOOKUP($B81 &amp; $C81&amp;BV$4,tblForecast,BV$2,FALSE),0),BT81+BU81)</f>
        <v>0</v>
      </c>
      <c r="BW81" s="233">
        <f t="shared" si="818"/>
        <v>0</v>
      </c>
      <c r="BX81" s="233">
        <f t="shared" si="818"/>
        <v>0</v>
      </c>
      <c r="BY81" s="194">
        <f>IFERROR(VLOOKUP($B81-IF(CompareVer="LY",1,0) &amp; $C81 &amp;BY$4,tblForecast,BY$2,FALSE),0)</f>
        <v>0</v>
      </c>
      <c r="BZ81" s="195">
        <f t="shared" si="725"/>
        <v>0</v>
      </c>
      <c r="CA81" s="339">
        <f t="shared" si="819"/>
        <v>0</v>
      </c>
      <c r="CB81" s="46">
        <f t="shared" si="820"/>
        <v>0</v>
      </c>
      <c r="CC81" s="46">
        <f>IF($A81="a",IFERROR(VLOOKUP($B81 &amp; $C81&amp;CC$4,tblForecast,CC$2,FALSE),0),CA81+CB81)</f>
        <v>0</v>
      </c>
      <c r="CD81" s="46">
        <f t="shared" si="821"/>
        <v>0</v>
      </c>
      <c r="CE81" s="46">
        <f t="shared" si="821"/>
        <v>0</v>
      </c>
      <c r="CF81" s="46">
        <f>IFERROR(VLOOKUP($B81-IF(CompareVer="LY",1,0) &amp; $C81 &amp;CF$4,tblForecast,CF$2,FALSE),0)</f>
        <v>0</v>
      </c>
      <c r="CG81" s="195">
        <f t="shared" si="726"/>
        <v>0</v>
      </c>
      <c r="CH81" s="339">
        <f t="shared" si="822"/>
        <v>0</v>
      </c>
      <c r="CI81" s="46">
        <f t="shared" si="823"/>
        <v>0</v>
      </c>
      <c r="CJ81" s="46">
        <f>IF($A81="a",IFERROR(VLOOKUP($B81 &amp; $C81&amp;CJ$4,tblForecast,CJ$2,FALSE),0),CH81+CI81)</f>
        <v>0</v>
      </c>
      <c r="CK81" s="46">
        <f t="shared" si="824"/>
        <v>0</v>
      </c>
      <c r="CL81" s="46">
        <f t="shared" si="824"/>
        <v>0</v>
      </c>
      <c r="CM81" s="46">
        <f>IFERROR(VLOOKUP($B81-IF(CompareVer="LY",1,0) &amp; $C81 &amp;CM$4,tblForecast,CM$2,FALSE),0)</f>
        <v>0</v>
      </c>
      <c r="CN81" s="195">
        <f t="shared" si="727"/>
        <v>0</v>
      </c>
      <c r="CO81" s="179">
        <f t="shared" si="781"/>
        <v>0</v>
      </c>
      <c r="CP81" s="225">
        <f t="shared" si="728"/>
        <v>0</v>
      </c>
      <c r="CQ81" s="195">
        <f t="shared" si="729"/>
        <v>0</v>
      </c>
      <c r="CR81" s="179">
        <f t="shared" si="733"/>
        <v>0</v>
      </c>
      <c r="CS81" s="225">
        <f t="shared" si="730"/>
        <v>0</v>
      </c>
      <c r="CT81" s="195">
        <f t="shared" si="782"/>
        <v>0</v>
      </c>
      <c r="CU81" s="44"/>
      <c r="CV81" s="345">
        <f t="shared" si="825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826"/>
        <v>0</v>
      </c>
      <c r="CZ81" s="280">
        <f>IFERROR(VLOOKUP(Brand&amp;Channel&amp;Country&amp;$C81,tblDiscount,6,FALSE),0)</f>
        <v>0.3</v>
      </c>
      <c r="DA81" s="281">
        <f>(1-CZ81)*DB81</f>
        <v>17.590999999999998</v>
      </c>
      <c r="DB81" s="281">
        <f>IFERROR(VLOOKUP(Brand&amp;Country &amp; Channel &amp;FC,tblFCSettings,8,FALSE),0)</f>
        <v>25.13</v>
      </c>
      <c r="DC81" s="282">
        <f>IFERROR(VLOOKUP(Brand&amp;Country &amp; Channel &amp;FC,tblFCSettings,9,FALSE),0)</f>
        <v>4.22</v>
      </c>
    </row>
    <row r="82" spans="2:107" x14ac:dyDescent="0.25">
      <c r="B82" s="44">
        <v>2019</v>
      </c>
      <c r="C82" s="88">
        <v>3</v>
      </c>
      <c r="D82" s="51">
        <f t="shared" si="827"/>
        <v>0</v>
      </c>
      <c r="E82" s="203">
        <f t="shared" si="828"/>
        <v>0</v>
      </c>
      <c r="F82" s="183">
        <f t="shared" si="736"/>
        <v>0</v>
      </c>
      <c r="G82" s="177">
        <f t="shared" si="796"/>
        <v>0</v>
      </c>
      <c r="H82" s="204">
        <f t="shared" si="796"/>
        <v>0</v>
      </c>
      <c r="I82" s="204">
        <f t="shared" si="796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97"/>
        <v>0</v>
      </c>
      <c r="N82" s="46">
        <f t="shared" si="798"/>
        <v>0</v>
      </c>
      <c r="O82" s="46">
        <f t="shared" si="799"/>
        <v>0</v>
      </c>
      <c r="P82" s="47">
        <f t="shared" si="731"/>
        <v>0</v>
      </c>
      <c r="Q82" s="244">
        <f t="shared" si="829"/>
        <v>0</v>
      </c>
      <c r="R82" s="242">
        <f t="shared" si="800"/>
        <v>0</v>
      </c>
      <c r="S82" s="242">
        <f t="shared" si="800"/>
        <v>0</v>
      </c>
      <c r="T82" s="242">
        <f>IFERROR(VLOOKUP($B82-IF(CompareVer="LY",1,0) &amp; $C82 &amp;T$4,tblForecast,T$2,FALSE),0)</f>
        <v>0</v>
      </c>
      <c r="U82" s="91">
        <f t="shared" si="719"/>
        <v>0</v>
      </c>
      <c r="V82" s="251">
        <f t="shared" si="830"/>
        <v>0</v>
      </c>
      <c r="W82" s="336">
        <f t="shared" si="830"/>
        <v>0</v>
      </c>
      <c r="X82" s="252">
        <f>IFERROR(IF(T81&lt;&gt;0,T82/T81,0),0)</f>
        <v>0</v>
      </c>
      <c r="Y82" s="51">
        <f t="shared" si="801"/>
        <v>0</v>
      </c>
      <c r="Z82" s="46">
        <f t="shared" si="801"/>
        <v>0</v>
      </c>
      <c r="AA82" s="46">
        <f t="shared" si="801"/>
        <v>0</v>
      </c>
      <c r="AB82" s="46">
        <f t="shared" si="801"/>
        <v>0</v>
      </c>
      <c r="AC82" s="91">
        <f t="shared" si="720"/>
        <v>0</v>
      </c>
      <c r="AD82" s="75">
        <f>IF(AM82&lt;&gt;0,1-AR82/AM82,0)</f>
        <v>0.76010459894264115</v>
      </c>
      <c r="AE82" s="93">
        <f t="shared" si="802"/>
        <v>0</v>
      </c>
      <c r="AF82" s="93">
        <f t="shared" si="803"/>
        <v>0</v>
      </c>
      <c r="AG82" s="76">
        <f t="shared" si="804"/>
        <v>0</v>
      </c>
      <c r="AH82" s="73">
        <f t="shared" si="805"/>
        <v>25.13</v>
      </c>
      <c r="AI82" s="94">
        <f t="shared" si="806"/>
        <v>0</v>
      </c>
      <c r="AJ82" s="94">
        <f t="shared" si="806"/>
        <v>0</v>
      </c>
      <c r="AK82" s="49">
        <f>IFERROR(VLOOKUP($B82-IF(CompareVer="LY",1,0) &amp; $C82 &amp;AK$4,tblForecast,AK$2,FALSE),0)</f>
        <v>0</v>
      </c>
      <c r="AL82" s="47">
        <f t="shared" si="746"/>
        <v>0</v>
      </c>
      <c r="AM82" s="73">
        <f t="shared" si="807"/>
        <v>17.590999999999998</v>
      </c>
      <c r="AN82" s="94">
        <f t="shared" si="808"/>
        <v>0</v>
      </c>
      <c r="AO82" s="94">
        <f t="shared" si="808"/>
        <v>0</v>
      </c>
      <c r="AP82" s="49">
        <f>IFERROR(VLOOKUP($B82-IF(CompareVer="LY",1,0) &amp; $C82 &amp;AP$4,tblForecast,AP$2,FALSE),0)</f>
        <v>0</v>
      </c>
      <c r="AQ82" s="47">
        <f t="shared" si="441"/>
        <v>0</v>
      </c>
      <c r="AR82" s="73">
        <f t="shared" si="809"/>
        <v>4.22</v>
      </c>
      <c r="AS82" s="94">
        <f t="shared" si="810"/>
        <v>0</v>
      </c>
      <c r="AT82" s="94">
        <f t="shared" si="810"/>
        <v>0</v>
      </c>
      <c r="AU82" s="49">
        <f>IFERROR(VLOOKUP($B82-IF(CompareVer="LY",1,0) &amp; $C82 &amp;AU$4,tblForecast,AU$2,FALSE),0)</f>
        <v>0</v>
      </c>
      <c r="AV82" s="47">
        <f t="shared" si="721"/>
        <v>0</v>
      </c>
      <c r="AW82" s="192">
        <f t="shared" si="811"/>
        <v>0.30000000000000004</v>
      </c>
      <c r="AX82" s="193">
        <f t="shared" si="812"/>
        <v>0</v>
      </c>
      <c r="AY82" s="193">
        <f t="shared" si="813"/>
        <v>0</v>
      </c>
      <c r="AZ82" s="193">
        <f t="shared" si="814"/>
        <v>0</v>
      </c>
      <c r="BA82" s="237">
        <f t="shared" si="815"/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816"/>
        <v>0</v>
      </c>
      <c r="BE82" s="195">
        <f t="shared" si="722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 t="shared" si="723"/>
        <v>0</v>
      </c>
      <c r="BK82" s="50">
        <f t="shared" si="724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732"/>
        <v>0</v>
      </c>
      <c r="BS82" s="233">
        <f t="shared" si="732"/>
        <v>0</v>
      </c>
      <c r="BT82" s="236">
        <f t="shared" si="817"/>
        <v>0</v>
      </c>
      <c r="BU82" s="233">
        <f t="shared" si="817"/>
        <v>0</v>
      </c>
      <c r="BV82" s="233">
        <f>IF($A82="a",IFERROR(VLOOKUP($B82 &amp; $C82&amp;BV$4,tblForecast,BV$2,FALSE),0),BT82+BU82)</f>
        <v>0</v>
      </c>
      <c r="BW82" s="233">
        <f t="shared" si="818"/>
        <v>0</v>
      </c>
      <c r="BX82" s="233">
        <f t="shared" si="818"/>
        <v>0</v>
      </c>
      <c r="BY82" s="194">
        <f>IFERROR(VLOOKUP($B82-IF(CompareVer="LY",1,0) &amp; $C82 &amp;BY$4,tblForecast,BY$2,FALSE),0)</f>
        <v>0</v>
      </c>
      <c r="BZ82" s="195">
        <f t="shared" si="725"/>
        <v>0</v>
      </c>
      <c r="CA82" s="339">
        <f t="shared" si="819"/>
        <v>0</v>
      </c>
      <c r="CB82" s="46">
        <f t="shared" si="820"/>
        <v>0</v>
      </c>
      <c r="CC82" s="46">
        <f>IF($A82="a",IFERROR(VLOOKUP($B82 &amp; $C82&amp;CC$4,tblForecast,CC$2,FALSE),0),CA82+CB82)</f>
        <v>0</v>
      </c>
      <c r="CD82" s="46">
        <f t="shared" si="821"/>
        <v>0</v>
      </c>
      <c r="CE82" s="46">
        <f t="shared" si="821"/>
        <v>0</v>
      </c>
      <c r="CF82" s="46">
        <f>IFERROR(VLOOKUP($B82-IF(CompareVer="LY",1,0) &amp; $C82 &amp;CF$4,tblForecast,CF$2,FALSE),0)</f>
        <v>0</v>
      </c>
      <c r="CG82" s="195">
        <f t="shared" si="726"/>
        <v>0</v>
      </c>
      <c r="CH82" s="339">
        <f t="shared" si="822"/>
        <v>0</v>
      </c>
      <c r="CI82" s="46">
        <f t="shared" si="823"/>
        <v>0</v>
      </c>
      <c r="CJ82" s="46">
        <f>IF($A82="a",IFERROR(VLOOKUP($B82 &amp; $C82&amp;CJ$4,tblForecast,CJ$2,FALSE),0),CH82+CI82)</f>
        <v>0</v>
      </c>
      <c r="CK82" s="46">
        <f t="shared" si="824"/>
        <v>0</v>
      </c>
      <c r="CL82" s="46">
        <f t="shared" si="824"/>
        <v>0</v>
      </c>
      <c r="CM82" s="46">
        <f>IFERROR(VLOOKUP($B82-IF(CompareVer="LY",1,0) &amp; $C82 &amp;CM$4,tblForecast,CM$2,FALSE),0)</f>
        <v>0</v>
      </c>
      <c r="CN82" s="195">
        <f t="shared" si="727"/>
        <v>0</v>
      </c>
      <c r="CO82" s="179">
        <f t="shared" si="781"/>
        <v>0</v>
      </c>
      <c r="CP82" s="225">
        <f t="shared" si="728"/>
        <v>0</v>
      </c>
      <c r="CQ82" s="195">
        <f t="shared" si="729"/>
        <v>0</v>
      </c>
      <c r="CR82" s="179">
        <f t="shared" si="733"/>
        <v>0</v>
      </c>
      <c r="CS82" s="225">
        <f t="shared" si="730"/>
        <v>0</v>
      </c>
      <c r="CT82" s="195">
        <f t="shared" si="782"/>
        <v>0</v>
      </c>
      <c r="CU82" s="44"/>
      <c r="CV82" s="345">
        <f t="shared" si="825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826"/>
        <v>0</v>
      </c>
      <c r="CZ82" s="280">
        <f>IFERROR(VLOOKUP(Brand&amp;Channel&amp;Country&amp;$C82,tblDiscount,6,FALSE),0)</f>
        <v>0.3</v>
      </c>
      <c r="DA82" s="281">
        <f>(1-CZ82)*DB82</f>
        <v>17.590999999999998</v>
      </c>
      <c r="DB82" s="281">
        <f>IFERROR(VLOOKUP(Brand&amp;Country &amp; Channel &amp;FC,tblFCSettings,8,FALSE),0)</f>
        <v>25.13</v>
      </c>
      <c r="DC82" s="282">
        <f>IFERROR(VLOOKUP(Brand&amp;Country &amp; Channel &amp;FC,tblFCSettings,9,FALSE),0)</f>
        <v>4.22</v>
      </c>
    </row>
    <row r="83" spans="2:107" ht="16.5" thickBot="1" x14ac:dyDescent="0.3">
      <c r="B83" s="44">
        <v>2019</v>
      </c>
      <c r="C83" s="88">
        <v>4</v>
      </c>
      <c r="D83" s="51">
        <f t="shared" si="827"/>
        <v>0</v>
      </c>
      <c r="E83" s="203">
        <f t="shared" si="828"/>
        <v>0</v>
      </c>
      <c r="F83" s="183">
        <f t="shared" si="736"/>
        <v>0</v>
      </c>
      <c r="G83" s="177">
        <f t="shared" si="796"/>
        <v>0</v>
      </c>
      <c r="H83" s="204">
        <f t="shared" si="796"/>
        <v>0</v>
      </c>
      <c r="I83" s="204">
        <f t="shared" si="796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97"/>
        <v>0</v>
      </c>
      <c r="N83" s="46">
        <f t="shared" si="798"/>
        <v>0</v>
      </c>
      <c r="O83" s="46">
        <f t="shared" si="799"/>
        <v>0</v>
      </c>
      <c r="P83" s="47">
        <f t="shared" si="731"/>
        <v>0</v>
      </c>
      <c r="Q83" s="244">
        <f t="shared" si="829"/>
        <v>0</v>
      </c>
      <c r="R83" s="242">
        <f t="shared" si="800"/>
        <v>0</v>
      </c>
      <c r="S83" s="242">
        <f t="shared" si="800"/>
        <v>0</v>
      </c>
      <c r="T83" s="242">
        <f>IFERROR(VLOOKUP($B83-IF(CompareVer="LY",1,0) &amp; $C83 &amp;T$4,tblForecast,T$2,FALSE),0)</f>
        <v>0</v>
      </c>
      <c r="U83" s="91">
        <f t="shared" si="719"/>
        <v>0</v>
      </c>
      <c r="V83" s="251">
        <f t="shared" si="830"/>
        <v>0</v>
      </c>
      <c r="W83" s="336">
        <f t="shared" si="830"/>
        <v>0</v>
      </c>
      <c r="X83" s="252">
        <f>IFERROR(IF(T82&lt;&gt;0,T83/T82,0),0)</f>
        <v>0</v>
      </c>
      <c r="Y83" s="51">
        <f t="shared" si="801"/>
        <v>0</v>
      </c>
      <c r="Z83" s="46">
        <f t="shared" si="801"/>
        <v>0</v>
      </c>
      <c r="AA83" s="46">
        <f t="shared" si="801"/>
        <v>0</v>
      </c>
      <c r="AB83" s="46">
        <f t="shared" si="801"/>
        <v>0</v>
      </c>
      <c r="AC83" s="91">
        <f t="shared" si="720"/>
        <v>0</v>
      </c>
      <c r="AD83" s="75">
        <f>IF(AM83&lt;&gt;0,1-AR83/AM83,0)</f>
        <v>0.76010459894264115</v>
      </c>
      <c r="AE83" s="93">
        <f t="shared" si="802"/>
        <v>0</v>
      </c>
      <c r="AF83" s="93">
        <f t="shared" si="803"/>
        <v>0</v>
      </c>
      <c r="AG83" s="76">
        <f t="shared" si="804"/>
        <v>0</v>
      </c>
      <c r="AH83" s="73">
        <f t="shared" si="805"/>
        <v>25.13</v>
      </c>
      <c r="AI83" s="94">
        <f t="shared" si="806"/>
        <v>0</v>
      </c>
      <c r="AJ83" s="94">
        <f t="shared" si="806"/>
        <v>0</v>
      </c>
      <c r="AK83" s="49">
        <f>IFERROR(VLOOKUP($B83-IF(CompareVer="LY",1,0) &amp; $C83 &amp;AK$4,tblForecast,AK$2,FALSE),0)</f>
        <v>0</v>
      </c>
      <c r="AL83" s="47">
        <f t="shared" si="746"/>
        <v>0</v>
      </c>
      <c r="AM83" s="73">
        <f t="shared" si="807"/>
        <v>17.590999999999998</v>
      </c>
      <c r="AN83" s="94">
        <f t="shared" si="808"/>
        <v>0</v>
      </c>
      <c r="AO83" s="94">
        <f t="shared" si="808"/>
        <v>0</v>
      </c>
      <c r="AP83" s="49">
        <f>IFERROR(VLOOKUP($B83-IF(CompareVer="LY",1,0) &amp; $C83 &amp;AP$4,tblForecast,AP$2,FALSE),0)</f>
        <v>0</v>
      </c>
      <c r="AQ83" s="47">
        <f t="shared" si="441"/>
        <v>0</v>
      </c>
      <c r="AR83" s="73">
        <f t="shared" si="809"/>
        <v>4.22</v>
      </c>
      <c r="AS83" s="94">
        <f t="shared" si="810"/>
        <v>0</v>
      </c>
      <c r="AT83" s="94">
        <f t="shared" si="810"/>
        <v>0</v>
      </c>
      <c r="AU83" s="49">
        <f>IFERROR(VLOOKUP($B83-IF(CompareVer="LY",1,0) &amp; $C83 &amp;AU$4,tblForecast,AU$2,FALSE),0)</f>
        <v>0</v>
      </c>
      <c r="AV83" s="47">
        <f t="shared" si="721"/>
        <v>0</v>
      </c>
      <c r="AW83" s="192">
        <f t="shared" si="811"/>
        <v>0.30000000000000004</v>
      </c>
      <c r="AX83" s="193">
        <f t="shared" si="812"/>
        <v>0</v>
      </c>
      <c r="AY83" s="193">
        <f t="shared" si="813"/>
        <v>0</v>
      </c>
      <c r="AZ83" s="193">
        <f t="shared" si="814"/>
        <v>0</v>
      </c>
      <c r="BA83" s="237">
        <f t="shared" si="815"/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816"/>
        <v>0</v>
      </c>
      <c r="BE83" s="195">
        <f t="shared" si="722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 t="shared" si="723"/>
        <v>0</v>
      </c>
      <c r="BK83" s="50">
        <f t="shared" si="724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732"/>
        <v>0</v>
      </c>
      <c r="BS83" s="233">
        <f t="shared" si="732"/>
        <v>0</v>
      </c>
      <c r="BT83" s="236">
        <f t="shared" si="817"/>
        <v>0</v>
      </c>
      <c r="BU83" s="233">
        <f t="shared" si="817"/>
        <v>0</v>
      </c>
      <c r="BV83" s="233">
        <f>IF($A83="a",IFERROR(VLOOKUP($B83 &amp; $C83&amp;BV$4,tblForecast,BV$2,FALSE),0),BT83+BU83)</f>
        <v>0</v>
      </c>
      <c r="BW83" s="233">
        <f t="shared" si="818"/>
        <v>0</v>
      </c>
      <c r="BX83" s="233">
        <f t="shared" si="818"/>
        <v>0</v>
      </c>
      <c r="BY83" s="194">
        <f>IFERROR(VLOOKUP($B83-IF(CompareVer="LY",1,0) &amp; $C83 &amp;BY$4,tblForecast,BY$2,FALSE),0)</f>
        <v>0</v>
      </c>
      <c r="BZ83" s="195">
        <f t="shared" si="725"/>
        <v>0</v>
      </c>
      <c r="CA83" s="339">
        <f t="shared" si="819"/>
        <v>0</v>
      </c>
      <c r="CB83" s="46">
        <f t="shared" si="820"/>
        <v>0</v>
      </c>
      <c r="CC83" s="46">
        <f>IF($A83="a",IFERROR(VLOOKUP($B83 &amp; $C83&amp;CC$4,tblForecast,CC$2,FALSE),0),CA83+CB83)</f>
        <v>0</v>
      </c>
      <c r="CD83" s="46">
        <f t="shared" si="821"/>
        <v>0</v>
      </c>
      <c r="CE83" s="46">
        <f t="shared" si="821"/>
        <v>0</v>
      </c>
      <c r="CF83" s="46">
        <f>IFERROR(VLOOKUP($B83-IF(CompareVer="LY",1,0) &amp; $C83 &amp;CF$4,tblForecast,CF$2,FALSE),0)</f>
        <v>0</v>
      </c>
      <c r="CG83" s="195">
        <f t="shared" si="726"/>
        <v>0</v>
      </c>
      <c r="CH83" s="339">
        <f t="shared" si="822"/>
        <v>0</v>
      </c>
      <c r="CI83" s="46">
        <f t="shared" si="823"/>
        <v>0</v>
      </c>
      <c r="CJ83" s="46">
        <f>IF($A83="a",IFERROR(VLOOKUP($B83 &amp; $C83&amp;CJ$4,tblForecast,CJ$2,FALSE),0),CH83+CI83)</f>
        <v>0</v>
      </c>
      <c r="CK83" s="46">
        <f t="shared" si="824"/>
        <v>0</v>
      </c>
      <c r="CL83" s="46">
        <f t="shared" si="824"/>
        <v>0</v>
      </c>
      <c r="CM83" s="46">
        <f>IFERROR(VLOOKUP($B83-IF(CompareVer="LY",1,0) &amp; $C83 &amp;CM$4,tblForecast,CM$2,FALSE),0)</f>
        <v>0</v>
      </c>
      <c r="CN83" s="195">
        <f t="shared" si="727"/>
        <v>0</v>
      </c>
      <c r="CO83" s="179">
        <f t="shared" si="781"/>
        <v>0</v>
      </c>
      <c r="CP83" s="225">
        <f t="shared" si="728"/>
        <v>0</v>
      </c>
      <c r="CQ83" s="195">
        <f t="shared" si="729"/>
        <v>0</v>
      </c>
      <c r="CR83" s="179">
        <f t="shared" si="733"/>
        <v>0</v>
      </c>
      <c r="CS83" s="225">
        <f t="shared" si="730"/>
        <v>0</v>
      </c>
      <c r="CT83" s="195">
        <f t="shared" si="782"/>
        <v>0</v>
      </c>
      <c r="CU83" s="44"/>
      <c r="CV83" s="345">
        <f t="shared" si="825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826"/>
        <v>0</v>
      </c>
      <c r="CZ83" s="280">
        <f>IFERROR(VLOOKUP(Brand&amp;Channel&amp;Country&amp;$C83,tblDiscount,6,FALSE),0)</f>
        <v>0.3</v>
      </c>
      <c r="DA83" s="281">
        <f>(1-CZ83)*DB83</f>
        <v>17.590999999999998</v>
      </c>
      <c r="DB83" s="281">
        <f>IFERROR(VLOOKUP(Brand&amp;Country &amp; Channel &amp;FC,tblFCSettings,8,FALSE),0)</f>
        <v>25.13</v>
      </c>
      <c r="DC83" s="282">
        <f>IFERROR(VLOOKUP(Brand&amp;Country &amp; Channel &amp;FC,tblFCSettings,9,FALSE),0)</f>
        <v>4.22</v>
      </c>
    </row>
    <row r="84" spans="2:107" ht="16.5" thickBot="1" x14ac:dyDescent="0.3">
      <c r="C84" s="255" t="s">
        <v>21</v>
      </c>
      <c r="D84" s="256">
        <f t="shared" ref="D84" si="831">SUM(D80:D83)</f>
        <v>0</v>
      </c>
      <c r="E84" s="257">
        <f t="shared" ref="E84" si="832">SUM(E80:E83)</f>
        <v>0</v>
      </c>
      <c r="F84" s="258">
        <f t="shared" si="736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833">SUM(M80:M83)</f>
        <v>0</v>
      </c>
      <c r="N84" s="261">
        <f t="shared" si="833"/>
        <v>0</v>
      </c>
      <c r="O84" s="261">
        <f t="shared" si="833"/>
        <v>0</v>
      </c>
      <c r="P84" s="262">
        <f t="shared" si="731"/>
        <v>0</v>
      </c>
      <c r="Q84" s="264">
        <f t="shared" ref="Q84" si="834">SUM(Q80:Q83)</f>
        <v>0</v>
      </c>
      <c r="R84" s="264">
        <f t="shared" ref="R84:S84" si="835">SUM(R80:R83)</f>
        <v>0</v>
      </c>
      <c r="S84" s="264">
        <f t="shared" si="835"/>
        <v>0</v>
      </c>
      <c r="T84" s="264">
        <f>SUM(T80:T83)</f>
        <v>0</v>
      </c>
      <c r="U84" s="262">
        <f t="shared" si="719"/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836">SUM(Z80:Z83)</f>
        <v>0</v>
      </c>
      <c r="AA84" s="261">
        <f t="shared" si="836"/>
        <v>0</v>
      </c>
      <c r="AB84" s="261">
        <f t="shared" si="836"/>
        <v>0</v>
      </c>
      <c r="AC84" s="262">
        <f t="shared" si="720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" si="837">IFERROR(SUMPRODUCT(AJ80:AJ83,S80:S83)/S84,0)</f>
        <v>0</v>
      </c>
      <c r="AK84" s="270">
        <f t="shared" ref="AK84" si="838">IFERROR(SUMPRODUCT(AK80:AK83,T80:T83)/T84,0)</f>
        <v>0</v>
      </c>
      <c r="AL84" s="262">
        <f t="shared" ref="AL84:AL94" si="839">IFERROR(AH84/AK84-1,)</f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ref="AQ84:AQ96" si="840">IFERROR(AM84/AP84-1,)</f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721"/>
        <v>0</v>
      </c>
      <c r="AW84" s="271">
        <f>IFERROR(SUMPRODUCT(AW80:AW83,V80:V83)/V84,0)</f>
        <v>0</v>
      </c>
      <c r="AX84" s="272">
        <f t="shared" ref="AX84" si="841">IFERROR(SUMPRODUCT(AX80:AX83,X80:X83)/X84,0)</f>
        <v>0</v>
      </c>
      <c r="AY84" s="272">
        <f t="shared" ref="AY84" si="842">IFERROR(SUMPRODUCT(AY80:AY83,Y80:Y83)/Y84,0)</f>
        <v>0</v>
      </c>
      <c r="AZ84" s="272">
        <f t="shared" ref="AZ84" si="843">IFERROR(SUMPRODUCT(AZ80:AZ83,Z80:Z83)/Z84,0)</f>
        <v>0</v>
      </c>
      <c r="BA84" s="263">
        <f>BA83</f>
        <v>0</v>
      </c>
      <c r="BB84" s="264">
        <f t="shared" ref="BB84" si="844">BB83</f>
        <v>0</v>
      </c>
      <c r="BC84" s="264">
        <f t="shared" ref="BC84" si="845">BC83</f>
        <v>0</v>
      </c>
      <c r="BD84" s="264">
        <f t="shared" ref="BD84" si="846">BD83</f>
        <v>0</v>
      </c>
      <c r="BE84" s="262">
        <f t="shared" si="722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 t="shared" si="723"/>
        <v>0</v>
      </c>
      <c r="BK84" s="276">
        <f t="shared" si="724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847">SUM(BO80:BO83)</f>
        <v>0</v>
      </c>
      <c r="BP84" s="263">
        <f>SUM(BP80:BP83)</f>
        <v>0</v>
      </c>
      <c r="BQ84" s="264">
        <f t="shared" ref="BQ84" si="848">SUM(BQ80:BQ83)</f>
        <v>0</v>
      </c>
      <c r="BR84" s="263">
        <f t="shared" si="732"/>
        <v>0</v>
      </c>
      <c r="BS84" s="264">
        <f t="shared" si="732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849">SUM(BW80:BW83)</f>
        <v>0</v>
      </c>
      <c r="BX84" s="264">
        <f t="shared" si="849"/>
        <v>0</v>
      </c>
      <c r="BY84" s="277">
        <f>SUM(BY80:BY83)</f>
        <v>0</v>
      </c>
      <c r="BZ84" s="262">
        <f t="shared" si="725"/>
        <v>0</v>
      </c>
      <c r="CA84" s="340">
        <f>SUM(CA80:CA83)</f>
        <v>0</v>
      </c>
      <c r="CB84" s="261">
        <f t="shared" ref="CB84:CF84" si="850">SUM(CB80:CB83)</f>
        <v>0</v>
      </c>
      <c r="CC84" s="261">
        <f t="shared" si="850"/>
        <v>0</v>
      </c>
      <c r="CD84" s="261">
        <f t="shared" si="850"/>
        <v>0</v>
      </c>
      <c r="CE84" s="261">
        <f t="shared" si="850"/>
        <v>0</v>
      </c>
      <c r="CF84" s="261">
        <f t="shared" si="850"/>
        <v>0</v>
      </c>
      <c r="CG84" s="262">
        <f t="shared" si="726"/>
        <v>0</v>
      </c>
      <c r="CH84" s="340">
        <f>SUM(CH80:CH83)</f>
        <v>0</v>
      </c>
      <c r="CI84" s="261">
        <f t="shared" ref="CI84:CM84" si="851">SUM(CI80:CI83)</f>
        <v>0</v>
      </c>
      <c r="CJ84" s="261">
        <f t="shared" si="851"/>
        <v>0</v>
      </c>
      <c r="CK84" s="261">
        <f t="shared" si="851"/>
        <v>0</v>
      </c>
      <c r="CL84" s="261">
        <f t="shared" si="851"/>
        <v>0</v>
      </c>
      <c r="CM84" s="261">
        <f t="shared" si="851"/>
        <v>0</v>
      </c>
      <c r="CN84" s="262">
        <f t="shared" si="727"/>
        <v>0</v>
      </c>
      <c r="CO84" s="278">
        <f t="shared" si="781"/>
        <v>0</v>
      </c>
      <c r="CP84" s="279">
        <f t="shared" si="728"/>
        <v>0</v>
      </c>
      <c r="CQ84" s="262">
        <f t="shared" si="729"/>
        <v>0</v>
      </c>
      <c r="CR84" s="278">
        <f t="shared" si="733"/>
        <v>0</v>
      </c>
      <c r="CS84" s="279">
        <f t="shared" si="730"/>
        <v>0</v>
      </c>
      <c r="CT84" s="262">
        <f t="shared" si="782"/>
        <v>0</v>
      </c>
      <c r="CU84" s="44"/>
      <c r="CV84" s="346"/>
      <c r="CW84" s="100">
        <f>CW83</f>
        <v>0</v>
      </c>
      <c r="CX84" s="101">
        <f>CX83</f>
        <v>0</v>
      </c>
      <c r="CY84" s="99">
        <f t="shared" si="826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736"/>
        <v>0</v>
      </c>
      <c r="G85" s="177">
        <f t="shared" ref="G85:I89" si="852">IFERROR(VLOOKUP($B85 &amp; $C85&amp;G$4&amp;$A85,tblForecast,G$2,FALSE),0)</f>
        <v>0</v>
      </c>
      <c r="H85" s="204">
        <f t="shared" si="852"/>
        <v>0</v>
      </c>
      <c r="I85" s="204">
        <f t="shared" si="852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M89" si="853">R85*AN85</f>
        <v>0</v>
      </c>
      <c r="N85" s="46">
        <f t="shared" ref="N85:N89" si="854">S85*AO85</f>
        <v>0</v>
      </c>
      <c r="O85" s="46">
        <f t="shared" ref="O85:O89" si="855">T85*AP85</f>
        <v>0</v>
      </c>
      <c r="P85" s="47">
        <f t="shared" si="731"/>
        <v>0</v>
      </c>
      <c r="Q85" s="244">
        <f>IF(A83="a",IF(CV85=0,R85,IF(BA83-(Q83*IF(W85=0,X85,W85))&lt;0,BA83,Q83*IF(W85=0,X85,W85))),IF(BA83-(Q83*IF(W85=0,X85,W85))&lt;0,BA83,Q83*IF(W85=0,X85,W85)))</f>
        <v>0</v>
      </c>
      <c r="R85" s="242">
        <f t="shared" ref="R85:S89" si="856">IFERROR(VLOOKUP($B85 &amp; $C85&amp;R$4,tblForecast,R$2,FALSE),0)</f>
        <v>0</v>
      </c>
      <c r="S85" s="242">
        <f t="shared" si="856"/>
        <v>0</v>
      </c>
      <c r="T85" s="242">
        <f>IFERROR(VLOOKUP($B85-IF(CompareVer="LY",1,0) &amp; $C85 &amp;T$4,tblForecast,T$2,FALSE),0)</f>
        <v>0</v>
      </c>
      <c r="U85" s="91">
        <f t="shared" si="719"/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 t="shared" ref="Y85:AB89" si="857">IFERROR(L85*AD85,0)</f>
        <v>0</v>
      </c>
      <c r="Z85" s="46">
        <f t="shared" si="857"/>
        <v>0</v>
      </c>
      <c r="AA85" s="46">
        <f t="shared" si="857"/>
        <v>0</v>
      </c>
      <c r="AB85" s="46">
        <f t="shared" si="857"/>
        <v>0</v>
      </c>
      <c r="AC85" s="91">
        <f t="shared" si="720"/>
        <v>0</v>
      </c>
      <c r="AD85" s="75">
        <f>IF(AM85&lt;&gt;0,1-AR85/AM85,0)</f>
        <v>0.74165110655361355</v>
      </c>
      <c r="AE85" s="93">
        <f t="shared" ref="AE85:AE89" si="858">IF(AN85&lt;&gt;0,1-AS85/AN85,0)</f>
        <v>0</v>
      </c>
      <c r="AF85" s="93">
        <f t="shared" ref="AF85:AF89" si="859">IF(AO85&lt;&gt;0,1-AT85/AO85,0)</f>
        <v>0</v>
      </c>
      <c r="AG85" s="76">
        <f t="shared" ref="AG85:AG89" si="860">IF(AP85&lt;&gt;0,1-AU85/AP85,0)</f>
        <v>0</v>
      </c>
      <c r="AH85" s="73">
        <f t="shared" ref="AH85:AH89" si="861">DB85</f>
        <v>25.13</v>
      </c>
      <c r="AI85" s="94">
        <f t="shared" ref="AI85:AJ89" si="862">IFERROR(VLOOKUP($B85 &amp; $C85&amp;AI$4,tblForecast,AI$2,FALSE),0)</f>
        <v>0</v>
      </c>
      <c r="AJ85" s="94">
        <f t="shared" si="862"/>
        <v>0</v>
      </c>
      <c r="AK85" s="49">
        <f>IFERROR(VLOOKUP($B85-IF(CompareVer="LY",1,0) &amp; $C85 &amp;AK$4,tblForecast,AK$2,FALSE),0)</f>
        <v>0</v>
      </c>
      <c r="AL85" s="47">
        <f t="shared" si="839"/>
        <v>0</v>
      </c>
      <c r="AM85" s="73">
        <f t="shared" ref="AM85:AM89" si="863">DA85</f>
        <v>16.334499999999998</v>
      </c>
      <c r="AN85" s="94">
        <f t="shared" ref="AN85:AO89" si="864">IFERROR(VLOOKUP($B85 &amp; $C85&amp;AN$4,tblForecast,AN$2,FALSE),0)</f>
        <v>0</v>
      </c>
      <c r="AO85" s="94">
        <f t="shared" si="864"/>
        <v>0</v>
      </c>
      <c r="AP85" s="49">
        <f>IFERROR(VLOOKUP($B85-IF(CompareVer="LY",1,0) &amp; $C85 &amp;AP$4,tblForecast,AP$2,FALSE),0)</f>
        <v>0</v>
      </c>
      <c r="AQ85" s="47">
        <f t="shared" si="840"/>
        <v>0</v>
      </c>
      <c r="AR85" s="73">
        <f t="shared" ref="AR85:AR89" si="865">DC85</f>
        <v>4.22</v>
      </c>
      <c r="AS85" s="94">
        <f t="shared" ref="AS85:AT89" si="866">IFERROR(VLOOKUP($B85 &amp; $C85&amp;AS$4,tblForecast,AS$2,FALSE),0)</f>
        <v>0</v>
      </c>
      <c r="AT85" s="94">
        <f t="shared" si="866"/>
        <v>0</v>
      </c>
      <c r="AU85" s="49">
        <f>IFERROR(VLOOKUP($B85-IF(CompareVer="LY",1,0) &amp; $C85 &amp;AU$4,tblForecast,AU$2,FALSE),0)</f>
        <v>0</v>
      </c>
      <c r="AV85" s="47">
        <f t="shared" si="721"/>
        <v>0</v>
      </c>
      <c r="AW85" s="192">
        <f t="shared" ref="AW85:AW89" si="867">IFERROR((AM85/AH85-1)*-1,0)</f>
        <v>0.35000000000000009</v>
      </c>
      <c r="AX85" s="193">
        <f t="shared" ref="AX85:AX89" si="868">IFERROR((AN85/AI85-1)*-1,0)</f>
        <v>0</v>
      </c>
      <c r="AY85" s="193">
        <f t="shared" ref="AY85:AY89" si="869">IFERROR((AO85/AJ85-1)*-1,0)</f>
        <v>0</v>
      </c>
      <c r="AZ85" s="193">
        <f t="shared" ref="AZ85:AZ89" si="870">IFERROR((AP85/AK85-1)*-1,0)</f>
        <v>0</v>
      </c>
      <c r="BA85" s="237">
        <f t="shared" ref="BA85:BA89" si="871">IF(BA84+BV85+BL85+BR85-Q85&lt;0,0,BA84+BF84+BV85+BL85+BR85-Q85)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872">CX85+BG85</f>
        <v>0</v>
      </c>
      <c r="BE85" s="195">
        <f t="shared" si="722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 t="shared" si="723"/>
        <v>0</v>
      </c>
      <c r="BK85" s="50">
        <f t="shared" si="724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732"/>
        <v>0</v>
      </c>
      <c r="BS85" s="233">
        <f t="shared" si="732"/>
        <v>0</v>
      </c>
      <c r="BT85" s="236">
        <f t="shared" ref="BT85:BU89" si="873">IFERROR(VLOOKUP($B85 &amp; $C85&amp;BT$4,tblForecast,BT$2,FALSE),0)</f>
        <v>0</v>
      </c>
      <c r="BU85" s="233">
        <f t="shared" si="873"/>
        <v>0</v>
      </c>
      <c r="BV85" s="233">
        <f>IF($A85="a",IFERROR(VLOOKUP($B85 &amp; $C85&amp;BV$4,tblForecast,BV$2,FALSE),0),BT85+BU85)</f>
        <v>0</v>
      </c>
      <c r="BW85" s="233">
        <f t="shared" ref="BW85:BX89" si="874">IFERROR(VLOOKUP($B85 &amp; $C85&amp;BW$4,tblForecast,BW$2,FALSE),0)</f>
        <v>0</v>
      </c>
      <c r="BX85" s="233">
        <f t="shared" si="874"/>
        <v>0</v>
      </c>
      <c r="BY85" s="194">
        <f>IFERROR(VLOOKUP($B85-IF(CompareVer="LY",1,0) &amp; $C85 &amp;BY$4,tblForecast,BY$2,FALSE),0)</f>
        <v>0</v>
      </c>
      <c r="BZ85" s="195">
        <f t="shared" si="725"/>
        <v>0</v>
      </c>
      <c r="CA85" s="339">
        <f t="shared" ref="CA85:CA89" si="875">IFERROR(VLOOKUP($B85 &amp; $C85&amp;CA$4,tblForecast,CA$2,FALSE),0)</f>
        <v>0</v>
      </c>
      <c r="CB85" s="46">
        <f t="shared" ref="CB85:CB89" si="876">IFERROR(VLOOKUP($B85 &amp; $C85&amp;CB$4,tblForecast,CB$2,FALSE),0)</f>
        <v>0</v>
      </c>
      <c r="CC85" s="46">
        <f>IF($A85="a",IFERROR(VLOOKUP($B85 &amp; $C85&amp;CC$4,tblForecast,CC$2,FALSE),0),CA85+CB85)</f>
        <v>0</v>
      </c>
      <c r="CD85" s="46">
        <f t="shared" ref="CD85:CE89" si="877">IFERROR(VLOOKUP($B85 &amp; $C85&amp;CD$4,tblForecast,CD$2,FALSE),0)</f>
        <v>0</v>
      </c>
      <c r="CE85" s="46">
        <f t="shared" si="877"/>
        <v>0</v>
      </c>
      <c r="CF85" s="46">
        <f>IFERROR(VLOOKUP($B85-IF(CompareVer="LY",1,0) &amp; $C85 &amp;CF$4,tblForecast,CF$2,FALSE),0)</f>
        <v>0</v>
      </c>
      <c r="CG85" s="195">
        <f t="shared" si="726"/>
        <v>0</v>
      </c>
      <c r="CH85" s="339">
        <f t="shared" ref="CH85:CH89" si="878">IFERROR(VLOOKUP($B85 &amp; $C85&amp;CH$4,tblForecast,CH$2,FALSE),0)</f>
        <v>0</v>
      </c>
      <c r="CI85" s="46">
        <f t="shared" ref="CI85:CI89" si="879">IFERROR(VLOOKUP($B85 &amp; $C85&amp;CI$4,tblForecast,CI$2,FALSE),0)</f>
        <v>0</v>
      </c>
      <c r="CJ85" s="46">
        <f>IF($A85="a",IFERROR(VLOOKUP($B85 &amp; $C85&amp;CJ$4,tblForecast,CJ$2,FALSE),0),CH85+CI85)</f>
        <v>0</v>
      </c>
      <c r="CK85" s="46">
        <f t="shared" ref="CK85:CL89" si="880">IFERROR(VLOOKUP($B85 &amp; $C85&amp;CK$4,tblForecast,CK$2,FALSE),0)</f>
        <v>0</v>
      </c>
      <c r="CL85" s="46">
        <f t="shared" si="880"/>
        <v>0</v>
      </c>
      <c r="CM85" s="46">
        <f>IFERROR(VLOOKUP($B85-IF(CompareVer="LY",1,0) &amp; $C85 &amp;CM$4,tblForecast,CM$2,FALSE),0)</f>
        <v>0</v>
      </c>
      <c r="CN85" s="195">
        <f t="shared" si="727"/>
        <v>0</v>
      </c>
      <c r="CO85" s="179">
        <f t="shared" si="781"/>
        <v>0</v>
      </c>
      <c r="CP85" s="225">
        <f t="shared" si="728"/>
        <v>0</v>
      </c>
      <c r="CQ85" s="195">
        <f t="shared" si="729"/>
        <v>0</v>
      </c>
      <c r="CR85" s="179">
        <f t="shared" si="733"/>
        <v>0</v>
      </c>
      <c r="CS85" s="225">
        <f t="shared" si="730"/>
        <v>0</v>
      </c>
      <c r="CT85" s="195">
        <f t="shared" si="782"/>
        <v>0</v>
      </c>
      <c r="CU85" s="44"/>
      <c r="CV85" s="345">
        <f t="shared" ref="CV85:CV89" si="881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826"/>
        <v>0</v>
      </c>
      <c r="CZ85" s="280">
        <f>IFERROR(VLOOKUP(Brand&amp;Channel&amp;Country&amp;$C85,tblDiscount,6,FALSE),0)</f>
        <v>0.35</v>
      </c>
      <c r="DA85" s="281">
        <f>(1-CZ85)*DB85</f>
        <v>16.334499999999998</v>
      </c>
      <c r="DB85" s="281">
        <f>IFERROR(VLOOKUP(Brand&amp;Country &amp; Channel &amp;FC,tblFCSettings,8,FALSE),0)</f>
        <v>25.13</v>
      </c>
      <c r="DC85" s="282">
        <f>IFERROR(VLOOKUP(Brand&amp;Country &amp; Channel &amp;FC,tblFCSettings,9,FALSE),0)</f>
        <v>4.22</v>
      </c>
    </row>
    <row r="86" spans="2:107" x14ac:dyDescent="0.25">
      <c r="B86" s="44">
        <v>2019</v>
      </c>
      <c r="C86" s="88">
        <v>6</v>
      </c>
      <c r="D86" s="51">
        <f t="shared" ref="D86:D89" si="882">G86*H86</f>
        <v>0</v>
      </c>
      <c r="E86" s="203">
        <f t="shared" ref="E86:E89" si="883">IFERROR(D86*F86,0)</f>
        <v>0</v>
      </c>
      <c r="F86" s="183">
        <f t="shared" si="736"/>
        <v>0</v>
      </c>
      <c r="G86" s="177">
        <f t="shared" si="852"/>
        <v>0</v>
      </c>
      <c r="H86" s="204">
        <f t="shared" si="852"/>
        <v>0</v>
      </c>
      <c r="I86" s="204">
        <f t="shared" si="852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853"/>
        <v>0</v>
      </c>
      <c r="N86" s="46">
        <f t="shared" si="854"/>
        <v>0</v>
      </c>
      <c r="O86" s="46">
        <f t="shared" si="855"/>
        <v>0</v>
      </c>
      <c r="P86" s="47">
        <f t="shared" si="731"/>
        <v>0</v>
      </c>
      <c r="Q86" s="244">
        <f t="shared" ref="Q86:Q89" si="884">IF(A85="a",IF(CV86=0,R86,IF(BA85-(Q85*IF(W86=0,X86,W86))&lt;0,BA85,Q85*IF(W86=0,X86,W86))),IF(BA85-(Q85*IF(W86=0,X86,W86))&lt;0,BA85,Q85*IF(W86=0,X86,W86)))</f>
        <v>0</v>
      </c>
      <c r="R86" s="242">
        <f t="shared" si="856"/>
        <v>0</v>
      </c>
      <c r="S86" s="242">
        <f t="shared" si="856"/>
        <v>0</v>
      </c>
      <c r="T86" s="242">
        <f>IFERROR(VLOOKUP($B86-IF(CompareVer="LY",1,0) &amp; $C86 &amp;T$4,tblForecast,T$2,FALSE),0)</f>
        <v>0</v>
      </c>
      <c r="U86" s="91">
        <f t="shared" si="719"/>
        <v>0</v>
      </c>
      <c r="V86" s="251">
        <f t="shared" ref="V86:W89" si="885">IFERROR(IF(Q85&lt;&gt;0,Q86/Q85,0),0)</f>
        <v>0</v>
      </c>
      <c r="W86" s="336">
        <f t="shared" si="885"/>
        <v>0</v>
      </c>
      <c r="X86" s="252">
        <f>IFERROR(IF(T85&lt;&gt;0,T86/T85,0),0)</f>
        <v>0</v>
      </c>
      <c r="Y86" s="51">
        <f t="shared" si="857"/>
        <v>0</v>
      </c>
      <c r="Z86" s="46">
        <f t="shared" si="857"/>
        <v>0</v>
      </c>
      <c r="AA86" s="46">
        <f t="shared" si="857"/>
        <v>0</v>
      </c>
      <c r="AB86" s="46">
        <f t="shared" si="857"/>
        <v>0</v>
      </c>
      <c r="AC86" s="91">
        <f t="shared" si="720"/>
        <v>0</v>
      </c>
      <c r="AD86" s="75">
        <f>IF(AM86&lt;&gt;0,1-AR86/AM86,0)</f>
        <v>0.74165110655361355</v>
      </c>
      <c r="AE86" s="93">
        <f t="shared" si="858"/>
        <v>0</v>
      </c>
      <c r="AF86" s="93">
        <f t="shared" si="859"/>
        <v>0</v>
      </c>
      <c r="AG86" s="76">
        <f t="shared" si="860"/>
        <v>0</v>
      </c>
      <c r="AH86" s="73">
        <f t="shared" si="861"/>
        <v>25.13</v>
      </c>
      <c r="AI86" s="94">
        <f t="shared" si="862"/>
        <v>0</v>
      </c>
      <c r="AJ86" s="94">
        <f t="shared" si="862"/>
        <v>0</v>
      </c>
      <c r="AK86" s="49">
        <f>IFERROR(VLOOKUP($B86-IF(CompareVer="LY",1,0) &amp; $C86 &amp;AK$4,tblForecast,AK$2,FALSE),0)</f>
        <v>0</v>
      </c>
      <c r="AL86" s="47">
        <f t="shared" si="839"/>
        <v>0</v>
      </c>
      <c r="AM86" s="73">
        <f t="shared" si="863"/>
        <v>16.334499999999998</v>
      </c>
      <c r="AN86" s="94">
        <f t="shared" si="864"/>
        <v>0</v>
      </c>
      <c r="AO86" s="94">
        <f t="shared" si="864"/>
        <v>0</v>
      </c>
      <c r="AP86" s="49">
        <f>IFERROR(VLOOKUP($B86-IF(CompareVer="LY",1,0) &amp; $C86 &amp;AP$4,tblForecast,AP$2,FALSE),0)</f>
        <v>0</v>
      </c>
      <c r="AQ86" s="47">
        <f t="shared" si="840"/>
        <v>0</v>
      </c>
      <c r="AR86" s="73">
        <f t="shared" si="865"/>
        <v>4.22</v>
      </c>
      <c r="AS86" s="94">
        <f t="shared" si="866"/>
        <v>0</v>
      </c>
      <c r="AT86" s="94">
        <f t="shared" si="866"/>
        <v>0</v>
      </c>
      <c r="AU86" s="49">
        <f>IFERROR(VLOOKUP($B86-IF(CompareVer="LY",1,0) &amp; $C86 &amp;AU$4,tblForecast,AU$2,FALSE),0)</f>
        <v>0</v>
      </c>
      <c r="AV86" s="47">
        <f t="shared" si="721"/>
        <v>0</v>
      </c>
      <c r="AW86" s="192">
        <f t="shared" si="867"/>
        <v>0.35000000000000009</v>
      </c>
      <c r="AX86" s="193">
        <f t="shared" si="868"/>
        <v>0</v>
      </c>
      <c r="AY86" s="193">
        <f t="shared" si="869"/>
        <v>0</v>
      </c>
      <c r="AZ86" s="193">
        <f t="shared" si="870"/>
        <v>0</v>
      </c>
      <c r="BA86" s="237">
        <f t="shared" si="871"/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872"/>
        <v>0</v>
      </c>
      <c r="BE86" s="195">
        <f t="shared" si="722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 t="shared" si="723"/>
        <v>0</v>
      </c>
      <c r="BK86" s="50">
        <f t="shared" si="724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732"/>
        <v>0</v>
      </c>
      <c r="BS86" s="233">
        <f t="shared" si="732"/>
        <v>0</v>
      </c>
      <c r="BT86" s="236">
        <f t="shared" si="873"/>
        <v>0</v>
      </c>
      <c r="BU86" s="233">
        <f t="shared" si="873"/>
        <v>0</v>
      </c>
      <c r="BV86" s="233">
        <f>IF($A86="a",IFERROR(VLOOKUP($B86 &amp; $C86&amp;BV$4,tblForecast,BV$2,FALSE),0),BT86+BU86)</f>
        <v>0</v>
      </c>
      <c r="BW86" s="233">
        <f t="shared" si="874"/>
        <v>0</v>
      </c>
      <c r="BX86" s="233">
        <f t="shared" si="874"/>
        <v>0</v>
      </c>
      <c r="BY86" s="194">
        <f>IFERROR(VLOOKUP($B86-IF(CompareVer="LY",1,0) &amp; $C86 &amp;BY$4,tblForecast,BY$2,FALSE),0)</f>
        <v>0</v>
      </c>
      <c r="BZ86" s="195">
        <f t="shared" si="725"/>
        <v>0</v>
      </c>
      <c r="CA86" s="339">
        <f t="shared" si="875"/>
        <v>0</v>
      </c>
      <c r="CB86" s="46">
        <f t="shared" si="876"/>
        <v>0</v>
      </c>
      <c r="CC86" s="46">
        <f>IF($A86="a",IFERROR(VLOOKUP($B86 &amp; $C86&amp;CC$4,tblForecast,CC$2,FALSE),0),CA86+CB86)</f>
        <v>0</v>
      </c>
      <c r="CD86" s="46">
        <f t="shared" si="877"/>
        <v>0</v>
      </c>
      <c r="CE86" s="46">
        <f t="shared" si="877"/>
        <v>0</v>
      </c>
      <c r="CF86" s="46">
        <f>IFERROR(VLOOKUP($B86-IF(CompareVer="LY",1,0) &amp; $C86 &amp;CF$4,tblForecast,CF$2,FALSE),0)</f>
        <v>0</v>
      </c>
      <c r="CG86" s="195">
        <f t="shared" si="726"/>
        <v>0</v>
      </c>
      <c r="CH86" s="339">
        <f t="shared" si="878"/>
        <v>0</v>
      </c>
      <c r="CI86" s="46">
        <f t="shared" si="879"/>
        <v>0</v>
      </c>
      <c r="CJ86" s="46">
        <f>IF($A86="a",IFERROR(VLOOKUP($B86 &amp; $C86&amp;CJ$4,tblForecast,CJ$2,FALSE),0),CH86+CI86)</f>
        <v>0</v>
      </c>
      <c r="CK86" s="46">
        <f t="shared" si="880"/>
        <v>0</v>
      </c>
      <c r="CL86" s="46">
        <f t="shared" si="880"/>
        <v>0</v>
      </c>
      <c r="CM86" s="46">
        <f>IFERROR(VLOOKUP($B86-IF(CompareVer="LY",1,0) &amp; $C86 &amp;CM$4,tblForecast,CM$2,FALSE),0)</f>
        <v>0</v>
      </c>
      <c r="CN86" s="195">
        <f t="shared" si="727"/>
        <v>0</v>
      </c>
      <c r="CO86" s="179">
        <f t="shared" si="781"/>
        <v>0</v>
      </c>
      <c r="CP86" s="225">
        <f t="shared" si="728"/>
        <v>0</v>
      </c>
      <c r="CQ86" s="195">
        <f t="shared" si="729"/>
        <v>0</v>
      </c>
      <c r="CR86" s="179">
        <f t="shared" si="733"/>
        <v>0</v>
      </c>
      <c r="CS86" s="225">
        <f t="shared" si="730"/>
        <v>0</v>
      </c>
      <c r="CT86" s="195">
        <f t="shared" si="782"/>
        <v>0</v>
      </c>
      <c r="CU86" s="44"/>
      <c r="CV86" s="345">
        <f t="shared" si="881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826"/>
        <v>0</v>
      </c>
      <c r="CZ86" s="280">
        <f>IFERROR(VLOOKUP(Brand&amp;Channel&amp;Country&amp;$C86,tblDiscount,6,FALSE),0)</f>
        <v>0.35</v>
      </c>
      <c r="DA86" s="281">
        <f>(1-CZ86)*DB86</f>
        <v>16.334499999999998</v>
      </c>
      <c r="DB86" s="281">
        <f>IFERROR(VLOOKUP(Brand&amp;Country &amp; Channel &amp;FC,tblFCSettings,8,FALSE),0)</f>
        <v>25.13</v>
      </c>
      <c r="DC86" s="282">
        <f>IFERROR(VLOOKUP(Brand&amp;Country &amp; Channel &amp;FC,tblFCSettings,9,FALSE),0)</f>
        <v>4.22</v>
      </c>
    </row>
    <row r="87" spans="2:107" x14ac:dyDescent="0.25">
      <c r="B87" s="44">
        <v>2019</v>
      </c>
      <c r="C87" s="88">
        <v>7</v>
      </c>
      <c r="D87" s="51">
        <f t="shared" si="882"/>
        <v>0</v>
      </c>
      <c r="E87" s="203">
        <f t="shared" si="883"/>
        <v>0</v>
      </c>
      <c r="F87" s="183">
        <f t="shared" si="736"/>
        <v>0</v>
      </c>
      <c r="G87" s="177">
        <f t="shared" si="852"/>
        <v>0</v>
      </c>
      <c r="H87" s="204">
        <f t="shared" si="852"/>
        <v>0</v>
      </c>
      <c r="I87" s="204">
        <f t="shared" si="852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853"/>
        <v>0</v>
      </c>
      <c r="N87" s="46">
        <f t="shared" si="854"/>
        <v>0</v>
      </c>
      <c r="O87" s="46">
        <f t="shared" si="855"/>
        <v>0</v>
      </c>
      <c r="P87" s="47">
        <f t="shared" si="731"/>
        <v>0</v>
      </c>
      <c r="Q87" s="244">
        <f t="shared" si="884"/>
        <v>0</v>
      </c>
      <c r="R87" s="242">
        <f t="shared" si="856"/>
        <v>0</v>
      </c>
      <c r="S87" s="242">
        <f t="shared" si="856"/>
        <v>0</v>
      </c>
      <c r="T87" s="242">
        <f>IFERROR(VLOOKUP($B87-IF(CompareVer="LY",1,0) &amp; $C87 &amp;T$4,tblForecast,T$2,FALSE),0)</f>
        <v>0</v>
      </c>
      <c r="U87" s="91">
        <f t="shared" si="719"/>
        <v>0</v>
      </c>
      <c r="V87" s="251">
        <f t="shared" si="885"/>
        <v>0</v>
      </c>
      <c r="W87" s="336">
        <f t="shared" si="885"/>
        <v>0</v>
      </c>
      <c r="X87" s="252">
        <f>IFERROR(IF(T86&lt;&gt;0,T87/T86,0),0)</f>
        <v>0</v>
      </c>
      <c r="Y87" s="51">
        <f t="shared" si="857"/>
        <v>0</v>
      </c>
      <c r="Z87" s="46">
        <f t="shared" si="857"/>
        <v>0</v>
      </c>
      <c r="AA87" s="46">
        <f t="shared" si="857"/>
        <v>0</v>
      </c>
      <c r="AB87" s="46">
        <f t="shared" si="857"/>
        <v>0</v>
      </c>
      <c r="AC87" s="91">
        <f t="shared" si="720"/>
        <v>0</v>
      </c>
      <c r="AD87" s="75">
        <f>IF(AM87&lt;&gt;0,1-AR87/AM87,0)</f>
        <v>0.74165110655361355</v>
      </c>
      <c r="AE87" s="93">
        <f t="shared" si="858"/>
        <v>0</v>
      </c>
      <c r="AF87" s="93">
        <f t="shared" si="859"/>
        <v>0</v>
      </c>
      <c r="AG87" s="76">
        <f t="shared" si="860"/>
        <v>0</v>
      </c>
      <c r="AH87" s="73">
        <f t="shared" si="861"/>
        <v>25.13</v>
      </c>
      <c r="AI87" s="94">
        <f t="shared" si="862"/>
        <v>0</v>
      </c>
      <c r="AJ87" s="94">
        <f t="shared" si="862"/>
        <v>0</v>
      </c>
      <c r="AK87" s="49">
        <f>IFERROR(VLOOKUP($B87-IF(CompareVer="LY",1,0) &amp; $C87 &amp;AK$4,tblForecast,AK$2,FALSE),0)</f>
        <v>0</v>
      </c>
      <c r="AL87" s="47">
        <f t="shared" si="839"/>
        <v>0</v>
      </c>
      <c r="AM87" s="73">
        <f t="shared" si="863"/>
        <v>16.334499999999998</v>
      </c>
      <c r="AN87" s="94">
        <f t="shared" si="864"/>
        <v>0</v>
      </c>
      <c r="AO87" s="94">
        <f t="shared" si="864"/>
        <v>0</v>
      </c>
      <c r="AP87" s="49">
        <f>IFERROR(VLOOKUP($B87-IF(CompareVer="LY",1,0) &amp; $C87 &amp;AP$4,tblForecast,AP$2,FALSE),0)</f>
        <v>0</v>
      </c>
      <c r="AQ87" s="47">
        <f t="shared" si="840"/>
        <v>0</v>
      </c>
      <c r="AR87" s="73">
        <f t="shared" si="865"/>
        <v>4.22</v>
      </c>
      <c r="AS87" s="94">
        <f t="shared" si="866"/>
        <v>0</v>
      </c>
      <c r="AT87" s="94">
        <f t="shared" si="866"/>
        <v>0</v>
      </c>
      <c r="AU87" s="49">
        <f>IFERROR(VLOOKUP($B87-IF(CompareVer="LY",1,0) &amp; $C87 &amp;AU$4,tblForecast,AU$2,FALSE),0)</f>
        <v>0</v>
      </c>
      <c r="AV87" s="47">
        <f t="shared" si="721"/>
        <v>0</v>
      </c>
      <c r="AW87" s="192">
        <f t="shared" si="867"/>
        <v>0.35000000000000009</v>
      </c>
      <c r="AX87" s="193">
        <f t="shared" si="868"/>
        <v>0</v>
      </c>
      <c r="AY87" s="193">
        <f t="shared" si="869"/>
        <v>0</v>
      </c>
      <c r="AZ87" s="193">
        <f t="shared" si="870"/>
        <v>0</v>
      </c>
      <c r="BA87" s="237">
        <f t="shared" si="871"/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872"/>
        <v>0</v>
      </c>
      <c r="BE87" s="195">
        <f t="shared" si="722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 t="shared" si="723"/>
        <v>0</v>
      </c>
      <c r="BK87" s="50">
        <f t="shared" si="724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732"/>
        <v>0</v>
      </c>
      <c r="BS87" s="233">
        <f t="shared" si="732"/>
        <v>0</v>
      </c>
      <c r="BT87" s="236">
        <f t="shared" si="873"/>
        <v>0</v>
      </c>
      <c r="BU87" s="233">
        <f t="shared" si="873"/>
        <v>0</v>
      </c>
      <c r="BV87" s="233">
        <f>IF($A87="a",IFERROR(VLOOKUP($B87 &amp; $C87&amp;BV$4,tblForecast,BV$2,FALSE),0),BT87+BU87)</f>
        <v>0</v>
      </c>
      <c r="BW87" s="233">
        <f t="shared" si="874"/>
        <v>0</v>
      </c>
      <c r="BX87" s="233">
        <f t="shared" si="874"/>
        <v>0</v>
      </c>
      <c r="BY87" s="194">
        <f>IFERROR(VLOOKUP($B87-IF(CompareVer="LY",1,0) &amp; $C87 &amp;BY$4,tblForecast,BY$2,FALSE),0)</f>
        <v>0</v>
      </c>
      <c r="BZ87" s="195">
        <f t="shared" si="725"/>
        <v>0</v>
      </c>
      <c r="CA87" s="339">
        <f t="shared" si="875"/>
        <v>0</v>
      </c>
      <c r="CB87" s="46">
        <f t="shared" si="876"/>
        <v>0</v>
      </c>
      <c r="CC87" s="46">
        <f>IF($A87="a",IFERROR(VLOOKUP($B87 &amp; $C87&amp;CC$4,tblForecast,CC$2,FALSE),0),CA87+CB87)</f>
        <v>0</v>
      </c>
      <c r="CD87" s="46">
        <f t="shared" si="877"/>
        <v>0</v>
      </c>
      <c r="CE87" s="46">
        <f t="shared" si="877"/>
        <v>0</v>
      </c>
      <c r="CF87" s="46">
        <f>IFERROR(VLOOKUP($B87-IF(CompareVer="LY",1,0) &amp; $C87 &amp;CF$4,tblForecast,CF$2,FALSE),0)</f>
        <v>0</v>
      </c>
      <c r="CG87" s="195">
        <f t="shared" si="726"/>
        <v>0</v>
      </c>
      <c r="CH87" s="339">
        <f t="shared" si="878"/>
        <v>0</v>
      </c>
      <c r="CI87" s="46">
        <f t="shared" si="879"/>
        <v>0</v>
      </c>
      <c r="CJ87" s="46">
        <f>IF($A87="a",IFERROR(VLOOKUP($B87 &amp; $C87&amp;CJ$4,tblForecast,CJ$2,FALSE),0),CH87+CI87)</f>
        <v>0</v>
      </c>
      <c r="CK87" s="46">
        <f t="shared" si="880"/>
        <v>0</v>
      </c>
      <c r="CL87" s="46">
        <f t="shared" si="880"/>
        <v>0</v>
      </c>
      <c r="CM87" s="46">
        <f>IFERROR(VLOOKUP($B87-IF(CompareVer="LY",1,0) &amp; $C87 &amp;CM$4,tblForecast,CM$2,FALSE),0)</f>
        <v>0</v>
      </c>
      <c r="CN87" s="195">
        <f t="shared" si="727"/>
        <v>0</v>
      </c>
      <c r="CO87" s="179">
        <f t="shared" si="781"/>
        <v>0</v>
      </c>
      <c r="CP87" s="225">
        <f t="shared" si="728"/>
        <v>0</v>
      </c>
      <c r="CQ87" s="195">
        <f t="shared" si="729"/>
        <v>0</v>
      </c>
      <c r="CR87" s="179">
        <f t="shared" si="733"/>
        <v>0</v>
      </c>
      <c r="CS87" s="225">
        <f t="shared" si="730"/>
        <v>0</v>
      </c>
      <c r="CT87" s="195">
        <f t="shared" si="782"/>
        <v>0</v>
      </c>
      <c r="CU87" s="44"/>
      <c r="CV87" s="345">
        <f t="shared" si="881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826"/>
        <v>0</v>
      </c>
      <c r="CZ87" s="280">
        <f>IFERROR(VLOOKUP(Brand&amp;Channel&amp;Country&amp;$C87,tblDiscount,6,FALSE),0)</f>
        <v>0.35</v>
      </c>
      <c r="DA87" s="281">
        <f>(1-CZ87)*DB87</f>
        <v>16.334499999999998</v>
      </c>
      <c r="DB87" s="281">
        <f>IFERROR(VLOOKUP(Brand&amp;Country &amp; Channel &amp;FC,tblFCSettings,8,FALSE),0)</f>
        <v>25.13</v>
      </c>
      <c r="DC87" s="282">
        <f>IFERROR(VLOOKUP(Brand&amp;Country &amp; Channel &amp;FC,tblFCSettings,9,FALSE),0)</f>
        <v>4.22</v>
      </c>
    </row>
    <row r="88" spans="2:107" x14ac:dyDescent="0.25">
      <c r="B88" s="44">
        <v>2019</v>
      </c>
      <c r="C88" s="88">
        <v>8</v>
      </c>
      <c r="D88" s="51">
        <f t="shared" si="882"/>
        <v>0</v>
      </c>
      <c r="E88" s="203">
        <f t="shared" si="883"/>
        <v>0</v>
      </c>
      <c r="F88" s="183">
        <f t="shared" si="736"/>
        <v>0</v>
      </c>
      <c r="G88" s="177">
        <f t="shared" si="852"/>
        <v>0</v>
      </c>
      <c r="H88" s="204">
        <f t="shared" si="852"/>
        <v>0</v>
      </c>
      <c r="I88" s="204">
        <f t="shared" si="852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853"/>
        <v>0</v>
      </c>
      <c r="N88" s="46">
        <f t="shared" si="854"/>
        <v>0</v>
      </c>
      <c r="O88" s="46">
        <f t="shared" si="855"/>
        <v>0</v>
      </c>
      <c r="P88" s="47">
        <f t="shared" si="731"/>
        <v>0</v>
      </c>
      <c r="Q88" s="244">
        <f t="shared" si="884"/>
        <v>0</v>
      </c>
      <c r="R88" s="242">
        <f t="shared" si="856"/>
        <v>0</v>
      </c>
      <c r="S88" s="242">
        <f t="shared" si="856"/>
        <v>0</v>
      </c>
      <c r="T88" s="242">
        <f>IFERROR(VLOOKUP($B88-IF(CompareVer="LY",1,0) &amp; $C88 &amp;T$4,tblForecast,T$2,FALSE),0)</f>
        <v>0</v>
      </c>
      <c r="U88" s="91">
        <f t="shared" si="719"/>
        <v>0</v>
      </c>
      <c r="V88" s="251">
        <f t="shared" si="885"/>
        <v>0</v>
      </c>
      <c r="W88" s="336">
        <f t="shared" si="885"/>
        <v>0</v>
      </c>
      <c r="X88" s="252">
        <f>IFERROR(IF(T87&lt;&gt;0,T88/T87,0),0)</f>
        <v>0</v>
      </c>
      <c r="Y88" s="51">
        <f t="shared" si="857"/>
        <v>0</v>
      </c>
      <c r="Z88" s="46">
        <f t="shared" si="857"/>
        <v>0</v>
      </c>
      <c r="AA88" s="46">
        <f t="shared" si="857"/>
        <v>0</v>
      </c>
      <c r="AB88" s="46">
        <f t="shared" si="857"/>
        <v>0</v>
      </c>
      <c r="AC88" s="91">
        <f t="shared" si="720"/>
        <v>0</v>
      </c>
      <c r="AD88" s="75">
        <f>IF(AM88&lt;&gt;0,1-AR88/AM88,0)</f>
        <v>0.7201220320997479</v>
      </c>
      <c r="AE88" s="93">
        <f t="shared" si="858"/>
        <v>0</v>
      </c>
      <c r="AF88" s="93">
        <f t="shared" si="859"/>
        <v>0</v>
      </c>
      <c r="AG88" s="76">
        <f t="shared" si="860"/>
        <v>0</v>
      </c>
      <c r="AH88" s="73">
        <f t="shared" si="861"/>
        <v>25.13</v>
      </c>
      <c r="AI88" s="94">
        <f t="shared" si="862"/>
        <v>0</v>
      </c>
      <c r="AJ88" s="94">
        <f t="shared" si="862"/>
        <v>0</v>
      </c>
      <c r="AK88" s="49">
        <f>IFERROR(VLOOKUP($B88-IF(CompareVer="LY",1,0) &amp; $C88 &amp;AK$4,tblForecast,AK$2,FALSE),0)</f>
        <v>0</v>
      </c>
      <c r="AL88" s="47">
        <f t="shared" si="839"/>
        <v>0</v>
      </c>
      <c r="AM88" s="73">
        <f t="shared" si="863"/>
        <v>15.077999999999999</v>
      </c>
      <c r="AN88" s="94">
        <f t="shared" si="864"/>
        <v>0</v>
      </c>
      <c r="AO88" s="94">
        <f t="shared" si="864"/>
        <v>0</v>
      </c>
      <c r="AP88" s="49">
        <f>IFERROR(VLOOKUP($B88-IF(CompareVer="LY",1,0) &amp; $C88 &amp;AP$4,tblForecast,AP$2,FALSE),0)</f>
        <v>0</v>
      </c>
      <c r="AQ88" s="47">
        <f t="shared" si="840"/>
        <v>0</v>
      </c>
      <c r="AR88" s="73">
        <f t="shared" si="865"/>
        <v>4.22</v>
      </c>
      <c r="AS88" s="94">
        <f t="shared" si="866"/>
        <v>0</v>
      </c>
      <c r="AT88" s="94">
        <f t="shared" si="866"/>
        <v>0</v>
      </c>
      <c r="AU88" s="49">
        <f>IFERROR(VLOOKUP($B88-IF(CompareVer="LY",1,0) &amp; $C88 &amp;AU$4,tblForecast,AU$2,FALSE),0)</f>
        <v>0</v>
      </c>
      <c r="AV88" s="47">
        <f t="shared" si="721"/>
        <v>0</v>
      </c>
      <c r="AW88" s="192">
        <f t="shared" si="867"/>
        <v>0.4</v>
      </c>
      <c r="AX88" s="193">
        <f t="shared" si="868"/>
        <v>0</v>
      </c>
      <c r="AY88" s="193">
        <f t="shared" si="869"/>
        <v>0</v>
      </c>
      <c r="AZ88" s="193">
        <f t="shared" si="870"/>
        <v>0</v>
      </c>
      <c r="BA88" s="237">
        <f t="shared" si="871"/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872"/>
        <v>0</v>
      </c>
      <c r="BE88" s="195">
        <f t="shared" si="722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 t="shared" si="723"/>
        <v>0</v>
      </c>
      <c r="BK88" s="50">
        <f t="shared" si="724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732"/>
        <v>0</v>
      </c>
      <c r="BS88" s="233">
        <f t="shared" si="732"/>
        <v>0</v>
      </c>
      <c r="BT88" s="236">
        <f t="shared" si="873"/>
        <v>0</v>
      </c>
      <c r="BU88" s="233">
        <f t="shared" si="873"/>
        <v>0</v>
      </c>
      <c r="BV88" s="233">
        <f>IF($A88="a",IFERROR(VLOOKUP($B88 &amp; $C88&amp;BV$4,tblForecast,BV$2,FALSE),0),BT88+BU88)</f>
        <v>0</v>
      </c>
      <c r="BW88" s="233">
        <f t="shared" si="874"/>
        <v>0</v>
      </c>
      <c r="BX88" s="233">
        <f t="shared" si="874"/>
        <v>0</v>
      </c>
      <c r="BY88" s="194">
        <f>IFERROR(VLOOKUP($B88-IF(CompareVer="LY",1,0) &amp; $C88 &amp;BY$4,tblForecast,BY$2,FALSE),0)</f>
        <v>0</v>
      </c>
      <c r="BZ88" s="195">
        <f t="shared" si="725"/>
        <v>0</v>
      </c>
      <c r="CA88" s="339">
        <f t="shared" si="875"/>
        <v>0</v>
      </c>
      <c r="CB88" s="46">
        <f t="shared" si="876"/>
        <v>0</v>
      </c>
      <c r="CC88" s="46">
        <f>IF($A88="a",IFERROR(VLOOKUP($B88 &amp; $C88&amp;CC$4,tblForecast,CC$2,FALSE),0),CA88+CB88)</f>
        <v>0</v>
      </c>
      <c r="CD88" s="46">
        <f t="shared" si="877"/>
        <v>0</v>
      </c>
      <c r="CE88" s="46">
        <f t="shared" si="877"/>
        <v>0</v>
      </c>
      <c r="CF88" s="46">
        <f>IFERROR(VLOOKUP($B88-IF(CompareVer="LY",1,0) &amp; $C88 &amp;CF$4,tblForecast,CF$2,FALSE),0)</f>
        <v>0</v>
      </c>
      <c r="CG88" s="195">
        <f t="shared" si="726"/>
        <v>0</v>
      </c>
      <c r="CH88" s="339">
        <f t="shared" si="878"/>
        <v>0</v>
      </c>
      <c r="CI88" s="46">
        <f t="shared" si="879"/>
        <v>0</v>
      </c>
      <c r="CJ88" s="46">
        <f>IF($A88="a",IFERROR(VLOOKUP($B88 &amp; $C88&amp;CJ$4,tblForecast,CJ$2,FALSE),0),CH88+CI88)</f>
        <v>0</v>
      </c>
      <c r="CK88" s="46">
        <f t="shared" si="880"/>
        <v>0</v>
      </c>
      <c r="CL88" s="46">
        <f t="shared" si="880"/>
        <v>0</v>
      </c>
      <c r="CM88" s="46">
        <f>IFERROR(VLOOKUP($B88-IF(CompareVer="LY",1,0) &amp; $C88 &amp;CM$4,tblForecast,CM$2,FALSE),0)</f>
        <v>0</v>
      </c>
      <c r="CN88" s="195">
        <f t="shared" si="727"/>
        <v>0</v>
      </c>
      <c r="CO88" s="179">
        <f t="shared" si="781"/>
        <v>0</v>
      </c>
      <c r="CP88" s="225">
        <f t="shared" si="728"/>
        <v>0</v>
      </c>
      <c r="CQ88" s="195">
        <f t="shared" si="729"/>
        <v>0</v>
      </c>
      <c r="CR88" s="179">
        <f t="shared" si="733"/>
        <v>0</v>
      </c>
      <c r="CS88" s="225">
        <f t="shared" si="730"/>
        <v>0</v>
      </c>
      <c r="CT88" s="195">
        <f t="shared" si="782"/>
        <v>0</v>
      </c>
      <c r="CU88" s="44"/>
      <c r="CV88" s="345">
        <f t="shared" si="881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826"/>
        <v>0</v>
      </c>
      <c r="CZ88" s="280">
        <f>IFERROR(VLOOKUP(Brand&amp;Channel&amp;Country&amp;$C88,tblDiscount,6,FALSE),0)</f>
        <v>0.4</v>
      </c>
      <c r="DA88" s="281">
        <f>(1-CZ88)*DB88</f>
        <v>15.077999999999999</v>
      </c>
      <c r="DB88" s="281">
        <f>IFERROR(VLOOKUP(Brand&amp;Country &amp; Channel &amp;FC,tblFCSettings,8,FALSE),0)</f>
        <v>25.13</v>
      </c>
      <c r="DC88" s="282">
        <f>IFERROR(VLOOKUP(Brand&amp;Country &amp; Channel &amp;FC,tblFCSettings,9,FALSE),0)</f>
        <v>4.22</v>
      </c>
    </row>
    <row r="89" spans="2:107" ht="16.5" thickBot="1" x14ac:dyDescent="0.3">
      <c r="B89" s="44">
        <v>2019</v>
      </c>
      <c r="C89" s="88">
        <v>9</v>
      </c>
      <c r="D89" s="51">
        <f t="shared" si="882"/>
        <v>0</v>
      </c>
      <c r="E89" s="203">
        <f t="shared" si="883"/>
        <v>0</v>
      </c>
      <c r="F89" s="183">
        <f t="shared" si="736"/>
        <v>0</v>
      </c>
      <c r="G89" s="177">
        <f t="shared" si="852"/>
        <v>0</v>
      </c>
      <c r="H89" s="204">
        <f t="shared" si="852"/>
        <v>0</v>
      </c>
      <c r="I89" s="204">
        <f t="shared" si="852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853"/>
        <v>0</v>
      </c>
      <c r="N89" s="46">
        <f t="shared" si="854"/>
        <v>0</v>
      </c>
      <c r="O89" s="46">
        <f t="shared" si="855"/>
        <v>0</v>
      </c>
      <c r="P89" s="47">
        <f t="shared" si="731"/>
        <v>0</v>
      </c>
      <c r="Q89" s="244">
        <f t="shared" si="884"/>
        <v>0</v>
      </c>
      <c r="R89" s="242">
        <f t="shared" si="856"/>
        <v>0</v>
      </c>
      <c r="S89" s="242">
        <f t="shared" si="856"/>
        <v>0</v>
      </c>
      <c r="T89" s="242">
        <f>IFERROR(VLOOKUP($B89-IF(CompareVer="LY",1,0) &amp; $C89 &amp;T$4,tblForecast,T$2,FALSE),0)</f>
        <v>0</v>
      </c>
      <c r="U89" s="91">
        <f t="shared" si="719"/>
        <v>0</v>
      </c>
      <c r="V89" s="251">
        <f t="shared" si="885"/>
        <v>0</v>
      </c>
      <c r="W89" s="336">
        <f t="shared" si="885"/>
        <v>0</v>
      </c>
      <c r="X89" s="252">
        <f>IFERROR(IF(T88&lt;&gt;0,T89/T88,0),0)</f>
        <v>0</v>
      </c>
      <c r="Y89" s="51">
        <f t="shared" si="857"/>
        <v>0</v>
      </c>
      <c r="Z89" s="46">
        <f t="shared" si="857"/>
        <v>0</v>
      </c>
      <c r="AA89" s="46">
        <f t="shared" si="857"/>
        <v>0</v>
      </c>
      <c r="AB89" s="46">
        <f t="shared" si="857"/>
        <v>0</v>
      </c>
      <c r="AC89" s="91">
        <f t="shared" si="720"/>
        <v>0</v>
      </c>
      <c r="AD89" s="75">
        <f>IF(AM89&lt;&gt;0,1-AR89/AM89,0)</f>
        <v>0.7201220320997479</v>
      </c>
      <c r="AE89" s="93">
        <f t="shared" si="858"/>
        <v>0</v>
      </c>
      <c r="AF89" s="93">
        <f t="shared" si="859"/>
        <v>0</v>
      </c>
      <c r="AG89" s="76">
        <f t="shared" si="860"/>
        <v>0</v>
      </c>
      <c r="AH89" s="73">
        <f t="shared" si="861"/>
        <v>25.13</v>
      </c>
      <c r="AI89" s="94">
        <f t="shared" si="862"/>
        <v>0</v>
      </c>
      <c r="AJ89" s="94">
        <f t="shared" si="862"/>
        <v>0</v>
      </c>
      <c r="AK89" s="49">
        <f>IFERROR(VLOOKUP($B89-IF(CompareVer="LY",1,0) &amp; $C89 &amp;AK$4,tblForecast,AK$2,FALSE),0)</f>
        <v>0</v>
      </c>
      <c r="AL89" s="47">
        <f t="shared" si="839"/>
        <v>0</v>
      </c>
      <c r="AM89" s="73">
        <f t="shared" si="863"/>
        <v>15.077999999999999</v>
      </c>
      <c r="AN89" s="94">
        <f t="shared" si="864"/>
        <v>0</v>
      </c>
      <c r="AO89" s="94">
        <f t="shared" si="864"/>
        <v>0</v>
      </c>
      <c r="AP89" s="49">
        <f>IFERROR(VLOOKUP($B89-IF(CompareVer="LY",1,0) &amp; $C89 &amp;AP$4,tblForecast,AP$2,FALSE),0)</f>
        <v>0</v>
      </c>
      <c r="AQ89" s="47">
        <f t="shared" si="840"/>
        <v>0</v>
      </c>
      <c r="AR89" s="73">
        <f t="shared" si="865"/>
        <v>4.22</v>
      </c>
      <c r="AS89" s="94">
        <f t="shared" si="866"/>
        <v>0</v>
      </c>
      <c r="AT89" s="94">
        <f t="shared" si="866"/>
        <v>0</v>
      </c>
      <c r="AU89" s="49">
        <f>IFERROR(VLOOKUP($B89-IF(CompareVer="LY",1,0) &amp; $C89 &amp;AU$4,tblForecast,AU$2,FALSE),0)</f>
        <v>0</v>
      </c>
      <c r="AV89" s="47">
        <f t="shared" si="721"/>
        <v>0</v>
      </c>
      <c r="AW89" s="192">
        <f t="shared" si="867"/>
        <v>0.4</v>
      </c>
      <c r="AX89" s="193">
        <f t="shared" si="868"/>
        <v>0</v>
      </c>
      <c r="AY89" s="193">
        <f t="shared" si="869"/>
        <v>0</v>
      </c>
      <c r="AZ89" s="193">
        <f t="shared" si="870"/>
        <v>0</v>
      </c>
      <c r="BA89" s="237">
        <f t="shared" si="871"/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872"/>
        <v>0</v>
      </c>
      <c r="BE89" s="195">
        <f t="shared" si="722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 t="shared" si="723"/>
        <v>0</v>
      </c>
      <c r="BK89" s="50">
        <f t="shared" si="724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732"/>
        <v>0</v>
      </c>
      <c r="BS89" s="233">
        <f t="shared" si="732"/>
        <v>0</v>
      </c>
      <c r="BT89" s="236">
        <f t="shared" si="873"/>
        <v>0</v>
      </c>
      <c r="BU89" s="233">
        <f t="shared" si="873"/>
        <v>0</v>
      </c>
      <c r="BV89" s="233">
        <f>IF($A89="a",IFERROR(VLOOKUP($B89 &amp; $C89&amp;BV$4,tblForecast,BV$2,FALSE),0),BT89+BU89)</f>
        <v>0</v>
      </c>
      <c r="BW89" s="233">
        <f t="shared" si="874"/>
        <v>0</v>
      </c>
      <c r="BX89" s="233">
        <f t="shared" si="874"/>
        <v>0</v>
      </c>
      <c r="BY89" s="194">
        <f>IFERROR(VLOOKUP($B89-IF(CompareVer="LY",1,0) &amp; $C89 &amp;BY$4,tblForecast,BY$2,FALSE),0)</f>
        <v>0</v>
      </c>
      <c r="BZ89" s="195">
        <f t="shared" si="725"/>
        <v>0</v>
      </c>
      <c r="CA89" s="339">
        <f t="shared" si="875"/>
        <v>0</v>
      </c>
      <c r="CB89" s="46">
        <f t="shared" si="876"/>
        <v>0</v>
      </c>
      <c r="CC89" s="46">
        <f>IF($A89="a",IFERROR(VLOOKUP($B89 &amp; $C89&amp;CC$4,tblForecast,CC$2,FALSE),0),CA89+CB89)</f>
        <v>0</v>
      </c>
      <c r="CD89" s="46">
        <f t="shared" si="877"/>
        <v>0</v>
      </c>
      <c r="CE89" s="46">
        <f t="shared" si="877"/>
        <v>0</v>
      </c>
      <c r="CF89" s="46">
        <f>IFERROR(VLOOKUP($B89-IF(CompareVer="LY",1,0) &amp; $C89 &amp;CF$4,tblForecast,CF$2,FALSE),0)</f>
        <v>0</v>
      </c>
      <c r="CG89" s="195">
        <f t="shared" si="726"/>
        <v>0</v>
      </c>
      <c r="CH89" s="339">
        <f t="shared" si="878"/>
        <v>0</v>
      </c>
      <c r="CI89" s="46">
        <f t="shared" si="879"/>
        <v>0</v>
      </c>
      <c r="CJ89" s="46">
        <f>IF($A89="a",IFERROR(VLOOKUP($B89 &amp; $C89&amp;CJ$4,tblForecast,CJ$2,FALSE),0),CH89+CI89)</f>
        <v>0</v>
      </c>
      <c r="CK89" s="46">
        <f t="shared" si="880"/>
        <v>0</v>
      </c>
      <c r="CL89" s="46">
        <f t="shared" si="880"/>
        <v>0</v>
      </c>
      <c r="CM89" s="46">
        <f>IFERROR(VLOOKUP($B89-IF(CompareVer="LY",1,0) &amp; $C89 &amp;CM$4,tblForecast,CM$2,FALSE),0)</f>
        <v>0</v>
      </c>
      <c r="CN89" s="195">
        <f t="shared" si="727"/>
        <v>0</v>
      </c>
      <c r="CO89" s="179">
        <f t="shared" si="781"/>
        <v>0</v>
      </c>
      <c r="CP89" s="225">
        <f t="shared" si="728"/>
        <v>0</v>
      </c>
      <c r="CQ89" s="195">
        <f t="shared" si="729"/>
        <v>0</v>
      </c>
      <c r="CR89" s="179">
        <f t="shared" si="733"/>
        <v>0</v>
      </c>
      <c r="CS89" s="225">
        <f t="shared" si="730"/>
        <v>0</v>
      </c>
      <c r="CT89" s="195">
        <f t="shared" si="782"/>
        <v>0</v>
      </c>
      <c r="CU89" s="44"/>
      <c r="CV89" s="345">
        <f t="shared" si="881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826"/>
        <v>0</v>
      </c>
      <c r="CZ89" s="280">
        <f>IFERROR(VLOOKUP(Brand&amp;Channel&amp;Country&amp;$C89,tblDiscount,6,FALSE),0)</f>
        <v>0.4</v>
      </c>
      <c r="DA89" s="281">
        <f>(1-CZ89)*DB89</f>
        <v>15.077999999999999</v>
      </c>
      <c r="DB89" s="281">
        <f>IFERROR(VLOOKUP(Brand&amp;Country &amp; Channel &amp;FC,tblFCSettings,8,FALSE),0)</f>
        <v>25.13</v>
      </c>
      <c r="DC89" s="282">
        <f>IFERROR(VLOOKUP(Brand&amp;Country &amp; Channel &amp;FC,tblFCSettings,9,FALSE),0)</f>
        <v>4.22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736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886">SUM(M85:M89)</f>
        <v>0</v>
      </c>
      <c r="N90" s="261">
        <f t="shared" si="886"/>
        <v>0</v>
      </c>
      <c r="O90" s="261">
        <f t="shared" si="886"/>
        <v>0</v>
      </c>
      <c r="P90" s="262">
        <f t="shared" si="731"/>
        <v>0</v>
      </c>
      <c r="Q90" s="263">
        <f>SUM(Q85:Q89)</f>
        <v>0</v>
      </c>
      <c r="R90" s="264">
        <f t="shared" ref="R90:S90" si="887">SUM(R85:R89)</f>
        <v>0</v>
      </c>
      <c r="S90" s="264">
        <f t="shared" si="887"/>
        <v>0</v>
      </c>
      <c r="T90" s="264">
        <f>SUM(T85:T89)</f>
        <v>0</v>
      </c>
      <c r="U90" s="262">
        <f t="shared" si="719"/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888">SUM(Z85:Z89)</f>
        <v>0</v>
      </c>
      <c r="AA90" s="261">
        <f t="shared" si="888"/>
        <v>0</v>
      </c>
      <c r="AB90" s="261">
        <f t="shared" si="888"/>
        <v>0</v>
      </c>
      <c r="AC90" s="262">
        <f t="shared" si="720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" si="889">IFERROR(SUMPRODUCT(AJ86:AJ89,S86:S89)/S90,0)</f>
        <v>0</v>
      </c>
      <c r="AK90" s="270">
        <f t="shared" ref="AK90" si="890">IFERROR(SUMPRODUCT(AK86:AK89,T86:T89)/T90,0)</f>
        <v>0</v>
      </c>
      <c r="AL90" s="262">
        <f t="shared" si="839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840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721"/>
        <v>0</v>
      </c>
      <c r="AW90" s="271">
        <f>IFERROR(SUMPRODUCT(AW85:AW89,V85:V89)/V90,0)</f>
        <v>0</v>
      </c>
      <c r="AX90" s="272">
        <f t="shared" ref="AX90" si="891">IFERROR(SUMPRODUCT(AX85:AX89,X85:X89)/X90,0)</f>
        <v>0</v>
      </c>
      <c r="AY90" s="272">
        <f t="shared" ref="AY90" si="892">IFERROR(SUMPRODUCT(AY85:AY89,Y85:Y89)/Y90,0)</f>
        <v>0</v>
      </c>
      <c r="AZ90" s="272">
        <f t="shared" ref="AZ90" si="893">IFERROR(SUMPRODUCT(AZ85:AZ89,Z85:Z89)/Z90,0)</f>
        <v>0</v>
      </c>
      <c r="BA90" s="263">
        <f>BA89</f>
        <v>0</v>
      </c>
      <c r="BB90" s="264">
        <f t="shared" ref="BB90" si="894">BB89</f>
        <v>0</v>
      </c>
      <c r="BC90" s="264">
        <f t="shared" ref="BC90" si="895">BC89</f>
        <v>0</v>
      </c>
      <c r="BD90" s="264">
        <f t="shared" ref="BD90" si="896">BD89</f>
        <v>0</v>
      </c>
      <c r="BE90" s="262">
        <f t="shared" si="722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 t="shared" si="723"/>
        <v>0</v>
      </c>
      <c r="BK90" s="276">
        <f t="shared" si="724"/>
        <v>0</v>
      </c>
      <c r="BL90" s="263">
        <f t="shared" ref="BL90" si="897">SUM(BL85:BL89)</f>
        <v>0</v>
      </c>
      <c r="BM90" s="264">
        <f>SUM(BM85:BM89)</f>
        <v>0</v>
      </c>
      <c r="BN90" s="263">
        <f t="shared" ref="BN90:BQ90" si="898">SUM(BN85:BN89)</f>
        <v>0</v>
      </c>
      <c r="BO90" s="264">
        <f t="shared" si="898"/>
        <v>0</v>
      </c>
      <c r="BP90" s="263">
        <f t="shared" si="898"/>
        <v>0</v>
      </c>
      <c r="BQ90" s="264">
        <f t="shared" si="898"/>
        <v>0</v>
      </c>
      <c r="BR90" s="263">
        <f t="shared" si="732"/>
        <v>0</v>
      </c>
      <c r="BS90" s="264">
        <f t="shared" si="732"/>
        <v>0</v>
      </c>
      <c r="BT90" s="263">
        <f t="shared" ref="BT90:BY90" si="899">SUM(BT85:BT89)</f>
        <v>0</v>
      </c>
      <c r="BU90" s="264">
        <f t="shared" si="899"/>
        <v>0</v>
      </c>
      <c r="BV90" s="264">
        <f t="shared" si="899"/>
        <v>0</v>
      </c>
      <c r="BW90" s="264">
        <f t="shared" si="899"/>
        <v>0</v>
      </c>
      <c r="BX90" s="264">
        <f t="shared" si="899"/>
        <v>0</v>
      </c>
      <c r="BY90" s="277">
        <f t="shared" si="899"/>
        <v>0</v>
      </c>
      <c r="BZ90" s="262">
        <f t="shared" si="725"/>
        <v>0</v>
      </c>
      <c r="CA90" s="340">
        <f t="shared" ref="CA90" si="900">SUM(CA85:CA89)</f>
        <v>0</v>
      </c>
      <c r="CB90" s="261">
        <f t="shared" ref="CB90:CF90" si="901">SUM(CB85:CB89)</f>
        <v>0</v>
      </c>
      <c r="CC90" s="261">
        <f t="shared" si="901"/>
        <v>0</v>
      </c>
      <c r="CD90" s="261">
        <f t="shared" si="901"/>
        <v>0</v>
      </c>
      <c r="CE90" s="261">
        <f t="shared" si="901"/>
        <v>0</v>
      </c>
      <c r="CF90" s="261">
        <f t="shared" si="901"/>
        <v>0</v>
      </c>
      <c r="CG90" s="262">
        <f t="shared" si="726"/>
        <v>0</v>
      </c>
      <c r="CH90" s="340">
        <f t="shared" ref="CH90" si="902">SUM(CH85:CH89)</f>
        <v>0</v>
      </c>
      <c r="CI90" s="261">
        <f t="shared" ref="CI90:CM90" si="903">SUM(CI85:CI89)</f>
        <v>0</v>
      </c>
      <c r="CJ90" s="261">
        <f t="shared" si="903"/>
        <v>0</v>
      </c>
      <c r="CK90" s="261">
        <f t="shared" si="903"/>
        <v>0</v>
      </c>
      <c r="CL90" s="261">
        <f t="shared" si="903"/>
        <v>0</v>
      </c>
      <c r="CM90" s="261">
        <f t="shared" si="903"/>
        <v>0</v>
      </c>
      <c r="CN90" s="262">
        <f t="shared" si="727"/>
        <v>0</v>
      </c>
      <c r="CO90" s="278">
        <f t="shared" si="781"/>
        <v>0</v>
      </c>
      <c r="CP90" s="279">
        <f t="shared" si="728"/>
        <v>0</v>
      </c>
      <c r="CQ90" s="262">
        <f t="shared" si="729"/>
        <v>0</v>
      </c>
      <c r="CR90" s="278">
        <f t="shared" si="733"/>
        <v>0</v>
      </c>
      <c r="CS90" s="279">
        <f t="shared" si="730"/>
        <v>0</v>
      </c>
      <c r="CT90" s="262">
        <f t="shared" si="782"/>
        <v>0</v>
      </c>
      <c r="CU90" s="44"/>
      <c r="CV90" s="346"/>
      <c r="CW90" s="100">
        <f>CW89</f>
        <v>0</v>
      </c>
      <c r="CX90" s="101">
        <f>CX89</f>
        <v>0</v>
      </c>
      <c r="CY90" s="99">
        <f t="shared" si="826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736"/>
        <v>0</v>
      </c>
      <c r="G91" s="177">
        <f t="shared" ref="G91:I94" si="904">IFERROR(VLOOKUP($B91 &amp; $C91&amp;G$4&amp;$A91,tblForecast,G$2,FALSE),0)</f>
        <v>0</v>
      </c>
      <c r="H91" s="204">
        <f t="shared" si="904"/>
        <v>0</v>
      </c>
      <c r="I91" s="204">
        <f t="shared" si="904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M94" si="905">R91*AN91</f>
        <v>0</v>
      </c>
      <c r="N91" s="46">
        <f t="shared" ref="N91:N94" si="906">S91*AO91</f>
        <v>0</v>
      </c>
      <c r="O91" s="46">
        <f t="shared" ref="O91:O94" si="907">T91*AP91</f>
        <v>0</v>
      </c>
      <c r="P91" s="47">
        <f t="shared" si="731"/>
        <v>0</v>
      </c>
      <c r="Q91" s="244">
        <f>IF(A89="a",IF(CV91=0,R91,IF(BA89-(Q89*IF(W91=0,X91,W91))&lt;0,BA89,Q89*IF(W91=0,X91,W91))),IF(BA89-(Q89*IF(W91=0,X91,W91))&lt;0,BA89,Q89*IF(W91=0,X91,W91)))</f>
        <v>0</v>
      </c>
      <c r="R91" s="242">
        <f t="shared" ref="R91:S94" si="908">IFERROR(VLOOKUP($B91 &amp; $C91&amp;R$4,tblForecast,R$2,FALSE),0)</f>
        <v>0</v>
      </c>
      <c r="S91" s="242">
        <f t="shared" si="908"/>
        <v>0</v>
      </c>
      <c r="T91" s="242">
        <f>IFERROR(VLOOKUP($B91-IF(CompareVer="LY",1,0) &amp; $C91 &amp;T$4,tblForecast,T$2,FALSE),0)</f>
        <v>0</v>
      </c>
      <c r="U91" s="91">
        <f t="shared" si="719"/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 t="shared" ref="Y91:AB94" si="909">IFERROR(L91*AD91,0)</f>
        <v>0</v>
      </c>
      <c r="Z91" s="46">
        <f t="shared" si="909"/>
        <v>0</v>
      </c>
      <c r="AA91" s="46">
        <f t="shared" si="909"/>
        <v>0</v>
      </c>
      <c r="AB91" s="46">
        <f t="shared" si="909"/>
        <v>0</v>
      </c>
      <c r="AC91" s="91">
        <f t="shared" si="720"/>
        <v>0</v>
      </c>
      <c r="AD91" s="75">
        <f>IF(AM91&lt;&gt;0,1-AR91/AM91,0)</f>
        <v>0.7201220320997479</v>
      </c>
      <c r="AE91" s="93">
        <f t="shared" ref="AE91:AE94" si="910">IF(AN91&lt;&gt;0,1-AS91/AN91,0)</f>
        <v>0</v>
      </c>
      <c r="AF91" s="93">
        <f t="shared" ref="AF91:AF94" si="911">IF(AO91&lt;&gt;0,1-AT91/AO91,0)</f>
        <v>0</v>
      </c>
      <c r="AG91" s="76">
        <f t="shared" ref="AG91:AG94" si="912">IF(AP91&lt;&gt;0,1-AU91/AP91,0)</f>
        <v>0</v>
      </c>
      <c r="AH91" s="73">
        <f t="shared" ref="AH91:AH94" si="913">DB91</f>
        <v>25.13</v>
      </c>
      <c r="AI91" s="94">
        <f t="shared" ref="AI91:AJ94" si="914">IFERROR(VLOOKUP($B91 &amp; $C91&amp;AI$4,tblForecast,AI$2,FALSE),0)</f>
        <v>0</v>
      </c>
      <c r="AJ91" s="94">
        <f t="shared" si="914"/>
        <v>0</v>
      </c>
      <c r="AK91" s="49">
        <f>IFERROR(VLOOKUP($B91-IF(CompareVer="LY",1,0) &amp; $C91 &amp;AK$4,tblForecast,AK$2,FALSE),0)</f>
        <v>0</v>
      </c>
      <c r="AL91" s="47">
        <f t="shared" si="839"/>
        <v>0</v>
      </c>
      <c r="AM91" s="73">
        <f t="shared" ref="AM91:AM94" si="915">DA91</f>
        <v>15.077999999999999</v>
      </c>
      <c r="AN91" s="94">
        <f t="shared" ref="AN91:AO94" si="916">IFERROR(VLOOKUP($B91 &amp; $C91&amp;AN$4,tblForecast,AN$2,FALSE),0)</f>
        <v>0</v>
      </c>
      <c r="AO91" s="94">
        <f t="shared" si="916"/>
        <v>0</v>
      </c>
      <c r="AP91" s="49">
        <f>IFERROR(VLOOKUP($B91-IF(CompareVer="LY",1,0) &amp; $C91 &amp;AP$4,tblForecast,AP$2,FALSE),0)</f>
        <v>0</v>
      </c>
      <c r="AQ91" s="47">
        <f t="shared" si="840"/>
        <v>0</v>
      </c>
      <c r="AR91" s="73">
        <f t="shared" ref="AR91:AR94" si="917">DC91</f>
        <v>4.22</v>
      </c>
      <c r="AS91" s="94">
        <f t="shared" ref="AS91:AT94" si="918">IFERROR(VLOOKUP($B91 &amp; $C91&amp;AS$4,tblForecast,AS$2,FALSE),0)</f>
        <v>0</v>
      </c>
      <c r="AT91" s="94">
        <f t="shared" si="918"/>
        <v>0</v>
      </c>
      <c r="AU91" s="49">
        <f>IFERROR(VLOOKUP($B91-IF(CompareVer="LY",1,0) &amp; $C91 &amp;AU$4,tblForecast,AU$2,FALSE),0)</f>
        <v>0</v>
      </c>
      <c r="AV91" s="47">
        <f t="shared" si="721"/>
        <v>0</v>
      </c>
      <c r="AW91" s="192">
        <f t="shared" ref="AW91:AW94" si="919">IFERROR((AM91/AH91-1)*-1,0)</f>
        <v>0.4</v>
      </c>
      <c r="AX91" s="193">
        <f t="shared" ref="AX91:AX94" si="920">IFERROR((AN91/AI91-1)*-1,0)</f>
        <v>0</v>
      </c>
      <c r="AY91" s="193">
        <f t="shared" ref="AY91:AY94" si="921">IFERROR((AO91/AJ91-1)*-1,0)</f>
        <v>0</v>
      </c>
      <c r="AZ91" s="193">
        <f t="shared" ref="AZ91:AZ94" si="922">IFERROR((AP91/AK91-1)*-1,0)</f>
        <v>0</v>
      </c>
      <c r="BA91" s="237">
        <f t="shared" ref="BA91:BA94" si="923">IF(BA90+BV91+BL91+BR91-Q91&lt;0,0,BA90+BF90+BV91+BL91+BR91-Q91)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924">CX91+BG91</f>
        <v>0</v>
      </c>
      <c r="BE91" s="195">
        <f t="shared" si="722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 t="shared" si="723"/>
        <v>0</v>
      </c>
      <c r="BK91" s="50">
        <f t="shared" si="724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732"/>
        <v>0</v>
      </c>
      <c r="BS91" s="233">
        <f t="shared" si="732"/>
        <v>0</v>
      </c>
      <c r="BT91" s="236">
        <f t="shared" ref="BT91:BU94" si="925">IFERROR(VLOOKUP($B91 &amp; $C91&amp;BT$4,tblForecast,BT$2,FALSE),0)</f>
        <v>0</v>
      </c>
      <c r="BU91" s="233">
        <f t="shared" si="925"/>
        <v>0</v>
      </c>
      <c r="BV91" s="233">
        <f>IF($A91="a",IFERROR(VLOOKUP($B91 &amp; $C91&amp;BV$4,tblForecast,BV$2,FALSE),0),BT91+BU91)</f>
        <v>0</v>
      </c>
      <c r="BW91" s="233">
        <f t="shared" ref="BW91:BX94" si="926">IFERROR(VLOOKUP($B91 &amp; $C91&amp;BW$4,tblForecast,BW$2,FALSE),0)</f>
        <v>0</v>
      </c>
      <c r="BX91" s="233">
        <f t="shared" si="926"/>
        <v>0</v>
      </c>
      <c r="BY91" s="194">
        <f>IFERROR(VLOOKUP($B91-IF(CompareVer="LY",1,0) &amp; $C91 &amp;BY$4,tblForecast,BY$2,FALSE),0)</f>
        <v>0</v>
      </c>
      <c r="BZ91" s="195">
        <f t="shared" si="725"/>
        <v>0</v>
      </c>
      <c r="CA91" s="339">
        <f t="shared" ref="CA91:CA94" si="927">IFERROR(VLOOKUP($B91 &amp; $C91&amp;CA$4,tblForecast,CA$2,FALSE),0)</f>
        <v>0</v>
      </c>
      <c r="CB91" s="46">
        <f t="shared" ref="CB91:CB94" si="928">IFERROR(VLOOKUP($B91 &amp; $C91&amp;CB$4,tblForecast,CB$2,FALSE),0)</f>
        <v>0</v>
      </c>
      <c r="CC91" s="46">
        <f>IF($A91="a",IFERROR(VLOOKUP($B91 &amp; $C91&amp;CC$4,tblForecast,CC$2,FALSE),0),CA91+CB91)</f>
        <v>0</v>
      </c>
      <c r="CD91" s="46">
        <f t="shared" ref="CD91:CE94" si="929">IFERROR(VLOOKUP($B91 &amp; $C91&amp;CD$4,tblForecast,CD$2,FALSE),0)</f>
        <v>0</v>
      </c>
      <c r="CE91" s="46">
        <f t="shared" si="929"/>
        <v>0</v>
      </c>
      <c r="CF91" s="46">
        <f>IFERROR(VLOOKUP($B91-IF(CompareVer="LY",1,0) &amp; $C91 &amp;CF$4,tblForecast,CF$2,FALSE),0)</f>
        <v>0</v>
      </c>
      <c r="CG91" s="195">
        <f t="shared" si="726"/>
        <v>0</v>
      </c>
      <c r="CH91" s="339">
        <f t="shared" ref="CH91:CH94" si="930">IFERROR(VLOOKUP($B91 &amp; $C91&amp;CH$4,tblForecast,CH$2,FALSE),0)</f>
        <v>0</v>
      </c>
      <c r="CI91" s="46">
        <f t="shared" ref="CI91:CI94" si="931">IFERROR(VLOOKUP($B91 &amp; $C91&amp;CI$4,tblForecast,CI$2,FALSE),0)</f>
        <v>0</v>
      </c>
      <c r="CJ91" s="46">
        <f>IF($A91="a",IFERROR(VLOOKUP($B91 &amp; $C91&amp;CJ$4,tblForecast,CJ$2,FALSE),0),CH91+CI91)</f>
        <v>0</v>
      </c>
      <c r="CK91" s="46">
        <f t="shared" ref="CK91:CL94" si="932">IFERROR(VLOOKUP($B91 &amp; $C91&amp;CK$4,tblForecast,CK$2,FALSE),0)</f>
        <v>0</v>
      </c>
      <c r="CL91" s="46">
        <f t="shared" si="932"/>
        <v>0</v>
      </c>
      <c r="CM91" s="46">
        <f>IFERROR(VLOOKUP($B91-IF(CompareVer="LY",1,0) &amp; $C91 &amp;CM$4,tblForecast,CM$2,FALSE),0)</f>
        <v>0</v>
      </c>
      <c r="CN91" s="195">
        <f t="shared" si="727"/>
        <v>0</v>
      </c>
      <c r="CO91" s="179">
        <f t="shared" si="781"/>
        <v>0</v>
      </c>
      <c r="CP91" s="225">
        <f t="shared" si="728"/>
        <v>0</v>
      </c>
      <c r="CQ91" s="195">
        <f t="shared" si="729"/>
        <v>0</v>
      </c>
      <c r="CR91" s="179">
        <f t="shared" si="733"/>
        <v>0</v>
      </c>
      <c r="CS91" s="225">
        <f t="shared" si="730"/>
        <v>0</v>
      </c>
      <c r="CT91" s="195">
        <f t="shared" si="782"/>
        <v>0</v>
      </c>
      <c r="CU91" s="44"/>
      <c r="CV91" s="345">
        <f t="shared" ref="CV91:CV94" si="933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826"/>
        <v>0</v>
      </c>
      <c r="CZ91" s="280">
        <f>IFERROR(VLOOKUP(Brand&amp;Channel&amp;Country&amp;$C91,tblDiscount,6,FALSE),0)</f>
        <v>0.4</v>
      </c>
      <c r="DA91" s="281">
        <f>(1-CZ91)*DB91</f>
        <v>15.077999999999999</v>
      </c>
      <c r="DB91" s="281">
        <f>IFERROR(VLOOKUP(Brand&amp;Country &amp; Channel &amp;FC,tblFCSettings,8,FALSE),0)</f>
        <v>25.13</v>
      </c>
      <c r="DC91" s="282">
        <f>IFERROR(VLOOKUP(Brand&amp;Country &amp; Channel &amp;FC,tblFCSettings,9,FALSE),0)</f>
        <v>4.22</v>
      </c>
    </row>
    <row r="92" spans="2:107" x14ac:dyDescent="0.25">
      <c r="B92" s="44">
        <v>2019</v>
      </c>
      <c r="C92" s="88">
        <v>11</v>
      </c>
      <c r="D92" s="51">
        <f t="shared" ref="D92:D94" si="934">G92*H92</f>
        <v>0</v>
      </c>
      <c r="E92" s="203">
        <f t="shared" ref="E92:E94" si="935">IFERROR(D92*F92,0)</f>
        <v>0</v>
      </c>
      <c r="F92" s="183">
        <f t="shared" si="736"/>
        <v>0</v>
      </c>
      <c r="G92" s="177">
        <f t="shared" si="904"/>
        <v>0</v>
      </c>
      <c r="H92" s="204">
        <f t="shared" si="904"/>
        <v>0</v>
      </c>
      <c r="I92" s="204">
        <f t="shared" si="904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905"/>
        <v>0</v>
      </c>
      <c r="N92" s="46">
        <f t="shared" si="906"/>
        <v>0</v>
      </c>
      <c r="O92" s="46">
        <f t="shared" si="907"/>
        <v>0</v>
      </c>
      <c r="P92" s="47">
        <f t="shared" si="731"/>
        <v>0</v>
      </c>
      <c r="Q92" s="344">
        <f t="shared" ref="Q92:Q94" si="936">IF(A91="a",IF(CV92=0,R92,IF(BA91-(Q91*IF(W92=0,X92,W92))&lt;0,BA91,Q91*IF(W92=0,X92,W92))),IF(BA91-(Q91*IF(W92=0,X92,W92))&lt;0,BA91,Q91*IF(W92=0,X92,W92)))</f>
        <v>0</v>
      </c>
      <c r="R92" s="242">
        <f t="shared" si="908"/>
        <v>0</v>
      </c>
      <c r="S92" s="242">
        <f t="shared" si="908"/>
        <v>0</v>
      </c>
      <c r="T92" s="242">
        <f>IFERROR(VLOOKUP($B92-IF(CompareVer="LY",1,0) &amp; $C92 &amp;T$4,tblForecast,T$2,FALSE),0)</f>
        <v>0</v>
      </c>
      <c r="U92" s="91">
        <f t="shared" si="719"/>
        <v>0</v>
      </c>
      <c r="V92" s="251">
        <f t="shared" ref="V92:W94" si="937">IFERROR(IF(Q91&lt;&gt;0,Q92/Q91,0),0)</f>
        <v>0</v>
      </c>
      <c r="W92" s="336">
        <f t="shared" si="937"/>
        <v>0</v>
      </c>
      <c r="X92" s="252">
        <f>IFERROR(IF(T91&lt;&gt;0,T92/T91,0),0)</f>
        <v>0</v>
      </c>
      <c r="Y92" s="51">
        <f t="shared" si="909"/>
        <v>0</v>
      </c>
      <c r="Z92" s="46">
        <f t="shared" si="909"/>
        <v>0</v>
      </c>
      <c r="AA92" s="46">
        <f t="shared" si="909"/>
        <v>0</v>
      </c>
      <c r="AB92" s="46">
        <f t="shared" si="909"/>
        <v>0</v>
      </c>
      <c r="AC92" s="91">
        <f t="shared" si="720"/>
        <v>0</v>
      </c>
      <c r="AD92" s="75">
        <f>IF(AM92&lt;&gt;0,1-AR92/AM92,0)</f>
        <v>0.69467858047245234</v>
      </c>
      <c r="AE92" s="93">
        <f t="shared" si="910"/>
        <v>0</v>
      </c>
      <c r="AF92" s="93">
        <f t="shared" si="911"/>
        <v>0</v>
      </c>
      <c r="AG92" s="76">
        <f t="shared" si="912"/>
        <v>0</v>
      </c>
      <c r="AH92" s="73">
        <f t="shared" si="913"/>
        <v>25.13</v>
      </c>
      <c r="AI92" s="94">
        <f t="shared" si="914"/>
        <v>0</v>
      </c>
      <c r="AJ92" s="94">
        <f t="shared" si="914"/>
        <v>0</v>
      </c>
      <c r="AK92" s="49">
        <f>IFERROR(VLOOKUP($B92-IF(CompareVer="LY",1,0) &amp; $C92 &amp;AK$4,tblForecast,AK$2,FALSE),0)</f>
        <v>0</v>
      </c>
      <c r="AL92" s="47">
        <f t="shared" si="839"/>
        <v>0</v>
      </c>
      <c r="AM92" s="73">
        <f t="shared" si="915"/>
        <v>13.8215</v>
      </c>
      <c r="AN92" s="94">
        <f t="shared" si="916"/>
        <v>0</v>
      </c>
      <c r="AO92" s="94">
        <f t="shared" si="916"/>
        <v>0</v>
      </c>
      <c r="AP92" s="49">
        <f>IFERROR(VLOOKUP($B92-IF(CompareVer="LY",1,0) &amp; $C92 &amp;AP$4,tblForecast,AP$2,FALSE),0)</f>
        <v>0</v>
      </c>
      <c r="AQ92" s="47">
        <f t="shared" si="840"/>
        <v>0</v>
      </c>
      <c r="AR92" s="73">
        <f t="shared" si="917"/>
        <v>4.22</v>
      </c>
      <c r="AS92" s="94">
        <f t="shared" si="918"/>
        <v>0</v>
      </c>
      <c r="AT92" s="94">
        <f t="shared" si="918"/>
        <v>0</v>
      </c>
      <c r="AU92" s="49">
        <f>IFERROR(VLOOKUP($B92-IF(CompareVer="LY",1,0) &amp; $C92 &amp;AU$4,tblForecast,AU$2,FALSE),0)</f>
        <v>0</v>
      </c>
      <c r="AV92" s="47">
        <f t="shared" si="721"/>
        <v>0</v>
      </c>
      <c r="AW92" s="192">
        <f t="shared" si="919"/>
        <v>0.44999999999999996</v>
      </c>
      <c r="AX92" s="193">
        <f t="shared" si="920"/>
        <v>0</v>
      </c>
      <c r="AY92" s="193">
        <f t="shared" si="921"/>
        <v>0</v>
      </c>
      <c r="AZ92" s="193">
        <f t="shared" si="922"/>
        <v>0</v>
      </c>
      <c r="BA92" s="237">
        <f t="shared" si="923"/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924"/>
        <v>0</v>
      </c>
      <c r="BE92" s="195">
        <f t="shared" si="722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 t="shared" si="723"/>
        <v>0</v>
      </c>
      <c r="BK92" s="50">
        <f t="shared" si="724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R96" si="938">BN92-BP92</f>
        <v>0</v>
      </c>
      <c r="BS92" s="233">
        <f t="shared" ref="BS92:BS96" si="939">BO92-BQ92</f>
        <v>0</v>
      </c>
      <c r="BT92" s="236">
        <f t="shared" si="925"/>
        <v>0</v>
      </c>
      <c r="BU92" s="233">
        <f t="shared" si="925"/>
        <v>0</v>
      </c>
      <c r="BV92" s="233">
        <f>IF($A92="a",IFERROR(VLOOKUP($B92 &amp; $C92&amp;BV$4,tblForecast,BV$2,FALSE),0),BT92+BU92)</f>
        <v>0</v>
      </c>
      <c r="BW92" s="233">
        <f t="shared" si="926"/>
        <v>0</v>
      </c>
      <c r="BX92" s="233">
        <f t="shared" si="926"/>
        <v>0</v>
      </c>
      <c r="BY92" s="194">
        <f>IFERROR(VLOOKUP($B92-IF(CompareVer="LY",1,0) &amp; $C92 &amp;BY$4,tblForecast,BY$2,FALSE),0)</f>
        <v>0</v>
      </c>
      <c r="BZ92" s="195">
        <f t="shared" si="725"/>
        <v>0</v>
      </c>
      <c r="CA92" s="339">
        <f t="shared" si="927"/>
        <v>0</v>
      </c>
      <c r="CB92" s="46">
        <f t="shared" si="928"/>
        <v>0</v>
      </c>
      <c r="CC92" s="46">
        <f>IF($A92="a",IFERROR(VLOOKUP($B92 &amp; $C92&amp;CC$4,tblForecast,CC$2,FALSE),0),CA92+CB92)</f>
        <v>0</v>
      </c>
      <c r="CD92" s="46">
        <f t="shared" si="929"/>
        <v>0</v>
      </c>
      <c r="CE92" s="46">
        <f t="shared" si="929"/>
        <v>0</v>
      </c>
      <c r="CF92" s="46">
        <f>IFERROR(VLOOKUP($B92-IF(CompareVer="LY",1,0) &amp; $C92 &amp;CF$4,tblForecast,CF$2,FALSE),0)</f>
        <v>0</v>
      </c>
      <c r="CG92" s="195">
        <f t="shared" si="726"/>
        <v>0</v>
      </c>
      <c r="CH92" s="339">
        <f t="shared" si="930"/>
        <v>0</v>
      </c>
      <c r="CI92" s="46">
        <f t="shared" si="931"/>
        <v>0</v>
      </c>
      <c r="CJ92" s="46">
        <f>IF($A92="a",IFERROR(VLOOKUP($B92 &amp; $C92&amp;CJ$4,tblForecast,CJ$2,FALSE),0),CH92+CI92)</f>
        <v>0</v>
      </c>
      <c r="CK92" s="46">
        <f t="shared" si="932"/>
        <v>0</v>
      </c>
      <c r="CL92" s="46">
        <f t="shared" si="932"/>
        <v>0</v>
      </c>
      <c r="CM92" s="46">
        <f>IFERROR(VLOOKUP($B92-IF(CompareVer="LY",1,0) &amp; $C92 &amp;CM$4,tblForecast,CM$2,FALSE),0)</f>
        <v>0</v>
      </c>
      <c r="CN92" s="195">
        <f t="shared" si="727"/>
        <v>0</v>
      </c>
      <c r="CO92" s="179">
        <f t="shared" si="781"/>
        <v>0</v>
      </c>
      <c r="CP92" s="225">
        <f t="shared" si="728"/>
        <v>0</v>
      </c>
      <c r="CQ92" s="195">
        <f t="shared" si="729"/>
        <v>0</v>
      </c>
      <c r="CR92" s="179">
        <f t="shared" si="733"/>
        <v>0</v>
      </c>
      <c r="CS92" s="225">
        <f t="shared" si="730"/>
        <v>0</v>
      </c>
      <c r="CT92" s="195">
        <f t="shared" si="782"/>
        <v>0</v>
      </c>
      <c r="CU92" s="44"/>
      <c r="CV92" s="345">
        <f t="shared" si="933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826"/>
        <v>0</v>
      </c>
      <c r="CZ92" s="280">
        <f>IFERROR(VLOOKUP(Brand&amp;Channel&amp;Country&amp;$C92,tblDiscount,6,FALSE),0)</f>
        <v>0.45</v>
      </c>
      <c r="DA92" s="281">
        <f>(1-CZ92)*DB92</f>
        <v>13.8215</v>
      </c>
      <c r="DB92" s="281">
        <f>IFERROR(VLOOKUP(Brand&amp;Country &amp; Channel &amp;FC,tblFCSettings,8,FALSE),0)</f>
        <v>25.13</v>
      </c>
      <c r="DC92" s="282">
        <f>IFERROR(VLOOKUP(Brand&amp;Country &amp; Channel &amp;FC,tblFCSettings,9,FALSE),0)</f>
        <v>4.22</v>
      </c>
    </row>
    <row r="93" spans="2:107" x14ac:dyDescent="0.25">
      <c r="B93" s="44">
        <v>2019</v>
      </c>
      <c r="C93" s="88">
        <v>12</v>
      </c>
      <c r="D93" s="51">
        <f t="shared" si="934"/>
        <v>0</v>
      </c>
      <c r="E93" s="203">
        <f t="shared" si="935"/>
        <v>0</v>
      </c>
      <c r="F93" s="183">
        <f t="shared" si="736"/>
        <v>0</v>
      </c>
      <c r="G93" s="177">
        <f t="shared" si="904"/>
        <v>0</v>
      </c>
      <c r="H93" s="204">
        <f t="shared" si="904"/>
        <v>0</v>
      </c>
      <c r="I93" s="204">
        <f t="shared" si="904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905"/>
        <v>0</v>
      </c>
      <c r="N93" s="46">
        <f t="shared" si="906"/>
        <v>0</v>
      </c>
      <c r="O93" s="46">
        <f t="shared" si="907"/>
        <v>0</v>
      </c>
      <c r="P93" s="47">
        <f t="shared" si="731"/>
        <v>0</v>
      </c>
      <c r="Q93" s="344">
        <f t="shared" si="936"/>
        <v>0</v>
      </c>
      <c r="R93" s="242">
        <f t="shared" si="908"/>
        <v>0</v>
      </c>
      <c r="S93" s="242">
        <f t="shared" si="908"/>
        <v>0</v>
      </c>
      <c r="T93" s="242">
        <f>IFERROR(VLOOKUP($B93-IF(CompareVer="LY",1,0) &amp; $C93 &amp;T$4,tblForecast,T$2,FALSE),0)</f>
        <v>0</v>
      </c>
      <c r="U93" s="91">
        <f t="shared" si="719"/>
        <v>0</v>
      </c>
      <c r="V93" s="251">
        <f t="shared" si="937"/>
        <v>0</v>
      </c>
      <c r="W93" s="336">
        <f t="shared" si="937"/>
        <v>0</v>
      </c>
      <c r="X93" s="252">
        <f>IFERROR(IF(T92&lt;&gt;0,T93/T92,0),0)</f>
        <v>0</v>
      </c>
      <c r="Y93" s="51">
        <f t="shared" si="909"/>
        <v>0</v>
      </c>
      <c r="Z93" s="46">
        <f t="shared" si="909"/>
        <v>0</v>
      </c>
      <c r="AA93" s="46">
        <f t="shared" si="909"/>
        <v>0</v>
      </c>
      <c r="AB93" s="46">
        <f t="shared" si="909"/>
        <v>0</v>
      </c>
      <c r="AC93" s="91">
        <f t="shared" ref="AC93:AC96" si="940">IFERROR(Y93/AB93-1,)</f>
        <v>0</v>
      </c>
      <c r="AD93" s="75">
        <f>IF(AM93&lt;&gt;0,1-AR93/AM93,0)</f>
        <v>0.69467858047245234</v>
      </c>
      <c r="AE93" s="93">
        <f t="shared" si="910"/>
        <v>0</v>
      </c>
      <c r="AF93" s="93">
        <f t="shared" si="911"/>
        <v>0</v>
      </c>
      <c r="AG93" s="76">
        <f t="shared" si="912"/>
        <v>0</v>
      </c>
      <c r="AH93" s="73">
        <f t="shared" si="913"/>
        <v>25.13</v>
      </c>
      <c r="AI93" s="94">
        <f t="shared" si="914"/>
        <v>0</v>
      </c>
      <c r="AJ93" s="94">
        <f t="shared" si="914"/>
        <v>0</v>
      </c>
      <c r="AK93" s="49">
        <f>IFERROR(VLOOKUP($B93-IF(CompareVer="LY",1,0) &amp; $C93 &amp;AK$4,tblForecast,AK$2,FALSE),0)</f>
        <v>0</v>
      </c>
      <c r="AL93" s="47">
        <f t="shared" si="839"/>
        <v>0</v>
      </c>
      <c r="AM93" s="73">
        <f t="shared" si="915"/>
        <v>13.8215</v>
      </c>
      <c r="AN93" s="94">
        <f t="shared" si="916"/>
        <v>0</v>
      </c>
      <c r="AO93" s="94">
        <f t="shared" si="916"/>
        <v>0</v>
      </c>
      <c r="AP93" s="49">
        <f>IFERROR(VLOOKUP($B93-IF(CompareVer="LY",1,0) &amp; $C93 &amp;AP$4,tblForecast,AP$2,FALSE),0)</f>
        <v>0</v>
      </c>
      <c r="AQ93" s="47">
        <f t="shared" si="840"/>
        <v>0</v>
      </c>
      <c r="AR93" s="73">
        <f t="shared" si="917"/>
        <v>4.22</v>
      </c>
      <c r="AS93" s="94">
        <f t="shared" si="918"/>
        <v>0</v>
      </c>
      <c r="AT93" s="94">
        <f t="shared" si="918"/>
        <v>0</v>
      </c>
      <c r="AU93" s="49">
        <f>IFERROR(VLOOKUP($B93-IF(CompareVer="LY",1,0) &amp; $C93 &amp;AU$4,tblForecast,AU$2,FALSE),0)</f>
        <v>0</v>
      </c>
      <c r="AV93" s="47">
        <f t="shared" ref="AV93:AV96" si="941">IFERROR(AR93/AU93-1,)</f>
        <v>0</v>
      </c>
      <c r="AW93" s="192">
        <f t="shared" si="919"/>
        <v>0.44999999999999996</v>
      </c>
      <c r="AX93" s="193">
        <f t="shared" si="920"/>
        <v>0</v>
      </c>
      <c r="AY93" s="193">
        <f t="shared" si="921"/>
        <v>0</v>
      </c>
      <c r="AZ93" s="193">
        <f t="shared" si="922"/>
        <v>0</v>
      </c>
      <c r="BA93" s="237">
        <f t="shared" si="923"/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924"/>
        <v>0</v>
      </c>
      <c r="BE93" s="195">
        <f t="shared" ref="BE93:BE96" si="942">IFERROR(BA93/BD93-1,)</f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 t="shared" si="723"/>
        <v>0</v>
      </c>
      <c r="BK93" s="50">
        <f t="shared" ref="BK93:BK96" si="943">IF(BD93&lt;&gt;0,T93/BD93,0)</f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938"/>
        <v>0</v>
      </c>
      <c r="BS93" s="233">
        <f t="shared" si="939"/>
        <v>0</v>
      </c>
      <c r="BT93" s="236">
        <f t="shared" si="925"/>
        <v>0</v>
      </c>
      <c r="BU93" s="233">
        <f t="shared" si="925"/>
        <v>0</v>
      </c>
      <c r="BV93" s="233">
        <f>IF($A93="a",IFERROR(VLOOKUP($B93 &amp; $C93&amp;BV$4,tblForecast,BV$2,FALSE),0),BT93+BU93)</f>
        <v>0</v>
      </c>
      <c r="BW93" s="233">
        <f t="shared" si="926"/>
        <v>0</v>
      </c>
      <c r="BX93" s="233">
        <f t="shared" si="926"/>
        <v>0</v>
      </c>
      <c r="BY93" s="194">
        <f>IFERROR(VLOOKUP($B93-IF(CompareVer="LY",1,0) &amp; $C93 &amp;BY$4,tblForecast,BY$2,FALSE),0)</f>
        <v>0</v>
      </c>
      <c r="BZ93" s="195">
        <f t="shared" ref="BZ93:BZ96" si="944">IFERROR(BV93/BY93-1,)</f>
        <v>0</v>
      </c>
      <c r="CA93" s="339">
        <f t="shared" si="927"/>
        <v>0</v>
      </c>
      <c r="CB93" s="46">
        <f t="shared" si="928"/>
        <v>0</v>
      </c>
      <c r="CC93" s="46">
        <f>IF($A93="a",IFERROR(VLOOKUP($B93 &amp; $C93&amp;CC$4,tblForecast,CC$2,FALSE),0),CA93+CB93)</f>
        <v>0</v>
      </c>
      <c r="CD93" s="46">
        <f t="shared" si="929"/>
        <v>0</v>
      </c>
      <c r="CE93" s="46">
        <f t="shared" si="929"/>
        <v>0</v>
      </c>
      <c r="CF93" s="46">
        <f>IFERROR(VLOOKUP($B93-IF(CompareVer="LY",1,0) &amp; $C93 &amp;CF$4,tblForecast,CF$2,FALSE),0)</f>
        <v>0</v>
      </c>
      <c r="CG93" s="195">
        <f t="shared" ref="CG93:CG96" si="945">IFERROR(CC93/CF93-1,)</f>
        <v>0</v>
      </c>
      <c r="CH93" s="339">
        <f t="shared" si="930"/>
        <v>0</v>
      </c>
      <c r="CI93" s="46">
        <f t="shared" si="931"/>
        <v>0</v>
      </c>
      <c r="CJ93" s="46">
        <f>IF($A93="a",IFERROR(VLOOKUP($B93 &amp; $C93&amp;CJ$4,tblForecast,CJ$2,FALSE),0),CH93+CI93)</f>
        <v>0</v>
      </c>
      <c r="CK93" s="46">
        <f t="shared" si="932"/>
        <v>0</v>
      </c>
      <c r="CL93" s="46">
        <f t="shared" si="932"/>
        <v>0</v>
      </c>
      <c r="CM93" s="46">
        <f>IFERROR(VLOOKUP($B93-IF(CompareVer="LY",1,0) &amp; $C93 &amp;CM$4,tblForecast,CM$2,FALSE),0)</f>
        <v>0</v>
      </c>
      <c r="CN93" s="195">
        <f t="shared" ref="CN93:CN96" si="946">IFERROR(CJ93/CM93-1,)</f>
        <v>0</v>
      </c>
      <c r="CO93" s="179">
        <f t="shared" si="781"/>
        <v>0</v>
      </c>
      <c r="CP93" s="225">
        <f t="shared" si="728"/>
        <v>0</v>
      </c>
      <c r="CQ93" s="195">
        <f t="shared" si="729"/>
        <v>0</v>
      </c>
      <c r="CR93" s="179">
        <f t="shared" si="733"/>
        <v>0</v>
      </c>
      <c r="CS93" s="225">
        <f t="shared" si="730"/>
        <v>0</v>
      </c>
      <c r="CT93" s="195">
        <f t="shared" si="782"/>
        <v>0</v>
      </c>
      <c r="CU93" s="44"/>
      <c r="CV93" s="345">
        <f t="shared" si="933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13.8215</v>
      </c>
      <c r="DB93" s="281">
        <f>IFERROR(VLOOKUP(Brand&amp;Country &amp; Channel &amp;FC,tblFCSettings,8,FALSE),0)</f>
        <v>25.13</v>
      </c>
      <c r="DC93" s="282">
        <f>IFERROR(VLOOKUP(Brand&amp;Country &amp; Channel &amp;FC,tblFCSettings,9,FALSE),0)</f>
        <v>4.22</v>
      </c>
    </row>
    <row r="94" spans="2:107" ht="16.5" thickBot="1" x14ac:dyDescent="0.3">
      <c r="B94" s="44">
        <v>2019</v>
      </c>
      <c r="C94" s="88">
        <v>13</v>
      </c>
      <c r="D94" s="51">
        <f t="shared" si="934"/>
        <v>0</v>
      </c>
      <c r="E94" s="203">
        <f t="shared" si="935"/>
        <v>0</v>
      </c>
      <c r="F94" s="183">
        <f t="shared" si="736"/>
        <v>0</v>
      </c>
      <c r="G94" s="177">
        <f t="shared" si="904"/>
        <v>0</v>
      </c>
      <c r="H94" s="204">
        <f t="shared" si="904"/>
        <v>0</v>
      </c>
      <c r="I94" s="204">
        <f t="shared" si="904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905"/>
        <v>0</v>
      </c>
      <c r="N94" s="46">
        <f t="shared" si="906"/>
        <v>0</v>
      </c>
      <c r="O94" s="46">
        <f t="shared" si="907"/>
        <v>0</v>
      </c>
      <c r="P94" s="47">
        <f t="shared" ref="P94:P96" si="947">IFERROR(L94/O94-1,)</f>
        <v>0</v>
      </c>
      <c r="Q94" s="344">
        <f t="shared" si="936"/>
        <v>0</v>
      </c>
      <c r="R94" s="242">
        <f t="shared" si="908"/>
        <v>0</v>
      </c>
      <c r="S94" s="242">
        <f t="shared" si="908"/>
        <v>0</v>
      </c>
      <c r="T94" s="242">
        <f>IFERROR(VLOOKUP($B94-IF(CompareVer="LY",1,0) &amp; $C94 &amp;T$4,tblForecast,T$2,FALSE),0)</f>
        <v>0</v>
      </c>
      <c r="U94" s="91">
        <f t="shared" si="719"/>
        <v>0</v>
      </c>
      <c r="V94" s="251">
        <f t="shared" si="937"/>
        <v>0</v>
      </c>
      <c r="W94" s="336">
        <f t="shared" si="937"/>
        <v>0</v>
      </c>
      <c r="X94" s="252">
        <f>IFERROR(IF(T93&lt;&gt;0,T94/T93,0),0)</f>
        <v>0</v>
      </c>
      <c r="Y94" s="51">
        <f t="shared" si="909"/>
        <v>0</v>
      </c>
      <c r="Z94" s="46">
        <f t="shared" si="909"/>
        <v>0</v>
      </c>
      <c r="AA94" s="46">
        <f t="shared" si="909"/>
        <v>0</v>
      </c>
      <c r="AB94" s="46">
        <f t="shared" si="909"/>
        <v>0</v>
      </c>
      <c r="AC94" s="91">
        <f t="shared" si="940"/>
        <v>0</v>
      </c>
      <c r="AD94" s="75">
        <f>IF(AM94&lt;&gt;0,1-AR94/AM94,0)</f>
        <v>0.69467858047245234</v>
      </c>
      <c r="AE94" s="93">
        <f t="shared" si="910"/>
        <v>0</v>
      </c>
      <c r="AF94" s="93">
        <f t="shared" si="911"/>
        <v>0</v>
      </c>
      <c r="AG94" s="76">
        <f t="shared" si="912"/>
        <v>0</v>
      </c>
      <c r="AH94" s="73">
        <f t="shared" si="913"/>
        <v>25.13</v>
      </c>
      <c r="AI94" s="94">
        <f t="shared" si="914"/>
        <v>0</v>
      </c>
      <c r="AJ94" s="94">
        <f t="shared" si="914"/>
        <v>0</v>
      </c>
      <c r="AK94" s="49">
        <f>IFERROR(VLOOKUP($B94-IF(CompareVer="LY",1,0) &amp; $C94 &amp;AK$4,tblForecast,AK$2,FALSE),0)</f>
        <v>0</v>
      </c>
      <c r="AL94" s="47">
        <f t="shared" si="839"/>
        <v>0</v>
      </c>
      <c r="AM94" s="73">
        <f t="shared" si="915"/>
        <v>13.8215</v>
      </c>
      <c r="AN94" s="94">
        <f t="shared" si="916"/>
        <v>0</v>
      </c>
      <c r="AO94" s="94">
        <f t="shared" si="916"/>
        <v>0</v>
      </c>
      <c r="AP94" s="49">
        <f>IFERROR(VLOOKUP($B94-IF(CompareVer="LY",1,0) &amp; $C94 &amp;AP$4,tblForecast,AP$2,FALSE),0)</f>
        <v>0</v>
      </c>
      <c r="AQ94" s="47">
        <f t="shared" si="840"/>
        <v>0</v>
      </c>
      <c r="AR94" s="73">
        <f t="shared" si="917"/>
        <v>4.22</v>
      </c>
      <c r="AS94" s="94">
        <f t="shared" si="918"/>
        <v>0</v>
      </c>
      <c r="AT94" s="94">
        <f t="shared" si="918"/>
        <v>0</v>
      </c>
      <c r="AU94" s="49">
        <f>IFERROR(VLOOKUP($B94-IF(CompareVer="LY",1,0) &amp; $C94 &amp;AU$4,tblForecast,AU$2,FALSE),0)</f>
        <v>0</v>
      </c>
      <c r="AV94" s="47">
        <f t="shared" si="941"/>
        <v>0</v>
      </c>
      <c r="AW94" s="192">
        <f t="shared" si="919"/>
        <v>0.44999999999999996</v>
      </c>
      <c r="AX94" s="193">
        <f t="shared" si="920"/>
        <v>0</v>
      </c>
      <c r="AY94" s="193">
        <f t="shared" si="921"/>
        <v>0</v>
      </c>
      <c r="AZ94" s="193">
        <f t="shared" si="922"/>
        <v>0</v>
      </c>
      <c r="BA94" s="237">
        <f t="shared" si="923"/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924"/>
        <v>0</v>
      </c>
      <c r="BE94" s="195">
        <f t="shared" si="942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 t="shared" si="723"/>
        <v>0</v>
      </c>
      <c r="BK94" s="50">
        <f t="shared" si="943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938"/>
        <v>0</v>
      </c>
      <c r="BS94" s="233">
        <f t="shared" si="939"/>
        <v>0</v>
      </c>
      <c r="BT94" s="236">
        <f t="shared" si="925"/>
        <v>0</v>
      </c>
      <c r="BU94" s="233">
        <f t="shared" si="925"/>
        <v>0</v>
      </c>
      <c r="BV94" s="233">
        <f>IF($A94="a",IFERROR(VLOOKUP($B94 &amp; $C94&amp;BV$4,tblForecast,BV$2,FALSE),0),BT94+BU94)</f>
        <v>0</v>
      </c>
      <c r="BW94" s="233">
        <f t="shared" si="926"/>
        <v>0</v>
      </c>
      <c r="BX94" s="233">
        <f t="shared" si="926"/>
        <v>0</v>
      </c>
      <c r="BY94" s="194">
        <f>IFERROR(VLOOKUP($B94-IF(CompareVer="LY",1,0) &amp; $C94 &amp;BY$4,tblForecast,BY$2,FALSE),0)</f>
        <v>0</v>
      </c>
      <c r="BZ94" s="195">
        <f t="shared" si="944"/>
        <v>0</v>
      </c>
      <c r="CA94" s="339">
        <f t="shared" si="927"/>
        <v>0</v>
      </c>
      <c r="CB94" s="46">
        <f t="shared" si="928"/>
        <v>0</v>
      </c>
      <c r="CC94" s="46">
        <f>IF($A94="a",IFERROR(VLOOKUP($B94 &amp; $C94&amp;CC$4,tblForecast,CC$2,FALSE),0),CA94+CB94)</f>
        <v>0</v>
      </c>
      <c r="CD94" s="46">
        <f t="shared" si="929"/>
        <v>0</v>
      </c>
      <c r="CE94" s="46">
        <f t="shared" si="929"/>
        <v>0</v>
      </c>
      <c r="CF94" s="46">
        <f>IFERROR(VLOOKUP($B94-IF(CompareVer="LY",1,0) &amp; $C94 &amp;CF$4,tblForecast,CF$2,FALSE),0)</f>
        <v>0</v>
      </c>
      <c r="CG94" s="195">
        <f t="shared" si="945"/>
        <v>0</v>
      </c>
      <c r="CH94" s="339">
        <f t="shared" si="930"/>
        <v>0</v>
      </c>
      <c r="CI94" s="46">
        <f t="shared" si="931"/>
        <v>0</v>
      </c>
      <c r="CJ94" s="46">
        <f>IF($A94="a",IFERROR(VLOOKUP($B94 &amp; $C94&amp;CJ$4,tblForecast,CJ$2,FALSE),0),CH94+CI94)</f>
        <v>0</v>
      </c>
      <c r="CK94" s="46">
        <f t="shared" si="932"/>
        <v>0</v>
      </c>
      <c r="CL94" s="46">
        <f t="shared" si="932"/>
        <v>0</v>
      </c>
      <c r="CM94" s="46">
        <f>IFERROR(VLOOKUP($B94-IF(CompareVer="LY",1,0) &amp; $C94 &amp;CM$4,tblForecast,CM$2,FALSE),0)</f>
        <v>0</v>
      </c>
      <c r="CN94" s="195">
        <f t="shared" si="946"/>
        <v>0</v>
      </c>
      <c r="CO94" s="179">
        <f t="shared" si="781"/>
        <v>0</v>
      </c>
      <c r="CP94" s="225">
        <f t="shared" si="728"/>
        <v>0</v>
      </c>
      <c r="CQ94" s="195">
        <f t="shared" si="729"/>
        <v>0</v>
      </c>
      <c r="CR94" s="179">
        <f t="shared" si="733"/>
        <v>0</v>
      </c>
      <c r="CS94" s="225">
        <f t="shared" si="730"/>
        <v>0</v>
      </c>
      <c r="CT94" s="195">
        <f t="shared" si="782"/>
        <v>0</v>
      </c>
      <c r="CU94" s="44"/>
      <c r="CV94" s="345">
        <f t="shared" si="933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13.8215</v>
      </c>
      <c r="DB94" s="281">
        <f>IFERROR(VLOOKUP(Brand&amp;Country &amp; Channel &amp;FC,tblFCSettings,8,FALSE),0)</f>
        <v>25.13</v>
      </c>
      <c r="DC94" s="282">
        <f>IFERROR(VLOOKUP(Brand&amp;Country &amp; Channel &amp;FC,tblFCSettings,9,FALSE),0)</f>
        <v>4.22</v>
      </c>
    </row>
    <row r="95" spans="2:107" ht="16.5" thickBot="1" x14ac:dyDescent="0.3">
      <c r="C95" s="255" t="s">
        <v>23</v>
      </c>
      <c r="D95" s="256">
        <f t="shared" ref="D95" si="948">SUM(D91:D94)</f>
        <v>0</v>
      </c>
      <c r="E95" s="257">
        <f t="shared" ref="E95" si="949">SUM(E91:E94)</f>
        <v>0</v>
      </c>
      <c r="F95" s="258">
        <f t="shared" si="736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950">SUM(M91:M94)</f>
        <v>0</v>
      </c>
      <c r="N95" s="261">
        <f t="shared" si="950"/>
        <v>0</v>
      </c>
      <c r="O95" s="261">
        <f t="shared" si="950"/>
        <v>0</v>
      </c>
      <c r="P95" s="262">
        <f t="shared" si="947"/>
        <v>0</v>
      </c>
      <c r="Q95" s="263">
        <f t="shared" ref="Q95" si="951">SUM(Q91:Q94)</f>
        <v>0</v>
      </c>
      <c r="R95" s="264">
        <f t="shared" ref="R95:S95" si="952">SUM(R91:R94)</f>
        <v>0</v>
      </c>
      <c r="S95" s="264">
        <f t="shared" si="952"/>
        <v>0</v>
      </c>
      <c r="T95" s="264">
        <f>SUM(T91:T94)</f>
        <v>0</v>
      </c>
      <c r="U95" s="262">
        <f t="shared" si="719"/>
        <v>0</v>
      </c>
      <c r="V95" s="265">
        <f t="shared" ref="V95:X95" si="953">V94</f>
        <v>0</v>
      </c>
      <c r="W95" s="334">
        <f t="shared" ref="W95" si="954">W94</f>
        <v>0</v>
      </c>
      <c r="X95" s="266">
        <f t="shared" si="953"/>
        <v>0</v>
      </c>
      <c r="Y95" s="256">
        <f>SUM(Y91:Y94)</f>
        <v>0</v>
      </c>
      <c r="Z95" s="261">
        <f t="shared" ref="Z95:AB95" si="955">SUM(Z91:Z94)</f>
        <v>0</v>
      </c>
      <c r="AA95" s="261">
        <f t="shared" si="955"/>
        <v>0</v>
      </c>
      <c r="AB95" s="261">
        <f t="shared" si="955"/>
        <v>0</v>
      </c>
      <c r="AC95" s="262">
        <f t="shared" si="940"/>
        <v>0</v>
      </c>
      <c r="AD95" s="267">
        <f t="shared" ref="AD95:AG96" si="956">IFERROR(Y95/L95,0)</f>
        <v>0</v>
      </c>
      <c r="AE95" s="268">
        <f t="shared" si="956"/>
        <v>0</v>
      </c>
      <c r="AF95" s="268">
        <f t="shared" si="956"/>
        <v>0</v>
      </c>
      <c r="AG95" s="268">
        <f t="shared" si="956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" si="957">IFERROR(SUMPRODUCT(AJ91:AJ94,S91:S94)/S95,0)</f>
        <v>0</v>
      </c>
      <c r="AK95" s="58">
        <f t="shared" ref="AK95" si="958">IFERROR(SUMPRODUCT(AK91:AK94,T91:T94)/T95,0)</f>
        <v>0</v>
      </c>
      <c r="AL95" s="54">
        <f t="shared" ref="AL95" si="959">IFERROR((AL83*U83+AL89*U89+AL94*U94)/U95,0)</f>
        <v>0</v>
      </c>
      <c r="AM95" s="269">
        <f t="shared" ref="AM95:AP96" si="960">IF(Q95&lt;&gt;0,L95/Q95,0)</f>
        <v>0</v>
      </c>
      <c r="AN95" s="270">
        <f t="shared" si="960"/>
        <v>0</v>
      </c>
      <c r="AO95" s="270">
        <f t="shared" si="960"/>
        <v>0</v>
      </c>
      <c r="AP95" s="270">
        <f t="shared" si="960"/>
        <v>0</v>
      </c>
      <c r="AQ95" s="262">
        <f t="shared" si="840"/>
        <v>0</v>
      </c>
      <c r="AR95" s="269">
        <f t="shared" ref="AR95:AU96" si="961">IFERROR((L95*(1-AD95))/Q95,0)</f>
        <v>0</v>
      </c>
      <c r="AS95" s="270">
        <f t="shared" si="961"/>
        <v>0</v>
      </c>
      <c r="AT95" s="270">
        <f t="shared" si="961"/>
        <v>0</v>
      </c>
      <c r="AU95" s="270">
        <f t="shared" si="961"/>
        <v>0</v>
      </c>
      <c r="AV95" s="262">
        <f t="shared" si="941"/>
        <v>0</v>
      </c>
      <c r="AW95" s="271">
        <f>IFERROR(SUMPRODUCT(AW91:AW94,V91:V94)/V95,0)</f>
        <v>0</v>
      </c>
      <c r="AX95" s="272">
        <f t="shared" ref="AX95" si="962">IFERROR(SUMPRODUCT(AX91:AX94,X91:X94)/X95,0)</f>
        <v>0</v>
      </c>
      <c r="AY95" s="272">
        <f t="shared" ref="AY95" si="963">IFERROR(SUMPRODUCT(AY91:AY94,Y91:Y94)/Y95,0)</f>
        <v>0</v>
      </c>
      <c r="AZ95" s="272">
        <f t="shared" ref="AZ95" si="964">IFERROR(SUMPRODUCT(AZ91:AZ94,Z91:Z94)/Z95,0)</f>
        <v>0</v>
      </c>
      <c r="BA95" s="263">
        <f>BA94</f>
        <v>0</v>
      </c>
      <c r="BB95" s="264">
        <f t="shared" ref="BB95:BB96" si="965">BB94</f>
        <v>0</v>
      </c>
      <c r="BC95" s="264">
        <f t="shared" ref="BC95:BC96" si="966">BC94</f>
        <v>0</v>
      </c>
      <c r="BD95" s="264">
        <f t="shared" ref="BD95:BD96" si="967">BD94</f>
        <v>0</v>
      </c>
      <c r="BE95" s="262">
        <f t="shared" si="942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 t="shared" si="723"/>
        <v>0</v>
      </c>
      <c r="BK95" s="276">
        <f t="shared" si="943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968">SUM(BO91:BO94)</f>
        <v>0</v>
      </c>
      <c r="BP95" s="263">
        <f>SUM(BP91:BP94)</f>
        <v>0</v>
      </c>
      <c r="BQ95" s="264">
        <f t="shared" ref="BQ95" si="969">SUM(BQ91:BQ94)</f>
        <v>0</v>
      </c>
      <c r="BR95" s="263">
        <f t="shared" si="938"/>
        <v>0</v>
      </c>
      <c r="BS95" s="264">
        <f t="shared" si="939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970">SUM(BW91:BW94)</f>
        <v>0</v>
      </c>
      <c r="BX95" s="264">
        <f t="shared" si="970"/>
        <v>0</v>
      </c>
      <c r="BY95" s="277">
        <f>SUM(BY91:BY94)</f>
        <v>0</v>
      </c>
      <c r="BZ95" s="262">
        <f t="shared" si="944"/>
        <v>0</v>
      </c>
      <c r="CA95" s="340">
        <f>SUM(CA92:CA94)</f>
        <v>0</v>
      </c>
      <c r="CB95" s="261">
        <f t="shared" ref="CB95" si="971">SUM(CB92:CB94)</f>
        <v>0</v>
      </c>
      <c r="CC95" s="261">
        <f t="shared" ref="CC95:CF95" si="972">SUM(CC91:CC94)</f>
        <v>0</v>
      </c>
      <c r="CD95" s="261">
        <f t="shared" si="972"/>
        <v>0</v>
      </c>
      <c r="CE95" s="261">
        <f t="shared" si="972"/>
        <v>0</v>
      </c>
      <c r="CF95" s="261">
        <f t="shared" si="972"/>
        <v>0</v>
      </c>
      <c r="CG95" s="262">
        <f t="shared" si="945"/>
        <v>0</v>
      </c>
      <c r="CH95" s="340">
        <f>SUM(CH92:CH94)</f>
        <v>0</v>
      </c>
      <c r="CI95" s="261">
        <f t="shared" ref="CI95" si="973">SUM(CI92:CI94)</f>
        <v>0</v>
      </c>
      <c r="CJ95" s="261">
        <f t="shared" ref="CJ95:CM95" si="974">SUM(CJ91:CJ94)</f>
        <v>0</v>
      </c>
      <c r="CK95" s="261">
        <f t="shared" si="974"/>
        <v>0</v>
      </c>
      <c r="CL95" s="261">
        <f t="shared" si="974"/>
        <v>0</v>
      </c>
      <c r="CM95" s="261">
        <f t="shared" si="974"/>
        <v>0</v>
      </c>
      <c r="CN95" s="262">
        <f t="shared" si="946"/>
        <v>0</v>
      </c>
      <c r="CO95" s="278">
        <f t="shared" si="781"/>
        <v>0</v>
      </c>
      <c r="CP95" s="279">
        <f t="shared" si="728"/>
        <v>0</v>
      </c>
      <c r="CQ95" s="262">
        <f t="shared" si="729"/>
        <v>0</v>
      </c>
      <c r="CR95" s="278">
        <f t="shared" si="733"/>
        <v>0</v>
      </c>
      <c r="CS95" s="279">
        <f t="shared" si="730"/>
        <v>0</v>
      </c>
      <c r="CT95" s="262">
        <f t="shared" si="782"/>
        <v>0</v>
      </c>
      <c r="CU95" s="44"/>
      <c r="CV95" s="346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975">D84+D90+D95</f>
        <v>0</v>
      </c>
      <c r="E96" s="206">
        <f t="shared" si="975"/>
        <v>0</v>
      </c>
      <c r="F96" s="207">
        <f t="shared" si="736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976">J84+J90+J95</f>
        <v>0</v>
      </c>
      <c r="K96" s="304">
        <f t="shared" si="976"/>
        <v>0</v>
      </c>
      <c r="L96" s="53">
        <f>L84+L90+L95</f>
        <v>0</v>
      </c>
      <c r="M96" s="53">
        <f t="shared" ref="M96:O96" si="977">M84+M90+M95</f>
        <v>0</v>
      </c>
      <c r="N96" s="53">
        <f t="shared" si="977"/>
        <v>0</v>
      </c>
      <c r="O96" s="53">
        <f t="shared" si="977"/>
        <v>0</v>
      </c>
      <c r="P96" s="54">
        <f t="shared" si="947"/>
        <v>0</v>
      </c>
      <c r="Q96" s="231">
        <f>Q84+Q90+Q95</f>
        <v>0</v>
      </c>
      <c r="R96" s="232">
        <f t="shared" ref="R96:S96" si="978">R84+R90+R95</f>
        <v>0</v>
      </c>
      <c r="S96" s="232">
        <f t="shared" si="978"/>
        <v>0</v>
      </c>
      <c r="T96" s="232">
        <f>T84+T90+T95</f>
        <v>0</v>
      </c>
      <c r="U96" s="54">
        <f t="shared" si="719"/>
        <v>0</v>
      </c>
      <c r="V96" s="249">
        <f t="shared" ref="V96:X96" si="979">V95</f>
        <v>0</v>
      </c>
      <c r="W96" s="335">
        <f t="shared" ref="W96" si="980">W95</f>
        <v>0</v>
      </c>
      <c r="X96" s="250">
        <f t="shared" si="979"/>
        <v>0</v>
      </c>
      <c r="Y96" s="52">
        <f>Y84+Y90+Y95</f>
        <v>0</v>
      </c>
      <c r="Z96" s="53">
        <f t="shared" ref="Z96:AB96" si="981">Z84+Z90+Z95</f>
        <v>0</v>
      </c>
      <c r="AA96" s="53">
        <f t="shared" si="981"/>
        <v>0</v>
      </c>
      <c r="AB96" s="53">
        <f t="shared" si="981"/>
        <v>0</v>
      </c>
      <c r="AC96" s="54">
        <f t="shared" si="940"/>
        <v>0</v>
      </c>
      <c r="AD96" s="77">
        <f t="shared" si="956"/>
        <v>0</v>
      </c>
      <c r="AE96" s="78">
        <f t="shared" si="956"/>
        <v>0</v>
      </c>
      <c r="AF96" s="78">
        <f t="shared" si="956"/>
        <v>0</v>
      </c>
      <c r="AG96" s="78">
        <f t="shared" si="956"/>
        <v>0</v>
      </c>
      <c r="AH96" s="57">
        <f>IFERROR((AH84*Q84+AH90*Q90+AH95*Q95)/Q96,0)</f>
        <v>0</v>
      </c>
      <c r="AI96" s="58">
        <f t="shared" ref="AI96" si="982">IFERROR((AI84*R84+AI90*R90+AI95*R95)/R96,0)</f>
        <v>0</v>
      </c>
      <c r="AJ96" s="58">
        <f t="shared" ref="AJ96" si="983">IFERROR((AJ84*S84+AJ90*S90+AJ95*S95)/S96,0)</f>
        <v>0</v>
      </c>
      <c r="AK96" s="58">
        <f t="shared" ref="AK96" si="984">IFERROR((AK84*T84+AK90*T90+AK95*T95)/T96,0)</f>
        <v>0</v>
      </c>
      <c r="AL96" s="54">
        <f t="shared" ref="AL96" si="985">IFERROR(AH96/AK96-1,)</f>
        <v>0</v>
      </c>
      <c r="AM96" s="57">
        <f t="shared" si="960"/>
        <v>0</v>
      </c>
      <c r="AN96" s="58">
        <f t="shared" si="960"/>
        <v>0</v>
      </c>
      <c r="AO96" s="58">
        <f t="shared" si="960"/>
        <v>0</v>
      </c>
      <c r="AP96" s="58">
        <f t="shared" si="960"/>
        <v>0</v>
      </c>
      <c r="AQ96" s="54">
        <f t="shared" si="840"/>
        <v>0</v>
      </c>
      <c r="AR96" s="57">
        <f t="shared" si="961"/>
        <v>0</v>
      </c>
      <c r="AS96" s="58">
        <f t="shared" si="961"/>
        <v>0</v>
      </c>
      <c r="AT96" s="58">
        <f t="shared" si="961"/>
        <v>0</v>
      </c>
      <c r="AU96" s="58">
        <f t="shared" si="961"/>
        <v>0</v>
      </c>
      <c r="AV96" s="54">
        <f t="shared" si="941"/>
        <v>0</v>
      </c>
      <c r="AW96" s="59">
        <f>IFERROR((AW84*V84+AW90*V90+AW95*V95)/V96,0)</f>
        <v>0</v>
      </c>
      <c r="AX96" s="60">
        <f t="shared" ref="AX96" si="986">IFERROR((AX84*X84+AX90*X90+AX95*X95)/X96,0)</f>
        <v>0</v>
      </c>
      <c r="AY96" s="60">
        <f t="shared" ref="AY96" si="987">IFERROR((AY84*Y84+AY90*Y90+AY95*Y95)/Y96,0)</f>
        <v>0</v>
      </c>
      <c r="AZ96" s="60">
        <f t="shared" ref="AZ96" si="988">IFERROR((AZ84*Z84+AZ90*Z90+AZ95*Z95)/Z96,0)</f>
        <v>0</v>
      </c>
      <c r="BA96" s="238">
        <f>BA95</f>
        <v>0</v>
      </c>
      <c r="BB96" s="232">
        <f t="shared" si="965"/>
        <v>0</v>
      </c>
      <c r="BC96" s="232">
        <f t="shared" si="966"/>
        <v>0</v>
      </c>
      <c r="BD96" s="232">
        <f t="shared" si="967"/>
        <v>0</v>
      </c>
      <c r="BE96" s="54">
        <f t="shared" si="942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 t="shared" si="723"/>
        <v>0</v>
      </c>
      <c r="BK96" s="61">
        <f t="shared" si="943"/>
        <v>0</v>
      </c>
      <c r="BL96" s="231">
        <f>BL84+BL90+BL95</f>
        <v>0</v>
      </c>
      <c r="BM96" s="232">
        <f t="shared" ref="BM96" si="989">BM84+BM90+BM95</f>
        <v>0</v>
      </c>
      <c r="BN96" s="231">
        <f>BN84+BN90+BN95</f>
        <v>0</v>
      </c>
      <c r="BO96" s="232">
        <f t="shared" ref="BO96" si="990">BO84+BO90+BO95</f>
        <v>0</v>
      </c>
      <c r="BP96" s="231">
        <f>BP84+BP90+BP95</f>
        <v>0</v>
      </c>
      <c r="BQ96" s="232">
        <f t="shared" ref="BQ96" si="991">BQ84+BQ90+BQ95</f>
        <v>0</v>
      </c>
      <c r="BR96" s="231">
        <f t="shared" si="938"/>
        <v>0</v>
      </c>
      <c r="BS96" s="232">
        <f t="shared" si="939"/>
        <v>0</v>
      </c>
      <c r="BT96" s="231">
        <f t="shared" ref="BT96:BY96" si="992">BT84+BT90+BT95</f>
        <v>0</v>
      </c>
      <c r="BU96" s="232">
        <f t="shared" si="992"/>
        <v>0</v>
      </c>
      <c r="BV96" s="232">
        <f t="shared" si="992"/>
        <v>0</v>
      </c>
      <c r="BW96" s="232">
        <f t="shared" si="992"/>
        <v>0</v>
      </c>
      <c r="BX96" s="232">
        <f t="shared" si="992"/>
        <v>0</v>
      </c>
      <c r="BY96" s="56">
        <f t="shared" si="992"/>
        <v>0</v>
      </c>
      <c r="BZ96" s="54">
        <f t="shared" si="944"/>
        <v>0</v>
      </c>
      <c r="CA96" s="341">
        <f t="shared" ref="CA96" si="993">CA84+CA90+CA95</f>
        <v>0</v>
      </c>
      <c r="CB96" s="53">
        <f t="shared" ref="CB96:CF96" si="994">CB84+CB90+CB95</f>
        <v>0</v>
      </c>
      <c r="CC96" s="53">
        <f t="shared" si="994"/>
        <v>0</v>
      </c>
      <c r="CD96" s="53">
        <f t="shared" si="994"/>
        <v>0</v>
      </c>
      <c r="CE96" s="53">
        <f t="shared" si="994"/>
        <v>0</v>
      </c>
      <c r="CF96" s="53">
        <f t="shared" si="994"/>
        <v>0</v>
      </c>
      <c r="CG96" s="54">
        <f t="shared" si="945"/>
        <v>0</v>
      </c>
      <c r="CH96" s="341">
        <f t="shared" ref="CH96" si="995">CH84+CH90+CH95</f>
        <v>0</v>
      </c>
      <c r="CI96" s="53">
        <f t="shared" ref="CI96:CM96" si="996">CI84+CI90+CI95</f>
        <v>0</v>
      </c>
      <c r="CJ96" s="53">
        <f t="shared" si="996"/>
        <v>0</v>
      </c>
      <c r="CK96" s="53">
        <f t="shared" si="996"/>
        <v>0</v>
      </c>
      <c r="CL96" s="53">
        <f t="shared" si="996"/>
        <v>0</v>
      </c>
      <c r="CM96" s="53">
        <f t="shared" si="996"/>
        <v>0</v>
      </c>
      <c r="CN96" s="54">
        <f t="shared" si="946"/>
        <v>0</v>
      </c>
      <c r="CO96" s="55">
        <f t="shared" si="781"/>
        <v>0</v>
      </c>
      <c r="CP96" s="226">
        <f t="shared" si="728"/>
        <v>0</v>
      </c>
      <c r="CQ96" s="54">
        <f t="shared" si="729"/>
        <v>0</v>
      </c>
      <c r="CR96" s="55">
        <f t="shared" si="733"/>
        <v>0</v>
      </c>
      <c r="CS96" s="226">
        <f t="shared" si="730"/>
        <v>0</v>
      </c>
      <c r="CT96" s="54">
        <f t="shared" si="782"/>
        <v>0</v>
      </c>
      <c r="CU96" s="44"/>
      <c r="CV96" s="347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37" priority="34">
      <formula>$A11="A"</formula>
    </cfRule>
  </conditionalFormatting>
  <conditionalFormatting sqref="C16:C20">
    <cfRule type="expression" dxfId="36" priority="33">
      <formula>$A16="A"</formula>
    </cfRule>
  </conditionalFormatting>
  <conditionalFormatting sqref="C22:C25">
    <cfRule type="expression" dxfId="35" priority="32">
      <formula>$A22="A"</formula>
    </cfRule>
  </conditionalFormatting>
  <conditionalFormatting sqref="C28">
    <cfRule type="expression" dxfId="34" priority="25">
      <formula>$A28="A"</formula>
    </cfRule>
  </conditionalFormatting>
  <conditionalFormatting sqref="C29:C31">
    <cfRule type="expression" dxfId="33" priority="15">
      <formula>$A29="A"</formula>
    </cfRule>
  </conditionalFormatting>
  <conditionalFormatting sqref="C35:C37">
    <cfRule type="expression" dxfId="32" priority="13">
      <formula>$A35="A"</formula>
    </cfRule>
  </conditionalFormatting>
  <conditionalFormatting sqref="C33">
    <cfRule type="expression" dxfId="31" priority="14">
      <formula>$A33="A"</formula>
    </cfRule>
  </conditionalFormatting>
  <conditionalFormatting sqref="C91:C94">
    <cfRule type="expression" dxfId="30" priority="2">
      <formula>$A91="A"</formula>
    </cfRule>
  </conditionalFormatting>
  <conditionalFormatting sqref="C39">
    <cfRule type="expression" dxfId="29" priority="12">
      <formula>$A39="A"</formula>
    </cfRule>
  </conditionalFormatting>
  <conditionalFormatting sqref="C40:C42">
    <cfRule type="expression" dxfId="28" priority="11">
      <formula>$A40="A"</formula>
    </cfRule>
  </conditionalFormatting>
  <conditionalFormatting sqref="C45:C48">
    <cfRule type="expression" dxfId="27" priority="10">
      <formula>$A45="A"</formula>
    </cfRule>
  </conditionalFormatting>
  <conditionalFormatting sqref="C50:C54">
    <cfRule type="expression" dxfId="26" priority="9">
      <formula>$A50="A"</formula>
    </cfRule>
  </conditionalFormatting>
  <conditionalFormatting sqref="C56:C59">
    <cfRule type="expression" dxfId="25" priority="8">
      <formula>$A56="A"</formula>
    </cfRule>
  </conditionalFormatting>
  <conditionalFormatting sqref="C62:C65">
    <cfRule type="expression" dxfId="24" priority="7">
      <formula>$A62="A"</formula>
    </cfRule>
  </conditionalFormatting>
  <conditionalFormatting sqref="C67:C71">
    <cfRule type="expression" dxfId="23" priority="6">
      <formula>$A67="A"</formula>
    </cfRule>
  </conditionalFormatting>
  <conditionalFormatting sqref="C73:C76">
    <cfRule type="expression" dxfId="22" priority="5">
      <formula>$A73="A"</formula>
    </cfRule>
  </conditionalFormatting>
  <conditionalFormatting sqref="C80:C83">
    <cfRule type="expression" dxfId="21" priority="4">
      <formula>$A80="A"</formula>
    </cfRule>
  </conditionalFormatting>
  <conditionalFormatting sqref="C85:C89">
    <cfRule type="expression" dxfId="20" priority="3">
      <formula>$A85="A"</formula>
    </cfRule>
  </conditionalFormatting>
  <conditionalFormatting sqref="C34">
    <cfRule type="expression" dxfId="19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L6" activePane="bottomRight" state="frozen"/>
      <selection pane="topRight" activeCell="E1" sqref="E1"/>
      <selection pane="bottomLeft" activeCell="A6" sqref="A6"/>
      <selection pane="bottomRight" activeCell="A6" sqref="A6:AA213"/>
    </sheetView>
  </sheetViews>
  <sheetFormatPr defaultColWidth="11" defaultRowHeight="12.75" x14ac:dyDescent="0.2"/>
  <cols>
    <col min="1" max="1" width="11.375" style="309" bestFit="1" customWidth="1"/>
    <col min="2" max="2" width="6.25" style="331" bestFit="1" customWidth="1"/>
    <col min="3" max="3" width="7.25" style="331" bestFit="1" customWidth="1"/>
    <col min="4" max="4" width="9.875" style="331" bestFit="1" customWidth="1"/>
    <col min="5" max="5" width="9.125" style="309" bestFit="1" customWidth="1"/>
    <col min="6" max="8" width="8.75" style="309" bestFit="1" customWidth="1"/>
    <col min="9" max="9" width="8" style="309" bestFit="1" customWidth="1"/>
    <col min="10" max="10" width="7.25" style="309" bestFit="1" customWidth="1"/>
    <col min="11" max="11" width="10.5" style="309" bestFit="1" customWidth="1"/>
    <col min="12" max="12" width="11.375" style="309" bestFit="1" customWidth="1"/>
    <col min="13" max="13" width="12.625" style="309" bestFit="1" customWidth="1"/>
    <col min="14" max="14" width="11.375" style="309" bestFit="1" customWidth="1"/>
    <col min="15" max="15" width="8" style="309" bestFit="1" customWidth="1"/>
    <col min="16" max="16" width="9" style="309" bestFit="1" customWidth="1"/>
    <col min="17" max="17" width="10.125" style="309" bestFit="1" customWidth="1"/>
    <col min="18" max="18" width="10.875" style="309" bestFit="1" customWidth="1"/>
    <col min="19" max="19" width="10.25" style="309" bestFit="1" customWidth="1"/>
    <col min="20" max="20" width="11.125" style="309" bestFit="1" customWidth="1"/>
    <col min="21" max="21" width="11.75" style="309" bestFit="1" customWidth="1"/>
    <col min="22" max="22" width="11.25" style="309" bestFit="1" customWidth="1"/>
    <col min="23" max="23" width="7.25" style="309" bestFit="1" customWidth="1"/>
    <col min="24" max="24" width="12.125" style="309" bestFit="1" customWidth="1"/>
    <col min="25" max="25" width="11.875" style="310" bestFit="1" customWidth="1"/>
    <col min="26" max="26" width="11.875" style="310" customWidth="1"/>
    <col min="27" max="16384" width="11" style="309"/>
  </cols>
  <sheetData>
    <row r="1" spans="1:27" s="308" customFormat="1" x14ac:dyDescent="0.2">
      <c r="B1" s="308" t="s">
        <v>334</v>
      </c>
      <c r="C1" s="308" t="s">
        <v>335</v>
      </c>
      <c r="E1" s="308" t="s">
        <v>459</v>
      </c>
      <c r="F1" s="308" t="s">
        <v>336</v>
      </c>
      <c r="G1" s="308" t="s">
        <v>337</v>
      </c>
      <c r="H1" s="308" t="s">
        <v>338</v>
      </c>
      <c r="I1" s="308" t="s">
        <v>445</v>
      </c>
      <c r="J1" s="308" t="s">
        <v>446</v>
      </c>
      <c r="K1" s="308" t="s">
        <v>447</v>
      </c>
      <c r="L1" s="308" t="s">
        <v>453</v>
      </c>
      <c r="M1" s="308" t="s">
        <v>454</v>
      </c>
      <c r="N1" s="308" t="s">
        <v>448</v>
      </c>
      <c r="O1" s="308" t="s">
        <v>456</v>
      </c>
      <c r="P1" s="308" t="s">
        <v>455</v>
      </c>
      <c r="Q1" s="308" t="s">
        <v>449</v>
      </c>
      <c r="R1" s="308" t="s">
        <v>451</v>
      </c>
      <c r="S1" s="308" t="s">
        <v>457</v>
      </c>
      <c r="T1" s="308" t="s">
        <v>450</v>
      </c>
      <c r="U1" s="308" t="s">
        <v>452</v>
      </c>
      <c r="V1" s="308" t="s">
        <v>458</v>
      </c>
      <c r="Z1" s="308" t="s">
        <v>466</v>
      </c>
      <c r="AA1" s="308" t="s">
        <v>460</v>
      </c>
    </row>
    <row r="2" spans="1:27" s="308" customFormat="1" x14ac:dyDescent="0.2">
      <c r="D2" s="308">
        <v>4</v>
      </c>
      <c r="E2" s="308">
        <f>D2+1</f>
        <v>5</v>
      </c>
      <c r="F2" s="308">
        <f t="shared" ref="F2:V2" si="0">E2+1</f>
        <v>6</v>
      </c>
      <c r="G2" s="308">
        <f t="shared" si="0"/>
        <v>7</v>
      </c>
      <c r="H2" s="308">
        <f t="shared" si="0"/>
        <v>8</v>
      </c>
      <c r="I2" s="308">
        <f t="shared" si="0"/>
        <v>9</v>
      </c>
      <c r="J2" s="308">
        <f t="shared" si="0"/>
        <v>10</v>
      </c>
      <c r="K2" s="308">
        <f t="shared" si="0"/>
        <v>11</v>
      </c>
      <c r="L2" s="308">
        <f t="shared" si="0"/>
        <v>12</v>
      </c>
      <c r="M2" s="308">
        <f t="shared" si="0"/>
        <v>13</v>
      </c>
      <c r="N2" s="308">
        <f t="shared" si="0"/>
        <v>14</v>
      </c>
      <c r="O2" s="308">
        <f t="shared" si="0"/>
        <v>15</v>
      </c>
      <c r="P2" s="308">
        <f t="shared" si="0"/>
        <v>16</v>
      </c>
      <c r="Q2" s="308">
        <f t="shared" si="0"/>
        <v>17</v>
      </c>
      <c r="R2" s="308">
        <f t="shared" si="0"/>
        <v>18</v>
      </c>
      <c r="S2" s="308">
        <f t="shared" si="0"/>
        <v>19</v>
      </c>
      <c r="T2" s="308">
        <f t="shared" si="0"/>
        <v>20</v>
      </c>
      <c r="U2" s="308">
        <f t="shared" si="0"/>
        <v>21</v>
      </c>
      <c r="V2" s="308">
        <f t="shared" si="0"/>
        <v>22</v>
      </c>
      <c r="W2" s="308">
        <f t="shared" ref="W2" si="1">V2+1</f>
        <v>23</v>
      </c>
      <c r="X2" s="308">
        <f t="shared" ref="X2" si="2">W2+1</f>
        <v>24</v>
      </c>
      <c r="Y2" s="308">
        <f t="shared" ref="Y2" si="3">X2+1</f>
        <v>25</v>
      </c>
      <c r="Z2" s="308">
        <f t="shared" ref="Z2:AA2" si="4">Y2+1</f>
        <v>26</v>
      </c>
      <c r="AA2" s="308">
        <f t="shared" si="4"/>
        <v>27</v>
      </c>
    </row>
    <row r="3" spans="1:27" x14ac:dyDescent="0.2">
      <c r="B3" s="422" t="s">
        <v>31</v>
      </c>
      <c r="C3" s="422"/>
      <c r="D3" s="343"/>
      <c r="E3" s="291"/>
    </row>
    <row r="4" spans="1:27" x14ac:dyDescent="0.2">
      <c r="A4" s="311"/>
      <c r="B4" s="312"/>
      <c r="C4" s="313"/>
      <c r="D4" s="312"/>
      <c r="E4" s="314"/>
      <c r="F4" s="315"/>
      <c r="G4" s="315"/>
      <c r="H4" s="315"/>
      <c r="I4" s="315"/>
      <c r="J4" s="315"/>
      <c r="K4" s="315"/>
      <c r="L4" s="316"/>
      <c r="M4" s="316"/>
      <c r="N4" s="314"/>
      <c r="O4" s="315"/>
      <c r="P4" s="317"/>
      <c r="Q4" s="314"/>
      <c r="R4" s="315"/>
      <c r="S4" s="318"/>
      <c r="T4" s="319"/>
      <c r="U4" s="316"/>
      <c r="V4" s="318"/>
      <c r="W4" s="316"/>
      <c r="X4" s="315"/>
      <c r="Y4" s="315"/>
      <c r="Z4" s="317"/>
    </row>
    <row r="5" spans="1:27" s="330" customFormat="1" x14ac:dyDescent="0.25">
      <c r="A5" s="320" t="s">
        <v>52</v>
      </c>
      <c r="B5" s="321" t="s">
        <v>20</v>
      </c>
      <c r="C5" s="321" t="s">
        <v>0</v>
      </c>
      <c r="D5" s="321" t="s">
        <v>342</v>
      </c>
      <c r="E5" s="322" t="s">
        <v>8</v>
      </c>
      <c r="F5" s="323" t="s">
        <v>1</v>
      </c>
      <c r="G5" s="324" t="s">
        <v>2</v>
      </c>
      <c r="H5" s="323" t="s">
        <v>3</v>
      </c>
      <c r="I5" s="325" t="s">
        <v>331</v>
      </c>
      <c r="J5" s="326" t="s">
        <v>408</v>
      </c>
      <c r="K5" s="325" t="s">
        <v>323</v>
      </c>
      <c r="L5" s="325" t="s">
        <v>406</v>
      </c>
      <c r="M5" s="325" t="s">
        <v>407</v>
      </c>
      <c r="N5" s="327" t="s">
        <v>330</v>
      </c>
      <c r="O5" s="325" t="s">
        <v>44</v>
      </c>
      <c r="P5" s="328" t="s">
        <v>9</v>
      </c>
      <c r="Q5" s="327" t="s">
        <v>422</v>
      </c>
      <c r="R5" s="325" t="s">
        <v>424</v>
      </c>
      <c r="S5" s="328" t="s">
        <v>405</v>
      </c>
      <c r="T5" s="327" t="s">
        <v>423</v>
      </c>
      <c r="U5" s="325" t="s">
        <v>425</v>
      </c>
      <c r="V5" s="328" t="s">
        <v>404</v>
      </c>
      <c r="W5" s="329" t="s">
        <v>310</v>
      </c>
      <c r="X5" s="325" t="s">
        <v>332</v>
      </c>
      <c r="Y5" s="325" t="s">
        <v>333</v>
      </c>
      <c r="Z5" s="328" t="s">
        <v>467</v>
      </c>
      <c r="AA5" s="328" t="s">
        <v>470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24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3" t="s">
        <v>51</v>
      </c>
      <c r="L1" s="424"/>
      <c r="N1" s="425" t="s">
        <v>314</v>
      </c>
      <c r="O1" s="426"/>
      <c r="Q1" s="215" t="s">
        <v>52</v>
      </c>
      <c r="R1" s="217" t="s">
        <v>52</v>
      </c>
      <c r="S1" s="216" t="s">
        <v>426</v>
      </c>
      <c r="T1" s="218" t="s">
        <v>10</v>
      </c>
      <c r="U1" s="218" t="s">
        <v>53</v>
      </c>
      <c r="V1" s="218" t="s">
        <v>54</v>
      </c>
      <c r="W1" s="219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1" t="s">
        <v>52</v>
      </c>
      <c r="AG1" s="112" t="s">
        <v>10</v>
      </c>
      <c r="AH1" s="112" t="s">
        <v>11</v>
      </c>
      <c r="AI1" s="112" t="s">
        <v>311</v>
      </c>
      <c r="AJ1" s="112" t="s">
        <v>0</v>
      </c>
      <c r="AK1" s="113" t="s">
        <v>7</v>
      </c>
      <c r="AM1" s="120" t="s">
        <v>52</v>
      </c>
      <c r="AN1" s="117" t="s">
        <v>367</v>
      </c>
      <c r="AO1" s="117" t="s">
        <v>369</v>
      </c>
      <c r="AP1" s="117" t="s">
        <v>368</v>
      </c>
      <c r="AQ1" s="117" t="s">
        <v>334</v>
      </c>
      <c r="AR1" s="117" t="s">
        <v>370</v>
      </c>
      <c r="AS1" s="117" t="s">
        <v>371</v>
      </c>
      <c r="AT1" s="117" t="s">
        <v>336</v>
      </c>
      <c r="AU1" s="117" t="s">
        <v>338</v>
      </c>
      <c r="AV1" s="117" t="s">
        <v>372</v>
      </c>
      <c r="AW1" s="117" t="s">
        <v>373</v>
      </c>
      <c r="AX1" s="117" t="s">
        <v>374</v>
      </c>
      <c r="AY1" s="117" t="s">
        <v>375</v>
      </c>
      <c r="AZ1" s="118" t="s">
        <v>376</v>
      </c>
    </row>
    <row r="2" spans="1:52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2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312</v>
      </c>
      <c r="P2" s="14"/>
      <c r="Q2" s="109" t="str">
        <f t="shared" ref="Q2" si="0">T2&amp;V2</f>
        <v>Crazy 8GY C8 18 DEC 1</v>
      </c>
      <c r="R2" s="27" t="str">
        <f t="shared" ref="R2" si="1">S2&amp;T2&amp;U2</f>
        <v>2018Crazy 8Winter</v>
      </c>
      <c r="S2" s="223" t="s">
        <v>427</v>
      </c>
      <c r="T2" s="223" t="s">
        <v>60</v>
      </c>
      <c r="U2" s="223" t="s">
        <v>34</v>
      </c>
      <c r="V2" s="223" t="s">
        <v>433</v>
      </c>
      <c r="W2" s="223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4" t="str">
        <f>AG2&amp;AH2&amp;AI2&amp;AJ2</f>
        <v>OutletOutletUSA1</v>
      </c>
      <c r="AG2" s="115" t="s">
        <v>17</v>
      </c>
      <c r="AH2" s="115" t="s">
        <v>17</v>
      </c>
      <c r="AI2" s="115" t="s">
        <v>312</v>
      </c>
      <c r="AJ2" s="115">
        <v>1</v>
      </c>
      <c r="AK2" s="116">
        <v>0.4</v>
      </c>
      <c r="AM2" s="121" t="str">
        <f>AN2&amp;AP2&amp;AO2&amp;AS2</f>
        <v>OutletUSAOutletGY 18 OUTLET SB1</v>
      </c>
      <c r="AN2" s="115" t="s">
        <v>17</v>
      </c>
      <c r="AO2" s="115" t="s">
        <v>17</v>
      </c>
      <c r="AP2" s="115" t="s">
        <v>312</v>
      </c>
      <c r="AQ2" s="130">
        <v>2018</v>
      </c>
      <c r="AR2" s="130" t="s">
        <v>71</v>
      </c>
      <c r="AS2" s="130" t="s">
        <v>239</v>
      </c>
      <c r="AT2" s="115">
        <v>16.510000000000002</v>
      </c>
      <c r="AU2" s="115">
        <v>3.13</v>
      </c>
      <c r="AV2" s="115">
        <v>641592</v>
      </c>
      <c r="AW2" s="115">
        <v>0.66</v>
      </c>
      <c r="AX2" s="115">
        <v>201751</v>
      </c>
      <c r="AY2" s="115">
        <v>20</v>
      </c>
      <c r="AZ2" s="116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1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09" t="str">
        <f t="shared" ref="Q3:Q66" si="2">T3&amp;V3</f>
        <v>Crazy 8GY C8 18 DEC 2</v>
      </c>
      <c r="R3" s="27" t="str">
        <f t="shared" ref="R3:R66" si="3">S3&amp;T3&amp;U3</f>
        <v>2018Crazy 8Winter</v>
      </c>
      <c r="S3" s="223" t="s">
        <v>427</v>
      </c>
      <c r="T3" s="223" t="s">
        <v>60</v>
      </c>
      <c r="U3" s="223" t="s">
        <v>34</v>
      </c>
      <c r="V3" s="223" t="s">
        <v>434</v>
      </c>
      <c r="W3" s="223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09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31">
        <v>2018</v>
      </c>
      <c r="AR3" s="131" t="s">
        <v>71</v>
      </c>
      <c r="AS3" s="131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21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09" t="str">
        <f t="shared" si="2"/>
        <v>Crazy 8GY C8 18 NOV 1</v>
      </c>
      <c r="R4" s="27" t="str">
        <f t="shared" si="3"/>
        <v>2018Crazy 8Winter</v>
      </c>
      <c r="S4" s="223" t="s">
        <v>427</v>
      </c>
      <c r="T4" s="223" t="s">
        <v>60</v>
      </c>
      <c r="U4" s="223" t="s">
        <v>34</v>
      </c>
      <c r="V4" s="223" t="s">
        <v>435</v>
      </c>
      <c r="W4" s="223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09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21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09" t="str">
        <f t="shared" si="2"/>
        <v>Crazy 8GY C8 18 NOV 1</v>
      </c>
      <c r="R5" s="27" t="str">
        <f t="shared" si="3"/>
        <v>2018Crazy 8Winter</v>
      </c>
      <c r="S5" s="223" t="s">
        <v>427</v>
      </c>
      <c r="T5" s="223" t="s">
        <v>60</v>
      </c>
      <c r="U5" s="223" t="s">
        <v>34</v>
      </c>
      <c r="V5" s="223" t="s">
        <v>435</v>
      </c>
      <c r="W5" s="223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09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21" t="s">
        <v>35</v>
      </c>
      <c r="H6" s="1"/>
      <c r="I6" s="86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09" t="str">
        <f t="shared" si="2"/>
        <v>Crazy 8GY C8 18 NOV 2</v>
      </c>
      <c r="R6" s="27" t="str">
        <f t="shared" si="3"/>
        <v>2018Crazy 8Winter</v>
      </c>
      <c r="S6" s="223" t="s">
        <v>427</v>
      </c>
      <c r="T6" s="223" t="s">
        <v>60</v>
      </c>
      <c r="U6" s="223" t="s">
        <v>34</v>
      </c>
      <c r="V6" s="223" t="s">
        <v>436</v>
      </c>
      <c r="W6" s="223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09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21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2"/>
        <v>Crazy 8GY C8 18 WTR</v>
      </c>
      <c r="R7" s="27" t="str">
        <f t="shared" si="3"/>
        <v>2018Crazy 8Winter</v>
      </c>
      <c r="S7" s="223" t="s">
        <v>427</v>
      </c>
      <c r="T7" s="223" t="s">
        <v>60</v>
      </c>
      <c r="U7" s="223" t="s">
        <v>34</v>
      </c>
      <c r="V7" s="223" t="s">
        <v>437</v>
      </c>
      <c r="W7" s="223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09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07" t="s">
        <v>19</v>
      </c>
      <c r="C8" s="108">
        <f>FiscalYr-1</f>
        <v>2017</v>
      </c>
      <c r="G8" s="221" t="s">
        <v>443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2"/>
        <v>Crazy 8GY C8 18 WTR DB</v>
      </c>
      <c r="R8" s="27" t="str">
        <f t="shared" si="3"/>
        <v>2018Crazy 8Winter</v>
      </c>
      <c r="S8" s="223" t="s">
        <v>427</v>
      </c>
      <c r="T8" s="223" t="s">
        <v>60</v>
      </c>
      <c r="U8" s="223" t="s">
        <v>34</v>
      </c>
      <c r="V8" s="223" t="s">
        <v>438</v>
      </c>
      <c r="W8" s="223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09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07" t="s">
        <v>341</v>
      </c>
      <c r="C9" s="106" t="b">
        <v>0</v>
      </c>
      <c r="G9" s="222" t="s">
        <v>442</v>
      </c>
      <c r="K9" s="31" t="s">
        <v>32</v>
      </c>
      <c r="L9" s="32" t="s">
        <v>17</v>
      </c>
      <c r="Q9" s="109" t="str">
        <f t="shared" si="2"/>
        <v>Crazy 8GY C8 19 JAN 1</v>
      </c>
      <c r="R9" s="27" t="str">
        <f t="shared" si="3"/>
        <v>2018Crazy 8Winter</v>
      </c>
      <c r="S9" s="223" t="s">
        <v>427</v>
      </c>
      <c r="T9" s="223" t="s">
        <v>60</v>
      </c>
      <c r="U9" s="223" t="s">
        <v>34</v>
      </c>
      <c r="V9" s="223" t="s">
        <v>439</v>
      </c>
      <c r="W9" s="223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09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07" t="s">
        <v>346</v>
      </c>
      <c r="C10" s="108" t="str">
        <f>VLOOKUP(Brand&amp;FC,tblLYFC,7,FALSE)</f>
        <v>GY 17 SUM 1</v>
      </c>
      <c r="Q10" s="109" t="str">
        <f t="shared" si="2"/>
        <v>Crazy 8GY C8 19 JAN 1</v>
      </c>
      <c r="R10" s="27" t="str">
        <f t="shared" si="3"/>
        <v>2018Crazy 8Winter</v>
      </c>
      <c r="S10" s="223" t="s">
        <v>427</v>
      </c>
      <c r="T10" s="223" t="s">
        <v>60</v>
      </c>
      <c r="U10" s="223" t="s">
        <v>34</v>
      </c>
      <c r="V10" s="223" t="s">
        <v>439</v>
      </c>
      <c r="W10" s="223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09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09" t="str">
        <f t="shared" si="2"/>
        <v>Crazy 8GY C8 19 JAN 2</v>
      </c>
      <c r="R11" s="27" t="str">
        <f t="shared" si="3"/>
        <v>2018Crazy 8Winter</v>
      </c>
      <c r="S11" s="223" t="s">
        <v>427</v>
      </c>
      <c r="T11" s="223" t="s">
        <v>60</v>
      </c>
      <c r="U11" s="223" t="s">
        <v>34</v>
      </c>
      <c r="V11" s="223" t="s">
        <v>440</v>
      </c>
      <c r="W11" s="223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09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09" t="str">
        <f t="shared" si="2"/>
        <v>Crazy 8GY C8 19 SPR</v>
      </c>
      <c r="R12" s="27" t="str">
        <f t="shared" si="3"/>
        <v>2018Crazy 8Winter</v>
      </c>
      <c r="S12" s="223" t="s">
        <v>427</v>
      </c>
      <c r="T12" s="223" t="s">
        <v>60</v>
      </c>
      <c r="U12" s="223" t="s">
        <v>34</v>
      </c>
      <c r="V12" s="223" t="s">
        <v>441</v>
      </c>
      <c r="W12" s="223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09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27" t="s">
        <v>339</v>
      </c>
      <c r="D13" s="428"/>
      <c r="E13" s="428"/>
      <c r="F13" s="428"/>
      <c r="G13" s="429"/>
      <c r="Q13" s="109" t="str">
        <f t="shared" si="2"/>
        <v>Crazy 8GY C8 18 EASTER CAP</v>
      </c>
      <c r="R13" s="27" t="str">
        <f t="shared" si="3"/>
        <v>2018Crazy 8Spring</v>
      </c>
      <c r="S13" s="223" t="s">
        <v>427</v>
      </c>
      <c r="T13" s="223" t="s">
        <v>60</v>
      </c>
      <c r="U13" s="223" t="s">
        <v>16</v>
      </c>
      <c r="V13" s="223" t="s">
        <v>97</v>
      </c>
      <c r="W13" s="223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09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87"/>
      <c r="C14" s="126" t="str">
        <f>"http://"&amp;IF(Environ="Test","localhost","172.25.40.13")&amp;"/api/"</f>
        <v>http://172.25.40.13/api/</v>
      </c>
      <c r="D14" s="126"/>
      <c r="E14" s="127"/>
      <c r="F14" s="126"/>
      <c r="G14" s="128"/>
      <c r="I14" s="1"/>
      <c r="Q14" s="109" t="str">
        <f t="shared" si="2"/>
        <v>Crazy 8GY C8 18 EASTER REFRESH</v>
      </c>
      <c r="R14" s="27" t="str">
        <f t="shared" si="3"/>
        <v>2018Crazy 8Spring</v>
      </c>
      <c r="S14" s="223" t="s">
        <v>427</v>
      </c>
      <c r="T14" s="223" t="s">
        <v>60</v>
      </c>
      <c r="U14" s="223" t="s">
        <v>16</v>
      </c>
      <c r="V14" s="223" t="s">
        <v>103</v>
      </c>
      <c r="W14" s="223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09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09" t="str">
        <f t="shared" si="2"/>
        <v>Crazy 8GY C8 18 PRE SUMMER</v>
      </c>
      <c r="R15" s="27" t="str">
        <f t="shared" si="3"/>
        <v>2018Crazy 8Spring</v>
      </c>
      <c r="S15" s="223" t="s">
        <v>427</v>
      </c>
      <c r="T15" s="223" t="s">
        <v>60</v>
      </c>
      <c r="U15" s="223" t="s">
        <v>16</v>
      </c>
      <c r="V15" s="223" t="s">
        <v>105</v>
      </c>
      <c r="W15" s="223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09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09" t="str">
        <f t="shared" si="2"/>
        <v>Crazy 8GY C8 18 SPR</v>
      </c>
      <c r="R16" s="27" t="str">
        <f t="shared" si="3"/>
        <v>2018Crazy 8Spring</v>
      </c>
      <c r="S16" s="223" t="s">
        <v>427</v>
      </c>
      <c r="T16" s="223" t="s">
        <v>60</v>
      </c>
      <c r="U16" s="223" t="s">
        <v>16</v>
      </c>
      <c r="V16" s="223" t="s">
        <v>85</v>
      </c>
      <c r="W16" s="223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09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09" t="str">
        <f t="shared" si="2"/>
        <v>Crazy 8GY C8 18 SPR DOORBUSTER</v>
      </c>
      <c r="R17" s="27" t="str">
        <f t="shared" si="3"/>
        <v>2018Crazy 8Spring</v>
      </c>
      <c r="S17" s="223" t="s">
        <v>427</v>
      </c>
      <c r="T17" s="223" t="s">
        <v>60</v>
      </c>
      <c r="U17" s="223" t="s">
        <v>16</v>
      </c>
      <c r="V17" s="223" t="s">
        <v>91</v>
      </c>
      <c r="W17" s="223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09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09" t="str">
        <f t="shared" si="2"/>
        <v>Crazy 8GY C8 18 SPRING</v>
      </c>
      <c r="R18" s="27" t="str">
        <f t="shared" si="3"/>
        <v>2018Crazy 8Spring</v>
      </c>
      <c r="S18" s="223" t="s">
        <v>427</v>
      </c>
      <c r="T18" s="223" t="s">
        <v>60</v>
      </c>
      <c r="U18" s="223" t="s">
        <v>16</v>
      </c>
      <c r="V18" s="223" t="s">
        <v>93</v>
      </c>
      <c r="W18" s="223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09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09" t="str">
        <f t="shared" si="2"/>
        <v>Crazy 8GY C8 18 SPRING BREAK</v>
      </c>
      <c r="R19" s="27" t="str">
        <f t="shared" si="3"/>
        <v>2018Crazy 8Spring</v>
      </c>
      <c r="S19" s="223" t="s">
        <v>427</v>
      </c>
      <c r="T19" s="223" t="s">
        <v>60</v>
      </c>
      <c r="U19" s="223" t="s">
        <v>16</v>
      </c>
      <c r="V19" s="223" t="s">
        <v>99</v>
      </c>
      <c r="W19" s="223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09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09" t="str">
        <f t="shared" si="2"/>
        <v>Crazy 8GY C8 18 SPRING TRANS</v>
      </c>
      <c r="R20" s="27" t="str">
        <f t="shared" si="3"/>
        <v>2018Crazy 8Spring</v>
      </c>
      <c r="S20" s="223" t="s">
        <v>427</v>
      </c>
      <c r="T20" s="223" t="s">
        <v>60</v>
      </c>
      <c r="U20" s="223" t="s">
        <v>16</v>
      </c>
      <c r="V20" s="223" t="s">
        <v>89</v>
      </c>
      <c r="W20" s="223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09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09" t="str">
        <f t="shared" si="2"/>
        <v>Crazy 8GY C8 18 SWIM 1</v>
      </c>
      <c r="R21" s="27" t="str">
        <f t="shared" si="3"/>
        <v>2018Crazy 8Spring</v>
      </c>
      <c r="S21" s="223" t="s">
        <v>427</v>
      </c>
      <c r="T21" s="223" t="s">
        <v>60</v>
      </c>
      <c r="U21" s="223" t="s">
        <v>16</v>
      </c>
      <c r="V21" s="223" t="s">
        <v>95</v>
      </c>
      <c r="W21" s="223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09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09" t="str">
        <f t="shared" si="2"/>
        <v>Crazy 8GY C8 18 SWIM 2</v>
      </c>
      <c r="R22" s="27" t="str">
        <f t="shared" si="3"/>
        <v>2018Crazy 8Spring</v>
      </c>
      <c r="S22" s="223" t="s">
        <v>427</v>
      </c>
      <c r="T22" s="223" t="s">
        <v>60</v>
      </c>
      <c r="U22" s="223" t="s">
        <v>16</v>
      </c>
      <c r="V22" s="223" t="s">
        <v>101</v>
      </c>
      <c r="W22" s="223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09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09" t="str">
        <f t="shared" si="2"/>
        <v>Crazy 8GY C8 18 SWIM 3</v>
      </c>
      <c r="R23" s="27" t="str">
        <f t="shared" si="3"/>
        <v>2018Crazy 8Spring</v>
      </c>
      <c r="S23" s="223" t="s">
        <v>427</v>
      </c>
      <c r="T23" s="223" t="s">
        <v>60</v>
      </c>
      <c r="U23" s="223" t="s">
        <v>16</v>
      </c>
      <c r="V23" s="223" t="s">
        <v>107</v>
      </c>
      <c r="W23" s="223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09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09" t="str">
        <f t="shared" si="2"/>
        <v>Crazy 8GY C8 18 VDAY CAP</v>
      </c>
      <c r="R24" s="27" t="str">
        <f t="shared" si="3"/>
        <v>2018Crazy 8Spring</v>
      </c>
      <c r="S24" s="223" t="s">
        <v>427</v>
      </c>
      <c r="T24" s="223" t="s">
        <v>60</v>
      </c>
      <c r="U24" s="223" t="s">
        <v>16</v>
      </c>
      <c r="V24" s="223" t="s">
        <v>87</v>
      </c>
      <c r="W24" s="223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09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09" t="str">
        <f t="shared" si="2"/>
        <v>Crazy 8GY C8 18 HIGH SUMMER</v>
      </c>
      <c r="R25" s="27" t="str">
        <f t="shared" si="3"/>
        <v>2018Crazy 8Summer</v>
      </c>
      <c r="S25" s="223" t="s">
        <v>427</v>
      </c>
      <c r="T25" s="223" t="s">
        <v>60</v>
      </c>
      <c r="U25" s="223" t="s">
        <v>18</v>
      </c>
      <c r="V25" s="223" t="s">
        <v>121</v>
      </c>
      <c r="W25" s="223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09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09" t="str">
        <f t="shared" si="2"/>
        <v>Crazy 8GY C8 18 JULY 4TH CAP</v>
      </c>
      <c r="R26" s="27" t="str">
        <f t="shared" si="3"/>
        <v>2018Crazy 8Summer</v>
      </c>
      <c r="S26" s="223" t="s">
        <v>427</v>
      </c>
      <c r="T26" s="223" t="s">
        <v>60</v>
      </c>
      <c r="U26" s="223" t="s">
        <v>18</v>
      </c>
      <c r="V26" s="223" t="s">
        <v>117</v>
      </c>
      <c r="W26" s="223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09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09" t="str">
        <f t="shared" si="2"/>
        <v>Crazy 8GY C8 18 SMR</v>
      </c>
      <c r="R27" s="27" t="str">
        <f t="shared" si="3"/>
        <v>2018Crazy 8Summer</v>
      </c>
      <c r="S27" s="223" t="s">
        <v>427</v>
      </c>
      <c r="T27" s="223" t="s">
        <v>60</v>
      </c>
      <c r="U27" s="223" t="s">
        <v>18</v>
      </c>
      <c r="V27" s="223" t="s">
        <v>111</v>
      </c>
      <c r="W27" s="223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09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09" t="str">
        <f t="shared" si="2"/>
        <v>Crazy 8GY C8 18 SMR DOORBUSTER</v>
      </c>
      <c r="R28" s="27" t="str">
        <f t="shared" si="3"/>
        <v>2018Crazy 8Summer</v>
      </c>
      <c r="S28" s="223" t="s">
        <v>427</v>
      </c>
      <c r="T28" s="223" t="s">
        <v>60</v>
      </c>
      <c r="U28" s="223" t="s">
        <v>18</v>
      </c>
      <c r="V28" s="223" t="s">
        <v>119</v>
      </c>
      <c r="W28" s="223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09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09" t="str">
        <f t="shared" si="2"/>
        <v>Crazy 8GY C8 18 SUMMER</v>
      </c>
      <c r="R29" s="27" t="str">
        <f t="shared" si="3"/>
        <v>2018Crazy 8Summer</v>
      </c>
      <c r="S29" s="223" t="s">
        <v>427</v>
      </c>
      <c r="T29" s="223" t="s">
        <v>60</v>
      </c>
      <c r="U29" s="223" t="s">
        <v>18</v>
      </c>
      <c r="V29" s="223" t="s">
        <v>113</v>
      </c>
      <c r="W29" s="223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09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09" t="str">
        <f t="shared" si="2"/>
        <v>Crazy 8GY C8 18 SUMMER CAP</v>
      </c>
      <c r="R30" s="27" t="str">
        <f t="shared" si="3"/>
        <v>2018Crazy 8Summer</v>
      </c>
      <c r="S30" s="223" t="s">
        <v>427</v>
      </c>
      <c r="T30" s="223" t="s">
        <v>60</v>
      </c>
      <c r="U30" s="223" t="s">
        <v>18</v>
      </c>
      <c r="V30" s="223" t="s">
        <v>109</v>
      </c>
      <c r="W30" s="223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09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09" t="str">
        <f t="shared" si="2"/>
        <v>Crazy 8GY C8 18 SUMMER TRANS</v>
      </c>
      <c r="R31" s="27" t="str">
        <f t="shared" si="3"/>
        <v>2018Crazy 8Summer</v>
      </c>
      <c r="S31" s="223" t="s">
        <v>427</v>
      </c>
      <c r="T31" s="223" t="s">
        <v>60</v>
      </c>
      <c r="U31" s="223" t="s">
        <v>18</v>
      </c>
      <c r="V31" s="223" t="s">
        <v>123</v>
      </c>
      <c r="W31" s="223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09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09" t="str">
        <f t="shared" si="2"/>
        <v>Crazy 8GY C8 18 SWIM 4</v>
      </c>
      <c r="R32" s="27" t="str">
        <f t="shared" si="3"/>
        <v>2018Crazy 8Summer</v>
      </c>
      <c r="S32" s="223" t="s">
        <v>427</v>
      </c>
      <c r="T32" s="223" t="s">
        <v>60</v>
      </c>
      <c r="U32" s="223" t="s">
        <v>18</v>
      </c>
      <c r="V32" s="223" t="s">
        <v>115</v>
      </c>
      <c r="W32" s="223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09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09" t="str">
        <f t="shared" si="2"/>
        <v>Crazy 8GY C8 18 TRANS CAP</v>
      </c>
      <c r="R33" s="27" t="str">
        <f t="shared" si="3"/>
        <v>2018Crazy 8Summer</v>
      </c>
      <c r="S33" s="223" t="s">
        <v>427</v>
      </c>
      <c r="T33" s="223" t="s">
        <v>60</v>
      </c>
      <c r="U33" s="223" t="s">
        <v>18</v>
      </c>
      <c r="V33" s="223" t="s">
        <v>125</v>
      </c>
      <c r="W33" s="223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09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09" t="str">
        <f t="shared" si="2"/>
        <v>Crazy 8GY C8 18 AUG</v>
      </c>
      <c r="R34" s="27" t="str">
        <f t="shared" si="3"/>
        <v>2018Crazy 8Fall</v>
      </c>
      <c r="S34" s="223" t="s">
        <v>427</v>
      </c>
      <c r="T34" s="223" t="s">
        <v>60</v>
      </c>
      <c r="U34" s="223" t="s">
        <v>33</v>
      </c>
      <c r="V34" s="223" t="s">
        <v>75</v>
      </c>
      <c r="W34" s="223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09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09" t="str">
        <f t="shared" si="2"/>
        <v>Crazy 8GY C8 18 FAL</v>
      </c>
      <c r="R35" s="27" t="str">
        <f t="shared" si="3"/>
        <v>2018Crazy 8Fall</v>
      </c>
      <c r="S35" s="223" t="s">
        <v>427</v>
      </c>
      <c r="T35" s="223" t="s">
        <v>60</v>
      </c>
      <c r="U35" s="223" t="s">
        <v>33</v>
      </c>
      <c r="V35" s="223" t="s">
        <v>67</v>
      </c>
      <c r="W35" s="223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09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09" t="str">
        <f t="shared" si="2"/>
        <v>Crazy 8GY C8 18 FAL DOORBUSTER</v>
      </c>
      <c r="R36" s="27" t="str">
        <f t="shared" si="3"/>
        <v>2018Crazy 8Fall</v>
      </c>
      <c r="S36" s="223" t="s">
        <v>427</v>
      </c>
      <c r="T36" s="223" t="s">
        <v>60</v>
      </c>
      <c r="U36" s="223" t="s">
        <v>33</v>
      </c>
      <c r="V36" s="223" t="s">
        <v>69</v>
      </c>
      <c r="W36" s="223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09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09" t="str">
        <f t="shared" si="2"/>
        <v>Crazy 8GY C8 18 JULY</v>
      </c>
      <c r="R37" s="27" t="str">
        <f t="shared" si="3"/>
        <v>2018Crazy 8Fall</v>
      </c>
      <c r="S37" s="223" t="s">
        <v>427</v>
      </c>
      <c r="T37" s="223" t="s">
        <v>60</v>
      </c>
      <c r="U37" s="223" t="s">
        <v>33</v>
      </c>
      <c r="V37" s="223" t="s">
        <v>73</v>
      </c>
      <c r="W37" s="223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09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09" t="str">
        <f t="shared" si="2"/>
        <v>Crazy 8GY C8 18 JULY</v>
      </c>
      <c r="R38" s="27" t="str">
        <f t="shared" si="3"/>
        <v>2018Crazy 8Fall</v>
      </c>
      <c r="S38" s="223" t="s">
        <v>427</v>
      </c>
      <c r="T38" s="223" t="s">
        <v>60</v>
      </c>
      <c r="U38" s="223" t="s">
        <v>33</v>
      </c>
      <c r="V38" s="223" t="s">
        <v>73</v>
      </c>
      <c r="W38" s="223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09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09" t="str">
        <f t="shared" si="2"/>
        <v>Crazy 8GY C8 18 OCT 1</v>
      </c>
      <c r="R39" s="27" t="str">
        <f t="shared" si="3"/>
        <v>2018Crazy 8Fall</v>
      </c>
      <c r="S39" s="223" t="s">
        <v>427</v>
      </c>
      <c r="T39" s="223" t="s">
        <v>60</v>
      </c>
      <c r="U39" s="223" t="s">
        <v>33</v>
      </c>
      <c r="V39" s="223" t="s">
        <v>429</v>
      </c>
      <c r="W39" s="223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09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09" t="str">
        <f t="shared" si="2"/>
        <v>Crazy 8GY C8 18 OCT 2</v>
      </c>
      <c r="R40" s="27" t="str">
        <f t="shared" si="3"/>
        <v>2018Crazy 8Fall</v>
      </c>
      <c r="S40" s="223" t="s">
        <v>427</v>
      </c>
      <c r="T40" s="223" t="s">
        <v>60</v>
      </c>
      <c r="U40" s="223" t="s">
        <v>33</v>
      </c>
      <c r="V40" s="223" t="s">
        <v>430</v>
      </c>
      <c r="W40" s="223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09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09" t="str">
        <f t="shared" si="2"/>
        <v>Crazy 8GY C8 18 OCTOBER CAP</v>
      </c>
      <c r="R41" s="27" t="str">
        <f t="shared" si="3"/>
        <v>2018Crazy 8Fall</v>
      </c>
      <c r="S41" s="223" t="s">
        <v>427</v>
      </c>
      <c r="T41" s="223" t="s">
        <v>60</v>
      </c>
      <c r="U41" s="223" t="s">
        <v>33</v>
      </c>
      <c r="V41" s="223" t="s">
        <v>83</v>
      </c>
      <c r="W41" s="223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09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09" t="str">
        <f t="shared" si="2"/>
        <v>Crazy 8GY C8 18 SEP 1</v>
      </c>
      <c r="R42" s="27" t="str">
        <f t="shared" si="3"/>
        <v>2018Crazy 8Fall</v>
      </c>
      <c r="S42" s="223" t="s">
        <v>427</v>
      </c>
      <c r="T42" s="223" t="s">
        <v>60</v>
      </c>
      <c r="U42" s="223" t="s">
        <v>33</v>
      </c>
      <c r="V42" s="223" t="s">
        <v>431</v>
      </c>
      <c r="W42" s="223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09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09" t="str">
        <f t="shared" si="2"/>
        <v>Crazy 8GY C8 18 SEP 1</v>
      </c>
      <c r="R43" s="27" t="str">
        <f t="shared" si="3"/>
        <v>2018Crazy 8Fall</v>
      </c>
      <c r="S43" s="223" t="s">
        <v>427</v>
      </c>
      <c r="T43" s="223" t="s">
        <v>60</v>
      </c>
      <c r="U43" s="223" t="s">
        <v>33</v>
      </c>
      <c r="V43" s="223" t="s">
        <v>431</v>
      </c>
      <c r="W43" s="223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09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09" t="str">
        <f t="shared" si="2"/>
        <v>Crazy 8GY C8 18 SEP 2</v>
      </c>
      <c r="R44" s="27" t="str">
        <f t="shared" si="3"/>
        <v>2018Crazy 8Fall</v>
      </c>
      <c r="S44" s="223" t="s">
        <v>427</v>
      </c>
      <c r="T44" s="223" t="s">
        <v>60</v>
      </c>
      <c r="U44" s="223" t="s">
        <v>33</v>
      </c>
      <c r="V44" s="223" t="s">
        <v>432</v>
      </c>
      <c r="W44" s="223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09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09" t="str">
        <f t="shared" si="2"/>
        <v>Crazy 8GY C8 18 SEP CAP</v>
      </c>
      <c r="R45" s="27" t="str">
        <f t="shared" si="3"/>
        <v>2018Crazy 8Fall</v>
      </c>
      <c r="S45" s="223" t="s">
        <v>427</v>
      </c>
      <c r="T45" s="223" t="s">
        <v>60</v>
      </c>
      <c r="U45" s="223" t="s">
        <v>33</v>
      </c>
      <c r="V45" s="223" t="s">
        <v>79</v>
      </c>
      <c r="W45" s="223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09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09" t="str">
        <f t="shared" si="2"/>
        <v>Crazy 8GY C8 18 SB1</v>
      </c>
      <c r="R46" s="27" t="str">
        <f t="shared" si="3"/>
        <v>2018Crazy 8Basics</v>
      </c>
      <c r="S46" s="223" t="s">
        <v>427</v>
      </c>
      <c r="T46" s="223" t="s">
        <v>60</v>
      </c>
      <c r="U46" s="223" t="s">
        <v>35</v>
      </c>
      <c r="V46" s="223" t="s">
        <v>61</v>
      </c>
      <c r="W46" s="223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09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09" t="str">
        <f t="shared" si="2"/>
        <v>Crazy 8GY C8 18 SB2</v>
      </c>
      <c r="R47" s="27" t="str">
        <f t="shared" si="3"/>
        <v>2018Crazy 8Basics</v>
      </c>
      <c r="S47" s="223" t="s">
        <v>427</v>
      </c>
      <c r="T47" s="223" t="s">
        <v>60</v>
      </c>
      <c r="U47" s="223" t="s">
        <v>35</v>
      </c>
      <c r="V47" s="223" t="s">
        <v>65</v>
      </c>
      <c r="W47" s="223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09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09" t="str">
        <f t="shared" si="2"/>
        <v>Crazy 8GY C8 18 UNIFORM CAP</v>
      </c>
      <c r="R48" s="27" t="str">
        <f t="shared" si="3"/>
        <v>2018Crazy 8Basics</v>
      </c>
      <c r="S48" s="223" t="s">
        <v>427</v>
      </c>
      <c r="T48" s="223" t="s">
        <v>60</v>
      </c>
      <c r="U48" s="223" t="s">
        <v>35</v>
      </c>
      <c r="V48" s="223" t="s">
        <v>64</v>
      </c>
      <c r="W48" s="223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09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09" t="str">
        <f t="shared" si="2"/>
        <v>Crazy 8GY C8 YRLY BASICS</v>
      </c>
      <c r="R49" s="27" t="str">
        <f t="shared" si="3"/>
        <v>2018Crazy 8Basics</v>
      </c>
      <c r="S49" s="223" t="s">
        <v>427</v>
      </c>
      <c r="T49" s="223" t="s">
        <v>60</v>
      </c>
      <c r="U49" s="223" t="s">
        <v>35</v>
      </c>
      <c r="V49" s="223" t="s">
        <v>299</v>
      </c>
      <c r="W49" s="223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09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09" t="str">
        <f t="shared" si="2"/>
        <v>Crazy 8GY C8 YRLY DENIM</v>
      </c>
      <c r="R50" s="27" t="str">
        <f t="shared" si="3"/>
        <v>2018Crazy 8Basics</v>
      </c>
      <c r="S50" s="223" t="s">
        <v>427</v>
      </c>
      <c r="T50" s="223" t="s">
        <v>60</v>
      </c>
      <c r="U50" s="223" t="s">
        <v>35</v>
      </c>
      <c r="V50" s="223" t="s">
        <v>300</v>
      </c>
      <c r="W50" s="223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09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09" t="str">
        <f t="shared" si="2"/>
        <v>Crazy 8WINTER 17</v>
      </c>
      <c r="R51" s="27" t="str">
        <f t="shared" si="3"/>
        <v>2018Crazy 8WINTER 17</v>
      </c>
      <c r="S51" s="223" t="s">
        <v>427</v>
      </c>
      <c r="T51" s="223" t="s">
        <v>60</v>
      </c>
      <c r="U51" s="223" t="s">
        <v>443</v>
      </c>
      <c r="V51" s="223" t="s">
        <v>443</v>
      </c>
      <c r="W51" s="223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09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09" t="str">
        <f t="shared" si="2"/>
        <v>Crazy 8OLD</v>
      </c>
      <c r="R52" s="27" t="str">
        <f t="shared" si="3"/>
        <v>2018Crazy 8OLD</v>
      </c>
      <c r="S52" s="223" t="s">
        <v>427</v>
      </c>
      <c r="T52" s="223" t="s">
        <v>60</v>
      </c>
      <c r="U52" s="223" t="s">
        <v>442</v>
      </c>
      <c r="V52" s="223" t="s">
        <v>442</v>
      </c>
      <c r="W52" s="223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09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09" t="str">
        <f t="shared" si="2"/>
        <v>GymboreeGY 18 DRESSY</v>
      </c>
      <c r="R53" s="27" t="str">
        <f t="shared" si="3"/>
        <v>2018GymboreeSpring</v>
      </c>
      <c r="S53" s="223" t="s">
        <v>427</v>
      </c>
      <c r="T53" s="223" t="s">
        <v>14</v>
      </c>
      <c r="U53" s="223" t="s">
        <v>16</v>
      </c>
      <c r="V53" s="223" t="s">
        <v>137</v>
      </c>
      <c r="W53" s="223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09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09" t="str">
        <f t="shared" si="2"/>
        <v>GymboreeGY 18 SPR</v>
      </c>
      <c r="R54" s="27" t="str">
        <f t="shared" si="3"/>
        <v>2018GymboreeSpring</v>
      </c>
      <c r="S54" s="223" t="s">
        <v>427</v>
      </c>
      <c r="T54" s="223" t="s">
        <v>14</v>
      </c>
      <c r="U54" s="223" t="s">
        <v>16</v>
      </c>
      <c r="V54" s="223" t="s">
        <v>131</v>
      </c>
      <c r="W54" s="223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09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09" t="str">
        <f t="shared" si="2"/>
        <v>GymboreeGY 18 SPR 1</v>
      </c>
      <c r="R55" s="27" t="str">
        <f t="shared" si="3"/>
        <v>2018GymboreeSpring</v>
      </c>
      <c r="S55" s="223" t="s">
        <v>427</v>
      </c>
      <c r="T55" s="223" t="s">
        <v>14</v>
      </c>
      <c r="U55" s="223" t="s">
        <v>16</v>
      </c>
      <c r="V55" s="223" t="s">
        <v>133</v>
      </c>
      <c r="W55" s="223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09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09" t="str">
        <f t="shared" si="2"/>
        <v>GymboreeGY 18 SPR 2</v>
      </c>
      <c r="R56" s="27" t="str">
        <f t="shared" si="3"/>
        <v>2018GymboreeSpring</v>
      </c>
      <c r="S56" s="223" t="s">
        <v>427</v>
      </c>
      <c r="T56" s="223" t="s">
        <v>14</v>
      </c>
      <c r="U56" s="223" t="s">
        <v>16</v>
      </c>
      <c r="V56" s="223" t="s">
        <v>49</v>
      </c>
      <c r="W56" s="223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09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09" t="str">
        <f t="shared" si="2"/>
        <v>GymboreeGY 18 SPR VACA</v>
      </c>
      <c r="R57" s="27" t="str">
        <f t="shared" si="3"/>
        <v>2018GymboreeSpring</v>
      </c>
      <c r="S57" s="223" t="s">
        <v>427</v>
      </c>
      <c r="T57" s="223" t="s">
        <v>14</v>
      </c>
      <c r="U57" s="223" t="s">
        <v>16</v>
      </c>
      <c r="V57" s="223" t="s">
        <v>139</v>
      </c>
      <c r="W57" s="223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09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09" t="str">
        <f t="shared" si="2"/>
        <v>GymboreeGY 18 SUM 1</v>
      </c>
      <c r="R58" s="27" t="str">
        <f t="shared" si="3"/>
        <v>2018GymboreeSpring</v>
      </c>
      <c r="S58" s="223" t="s">
        <v>427</v>
      </c>
      <c r="T58" s="223" t="s">
        <v>14</v>
      </c>
      <c r="U58" s="223" t="s">
        <v>16</v>
      </c>
      <c r="V58" s="223" t="s">
        <v>141</v>
      </c>
      <c r="W58" s="223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09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09" t="str">
        <f t="shared" si="2"/>
        <v>GymboreeGY 18 SWIM 1</v>
      </c>
      <c r="R59" s="27" t="str">
        <f t="shared" si="3"/>
        <v>2018GymboreeSpring</v>
      </c>
      <c r="S59" s="223" t="s">
        <v>427</v>
      </c>
      <c r="T59" s="223" t="s">
        <v>14</v>
      </c>
      <c r="U59" s="223" t="s">
        <v>16</v>
      </c>
      <c r="V59" s="223" t="s">
        <v>135</v>
      </c>
      <c r="W59" s="223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09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09" t="str">
        <f t="shared" si="2"/>
        <v>GymboreeGY 18 SWIM 2</v>
      </c>
      <c r="R60" s="27" t="str">
        <f t="shared" si="3"/>
        <v>2018GymboreeSpring</v>
      </c>
      <c r="S60" s="223" t="s">
        <v>427</v>
      </c>
      <c r="T60" s="223" t="s">
        <v>14</v>
      </c>
      <c r="U60" s="223" t="s">
        <v>16</v>
      </c>
      <c r="V60" s="223" t="s">
        <v>143</v>
      </c>
      <c r="W60" s="223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09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09" t="str">
        <f t="shared" si="2"/>
        <v>GymboreeGY 18 SM2</v>
      </c>
      <c r="R61" s="27" t="str">
        <f t="shared" si="3"/>
        <v>2018GymboreeSummer</v>
      </c>
      <c r="S61" s="223" t="s">
        <v>427</v>
      </c>
      <c r="T61" s="223" t="s">
        <v>14</v>
      </c>
      <c r="U61" s="223" t="s">
        <v>18</v>
      </c>
      <c r="V61" s="223" t="s">
        <v>145</v>
      </c>
      <c r="W61" s="223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09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09" t="str">
        <f t="shared" si="2"/>
        <v>GymboreeGY 18 SM3</v>
      </c>
      <c r="R62" s="27" t="str">
        <f t="shared" si="3"/>
        <v>2018GymboreeSummer</v>
      </c>
      <c r="S62" s="223" t="s">
        <v>427</v>
      </c>
      <c r="T62" s="223" t="s">
        <v>14</v>
      </c>
      <c r="U62" s="223" t="s">
        <v>18</v>
      </c>
      <c r="V62" s="223" t="s">
        <v>147</v>
      </c>
      <c r="W62" s="223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09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09" t="str">
        <f t="shared" si="2"/>
        <v>GymboreeGY 18 SM4</v>
      </c>
      <c r="R63" s="27" t="str">
        <f t="shared" si="3"/>
        <v>2018GymboreeSummer</v>
      </c>
      <c r="S63" s="223" t="s">
        <v>427</v>
      </c>
      <c r="T63" s="223" t="s">
        <v>14</v>
      </c>
      <c r="U63" s="223" t="s">
        <v>18</v>
      </c>
      <c r="V63" s="223" t="s">
        <v>151</v>
      </c>
      <c r="W63" s="223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09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09" t="str">
        <f t="shared" si="2"/>
        <v>GymboreeGY 18 SM5</v>
      </c>
      <c r="R64" s="27" t="str">
        <f t="shared" si="3"/>
        <v>2018GymboreeSummer</v>
      </c>
      <c r="S64" s="223" t="s">
        <v>427</v>
      </c>
      <c r="T64" s="223" t="s">
        <v>14</v>
      </c>
      <c r="U64" s="223" t="s">
        <v>18</v>
      </c>
      <c r="V64" s="223" t="s">
        <v>153</v>
      </c>
      <c r="W64" s="223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09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09" t="str">
        <f t="shared" si="2"/>
        <v>GymboreeGY 18 SMR</v>
      </c>
      <c r="R65" s="27" t="str">
        <f t="shared" si="3"/>
        <v>2018GymboreeSummer</v>
      </c>
      <c r="S65" s="223" t="s">
        <v>427</v>
      </c>
      <c r="T65" s="223" t="s">
        <v>14</v>
      </c>
      <c r="U65" s="223" t="s">
        <v>18</v>
      </c>
      <c r="V65" s="223" t="s">
        <v>155</v>
      </c>
      <c r="W65" s="223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09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09" t="str">
        <f t="shared" si="2"/>
        <v>GymboreeGY 18 SWIM 3</v>
      </c>
      <c r="R66" s="27" t="str">
        <f t="shared" si="3"/>
        <v>2018GymboreeSummer</v>
      </c>
      <c r="S66" s="223" t="s">
        <v>427</v>
      </c>
      <c r="T66" s="223" t="s">
        <v>14</v>
      </c>
      <c r="U66" s="223" t="s">
        <v>18</v>
      </c>
      <c r="V66" s="223" t="s">
        <v>149</v>
      </c>
      <c r="W66" s="223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09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09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23" t="s">
        <v>427</v>
      </c>
      <c r="T67" s="223" t="s">
        <v>14</v>
      </c>
      <c r="U67" s="223" t="s">
        <v>33</v>
      </c>
      <c r="V67" s="223" t="s">
        <v>391</v>
      </c>
      <c r="W67" s="223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09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09" t="str">
        <f t="shared" si="6"/>
        <v>GymboreeGY 18 FAL</v>
      </c>
      <c r="R68" s="27" t="str">
        <f t="shared" si="7"/>
        <v>2018GymboreeFall</v>
      </c>
      <c r="S68" s="223" t="s">
        <v>427</v>
      </c>
      <c r="T68" s="223" t="s">
        <v>14</v>
      </c>
      <c r="U68" s="223" t="s">
        <v>33</v>
      </c>
      <c r="V68" s="223" t="s">
        <v>393</v>
      </c>
      <c r="W68" s="223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09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09" t="str">
        <f t="shared" si="6"/>
        <v>GymboreeGY 18 FALL 1</v>
      </c>
      <c r="R69" s="27" t="str">
        <f t="shared" si="7"/>
        <v>2018GymboreeFall</v>
      </c>
      <c r="S69" s="223" t="s">
        <v>427</v>
      </c>
      <c r="T69" s="223" t="s">
        <v>14</v>
      </c>
      <c r="U69" s="223" t="s">
        <v>33</v>
      </c>
      <c r="V69" s="223" t="s">
        <v>392</v>
      </c>
      <c r="W69" s="223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09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09" t="str">
        <f t="shared" si="6"/>
        <v>GymboreeGY 18 FALL 2</v>
      </c>
      <c r="R70" s="27" t="str">
        <f t="shared" si="7"/>
        <v>2018GymboreeFall</v>
      </c>
      <c r="S70" s="223" t="s">
        <v>427</v>
      </c>
      <c r="T70" s="223" t="s">
        <v>14</v>
      </c>
      <c r="U70" s="223" t="s">
        <v>33</v>
      </c>
      <c r="V70" s="223" t="s">
        <v>394</v>
      </c>
      <c r="W70" s="223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09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09" t="str">
        <f t="shared" si="6"/>
        <v>GymboreeGY 18 FALL 3</v>
      </c>
      <c r="R71" s="27" t="str">
        <f t="shared" si="7"/>
        <v>2018GymboreeFall</v>
      </c>
      <c r="S71" s="223" t="s">
        <v>427</v>
      </c>
      <c r="T71" s="223" t="s">
        <v>14</v>
      </c>
      <c r="U71" s="223" t="s">
        <v>33</v>
      </c>
      <c r="V71" s="223" t="s">
        <v>395</v>
      </c>
      <c r="W71" s="223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09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09" t="str">
        <f t="shared" si="6"/>
        <v>GymboreeGY 18 FALL 4</v>
      </c>
      <c r="R72" s="27" t="str">
        <f t="shared" si="7"/>
        <v>2018GymboreeFall</v>
      </c>
      <c r="S72" s="223" t="s">
        <v>427</v>
      </c>
      <c r="T72" s="223" t="s">
        <v>14</v>
      </c>
      <c r="U72" s="223" t="s">
        <v>33</v>
      </c>
      <c r="V72" s="223" t="s">
        <v>396</v>
      </c>
      <c r="W72" s="223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09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09" t="str">
        <f t="shared" si="6"/>
        <v>GymboreeGY 18 HO HO SHOP</v>
      </c>
      <c r="R73" s="27" t="str">
        <f t="shared" si="7"/>
        <v>2018GymboreeFall</v>
      </c>
      <c r="S73" s="223" t="s">
        <v>427</v>
      </c>
      <c r="T73" s="223" t="s">
        <v>14</v>
      </c>
      <c r="U73" s="223" t="s">
        <v>33</v>
      </c>
      <c r="V73" s="223" t="s">
        <v>397</v>
      </c>
      <c r="W73" s="223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09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09" t="str">
        <f t="shared" si="6"/>
        <v>GymboreeGY 18 FALL BASICS</v>
      </c>
      <c r="R74" s="27" t="str">
        <f t="shared" si="7"/>
        <v>2018GymboreeBasics</v>
      </c>
      <c r="S74" s="223" t="s">
        <v>427</v>
      </c>
      <c r="T74" s="223" t="s">
        <v>14</v>
      </c>
      <c r="U74" s="223" t="s">
        <v>35</v>
      </c>
      <c r="V74" s="223" t="s">
        <v>129</v>
      </c>
      <c r="W74" s="223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09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09" t="str">
        <f t="shared" si="6"/>
        <v>GymboreeGY 18 SPRING BASICS</v>
      </c>
      <c r="R75" s="27" t="str">
        <f t="shared" si="7"/>
        <v>2018GymboreeBasics</v>
      </c>
      <c r="S75" s="223" t="s">
        <v>427</v>
      </c>
      <c r="T75" s="223" t="s">
        <v>14</v>
      </c>
      <c r="U75" s="223" t="s">
        <v>35</v>
      </c>
      <c r="V75" s="223" t="s">
        <v>127</v>
      </c>
      <c r="W75" s="223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09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09" t="str">
        <f t="shared" si="6"/>
        <v>GymboreeGY YRLY BASICS</v>
      </c>
      <c r="R76" s="27" t="str">
        <f t="shared" si="7"/>
        <v>2018GymboreeBasics</v>
      </c>
      <c r="S76" s="223" t="s">
        <v>427</v>
      </c>
      <c r="T76" s="223" t="s">
        <v>14</v>
      </c>
      <c r="U76" s="223" t="s">
        <v>35</v>
      </c>
      <c r="V76" s="223" t="s">
        <v>302</v>
      </c>
      <c r="W76" s="223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09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09" t="str">
        <f t="shared" si="6"/>
        <v>GymboreeGY YRLY DENIM</v>
      </c>
      <c r="R77" s="27" t="str">
        <f t="shared" si="7"/>
        <v>2018GymboreeBasics</v>
      </c>
      <c r="S77" s="223" t="s">
        <v>427</v>
      </c>
      <c r="T77" s="223" t="s">
        <v>14</v>
      </c>
      <c r="U77" s="223" t="s">
        <v>35</v>
      </c>
      <c r="V77" s="223" t="s">
        <v>303</v>
      </c>
      <c r="W77" s="223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09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09" t="str">
        <f t="shared" si="6"/>
        <v>GymboreeGY YRLY UNIFORM</v>
      </c>
      <c r="R78" s="27" t="str">
        <f t="shared" si="7"/>
        <v>2018GymboreeBasics</v>
      </c>
      <c r="S78" s="223" t="s">
        <v>427</v>
      </c>
      <c r="T78" s="223" t="s">
        <v>14</v>
      </c>
      <c r="U78" s="223" t="s">
        <v>35</v>
      </c>
      <c r="V78" s="223" t="s">
        <v>304</v>
      </c>
      <c r="W78" s="223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09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09" t="str">
        <f t="shared" si="6"/>
        <v>GymboreeWINTER 17</v>
      </c>
      <c r="R79" s="27" t="str">
        <f t="shared" si="7"/>
        <v>2018GymboreeWINTER 17</v>
      </c>
      <c r="S79" s="223" t="s">
        <v>427</v>
      </c>
      <c r="T79" s="223" t="s">
        <v>14</v>
      </c>
      <c r="U79" s="223" t="s">
        <v>443</v>
      </c>
      <c r="V79" s="223" t="s">
        <v>443</v>
      </c>
      <c r="W79" s="223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09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09" t="str">
        <f t="shared" si="6"/>
        <v>GymboreeOLD</v>
      </c>
      <c r="R80" s="27" t="str">
        <f t="shared" si="7"/>
        <v>2018GymboreeOLD</v>
      </c>
      <c r="S80" s="223" t="s">
        <v>427</v>
      </c>
      <c r="T80" s="223" t="s">
        <v>14</v>
      </c>
      <c r="U80" s="223" t="s">
        <v>442</v>
      </c>
      <c r="V80" s="223" t="s">
        <v>442</v>
      </c>
      <c r="W80" s="223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09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09" t="str">
        <f t="shared" si="6"/>
        <v>Janie &amp; JackJJ 18 DEC RESORT 1</v>
      </c>
      <c r="R81" s="27" t="str">
        <f t="shared" si="7"/>
        <v>2018Janie &amp; JackWinter</v>
      </c>
      <c r="S81" s="223" t="s">
        <v>427</v>
      </c>
      <c r="T81" s="223" t="s">
        <v>32</v>
      </c>
      <c r="U81" s="223" t="s">
        <v>34</v>
      </c>
      <c r="V81" s="223" t="s">
        <v>222</v>
      </c>
      <c r="W81" s="223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09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09" t="str">
        <f t="shared" si="6"/>
        <v>Janie &amp; JackJJ 17 SUMMER 2 CAP WOMENS</v>
      </c>
      <c r="R82" s="27" t="str">
        <f t="shared" si="7"/>
        <v>2018Janie &amp; JackSpring</v>
      </c>
      <c r="S82" s="223" t="s">
        <v>427</v>
      </c>
      <c r="T82" s="223" t="s">
        <v>32</v>
      </c>
      <c r="U82" s="223" t="s">
        <v>16</v>
      </c>
      <c r="V82" s="223" t="s">
        <v>353</v>
      </c>
      <c r="W82" s="223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09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09" t="str">
        <f t="shared" si="6"/>
        <v>Janie &amp; JackJJ 18 DEC RESORT 2</v>
      </c>
      <c r="R83" s="27" t="str">
        <f t="shared" si="7"/>
        <v>2018Janie &amp; JackSpring</v>
      </c>
      <c r="S83" s="223" t="s">
        <v>427</v>
      </c>
      <c r="T83" s="223" t="s">
        <v>32</v>
      </c>
      <c r="U83" s="223" t="s">
        <v>16</v>
      </c>
      <c r="V83" s="223" t="s">
        <v>188</v>
      </c>
      <c r="W83" s="223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09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09" t="str">
        <f t="shared" si="6"/>
        <v>Janie &amp; JackJJ 18 DEC VDAY</v>
      </c>
      <c r="R84" s="27" t="str">
        <f t="shared" si="7"/>
        <v>2018Janie &amp; JackSpring</v>
      </c>
      <c r="S84" s="223" t="s">
        <v>427</v>
      </c>
      <c r="T84" s="223" t="s">
        <v>32</v>
      </c>
      <c r="U84" s="223" t="s">
        <v>16</v>
      </c>
      <c r="V84" s="223" t="s">
        <v>186</v>
      </c>
      <c r="W84" s="223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09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09" t="str">
        <f t="shared" si="6"/>
        <v>Janie &amp; JackJJ 18 FEB EASTER 1</v>
      </c>
      <c r="R85" s="27" t="str">
        <f t="shared" si="7"/>
        <v>2018Janie &amp; JackSpring</v>
      </c>
      <c r="S85" s="223" t="s">
        <v>427</v>
      </c>
      <c r="T85" s="223" t="s">
        <v>32</v>
      </c>
      <c r="U85" s="223" t="s">
        <v>16</v>
      </c>
      <c r="V85" s="223" t="s">
        <v>190</v>
      </c>
      <c r="W85" s="223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09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09" t="str">
        <f t="shared" si="6"/>
        <v>Janie &amp; JackJJ 18 FEB EASTER GIFT LAY</v>
      </c>
      <c r="R86" s="27" t="str">
        <f t="shared" si="7"/>
        <v>2018Janie &amp; JackSpring</v>
      </c>
      <c r="S86" s="223" t="s">
        <v>427</v>
      </c>
      <c r="T86" s="223" t="s">
        <v>32</v>
      </c>
      <c r="U86" s="223" t="s">
        <v>16</v>
      </c>
      <c r="V86" s="223" t="s">
        <v>192</v>
      </c>
      <c r="W86" s="223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09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09" t="str">
        <f t="shared" si="6"/>
        <v>Janie &amp; JackJJ 18 FEB SPRING LIMITED EDITION</v>
      </c>
      <c r="R87" s="27" t="str">
        <f t="shared" si="7"/>
        <v>2018Janie &amp; JackSpring</v>
      </c>
      <c r="S87" s="223" t="s">
        <v>427</v>
      </c>
      <c r="T87" s="223" t="s">
        <v>32</v>
      </c>
      <c r="U87" s="223" t="s">
        <v>16</v>
      </c>
      <c r="V87" s="223" t="s">
        <v>202</v>
      </c>
      <c r="W87" s="223" t="s">
        <v>428</v>
      </c>
      <c r="X87" s="22"/>
      <c r="AF87" s="27"/>
      <c r="AG87" s="1"/>
      <c r="AH87" s="1"/>
      <c r="AI87" s="1"/>
      <c r="AJ87" s="1"/>
      <c r="AK87" s="19"/>
      <c r="AM87" s="109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09" t="str">
        <f t="shared" si="6"/>
        <v>Janie &amp; JackJJ 18 JAN SPR GIFTING LAY</v>
      </c>
      <c r="R88" s="27" t="str">
        <f t="shared" si="7"/>
        <v>2018Janie &amp; JackSpring</v>
      </c>
      <c r="S88" s="223" t="s">
        <v>427</v>
      </c>
      <c r="T88" s="223" t="s">
        <v>32</v>
      </c>
      <c r="U88" s="223" t="s">
        <v>16</v>
      </c>
      <c r="V88" s="223" t="s">
        <v>198</v>
      </c>
      <c r="W88" s="223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09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09" t="str">
        <f t="shared" si="6"/>
        <v>Janie &amp; JackJJ 18 JAN SPRING 1</v>
      </c>
      <c r="R89" s="27" t="str">
        <f t="shared" si="7"/>
        <v>2018Janie &amp; JackSpring</v>
      </c>
      <c r="S89" s="223" t="s">
        <v>427</v>
      </c>
      <c r="T89" s="223" t="s">
        <v>32</v>
      </c>
      <c r="U89" s="223" t="s">
        <v>16</v>
      </c>
      <c r="V89" s="223" t="s">
        <v>184</v>
      </c>
      <c r="W89" s="223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09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09" t="str">
        <f t="shared" si="6"/>
        <v>Janie &amp; JackJJ 18 JAN SPRING TRANS</v>
      </c>
      <c r="R90" s="27" t="str">
        <f t="shared" si="7"/>
        <v>2018Janie &amp; JackSpring</v>
      </c>
      <c r="S90" s="223" t="s">
        <v>427</v>
      </c>
      <c r="T90" s="223" t="s">
        <v>32</v>
      </c>
      <c r="U90" s="223" t="s">
        <v>16</v>
      </c>
      <c r="V90" s="223" t="s">
        <v>194</v>
      </c>
      <c r="W90" s="223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09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09" t="str">
        <f t="shared" si="6"/>
        <v>Janie &amp; JackJJ 18 MAR EASTER 2</v>
      </c>
      <c r="R91" s="27" t="str">
        <f t="shared" si="7"/>
        <v>2018Janie &amp; JackSpring</v>
      </c>
      <c r="S91" s="223" t="s">
        <v>427</v>
      </c>
      <c r="T91" s="223" t="s">
        <v>32</v>
      </c>
      <c r="U91" s="223" t="s">
        <v>16</v>
      </c>
      <c r="V91" s="223" t="s">
        <v>196</v>
      </c>
      <c r="W91" s="223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09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09" t="str">
        <f t="shared" si="6"/>
        <v>Janie &amp; JackJJ 18 MAR JJ SPORT</v>
      </c>
      <c r="R92" s="27" t="str">
        <f t="shared" si="7"/>
        <v>2018Janie &amp; JackSpring</v>
      </c>
      <c r="S92" s="223" t="s">
        <v>427</v>
      </c>
      <c r="T92" s="223" t="s">
        <v>32</v>
      </c>
      <c r="U92" s="223" t="s">
        <v>16</v>
      </c>
      <c r="V92" s="223" t="s">
        <v>203</v>
      </c>
      <c r="W92" s="223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09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09" t="str">
        <f t="shared" si="6"/>
        <v>Janie &amp; JackJJ 18 MAR SPR 2</v>
      </c>
      <c r="R93" s="27" t="str">
        <f t="shared" si="7"/>
        <v>2018Janie &amp; JackSpring</v>
      </c>
      <c r="S93" s="223" t="s">
        <v>427</v>
      </c>
      <c r="T93" s="223" t="s">
        <v>32</v>
      </c>
      <c r="U93" s="223" t="s">
        <v>16</v>
      </c>
      <c r="V93" s="223" t="s">
        <v>200</v>
      </c>
      <c r="W93" s="223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09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09" t="str">
        <f t="shared" si="6"/>
        <v>Janie &amp; JackJJ 18 APR SMR 1</v>
      </c>
      <c r="R94" s="27" t="str">
        <f t="shared" si="7"/>
        <v>2018Janie &amp; JackSummer</v>
      </c>
      <c r="S94" s="223" t="s">
        <v>427</v>
      </c>
      <c r="T94" s="223" t="s">
        <v>32</v>
      </c>
      <c r="U94" s="223" t="s">
        <v>18</v>
      </c>
      <c r="V94" s="223" t="s">
        <v>206</v>
      </c>
      <c r="W94" s="223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09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09" t="str">
        <f t="shared" si="6"/>
        <v>Janie &amp; JackJJ 18 JUN JJ SPORT</v>
      </c>
      <c r="R95" s="27" t="str">
        <f t="shared" si="7"/>
        <v>2018Janie &amp; JackSummer</v>
      </c>
      <c r="S95" s="223" t="s">
        <v>427</v>
      </c>
      <c r="T95" s="223" t="s">
        <v>32</v>
      </c>
      <c r="U95" s="223" t="s">
        <v>18</v>
      </c>
      <c r="V95" s="223" t="s">
        <v>219</v>
      </c>
      <c r="W95" s="223" t="s">
        <v>428</v>
      </c>
      <c r="AF95" s="27"/>
      <c r="AG95" s="1"/>
      <c r="AH95" s="1"/>
      <c r="AI95" s="1"/>
      <c r="AJ95" s="1"/>
      <c r="AK95" s="19"/>
      <c r="AM95" s="109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09" t="str">
        <f t="shared" si="6"/>
        <v>Janie &amp; JackJJ 18 JUN TRANS 1</v>
      </c>
      <c r="R96" s="27" t="str">
        <f t="shared" si="7"/>
        <v>2018Janie &amp; JackSummer</v>
      </c>
      <c r="S96" s="223" t="s">
        <v>427</v>
      </c>
      <c r="T96" s="223" t="s">
        <v>32</v>
      </c>
      <c r="U96" s="223" t="s">
        <v>18</v>
      </c>
      <c r="V96" s="223" t="s">
        <v>217</v>
      </c>
      <c r="W96" s="223" t="s">
        <v>218</v>
      </c>
      <c r="Y96" s="1"/>
      <c r="Z96" s="1"/>
      <c r="AA96" s="132"/>
      <c r="AF96" s="27"/>
      <c r="AG96" s="1"/>
      <c r="AH96" s="1"/>
      <c r="AI96" s="1"/>
      <c r="AJ96" s="1"/>
      <c r="AK96" s="19"/>
      <c r="AM96" s="109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09" t="str">
        <f t="shared" si="6"/>
        <v>Janie &amp; JackJJ 18 MAR SUMMER 0</v>
      </c>
      <c r="R97" s="27" t="str">
        <f t="shared" si="7"/>
        <v>2018Janie &amp; JackSummer</v>
      </c>
      <c r="S97" s="223" t="s">
        <v>427</v>
      </c>
      <c r="T97" s="223" t="s">
        <v>32</v>
      </c>
      <c r="U97" s="223" t="s">
        <v>18</v>
      </c>
      <c r="V97" s="223" t="s">
        <v>204</v>
      </c>
      <c r="W97" s="223" t="s">
        <v>205</v>
      </c>
      <c r="AF97" s="27"/>
      <c r="AG97" s="1"/>
      <c r="AH97" s="1"/>
      <c r="AI97" s="1"/>
      <c r="AJ97" s="1"/>
      <c r="AK97" s="19"/>
      <c r="AM97" s="109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09" t="str">
        <f t="shared" si="6"/>
        <v>Janie &amp; JackJJ 18 MAY 4TH OF JULY</v>
      </c>
      <c r="R98" s="27" t="str">
        <f t="shared" si="7"/>
        <v>2018Janie &amp; JackSummer</v>
      </c>
      <c r="S98" s="223" t="s">
        <v>427</v>
      </c>
      <c r="T98" s="223" t="s">
        <v>32</v>
      </c>
      <c r="U98" s="223" t="s">
        <v>18</v>
      </c>
      <c r="V98" s="223" t="s">
        <v>210</v>
      </c>
      <c r="W98" s="223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09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09" t="str">
        <f t="shared" si="6"/>
        <v>Janie &amp; JackJJ 18 MAY LIBERTY COLLECTION</v>
      </c>
      <c r="R99" s="27" t="str">
        <f t="shared" si="7"/>
        <v>2018Janie &amp; JackSummer</v>
      </c>
      <c r="S99" s="223" t="s">
        <v>427</v>
      </c>
      <c r="T99" s="223" t="s">
        <v>32</v>
      </c>
      <c r="U99" s="223" t="s">
        <v>18</v>
      </c>
      <c r="V99" s="223" t="s">
        <v>212</v>
      </c>
      <c r="W99" s="223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09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09" t="str">
        <f t="shared" si="6"/>
        <v>Janie &amp; JackJJ 18 MAY SPORT</v>
      </c>
      <c r="R100" s="27" t="str">
        <f t="shared" si="7"/>
        <v>2018Janie &amp; JackSummer</v>
      </c>
      <c r="S100" s="223" t="s">
        <v>427</v>
      </c>
      <c r="T100" s="223" t="s">
        <v>32</v>
      </c>
      <c r="U100" s="223" t="s">
        <v>18</v>
      </c>
      <c r="V100" s="223" t="s">
        <v>366</v>
      </c>
      <c r="W100" s="223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09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09" t="str">
        <f t="shared" si="6"/>
        <v>Janie &amp; JackJJ 18 MAY SUMMER 2</v>
      </c>
      <c r="R101" s="27" t="str">
        <f t="shared" si="7"/>
        <v>2018Janie &amp; JackSummer</v>
      </c>
      <c r="S101" s="223" t="s">
        <v>427</v>
      </c>
      <c r="T101" s="223" t="s">
        <v>32</v>
      </c>
      <c r="U101" s="223" t="s">
        <v>18</v>
      </c>
      <c r="V101" s="223" t="s">
        <v>208</v>
      </c>
      <c r="W101" s="223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09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09" t="str">
        <f t="shared" si="6"/>
        <v>Janie &amp; JackJJ 18 MAY SUMMER 3</v>
      </c>
      <c r="R102" s="27" t="str">
        <f t="shared" si="7"/>
        <v>2018Janie &amp; JackSummer</v>
      </c>
      <c r="S102" s="223" t="s">
        <v>427</v>
      </c>
      <c r="T102" s="223" t="s">
        <v>32</v>
      </c>
      <c r="U102" s="223" t="s">
        <v>18</v>
      </c>
      <c r="V102" s="223" t="s">
        <v>213</v>
      </c>
      <c r="W102" s="223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09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09" t="str">
        <f t="shared" si="6"/>
        <v>Janie &amp; JackJJ 18 MAY SUMMER 4</v>
      </c>
      <c r="R103" s="27" t="str">
        <f t="shared" si="7"/>
        <v>2018Janie &amp; JackSummer</v>
      </c>
      <c r="S103" s="223" t="s">
        <v>427</v>
      </c>
      <c r="T103" s="223" t="s">
        <v>32</v>
      </c>
      <c r="U103" s="223" t="s">
        <v>18</v>
      </c>
      <c r="V103" s="223" t="s">
        <v>215</v>
      </c>
      <c r="W103" s="223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09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09" t="str">
        <f t="shared" si="6"/>
        <v>Janie &amp; JackJJ 18 MAY TRANS GIFT LAY</v>
      </c>
      <c r="R104" s="27" t="str">
        <f t="shared" si="7"/>
        <v>2018Janie &amp; JackSummer</v>
      </c>
      <c r="S104" s="223" t="s">
        <v>427</v>
      </c>
      <c r="T104" s="223" t="s">
        <v>32</v>
      </c>
      <c r="U104" s="223" t="s">
        <v>18</v>
      </c>
      <c r="V104" s="223" t="s">
        <v>220</v>
      </c>
      <c r="W104" s="223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09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09" t="str">
        <f t="shared" si="6"/>
        <v>Janie &amp; JackJJ 18 AUG FALL 0</v>
      </c>
      <c r="R105" s="27" t="str">
        <f t="shared" si="7"/>
        <v>2018Janie &amp; JackFall</v>
      </c>
      <c r="S105" s="223" t="s">
        <v>427</v>
      </c>
      <c r="T105" s="223" t="s">
        <v>32</v>
      </c>
      <c r="U105" s="223" t="s">
        <v>33</v>
      </c>
      <c r="V105" s="223" t="s">
        <v>161</v>
      </c>
      <c r="W105" s="223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09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09" t="str">
        <f t="shared" si="6"/>
        <v>Janie &amp; JackJJ 18 JULY FALL GIFT LAY</v>
      </c>
      <c r="R106" s="27" t="str">
        <f t="shared" si="7"/>
        <v>2018Janie &amp; JackFall</v>
      </c>
      <c r="S106" s="223" t="s">
        <v>427</v>
      </c>
      <c r="T106" s="223" t="s">
        <v>32</v>
      </c>
      <c r="U106" s="223" t="s">
        <v>33</v>
      </c>
      <c r="V106" s="223" t="s">
        <v>163</v>
      </c>
      <c r="W106" s="223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09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09" t="str">
        <f t="shared" si="6"/>
        <v>Janie &amp; JackJJ 18 JULY TRANS 2</v>
      </c>
      <c r="R107" s="27" t="str">
        <f t="shared" si="7"/>
        <v>2018Janie &amp; JackFall</v>
      </c>
      <c r="S107" s="223" t="s">
        <v>427</v>
      </c>
      <c r="T107" s="223" t="s">
        <v>32</v>
      </c>
      <c r="U107" s="223" t="s">
        <v>33</v>
      </c>
      <c r="V107" s="223" t="s">
        <v>157</v>
      </c>
      <c r="W107" s="223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09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09" t="str">
        <f t="shared" si="6"/>
        <v>Janie &amp; JackJJ 18 JULY TRANS 3</v>
      </c>
      <c r="R108" s="27" t="str">
        <f t="shared" si="7"/>
        <v>2018Janie &amp; JackFall</v>
      </c>
      <c r="S108" s="223" t="s">
        <v>427</v>
      </c>
      <c r="T108" s="223" t="s">
        <v>32</v>
      </c>
      <c r="U108" s="223" t="s">
        <v>33</v>
      </c>
      <c r="V108" s="223" t="s">
        <v>159</v>
      </c>
      <c r="W108" s="223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09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09" t="str">
        <f t="shared" si="6"/>
        <v>Janie &amp; JackJJ 18 DEC SWIM</v>
      </c>
      <c r="R109" s="27" t="str">
        <f t="shared" si="7"/>
        <v>2018Janie &amp; JackSeasonal Basics</v>
      </c>
      <c r="S109" s="223" t="s">
        <v>427</v>
      </c>
      <c r="T109" s="223" t="s">
        <v>32</v>
      </c>
      <c r="U109" s="223" t="s">
        <v>71</v>
      </c>
      <c r="V109" s="223" t="s">
        <v>164</v>
      </c>
      <c r="W109" s="223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09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09" t="str">
        <f t="shared" si="6"/>
        <v>Janie &amp; JackJJ 18 JAN SO SB1</v>
      </c>
      <c r="R110" s="27" t="str">
        <f t="shared" si="7"/>
        <v>2018Janie &amp; JackSeasonal Basics</v>
      </c>
      <c r="S110" s="223" t="s">
        <v>427</v>
      </c>
      <c r="T110" s="223" t="s">
        <v>32</v>
      </c>
      <c r="U110" s="223" t="s">
        <v>71</v>
      </c>
      <c r="V110" s="223" t="s">
        <v>170</v>
      </c>
      <c r="W110" s="223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09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09" t="str">
        <f t="shared" si="6"/>
        <v>Janie &amp; JackJJ 18 JULY SB2</v>
      </c>
      <c r="R111" s="27" t="str">
        <f t="shared" si="7"/>
        <v>2018Janie &amp; JackSeasonal Basics</v>
      </c>
      <c r="S111" s="223" t="s">
        <v>427</v>
      </c>
      <c r="T111" s="223" t="s">
        <v>32</v>
      </c>
      <c r="U111" s="223" t="s">
        <v>71</v>
      </c>
      <c r="V111" s="223" t="s">
        <v>179</v>
      </c>
      <c r="W111" s="223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09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09" t="str">
        <f t="shared" si="6"/>
        <v>Janie &amp; JackJJ 18 JULY SO SB 2</v>
      </c>
      <c r="R112" s="27" t="str">
        <f t="shared" si="7"/>
        <v>2018Janie &amp; JackSeasonal Basics</v>
      </c>
      <c r="S112" s="223" t="s">
        <v>427</v>
      </c>
      <c r="T112" s="223" t="s">
        <v>32</v>
      </c>
      <c r="U112" s="223" t="s">
        <v>71</v>
      </c>
      <c r="V112" s="223" t="s">
        <v>181</v>
      </c>
      <c r="W112" s="223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09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09" t="str">
        <f t="shared" si="6"/>
        <v>Janie &amp; JackJJ 18 LAY SIGNATURE 1</v>
      </c>
      <c r="R113" s="27" t="str">
        <f t="shared" si="7"/>
        <v>2018Janie &amp; JackSeasonal Basics</v>
      </c>
      <c r="S113" s="223" t="s">
        <v>427</v>
      </c>
      <c r="T113" s="223" t="s">
        <v>32</v>
      </c>
      <c r="U113" s="223" t="s">
        <v>71</v>
      </c>
      <c r="V113" s="223" t="s">
        <v>176</v>
      </c>
      <c r="W113" s="223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09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09" t="str">
        <f t="shared" si="6"/>
        <v>Janie &amp; JackJJ 18 LAY SIGNATURE 2</v>
      </c>
      <c r="R114" s="27" t="str">
        <f t="shared" si="7"/>
        <v>2018Janie &amp; JackSeasonal Basics</v>
      </c>
      <c r="S114" s="223" t="s">
        <v>427</v>
      </c>
      <c r="T114" s="223" t="s">
        <v>32</v>
      </c>
      <c r="U114" s="223" t="s">
        <v>71</v>
      </c>
      <c r="V114" s="223" t="s">
        <v>183</v>
      </c>
      <c r="W114" s="223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09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09" t="str">
        <f t="shared" si="6"/>
        <v>Janie &amp; JackJJ 18 MAR LAY SWIM</v>
      </c>
      <c r="R115" s="27" t="str">
        <f t="shared" si="7"/>
        <v>2018Janie &amp; JackSeasonal Basics</v>
      </c>
      <c r="S115" s="223" t="s">
        <v>427</v>
      </c>
      <c r="T115" s="223" t="s">
        <v>32</v>
      </c>
      <c r="U115" s="223" t="s">
        <v>71</v>
      </c>
      <c r="V115" s="223" t="s">
        <v>177</v>
      </c>
      <c r="W115" s="223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09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09" t="str">
        <f t="shared" si="6"/>
        <v>Janie &amp; JackJJ 18 SB1</v>
      </c>
      <c r="R116" s="27" t="str">
        <f t="shared" si="7"/>
        <v>2018Janie &amp; JackSeasonal Basics</v>
      </c>
      <c r="S116" s="223" t="s">
        <v>427</v>
      </c>
      <c r="T116" s="223" t="s">
        <v>32</v>
      </c>
      <c r="U116" s="223" t="s">
        <v>71</v>
      </c>
      <c r="V116" s="223" t="s">
        <v>166</v>
      </c>
      <c r="W116" s="223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09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09" t="str">
        <f t="shared" si="6"/>
        <v>Janie &amp; JackJJ 18 SMR BASICS</v>
      </c>
      <c r="R117" s="27" t="str">
        <f t="shared" si="7"/>
        <v>2018Janie &amp; JackSeasonal Basics</v>
      </c>
      <c r="S117" s="223" t="s">
        <v>427</v>
      </c>
      <c r="T117" s="223" t="s">
        <v>32</v>
      </c>
      <c r="U117" s="223" t="s">
        <v>71</v>
      </c>
      <c r="V117" s="223" t="s">
        <v>174</v>
      </c>
      <c r="W117" s="223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09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09" t="str">
        <f t="shared" si="6"/>
        <v>Janie &amp; JackJJ 18 SPR SO REFRESH</v>
      </c>
      <c r="R118" s="27" t="str">
        <f t="shared" si="7"/>
        <v>2018Janie &amp; JackSeasonal Basics</v>
      </c>
      <c r="S118" s="223" t="s">
        <v>427</v>
      </c>
      <c r="T118" s="223" t="s">
        <v>32</v>
      </c>
      <c r="U118" s="223" t="s">
        <v>71</v>
      </c>
      <c r="V118" s="223" t="s">
        <v>172</v>
      </c>
      <c r="W118" s="223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09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09" t="str">
        <f t="shared" si="6"/>
        <v>Janie &amp; JackJJ 18 SWIM 2</v>
      </c>
      <c r="R119" s="27" t="str">
        <f t="shared" si="7"/>
        <v>2018Janie &amp; JackSeasonal Basics</v>
      </c>
      <c r="S119" s="223" t="s">
        <v>427</v>
      </c>
      <c r="T119" s="223" t="s">
        <v>32</v>
      </c>
      <c r="U119" s="223" t="s">
        <v>71</v>
      </c>
      <c r="V119" s="223" t="s">
        <v>168</v>
      </c>
      <c r="W119" s="223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09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09" t="str">
        <f t="shared" si="6"/>
        <v>Janie &amp; JackJJ 3RD PARTY</v>
      </c>
      <c r="R120" s="27" t="str">
        <f t="shared" si="7"/>
        <v>2018Janie &amp; JackBasics</v>
      </c>
      <c r="S120" s="223" t="s">
        <v>427</v>
      </c>
      <c r="T120" s="223" t="s">
        <v>32</v>
      </c>
      <c r="U120" s="223" t="s">
        <v>35</v>
      </c>
      <c r="V120" s="223" t="s">
        <v>307</v>
      </c>
      <c r="W120" s="223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09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09" t="str">
        <f t="shared" si="6"/>
        <v>Janie &amp; JackJJ SO YEARLY BASICS</v>
      </c>
      <c r="R121" s="27" t="str">
        <f t="shared" si="7"/>
        <v>2018Janie &amp; JackBasics</v>
      </c>
      <c r="S121" s="223" t="s">
        <v>427</v>
      </c>
      <c r="T121" s="223" t="s">
        <v>32</v>
      </c>
      <c r="U121" s="223" t="s">
        <v>35</v>
      </c>
      <c r="V121" s="223" t="s">
        <v>305</v>
      </c>
      <c r="W121" s="223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09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09" t="str">
        <f t="shared" si="6"/>
        <v>Janie &amp; JackJJ YRLY BASICS</v>
      </c>
      <c r="R122" s="27" t="str">
        <f t="shared" si="7"/>
        <v>2018Janie &amp; JackBasics</v>
      </c>
      <c r="S122" s="223" t="s">
        <v>427</v>
      </c>
      <c r="T122" s="223" t="s">
        <v>32</v>
      </c>
      <c r="U122" s="223" t="s">
        <v>35</v>
      </c>
      <c r="V122" s="223" t="s">
        <v>306</v>
      </c>
      <c r="W122" s="223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09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09" t="str">
        <f t="shared" si="6"/>
        <v>Janie &amp; JackWINTER 17</v>
      </c>
      <c r="R123" s="27" t="str">
        <f t="shared" si="7"/>
        <v>2018Janie &amp; JackWINTER 17</v>
      </c>
      <c r="S123" s="223" t="s">
        <v>427</v>
      </c>
      <c r="T123" s="223" t="s">
        <v>32</v>
      </c>
      <c r="U123" s="223" t="s">
        <v>443</v>
      </c>
      <c r="V123" s="223" t="s">
        <v>443</v>
      </c>
      <c r="W123" s="223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09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09" t="str">
        <f t="shared" si="6"/>
        <v>Janie &amp; JackOLD</v>
      </c>
      <c r="R124" s="27" t="str">
        <f t="shared" si="7"/>
        <v>2018Janie &amp; JackOLD</v>
      </c>
      <c r="S124" s="223" t="s">
        <v>427</v>
      </c>
      <c r="T124" s="223" t="s">
        <v>32</v>
      </c>
      <c r="U124" s="223" t="s">
        <v>442</v>
      </c>
      <c r="V124" s="223" t="s">
        <v>442</v>
      </c>
      <c r="W124" s="223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09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09" t="str">
        <f t="shared" si="6"/>
        <v>OutletGY 18 OUTLET BNB WINTER</v>
      </c>
      <c r="R125" s="27" t="str">
        <f t="shared" si="7"/>
        <v>2018OutletWinter</v>
      </c>
      <c r="S125" s="223" t="s">
        <v>427</v>
      </c>
      <c r="T125" s="223" t="s">
        <v>17</v>
      </c>
      <c r="U125" s="223" t="s">
        <v>34</v>
      </c>
      <c r="V125" s="223" t="s">
        <v>291</v>
      </c>
      <c r="W125" s="223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09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09" t="str">
        <f t="shared" si="6"/>
        <v>OutletGY 18 OUTLET POLAR FLEECE</v>
      </c>
      <c r="R126" s="27" t="str">
        <f t="shared" si="7"/>
        <v>2018OutletWinter</v>
      </c>
      <c r="S126" s="223" t="s">
        <v>427</v>
      </c>
      <c r="T126" s="223" t="s">
        <v>17</v>
      </c>
      <c r="U126" s="223" t="s">
        <v>34</v>
      </c>
      <c r="V126" s="223" t="s">
        <v>293</v>
      </c>
      <c r="W126" s="223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09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09" t="str">
        <f t="shared" si="6"/>
        <v>OutletGY 18 OUTLET SPRING TRANS</v>
      </c>
      <c r="R127" s="27" t="str">
        <f t="shared" si="7"/>
        <v>2018OutletWinter</v>
      </c>
      <c r="S127" s="223" t="s">
        <v>427</v>
      </c>
      <c r="T127" s="223" t="s">
        <v>17</v>
      </c>
      <c r="U127" s="223" t="s">
        <v>34</v>
      </c>
      <c r="V127" s="223" t="s">
        <v>297</v>
      </c>
      <c r="W127" s="223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09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09" t="str">
        <f t="shared" si="6"/>
        <v>OutletGY 18 OUTLET WINTER 1</v>
      </c>
      <c r="R128" s="27" t="str">
        <f t="shared" si="7"/>
        <v>2018OutletWinter</v>
      </c>
      <c r="S128" s="223" t="s">
        <v>427</v>
      </c>
      <c r="T128" s="223" t="s">
        <v>17</v>
      </c>
      <c r="U128" s="223" t="s">
        <v>34</v>
      </c>
      <c r="V128" s="223" t="s">
        <v>285</v>
      </c>
      <c r="W128" s="223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09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09" t="str">
        <f t="shared" si="6"/>
        <v>OutletGY 18 OUTLET WINTER 2</v>
      </c>
      <c r="R129" s="27" t="str">
        <f t="shared" si="7"/>
        <v>2018OutletWinter</v>
      </c>
      <c r="S129" s="223" t="s">
        <v>427</v>
      </c>
      <c r="T129" s="223" t="s">
        <v>17</v>
      </c>
      <c r="U129" s="223" t="s">
        <v>34</v>
      </c>
      <c r="V129" s="223" t="s">
        <v>289</v>
      </c>
      <c r="W129" s="223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09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09" t="str">
        <f t="shared" si="6"/>
        <v>OutletGY 18 OUTLET WINTER 3</v>
      </c>
      <c r="R130" s="27" t="str">
        <f t="shared" si="7"/>
        <v>2018OutletWinter</v>
      </c>
      <c r="S130" s="223" t="s">
        <v>427</v>
      </c>
      <c r="T130" s="223" t="s">
        <v>17</v>
      </c>
      <c r="U130" s="223" t="s">
        <v>34</v>
      </c>
      <c r="V130" s="223" t="s">
        <v>295</v>
      </c>
      <c r="W130" s="223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09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09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23" t="s">
        <v>427</v>
      </c>
      <c r="T131" s="223" t="s">
        <v>17</v>
      </c>
      <c r="U131" s="223" t="s">
        <v>34</v>
      </c>
      <c r="V131" s="223" t="s">
        <v>287</v>
      </c>
      <c r="W131" s="223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09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09" t="str">
        <f t="shared" si="10"/>
        <v>OutletGY 18 OUTLET BNB Spring</v>
      </c>
      <c r="R132" s="27" t="str">
        <f t="shared" si="11"/>
        <v>2018OutletSpring</v>
      </c>
      <c r="S132" s="223" t="s">
        <v>427</v>
      </c>
      <c r="T132" s="223" t="s">
        <v>17</v>
      </c>
      <c r="U132" s="223" t="s">
        <v>16</v>
      </c>
      <c r="V132" s="223" t="s">
        <v>247</v>
      </c>
      <c r="W132" s="223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09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09" t="str">
        <f t="shared" si="10"/>
        <v>OutletGY 18 OUTLET Easter</v>
      </c>
      <c r="R133" s="27" t="str">
        <f t="shared" si="11"/>
        <v>2018OutletSpring</v>
      </c>
      <c r="S133" s="223" t="s">
        <v>427</v>
      </c>
      <c r="T133" s="223" t="s">
        <v>17</v>
      </c>
      <c r="U133" s="223" t="s">
        <v>16</v>
      </c>
      <c r="V133" s="223" t="s">
        <v>251</v>
      </c>
      <c r="W133" s="223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09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09" t="str">
        <f t="shared" si="10"/>
        <v>OutletGY 18 OUTLET SPR</v>
      </c>
      <c r="R134" s="27" t="str">
        <f t="shared" si="11"/>
        <v>2018OutletSpring</v>
      </c>
      <c r="S134" s="223" t="s">
        <v>427</v>
      </c>
      <c r="T134" s="223" t="s">
        <v>17</v>
      </c>
      <c r="U134" s="223" t="s">
        <v>16</v>
      </c>
      <c r="V134" s="223" t="s">
        <v>245</v>
      </c>
      <c r="W134" s="223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09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09" t="str">
        <f t="shared" si="10"/>
        <v>OutletGY 18 OUTLET Spr Fashion Cap</v>
      </c>
      <c r="R135" s="27" t="str">
        <f t="shared" si="11"/>
        <v>2018OutletSpring</v>
      </c>
      <c r="S135" s="223" t="s">
        <v>427</v>
      </c>
      <c r="T135" s="223" t="s">
        <v>17</v>
      </c>
      <c r="U135" s="223" t="s">
        <v>16</v>
      </c>
      <c r="V135" s="223" t="s">
        <v>253</v>
      </c>
      <c r="W135" s="223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09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09" t="str">
        <f t="shared" si="10"/>
        <v>OutletGY 18 OUTLET SPRING 1</v>
      </c>
      <c r="R136" s="27" t="str">
        <f t="shared" si="11"/>
        <v>2018OutletSpring</v>
      </c>
      <c r="S136" s="223" t="s">
        <v>427</v>
      </c>
      <c r="T136" s="223" t="s">
        <v>17</v>
      </c>
      <c r="U136" s="223" t="s">
        <v>16</v>
      </c>
      <c r="V136" s="223" t="s">
        <v>255</v>
      </c>
      <c r="W136" s="223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09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09" t="str">
        <f t="shared" si="10"/>
        <v>OutletGY 18 OUTLET Spring 2</v>
      </c>
      <c r="R137" s="27" t="str">
        <f t="shared" si="11"/>
        <v>2018OutletSpring</v>
      </c>
      <c r="S137" s="223" t="s">
        <v>427</v>
      </c>
      <c r="T137" s="223" t="s">
        <v>17</v>
      </c>
      <c r="U137" s="223" t="s">
        <v>16</v>
      </c>
      <c r="V137" s="223" t="s">
        <v>257</v>
      </c>
      <c r="W137" s="223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09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09" t="str">
        <f t="shared" si="10"/>
        <v>OutletGY 18 OUTLET Spring 3</v>
      </c>
      <c r="R138" s="27" t="str">
        <f t="shared" si="11"/>
        <v>2018OutletSpring</v>
      </c>
      <c r="S138" s="223" t="s">
        <v>427</v>
      </c>
      <c r="T138" s="223" t="s">
        <v>17</v>
      </c>
      <c r="U138" s="223" t="s">
        <v>16</v>
      </c>
      <c r="V138" s="223" t="s">
        <v>259</v>
      </c>
      <c r="W138" s="223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09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09" t="str">
        <f t="shared" si="10"/>
        <v>OutletGY 18 OUTLET SPRING ACTIVE</v>
      </c>
      <c r="R139" s="27" t="str">
        <f t="shared" si="11"/>
        <v>2018OutletSpring</v>
      </c>
      <c r="S139" s="223" t="s">
        <v>427</v>
      </c>
      <c r="T139" s="223" t="s">
        <v>17</v>
      </c>
      <c r="U139" s="223" t="s">
        <v>16</v>
      </c>
      <c r="V139" s="223" t="s">
        <v>249</v>
      </c>
      <c r="W139" s="223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09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09" t="str">
        <f t="shared" si="10"/>
        <v>OutletGY 18 OUTLET Swim 1</v>
      </c>
      <c r="R140" s="27" t="str">
        <f t="shared" si="11"/>
        <v>2018OutletSpring</v>
      </c>
      <c r="S140" s="223" t="s">
        <v>427</v>
      </c>
      <c r="T140" s="223" t="s">
        <v>17</v>
      </c>
      <c r="U140" s="223" t="s">
        <v>16</v>
      </c>
      <c r="V140" s="223" t="s">
        <v>261</v>
      </c>
      <c r="W140" s="223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09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09" t="str">
        <f t="shared" si="10"/>
        <v>OutletGY 18 OUTLET Swim 2</v>
      </c>
      <c r="R141" s="27" t="str">
        <f t="shared" si="11"/>
        <v>2018OutletSpring</v>
      </c>
      <c r="S141" s="223" t="s">
        <v>427</v>
      </c>
      <c r="T141" s="223" t="s">
        <v>17</v>
      </c>
      <c r="U141" s="223" t="s">
        <v>16</v>
      </c>
      <c r="V141" s="223" t="s">
        <v>263</v>
      </c>
      <c r="W141" s="223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09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09" t="str">
        <f t="shared" si="10"/>
        <v>OutletGY 18 OUTLET VDAY</v>
      </c>
      <c r="R142" s="27" t="str">
        <f t="shared" si="11"/>
        <v>2018OutletSpring</v>
      </c>
      <c r="S142" s="223" t="s">
        <v>427</v>
      </c>
      <c r="T142" s="223" t="s">
        <v>17</v>
      </c>
      <c r="U142" s="223" t="s">
        <v>16</v>
      </c>
      <c r="V142" s="223" t="s">
        <v>243</v>
      </c>
      <c r="W142" s="223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09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09" t="str">
        <f t="shared" si="10"/>
        <v>OutletGY 18 OUTLET BNB SUMMER</v>
      </c>
      <c r="R143" s="27" t="str">
        <f t="shared" si="11"/>
        <v>2018OutletSummer</v>
      </c>
      <c r="S143" s="223" t="s">
        <v>427</v>
      </c>
      <c r="T143" s="223" t="s">
        <v>17</v>
      </c>
      <c r="U143" s="223" t="s">
        <v>18</v>
      </c>
      <c r="V143" s="223" t="s">
        <v>269</v>
      </c>
      <c r="W143" s="223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09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09" t="str">
        <f t="shared" si="10"/>
        <v>OutletGY 18 OUTLET SMR</v>
      </c>
      <c r="R144" s="27" t="str">
        <f t="shared" si="11"/>
        <v>2018OutletSummer</v>
      </c>
      <c r="S144" s="223" t="s">
        <v>427</v>
      </c>
      <c r="T144" s="223" t="s">
        <v>17</v>
      </c>
      <c r="U144" s="223" t="s">
        <v>18</v>
      </c>
      <c r="V144" s="223" t="s">
        <v>267</v>
      </c>
      <c r="W144" s="223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09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09" t="str">
        <f t="shared" si="10"/>
        <v>OutletGY 18 OUTLET Summer 1</v>
      </c>
      <c r="R145" s="27" t="str">
        <f t="shared" si="11"/>
        <v>2018OutletSummer</v>
      </c>
      <c r="S145" s="223" t="s">
        <v>427</v>
      </c>
      <c r="T145" s="223" t="s">
        <v>17</v>
      </c>
      <c r="U145" s="223" t="s">
        <v>18</v>
      </c>
      <c r="V145" s="223" t="s">
        <v>273</v>
      </c>
      <c r="W145" s="223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09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09" t="str">
        <f t="shared" si="10"/>
        <v>OutletGY 18 OUTLET SUMMER 2</v>
      </c>
      <c r="R146" s="27" t="str">
        <f t="shared" si="11"/>
        <v>2018OutletSummer</v>
      </c>
      <c r="S146" s="223" t="s">
        <v>427</v>
      </c>
      <c r="T146" s="223" t="s">
        <v>17</v>
      </c>
      <c r="U146" s="223" t="s">
        <v>18</v>
      </c>
      <c r="V146" s="223" t="s">
        <v>275</v>
      </c>
      <c r="W146" s="223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09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09" t="str">
        <f t="shared" si="10"/>
        <v>OutletGY 18 OUTLET SUMMER 3</v>
      </c>
      <c r="R147" s="27" t="str">
        <f t="shared" si="11"/>
        <v>2018OutletSummer</v>
      </c>
      <c r="S147" s="223" t="s">
        <v>427</v>
      </c>
      <c r="T147" s="223" t="s">
        <v>17</v>
      </c>
      <c r="U147" s="223" t="s">
        <v>18</v>
      </c>
      <c r="V147" s="223" t="s">
        <v>277</v>
      </c>
      <c r="W147" s="223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09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09" t="str">
        <f t="shared" si="10"/>
        <v>OutletGY 18 OUTLET SUMMER 4</v>
      </c>
      <c r="R148" s="27" t="str">
        <f t="shared" si="11"/>
        <v>2018OutletSummer</v>
      </c>
      <c r="S148" s="223" t="s">
        <v>427</v>
      </c>
      <c r="T148" s="223" t="s">
        <v>17</v>
      </c>
      <c r="U148" s="223" t="s">
        <v>18</v>
      </c>
      <c r="V148" s="223" t="s">
        <v>279</v>
      </c>
      <c r="W148" s="223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09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09" t="str">
        <f t="shared" si="10"/>
        <v>OutletGY 18 OUTLET SUMMER ACTIVE</v>
      </c>
      <c r="R149" s="27" t="str">
        <f t="shared" si="11"/>
        <v>2018OutletSummer</v>
      </c>
      <c r="S149" s="223" t="s">
        <v>427</v>
      </c>
      <c r="T149" s="223" t="s">
        <v>17</v>
      </c>
      <c r="U149" s="223" t="s">
        <v>18</v>
      </c>
      <c r="V149" s="223" t="s">
        <v>271</v>
      </c>
      <c r="W149" s="223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09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09" t="str">
        <f t="shared" si="10"/>
        <v>OutletGY 18 OUTLET SWIM 3</v>
      </c>
      <c r="R150" s="27" t="str">
        <f t="shared" si="11"/>
        <v>2018OutletSummer</v>
      </c>
      <c r="S150" s="223" t="s">
        <v>427</v>
      </c>
      <c r="T150" s="223" t="s">
        <v>17</v>
      </c>
      <c r="U150" s="223" t="s">
        <v>18</v>
      </c>
      <c r="V150" s="223" t="s">
        <v>265</v>
      </c>
      <c r="W150" s="223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09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09" t="str">
        <f t="shared" si="10"/>
        <v>OutletGY 18 OUTLET TRANSITION</v>
      </c>
      <c r="R151" s="27" t="str">
        <f t="shared" si="11"/>
        <v>2018OutletSummer</v>
      </c>
      <c r="S151" s="223" t="s">
        <v>427</v>
      </c>
      <c r="T151" s="223" t="s">
        <v>17</v>
      </c>
      <c r="U151" s="223" t="s">
        <v>18</v>
      </c>
      <c r="V151" s="223" t="s">
        <v>283</v>
      </c>
      <c r="W151" s="223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09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09" t="str">
        <f t="shared" si="10"/>
        <v>OutletGY 18 OUTLET UNIFORM</v>
      </c>
      <c r="R152" s="27" t="str">
        <f t="shared" si="11"/>
        <v>2018OutletSummer</v>
      </c>
      <c r="S152" s="223" t="s">
        <v>427</v>
      </c>
      <c r="T152" s="223" t="s">
        <v>17</v>
      </c>
      <c r="U152" s="223" t="s">
        <v>18</v>
      </c>
      <c r="V152" s="223" t="s">
        <v>281</v>
      </c>
      <c r="W152" s="223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09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09" t="str">
        <f t="shared" si="10"/>
        <v>OutletGY 18 OUTLET BNB FAL</v>
      </c>
      <c r="R153" s="27" t="str">
        <f t="shared" si="11"/>
        <v>2018OutletFall</v>
      </c>
      <c r="S153" s="223" t="s">
        <v>427</v>
      </c>
      <c r="T153" s="223" t="s">
        <v>17</v>
      </c>
      <c r="U153" s="223" t="s">
        <v>33</v>
      </c>
      <c r="V153" s="223" t="s">
        <v>230</v>
      </c>
      <c r="W153" s="223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09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09" t="str">
        <f t="shared" si="10"/>
        <v>OutletGY 18 OUTLET BTS 1</v>
      </c>
      <c r="R154" s="27" t="str">
        <f t="shared" si="11"/>
        <v>2018OutletFall</v>
      </c>
      <c r="S154" s="223" t="s">
        <v>427</v>
      </c>
      <c r="T154" s="223" t="s">
        <v>17</v>
      </c>
      <c r="U154" s="223" t="s">
        <v>33</v>
      </c>
      <c r="V154" s="223" t="s">
        <v>226</v>
      </c>
      <c r="W154" s="223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09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09" t="str">
        <f t="shared" si="10"/>
        <v>OutletGY 18 OUTLET BTS 2</v>
      </c>
      <c r="R155" s="27" t="str">
        <f t="shared" si="11"/>
        <v>2018OutletFall</v>
      </c>
      <c r="S155" s="223" t="s">
        <v>427</v>
      </c>
      <c r="T155" s="223" t="s">
        <v>17</v>
      </c>
      <c r="U155" s="223" t="s">
        <v>33</v>
      </c>
      <c r="V155" s="223" t="s">
        <v>228</v>
      </c>
      <c r="W155" s="223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09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09" t="str">
        <f t="shared" si="10"/>
        <v>OutletGY 18 OUTLET FAL</v>
      </c>
      <c r="R156" s="27" t="str">
        <f t="shared" si="11"/>
        <v>2018OutletFall</v>
      </c>
      <c r="S156" s="223" t="s">
        <v>427</v>
      </c>
      <c r="T156" s="223" t="s">
        <v>17</v>
      </c>
      <c r="U156" s="223" t="s">
        <v>33</v>
      </c>
      <c r="V156" s="223" t="s">
        <v>224</v>
      </c>
      <c r="W156" s="223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09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09" t="str">
        <f t="shared" si="10"/>
        <v>OutletGY 18 OUTLET FALL 1</v>
      </c>
      <c r="R157" s="27" t="str">
        <f t="shared" si="11"/>
        <v>2018OutletFall</v>
      </c>
      <c r="S157" s="223" t="s">
        <v>427</v>
      </c>
      <c r="T157" s="223" t="s">
        <v>17</v>
      </c>
      <c r="U157" s="223" t="s">
        <v>33</v>
      </c>
      <c r="V157" s="223" t="s">
        <v>232</v>
      </c>
      <c r="W157" s="223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09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09" t="str">
        <f t="shared" si="10"/>
        <v>OutletGY 18 OUTLET FALL 2</v>
      </c>
      <c r="R158" s="27" t="str">
        <f t="shared" si="11"/>
        <v>2018OutletFall</v>
      </c>
      <c r="S158" s="223" t="s">
        <v>427</v>
      </c>
      <c r="T158" s="223" t="s">
        <v>17</v>
      </c>
      <c r="U158" s="223" t="s">
        <v>33</v>
      </c>
      <c r="V158" s="223" t="s">
        <v>235</v>
      </c>
      <c r="W158" s="223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09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09" t="str">
        <f t="shared" si="10"/>
        <v>OutletGY 18 OUTLET HARVEST</v>
      </c>
      <c r="R159" s="27" t="str">
        <f t="shared" si="11"/>
        <v>2018OutletFall</v>
      </c>
      <c r="S159" s="223" t="s">
        <v>427</v>
      </c>
      <c r="T159" s="223" t="s">
        <v>17</v>
      </c>
      <c r="U159" s="223" t="s">
        <v>33</v>
      </c>
      <c r="V159" s="223" t="s">
        <v>234</v>
      </c>
      <c r="W159" s="223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09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09" t="str">
        <f t="shared" si="10"/>
        <v>OutletGY 18 OUTLET HOLIDAY DRESSY</v>
      </c>
      <c r="R160" s="27" t="str">
        <f t="shared" si="11"/>
        <v>2018OutletFall</v>
      </c>
      <c r="S160" s="223" t="s">
        <v>427</v>
      </c>
      <c r="T160" s="223" t="s">
        <v>17</v>
      </c>
      <c r="U160" s="223" t="s">
        <v>33</v>
      </c>
      <c r="V160" s="223" t="s">
        <v>237</v>
      </c>
      <c r="W160" s="223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09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09" t="str">
        <f t="shared" si="10"/>
        <v>OutletGY 18 OUTLET SB1</v>
      </c>
      <c r="R161" s="27" t="str">
        <f t="shared" si="11"/>
        <v>2018OutletSeasonal Basics</v>
      </c>
      <c r="S161" s="223" t="s">
        <v>427</v>
      </c>
      <c r="T161" s="223" t="s">
        <v>17</v>
      </c>
      <c r="U161" s="223" t="s">
        <v>71</v>
      </c>
      <c r="V161" s="223" t="s">
        <v>239</v>
      </c>
      <c r="W161" s="223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09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09" t="str">
        <f t="shared" si="10"/>
        <v>OutletGY 18 OUTLET SB2</v>
      </c>
      <c r="R162" s="27" t="str">
        <f t="shared" si="11"/>
        <v>2018OutletSeasonal Basics</v>
      </c>
      <c r="S162" s="223" t="s">
        <v>427</v>
      </c>
      <c r="T162" s="223" t="s">
        <v>17</v>
      </c>
      <c r="U162" s="223" t="s">
        <v>71</v>
      </c>
      <c r="V162" s="223" t="s">
        <v>241</v>
      </c>
      <c r="W162" s="223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09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09" t="str">
        <f t="shared" si="10"/>
        <v>OutletGY OUTLET YRLY BSCS</v>
      </c>
      <c r="R163" s="27" t="str">
        <f t="shared" si="11"/>
        <v>2018OutletBasics</v>
      </c>
      <c r="S163" s="223" t="s">
        <v>427</v>
      </c>
      <c r="T163" s="223" t="s">
        <v>17</v>
      </c>
      <c r="U163" s="223" t="s">
        <v>35</v>
      </c>
      <c r="V163" s="223" t="s">
        <v>308</v>
      </c>
      <c r="W163" s="223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09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09" t="str">
        <f t="shared" si="10"/>
        <v>OutletWINTER 17</v>
      </c>
      <c r="R164" s="27" t="str">
        <f t="shared" si="11"/>
        <v>2018OutletWINTER 17</v>
      </c>
      <c r="S164" s="223" t="s">
        <v>427</v>
      </c>
      <c r="T164" s="223" t="s">
        <v>17</v>
      </c>
      <c r="U164" s="223" t="s">
        <v>443</v>
      </c>
      <c r="V164" s="223" t="s">
        <v>443</v>
      </c>
      <c r="W164" s="223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09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09" t="str">
        <f t="shared" si="10"/>
        <v>OutletOLD</v>
      </c>
      <c r="R165" s="27" t="str">
        <f t="shared" si="11"/>
        <v>2018OutletOLD</v>
      </c>
      <c r="S165" s="223" t="s">
        <v>427</v>
      </c>
      <c r="T165" s="223" t="s">
        <v>17</v>
      </c>
      <c r="U165" s="223" t="s">
        <v>442</v>
      </c>
      <c r="V165" s="223" t="s">
        <v>442</v>
      </c>
      <c r="W165" s="223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09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09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09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09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09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09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09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09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09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09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09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09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09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09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09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09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09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09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09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09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09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09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09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09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09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09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09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09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09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09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09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09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09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09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09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09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09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09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09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09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09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09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09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09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09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09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09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09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09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09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09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09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09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09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09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09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09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09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09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09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09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09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09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09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09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09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09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09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09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09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09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09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09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09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09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09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09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09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09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09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09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09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09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09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09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09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09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09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09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09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09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09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09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09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09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09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09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09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09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09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09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09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09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09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09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09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09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09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09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09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09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09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09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09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09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09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09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09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09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09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09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09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09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09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09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09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09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09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09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09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09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09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09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09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09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09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09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09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09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09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09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09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09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09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09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09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09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09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09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09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09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09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09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09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09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09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09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09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0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09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09" t="str">
        <f t="shared" si="17"/>
        <v>OutletUSAOutletGY 17 OUTLET SB1</v>
      </c>
      <c r="AN245" s="115" t="s">
        <v>17</v>
      </c>
      <c r="AO245" s="115" t="s">
        <v>17</v>
      </c>
      <c r="AP245" s="115" t="s">
        <v>312</v>
      </c>
      <c r="AQ245" s="1">
        <v>2017</v>
      </c>
      <c r="AR245" s="115" t="s">
        <v>71</v>
      </c>
      <c r="AS245" s="122" t="s">
        <v>240</v>
      </c>
      <c r="AT245" s="115">
        <v>16.510000000000002</v>
      </c>
      <c r="AU245" s="115">
        <v>3.13</v>
      </c>
      <c r="AV245" s="115">
        <v>641592</v>
      </c>
      <c r="AW245" s="115">
        <v>0.66</v>
      </c>
      <c r="AX245" s="115">
        <v>201751</v>
      </c>
      <c r="AY245" s="115">
        <v>20</v>
      </c>
      <c r="AZ245" s="19"/>
    </row>
    <row r="246" spans="17:52" x14ac:dyDescent="0.25">
      <c r="Q246" s="109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09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23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09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09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23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09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09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23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09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09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23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09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09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23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09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09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23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09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09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23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09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09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23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09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09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23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09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09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23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09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09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23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09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09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23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09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09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23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09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09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23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09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09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23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09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09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23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09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09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23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09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09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23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09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09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23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09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09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23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09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09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23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09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09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23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09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09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23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09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09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23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09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09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23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09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09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23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09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09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23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09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09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23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09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09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23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09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09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23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09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09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23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09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09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23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09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09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23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09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09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23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09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09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23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09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09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23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09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09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23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09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09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23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09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09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23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09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09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23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09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09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23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09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09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23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09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09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23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09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09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23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09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09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23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09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09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23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09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09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23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09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09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23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09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09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23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09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09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23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09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09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23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09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09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23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09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09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23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09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09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23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09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09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23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09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09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23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09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09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23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09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09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23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09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09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23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09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09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23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09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09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23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09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09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23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09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09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23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09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09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23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09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09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23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09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09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23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09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09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23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09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09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23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09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09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23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09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09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23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09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09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23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09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09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23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09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09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23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09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09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23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09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09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23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09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09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23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09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09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23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09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23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09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23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09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23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09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23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09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23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09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23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09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23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09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23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09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23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09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23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09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23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09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23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09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23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09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23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09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23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09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23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09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23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09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23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09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23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09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23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09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23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09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23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09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23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09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23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09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23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09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23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09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23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09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23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09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23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09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23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09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23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09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23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09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23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09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23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09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23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09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23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09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23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09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23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09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23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09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23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09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23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09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23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09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23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09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23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09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23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09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23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09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23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09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23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09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23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09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23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09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23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09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23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09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23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09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23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09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23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09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23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09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23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09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23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09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23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09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23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09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23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09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23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09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23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09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23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09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23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09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23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09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23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09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23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09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23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09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23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09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23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09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23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09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23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09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23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09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23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09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23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09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23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09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23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09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23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09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23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09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23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09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23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09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23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09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23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09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23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09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23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09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23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09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23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09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23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09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23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09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23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09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23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09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23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09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23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09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23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09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23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09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23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09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23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09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23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09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23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09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23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09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23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09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23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09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23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09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23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09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23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09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23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09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23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09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23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09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23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09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23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09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23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09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23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09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23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09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23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09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23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09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23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09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23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09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23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09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23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09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23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09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23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09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23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09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23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23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23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23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23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23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23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23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23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23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23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23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23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23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23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23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23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23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23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23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23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23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23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23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23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23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23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23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23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23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23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23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23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23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23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23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23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23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23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23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23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23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23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23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23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23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23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23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23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23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23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23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23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23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23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23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23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23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23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23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23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23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23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23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23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23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23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23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23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23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23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23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23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23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23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24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24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2018-06-19T00:05:18Z</dcterms:modified>
</cp:coreProperties>
</file>