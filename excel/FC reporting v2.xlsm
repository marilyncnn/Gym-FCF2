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9440" windowHeight="475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Plan'!$A$1:$J$673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Settings!$Z$1:$AJ$314</definedName>
    <definedName name="_xlnm._FilterDatabase" localSheetId="4" hidden="1">'Source Data'!$B$4:$U$310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Settings!$G$2:$G$7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History'!$A$2:$J$522</definedName>
    <definedName name="tblEopPlan">'EOP Plan'!$A$2:$J$671</definedName>
    <definedName name="tblFC">Settings!$Z$2:$AF$165</definedName>
    <definedName name="tblForecast">'Source Data'!$B$5:$I$837</definedName>
    <definedName name="tblMonth">Settings!$V$7:$W$18</definedName>
    <definedName name="tblQtr">Settings!$Q$3:$R$6</definedName>
    <definedName name="tblRptType">Settings!$U$2:$V$18</definedName>
    <definedName name="tblSourceData">'Source Data'!$B$5:$U$88</definedName>
    <definedName name="View">Admin!$F$11</definedName>
  </definedNames>
  <calcPr calcId="145621"/>
</workbook>
</file>

<file path=xl/calcChain.xml><?xml version="1.0" encoding="utf-8"?>
<calcChain xmlns="http://schemas.openxmlformats.org/spreadsheetml/2006/main"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T60" i="5" s="1"/>
  <c r="A3" i="12"/>
  <c r="A2" i="12"/>
  <c r="I88" i="5"/>
  <c r="I87" i="5"/>
  <c r="I85" i="5"/>
  <c r="I84" i="5"/>
  <c r="I83" i="5"/>
  <c r="I81" i="5"/>
  <c r="I78" i="5"/>
  <c r="I75" i="5"/>
  <c r="I72" i="5"/>
  <c r="I69" i="5"/>
  <c r="I66" i="5"/>
  <c r="I74" i="5"/>
  <c r="I80" i="5"/>
  <c r="I77" i="5"/>
  <c r="I71" i="5"/>
  <c r="I68" i="5"/>
  <c r="I65" i="5"/>
  <c r="I82" i="5"/>
  <c r="I62" i="5"/>
  <c r="I59" i="5"/>
  <c r="I56" i="5"/>
  <c r="I63" i="5"/>
  <c r="I53" i="5"/>
  <c r="I50" i="5"/>
  <c r="I47" i="5"/>
  <c r="I44" i="5"/>
  <c r="I41" i="5"/>
  <c r="I61" i="5"/>
  <c r="I58" i="5"/>
  <c r="I55" i="5"/>
  <c r="I52" i="5"/>
  <c r="I49" i="5"/>
  <c r="I46" i="5"/>
  <c r="I43" i="5"/>
  <c r="I40" i="5"/>
  <c r="I37" i="5"/>
  <c r="I38" i="5"/>
  <c r="I36" i="5"/>
  <c r="I35" i="5"/>
  <c r="I30" i="5"/>
  <c r="I27" i="5"/>
  <c r="I24" i="5"/>
  <c r="I21" i="5"/>
  <c r="I33" i="5"/>
  <c r="I32" i="5"/>
  <c r="I31" i="5"/>
  <c r="I29" i="5"/>
  <c r="I26" i="5"/>
  <c r="I23" i="5"/>
  <c r="I20" i="5"/>
  <c r="I18" i="5"/>
  <c r="I17" i="5"/>
  <c r="I15" i="5"/>
  <c r="I14" i="5"/>
  <c r="I12" i="5"/>
  <c r="I11" i="5"/>
  <c r="I9" i="5"/>
  <c r="I8" i="5"/>
  <c r="I6" i="5"/>
  <c r="T7" i="5"/>
  <c r="T84" i="5" l="1"/>
  <c r="T76" i="5"/>
  <c r="T34" i="5"/>
  <c r="T86" i="5"/>
  <c r="T57" i="5"/>
  <c r="T28" i="5"/>
  <c r="T5" i="5"/>
  <c r="T79" i="5"/>
  <c r="T25" i="5"/>
  <c r="T73" i="5"/>
  <c r="T67" i="5"/>
  <c r="T42" i="5"/>
  <c r="T10" i="5"/>
  <c r="T54" i="5"/>
  <c r="T19" i="5"/>
  <c r="T64" i="5"/>
  <c r="T48" i="5"/>
  <c r="T13" i="5"/>
  <c r="T39" i="5"/>
  <c r="T85" i="5"/>
  <c r="T62" i="5"/>
  <c r="T40" i="5"/>
  <c r="T12" i="5"/>
  <c r="T71" i="5"/>
  <c r="T52" i="5"/>
  <c r="T29" i="5"/>
  <c r="T66" i="5"/>
  <c r="T41" i="5"/>
  <c r="T21" i="5"/>
  <c r="T6" i="5"/>
  <c r="T78" i="5"/>
  <c r="T53" i="5"/>
  <c r="T35" i="5"/>
  <c r="T18" i="5"/>
  <c r="T16" i="5"/>
  <c r="T45" i="5"/>
  <c r="T70" i="5"/>
  <c r="T8" i="5"/>
  <c r="T14" i="5"/>
  <c r="T20" i="5"/>
  <c r="T31" i="5"/>
  <c r="T24" i="5"/>
  <c r="T36" i="5"/>
  <c r="T43" i="5"/>
  <c r="T55" i="5"/>
  <c r="T44" i="5"/>
  <c r="T63" i="5"/>
  <c r="T82" i="5"/>
  <c r="T77" i="5"/>
  <c r="T69" i="5"/>
  <c r="T81" i="5"/>
  <c r="T87" i="5"/>
  <c r="T22" i="5"/>
  <c r="T51" i="5"/>
  <c r="T9" i="5"/>
  <c r="T15" i="5"/>
  <c r="T23" i="5"/>
  <c r="T32" i="5"/>
  <c r="T27" i="5"/>
  <c r="T38" i="5"/>
  <c r="T46" i="5"/>
  <c r="T58" i="5"/>
  <c r="T47" i="5"/>
  <c r="T56" i="5"/>
  <c r="T65" i="5"/>
  <c r="T80" i="5"/>
  <c r="T72" i="5"/>
  <c r="T83" i="5"/>
  <c r="T88" i="5"/>
  <c r="T11" i="5"/>
  <c r="T17" i="5"/>
  <c r="T26" i="5"/>
  <c r="T33" i="5"/>
  <c r="T30" i="5"/>
  <c r="T37" i="5"/>
  <c r="T49" i="5"/>
  <c r="T61" i="5"/>
  <c r="T50" i="5"/>
  <c r="T59" i="5"/>
  <c r="T68" i="5"/>
  <c r="T74" i="5"/>
  <c r="T75" i="5"/>
  <c r="C14" i="8"/>
  <c r="AE2" i="9" l="1"/>
  <c r="AD2" i="9"/>
  <c r="AC2" i="9"/>
  <c r="AB2" i="9"/>
  <c r="AA9" i="9"/>
  <c r="Z9" i="9"/>
  <c r="Z7" i="9"/>
  <c r="AA7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U7" i="9" s="1"/>
  <c r="N7" i="9"/>
  <c r="T7" i="9" s="1"/>
  <c r="E7" i="9"/>
  <c r="D7" i="9"/>
  <c r="F7" i="9" s="1"/>
  <c r="W7" i="9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2" i="8"/>
  <c r="AA165" i="8"/>
  <c r="AA164" i="8"/>
  <c r="AA163" i="8"/>
  <c r="AA162" i="8"/>
  <c r="AA161" i="8"/>
  <c r="AA160" i="8"/>
  <c r="AA159" i="8"/>
  <c r="AA158" i="8"/>
  <c r="AA157" i="8"/>
  <c r="AA156" i="8"/>
  <c r="AA155" i="8"/>
  <c r="AA154" i="8"/>
  <c r="AA153" i="8"/>
  <c r="AA152" i="8"/>
  <c r="AA151" i="8"/>
  <c r="AA150" i="8"/>
  <c r="AA149" i="8"/>
  <c r="AA148" i="8"/>
  <c r="AA147" i="8"/>
  <c r="AA146" i="8"/>
  <c r="AA145" i="8"/>
  <c r="AA144" i="8"/>
  <c r="AA143" i="8"/>
  <c r="AA142" i="8"/>
  <c r="AA141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N11" i="9" l="1"/>
  <c r="X11" i="9" s="1"/>
  <c r="D11" i="9"/>
  <c r="G7" i="9"/>
  <c r="J7" i="9" s="1"/>
  <c r="S7" i="9"/>
  <c r="M7" i="9"/>
  <c r="V7" i="9"/>
  <c r="P7" i="9"/>
  <c r="G11" i="9" l="1"/>
  <c r="AC11" i="9"/>
  <c r="AD11" i="9"/>
  <c r="AE11" i="9"/>
  <c r="Q11" i="9"/>
  <c r="Z11" i="9" s="1"/>
  <c r="AB11" i="9"/>
  <c r="I7" i="9"/>
  <c r="C22" i="8" l="1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5" i="9" l="1"/>
  <c r="Y5" i="9"/>
  <c r="W5" i="9"/>
  <c r="U5" i="9"/>
  <c r="R5" i="9"/>
  <c r="O5" i="9"/>
  <c r="M5" i="9"/>
  <c r="K5" i="9"/>
  <c r="H5" i="9"/>
  <c r="E5" i="9"/>
  <c r="C21" i="8" l="1"/>
  <c r="C23" i="8" s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AA11" i="9" s="1"/>
  <c r="Q2" i="9"/>
  <c r="O2" i="9"/>
  <c r="O11" i="9" s="1"/>
  <c r="Y11" i="9" s="1"/>
  <c r="N2" i="9"/>
  <c r="E2" i="9"/>
  <c r="E11" i="9" s="1"/>
  <c r="D2" i="9"/>
  <c r="O13" i="9" l="1"/>
  <c r="Y13" i="9" s="1"/>
  <c r="E13" i="9"/>
  <c r="D13" i="9"/>
  <c r="R13" i="9"/>
  <c r="N13" i="9"/>
  <c r="Q13" i="9"/>
  <c r="AJ5" i="8"/>
  <c r="AI5" i="8"/>
  <c r="AH5" i="8"/>
  <c r="AA13" i="9" l="1"/>
  <c r="M13" i="9"/>
  <c r="S11" i="9"/>
  <c r="S13" i="9"/>
  <c r="W13" i="9"/>
  <c r="U13" i="9"/>
  <c r="M11" i="9"/>
  <c r="V11" i="9"/>
  <c r="P13" i="9"/>
  <c r="F13" i="9"/>
  <c r="F11" i="9"/>
  <c r="U9" i="9"/>
  <c r="M9" i="9"/>
  <c r="L13" i="9"/>
  <c r="W11" i="9"/>
  <c r="H9" i="9"/>
  <c r="K9" i="9" s="1"/>
  <c r="W9" i="9"/>
  <c r="U11" i="9"/>
  <c r="Z13" i="9"/>
  <c r="F9" i="9"/>
  <c r="L9" i="9"/>
  <c r="S9" i="9"/>
  <c r="T9" i="9"/>
  <c r="X13" i="9"/>
  <c r="G13" i="9" s="1"/>
  <c r="J13" i="9" s="1"/>
  <c r="G9" i="9"/>
  <c r="V9" i="9"/>
  <c r="P9" i="9"/>
  <c r="V13" i="9"/>
  <c r="T11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J4" i="8" l="1"/>
  <c r="AI4" i="8"/>
  <c r="AH4" i="8"/>
  <c r="AJ3" i="8"/>
  <c r="AI3" i="8"/>
  <c r="AH3" i="8"/>
  <c r="AJ2" i="8"/>
  <c r="AI2" i="8"/>
  <c r="AH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<sst xmlns="http://schemas.openxmlformats.org/spreadsheetml/2006/main" count="7647" uniqueCount="463">
  <si>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</si>
  <si>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</si>
  <si>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</si>
  <si>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</si>
  <si>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</si>
  <si>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</si>
  <si>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</si>
  <si>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</si>
  <si>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</si>
  <si>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</si>
  <si>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</si>
  <si>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</si>
  <si>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</si>
  <si>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</si>
  <si>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</si>
  <si>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</si>
  <si>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</si>
  <si>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</si>
  <si>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</si>
  <si>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</si>
  <si>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</si>
  <si>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</si>
  <si>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</si>
  <si>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</si>
  <si>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</si>
  <si>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</si>
  <si>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</si>
  <si>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</si>
  <si>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</si>
  <si>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</si>
  <si>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</si>
  <si>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</si>
  <si>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</si>
  <si>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</si>
  <si>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</si>
  <si>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</si>
  <si>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</si>
  <si>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</si>
  <si>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</si>
  <si>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</si>
  <si>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</si>
  <si>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</si>
  <si>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</si>
  <si>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</si>
  <si>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</si>
  <si>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</si>
  <si>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</si>
  <si>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</si>
  <si>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</si>
  <si>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</si>
  <si>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</si>
  <si>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</si>
  <si>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</si>
  <si>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</si>
  <si>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</si>
  <si>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</si>
  <si>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</si>
  <si>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</si>
  <si>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</si>
  <si>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</si>
  <si>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</si>
  <si>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</si>
  <si>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</si>
  <si>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</si>
  <si>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</si>
  <si>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</si>
  <si>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</si>
  <si>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</si>
  <si>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</si>
  <si>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</si>
  <si>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</si>
  <si>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</si>
  <si>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</si>
  <si>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</si>
  <si>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</si>
  <si>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</si>
  <si>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</si>
  <si>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</si>
  <si>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</si>
  <si>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</si>
  <si>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</si>
  <si>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</si>
  <si>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</si>
  <si>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</si>
  <si>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</si>
  <si>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GY C8 18 SPR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</si>
  <si>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</si>
  <si>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</si>
  <si>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</si>
  <si>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</si>
  <si>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</si>
  <si>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</si>
  <si>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</si>
  <si>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</si>
  <si>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</si>
  <si>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</si>
  <si>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</si>
  <si>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</si>
  <si>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</si>
  <si>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</si>
  <si>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</si>
  <si>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</si>
  <si>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</si>
  <si>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</si>
  <si>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</si>
  <si>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</si>
  <si>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</si>
  <si>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</si>
  <si>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</si>
  <si>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</si>
  <si>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</si>
  <si>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</si>
  <si>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</si>
  <si>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</si>
  <si>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</si>
  <si>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</si>
  <si>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</si>
  <si>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</si>
  <si>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</si>
  <si>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</si>
  <si>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</si>
  <si>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</si>
  <si>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</si>
  <si>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</si>
  <si>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</si>
  <si>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</si>
  <si>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</si>
  <si>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</si>
  <si>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</si>
  <si>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</si>
  <si>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</si>
  <si>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18 VDAY CAP</t>
  </si>
  <si>
    <t>GY C8 17 VDAY CAP</t>
  </si>
  <si>
    <t>GY C8 18 SPRING TRANS</t>
  </si>
  <si>
    <t>GY C8 17 SPRING TRANS</t>
  </si>
  <si>
    <t>fetch-all</t>
  </si>
  <si>
    <t>GY C8 18 SPR DOORBUSTER</t>
  </si>
  <si>
    <t>GY C8 17 SPR DOORBUSTER</t>
  </si>
  <si>
    <t>push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</si>
  <si>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</si>
  <si>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</si>
  <si>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</si>
  <si>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</si>
  <si>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</si>
  <si>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</si>
  <si>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</si>
  <si>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</si>
  <si>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</si>
  <si>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</si>
  <si>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</si>
  <si>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</si>
  <si>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</si>
  <si>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</si>
  <si>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</si>
  <si>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</si>
  <si>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</si>
  <si>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</si>
  <si>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</si>
  <si>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</si>
  <si>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</si>
  <si>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</si>
  <si>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</si>
  <si>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</si>
  <si>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</si>
  <si>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</si>
  <si>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</si>
  <si>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</si>
  <si>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</si>
  <si>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</si>
  <si>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</si>
  <si>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</si>
  <si>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</si>
  <si>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</si>
  <si>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</si>
  <si>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</si>
  <si>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</si>
  <si>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</si>
  <si>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</si>
  <si>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</si>
  <si>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</si>
  <si>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</si>
  <si>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</si>
  <si>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</si>
  <si>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</si>
  <si>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</si>
  <si>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</si>
  <si>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</si>
  <si>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</si>
  <si>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</si>
  <si>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</si>
  <si>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</si>
  <si>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</si>
  <si>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</si>
  <si>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</si>
  <si>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</si>
  <si>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</si>
  <si>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</si>
  <si>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</si>
  <si>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</si>
  <si>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</si>
  <si>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</si>
  <si>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</si>
  <si>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</si>
  <si>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</si>
  <si>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</si>
  <si>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</si>
  <si>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</si>
  <si>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</si>
  <si>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</si>
  <si>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</si>
  <si>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</si>
  <si>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</si>
  <si>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</si>
  <si>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</si>
  <si>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</si>
  <si>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</si>
  <si>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</si>
  <si>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</si>
  <si>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</si>
  <si>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</si>
  <si>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</si>
  <si>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</si>
  <si>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</si>
  <si>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</si>
  <si>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</si>
  <si>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</si>
  <si>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</si>
  <si>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</si>
  <si>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</si>
  <si>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</si>
  <si>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</si>
  <si>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</si>
  <si>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</si>
  <si>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</si>
  <si>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</si>
  <si>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</si>
  <si>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</si>
  <si>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</si>
  <si>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</si>
  <si>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</si>
  <si>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</si>
  <si>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</si>
  <si>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</si>
  <si>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</si>
  <si>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</si>
  <si>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</si>
  <si>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</si>
  <si>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</si>
  <si>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</si>
  <si>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</si>
  <si>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</si>
  <si>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</si>
  <si>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</si>
  <si>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</si>
  <si>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</si>
  <si>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</si>
  <si>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</si>
  <si>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</si>
  <si>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</si>
  <si>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</si>
  <si>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</si>
  <si>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</si>
  <si>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</si>
  <si>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</si>
  <si>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</si>
  <si>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</si>
  <si>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</si>
  <si>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</si>
  <si>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</si>
  <si>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</si>
  <si>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</si>
  <si>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</si>
  <si>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</si>
  <si>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</si>
  <si>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</si>
  <si>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</si>
  <si>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</si>
  <si>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</si>
  <si>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</si>
  <si>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</si>
  <si>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</si>
  <si>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</si>
  <si>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</si>
  <si>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</si>
  <si>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</si>
  <si>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</si>
  <si>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</si>
  <si>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</si>
  <si>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</si>
  <si>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</si>
  <si>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</si>
  <si>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</si>
  <si>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</si>
  <si>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</si>
  <si>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</si>
  <si>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</si>
  <si>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</si>
  <si>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</si>
  <si>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</si>
  <si>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</si>
  <si>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</si>
  <si>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</si>
  <si>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</si>
  <si>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</si>
  <si>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</si>
  <si>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</si>
  <si>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</si>
  <si>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</si>
  <si>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</si>
  <si>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</si>
  <si>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</si>
  <si>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</si>
  <si>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</si>
  <si>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</si>
  <si>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</si>
  <si>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</si>
  <si>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</si>
  <si>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</si>
  <si>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</si>
  <si>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</si>
  <si>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</si>
  <si>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</si>
  <si>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</si>
  <si>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</si>
  <si>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</si>
  <si>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</si>
  <si>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</si>
  <si>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</si>
  <si>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</si>
  <si>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</si>
  <si>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</si>
  <si>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</si>
  <si>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</si>
  <si>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</si>
  <si>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</si>
  <si>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</si>
  <si>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</si>
  <si>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</si>
  <si>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</si>
  <si>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</si>
  <si>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</si>
  <si>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</si>
  <si>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</si>
  <si>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</si>
  <si>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</si>
  <si>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</si>
  <si>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</si>
  <si>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</si>
  <si>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</si>
  <si>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</si>
  <si>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</si>
  <si>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</si>
  <si>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GY WEBSTORE SKU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</si>
  <si>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</si>
  <si>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</si>
  <si>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</si>
  <si>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</si>
  <si>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</si>
  <si>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</si>
  <si>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</si>
  <si>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</si>
  <si>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</si>
  <si>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</si>
  <si>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</si>
  <si>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</si>
  <si>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</si>
  <si>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</si>
  <si>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</si>
  <si>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</si>
  <si>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</si>
  <si>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</si>
  <si>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</si>
  <si>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</si>
  <si>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</si>
  <si>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</si>
  <si>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</si>
  <si>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</si>
  <si>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</si>
  <si>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</si>
  <si>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</si>
  <si>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</si>
  <si>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</si>
  <si>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</si>
  <si>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</si>
  <si>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</si>
  <si>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</si>
  <si>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</si>
  <si>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</si>
  <si>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</si>
  <si>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</si>
  <si>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</si>
  <si>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</si>
  <si>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</si>
  <si>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</si>
  <si>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</si>
  <si>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</si>
  <si>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</si>
  <si>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</si>
  <si>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</si>
  <si>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</si>
  <si>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</si>
  <si>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</si>
  <si>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</si>
  <si>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</si>
  <si>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CAP</t>
  </si>
  <si>
    <t>GY 17 HO HO SHOP</t>
  </si>
  <si>
    <t>GY 17 HOL</t>
  </si>
  <si>
    <t>GY 17 JAN CAP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</si>
  <si>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</si>
  <si>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</si>
  <si>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</si>
  <si>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</si>
  <si>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</si>
  <si>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</si>
  <si>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KIDZ BOP CAP</t>
  </si>
  <si>
    <t>GY C8 17 WINTER CAP</t>
  </si>
  <si>
    <t>GY C8 17 WINTER TRANS</t>
  </si>
  <si>
    <t>GY C8 17 WTR</t>
  </si>
  <si>
    <t>GY C8 17 WTR DOORBUSTER</t>
  </si>
  <si>
    <t>JJ 17 SUMMER 2 CAP WOMENS</t>
  </si>
  <si>
    <t>JJ 18 MAY SPORT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</si>
  <si>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</si>
  <si>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</si>
  <si>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</si>
  <si>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</si>
  <si>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</si>
  <si>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</si>
  <si>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</si>
  <si>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</si>
  <si>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</si>
  <si>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</si>
  <si>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</si>
  <si>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</si>
  <si>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</si>
  <si>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</si>
  <si>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</si>
  <si>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2018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</si>
  <si>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</si>
  <si>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</si>
  <si>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</si>
  <si>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</si>
  <si>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</si>
  <si>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</si>
  <si>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</si>
  <si>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</si>
  <si>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/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</si>
  <si>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</si>
  <si>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</si>
  <si>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</si>
  <si>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</si>
  <si>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</si>
  <si>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</si>
  <si>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</si>
  <si>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</si>
  <si>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</si>
  <si>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</si>
  <si>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</si>
  <si>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</si>
  <si>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</si>
  <si>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</si>
  <si>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</si>
  <si>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v 2.0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</si>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</sst>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</cellStyleXfs>
  <cellXfs count="225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9" fillId="11" borderId="21" xfId="5" applyFont="1" applyFill="1" applyBorder="1" applyAlignment="1">
      <alignment horizontal="center"/>
    </xf>
    <xf numFmtId="0" fontId="20" fillId="11" borderId="24" xfId="5" applyFont="1" applyFill="1" applyBorder="1" applyAlignment="1">
      <alignment horizontal="center"/>
    </xf>
    <xf numFmtId="0" fontId="20" fillId="11" borderId="25" xfId="5" applyFont="1" applyFill="1" applyBorder="1" applyAlignment="1">
      <alignment horizontal="center"/>
    </xf>
    <xf numFmtId="0" fontId="1" fillId="0" borderId="27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8" xfId="1" applyBorder="1"/>
    <xf numFmtId="0" fontId="1" fillId="0" borderId="28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6" xfId="1" applyFill="1" applyBorder="1" applyAlignment="1">
      <alignment horizontal="right"/>
    </xf>
    <xf numFmtId="0" fontId="0" fillId="0" borderId="29" xfId="0" applyBorder="1"/>
    <xf numFmtId="0" fontId="0" fillId="0" borderId="27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31" xfId="0" applyFont="1" applyFill="1" applyBorder="1"/>
    <xf numFmtId="168" fontId="29" fillId="0" borderId="32" xfId="8" applyNumberFormat="1" applyFont="1" applyFill="1" applyBorder="1" applyAlignment="1">
      <alignment horizontal="center"/>
    </xf>
    <xf numFmtId="168" fontId="29" fillId="0" borderId="33" xfId="7" applyNumberFormat="1" applyFont="1" applyFill="1" applyBorder="1" applyAlignment="1">
      <alignment horizontal="center"/>
    </xf>
    <xf numFmtId="169" fontId="29" fillId="0" borderId="33" xfId="4" applyNumberFormat="1" applyFont="1" applyFill="1" applyBorder="1" applyAlignment="1">
      <alignment horizontal="center"/>
    </xf>
    <xf numFmtId="44" fontId="29" fillId="0" borderId="33" xfId="8" applyFont="1" applyFill="1" applyBorder="1" applyAlignment="1">
      <alignment horizontal="center"/>
    </xf>
    <xf numFmtId="164" fontId="29" fillId="0" borderId="33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31" xfId="0" applyFont="1" applyFill="1" applyBorder="1"/>
    <xf numFmtId="168" fontId="28" fillId="0" borderId="32" xfId="8" applyNumberFormat="1" applyFont="1" applyFill="1" applyBorder="1" applyAlignment="1">
      <alignment horizontal="center"/>
    </xf>
    <xf numFmtId="168" fontId="28" fillId="0" borderId="33" xfId="8" applyNumberFormat="1" applyFont="1" applyFill="1" applyBorder="1" applyAlignment="1">
      <alignment horizontal="center"/>
    </xf>
    <xf numFmtId="169" fontId="28" fillId="0" borderId="33" xfId="4" applyNumberFormat="1" applyFont="1" applyFill="1" applyBorder="1" applyAlignment="1">
      <alignment horizontal="center"/>
    </xf>
    <xf numFmtId="44" fontId="28" fillId="0" borderId="33" xfId="8" applyFont="1" applyFill="1" applyBorder="1" applyAlignment="1">
      <alignment horizontal="center"/>
    </xf>
    <xf numFmtId="164" fontId="28" fillId="0" borderId="33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5" xfId="1" applyBorder="1" applyAlignment="1">
      <alignment horizontal="center"/>
    </xf>
    <xf numFmtId="0" fontId="0" fillId="0" borderId="28" xfId="0" applyBorder="1"/>
    <xf numFmtId="168" fontId="29" fillId="0" borderId="33" xfId="8" applyNumberFormat="1" applyFont="1" applyFill="1" applyBorder="1" applyAlignment="1">
      <alignment horizontal="center"/>
    </xf>
    <xf numFmtId="9" fontId="29" fillId="0" borderId="36" xfId="4" applyFont="1" applyFill="1" applyBorder="1" applyAlignment="1">
      <alignment horizontal="center"/>
    </xf>
    <xf numFmtId="0" fontId="28" fillId="0" borderId="37" xfId="0" applyFont="1" applyBorder="1"/>
    <xf numFmtId="9" fontId="28" fillId="0" borderId="36" xfId="4" applyFont="1" applyFill="1" applyBorder="1" applyAlignment="1">
      <alignment horizontal="center"/>
    </xf>
    <xf numFmtId="168" fontId="29" fillId="0" borderId="38" xfId="7" applyNumberFormat="1" applyFont="1" applyFill="1" applyBorder="1" applyAlignment="1">
      <alignment horizontal="center"/>
    </xf>
    <xf numFmtId="0" fontId="28" fillId="0" borderId="39" xfId="0" applyFont="1" applyBorder="1"/>
    <xf numFmtId="168" fontId="28" fillId="0" borderId="38" xfId="7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169" fontId="29" fillId="0" borderId="38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8" fillId="0" borderId="38" xfId="4" applyNumberFormat="1" applyFont="1" applyFill="1" applyBorder="1" applyAlignment="1">
      <alignment horizontal="center"/>
    </xf>
    <xf numFmtId="44" fontId="29" fillId="0" borderId="38" xfId="8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8" fillId="0" borderId="38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9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164" fontId="29" fillId="0" borderId="38" xfId="7" applyNumberFormat="1" applyFont="1" applyFill="1" applyBorder="1" applyAlignment="1">
      <alignment horizontal="center"/>
    </xf>
    <xf numFmtId="164" fontId="28" fillId="0" borderId="38" xfId="7" applyNumberFormat="1" applyFont="1" applyFill="1" applyBorder="1" applyAlignment="1">
      <alignment horizontal="center"/>
    </xf>
    <xf numFmtId="167" fontId="29" fillId="0" borderId="38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8" fillId="0" borderId="38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2" xfId="0" applyFont="1" applyFill="1" applyBorder="1" applyAlignment="1">
      <alignment horizontal="center"/>
    </xf>
    <xf numFmtId="0" fontId="0" fillId="9" borderId="33" xfId="0" applyFont="1" applyFill="1" applyBorder="1" applyAlignment="1">
      <alignment horizontal="center"/>
    </xf>
    <xf numFmtId="0" fontId="0" fillId="9" borderId="34" xfId="0" applyFont="1" applyFill="1" applyBorder="1" applyAlignment="1">
      <alignment horizontal="center"/>
    </xf>
    <xf numFmtId="0" fontId="19" fillId="11" borderId="35" xfId="5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0" fontId="20" fillId="11" borderId="35" xfId="5" applyFont="1" applyFill="1" applyBorder="1" applyAlignment="1">
      <alignment horizontal="center"/>
    </xf>
    <xf numFmtId="168" fontId="28" fillId="0" borderId="33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5" xfId="1" applyFill="1" applyBorder="1" applyAlignment="1">
      <alignment horizontal="center"/>
    </xf>
    <xf numFmtId="0" fontId="34" fillId="0" borderId="0" xfId="0" applyFont="1" applyAlignment="1">
      <alignment vertical="center"/>
    </xf>
    <xf numFmtId="0" fontId="33" fillId="0" borderId="0" xfId="0" applyFont="1"/>
    <xf numFmtId="43" fontId="0" fillId="0" borderId="0" xfId="7" applyFont="1"/>
    <xf numFmtId="0" fontId="21" fillId="0" borderId="27" xfId="0" applyFont="1" applyBorder="1"/>
    <xf numFmtId="0" fontId="20" fillId="0" borderId="40" xfId="9" applyFont="1" applyFill="1" applyBorder="1" applyAlignment="1">
      <alignment wrapText="1"/>
    </xf>
    <xf numFmtId="0" fontId="28" fillId="6" borderId="0" xfId="0" applyFont="1" applyFill="1"/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11" fillId="9" borderId="30" xfId="0" applyFont="1" applyFill="1" applyBorder="1" applyAlignment="1">
      <alignment horizontal="center"/>
    </xf>
    <xf numFmtId="0" fontId="11" fillId="9" borderId="30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23" fillId="7" borderId="26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6" xfId="1" applyBorder="1"/>
    <xf numFmtId="0" fontId="1" fillId="0" borderId="23" xfId="1" applyBorder="1"/>
  </cellXfs>
  <cellStyles count="10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51" t="s">
        <v>63</v>
      </c>
      <c r="C4" s="51" t="s">
        <v>461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198"/>
      <c r="C6" s="198"/>
      <c r="D6" s="198"/>
      <c r="E6" s="198"/>
      <c r="F6" s="198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99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366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60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105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199" t="s">
        <v>357</v>
      </c>
      <c r="C21" s="199"/>
      <c r="D21" s="200"/>
      <c r="E21" s="200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C9" sqref="C9"/>
    </sheetView>
  </sheetViews>
  <sheetFormatPr defaultColWidth="15.42578125" defaultRowHeight="15" x14ac:dyDescent="0.25"/>
  <cols>
    <col min="1" max="1" width="10.140625" hidden="1" customWidth="1"/>
    <col min="2" max="2" width="18.7109375" hidden="1" customWidth="1"/>
    <col min="3" max="3" width="18.7109375" bestFit="1" customWidth="1"/>
    <col min="4" max="5" width="12" bestFit="1" customWidth="1"/>
    <col min="6" max="6" width="6" bestFit="1" customWidth="1"/>
    <col min="7" max="7" width="12" bestFit="1" customWidth="1"/>
    <col min="8" max="8" width="12" style="106" bestFit="1" customWidth="1"/>
    <col min="9" max="9" width="7.42578125" style="106" bestFit="1" customWidth="1"/>
    <col min="10" max="10" width="9.140625" bestFit="1" customWidth="1"/>
    <col min="11" max="11" width="6.85546875" bestFit="1" customWidth="1"/>
    <col min="12" max="12" width="9.140625" bestFit="1" customWidth="1"/>
    <col min="13" max="13" width="7.5703125" bestFit="1" customWidth="1"/>
    <col min="14" max="15" width="10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9.140625" bestFit="1" customWidth="1"/>
    <col min="21" max="21" width="10" style="104" bestFit="1" customWidth="1"/>
    <col min="22" max="22" width="12.28515625" style="104" bestFit="1" customWidth="1"/>
    <col min="23" max="23" width="6.85546875" bestFit="1" customWidth="1"/>
    <col min="24" max="24" width="9.140625" bestFit="1" customWidth="1"/>
    <col min="25" max="25" width="6.7109375" bestFit="1" customWidth="1"/>
    <col min="26" max="26" width="14.140625" bestFit="1" customWidth="1"/>
    <col min="27" max="27" width="7.5703125" bestFit="1" customWidth="1"/>
    <col min="28" max="31" width="14.5703125" hidden="1" customWidth="1"/>
  </cols>
  <sheetData>
    <row r="1" spans="3:31" s="126" customFormat="1" ht="17.25" hidden="1" customHeight="1" x14ac:dyDescent="0.2">
      <c r="D1" s="126">
        <v>11</v>
      </c>
      <c r="E1" s="126">
        <v>11</v>
      </c>
      <c r="N1" s="126">
        <v>9</v>
      </c>
      <c r="O1" s="126">
        <v>9</v>
      </c>
      <c r="Q1" s="126">
        <v>18</v>
      </c>
      <c r="R1" s="126">
        <v>18</v>
      </c>
      <c r="AB1" s="126">
        <v>12</v>
      </c>
      <c r="AC1" s="126">
        <v>12</v>
      </c>
      <c r="AD1" s="126">
        <v>10</v>
      </c>
      <c r="AE1" s="126">
        <v>10</v>
      </c>
    </row>
    <row r="2" spans="3:31" s="127" customFormat="1" ht="21" hidden="1" customHeight="1" x14ac:dyDescent="0.2">
      <c r="D2" s="128"/>
      <c r="E2" s="129" t="str">
        <f>CompareVer</f>
        <v>LY</v>
      </c>
      <c r="F2" s="129"/>
      <c r="G2" s="129"/>
      <c r="H2" s="129"/>
      <c r="I2" s="129"/>
      <c r="J2" s="129"/>
      <c r="K2" s="129"/>
      <c r="L2" s="129"/>
      <c r="M2" s="129"/>
      <c r="N2" s="128"/>
      <c r="O2" s="129" t="str">
        <f>CompareVer</f>
        <v>LY</v>
      </c>
      <c r="Q2" s="128"/>
      <c r="R2" s="129" t="str">
        <f>CompareVer</f>
        <v>LY</v>
      </c>
      <c r="X2" s="128"/>
      <c r="Y2" s="129"/>
      <c r="Z2" s="128"/>
      <c r="AA2" s="129"/>
      <c r="AB2" s="128"/>
      <c r="AC2" s="129" t="str">
        <f>CompareVer</f>
        <v>LY</v>
      </c>
      <c r="AD2" s="128"/>
      <c r="AE2" s="129" t="str">
        <f>CompareVer</f>
        <v>LY</v>
      </c>
    </row>
    <row r="3" spans="3:31" ht="20.25" x14ac:dyDescent="0.35">
      <c r="C3" s="205" t="s">
        <v>25</v>
      </c>
      <c r="D3" s="205"/>
      <c r="E3" s="205"/>
      <c r="F3" s="205"/>
      <c r="G3" s="205"/>
      <c r="H3" s="205"/>
      <c r="I3" s="205"/>
      <c r="J3" s="205"/>
    </row>
    <row r="4" spans="3:31" ht="26.25" x14ac:dyDescent="0.25">
      <c r="C4" s="204" t="s">
        <v>26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</row>
    <row r="5" spans="3:31" s="76" customFormat="1" ht="17.25" x14ac:dyDescent="0.25">
      <c r="C5" s="203" t="str">
        <f>Brand&amp;" - "&amp;Admin!F8&amp;" - "&amp;Country &amp; " - " &amp; IF(RptLen="Year","",View &amp; " ") &amp; FiscalYr</f>
        <v>Gymboree - Retail - USA - Q2 2018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105"/>
      <c r="V5" s="105"/>
      <c r="W5" s="75"/>
    </row>
    <row r="6" spans="3:31" s="76" customFormat="1" ht="20.25" x14ac:dyDescent="0.25"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/>
      <c r="R6"/>
      <c r="S6" s="149"/>
      <c r="T6" s="149"/>
      <c r="U6" s="105"/>
      <c r="V6" s="105"/>
      <c r="W6" s="75"/>
    </row>
    <row r="7" spans="3:31" s="175" customFormat="1" x14ac:dyDescent="0.25">
      <c r="C7" s="176"/>
      <c r="D7" s="201" t="s">
        <v>65</v>
      </c>
      <c r="E7" s="201"/>
      <c r="F7" s="201"/>
      <c r="G7" s="201" t="s">
        <v>66</v>
      </c>
      <c r="H7" s="201"/>
      <c r="I7" s="201"/>
      <c r="J7" s="201" t="s">
        <v>21</v>
      </c>
      <c r="K7" s="201"/>
      <c r="L7" s="201" t="s">
        <v>22</v>
      </c>
      <c r="M7" s="201"/>
      <c r="N7" s="201" t="s">
        <v>67</v>
      </c>
      <c r="O7" s="201"/>
      <c r="P7" s="201"/>
      <c r="Q7" s="201" t="s">
        <v>68</v>
      </c>
      <c r="R7" s="201"/>
      <c r="S7" s="201"/>
      <c r="T7" s="202" t="s">
        <v>23</v>
      </c>
      <c r="U7" s="202"/>
      <c r="V7" s="202" t="s">
        <v>24</v>
      </c>
      <c r="W7" s="202"/>
      <c r="X7" s="201" t="s">
        <v>37</v>
      </c>
      <c r="Y7" s="201"/>
      <c r="Z7" s="201" t="s">
        <v>36</v>
      </c>
      <c r="AA7" s="201"/>
    </row>
    <row r="8" spans="3:31" s="175" customFormat="1" x14ac:dyDescent="0.25">
      <c r="C8" s="177"/>
      <c r="D8" s="178" t="s">
        <v>453</v>
      </c>
      <c r="E8" s="179" t="str">
        <f>CompareVer</f>
        <v>LY</v>
      </c>
      <c r="F8" s="180" t="s">
        <v>20</v>
      </c>
      <c r="G8" s="178" t="s">
        <v>453</v>
      </c>
      <c r="H8" s="179" t="str">
        <f>CompareVer</f>
        <v>LY</v>
      </c>
      <c r="I8" s="180" t="s">
        <v>20</v>
      </c>
      <c r="J8" s="178" t="s">
        <v>453</v>
      </c>
      <c r="K8" s="180" t="str">
        <f>CompareVer</f>
        <v>LY</v>
      </c>
      <c r="L8" s="178" t="s">
        <v>453</v>
      </c>
      <c r="M8" s="180" t="str">
        <f>CompareVer</f>
        <v>LY</v>
      </c>
      <c r="N8" s="178" t="s">
        <v>453</v>
      </c>
      <c r="O8" s="179" t="str">
        <f>CompareVer</f>
        <v>LY</v>
      </c>
      <c r="P8" s="180" t="s">
        <v>20</v>
      </c>
      <c r="Q8" s="178" t="s">
        <v>453</v>
      </c>
      <c r="R8" s="179" t="str">
        <f>CompareVer</f>
        <v>LY</v>
      </c>
      <c r="S8" s="180" t="s">
        <v>20</v>
      </c>
      <c r="T8" s="178" t="s">
        <v>453</v>
      </c>
      <c r="U8" s="180" t="str">
        <f>CompareVer</f>
        <v>LY</v>
      </c>
      <c r="V8" s="178" t="s">
        <v>453</v>
      </c>
      <c r="W8" s="180" t="str">
        <f>CompareVer</f>
        <v>LY</v>
      </c>
      <c r="X8" s="178" t="s">
        <v>453</v>
      </c>
      <c r="Y8" s="180" t="str">
        <f>CompareVer</f>
        <v>LY</v>
      </c>
      <c r="Z8" s="178" t="s">
        <v>453</v>
      </c>
      <c r="AA8" s="180" t="str">
        <f>CompareVer</f>
        <v>LY</v>
      </c>
    </row>
  </sheetData>
  <mergeCells count="13">
    <mergeCell ref="C4:V4"/>
    <mergeCell ref="C3:J3"/>
    <mergeCell ref="D7:F7"/>
    <mergeCell ref="G7:I7"/>
    <mergeCell ref="J7:K7"/>
    <mergeCell ref="L7:M7"/>
    <mergeCell ref="N7:P7"/>
    <mergeCell ref="Q7:S7"/>
    <mergeCell ref="Z7:AA7"/>
    <mergeCell ref="T7:U7"/>
    <mergeCell ref="V7:W7"/>
    <mergeCell ref="X7:Y7"/>
    <mergeCell ref="C5:T5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10" t="s">
        <v>65</v>
      </c>
      <c r="D5" s="211"/>
      <c r="E5" s="212"/>
      <c r="F5" s="210" t="s">
        <v>66</v>
      </c>
      <c r="G5" s="211"/>
      <c r="H5" s="212"/>
      <c r="I5" s="213" t="s">
        <v>21</v>
      </c>
      <c r="J5" s="212"/>
      <c r="K5" s="213" t="s">
        <v>22</v>
      </c>
      <c r="L5" s="212"/>
      <c r="M5" s="210" t="s">
        <v>67</v>
      </c>
      <c r="N5" s="211"/>
      <c r="O5" s="212"/>
      <c r="P5" s="210" t="s">
        <v>68</v>
      </c>
      <c r="Q5" s="211"/>
      <c r="R5" s="212"/>
      <c r="S5" s="208" t="s">
        <v>23</v>
      </c>
      <c r="T5" s="209"/>
      <c r="U5" s="206" t="s">
        <v>24</v>
      </c>
      <c r="V5" s="207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14" t="s">
        <v>5</v>
      </c>
      <c r="E29" s="214"/>
      <c r="F29" s="214"/>
      <c r="H29" s="215" t="s">
        <v>6</v>
      </c>
      <c r="I29" s="215"/>
      <c r="J29" s="215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zoomScale="90" zoomScaleNormal="90" zoomScalePageLayoutView="90" workbookViewId="0">
      <selection activeCell="J11" sqref="J11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21" customFormat="1" ht="17.25" customHeight="1" x14ac:dyDescent="0.25">
      <c r="B1" s="121" t="s">
        <v>358</v>
      </c>
      <c r="C1" s="121" t="s">
        <v>393</v>
      </c>
      <c r="D1" s="121" t="s">
        <v>392</v>
      </c>
      <c r="E1" s="121" t="s">
        <v>359</v>
      </c>
      <c r="F1" s="121" t="s">
        <v>360</v>
      </c>
      <c r="G1" s="121" t="s">
        <v>361</v>
      </c>
      <c r="H1" s="121" t="s">
        <v>362</v>
      </c>
      <c r="I1" s="121" t="s">
        <v>363</v>
      </c>
      <c r="K1" s="122" t="s">
        <v>382</v>
      </c>
      <c r="L1" s="122" t="s">
        <v>389</v>
      </c>
      <c r="M1" s="122" t="s">
        <v>383</v>
      </c>
      <c r="N1" s="122" t="s">
        <v>384</v>
      </c>
      <c r="O1" s="122" t="s">
        <v>390</v>
      </c>
      <c r="P1" s="122" t="s">
        <v>388</v>
      </c>
      <c r="Q1" s="122" t="s">
        <v>391</v>
      </c>
      <c r="R1" s="122" t="s">
        <v>387</v>
      </c>
      <c r="S1" s="122" t="s">
        <v>386</v>
      </c>
      <c r="T1" s="122" t="s">
        <v>385</v>
      </c>
      <c r="U1" s="121" t="s">
        <v>421</v>
      </c>
    </row>
    <row r="2" spans="2:21" s="130" customFormat="1" ht="16.5" customHeight="1" x14ac:dyDescent="0.25">
      <c r="B2" s="130">
        <v>0</v>
      </c>
      <c r="C2" s="130">
        <v>1</v>
      </c>
      <c r="D2" s="130">
        <f>C2+1</f>
        <v>2</v>
      </c>
      <c r="E2" s="130">
        <f t="shared" ref="E2:U2" si="0">D2+1</f>
        <v>3</v>
      </c>
      <c r="F2" s="130">
        <f t="shared" si="0"/>
        <v>4</v>
      </c>
      <c r="G2" s="130">
        <f t="shared" si="0"/>
        <v>5</v>
      </c>
      <c r="H2" s="130">
        <f t="shared" si="0"/>
        <v>6</v>
      </c>
      <c r="I2" s="130">
        <f t="shared" si="0"/>
        <v>7</v>
      </c>
      <c r="J2" s="130">
        <f t="shared" si="0"/>
        <v>8</v>
      </c>
      <c r="K2" s="130">
        <f t="shared" si="0"/>
        <v>9</v>
      </c>
      <c r="L2" s="130">
        <f t="shared" si="0"/>
        <v>10</v>
      </c>
      <c r="M2" s="130">
        <f t="shared" si="0"/>
        <v>11</v>
      </c>
      <c r="N2" s="130">
        <f t="shared" si="0"/>
        <v>12</v>
      </c>
      <c r="O2" s="130">
        <f t="shared" si="0"/>
        <v>13</v>
      </c>
      <c r="P2" s="130">
        <f t="shared" si="0"/>
        <v>14</v>
      </c>
      <c r="Q2" s="130">
        <f t="shared" si="0"/>
        <v>15</v>
      </c>
      <c r="R2" s="130">
        <f t="shared" si="0"/>
        <v>16</v>
      </c>
      <c r="S2" s="130">
        <f t="shared" si="0"/>
        <v>17</v>
      </c>
      <c r="T2" s="130">
        <f t="shared" si="0"/>
        <v>18</v>
      </c>
      <c r="U2" s="130">
        <f t="shared" si="0"/>
        <v>19</v>
      </c>
    </row>
    <row r="3" spans="2:21" s="22" customFormat="1" ht="21.75" customHeight="1" x14ac:dyDescent="0.25">
      <c r="B3" s="216"/>
      <c r="C3" s="216"/>
      <c r="D3" s="103"/>
      <c r="K3" s="118"/>
      <c r="L3" s="118"/>
      <c r="M3" s="118"/>
      <c r="N3" s="118"/>
      <c r="O3" s="118"/>
      <c r="P3" s="118"/>
      <c r="Q3" s="118"/>
      <c r="R3" s="118"/>
      <c r="S3" s="118"/>
      <c r="T3" s="118"/>
    </row>
    <row r="4" spans="2:21" s="23" customFormat="1" ht="15" customHeight="1" x14ac:dyDescent="0.25">
      <c r="B4" s="117" t="s">
        <v>423</v>
      </c>
      <c r="C4" s="117" t="s">
        <v>393</v>
      </c>
      <c r="D4" s="117" t="s">
        <v>364</v>
      </c>
      <c r="E4" s="117" t="s">
        <v>99</v>
      </c>
      <c r="F4" s="117" t="s">
        <v>29</v>
      </c>
      <c r="G4" s="117" t="s">
        <v>84</v>
      </c>
      <c r="H4" s="117" t="s">
        <v>10</v>
      </c>
      <c r="I4" s="117" t="s">
        <v>363</v>
      </c>
      <c r="J4" s="117" t="s">
        <v>381</v>
      </c>
      <c r="K4" s="119" t="s">
        <v>382</v>
      </c>
      <c r="L4" s="120" t="s">
        <v>389</v>
      </c>
      <c r="M4" s="120" t="s">
        <v>383</v>
      </c>
      <c r="N4" s="120" t="s">
        <v>384</v>
      </c>
      <c r="O4" s="120" t="s">
        <v>390</v>
      </c>
      <c r="P4" s="120" t="s">
        <v>388</v>
      </c>
      <c r="Q4" s="120" t="s">
        <v>391</v>
      </c>
      <c r="R4" s="120" t="s">
        <v>387</v>
      </c>
      <c r="S4" s="120" t="s">
        <v>386</v>
      </c>
      <c r="T4" s="187" t="s">
        <v>385</v>
      </c>
      <c r="U4" s="120" t="s">
        <v>363</v>
      </c>
    </row>
    <row r="5" spans="2:21" x14ac:dyDescent="0.25">
      <c r="B5">
        <v>2018</v>
      </c>
      <c r="C5">
        <v>2</v>
      </c>
      <c r="D5">
        <v>5</v>
      </c>
      <c r="E5" t="s">
        <v>99</v>
      </c>
      <c r="F5" t="s">
        <v>29</v>
      </c>
      <c r="G5" t="s">
        <v>84</v>
      </c>
      <c r="H5" t="s">
        <v>10</v>
      </c>
      <c r="I5" t="s">
        <v>175</v>
      </c>
      <c r="J5" t="s">
        <v>105</v>
      </c>
      <c r="K5">
        <v>60400</v>
      </c>
      <c r="L5">
        <v>1510295</v>
      </c>
      <c r="M5">
        <v>876400</v>
      </c>
      <c r="N5">
        <v>288315</v>
      </c>
      <c r="O5">
        <v>0</v>
      </c>
      <c r="P5">
        <v>1076992</v>
      </c>
      <c r="S5">
        <v>-129240</v>
      </c>
      <c r="T5">
        <f>IFERROR(VLOOKUP($I5&amp;$B5 &amp; $C5&amp; EOPMo,tblEopPlan,10,FALSE),0)</f>
        <v>1043997</v>
      </c>
    </row>
    <row r="6" spans="2:21" x14ac:dyDescent="0.25">
      <c r="B6">
        <v>2017</v>
      </c>
      <c r="C6">
        <v>2</v>
      </c>
      <c r="D6">
        <v>5</v>
      </c>
      <c r="E6" t="s">
        <v>99</v>
      </c>
      <c r="F6" t="s">
        <v>29</v>
      </c>
      <c r="G6" t="s">
        <v>84</v>
      </c>
      <c r="H6" t="s">
        <v>10</v>
      </c>
      <c r="I6" t="str">
        <f>IF(B6&lt;FiscalYr,IFERROR(VLOOKUP(E6&amp;U6,tblFC,6,FALSE),"Unmapped"),U6)</f>
        <v>GY 18 FALL BASICS</v>
      </c>
      <c r="J6" t="s">
        <v>3</v>
      </c>
      <c r="K6">
        <v>60476</v>
      </c>
      <c r="L6">
        <v>1302738.2339999999</v>
      </c>
      <c r="M6">
        <v>722415.17429999996</v>
      </c>
      <c r="N6">
        <v>225000.94379999899</v>
      </c>
      <c r="O6">
        <v>1308566</v>
      </c>
      <c r="S6">
        <v>-1599</v>
      </c>
      <c r="T6">
        <f>IFERROR(VLOOKUP($U6&amp;$B6 &amp; $C6 &amp; EOPMo,tblEop,10,FALSE),0)</f>
        <v>913870</v>
      </c>
      <c r="U6" t="s">
        <v>176</v>
      </c>
    </row>
    <row r="7" spans="2:21" x14ac:dyDescent="0.25">
      <c r="B7">
        <v>2018</v>
      </c>
      <c r="C7">
        <v>2</v>
      </c>
      <c r="D7">
        <v>5</v>
      </c>
      <c r="E7" t="s">
        <v>99</v>
      </c>
      <c r="F7" t="s">
        <v>29</v>
      </c>
      <c r="G7" t="s">
        <v>84</v>
      </c>
      <c r="H7" t="s">
        <v>10</v>
      </c>
      <c r="I7" t="s">
        <v>173</v>
      </c>
      <c r="J7" t="s">
        <v>105</v>
      </c>
      <c r="K7">
        <v>178315</v>
      </c>
      <c r="L7">
        <v>3837338.8</v>
      </c>
      <c r="M7">
        <v>1309124</v>
      </c>
      <c r="N7">
        <v>691862.2</v>
      </c>
      <c r="O7">
        <v>0</v>
      </c>
      <c r="P7">
        <v>0</v>
      </c>
      <c r="S7">
        <v>-40000</v>
      </c>
      <c r="T7">
        <f>IFERROR(VLOOKUP($I7&amp;$B7 &amp; $C7&amp; EOPMo,tblEopPlan,10,FALSE),0)</f>
        <v>240301</v>
      </c>
    </row>
    <row r="8" spans="2:21" x14ac:dyDescent="0.25">
      <c r="B8">
        <v>2017</v>
      </c>
      <c r="C8">
        <v>2</v>
      </c>
      <c r="D8">
        <v>4</v>
      </c>
      <c r="E8" t="s">
        <v>99</v>
      </c>
      <c r="F8" t="s">
        <v>29</v>
      </c>
      <c r="G8" t="s">
        <v>84</v>
      </c>
      <c r="H8" t="s">
        <v>10</v>
      </c>
      <c r="I8" t="str">
        <f>IF(B8&lt;FiscalYr,IFERROR(VLOOKUP(E8&amp;U8,tblFC,6,FALSE),"Unmapped"),U8)</f>
        <v>GY 18 SPRING BASICS</v>
      </c>
      <c r="J8" t="s">
        <v>3</v>
      </c>
      <c r="K8">
        <v>403810</v>
      </c>
      <c r="L8">
        <v>7662176.6771</v>
      </c>
      <c r="M8">
        <v>2770601.7034</v>
      </c>
      <c r="N8">
        <v>1385036.8594</v>
      </c>
      <c r="S8">
        <v>-5840</v>
      </c>
      <c r="T8">
        <f>IFERROR(VLOOKUP($U8&amp;$B8 &amp; $C8 &amp; EOPMo,tblEop,10,FALSE),0)</f>
        <v>363929</v>
      </c>
      <c r="U8" t="s">
        <v>174</v>
      </c>
    </row>
    <row r="9" spans="2:21" x14ac:dyDescent="0.25">
      <c r="B9">
        <v>2018</v>
      </c>
      <c r="C9">
        <v>2</v>
      </c>
      <c r="D9">
        <v>4</v>
      </c>
      <c r="E9" t="s">
        <v>99</v>
      </c>
      <c r="F9" t="s">
        <v>29</v>
      </c>
      <c r="G9" t="s">
        <v>84</v>
      </c>
      <c r="H9" t="s">
        <v>10</v>
      </c>
      <c r="I9" t="str">
        <f>IF(B9&lt;FiscalYr,IFERROR(VLOOKUP(E9&amp;U9,tblFC,6,FALSE),"Unmapped"),U9)</f>
        <v>GY 18 SPRING BASICS</v>
      </c>
      <c r="J9" t="s">
        <v>3</v>
      </c>
      <c r="K9">
        <v>163349</v>
      </c>
      <c r="L9">
        <v>3592328.4783000001</v>
      </c>
      <c r="M9">
        <v>1387731.8832</v>
      </c>
      <c r="N9">
        <v>631178.10629999998</v>
      </c>
      <c r="S9">
        <v>-368</v>
      </c>
      <c r="T9">
        <f>IFERROR(VLOOKUP($U9&amp;$B9 &amp; $C9 &amp; EOPMo,tblEop,10,FALSE),0)</f>
        <v>0</v>
      </c>
      <c r="U9" t="s">
        <v>173</v>
      </c>
    </row>
    <row r="10" spans="2:21" x14ac:dyDescent="0.25">
      <c r="B10">
        <v>2018</v>
      </c>
      <c r="C10">
        <v>2</v>
      </c>
      <c r="D10">
        <v>5</v>
      </c>
      <c r="E10" t="s">
        <v>99</v>
      </c>
      <c r="F10" t="s">
        <v>29</v>
      </c>
      <c r="G10" t="s">
        <v>84</v>
      </c>
      <c r="H10" t="s">
        <v>10</v>
      </c>
      <c r="I10" t="s">
        <v>349</v>
      </c>
      <c r="J10" t="s">
        <v>105</v>
      </c>
      <c r="K10">
        <v>100000</v>
      </c>
      <c r="L10">
        <v>1700000</v>
      </c>
      <c r="M10">
        <v>470000</v>
      </c>
      <c r="N10">
        <v>306000</v>
      </c>
      <c r="O10">
        <v>0</v>
      </c>
      <c r="P10">
        <v>268203</v>
      </c>
      <c r="S10">
        <v>-40230</v>
      </c>
      <c r="T10">
        <f>IFERROR(VLOOKUP($I10&amp;$B10 &amp; $C10&amp; EOPMo,tblEopPlan,10,FALSE),0)</f>
        <v>741370</v>
      </c>
    </row>
    <row r="11" spans="2:21" x14ac:dyDescent="0.25">
      <c r="B11">
        <v>2017</v>
      </c>
      <c r="C11">
        <v>2</v>
      </c>
      <c r="D11">
        <v>4</v>
      </c>
      <c r="E11" t="s">
        <v>99</v>
      </c>
      <c r="F11" t="s">
        <v>29</v>
      </c>
      <c r="G11" t="s">
        <v>84</v>
      </c>
      <c r="H11" t="s">
        <v>10</v>
      </c>
      <c r="I11" t="str">
        <f>IF(B11&lt;FiscalYr,IFERROR(VLOOKUP(E11&amp;U11,tblFC,6,FALSE),"Unmapped"),U11)</f>
        <v>GY YRLY BASICS</v>
      </c>
      <c r="J11" t="s">
        <v>3</v>
      </c>
      <c r="K11">
        <v>106264</v>
      </c>
      <c r="L11">
        <v>37342525.960599899</v>
      </c>
      <c r="M11">
        <v>889269.96140000003</v>
      </c>
      <c r="N11">
        <v>317496.0845</v>
      </c>
      <c r="O11">
        <v>717595</v>
      </c>
      <c r="S11">
        <v>-2873</v>
      </c>
      <c r="T11">
        <f>IFERROR(VLOOKUP($U11&amp;$B11 &amp; $C11 &amp; EOPMo,tblEop,10,FALSE),0)</f>
        <v>1182645</v>
      </c>
      <c r="U11" t="s">
        <v>349</v>
      </c>
    </row>
    <row r="12" spans="2:21" x14ac:dyDescent="0.25">
      <c r="B12">
        <v>2018</v>
      </c>
      <c r="C12">
        <v>2</v>
      </c>
      <c r="D12">
        <v>4</v>
      </c>
      <c r="E12" t="s">
        <v>99</v>
      </c>
      <c r="F12" t="s">
        <v>29</v>
      </c>
      <c r="G12" t="s">
        <v>84</v>
      </c>
      <c r="H12" t="s">
        <v>10</v>
      </c>
      <c r="I12" t="str">
        <f>IF(B12&lt;FiscalYr,IFERROR(VLOOKUP(E12&amp;U12,tblFC,6,FALSE),"Unmapped"),U12)</f>
        <v>GY YRLY BASICS</v>
      </c>
      <c r="J12" t="s">
        <v>3</v>
      </c>
      <c r="K12">
        <v>180939</v>
      </c>
      <c r="L12">
        <v>45824511.017399997</v>
      </c>
      <c r="M12">
        <v>591881.22879999899</v>
      </c>
      <c r="N12">
        <v>534299.72939999995</v>
      </c>
      <c r="O12">
        <v>297625</v>
      </c>
      <c r="S12">
        <v>520</v>
      </c>
      <c r="T12">
        <f>IFERROR(VLOOKUP($U12&amp;$B12 &amp; $C12 &amp; EOPMo,tblEop,10,FALSE),0)</f>
        <v>0</v>
      </c>
      <c r="U12" t="s">
        <v>349</v>
      </c>
    </row>
    <row r="13" spans="2:21" x14ac:dyDescent="0.25">
      <c r="B13">
        <v>2018</v>
      </c>
      <c r="C13">
        <v>2</v>
      </c>
      <c r="D13">
        <v>5</v>
      </c>
      <c r="E13" t="s">
        <v>99</v>
      </c>
      <c r="F13" t="s">
        <v>29</v>
      </c>
      <c r="G13" t="s">
        <v>84</v>
      </c>
      <c r="H13" t="s">
        <v>10</v>
      </c>
      <c r="I13" t="s">
        <v>350</v>
      </c>
      <c r="J13" t="s">
        <v>105</v>
      </c>
      <c r="K13">
        <v>25500</v>
      </c>
      <c r="L13">
        <v>813000</v>
      </c>
      <c r="M13">
        <v>347000</v>
      </c>
      <c r="N13">
        <v>172255</v>
      </c>
      <c r="O13">
        <v>0</v>
      </c>
      <c r="P13">
        <v>368711</v>
      </c>
      <c r="S13">
        <v>0</v>
      </c>
      <c r="T13">
        <f>IFERROR(VLOOKUP($I13&amp;$B13 &amp; $C13&amp; EOPMo,tblEopPlan,10,FALSE),0)</f>
        <v>359811</v>
      </c>
    </row>
    <row r="14" spans="2:21" x14ac:dyDescent="0.25">
      <c r="B14">
        <v>2017</v>
      </c>
      <c r="C14">
        <v>2</v>
      </c>
      <c r="D14">
        <v>4</v>
      </c>
      <c r="E14" t="s">
        <v>99</v>
      </c>
      <c r="F14" t="s">
        <v>29</v>
      </c>
      <c r="G14" t="s">
        <v>84</v>
      </c>
      <c r="H14" t="s">
        <v>10</v>
      </c>
      <c r="I14" t="str">
        <f>IF(B14&lt;FiscalYr,IFERROR(VLOOKUP(E14&amp;U14,tblFC,6,FALSE),"Unmapped"),U14)</f>
        <v>GY YRLY DENIM</v>
      </c>
      <c r="J14" t="s">
        <v>3</v>
      </c>
      <c r="K14">
        <v>38464</v>
      </c>
      <c r="L14">
        <v>1239413.9110999999</v>
      </c>
      <c r="M14">
        <v>605096.20269999898</v>
      </c>
      <c r="N14">
        <v>249755.70310000001</v>
      </c>
      <c r="O14">
        <v>423483</v>
      </c>
      <c r="S14">
        <v>-3026</v>
      </c>
      <c r="T14">
        <f>IFERROR(VLOOKUP($U14&amp;$B14 &amp; $C14 &amp; EOPMo,tblEop,10,FALSE),0)</f>
        <v>559870</v>
      </c>
      <c r="U14" t="s">
        <v>350</v>
      </c>
    </row>
    <row r="15" spans="2:21" x14ac:dyDescent="0.25">
      <c r="B15">
        <v>2018</v>
      </c>
      <c r="C15">
        <v>2</v>
      </c>
      <c r="D15">
        <v>4</v>
      </c>
      <c r="E15" t="s">
        <v>99</v>
      </c>
      <c r="F15" t="s">
        <v>29</v>
      </c>
      <c r="G15" t="s">
        <v>84</v>
      </c>
      <c r="H15" t="s">
        <v>10</v>
      </c>
      <c r="I15" t="str">
        <f>IF(B15&lt;FiscalYr,IFERROR(VLOOKUP(E15&amp;U15,tblFC,6,FALSE),"Unmapped"),U15)</f>
        <v>GY YRLY DENIM</v>
      </c>
      <c r="J15" t="s">
        <v>3</v>
      </c>
      <c r="K15">
        <v>11257</v>
      </c>
      <c r="L15">
        <v>354348.7745</v>
      </c>
      <c r="M15">
        <v>67969.887799999997</v>
      </c>
      <c r="N15">
        <v>63829.371400000004</v>
      </c>
      <c r="O15">
        <v>76278</v>
      </c>
      <c r="S15">
        <v>-30</v>
      </c>
      <c r="T15">
        <f>IFERROR(VLOOKUP($U15&amp;$B15 &amp; $C15 &amp; EOPMo,tblEop,10,FALSE),0)</f>
        <v>0</v>
      </c>
      <c r="U15" t="s">
        <v>350</v>
      </c>
    </row>
    <row r="16" spans="2:21" x14ac:dyDescent="0.25">
      <c r="B16">
        <v>2018</v>
      </c>
      <c r="C16">
        <v>2</v>
      </c>
      <c r="D16">
        <v>5</v>
      </c>
      <c r="E16" t="s">
        <v>99</v>
      </c>
      <c r="F16" t="s">
        <v>29</v>
      </c>
      <c r="G16" t="s">
        <v>84</v>
      </c>
      <c r="H16" t="s">
        <v>10</v>
      </c>
      <c r="I16" t="s">
        <v>351</v>
      </c>
      <c r="J16" t="s">
        <v>105</v>
      </c>
      <c r="K16">
        <v>2800</v>
      </c>
      <c r="L16">
        <v>84000</v>
      </c>
      <c r="M16">
        <v>7000</v>
      </c>
      <c r="N16">
        <v>16800</v>
      </c>
      <c r="O16">
        <v>0</v>
      </c>
      <c r="P16">
        <v>0</v>
      </c>
      <c r="S16">
        <v>0</v>
      </c>
      <c r="T16">
        <f>IFERROR(VLOOKUP($I16&amp;$B16 &amp; $C16&amp; EOPMo,tblEopPlan,10,FALSE),0)</f>
        <v>40895</v>
      </c>
    </row>
    <row r="17" spans="2:21" x14ac:dyDescent="0.25">
      <c r="B17">
        <v>2017</v>
      </c>
      <c r="C17">
        <v>2</v>
      </c>
      <c r="D17">
        <v>4</v>
      </c>
      <c r="E17" t="s">
        <v>99</v>
      </c>
      <c r="F17" t="s">
        <v>29</v>
      </c>
      <c r="G17" t="s">
        <v>84</v>
      </c>
      <c r="H17" t="s">
        <v>10</v>
      </c>
      <c r="I17" t="str">
        <f>IF(B17&lt;FiscalYr,IFERROR(VLOOKUP(E17&amp;U17,tblFC,6,FALSE),"Unmapped"),U17)</f>
        <v>GY YRLY UNIFORM</v>
      </c>
      <c r="J17" t="s">
        <v>3</v>
      </c>
      <c r="K17">
        <v>10278</v>
      </c>
      <c r="L17">
        <v>277742.75529999897</v>
      </c>
      <c r="M17">
        <v>155065.0086</v>
      </c>
      <c r="N17">
        <v>57443.851199999997</v>
      </c>
      <c r="O17">
        <v>126384</v>
      </c>
      <c r="S17">
        <v>-423</v>
      </c>
      <c r="T17">
        <f>IFERROR(VLOOKUP($U17&amp;$B17 &amp; $C17 &amp; EOPMo,tblEop,10,FALSE),0)</f>
        <v>126328</v>
      </c>
      <c r="U17" t="s">
        <v>351</v>
      </c>
    </row>
    <row r="18" spans="2:21" x14ac:dyDescent="0.25">
      <c r="B18">
        <v>2018</v>
      </c>
      <c r="C18">
        <v>2</v>
      </c>
      <c r="D18">
        <v>4</v>
      </c>
      <c r="E18" t="s">
        <v>99</v>
      </c>
      <c r="F18" t="s">
        <v>29</v>
      </c>
      <c r="G18" t="s">
        <v>84</v>
      </c>
      <c r="H18" t="s">
        <v>10</v>
      </c>
      <c r="I18" t="str">
        <f>IF(B18&lt;FiscalYr,IFERROR(VLOOKUP(E18&amp;U18,tblFC,6,FALSE),"Unmapped"),U18)</f>
        <v>GY YRLY UNIFORM</v>
      </c>
      <c r="J18" t="s">
        <v>3</v>
      </c>
      <c r="K18">
        <v>1562</v>
      </c>
      <c r="L18">
        <v>42448.558499999999</v>
      </c>
      <c r="M18">
        <v>2397.7797999999998</v>
      </c>
      <c r="N18">
        <v>9251.9351999999999</v>
      </c>
      <c r="O18">
        <v>9490</v>
      </c>
      <c r="S18">
        <v>23</v>
      </c>
      <c r="T18">
        <f>IFERROR(VLOOKUP($U18&amp;$B18 &amp; $C18 &amp; EOPMo,tblEop,10,FALSE),0)</f>
        <v>0</v>
      </c>
      <c r="U18" t="s">
        <v>351</v>
      </c>
    </row>
    <row r="19" spans="2:21" x14ac:dyDescent="0.25">
      <c r="B19">
        <v>2018</v>
      </c>
      <c r="C19">
        <v>2</v>
      </c>
      <c r="D19">
        <v>5</v>
      </c>
      <c r="E19" t="s">
        <v>99</v>
      </c>
      <c r="F19" t="s">
        <v>29</v>
      </c>
      <c r="G19" t="s">
        <v>84</v>
      </c>
      <c r="H19" t="s">
        <v>54</v>
      </c>
      <c r="I19" t="s">
        <v>428</v>
      </c>
      <c r="J19" t="s">
        <v>105</v>
      </c>
      <c r="K19">
        <v>70893</v>
      </c>
      <c r="L19">
        <v>1852771.39</v>
      </c>
      <c r="M19">
        <v>1301705.68</v>
      </c>
      <c r="N19">
        <v>393027.66</v>
      </c>
      <c r="O19">
        <v>0</v>
      </c>
      <c r="P19">
        <v>796797</v>
      </c>
      <c r="S19">
        <v>-119519</v>
      </c>
      <c r="T19">
        <f>IFERROR(VLOOKUP($I19&amp;$B19 &amp; $C19&amp; EOPMo,tblEopPlan,10,FALSE),0)</f>
        <v>798946</v>
      </c>
    </row>
    <row r="20" spans="2:21" x14ac:dyDescent="0.25">
      <c r="B20">
        <v>2017</v>
      </c>
      <c r="C20">
        <v>2</v>
      </c>
      <c r="D20">
        <v>5</v>
      </c>
      <c r="E20" t="s">
        <v>99</v>
      </c>
      <c r="F20" t="s">
        <v>29</v>
      </c>
      <c r="G20" t="s">
        <v>84</v>
      </c>
      <c r="H20" t="s">
        <v>54</v>
      </c>
      <c r="I20" t="str">
        <f>IF(B20&lt;FiscalYr,IFERROR(VLOOKUP(E20&amp;U20,tblFC,6,FALSE),"Unmapped"),U20)</f>
        <v>GY 18 BTS</v>
      </c>
      <c r="J20" t="s">
        <v>3</v>
      </c>
      <c r="K20">
        <v>101868</v>
      </c>
      <c r="L20">
        <v>2535958.7064999999</v>
      </c>
      <c r="M20">
        <v>1438303.0903999901</v>
      </c>
      <c r="N20">
        <v>427686.75319999998</v>
      </c>
      <c r="O20">
        <v>1141053</v>
      </c>
      <c r="S20">
        <v>-840</v>
      </c>
      <c r="T20">
        <f>IFERROR(VLOOKUP($U20&amp;$B20 &amp; $C20 &amp; EOPMo,tblEop,10,FALSE),0)</f>
        <v>678936</v>
      </c>
      <c r="U20" t="s">
        <v>397</v>
      </c>
    </row>
    <row r="21" spans="2:21" x14ac:dyDescent="0.25">
      <c r="B21">
        <v>2018</v>
      </c>
      <c r="C21">
        <v>2</v>
      </c>
      <c r="D21">
        <v>4</v>
      </c>
      <c r="E21" t="s">
        <v>99</v>
      </c>
      <c r="F21" t="s">
        <v>29</v>
      </c>
      <c r="G21" t="s">
        <v>84</v>
      </c>
      <c r="H21" t="s">
        <v>54</v>
      </c>
      <c r="I21" t="str">
        <f>IF(B21&lt;FiscalYr,IFERROR(VLOOKUP(E21&amp;U21,tblFC,6,FALSE),"Unmapped"),U21)</f>
        <v>GY 18 BTS</v>
      </c>
      <c r="J21" t="s">
        <v>3</v>
      </c>
      <c r="K21">
        <v>585</v>
      </c>
      <c r="L21">
        <v>13563.1662</v>
      </c>
      <c r="M21">
        <v>10166.382600000001</v>
      </c>
      <c r="N21">
        <v>2988.0014999999999</v>
      </c>
      <c r="O21">
        <v>216522</v>
      </c>
      <c r="S21">
        <v>305</v>
      </c>
      <c r="T21">
        <f>IFERROR(VLOOKUP($U21&amp;$B21 &amp; $C21 &amp; EOPMo,tblEop,10,FALSE),0)</f>
        <v>0</v>
      </c>
      <c r="U21" t="s">
        <v>428</v>
      </c>
    </row>
    <row r="22" spans="2:21" x14ac:dyDescent="0.25">
      <c r="B22">
        <v>2018</v>
      </c>
      <c r="C22">
        <v>2</v>
      </c>
      <c r="D22">
        <v>5</v>
      </c>
      <c r="E22" t="s">
        <v>99</v>
      </c>
      <c r="F22" t="s">
        <v>29</v>
      </c>
      <c r="G22" t="s">
        <v>84</v>
      </c>
      <c r="H22" t="s">
        <v>54</v>
      </c>
      <c r="I22" t="s">
        <v>427</v>
      </c>
      <c r="J22" t="s">
        <v>105</v>
      </c>
      <c r="K22">
        <v>103950</v>
      </c>
      <c r="L22">
        <v>2166507.2200000002</v>
      </c>
      <c r="M22">
        <v>1422813.1</v>
      </c>
      <c r="N22">
        <v>456887.65</v>
      </c>
      <c r="O22">
        <v>0</v>
      </c>
      <c r="P22">
        <v>640640</v>
      </c>
      <c r="S22">
        <v>-96096</v>
      </c>
      <c r="T22">
        <f>IFERROR(VLOOKUP($I22&amp;$B22 &amp; $C22&amp; EOPMo,tblEopPlan,10,FALSE),0)</f>
        <v>480511</v>
      </c>
    </row>
    <row r="23" spans="2:21" x14ac:dyDescent="0.25">
      <c r="B23">
        <v>2017</v>
      </c>
      <c r="C23">
        <v>2</v>
      </c>
      <c r="D23">
        <v>4</v>
      </c>
      <c r="E23" t="s">
        <v>99</v>
      </c>
      <c r="F23" t="s">
        <v>29</v>
      </c>
      <c r="G23" t="s">
        <v>84</v>
      </c>
      <c r="H23" t="s">
        <v>54</v>
      </c>
      <c r="I23" t="str">
        <f>IF(B23&lt;FiscalYr,IFERROR(VLOOKUP(E23&amp;U23,tblFC,6,FALSE),"Unmapped"),U23)</f>
        <v>GY 18 FAL</v>
      </c>
      <c r="J23" t="s">
        <v>3</v>
      </c>
      <c r="K23">
        <v>286350</v>
      </c>
      <c r="L23">
        <v>5530262.7044000002</v>
      </c>
      <c r="M23">
        <v>2737320.5033999998</v>
      </c>
      <c r="N23">
        <v>904001.47860000003</v>
      </c>
      <c r="O23">
        <v>2941220</v>
      </c>
      <c r="S23">
        <v>1419</v>
      </c>
      <c r="T23">
        <f>IFERROR(VLOOKUP($U23&amp;$B23 &amp; $C23 &amp; EOPMo,tblEop,10,FALSE),0)</f>
        <v>1761530</v>
      </c>
      <c r="U23" t="s">
        <v>398</v>
      </c>
    </row>
    <row r="24" spans="2:21" x14ac:dyDescent="0.25">
      <c r="B24">
        <v>2018</v>
      </c>
      <c r="C24">
        <v>2</v>
      </c>
      <c r="D24">
        <v>4</v>
      </c>
      <c r="E24" t="s">
        <v>99</v>
      </c>
      <c r="F24" t="s">
        <v>29</v>
      </c>
      <c r="G24" t="s">
        <v>84</v>
      </c>
      <c r="H24" t="s">
        <v>54</v>
      </c>
      <c r="I24" t="str">
        <f>IF(B24&lt;FiscalYr,IFERROR(VLOOKUP(E24&amp;U24,tblFC,6,FALSE),"Unmapped"),U24)</f>
        <v>GY 18 FAL</v>
      </c>
      <c r="J24" t="s">
        <v>3</v>
      </c>
      <c r="K24">
        <v>181</v>
      </c>
      <c r="L24">
        <v>4860.5031999999901</v>
      </c>
      <c r="M24">
        <v>4125.6235999999999</v>
      </c>
      <c r="N24">
        <v>1131.2336</v>
      </c>
      <c r="O24">
        <v>143800</v>
      </c>
      <c r="S24">
        <v>363</v>
      </c>
      <c r="T24">
        <f>IFERROR(VLOOKUP($U24&amp;$B24 &amp; $C24 &amp; EOPMo,tblEop,10,FALSE),0)</f>
        <v>0</v>
      </c>
      <c r="U24" t="s">
        <v>427</v>
      </c>
    </row>
    <row r="25" spans="2:21" x14ac:dyDescent="0.25">
      <c r="B25">
        <v>2018</v>
      </c>
      <c r="C25">
        <v>2</v>
      </c>
      <c r="D25">
        <v>5</v>
      </c>
      <c r="E25" t="s">
        <v>99</v>
      </c>
      <c r="F25" t="s">
        <v>29</v>
      </c>
      <c r="G25" t="s">
        <v>84</v>
      </c>
      <c r="H25" t="s">
        <v>54</v>
      </c>
      <c r="I25" t="s">
        <v>429</v>
      </c>
      <c r="J25" t="s">
        <v>105</v>
      </c>
      <c r="K25">
        <v>16200</v>
      </c>
      <c r="L25">
        <v>422590</v>
      </c>
      <c r="M25">
        <v>276216</v>
      </c>
      <c r="N25">
        <v>95586</v>
      </c>
      <c r="O25">
        <v>0</v>
      </c>
      <c r="P25">
        <v>787871</v>
      </c>
      <c r="S25">
        <v>-117298</v>
      </c>
      <c r="T25">
        <f>IFERROR(VLOOKUP($I25&amp;$B25 &amp; $C25&amp; EOPMo,tblEopPlan,10,FALSE),0)</f>
        <v>667379</v>
      </c>
    </row>
    <row r="26" spans="2:21" x14ac:dyDescent="0.25">
      <c r="B26">
        <v>2017</v>
      </c>
      <c r="C26">
        <v>2</v>
      </c>
      <c r="D26">
        <v>5</v>
      </c>
      <c r="E26" t="s">
        <v>99</v>
      </c>
      <c r="F26" t="s">
        <v>29</v>
      </c>
      <c r="G26" t="s">
        <v>84</v>
      </c>
      <c r="H26" t="s">
        <v>54</v>
      </c>
      <c r="I26" t="str">
        <f>IF(B26&lt;FiscalYr,IFERROR(VLOOKUP(E26&amp;U26,tblFC,6,FALSE),"Unmapped"),U26)</f>
        <v>GY 18 FALL 1</v>
      </c>
      <c r="J26" t="s">
        <v>3</v>
      </c>
      <c r="K26">
        <v>25244</v>
      </c>
      <c r="L26">
        <v>621024.47080000001</v>
      </c>
      <c r="M26">
        <v>331657.70809999999</v>
      </c>
      <c r="N26">
        <v>99357.69</v>
      </c>
      <c r="O26">
        <v>1655124</v>
      </c>
      <c r="S26">
        <v>3706</v>
      </c>
      <c r="T26">
        <f>IFERROR(VLOOKUP($U26&amp;$B26 &amp; $C26 &amp; EOPMo,tblEop,10,FALSE),0)</f>
        <v>1143415</v>
      </c>
      <c r="U26" t="s">
        <v>399</v>
      </c>
    </row>
    <row r="27" spans="2:21" x14ac:dyDescent="0.25">
      <c r="B27">
        <v>2018</v>
      </c>
      <c r="C27">
        <v>2</v>
      </c>
      <c r="D27">
        <v>4</v>
      </c>
      <c r="E27" t="s">
        <v>99</v>
      </c>
      <c r="F27" t="s">
        <v>29</v>
      </c>
      <c r="G27" t="s">
        <v>84</v>
      </c>
      <c r="H27" t="s">
        <v>54</v>
      </c>
      <c r="I27" t="str">
        <f>IF(B27&lt;FiscalYr,IFERROR(VLOOKUP(E27&amp;U27,tblFC,6,FALSE),"Unmapped"),U27)</f>
        <v>GY 18 FALL 1</v>
      </c>
      <c r="J27" t="s">
        <v>3</v>
      </c>
      <c r="K27">
        <v>258</v>
      </c>
      <c r="L27">
        <v>5989.4913999999999</v>
      </c>
      <c r="M27">
        <v>4467.6646000000001</v>
      </c>
      <c r="N27">
        <v>1141.6723999999999</v>
      </c>
      <c r="O27">
        <v>12382</v>
      </c>
      <c r="S27">
        <v>-34</v>
      </c>
      <c r="T27">
        <f>IFERROR(VLOOKUP($U27&amp;$B27 &amp; $C27 &amp; EOPMo,tblEop,10,FALSE),0)</f>
        <v>0</v>
      </c>
      <c r="U27" t="s">
        <v>429</v>
      </c>
    </row>
    <row r="28" spans="2:21" x14ac:dyDescent="0.25">
      <c r="B28">
        <v>2018</v>
      </c>
      <c r="C28">
        <v>2</v>
      </c>
      <c r="D28">
        <v>5</v>
      </c>
      <c r="E28" t="s">
        <v>99</v>
      </c>
      <c r="F28" t="s">
        <v>29</v>
      </c>
      <c r="G28" t="s">
        <v>84</v>
      </c>
      <c r="H28" t="s">
        <v>54</v>
      </c>
      <c r="I28" t="s">
        <v>430</v>
      </c>
      <c r="J28" t="s">
        <v>105</v>
      </c>
      <c r="K28">
        <v>0</v>
      </c>
      <c r="L28">
        <v>0</v>
      </c>
      <c r="M28">
        <v>0</v>
      </c>
      <c r="N28">
        <v>0</v>
      </c>
      <c r="O28">
        <v>0</v>
      </c>
      <c r="P28">
        <v>360000</v>
      </c>
      <c r="S28">
        <v>0</v>
      </c>
      <c r="T28">
        <f>IFERROR(VLOOKUP($I28&amp;$B28 &amp; $C28&amp; EOPMo,tblEopPlan,10,FALSE),0)</f>
        <v>360000</v>
      </c>
    </row>
    <row r="29" spans="2:21" x14ac:dyDescent="0.25">
      <c r="B29">
        <v>2017</v>
      </c>
      <c r="C29">
        <v>2</v>
      </c>
      <c r="D29">
        <v>4</v>
      </c>
      <c r="E29" t="s">
        <v>99</v>
      </c>
      <c r="F29" t="s">
        <v>29</v>
      </c>
      <c r="G29" t="s">
        <v>84</v>
      </c>
      <c r="H29" t="s">
        <v>54</v>
      </c>
      <c r="I29" t="str">
        <f>IF(B29&lt;FiscalYr,IFERROR(VLOOKUP(E29&amp;U29,tblFC,6,FALSE),"Unmapped"),U29)</f>
        <v>GY 18 FALL 2</v>
      </c>
      <c r="J29" t="s">
        <v>3</v>
      </c>
      <c r="K29">
        <v>3</v>
      </c>
      <c r="L29">
        <v>64.849999999999994</v>
      </c>
      <c r="M29">
        <v>33</v>
      </c>
      <c r="N29">
        <v>10</v>
      </c>
      <c r="O29">
        <v>1533135</v>
      </c>
      <c r="S29">
        <v>309</v>
      </c>
      <c r="T29">
        <f>IFERROR(VLOOKUP($U29&amp;$B29 &amp; $C29 &amp; EOPMo,tblEop,10,FALSE),0)</f>
        <v>1533399</v>
      </c>
      <c r="U29" t="s">
        <v>400</v>
      </c>
    </row>
    <row r="30" spans="2:21" x14ac:dyDescent="0.25">
      <c r="B30">
        <v>2018</v>
      </c>
      <c r="C30">
        <v>2</v>
      </c>
      <c r="D30">
        <v>5</v>
      </c>
      <c r="E30" t="s">
        <v>99</v>
      </c>
      <c r="F30" t="s">
        <v>29</v>
      </c>
      <c r="G30" t="s">
        <v>84</v>
      </c>
      <c r="H30" t="s">
        <v>54</v>
      </c>
      <c r="I30" t="str">
        <f>IF(B30&lt;FiscalYr,IFERROR(VLOOKUP(E30&amp;U30,tblFC,6,FALSE),"Unmapped"),U30)</f>
        <v>GY 18 FALL 2</v>
      </c>
      <c r="J30" t="s">
        <v>3</v>
      </c>
      <c r="O30">
        <v>10</v>
      </c>
      <c r="S30">
        <v>0</v>
      </c>
      <c r="T30">
        <f>IFERROR(VLOOKUP($U30&amp;$B30 &amp; $C30 &amp; EOPMo,tblEop,10,FALSE),0)</f>
        <v>0</v>
      </c>
      <c r="U30" t="s">
        <v>430</v>
      </c>
    </row>
    <row r="31" spans="2:21" x14ac:dyDescent="0.25">
      <c r="B31">
        <v>2017</v>
      </c>
      <c r="C31">
        <v>2</v>
      </c>
      <c r="D31">
        <v>4</v>
      </c>
      <c r="E31" t="s">
        <v>99</v>
      </c>
      <c r="F31" t="s">
        <v>29</v>
      </c>
      <c r="G31" t="s">
        <v>84</v>
      </c>
      <c r="H31" t="s">
        <v>54</v>
      </c>
      <c r="I31" t="str">
        <f>IF(B31&lt;FiscalYr,IFERROR(VLOOKUP(E31&amp;U31,tblFC,6,FALSE),"Unmapped"),U31)</f>
        <v>GY 18 FALL 3</v>
      </c>
      <c r="J31" t="s">
        <v>3</v>
      </c>
      <c r="K31">
        <v>1</v>
      </c>
      <c r="L31">
        <v>34.950000000000003</v>
      </c>
      <c r="M31">
        <v>17</v>
      </c>
      <c r="N31">
        <v>6</v>
      </c>
      <c r="O31">
        <v>9962</v>
      </c>
      <c r="S31">
        <v>1</v>
      </c>
      <c r="T31">
        <f>IFERROR(VLOOKUP($U31&amp;$B31 &amp; $C31 &amp; EOPMo,tblEop,10,FALSE),0)</f>
        <v>9960</v>
      </c>
      <c r="U31" t="s">
        <v>401</v>
      </c>
    </row>
    <row r="32" spans="2:21" x14ac:dyDescent="0.25">
      <c r="B32">
        <v>2017</v>
      </c>
      <c r="C32">
        <v>2</v>
      </c>
      <c r="D32">
        <v>4</v>
      </c>
      <c r="E32" t="s">
        <v>99</v>
      </c>
      <c r="F32" t="s">
        <v>29</v>
      </c>
      <c r="G32" t="s">
        <v>84</v>
      </c>
      <c r="H32" t="s">
        <v>54</v>
      </c>
      <c r="I32" t="str">
        <f>IF(B32&lt;FiscalYr,IFERROR(VLOOKUP(E32&amp;U32,tblFC,6,FALSE),"Unmapped"),U32)</f>
        <v>GY 18 FALL 4</v>
      </c>
      <c r="J32" t="s">
        <v>3</v>
      </c>
      <c r="S32">
        <v>0</v>
      </c>
      <c r="T32">
        <f>IFERROR(VLOOKUP($U32&amp;$B32 &amp; $C32 &amp; EOPMo,tblEop,10,FALSE),0)</f>
        <v>-2</v>
      </c>
      <c r="U32" t="s">
        <v>402</v>
      </c>
    </row>
    <row r="33" spans="2:21" x14ac:dyDescent="0.25">
      <c r="B33">
        <v>2017</v>
      </c>
      <c r="C33">
        <v>2</v>
      </c>
      <c r="D33">
        <v>4</v>
      </c>
      <c r="E33" t="s">
        <v>99</v>
      </c>
      <c r="F33" t="s">
        <v>29</v>
      </c>
      <c r="G33" t="s">
        <v>84</v>
      </c>
      <c r="H33" t="s">
        <v>54</v>
      </c>
      <c r="I33" t="str">
        <f>IF(B33&lt;FiscalYr,IFERROR(VLOOKUP(E33&amp;U33,tblFC,6,FALSE),"Unmapped"),U33)</f>
        <v>GY 18 HO HO SHOP</v>
      </c>
      <c r="J33" t="s">
        <v>3</v>
      </c>
      <c r="S33">
        <v>84</v>
      </c>
      <c r="T33">
        <f>IFERROR(VLOOKUP($U33&amp;$B33 &amp; $C33 &amp; EOPMo,tblEop,10,FALSE),0)</f>
        <v>82</v>
      </c>
      <c r="U33" t="s">
        <v>405</v>
      </c>
    </row>
    <row r="34" spans="2:21" x14ac:dyDescent="0.25">
      <c r="B34">
        <v>2018</v>
      </c>
      <c r="C34">
        <v>2</v>
      </c>
      <c r="D34">
        <v>5</v>
      </c>
      <c r="E34" t="s">
        <v>99</v>
      </c>
      <c r="F34" t="s">
        <v>29</v>
      </c>
      <c r="G34" t="s">
        <v>84</v>
      </c>
      <c r="H34" t="s">
        <v>434</v>
      </c>
      <c r="I34" t="s">
        <v>434</v>
      </c>
      <c r="J34" t="s">
        <v>105</v>
      </c>
      <c r="K34">
        <v>2032</v>
      </c>
      <c r="L34">
        <v>48265.84</v>
      </c>
      <c r="M34">
        <v>7475.96</v>
      </c>
      <c r="N34">
        <v>8593.16</v>
      </c>
      <c r="O34">
        <v>0</v>
      </c>
      <c r="P34">
        <v>0</v>
      </c>
      <c r="S34">
        <v>-1134195</v>
      </c>
      <c r="T34">
        <f>IFERROR(VLOOKUP($I34&amp;$B34 &amp; $C34&amp; EOPMo,tblEopPlan,10,FALSE),0)</f>
        <v>15367</v>
      </c>
    </row>
    <row r="35" spans="2:21" x14ac:dyDescent="0.25">
      <c r="B35">
        <v>2017</v>
      </c>
      <c r="C35">
        <v>2</v>
      </c>
      <c r="D35">
        <v>4</v>
      </c>
      <c r="E35" t="s">
        <v>99</v>
      </c>
      <c r="F35" t="s">
        <v>29</v>
      </c>
      <c r="G35" t="s">
        <v>84</v>
      </c>
      <c r="H35" t="s">
        <v>434</v>
      </c>
      <c r="I35" t="str">
        <f>IF(B35&lt;FiscalYr,IFERROR(VLOOKUP(E35&amp;U35,tblFC,6,FALSE),"Unmapped"),U35)</f>
        <v>OLD</v>
      </c>
      <c r="J35" t="s">
        <v>3</v>
      </c>
      <c r="K35">
        <v>4583417</v>
      </c>
      <c r="L35">
        <v>105926274.2172</v>
      </c>
      <c r="M35">
        <v>40102299.863300003</v>
      </c>
      <c r="N35">
        <v>18137901.938299999</v>
      </c>
      <c r="O35">
        <v>9099276</v>
      </c>
      <c r="S35">
        <v>121611</v>
      </c>
      <c r="T35">
        <f>IFERROR(VLOOKUP($U35&amp;$B35 &amp; $C35 &amp; EOPMo,tblEop,10,FALSE),0)</f>
        <v>9327537</v>
      </c>
      <c r="U35" t="s">
        <v>434</v>
      </c>
    </row>
    <row r="36" spans="2:21" x14ac:dyDescent="0.25">
      <c r="B36">
        <v>2018</v>
      </c>
      <c r="C36">
        <v>2</v>
      </c>
      <c r="D36">
        <v>4</v>
      </c>
      <c r="E36" t="s">
        <v>99</v>
      </c>
      <c r="F36" t="s">
        <v>29</v>
      </c>
      <c r="G36" t="s">
        <v>84</v>
      </c>
      <c r="H36" t="s">
        <v>434</v>
      </c>
      <c r="I36" t="str">
        <f>IF(B36&lt;FiscalYr,IFERROR(VLOOKUP(E36&amp;U36,tblFC,6,FALSE),"Unmapped"),U36)</f>
        <v>Old</v>
      </c>
      <c r="J36" t="s">
        <v>3</v>
      </c>
      <c r="K36">
        <v>13291</v>
      </c>
      <c r="L36">
        <v>300736.00929999998</v>
      </c>
      <c r="M36">
        <v>42084.189699999901</v>
      </c>
      <c r="N36">
        <v>49875.825199999999</v>
      </c>
      <c r="S36">
        <v>-2162</v>
      </c>
      <c r="T36">
        <f>IFERROR(VLOOKUP($U36&amp;$B36 &amp; $C36 &amp; EOPMo,tblEop,10,FALSE),0)</f>
        <v>0</v>
      </c>
      <c r="U36" t="s">
        <v>434</v>
      </c>
    </row>
    <row r="37" spans="2:21" x14ac:dyDescent="0.25">
      <c r="B37">
        <v>2018</v>
      </c>
      <c r="C37">
        <v>2</v>
      </c>
      <c r="D37">
        <v>4</v>
      </c>
      <c r="E37" t="s">
        <v>99</v>
      </c>
      <c r="F37" t="s">
        <v>29</v>
      </c>
      <c r="G37" t="s">
        <v>84</v>
      </c>
      <c r="H37" t="s">
        <v>462</v>
      </c>
      <c r="I37" t="str">
        <f>IF(B37&lt;FiscalYr,IFERROR(VLOOKUP(E37&amp;U37,tblFC,6,FALSE),"Unmapped"),U37)</f>
        <v>GY WEBSTORE SKU</v>
      </c>
      <c r="J37" t="s">
        <v>3</v>
      </c>
      <c r="K37">
        <v>1</v>
      </c>
      <c r="L37">
        <v>14</v>
      </c>
      <c r="M37">
        <v>3</v>
      </c>
      <c r="N37">
        <v>8</v>
      </c>
      <c r="T37">
        <f>IFERROR(VLOOKUP($U37&amp;$B37 &amp; $C37 &amp; EOPMo,tblEop,10,FALSE),0)</f>
        <v>0</v>
      </c>
      <c r="U37" t="s">
        <v>352</v>
      </c>
    </row>
    <row r="38" spans="2:21" x14ac:dyDescent="0.25">
      <c r="B38">
        <v>2017</v>
      </c>
      <c r="C38">
        <v>2</v>
      </c>
      <c r="D38">
        <v>4</v>
      </c>
      <c r="E38" t="s">
        <v>99</v>
      </c>
      <c r="F38" t="s">
        <v>29</v>
      </c>
      <c r="G38" t="s">
        <v>84</v>
      </c>
      <c r="H38" t="s">
        <v>462</v>
      </c>
      <c r="I38" t="str">
        <f>IF(B38&lt;FiscalYr,IFERROR(VLOOKUP(E38&amp;U38,tblFC,6,FALSE),"Unmapped"),U38)</f>
        <v>Unmapped</v>
      </c>
      <c r="J38" t="s">
        <v>3</v>
      </c>
      <c r="K38">
        <v>-4</v>
      </c>
      <c r="L38">
        <v>-48</v>
      </c>
      <c r="M38">
        <v>-23</v>
      </c>
      <c r="N38">
        <v>-20</v>
      </c>
      <c r="S38">
        <v>-7</v>
      </c>
      <c r="T38">
        <f>IFERROR(VLOOKUP($U38&amp;$B38 &amp; $C38 &amp; EOPMo,tblEop,10,FALSE),0)</f>
        <v>12</v>
      </c>
      <c r="U38" s="9" t="s">
        <v>352</v>
      </c>
    </row>
    <row r="39" spans="2:21" x14ac:dyDescent="0.25">
      <c r="B39">
        <v>2018</v>
      </c>
      <c r="C39">
        <v>2</v>
      </c>
      <c r="D39">
        <v>5</v>
      </c>
      <c r="E39" t="s">
        <v>99</v>
      </c>
      <c r="F39" t="s">
        <v>29</v>
      </c>
      <c r="G39" t="s">
        <v>84</v>
      </c>
      <c r="H39" t="s">
        <v>5</v>
      </c>
      <c r="I39" t="s">
        <v>185</v>
      </c>
      <c r="J39" t="s">
        <v>105</v>
      </c>
      <c r="K39">
        <v>66696</v>
      </c>
      <c r="L39">
        <v>2275539</v>
      </c>
      <c r="M39">
        <v>670890.15</v>
      </c>
      <c r="N39">
        <v>356622</v>
      </c>
      <c r="P39">
        <v>0</v>
      </c>
      <c r="S39">
        <v>0</v>
      </c>
      <c r="T39">
        <f>IFERROR(VLOOKUP($I39&amp;$B39 &amp; $C39&amp; EOPMo,tblEopPlan,10,FALSE),0)</f>
        <v>0</v>
      </c>
    </row>
    <row r="40" spans="2:21" x14ac:dyDescent="0.25">
      <c r="B40">
        <v>2017</v>
      </c>
      <c r="C40">
        <v>2</v>
      </c>
      <c r="D40">
        <v>4</v>
      </c>
      <c r="E40" t="s">
        <v>99</v>
      </c>
      <c r="F40" t="s">
        <v>29</v>
      </c>
      <c r="G40" t="s">
        <v>84</v>
      </c>
      <c r="H40" t="s">
        <v>5</v>
      </c>
      <c r="I40" t="str">
        <f>IF(B40&lt;FiscalYr,IFERROR(VLOOKUP(E40&amp;U40,tblFC,6,FALSE),"Unmapped"),U40)</f>
        <v>GY 18 DRESSY</v>
      </c>
      <c r="J40" t="s">
        <v>3</v>
      </c>
      <c r="K40">
        <v>156301</v>
      </c>
      <c r="L40">
        <v>4930779.7221999997</v>
      </c>
      <c r="M40">
        <v>1128702.11539999</v>
      </c>
      <c r="N40">
        <v>833130.63759999897</v>
      </c>
      <c r="S40">
        <v>-5262</v>
      </c>
      <c r="T40">
        <f>IFERROR(VLOOKUP($U40&amp;$B40 &amp; $C40 &amp; EOPMo,tblEop,10,FALSE),0)</f>
        <v>125249</v>
      </c>
      <c r="U40" t="s">
        <v>186</v>
      </c>
    </row>
    <row r="41" spans="2:21" x14ac:dyDescent="0.25">
      <c r="B41">
        <v>2018</v>
      </c>
      <c r="C41">
        <v>2</v>
      </c>
      <c r="D41">
        <v>4</v>
      </c>
      <c r="E41" t="s">
        <v>99</v>
      </c>
      <c r="F41" t="s">
        <v>29</v>
      </c>
      <c r="G41" t="s">
        <v>84</v>
      </c>
      <c r="H41" t="s">
        <v>5</v>
      </c>
      <c r="I41" t="str">
        <f>IF(B41&lt;FiscalYr,IFERROR(VLOOKUP(E41&amp;U41,tblFC,6,FALSE),"Unmapped"),U41)</f>
        <v>GY 18 DRESSY</v>
      </c>
      <c r="J41" t="s">
        <v>3</v>
      </c>
      <c r="K41">
        <v>100384</v>
      </c>
      <c r="L41">
        <v>3809404.6236999999</v>
      </c>
      <c r="M41">
        <v>728217.66500000004</v>
      </c>
      <c r="N41">
        <v>590167.71979999996</v>
      </c>
      <c r="S41">
        <v>323</v>
      </c>
      <c r="T41">
        <f>IFERROR(VLOOKUP($U41&amp;$B41 &amp; $C41 &amp; EOPMo,tblEop,10,FALSE),0)</f>
        <v>0</v>
      </c>
      <c r="U41" t="s">
        <v>185</v>
      </c>
    </row>
    <row r="42" spans="2:21" x14ac:dyDescent="0.25">
      <c r="B42">
        <v>2018</v>
      </c>
      <c r="C42">
        <v>2</v>
      </c>
      <c r="D42">
        <v>5</v>
      </c>
      <c r="E42" t="s">
        <v>99</v>
      </c>
      <c r="F42" t="s">
        <v>29</v>
      </c>
      <c r="G42" t="s">
        <v>84</v>
      </c>
      <c r="H42" t="s">
        <v>5</v>
      </c>
      <c r="I42" t="s">
        <v>177</v>
      </c>
      <c r="J42" t="s">
        <v>105</v>
      </c>
      <c r="K42">
        <v>110863</v>
      </c>
      <c r="L42">
        <v>1875512.25</v>
      </c>
      <c r="M42">
        <v>434293.25</v>
      </c>
      <c r="N42">
        <v>316007.45</v>
      </c>
      <c r="P42">
        <v>0</v>
      </c>
      <c r="S42">
        <v>-20000</v>
      </c>
      <c r="T42">
        <f>IFERROR(VLOOKUP($I42&amp;$B42 &amp; $C42&amp; EOPMo,tblEopPlan,10,FALSE),0)</f>
        <v>0</v>
      </c>
    </row>
    <row r="43" spans="2:21" x14ac:dyDescent="0.25">
      <c r="B43">
        <v>2017</v>
      </c>
      <c r="C43">
        <v>2</v>
      </c>
      <c r="D43">
        <v>4</v>
      </c>
      <c r="E43" t="s">
        <v>99</v>
      </c>
      <c r="F43" t="s">
        <v>29</v>
      </c>
      <c r="G43" t="s">
        <v>84</v>
      </c>
      <c r="H43" t="s">
        <v>5</v>
      </c>
      <c r="I43" t="str">
        <f>IF(B43&lt;FiscalYr,IFERROR(VLOOKUP(E43&amp;U43,tblFC,6,FALSE),"Unmapped"),U43)</f>
        <v>GY 18 SPR</v>
      </c>
      <c r="J43" t="s">
        <v>3</v>
      </c>
      <c r="K43">
        <v>264946</v>
      </c>
      <c r="L43">
        <v>4694066.2620999999</v>
      </c>
      <c r="M43">
        <v>1330295.9820999999</v>
      </c>
      <c r="N43">
        <v>783894.02169999899</v>
      </c>
      <c r="S43">
        <v>-6605</v>
      </c>
      <c r="T43">
        <f>IFERROR(VLOOKUP($U43&amp;$B43 &amp; $C43 &amp; EOPMo,tblEop,10,FALSE),0)</f>
        <v>271169</v>
      </c>
      <c r="U43" t="s">
        <v>178</v>
      </c>
    </row>
    <row r="44" spans="2:21" x14ac:dyDescent="0.25">
      <c r="B44">
        <v>2018</v>
      </c>
      <c r="C44">
        <v>2</v>
      </c>
      <c r="D44">
        <v>4</v>
      </c>
      <c r="E44" t="s">
        <v>99</v>
      </c>
      <c r="F44" t="s">
        <v>29</v>
      </c>
      <c r="G44" t="s">
        <v>84</v>
      </c>
      <c r="H44" t="s">
        <v>5</v>
      </c>
      <c r="I44" t="str">
        <f>IF(B44&lt;FiscalYr,IFERROR(VLOOKUP(E44&amp;U44,tblFC,6,FALSE),"Unmapped"),U44)</f>
        <v>GY 18 SPR</v>
      </c>
      <c r="J44" t="s">
        <v>3</v>
      </c>
      <c r="K44">
        <v>171040</v>
      </c>
      <c r="L44">
        <v>2981461.53</v>
      </c>
      <c r="M44">
        <v>847483.61659999995</v>
      </c>
      <c r="N44">
        <v>507624.8688</v>
      </c>
      <c r="S44">
        <v>-439</v>
      </c>
      <c r="T44">
        <f>IFERROR(VLOOKUP($U44&amp;$B44 &amp; $C44 &amp; EOPMo,tblEop,10,FALSE),0)</f>
        <v>0</v>
      </c>
      <c r="U44" t="s">
        <v>177</v>
      </c>
    </row>
    <row r="45" spans="2:21" x14ac:dyDescent="0.25">
      <c r="B45">
        <v>2018</v>
      </c>
      <c r="C45">
        <v>2</v>
      </c>
      <c r="D45">
        <v>5</v>
      </c>
      <c r="E45" t="s">
        <v>99</v>
      </c>
      <c r="F45" t="s">
        <v>29</v>
      </c>
      <c r="G45" t="s">
        <v>84</v>
      </c>
      <c r="H45" t="s">
        <v>5</v>
      </c>
      <c r="I45" t="s">
        <v>179</v>
      </c>
      <c r="J45" t="s">
        <v>105</v>
      </c>
      <c r="K45">
        <v>79394</v>
      </c>
      <c r="L45">
        <v>2204771.38</v>
      </c>
      <c r="M45">
        <v>538541.42000000004</v>
      </c>
      <c r="N45">
        <v>402419.06</v>
      </c>
      <c r="P45">
        <v>0</v>
      </c>
      <c r="S45">
        <v>0</v>
      </c>
      <c r="T45">
        <f>IFERROR(VLOOKUP($I45&amp;$B45 &amp; $C45&amp; EOPMo,tblEopPlan,10,FALSE),0)</f>
        <v>0</v>
      </c>
    </row>
    <row r="46" spans="2:21" x14ac:dyDescent="0.25">
      <c r="B46">
        <v>2017</v>
      </c>
      <c r="C46">
        <v>2</v>
      </c>
      <c r="D46">
        <v>4</v>
      </c>
      <c r="E46" t="s">
        <v>99</v>
      </c>
      <c r="F46" t="s">
        <v>29</v>
      </c>
      <c r="G46" t="s">
        <v>84</v>
      </c>
      <c r="H46" t="s">
        <v>5</v>
      </c>
      <c r="I46" t="str">
        <f>IF(B46&lt;FiscalYr,IFERROR(VLOOKUP(E46&amp;U46,tblFC,6,FALSE),"Unmapped"),U46)</f>
        <v>GY 18 SPR 1</v>
      </c>
      <c r="J46" t="s">
        <v>3</v>
      </c>
      <c r="K46">
        <v>168629</v>
      </c>
      <c r="L46">
        <v>4484838.0499</v>
      </c>
      <c r="M46">
        <v>1060314.1535</v>
      </c>
      <c r="N46">
        <v>803872.79909999995</v>
      </c>
      <c r="S46">
        <v>-6153</v>
      </c>
      <c r="T46">
        <f>IFERROR(VLOOKUP($U46&amp;$B46 &amp; $C46 &amp; EOPMo,tblEop,10,FALSE),0)</f>
        <v>148180</v>
      </c>
      <c r="U46" t="s">
        <v>180</v>
      </c>
    </row>
    <row r="47" spans="2:21" x14ac:dyDescent="0.25">
      <c r="B47">
        <v>2018</v>
      </c>
      <c r="C47">
        <v>2</v>
      </c>
      <c r="D47">
        <v>4</v>
      </c>
      <c r="E47" t="s">
        <v>99</v>
      </c>
      <c r="F47" t="s">
        <v>29</v>
      </c>
      <c r="G47" t="s">
        <v>84</v>
      </c>
      <c r="H47" t="s">
        <v>5</v>
      </c>
      <c r="I47" t="str">
        <f>IF(B47&lt;FiscalYr,IFERROR(VLOOKUP(E47&amp;U47,tblFC,6,FALSE),"Unmapped"),U47)</f>
        <v>GY 18 SPR 1</v>
      </c>
      <c r="J47" t="s">
        <v>3</v>
      </c>
      <c r="K47">
        <v>107395</v>
      </c>
      <c r="L47">
        <v>3080333.6236999999</v>
      </c>
      <c r="M47">
        <v>733714.15139999997</v>
      </c>
      <c r="N47">
        <v>534419.56829999899</v>
      </c>
      <c r="S47">
        <v>-109</v>
      </c>
      <c r="T47">
        <f>IFERROR(VLOOKUP($U47&amp;$B47 &amp; $C47 &amp; EOPMo,tblEop,10,FALSE),0)</f>
        <v>0</v>
      </c>
      <c r="U47" t="s">
        <v>179</v>
      </c>
    </row>
    <row r="48" spans="2:21" x14ac:dyDescent="0.25">
      <c r="B48">
        <v>2018</v>
      </c>
      <c r="C48">
        <v>2</v>
      </c>
      <c r="D48">
        <v>5</v>
      </c>
      <c r="E48" t="s">
        <v>99</v>
      </c>
      <c r="F48" t="s">
        <v>29</v>
      </c>
      <c r="G48" t="s">
        <v>84</v>
      </c>
      <c r="H48" t="s">
        <v>5</v>
      </c>
      <c r="I48" t="s">
        <v>181</v>
      </c>
      <c r="J48" t="s">
        <v>105</v>
      </c>
      <c r="K48">
        <v>69481</v>
      </c>
      <c r="L48">
        <v>1841246.5</v>
      </c>
      <c r="M48">
        <v>405578.5</v>
      </c>
      <c r="N48">
        <v>340456.9</v>
      </c>
      <c r="P48">
        <v>0</v>
      </c>
      <c r="S48">
        <v>0</v>
      </c>
      <c r="T48">
        <f>IFERROR(VLOOKUP($I48&amp;$B48 &amp; $C48&amp; EOPMo,tblEopPlan,10,FALSE),0)</f>
        <v>0</v>
      </c>
    </row>
    <row r="49" spans="2:21" x14ac:dyDescent="0.25">
      <c r="B49">
        <v>2017</v>
      </c>
      <c r="C49">
        <v>2</v>
      </c>
      <c r="D49">
        <v>4</v>
      </c>
      <c r="E49" t="s">
        <v>99</v>
      </c>
      <c r="F49" t="s">
        <v>29</v>
      </c>
      <c r="G49" t="s">
        <v>84</v>
      </c>
      <c r="H49" t="s">
        <v>5</v>
      </c>
      <c r="I49" t="str">
        <f>IF(B49&lt;FiscalYr,IFERROR(VLOOKUP(E49&amp;U49,tblFC,6,FALSE),"Unmapped"),U49)</f>
        <v>GY 18 SPR 2</v>
      </c>
      <c r="J49" t="s">
        <v>3</v>
      </c>
      <c r="K49">
        <v>202942</v>
      </c>
      <c r="L49">
        <v>5673322.5816000002</v>
      </c>
      <c r="M49">
        <v>1293621.7385</v>
      </c>
      <c r="N49">
        <v>1103838.0189</v>
      </c>
      <c r="S49">
        <v>-5292</v>
      </c>
      <c r="T49">
        <f>IFERROR(VLOOKUP($U49&amp;$B49 &amp; $C49 &amp; EOPMo,tblEop,10,FALSE),0)</f>
        <v>92620</v>
      </c>
      <c r="U49" t="s">
        <v>182</v>
      </c>
    </row>
    <row r="50" spans="2:21" x14ac:dyDescent="0.25">
      <c r="B50">
        <v>2018</v>
      </c>
      <c r="C50">
        <v>2</v>
      </c>
      <c r="D50">
        <v>4</v>
      </c>
      <c r="E50" t="s">
        <v>99</v>
      </c>
      <c r="F50" t="s">
        <v>29</v>
      </c>
      <c r="G50" t="s">
        <v>84</v>
      </c>
      <c r="H50" t="s">
        <v>5</v>
      </c>
      <c r="I50" t="str">
        <f>IF(B50&lt;FiscalYr,IFERROR(VLOOKUP(E50&amp;U50,tblFC,6,FALSE),"Unmapped"),U50)</f>
        <v>GY 18 SPR 2</v>
      </c>
      <c r="J50" t="s">
        <v>3</v>
      </c>
      <c r="K50">
        <v>77578</v>
      </c>
      <c r="L50">
        <v>2203945.0474999999</v>
      </c>
      <c r="M50">
        <v>577486.48990000004</v>
      </c>
      <c r="N50">
        <v>372803.03690000001</v>
      </c>
      <c r="S50">
        <v>-305</v>
      </c>
      <c r="T50">
        <f>IFERROR(VLOOKUP($U50&amp;$B50 &amp; $C50 &amp; EOPMo,tblEop,10,FALSE),0)</f>
        <v>0</v>
      </c>
      <c r="U50" t="s">
        <v>181</v>
      </c>
    </row>
    <row r="51" spans="2:21" x14ac:dyDescent="0.25">
      <c r="B51">
        <v>2018</v>
      </c>
      <c r="C51">
        <v>2</v>
      </c>
      <c r="D51">
        <v>5</v>
      </c>
      <c r="E51" t="s">
        <v>99</v>
      </c>
      <c r="F51" t="s">
        <v>29</v>
      </c>
      <c r="G51" t="s">
        <v>84</v>
      </c>
      <c r="H51" t="s">
        <v>5</v>
      </c>
      <c r="I51" t="s">
        <v>187</v>
      </c>
      <c r="J51" t="s">
        <v>105</v>
      </c>
      <c r="K51">
        <v>163244</v>
      </c>
      <c r="L51">
        <v>4171940.42</v>
      </c>
      <c r="M51">
        <v>972941.25</v>
      </c>
      <c r="N51">
        <v>747465.43</v>
      </c>
      <c r="O51">
        <v>0</v>
      </c>
      <c r="P51">
        <v>0</v>
      </c>
      <c r="S51">
        <v>0</v>
      </c>
      <c r="T51">
        <f>IFERROR(VLOOKUP($I51&amp;$B51 &amp; $C51&amp; EOPMo,tblEopPlan,10,FALSE),0)</f>
        <v>0</v>
      </c>
    </row>
    <row r="52" spans="2:21" x14ac:dyDescent="0.25">
      <c r="B52">
        <v>2017</v>
      </c>
      <c r="C52">
        <v>2</v>
      </c>
      <c r="D52">
        <v>4</v>
      </c>
      <c r="E52" t="s">
        <v>99</v>
      </c>
      <c r="F52" t="s">
        <v>29</v>
      </c>
      <c r="G52" t="s">
        <v>84</v>
      </c>
      <c r="H52" t="s">
        <v>5</v>
      </c>
      <c r="I52" t="str">
        <f>IF(B52&lt;FiscalYr,IFERROR(VLOOKUP(E52&amp;U52,tblFC,6,FALSE),"Unmapped"),U52)</f>
        <v>GY 18 SPR VACA</v>
      </c>
      <c r="J52" t="s">
        <v>3</v>
      </c>
      <c r="K52">
        <v>322716</v>
      </c>
      <c r="L52">
        <v>7680361.6977000004</v>
      </c>
      <c r="M52">
        <v>2173245.2404</v>
      </c>
      <c r="N52">
        <v>1283435.8681000001</v>
      </c>
      <c r="S52">
        <v>-6296</v>
      </c>
      <c r="T52">
        <f>IFERROR(VLOOKUP($U52&amp;$B52 &amp; $C52 &amp; EOPMo,tblEop,10,FALSE),0)</f>
        <v>116624</v>
      </c>
      <c r="U52" t="s">
        <v>188</v>
      </c>
    </row>
    <row r="53" spans="2:21" x14ac:dyDescent="0.25">
      <c r="B53">
        <v>2018</v>
      </c>
      <c r="C53">
        <v>2</v>
      </c>
      <c r="D53">
        <v>4</v>
      </c>
      <c r="E53" t="s">
        <v>99</v>
      </c>
      <c r="F53" t="s">
        <v>29</v>
      </c>
      <c r="G53" t="s">
        <v>84</v>
      </c>
      <c r="H53" t="s">
        <v>5</v>
      </c>
      <c r="I53" t="str">
        <f>IF(B53&lt;FiscalYr,IFERROR(VLOOKUP(E53&amp;U53,tblFC,6,FALSE),"Unmapped"),U53)</f>
        <v>GY 18 SPR VACA</v>
      </c>
      <c r="J53" t="s">
        <v>3</v>
      </c>
      <c r="K53">
        <v>203232</v>
      </c>
      <c r="L53">
        <v>5184106.6770999897</v>
      </c>
      <c r="M53">
        <v>1555371.8043</v>
      </c>
      <c r="N53">
        <v>891963.37899999996</v>
      </c>
      <c r="S53">
        <v>-547</v>
      </c>
      <c r="T53">
        <f>IFERROR(VLOOKUP($U53&amp;$B53 &amp; $C53 &amp; EOPMo,tblEop,10,FALSE),0)</f>
        <v>0</v>
      </c>
      <c r="U53" t="s">
        <v>187</v>
      </c>
    </row>
    <row r="54" spans="2:21" x14ac:dyDescent="0.25">
      <c r="B54">
        <v>2018</v>
      </c>
      <c r="C54">
        <v>2</v>
      </c>
      <c r="D54">
        <v>5</v>
      </c>
      <c r="E54" t="s">
        <v>99</v>
      </c>
      <c r="F54" t="s">
        <v>29</v>
      </c>
      <c r="G54" t="s">
        <v>84</v>
      </c>
      <c r="H54" t="s">
        <v>5</v>
      </c>
      <c r="I54" t="s">
        <v>189</v>
      </c>
      <c r="J54" t="s">
        <v>105</v>
      </c>
      <c r="K54">
        <v>139461</v>
      </c>
      <c r="L54">
        <v>3483974.93</v>
      </c>
      <c r="M54">
        <v>990120.54</v>
      </c>
      <c r="N54">
        <v>586880.42000000004</v>
      </c>
      <c r="O54">
        <v>0</v>
      </c>
      <c r="P54">
        <v>-27405</v>
      </c>
      <c r="S54">
        <v>-70000</v>
      </c>
      <c r="T54">
        <f>IFERROR(VLOOKUP($I54&amp;$B54 &amp; $C54&amp; EOPMo,tblEopPlan,10,FALSE),0)</f>
        <v>-1</v>
      </c>
    </row>
    <row r="55" spans="2:21" x14ac:dyDescent="0.25">
      <c r="B55">
        <v>2017</v>
      </c>
      <c r="C55">
        <v>2</v>
      </c>
      <c r="D55">
        <v>4</v>
      </c>
      <c r="E55" t="s">
        <v>99</v>
      </c>
      <c r="F55" t="s">
        <v>29</v>
      </c>
      <c r="G55" t="s">
        <v>84</v>
      </c>
      <c r="H55" t="s">
        <v>5</v>
      </c>
      <c r="I55" t="str">
        <f>IF(B55&lt;FiscalYr,IFERROR(VLOOKUP(E55&amp;U55,tblFC,6,FALSE),"Unmapped"),U55)</f>
        <v>GY 18 SUM 1</v>
      </c>
      <c r="J55" t="s">
        <v>3</v>
      </c>
      <c r="K55">
        <v>243661</v>
      </c>
      <c r="L55">
        <v>6054702.9474999998</v>
      </c>
      <c r="M55">
        <v>1736825.1026999999</v>
      </c>
      <c r="N55">
        <v>1039853.5519</v>
      </c>
      <c r="O55">
        <v>4528</v>
      </c>
      <c r="S55">
        <v>-4078</v>
      </c>
      <c r="T55">
        <f>IFERROR(VLOOKUP($U55&amp;$B55 &amp; $C55 &amp; EOPMo,tblEop,10,FALSE),0)</f>
        <v>93910</v>
      </c>
      <c r="U55" t="s">
        <v>190</v>
      </c>
    </row>
    <row r="56" spans="2:21" x14ac:dyDescent="0.25">
      <c r="B56">
        <v>2018</v>
      </c>
      <c r="C56">
        <v>2</v>
      </c>
      <c r="D56">
        <v>4</v>
      </c>
      <c r="E56" t="s">
        <v>99</v>
      </c>
      <c r="F56" t="s">
        <v>29</v>
      </c>
      <c r="G56" t="s">
        <v>84</v>
      </c>
      <c r="H56" t="s">
        <v>5</v>
      </c>
      <c r="I56" t="str">
        <f>IF(B56&lt;FiscalYr,IFERROR(VLOOKUP(E56&amp;U56,tblFC,6,FALSE),"Unmapped"),U56)</f>
        <v>GY 18 SUM 1</v>
      </c>
      <c r="J56" t="s">
        <v>3</v>
      </c>
      <c r="K56">
        <v>136983</v>
      </c>
      <c r="L56">
        <v>3479644.2969</v>
      </c>
      <c r="M56">
        <v>1152786.0003</v>
      </c>
      <c r="N56">
        <v>575065.15209999995</v>
      </c>
      <c r="S56">
        <v>-389</v>
      </c>
      <c r="T56">
        <f>IFERROR(VLOOKUP($U56&amp;$B56 &amp; $C56 &amp; EOPMo,tblEop,10,FALSE),0)</f>
        <v>0</v>
      </c>
      <c r="U56" t="s">
        <v>189</v>
      </c>
    </row>
    <row r="57" spans="2:21" x14ac:dyDescent="0.25">
      <c r="B57">
        <v>2018</v>
      </c>
      <c r="C57">
        <v>2</v>
      </c>
      <c r="D57">
        <v>5</v>
      </c>
      <c r="E57" t="s">
        <v>99</v>
      </c>
      <c r="F57" t="s">
        <v>29</v>
      </c>
      <c r="G57" t="s">
        <v>84</v>
      </c>
      <c r="H57" t="s">
        <v>5</v>
      </c>
      <c r="I57" t="s">
        <v>183</v>
      </c>
      <c r="J57" t="s">
        <v>105</v>
      </c>
      <c r="K57">
        <v>10406</v>
      </c>
      <c r="L57">
        <v>280962</v>
      </c>
      <c r="M57">
        <v>73930</v>
      </c>
      <c r="N57">
        <v>49948.800000000003</v>
      </c>
      <c r="O57">
        <v>0</v>
      </c>
      <c r="P57">
        <v>0</v>
      </c>
      <c r="S57">
        <v>0</v>
      </c>
      <c r="T57">
        <f>IFERROR(VLOOKUP($I57&amp;$B57 &amp; $C57&amp; EOPMo,tblEopPlan,10,FALSE),0)</f>
        <v>9350</v>
      </c>
    </row>
    <row r="58" spans="2:21" x14ac:dyDescent="0.25">
      <c r="B58">
        <v>2017</v>
      </c>
      <c r="C58">
        <v>2</v>
      </c>
      <c r="D58">
        <v>4</v>
      </c>
      <c r="E58" t="s">
        <v>99</v>
      </c>
      <c r="F58" t="s">
        <v>29</v>
      </c>
      <c r="G58" t="s">
        <v>84</v>
      </c>
      <c r="H58" t="s">
        <v>5</v>
      </c>
      <c r="I58" t="str">
        <f>IF(B58&lt;FiscalYr,IFERROR(VLOOKUP(E58&amp;U58,tblFC,6,FALSE),"Unmapped"),U58)</f>
        <v>GY 18 SWIM 1</v>
      </c>
      <c r="J58" t="s">
        <v>3</v>
      </c>
      <c r="K58">
        <v>35623</v>
      </c>
      <c r="L58">
        <v>923826.31639999896</v>
      </c>
      <c r="M58">
        <v>311108.76630000002</v>
      </c>
      <c r="N58">
        <v>172293.1116</v>
      </c>
      <c r="S58">
        <v>-5866</v>
      </c>
      <c r="T58">
        <f>IFERROR(VLOOKUP($U58&amp;$B58 &amp; $C58 &amp; EOPMo,tblEop,10,FALSE),0)</f>
        <v>18717</v>
      </c>
      <c r="U58" t="s">
        <v>184</v>
      </c>
    </row>
    <row r="59" spans="2:21" x14ac:dyDescent="0.25">
      <c r="B59">
        <v>2018</v>
      </c>
      <c r="C59">
        <v>2</v>
      </c>
      <c r="D59">
        <v>4</v>
      </c>
      <c r="E59" t="s">
        <v>99</v>
      </c>
      <c r="F59" t="s">
        <v>29</v>
      </c>
      <c r="G59" t="s">
        <v>84</v>
      </c>
      <c r="H59" t="s">
        <v>5</v>
      </c>
      <c r="I59" t="str">
        <f>IF(B59&lt;FiscalYr,IFERROR(VLOOKUP(E59&amp;U59,tblFC,6,FALSE),"Unmapped"),U59)</f>
        <v>GY 18 SWIM 1</v>
      </c>
      <c r="J59" t="s">
        <v>3</v>
      </c>
      <c r="K59">
        <v>11591</v>
      </c>
      <c r="L59">
        <v>313652.72029999999</v>
      </c>
      <c r="M59">
        <v>97241.840700000001</v>
      </c>
      <c r="N59">
        <v>56774.7261</v>
      </c>
      <c r="S59">
        <v>-57</v>
      </c>
      <c r="T59">
        <f>IFERROR(VLOOKUP($U59&amp;$B59 &amp; $C59 &amp; EOPMo,tblEop,10,FALSE),0)</f>
        <v>0</v>
      </c>
      <c r="U59" t="s">
        <v>183</v>
      </c>
    </row>
    <row r="60" spans="2:21" x14ac:dyDescent="0.25">
      <c r="B60">
        <v>2018</v>
      </c>
      <c r="C60">
        <v>2</v>
      </c>
      <c r="D60">
        <v>5</v>
      </c>
      <c r="E60" t="s">
        <v>99</v>
      </c>
      <c r="F60" t="s">
        <v>29</v>
      </c>
      <c r="G60" t="s">
        <v>84</v>
      </c>
      <c r="H60" t="s">
        <v>5</v>
      </c>
      <c r="I60" t="s">
        <v>191</v>
      </c>
      <c r="J60" t="s">
        <v>105</v>
      </c>
      <c r="K60">
        <v>47615</v>
      </c>
      <c r="L60">
        <v>1154663.75</v>
      </c>
      <c r="M60">
        <v>347998</v>
      </c>
      <c r="N60">
        <v>214267.5</v>
      </c>
      <c r="O60">
        <v>0</v>
      </c>
      <c r="P60">
        <v>0</v>
      </c>
      <c r="S60">
        <v>0</v>
      </c>
      <c r="T60">
        <f>IFERROR(VLOOKUP($I60&amp;$B60 &amp; $C60&amp; EOPMo,tblEopPlan,10,FALSE),0)</f>
        <v>47962</v>
      </c>
    </row>
    <row r="61" spans="2:21" x14ac:dyDescent="0.25">
      <c r="B61">
        <v>2017</v>
      </c>
      <c r="C61">
        <v>2</v>
      </c>
      <c r="D61">
        <v>4</v>
      </c>
      <c r="E61" t="s">
        <v>99</v>
      </c>
      <c r="F61" t="s">
        <v>29</v>
      </c>
      <c r="G61" t="s">
        <v>84</v>
      </c>
      <c r="H61" t="s">
        <v>5</v>
      </c>
      <c r="I61" t="str">
        <f>IF(B61&lt;FiscalYr,IFERROR(VLOOKUP(E61&amp;U61,tblFC,6,FALSE),"Unmapped"),U61)</f>
        <v>GY 18 SWIM 2</v>
      </c>
      <c r="J61" t="s">
        <v>3</v>
      </c>
      <c r="K61">
        <v>105879</v>
      </c>
      <c r="L61">
        <v>2531809.7494999999</v>
      </c>
      <c r="M61">
        <v>942461.29760000005</v>
      </c>
      <c r="N61">
        <v>498294.29199999903</v>
      </c>
      <c r="S61">
        <v>-850</v>
      </c>
      <c r="T61">
        <f>IFERROR(VLOOKUP($U61&amp;$B61 &amp; $C61 &amp; EOPMo,tblEop,10,FALSE),0)</f>
        <v>47437</v>
      </c>
      <c r="U61" t="s">
        <v>192</v>
      </c>
    </row>
    <row r="62" spans="2:21" x14ac:dyDescent="0.25">
      <c r="B62">
        <v>2018</v>
      </c>
      <c r="C62">
        <v>2</v>
      </c>
      <c r="D62">
        <v>4</v>
      </c>
      <c r="E62" t="s">
        <v>99</v>
      </c>
      <c r="F62" t="s">
        <v>29</v>
      </c>
      <c r="G62" t="s">
        <v>84</v>
      </c>
      <c r="H62" t="s">
        <v>5</v>
      </c>
      <c r="I62" t="str">
        <f>IF(B62&lt;FiscalYr,IFERROR(VLOOKUP(E62&amp;U62,tblFC,6,FALSE),"Unmapped"),U62)</f>
        <v>GY 18 SWIM 2</v>
      </c>
      <c r="J62" t="s">
        <v>3</v>
      </c>
      <c r="K62">
        <v>40157</v>
      </c>
      <c r="L62">
        <v>1007764.6335999999</v>
      </c>
      <c r="M62">
        <v>438205.98550000001</v>
      </c>
      <c r="N62">
        <v>186947.8941</v>
      </c>
      <c r="S62">
        <v>-148</v>
      </c>
      <c r="T62">
        <f>IFERROR(VLOOKUP($U62&amp;$B62 &amp; $C62 &amp; EOPMo,tblEop,10,FALSE),0)</f>
        <v>0</v>
      </c>
      <c r="U62" t="s">
        <v>191</v>
      </c>
    </row>
    <row r="63" spans="2:21" x14ac:dyDescent="0.25">
      <c r="B63">
        <v>2017</v>
      </c>
      <c r="C63">
        <v>2</v>
      </c>
      <c r="D63">
        <v>6</v>
      </c>
      <c r="E63" t="s">
        <v>99</v>
      </c>
      <c r="F63" t="s">
        <v>29</v>
      </c>
      <c r="G63" t="s">
        <v>84</v>
      </c>
      <c r="H63" t="s">
        <v>5</v>
      </c>
      <c r="I63" t="str">
        <f>IF(B63&lt;FiscalYr,IFERROR(VLOOKUP(E63&amp;U63,tblFC,6,FALSE),"Unmapped"),U63)</f>
        <v>Unmapped</v>
      </c>
      <c r="J63" t="s">
        <v>3</v>
      </c>
      <c r="K63">
        <v>1</v>
      </c>
      <c r="L63">
        <v>16.95</v>
      </c>
      <c r="M63">
        <v>10</v>
      </c>
      <c r="N63">
        <v>4</v>
      </c>
      <c r="T63">
        <f>IFERROR(VLOOKUP($U63&amp;$B63 &amp; $C63 &amp; EOPMo,tblEop,10,FALSE),0)</f>
        <v>-1</v>
      </c>
      <c r="U63" t="s">
        <v>189</v>
      </c>
    </row>
    <row r="64" spans="2:21" x14ac:dyDescent="0.25">
      <c r="B64">
        <v>2018</v>
      </c>
      <c r="C64">
        <v>2</v>
      </c>
      <c r="D64">
        <v>5</v>
      </c>
      <c r="E64" t="s">
        <v>99</v>
      </c>
      <c r="F64" t="s">
        <v>29</v>
      </c>
      <c r="G64" t="s">
        <v>84</v>
      </c>
      <c r="H64" t="s">
        <v>6</v>
      </c>
      <c r="I64" t="s">
        <v>193</v>
      </c>
      <c r="J64" t="s">
        <v>105</v>
      </c>
      <c r="K64">
        <v>289847</v>
      </c>
      <c r="L64">
        <v>7228784.1799999997</v>
      </c>
      <c r="M64">
        <v>2742566.15</v>
      </c>
      <c r="N64">
        <v>1275326.8</v>
      </c>
      <c r="O64">
        <v>0</v>
      </c>
      <c r="P64">
        <v>0</v>
      </c>
      <c r="S64">
        <v>-130285</v>
      </c>
      <c r="T64">
        <f>IFERROR(VLOOKUP($I64&amp;$B64 &amp; $C64&amp; EOPMo,tblEopPlan,10,FALSE),0)</f>
        <v>127619</v>
      </c>
    </row>
    <row r="65" spans="2:21" x14ac:dyDescent="0.25">
      <c r="B65">
        <v>2017</v>
      </c>
      <c r="C65">
        <v>2</v>
      </c>
      <c r="D65">
        <v>4</v>
      </c>
      <c r="E65" t="s">
        <v>99</v>
      </c>
      <c r="F65" t="s">
        <v>29</v>
      </c>
      <c r="G65" t="s">
        <v>84</v>
      </c>
      <c r="H65" t="s">
        <v>6</v>
      </c>
      <c r="I65" t="str">
        <f>IF(B65&lt;FiscalYr,IFERROR(VLOOKUP(E65&amp;U65,tblFC,6,FALSE),"Unmapped"),U65)</f>
        <v>GY 18 SM2</v>
      </c>
      <c r="J65" t="s">
        <v>3</v>
      </c>
      <c r="K65">
        <v>462877</v>
      </c>
      <c r="L65">
        <v>11613111.980599999</v>
      </c>
      <c r="M65">
        <v>4714635.6497</v>
      </c>
      <c r="N65">
        <v>1979938.8997</v>
      </c>
      <c r="O65">
        <v>12000</v>
      </c>
      <c r="S65">
        <v>-18001</v>
      </c>
      <c r="T65">
        <f>IFERROR(VLOOKUP($U65&amp;$B65 &amp; $C65 &amp; EOPMo,tblEop,10,FALSE),0)</f>
        <v>429965</v>
      </c>
      <c r="U65" s="9" t="s">
        <v>194</v>
      </c>
    </row>
    <row r="66" spans="2:21" x14ac:dyDescent="0.25">
      <c r="B66">
        <v>2018</v>
      </c>
      <c r="C66">
        <v>2</v>
      </c>
      <c r="D66">
        <v>4</v>
      </c>
      <c r="E66" t="s">
        <v>99</v>
      </c>
      <c r="F66" t="s">
        <v>29</v>
      </c>
      <c r="G66" t="s">
        <v>84</v>
      </c>
      <c r="H66" t="s">
        <v>6</v>
      </c>
      <c r="I66" t="str">
        <f>IF(B66&lt;FiscalYr,IFERROR(VLOOKUP(E66&amp;U66,tblFC,6,FALSE),"Unmapped"),U66)</f>
        <v>GY 18 SM2</v>
      </c>
      <c r="J66" t="s">
        <v>3</v>
      </c>
      <c r="K66">
        <v>217881</v>
      </c>
      <c r="L66">
        <v>5353154.4627</v>
      </c>
      <c r="M66">
        <v>2419258.2522</v>
      </c>
      <c r="N66">
        <v>943307.48540000001</v>
      </c>
      <c r="S66">
        <v>-726</v>
      </c>
      <c r="T66">
        <f>IFERROR(VLOOKUP($U66&amp;$B66 &amp; $C66 &amp; EOPMo,tblEop,10,FALSE),0)</f>
        <v>0</v>
      </c>
      <c r="U66" t="s">
        <v>193</v>
      </c>
    </row>
    <row r="67" spans="2:21" x14ac:dyDescent="0.25">
      <c r="B67">
        <v>2018</v>
      </c>
      <c r="C67">
        <v>2</v>
      </c>
      <c r="D67">
        <v>5</v>
      </c>
      <c r="E67" t="s">
        <v>99</v>
      </c>
      <c r="F67" t="s">
        <v>29</v>
      </c>
      <c r="G67" t="s">
        <v>84</v>
      </c>
      <c r="H67" t="s">
        <v>6</v>
      </c>
      <c r="I67" t="s">
        <v>195</v>
      </c>
      <c r="J67" t="s">
        <v>105</v>
      </c>
      <c r="K67">
        <v>296773</v>
      </c>
      <c r="L67">
        <v>7380744.5099999998</v>
      </c>
      <c r="M67">
        <v>2804724.04</v>
      </c>
      <c r="N67">
        <v>1379994.45</v>
      </c>
      <c r="O67">
        <v>0</v>
      </c>
      <c r="P67">
        <v>0</v>
      </c>
      <c r="S67">
        <v>-128370</v>
      </c>
      <c r="T67">
        <f>IFERROR(VLOOKUP($I67&amp;$B67 &amp; $C67&amp; EOPMo,tblEopPlan,10,FALSE),0)</f>
        <v>131636</v>
      </c>
    </row>
    <row r="68" spans="2:21" x14ac:dyDescent="0.25">
      <c r="B68">
        <v>2017</v>
      </c>
      <c r="C68">
        <v>2</v>
      </c>
      <c r="D68">
        <v>4</v>
      </c>
      <c r="E68" t="s">
        <v>99</v>
      </c>
      <c r="F68" t="s">
        <v>29</v>
      </c>
      <c r="G68" t="s">
        <v>84</v>
      </c>
      <c r="H68" t="s">
        <v>6</v>
      </c>
      <c r="I68" t="str">
        <f>IF(B68&lt;FiscalYr,IFERROR(VLOOKUP(E68&amp;U68,tblFC,6,FALSE),"Unmapped"),U68)</f>
        <v>GY 18 SM3</v>
      </c>
      <c r="J68" t="s">
        <v>3</v>
      </c>
      <c r="K68">
        <v>515044</v>
      </c>
      <c r="L68">
        <v>12738791.5601999</v>
      </c>
      <c r="M68">
        <v>5289759.5</v>
      </c>
      <c r="N68">
        <v>2125656.1076000002</v>
      </c>
      <c r="S68">
        <v>-4114</v>
      </c>
      <c r="T68">
        <f>IFERROR(VLOOKUP($U68&amp;$B68 &amp; $C68 &amp; EOPMo,tblEop,10,FALSE),0)</f>
        <v>343046</v>
      </c>
      <c r="U68" t="s">
        <v>196</v>
      </c>
    </row>
    <row r="69" spans="2:21" x14ac:dyDescent="0.25">
      <c r="B69">
        <v>2018</v>
      </c>
      <c r="C69">
        <v>2</v>
      </c>
      <c r="D69">
        <v>4</v>
      </c>
      <c r="E69" t="s">
        <v>99</v>
      </c>
      <c r="F69" t="s">
        <v>29</v>
      </c>
      <c r="G69" t="s">
        <v>84</v>
      </c>
      <c r="H69" t="s">
        <v>6</v>
      </c>
      <c r="I69" t="str">
        <f>IF(B69&lt;FiscalYr,IFERROR(VLOOKUP(E69&amp;U69,tblFC,6,FALSE),"Unmapped"),U69)</f>
        <v>GY 18 SM3</v>
      </c>
      <c r="J69" t="s">
        <v>3</v>
      </c>
      <c r="K69">
        <v>197566</v>
      </c>
      <c r="L69">
        <v>4808426.7222999996</v>
      </c>
      <c r="M69">
        <v>2304329.3440999999</v>
      </c>
      <c r="N69">
        <v>887186.26009999996</v>
      </c>
      <c r="O69">
        <v>10909</v>
      </c>
      <c r="S69">
        <v>-316</v>
      </c>
      <c r="T69">
        <f>IFERROR(VLOOKUP($U69&amp;$B69 &amp; $C69 &amp; EOPMo,tblEop,10,FALSE),0)</f>
        <v>0</v>
      </c>
      <c r="U69" t="s">
        <v>195</v>
      </c>
    </row>
    <row r="70" spans="2:21" x14ac:dyDescent="0.25">
      <c r="B70">
        <v>2018</v>
      </c>
      <c r="C70">
        <v>2</v>
      </c>
      <c r="D70">
        <v>5</v>
      </c>
      <c r="E70" t="s">
        <v>99</v>
      </c>
      <c r="F70" t="s">
        <v>29</v>
      </c>
      <c r="G70" t="s">
        <v>84</v>
      </c>
      <c r="H70" t="s">
        <v>6</v>
      </c>
      <c r="I70" t="s">
        <v>199</v>
      </c>
      <c r="J70" t="s">
        <v>105</v>
      </c>
      <c r="K70">
        <v>206414</v>
      </c>
      <c r="L70">
        <v>5164478.28</v>
      </c>
      <c r="M70">
        <v>1970844.14</v>
      </c>
      <c r="N70">
        <v>858682.24</v>
      </c>
      <c r="O70">
        <v>0</v>
      </c>
      <c r="P70">
        <v>0</v>
      </c>
      <c r="S70">
        <v>-130324</v>
      </c>
      <c r="T70">
        <f>IFERROR(VLOOKUP($I70&amp;$B70 &amp; $C70&amp; EOPMo,tblEopPlan,10,FALSE),0)</f>
        <v>231037</v>
      </c>
    </row>
    <row r="71" spans="2:21" x14ac:dyDescent="0.25">
      <c r="B71">
        <v>2017</v>
      </c>
      <c r="C71">
        <v>2</v>
      </c>
      <c r="D71">
        <v>4</v>
      </c>
      <c r="E71" t="s">
        <v>99</v>
      </c>
      <c r="F71" t="s">
        <v>29</v>
      </c>
      <c r="G71" t="s">
        <v>84</v>
      </c>
      <c r="H71" t="s">
        <v>6</v>
      </c>
      <c r="I71" t="str">
        <f>IF(B71&lt;FiscalYr,IFERROR(VLOOKUP(E71&amp;U71,tblFC,6,FALSE),"Unmapped"),U71)</f>
        <v>GY 18 SM4</v>
      </c>
      <c r="J71" t="s">
        <v>3</v>
      </c>
      <c r="K71">
        <v>376363</v>
      </c>
      <c r="L71">
        <v>8793538.6267999895</v>
      </c>
      <c r="M71">
        <v>3787701.4747999902</v>
      </c>
      <c r="N71">
        <v>1445807.28</v>
      </c>
      <c r="S71">
        <v>-5246</v>
      </c>
      <c r="T71">
        <f>IFERROR(VLOOKUP($U71&amp;$B71 &amp; $C71 &amp; EOPMo,tblEop,10,FALSE),0)</f>
        <v>318502</v>
      </c>
      <c r="U71" t="s">
        <v>200</v>
      </c>
    </row>
    <row r="72" spans="2:21" x14ac:dyDescent="0.25">
      <c r="B72">
        <v>2018</v>
      </c>
      <c r="C72">
        <v>2</v>
      </c>
      <c r="D72">
        <v>4</v>
      </c>
      <c r="E72" t="s">
        <v>99</v>
      </c>
      <c r="F72" t="s">
        <v>29</v>
      </c>
      <c r="G72" t="s">
        <v>84</v>
      </c>
      <c r="H72" t="s">
        <v>6</v>
      </c>
      <c r="I72" t="str">
        <f>IF(B72&lt;FiscalYr,IFERROR(VLOOKUP(E72&amp;U72,tblFC,6,FALSE),"Unmapped"),U72)</f>
        <v>GY 18 SM4</v>
      </c>
      <c r="J72" t="s">
        <v>3</v>
      </c>
      <c r="K72">
        <v>158796</v>
      </c>
      <c r="L72">
        <v>3856982.2253999901</v>
      </c>
      <c r="M72">
        <v>1993572.7990999999</v>
      </c>
      <c r="N72">
        <v>641674.87939999998</v>
      </c>
      <c r="O72">
        <v>374152</v>
      </c>
      <c r="S72">
        <v>2518</v>
      </c>
      <c r="T72">
        <f>IFERROR(VLOOKUP($U72&amp;$B72 &amp; $C72 &amp; EOPMo,tblEop,10,FALSE),0)</f>
        <v>0</v>
      </c>
      <c r="U72" t="s">
        <v>199</v>
      </c>
    </row>
    <row r="73" spans="2:21" x14ac:dyDescent="0.25">
      <c r="B73">
        <v>2018</v>
      </c>
      <c r="C73">
        <v>2</v>
      </c>
      <c r="D73">
        <v>5</v>
      </c>
      <c r="E73" t="s">
        <v>99</v>
      </c>
      <c r="F73" t="s">
        <v>29</v>
      </c>
      <c r="G73" t="s">
        <v>84</v>
      </c>
      <c r="H73" t="s">
        <v>6</v>
      </c>
      <c r="I73" t="s">
        <v>201</v>
      </c>
      <c r="J73" t="s">
        <v>105</v>
      </c>
      <c r="K73">
        <v>177458</v>
      </c>
      <c r="L73">
        <v>4424027.9400000004</v>
      </c>
      <c r="M73">
        <v>2147717.5</v>
      </c>
      <c r="N73">
        <v>763069.4</v>
      </c>
      <c r="O73">
        <v>0</v>
      </c>
      <c r="P73">
        <v>0</v>
      </c>
      <c r="S73">
        <v>-250762</v>
      </c>
      <c r="T73">
        <f>IFERROR(VLOOKUP($I73&amp;$B73 &amp; $C73&amp; EOPMo,tblEopPlan,10,FALSE),0)</f>
        <v>431412</v>
      </c>
    </row>
    <row r="74" spans="2:21" x14ac:dyDescent="0.25">
      <c r="B74">
        <v>2017</v>
      </c>
      <c r="C74">
        <v>2</v>
      </c>
      <c r="D74">
        <v>4</v>
      </c>
      <c r="E74" t="s">
        <v>99</v>
      </c>
      <c r="F74" t="s">
        <v>29</v>
      </c>
      <c r="G74" t="s">
        <v>84</v>
      </c>
      <c r="H74" t="s">
        <v>6</v>
      </c>
      <c r="I74" t="str">
        <f>IF(B74&lt;FiscalYr,IFERROR(VLOOKUP(E74&amp;U74,tblFC,6,FALSE),"Unmapped"),U74)</f>
        <v>GY 18 SM5</v>
      </c>
      <c r="J74" t="s">
        <v>3</v>
      </c>
      <c r="K74">
        <v>178921</v>
      </c>
      <c r="L74">
        <v>4221917.0113000004</v>
      </c>
      <c r="M74">
        <v>2448637.1688000001</v>
      </c>
      <c r="N74">
        <v>740679.99100000004</v>
      </c>
      <c r="O74">
        <v>1073822</v>
      </c>
      <c r="S74">
        <v>2379</v>
      </c>
      <c r="T74">
        <f>IFERROR(VLOOKUP($U74&amp;$B74 &amp; $C74 &amp; EOPMo,tblEop,10,FALSE),0)</f>
        <v>534797</v>
      </c>
      <c r="U74" t="s">
        <v>202</v>
      </c>
    </row>
    <row r="75" spans="2:21" x14ac:dyDescent="0.25">
      <c r="B75">
        <v>2018</v>
      </c>
      <c r="C75">
        <v>2</v>
      </c>
      <c r="D75">
        <v>4</v>
      </c>
      <c r="E75" t="s">
        <v>99</v>
      </c>
      <c r="F75" t="s">
        <v>29</v>
      </c>
      <c r="G75" t="s">
        <v>84</v>
      </c>
      <c r="H75" t="s">
        <v>6</v>
      </c>
      <c r="I75" t="str">
        <f>IF(B75&lt;FiscalYr,IFERROR(VLOOKUP(E75&amp;U75,tblFC,6,FALSE),"Unmapped"),U75)</f>
        <v>GY 18 SM5</v>
      </c>
      <c r="J75" t="s">
        <v>3</v>
      </c>
      <c r="K75">
        <v>74</v>
      </c>
      <c r="L75">
        <v>1891.30149999999</v>
      </c>
      <c r="M75">
        <v>997.301099999999</v>
      </c>
      <c r="N75">
        <v>340.252399999999</v>
      </c>
      <c r="O75">
        <v>804702</v>
      </c>
      <c r="S75">
        <v>9800</v>
      </c>
      <c r="T75">
        <f>IFERROR(VLOOKUP($U75&amp;$B75 &amp; $C75 &amp; EOPMo,tblEop,10,FALSE),0)</f>
        <v>0</v>
      </c>
      <c r="U75" t="s">
        <v>201</v>
      </c>
    </row>
    <row r="76" spans="2:21" x14ac:dyDescent="0.25">
      <c r="B76">
        <v>2018</v>
      </c>
      <c r="C76">
        <v>2</v>
      </c>
      <c r="D76">
        <v>5</v>
      </c>
      <c r="E76" t="s">
        <v>99</v>
      </c>
      <c r="F76" t="s">
        <v>29</v>
      </c>
      <c r="G76" t="s">
        <v>84</v>
      </c>
      <c r="H76" t="s">
        <v>6</v>
      </c>
      <c r="I76" t="s">
        <v>203</v>
      </c>
      <c r="J76" t="s">
        <v>105</v>
      </c>
      <c r="K76">
        <v>534783</v>
      </c>
      <c r="L76">
        <v>10540572.93</v>
      </c>
      <c r="M76">
        <v>4052678.57</v>
      </c>
      <c r="N76">
        <v>2165871.15</v>
      </c>
      <c r="O76">
        <v>0</v>
      </c>
      <c r="P76">
        <v>0</v>
      </c>
      <c r="S76">
        <v>-134892</v>
      </c>
      <c r="T76">
        <f>IFERROR(VLOOKUP($I76&amp;$B76 &amp; $C76&amp; EOPMo,tblEopPlan,10,FALSE),0)</f>
        <v>307802</v>
      </c>
    </row>
    <row r="77" spans="2:21" x14ac:dyDescent="0.25">
      <c r="B77">
        <v>2017</v>
      </c>
      <c r="C77">
        <v>2</v>
      </c>
      <c r="D77">
        <v>4</v>
      </c>
      <c r="E77" t="s">
        <v>99</v>
      </c>
      <c r="F77" t="s">
        <v>29</v>
      </c>
      <c r="G77" t="s">
        <v>84</v>
      </c>
      <c r="H77" t="s">
        <v>6</v>
      </c>
      <c r="I77" t="str">
        <f>IF(B77&lt;FiscalYr,IFERROR(VLOOKUP(E77&amp;U77,tblFC,6,FALSE),"Unmapped"),U77)</f>
        <v>GY 18 SMR</v>
      </c>
      <c r="J77" t="s">
        <v>3</v>
      </c>
      <c r="K77">
        <v>932184</v>
      </c>
      <c r="L77">
        <v>18088179.400299899</v>
      </c>
      <c r="M77">
        <v>7318360.9872000003</v>
      </c>
      <c r="N77">
        <v>2953593.1634999998</v>
      </c>
      <c r="S77">
        <v>-10533</v>
      </c>
      <c r="T77">
        <f>IFERROR(VLOOKUP($U77&amp;$B77 &amp; $C77 &amp; EOPMo,tblEop,10,FALSE),0)</f>
        <v>820162</v>
      </c>
      <c r="U77" t="s">
        <v>204</v>
      </c>
    </row>
    <row r="78" spans="2:21" x14ac:dyDescent="0.25">
      <c r="B78">
        <v>2018</v>
      </c>
      <c r="C78">
        <v>2</v>
      </c>
      <c r="D78">
        <v>4</v>
      </c>
      <c r="E78" t="s">
        <v>99</v>
      </c>
      <c r="F78" t="s">
        <v>29</v>
      </c>
      <c r="G78" t="s">
        <v>84</v>
      </c>
      <c r="H78" t="s">
        <v>6</v>
      </c>
      <c r="I78" t="str">
        <f>IF(B78&lt;FiscalYr,IFERROR(VLOOKUP(E78&amp;U78,tblFC,6,FALSE),"Unmapped"),U78)</f>
        <v>GY 18 SMR</v>
      </c>
      <c r="J78" t="s">
        <v>3</v>
      </c>
      <c r="K78">
        <v>361365</v>
      </c>
      <c r="L78">
        <v>7199547.4512999896</v>
      </c>
      <c r="M78">
        <v>3244730.4216</v>
      </c>
      <c r="N78">
        <v>1301269.0216000001</v>
      </c>
      <c r="O78">
        <v>16148</v>
      </c>
      <c r="S78">
        <v>-783</v>
      </c>
      <c r="T78">
        <f>IFERROR(VLOOKUP($U78&amp;$B78 &amp; $C78 &amp; EOPMo,tblEop,10,FALSE),0)</f>
        <v>0</v>
      </c>
      <c r="U78" t="s">
        <v>203</v>
      </c>
    </row>
    <row r="79" spans="2:21" x14ac:dyDescent="0.25">
      <c r="B79">
        <v>2018</v>
      </c>
      <c r="C79">
        <v>2</v>
      </c>
      <c r="D79">
        <v>5</v>
      </c>
      <c r="E79" t="s">
        <v>99</v>
      </c>
      <c r="F79" t="s">
        <v>29</v>
      </c>
      <c r="G79" t="s">
        <v>84</v>
      </c>
      <c r="H79" t="s">
        <v>6</v>
      </c>
      <c r="I79" t="s">
        <v>197</v>
      </c>
      <c r="J79" t="s">
        <v>105</v>
      </c>
      <c r="K79">
        <v>79790</v>
      </c>
      <c r="L79">
        <v>2108051.7999999998</v>
      </c>
      <c r="M79">
        <v>797865.38</v>
      </c>
      <c r="N79">
        <v>382194.1</v>
      </c>
      <c r="O79">
        <v>0</v>
      </c>
      <c r="P79">
        <v>0</v>
      </c>
      <c r="S79">
        <v>-30266</v>
      </c>
      <c r="T79">
        <f>IFERROR(VLOOKUP($I79&amp;$B79 &amp; $C79&amp; EOPMo,tblEopPlan,10,FALSE),0)</f>
        <v>22854</v>
      </c>
    </row>
    <row r="80" spans="2:21" x14ac:dyDescent="0.25">
      <c r="B80">
        <v>2017</v>
      </c>
      <c r="C80">
        <v>2</v>
      </c>
      <c r="D80">
        <v>4</v>
      </c>
      <c r="E80" t="s">
        <v>99</v>
      </c>
      <c r="F80" t="s">
        <v>29</v>
      </c>
      <c r="G80" t="s">
        <v>84</v>
      </c>
      <c r="H80" t="s">
        <v>6</v>
      </c>
      <c r="I80" t="str">
        <f>IF(B80&lt;FiscalYr,IFERROR(VLOOKUP(E80&amp;U80,tblFC,6,FALSE),"Unmapped"),U80)</f>
        <v>GY 18 SWIM 3</v>
      </c>
      <c r="J80" t="s">
        <v>3</v>
      </c>
      <c r="K80">
        <v>155239</v>
      </c>
      <c r="L80">
        <v>3801843.0049000001</v>
      </c>
      <c r="M80">
        <v>1491096.3569</v>
      </c>
      <c r="N80">
        <v>757967.55029999895</v>
      </c>
      <c r="S80">
        <v>-711</v>
      </c>
      <c r="T80">
        <f>IFERROR(VLOOKUP($U80&amp;$B80 &amp; $C80 &amp; EOPMo,tblEop,10,FALSE),0)</f>
        <v>70869</v>
      </c>
      <c r="U80" t="s">
        <v>198</v>
      </c>
    </row>
    <row r="81" spans="2:21" x14ac:dyDescent="0.25">
      <c r="B81">
        <v>2018</v>
      </c>
      <c r="C81">
        <v>2</v>
      </c>
      <c r="D81">
        <v>4</v>
      </c>
      <c r="E81" t="s">
        <v>99</v>
      </c>
      <c r="F81" t="s">
        <v>29</v>
      </c>
      <c r="G81" t="s">
        <v>84</v>
      </c>
      <c r="H81" t="s">
        <v>6</v>
      </c>
      <c r="I81" t="str">
        <f>IF(B81&lt;FiscalYr,IFERROR(VLOOKUP(E81&amp;U81,tblFC,6,FALSE),"Unmapped"),U81)</f>
        <v>GY 18 SWIM 3</v>
      </c>
      <c r="J81" t="s">
        <v>3</v>
      </c>
      <c r="K81">
        <v>55417</v>
      </c>
      <c r="L81">
        <v>1480425.59499999</v>
      </c>
      <c r="M81">
        <v>637894.96100000001</v>
      </c>
      <c r="N81">
        <v>260578.8653</v>
      </c>
      <c r="S81">
        <v>-231</v>
      </c>
      <c r="T81">
        <f>IFERROR(VLOOKUP($U81&amp;$B81 &amp; $C81 &amp; EOPMo,tblEop,10,FALSE),0)</f>
        <v>0</v>
      </c>
      <c r="U81" t="s">
        <v>197</v>
      </c>
    </row>
    <row r="82" spans="2:21" x14ac:dyDescent="0.25">
      <c r="B82">
        <v>2017</v>
      </c>
      <c r="C82">
        <v>2</v>
      </c>
      <c r="D82">
        <v>4</v>
      </c>
      <c r="E82" t="s">
        <v>99</v>
      </c>
      <c r="F82" t="s">
        <v>29</v>
      </c>
      <c r="G82" t="s">
        <v>84</v>
      </c>
      <c r="H82" t="s">
        <v>6</v>
      </c>
      <c r="I82" t="str">
        <f>IF(B82&lt;FiscalYr,IFERROR(VLOOKUP(E82&amp;U82,tblFC,6,FALSE),"Unmapped"),U82)</f>
        <v>Unmapped</v>
      </c>
      <c r="J82" t="s">
        <v>3</v>
      </c>
      <c r="K82">
        <v>48626</v>
      </c>
      <c r="L82">
        <v>1007792.96549999</v>
      </c>
      <c r="M82">
        <v>568164.63</v>
      </c>
      <c r="N82">
        <v>184562.53950000001</v>
      </c>
      <c r="O82">
        <v>728432</v>
      </c>
      <c r="S82">
        <v>193560</v>
      </c>
      <c r="T82">
        <f>IFERROR(VLOOKUP($U82&amp;$B82 &amp; $C82 &amp; EOPMo,tblEop,10,FALSE),0)</f>
        <v>768970</v>
      </c>
      <c r="U82" t="s">
        <v>404</v>
      </c>
    </row>
    <row r="83" spans="2:21" x14ac:dyDescent="0.25">
      <c r="B83">
        <v>2017</v>
      </c>
      <c r="C83">
        <v>2</v>
      </c>
      <c r="D83">
        <v>6</v>
      </c>
      <c r="E83" t="s">
        <v>99</v>
      </c>
      <c r="F83" t="s">
        <v>29</v>
      </c>
      <c r="G83" t="s">
        <v>84</v>
      </c>
      <c r="H83" t="s">
        <v>8</v>
      </c>
      <c r="I83" t="str">
        <f>IF(B83&lt;FiscalYr,IFERROR(VLOOKUP(E83&amp;U83,tblFC,6,FALSE),"Unmapped"),U83)</f>
        <v>Unmapped</v>
      </c>
      <c r="J83" t="s">
        <v>3</v>
      </c>
      <c r="S83">
        <v>-1</v>
      </c>
      <c r="T83">
        <f>IFERROR(VLOOKUP($U83&amp;$B83 &amp; $C83 &amp; EOPMo,tblEop,10,FALSE),0)</f>
        <v>-1</v>
      </c>
      <c r="U83" t="s">
        <v>406</v>
      </c>
    </row>
    <row r="84" spans="2:21" x14ac:dyDescent="0.25">
      <c r="B84">
        <v>2017</v>
      </c>
      <c r="C84">
        <v>2</v>
      </c>
      <c r="D84">
        <v>4</v>
      </c>
      <c r="E84" t="s">
        <v>99</v>
      </c>
      <c r="F84" t="s">
        <v>29</v>
      </c>
      <c r="G84" t="s">
        <v>84</v>
      </c>
      <c r="H84" t="s">
        <v>8</v>
      </c>
      <c r="I84" t="str">
        <f>IF(B84&lt;FiscalYr,IFERROR(VLOOKUP(E84&amp;U84,tblFC,6,FALSE),"Unmapped"),U84)</f>
        <v>Unmapped</v>
      </c>
      <c r="J84" t="s">
        <v>3</v>
      </c>
      <c r="K84">
        <v>32968</v>
      </c>
      <c r="L84">
        <v>851898.86029999994</v>
      </c>
      <c r="M84">
        <v>170829.84460000001</v>
      </c>
      <c r="N84">
        <v>144656.19010000001</v>
      </c>
      <c r="S84">
        <v>9237</v>
      </c>
      <c r="T84">
        <f>IFERROR(VLOOKUP($U84&amp;$B84 &amp; $C84 &amp; EOPMo,tblEop,10,FALSE),0)</f>
        <v>66261</v>
      </c>
      <c r="U84" t="s">
        <v>407</v>
      </c>
    </row>
    <row r="85" spans="2:21" x14ac:dyDescent="0.25">
      <c r="B85">
        <v>2017</v>
      </c>
      <c r="C85">
        <v>2</v>
      </c>
      <c r="D85">
        <v>6</v>
      </c>
      <c r="E85" t="s">
        <v>99</v>
      </c>
      <c r="F85" t="s">
        <v>29</v>
      </c>
      <c r="G85" t="s">
        <v>84</v>
      </c>
      <c r="H85" t="s">
        <v>8</v>
      </c>
      <c r="I85" t="str">
        <f>IF(B85&lt;FiscalYr,IFERROR(VLOOKUP(E85&amp;U85,tblFC,6,FALSE),"Unmapped"),U85)</f>
        <v>Unmapped</v>
      </c>
      <c r="J85" t="s">
        <v>3</v>
      </c>
      <c r="S85">
        <v>-1</v>
      </c>
      <c r="T85">
        <f>IFERROR(VLOOKUP($U85&amp;$B85 &amp; $C85 &amp; EOPMo,tblEop,10,FALSE),0)</f>
        <v>-1</v>
      </c>
      <c r="U85" t="s">
        <v>408</v>
      </c>
    </row>
    <row r="86" spans="2:21" x14ac:dyDescent="0.25">
      <c r="B86">
        <v>2018</v>
      </c>
      <c r="C86">
        <v>2</v>
      </c>
      <c r="D86">
        <v>5</v>
      </c>
      <c r="E86" t="s">
        <v>99</v>
      </c>
      <c r="F86" t="s">
        <v>29</v>
      </c>
      <c r="G86" t="s">
        <v>84</v>
      </c>
      <c r="H86" t="s">
        <v>435</v>
      </c>
      <c r="I86" t="s">
        <v>435</v>
      </c>
      <c r="J86" t="s">
        <v>105</v>
      </c>
      <c r="K86">
        <v>21520</v>
      </c>
      <c r="L86">
        <v>582671.75</v>
      </c>
      <c r="M86">
        <v>103769.65</v>
      </c>
      <c r="N86">
        <v>92634.05</v>
      </c>
      <c r="O86">
        <v>0</v>
      </c>
      <c r="P86">
        <v>0</v>
      </c>
      <c r="S86">
        <v>-170200</v>
      </c>
      <c r="T86">
        <f>IFERROR(VLOOKUP($I86&amp;$B86 &amp; $C86&amp; EOPMo,tblEopPlan,10,FALSE),0)</f>
        <v>29722</v>
      </c>
    </row>
    <row r="87" spans="2:21" x14ac:dyDescent="0.25">
      <c r="B87">
        <v>2017</v>
      </c>
      <c r="C87">
        <v>2</v>
      </c>
      <c r="D87">
        <v>4</v>
      </c>
      <c r="E87" t="s">
        <v>99</v>
      </c>
      <c r="F87" t="s">
        <v>29</v>
      </c>
      <c r="G87" t="s">
        <v>84</v>
      </c>
      <c r="H87" t="s">
        <v>435</v>
      </c>
      <c r="I87" t="str">
        <f>IF(B87&lt;FiscalYr,IFERROR(VLOOKUP(E87&amp;U87,tblFC,6,FALSE),"Unmapped"),U87)</f>
        <v>WINTER 17</v>
      </c>
      <c r="J87" t="s">
        <v>3</v>
      </c>
      <c r="K87">
        <v>32968</v>
      </c>
      <c r="L87">
        <v>851898.86029999994</v>
      </c>
      <c r="M87">
        <v>170829.84460000001</v>
      </c>
      <c r="N87">
        <v>144656.19010000001</v>
      </c>
      <c r="S87">
        <v>9235</v>
      </c>
      <c r="T87">
        <f>IFERROR(VLOOKUP($U87&amp;$B87 &amp; $C87 &amp; EOPMo,tblEop,10,FALSE),0)</f>
        <v>66259</v>
      </c>
      <c r="U87" t="s">
        <v>435</v>
      </c>
    </row>
    <row r="88" spans="2:21" x14ac:dyDescent="0.25">
      <c r="B88">
        <v>2018</v>
      </c>
      <c r="C88">
        <v>2</v>
      </c>
      <c r="D88">
        <v>4</v>
      </c>
      <c r="E88" t="s">
        <v>99</v>
      </c>
      <c r="F88" t="s">
        <v>29</v>
      </c>
      <c r="G88" t="s">
        <v>84</v>
      </c>
      <c r="H88" t="s">
        <v>435</v>
      </c>
      <c r="I88" t="str">
        <f>IF(B88&lt;FiscalYr,IFERROR(VLOOKUP(E88&amp;U88,tblFC,6,FALSE),"Unmapped"),U88)</f>
        <v>Winter 17</v>
      </c>
      <c r="J88" t="s">
        <v>3</v>
      </c>
      <c r="K88">
        <v>16681</v>
      </c>
      <c r="L88">
        <v>425428.75319999998</v>
      </c>
      <c r="M88">
        <v>58202.314599999998</v>
      </c>
      <c r="N88">
        <v>67867.8802</v>
      </c>
      <c r="S88">
        <v>-997</v>
      </c>
      <c r="T88">
        <f>IFERROR(VLOOKUP($U88&amp;$B88 &amp; $C88 &amp; EOPMo,tblEop,10,FALSE),0)</f>
        <v>0</v>
      </c>
      <c r="U88" t="s">
        <v>435</v>
      </c>
    </row>
    <row r="312" spans="2:20" x14ac:dyDescent="0.25">
      <c r="B312" s="190"/>
      <c r="C312" s="190"/>
      <c r="D312" s="190"/>
      <c r="E312" s="190"/>
      <c r="F312" s="190"/>
      <c r="G312" s="190"/>
      <c r="H312" s="190"/>
      <c r="I312" s="190"/>
      <c r="J312" s="190"/>
      <c r="K312" s="190"/>
      <c r="L312" s="190"/>
      <c r="M312" s="190"/>
      <c r="N312" s="190"/>
      <c r="O312" s="190"/>
      <c r="P312" s="190"/>
      <c r="Q312" s="190"/>
      <c r="R312" s="190"/>
      <c r="S312" s="190"/>
      <c r="T312" s="190"/>
    </row>
    <row r="1603" spans="20:20" x14ac:dyDescent="0.25">
      <c r="T1603" s="194"/>
    </row>
  </sheetData>
  <sortState ref="B5:U88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J322"/>
  <sheetViews>
    <sheetView showGridLines="0" topLeftCell="U1" zoomScale="80" zoomScaleNormal="80" zoomScalePageLayoutView="80" workbookViewId="0">
      <selection activeCell="Z2" sqref="Z2:AF165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3.7109375" style="13" bestFit="1" customWidth="1"/>
    <col min="24" max="25" width="3.7109375" style="13" customWidth="1"/>
    <col min="26" max="26" width="43.140625" bestFit="1" customWidth="1"/>
    <col min="27" max="27" width="34.85546875" style="183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21.28515625" style="13" bestFit="1" customWidth="1" collapsed="1"/>
    <col min="34" max="34" width="12.140625" style="13" bestFit="1" customWidth="1"/>
    <col min="35" max="35" width="9.85546875" style="13" bestFit="1" customWidth="1"/>
    <col min="36" max="36" width="25.85546875" style="13" bestFit="1" customWidth="1"/>
    <col min="37" max="38" width="4.5703125" style="13" customWidth="1"/>
    <col min="39" max="16384" width="65.28515625" style="13"/>
  </cols>
  <sheetData>
    <row r="1" spans="1:36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87</v>
      </c>
      <c r="K1" s="217" t="s">
        <v>88</v>
      </c>
      <c r="L1" s="218"/>
      <c r="N1" s="219" t="s">
        <v>89</v>
      </c>
      <c r="O1" s="220"/>
      <c r="Q1" s="78" t="s">
        <v>58</v>
      </c>
      <c r="R1"/>
      <c r="S1" s="78" t="s">
        <v>367</v>
      </c>
      <c r="T1" s="107"/>
      <c r="U1" s="107" t="s">
        <v>380</v>
      </c>
      <c r="V1" s="107"/>
      <c r="Z1" s="181" t="s">
        <v>90</v>
      </c>
      <c r="AA1" s="83" t="s">
        <v>90</v>
      </c>
      <c r="AB1" s="185" t="s">
        <v>91</v>
      </c>
      <c r="AC1" s="84" t="s">
        <v>27</v>
      </c>
      <c r="AD1" s="85" t="s">
        <v>92</v>
      </c>
      <c r="AE1" s="85" t="s">
        <v>93</v>
      </c>
      <c r="AF1" s="85" t="s">
        <v>94</v>
      </c>
      <c r="AG1" s="113" t="s">
        <v>95</v>
      </c>
      <c r="AH1" s="114" t="s">
        <v>96</v>
      </c>
      <c r="AI1" s="114" t="s">
        <v>97</v>
      </c>
      <c r="AJ1" s="115" t="s">
        <v>98</v>
      </c>
    </row>
    <row r="2" spans="1:36" x14ac:dyDescent="0.25">
      <c r="A2" s="86" t="s">
        <v>99</v>
      </c>
      <c r="B2" s="22"/>
      <c r="C2" s="87" t="s">
        <v>84</v>
      </c>
      <c r="D2" s="25"/>
      <c r="E2" s="86">
        <v>2017</v>
      </c>
      <c r="F2" s="86"/>
      <c r="G2" s="86" t="s">
        <v>5</v>
      </c>
      <c r="H2" s="22"/>
      <c r="I2" s="87" t="s">
        <v>100</v>
      </c>
      <c r="K2" s="88" t="s">
        <v>99</v>
      </c>
      <c r="L2" s="89" t="s">
        <v>84</v>
      </c>
      <c r="M2" s="90"/>
      <c r="N2" s="88" t="s">
        <v>99</v>
      </c>
      <c r="O2" s="79" t="s">
        <v>29</v>
      </c>
      <c r="Q2" s="101" t="s">
        <v>59</v>
      </c>
      <c r="R2" s="2"/>
      <c r="S2" s="101" t="s">
        <v>31</v>
      </c>
      <c r="T2" s="2"/>
      <c r="U2" s="108" t="s">
        <v>31</v>
      </c>
      <c r="V2" s="112">
        <v>2018</v>
      </c>
      <c r="Z2" s="195" t="str">
        <f>AC2&amp;AF2</f>
        <v>Crazy 8GY C8 17 WINTER TRANS</v>
      </c>
      <c r="AA2" s="182" t="str">
        <f t="shared" ref="AA2:AA65" si="0">AB2&amp;AC2&amp;AD2</f>
        <v>2018Crazy 8Winter</v>
      </c>
      <c r="AB2" s="196" t="s">
        <v>436</v>
      </c>
      <c r="AC2" s="196" t="s">
        <v>83</v>
      </c>
      <c r="AD2" s="196" t="s">
        <v>8</v>
      </c>
      <c r="AE2" s="196" t="s">
        <v>437</v>
      </c>
      <c r="AF2" s="196" t="s">
        <v>416</v>
      </c>
      <c r="AG2" s="91" t="s">
        <v>64</v>
      </c>
      <c r="AH2" s="92" t="e">
        <f ca="1">MATCH(FiscalYr&amp;Brand&amp;Season,OFFSET(tblFC,,,,1),0)</f>
        <v>#NAME?</v>
      </c>
      <c r="AI2" s="92">
        <f ca="1">COUNTIF(OFFSET(tblFC,,,,1),FiscalYr&amp;Brand&amp;Season)</f>
        <v>0</v>
      </c>
      <c r="AJ2" s="93" t="e">
        <f ca="1">OFFSET(OFFSET(tblFC,,4,,1),MATCH(FiscalYr&amp;Brand&amp;Season,OFFSET(tblFC,,,,1),0)-1,,COUNTIF(OFFSET(tblFC,,,,1),FiscalYr&amp;Brand&amp;Season),1)</f>
        <v>#NAME?</v>
      </c>
    </row>
    <row r="3" spans="1:36" x14ac:dyDescent="0.25">
      <c r="A3" s="86" t="s">
        <v>103</v>
      </c>
      <c r="B3" s="22"/>
      <c r="C3" s="86" t="s">
        <v>104</v>
      </c>
      <c r="D3" s="25"/>
      <c r="E3" s="86">
        <v>2018</v>
      </c>
      <c r="F3" s="86"/>
      <c r="G3" s="86" t="s">
        <v>6</v>
      </c>
      <c r="H3" s="22"/>
      <c r="I3" s="86" t="s">
        <v>105</v>
      </c>
      <c r="K3" s="24" t="s">
        <v>99</v>
      </c>
      <c r="L3" s="94" t="s">
        <v>104</v>
      </c>
      <c r="M3" s="90"/>
      <c r="N3" s="24" t="s">
        <v>99</v>
      </c>
      <c r="O3" s="95" t="s">
        <v>106</v>
      </c>
      <c r="Q3" s="102" t="s">
        <v>57</v>
      </c>
      <c r="R3" s="2">
        <v>3</v>
      </c>
      <c r="S3" s="102" t="s">
        <v>56</v>
      </c>
      <c r="T3" s="2"/>
      <c r="U3" s="109" t="s">
        <v>56</v>
      </c>
      <c r="V3" s="1" t="s">
        <v>57</v>
      </c>
      <c r="Z3" s="195" t="str">
        <f t="shared" ref="Z3:Z66" si="1">AC3&amp;AF3</f>
        <v>Crazy 8GY C8 17 WINTER CAP</v>
      </c>
      <c r="AA3" s="182" t="str">
        <f t="shared" si="0"/>
        <v>2018Crazy 8Winter</v>
      </c>
      <c r="AB3" s="196" t="s">
        <v>436</v>
      </c>
      <c r="AC3" s="196" t="s">
        <v>83</v>
      </c>
      <c r="AD3" s="196" t="s">
        <v>8</v>
      </c>
      <c r="AE3" s="196" t="s">
        <v>438</v>
      </c>
      <c r="AF3" s="196" t="s">
        <v>415</v>
      </c>
      <c r="AG3" s="116" t="s">
        <v>30</v>
      </c>
      <c r="AH3" s="22">
        <f ca="1">MATCH(Brand,OFFSET(tblBrandChannel,,,,1),0)-1</f>
        <v>0</v>
      </c>
      <c r="AI3" s="22">
        <f ca="1">COUNTIF(OFFSET(tblBrandChannel,,,,1),Brand)</f>
        <v>2</v>
      </c>
      <c r="AJ3" s="25" t="str">
        <f ca="1">OFFSET(OFFSET(tblBrandChannel,,1,,1),MATCH(Brand,OFFSET(tblBrandChannel,,,,1),0)-1,,COUNTIF(OFFSET(tblBrandChannel,,,,1),Brand),1)</f>
        <v>Web</v>
      </c>
    </row>
    <row r="4" spans="1:36" x14ac:dyDescent="0.25">
      <c r="A4" s="86" t="s">
        <v>83</v>
      </c>
      <c r="B4" s="22"/>
      <c r="C4" s="96" t="s">
        <v>103</v>
      </c>
      <c r="E4" s="96">
        <v>2019</v>
      </c>
      <c r="F4" s="86"/>
      <c r="G4" s="86" t="s">
        <v>54</v>
      </c>
      <c r="H4" s="22"/>
      <c r="I4" s="86" t="s">
        <v>108</v>
      </c>
      <c r="K4" s="24" t="s">
        <v>103</v>
      </c>
      <c r="L4" s="25" t="s">
        <v>103</v>
      </c>
      <c r="M4" s="22"/>
      <c r="N4" s="24" t="s">
        <v>103</v>
      </c>
      <c r="O4" s="25" t="s">
        <v>29</v>
      </c>
      <c r="Q4" s="102" t="s">
        <v>60</v>
      </c>
      <c r="R4" s="2">
        <v>6</v>
      </c>
      <c r="S4" s="151" t="s">
        <v>364</v>
      </c>
      <c r="T4" s="2"/>
      <c r="U4" s="109" t="s">
        <v>56</v>
      </c>
      <c r="V4" s="1" t="s">
        <v>60</v>
      </c>
      <c r="Z4" s="195" t="str">
        <f t="shared" si="1"/>
        <v>Crazy 8GY C8 17 HOLIDAY</v>
      </c>
      <c r="AA4" s="182" t="str">
        <f t="shared" si="0"/>
        <v>2018Crazy 8Winter</v>
      </c>
      <c r="AB4" s="196" t="s">
        <v>436</v>
      </c>
      <c r="AC4" s="196" t="s">
        <v>83</v>
      </c>
      <c r="AD4" s="196" t="s">
        <v>8</v>
      </c>
      <c r="AE4" s="196" t="s">
        <v>439</v>
      </c>
      <c r="AF4" s="196" t="s">
        <v>413</v>
      </c>
      <c r="AG4" s="116" t="s">
        <v>28</v>
      </c>
      <c r="AH4" s="22">
        <f ca="1">MATCH(Brand,OFFSET(tblBrandCountry,,,,1),0)-1</f>
        <v>0</v>
      </c>
      <c r="AI4" s="22">
        <f ca="1">COUNTIF(OFFSET(tblBrandCountry,,,,1),Brand)</f>
        <v>2</v>
      </c>
      <c r="AJ4" s="25" t="e">
        <f ca="1">OFFSET(OFFSET(tblBrandCountry,,1,,1),MATCH(Brand,OFFSET(tblBrandCountry,,,,1),0)-1,,COUNTIF(OFFSET(tblBrandCountry,,,,1),Brand),1)</f>
        <v>#VALUE!</v>
      </c>
    </row>
    <row r="5" spans="1:36" x14ac:dyDescent="0.25">
      <c r="A5" s="96" t="s">
        <v>111</v>
      </c>
      <c r="B5" s="22"/>
      <c r="G5" s="86" t="s">
        <v>8</v>
      </c>
      <c r="H5" s="22"/>
      <c r="I5" s="86" t="s">
        <v>86</v>
      </c>
      <c r="K5" s="24" t="s">
        <v>83</v>
      </c>
      <c r="L5" s="94" t="s">
        <v>84</v>
      </c>
      <c r="M5" s="90"/>
      <c r="N5" s="24" t="s">
        <v>83</v>
      </c>
      <c r="O5" s="25" t="s">
        <v>29</v>
      </c>
      <c r="Q5" s="102" t="s">
        <v>61</v>
      </c>
      <c r="R5" s="2">
        <v>9</v>
      </c>
      <c r="S5" s="2"/>
      <c r="T5" s="2"/>
      <c r="U5" s="109" t="s">
        <v>56</v>
      </c>
      <c r="V5" s="1" t="s">
        <v>61</v>
      </c>
      <c r="Z5" s="195" t="str">
        <f t="shared" si="1"/>
        <v>Crazy 8GY C8 17 KIDZ BOP CAP</v>
      </c>
      <c r="AA5" s="182" t="str">
        <f t="shared" si="0"/>
        <v>2018Crazy 8Winter</v>
      </c>
      <c r="AB5" s="196" t="s">
        <v>436</v>
      </c>
      <c r="AC5" s="196" t="s">
        <v>83</v>
      </c>
      <c r="AD5" s="196" t="s">
        <v>8</v>
      </c>
      <c r="AE5" s="196" t="s">
        <v>439</v>
      </c>
      <c r="AF5" s="196" t="s">
        <v>414</v>
      </c>
      <c r="AG5" s="184" t="s">
        <v>367</v>
      </c>
      <c r="AH5" s="27">
        <f ca="1">MATCH(RptLen,OFFSET(tblRptType,,,,1),0)-1</f>
        <v>1</v>
      </c>
      <c r="AI5" s="27">
        <f ca="1">COUNTIF(OFFSET(tblRptType,,,,1),RptLen)</f>
        <v>4</v>
      </c>
      <c r="AJ5" s="28" t="str">
        <f ca="1">OFFSET(OFFSET(tblRptType,,1,,1),MATCH(RptLen,OFFSET(tblRptType,,,,1),0)-1,,COUNTIF(OFFSET(tblRptType,,,,1),RptLen),1)</f>
        <v>Q3</v>
      </c>
    </row>
    <row r="6" spans="1:36" x14ac:dyDescent="0.25">
      <c r="G6" s="86" t="s">
        <v>10</v>
      </c>
      <c r="H6" s="22"/>
      <c r="I6" s="97" t="s">
        <v>3</v>
      </c>
      <c r="K6" s="24" t="s">
        <v>83</v>
      </c>
      <c r="L6" s="94" t="s">
        <v>104</v>
      </c>
      <c r="M6" s="90"/>
      <c r="N6" s="26" t="s">
        <v>111</v>
      </c>
      <c r="O6" s="98" t="s">
        <v>29</v>
      </c>
      <c r="Q6" s="151" t="s">
        <v>62</v>
      </c>
      <c r="R6" s="11">
        <v>12</v>
      </c>
      <c r="S6" s="2"/>
      <c r="T6" s="2"/>
      <c r="U6" s="109" t="s">
        <v>56</v>
      </c>
      <c r="V6" s="1" t="s">
        <v>62</v>
      </c>
      <c r="Z6" s="195" t="str">
        <f t="shared" si="1"/>
        <v>Crazy 8GY C8 17 GIFT</v>
      </c>
      <c r="AA6" s="182" t="str">
        <f t="shared" si="0"/>
        <v>2018Crazy 8Winter</v>
      </c>
      <c r="AB6" s="196" t="s">
        <v>436</v>
      </c>
      <c r="AC6" s="196" t="s">
        <v>83</v>
      </c>
      <c r="AD6" s="196" t="s">
        <v>8</v>
      </c>
      <c r="AE6" s="196" t="s">
        <v>440</v>
      </c>
      <c r="AF6" s="196" t="s">
        <v>412</v>
      </c>
    </row>
    <row r="7" spans="1:36" x14ac:dyDescent="0.25">
      <c r="G7" s="96" t="s">
        <v>50</v>
      </c>
      <c r="H7" s="22"/>
      <c r="I7" s="22"/>
      <c r="K7" s="24" t="s">
        <v>111</v>
      </c>
      <c r="L7" s="94" t="s">
        <v>84</v>
      </c>
      <c r="M7" s="90"/>
      <c r="N7" s="90"/>
      <c r="O7" s="90"/>
      <c r="Q7" s="90"/>
      <c r="R7" s="90"/>
      <c r="S7" s="90"/>
      <c r="T7" s="90"/>
      <c r="U7" s="110" t="s">
        <v>364</v>
      </c>
      <c r="V7" s="94" t="s">
        <v>368</v>
      </c>
      <c r="W7" s="148">
        <v>1</v>
      </c>
      <c r="X7" s="148"/>
      <c r="Y7" s="148"/>
      <c r="Z7" s="195" t="str">
        <f t="shared" si="1"/>
        <v>Crazy 8GY C8 17 WTR</v>
      </c>
      <c r="AA7" s="182" t="str">
        <f t="shared" si="0"/>
        <v>2018Crazy 8Winter</v>
      </c>
      <c r="AB7" s="196" t="s">
        <v>436</v>
      </c>
      <c r="AC7" s="196" t="s">
        <v>83</v>
      </c>
      <c r="AD7" s="196" t="s">
        <v>8</v>
      </c>
      <c r="AE7" s="196" t="s">
        <v>441</v>
      </c>
      <c r="AF7" s="196" t="s">
        <v>417</v>
      </c>
    </row>
    <row r="8" spans="1:36" x14ac:dyDescent="0.25">
      <c r="K8" s="24" t="s">
        <v>111</v>
      </c>
      <c r="L8" s="94" t="s">
        <v>104</v>
      </c>
      <c r="M8"/>
      <c r="N8" s="90"/>
      <c r="O8" s="90"/>
      <c r="Q8" s="90"/>
      <c r="R8" s="90"/>
      <c r="S8" s="90"/>
      <c r="T8" s="90"/>
      <c r="U8" s="110" t="s">
        <v>364</v>
      </c>
      <c r="V8" s="94" t="s">
        <v>369</v>
      </c>
      <c r="W8" s="148">
        <f>W7+1</f>
        <v>2</v>
      </c>
      <c r="X8" s="148"/>
      <c r="Y8" s="148"/>
      <c r="Z8" s="195" t="str">
        <f t="shared" si="1"/>
        <v>Crazy 8GY C8 17 WTR DOORBUSTER</v>
      </c>
      <c r="AA8" s="182" t="str">
        <f t="shared" si="0"/>
        <v>2018Crazy 8Winter</v>
      </c>
      <c r="AB8" s="196" t="s">
        <v>436</v>
      </c>
      <c r="AC8" s="196" t="s">
        <v>83</v>
      </c>
      <c r="AD8" s="196" t="s">
        <v>8</v>
      </c>
      <c r="AE8" s="196" t="s">
        <v>442</v>
      </c>
      <c r="AF8" s="196" t="s">
        <v>418</v>
      </c>
    </row>
    <row r="9" spans="1:36" x14ac:dyDescent="0.25">
      <c r="K9" s="26" t="s">
        <v>111</v>
      </c>
      <c r="L9" s="98" t="s">
        <v>103</v>
      </c>
      <c r="M9"/>
      <c r="Q9" s="22"/>
      <c r="R9" s="22"/>
      <c r="S9" s="22"/>
      <c r="T9" s="22"/>
      <c r="U9" s="110" t="s">
        <v>364</v>
      </c>
      <c r="V9" s="94" t="s">
        <v>370</v>
      </c>
      <c r="W9" s="148">
        <f t="shared" ref="W9:W18" si="2">W8+1</f>
        <v>3</v>
      </c>
      <c r="X9" s="148"/>
      <c r="Y9" s="148"/>
      <c r="Z9" s="195" t="str">
        <f t="shared" si="1"/>
        <v>Crazy 8GY C8 17 SPRING TRANS</v>
      </c>
      <c r="AA9" s="182" t="str">
        <f t="shared" si="0"/>
        <v>2018Crazy 8Winter</v>
      </c>
      <c r="AB9" s="196" t="s">
        <v>436</v>
      </c>
      <c r="AC9" s="196" t="s">
        <v>83</v>
      </c>
      <c r="AD9" s="196" t="s">
        <v>8</v>
      </c>
      <c r="AE9" s="196" t="s">
        <v>443</v>
      </c>
      <c r="AF9" s="196" t="s">
        <v>134</v>
      </c>
    </row>
    <row r="10" spans="1:36" x14ac:dyDescent="0.25">
      <c r="Q10" s="22"/>
      <c r="R10" s="22"/>
      <c r="S10" s="22"/>
      <c r="T10" s="22"/>
      <c r="U10" s="110" t="s">
        <v>364</v>
      </c>
      <c r="V10" s="94" t="s">
        <v>371</v>
      </c>
      <c r="W10" s="148">
        <f t="shared" si="2"/>
        <v>4</v>
      </c>
      <c r="X10" s="148"/>
      <c r="Y10" s="148"/>
      <c r="Z10" s="195" t="str">
        <f t="shared" si="1"/>
        <v>Crazy 8GY C8 17 VDAY CAP</v>
      </c>
      <c r="AA10" s="182" t="str">
        <f t="shared" si="0"/>
        <v>2018Crazy 8Winter</v>
      </c>
      <c r="AB10" s="196" t="s">
        <v>436</v>
      </c>
      <c r="AC10" s="196" t="s">
        <v>83</v>
      </c>
      <c r="AD10" s="196" t="s">
        <v>8</v>
      </c>
      <c r="AE10" s="196" t="s">
        <v>443</v>
      </c>
      <c r="AF10" s="196" t="s">
        <v>132</v>
      </c>
    </row>
    <row r="11" spans="1:36" x14ac:dyDescent="0.25">
      <c r="Q11" s="22"/>
      <c r="R11" s="22"/>
      <c r="S11" s="22"/>
      <c r="T11" s="22"/>
      <c r="U11" s="110" t="s">
        <v>364</v>
      </c>
      <c r="V11" s="94" t="s">
        <v>372</v>
      </c>
      <c r="W11" s="148">
        <f t="shared" si="2"/>
        <v>5</v>
      </c>
      <c r="X11" s="148"/>
      <c r="Y11" s="148"/>
      <c r="Z11" s="195" t="str">
        <f t="shared" si="1"/>
        <v>Crazy 8</v>
      </c>
      <c r="AA11" s="182" t="str">
        <f t="shared" si="0"/>
        <v>2018Crazy 8Winter</v>
      </c>
      <c r="AB11" s="196" t="s">
        <v>436</v>
      </c>
      <c r="AC11" s="196" t="s">
        <v>83</v>
      </c>
      <c r="AD11" s="196" t="s">
        <v>8</v>
      </c>
      <c r="AE11" s="196" t="s">
        <v>444</v>
      </c>
      <c r="AF11" s="196" t="s">
        <v>445</v>
      </c>
    </row>
    <row r="12" spans="1:36" x14ac:dyDescent="0.25">
      <c r="Q12" s="22"/>
      <c r="R12" s="22"/>
      <c r="S12" s="22"/>
      <c r="T12" s="22"/>
      <c r="U12" s="110" t="s">
        <v>364</v>
      </c>
      <c r="V12" s="94" t="s">
        <v>373</v>
      </c>
      <c r="W12" s="148">
        <f t="shared" si="2"/>
        <v>6</v>
      </c>
      <c r="X12" s="148"/>
      <c r="Y12" s="148"/>
      <c r="Z12" s="195" t="str">
        <f t="shared" si="1"/>
        <v>Crazy 8GY C8 17 SPR</v>
      </c>
      <c r="AA12" s="182" t="str">
        <f t="shared" si="0"/>
        <v>2018Crazy 8Winter</v>
      </c>
      <c r="AB12" s="196" t="s">
        <v>436</v>
      </c>
      <c r="AC12" s="196" t="s">
        <v>83</v>
      </c>
      <c r="AD12" s="196" t="s">
        <v>8</v>
      </c>
      <c r="AE12" s="196" t="s">
        <v>446</v>
      </c>
      <c r="AF12" s="196" t="s">
        <v>130</v>
      </c>
    </row>
    <row r="13" spans="1:36" x14ac:dyDescent="0.25">
      <c r="A13" s="99" t="s">
        <v>125</v>
      </c>
      <c r="B13" s="100"/>
      <c r="C13" s="221" t="s">
        <v>395</v>
      </c>
      <c r="D13" s="221"/>
      <c r="E13" s="221"/>
      <c r="F13" s="221"/>
      <c r="G13" s="222"/>
      <c r="U13" s="110" t="s">
        <v>364</v>
      </c>
      <c r="V13" s="94" t="s">
        <v>374</v>
      </c>
      <c r="W13" s="148">
        <f t="shared" si="2"/>
        <v>7</v>
      </c>
      <c r="X13" s="148"/>
      <c r="Y13" s="148"/>
      <c r="Z13" s="195" t="str">
        <f t="shared" si="1"/>
        <v>Crazy 8GY C8 17 SPRING CAP</v>
      </c>
      <c r="AA13" s="182" t="str">
        <f t="shared" si="0"/>
        <v>2018Crazy 8Spring</v>
      </c>
      <c r="AB13" s="196" t="s">
        <v>436</v>
      </c>
      <c r="AC13" s="196" t="s">
        <v>83</v>
      </c>
      <c r="AD13" s="196" t="s">
        <v>5</v>
      </c>
      <c r="AE13" s="196" t="s">
        <v>143</v>
      </c>
      <c r="AF13" s="196" t="s">
        <v>144</v>
      </c>
    </row>
    <row r="14" spans="1:36" x14ac:dyDescent="0.25">
      <c r="A14" s="99" t="s">
        <v>127</v>
      </c>
      <c r="B14" s="100"/>
      <c r="C14" s="223" t="str">
        <f>"http://"&amp;IF(Environ="Test","localhost","172.25.40.13")&amp;"/api/"</f>
        <v>http://172.25.40.13/api/</v>
      </c>
      <c r="D14" s="223"/>
      <c r="E14" s="223"/>
      <c r="F14" s="223"/>
      <c r="G14" s="224"/>
      <c r="U14" s="110" t="s">
        <v>364</v>
      </c>
      <c r="V14" s="94" t="s">
        <v>375</v>
      </c>
      <c r="W14" s="148">
        <f t="shared" si="2"/>
        <v>8</v>
      </c>
      <c r="X14" s="148"/>
      <c r="Y14" s="148"/>
      <c r="Z14" s="195" t="str">
        <f t="shared" si="1"/>
        <v>Crazy 8GY C8 17 EASTER CAP</v>
      </c>
      <c r="AA14" s="182" t="str">
        <f t="shared" si="0"/>
        <v>2018Crazy 8Spring</v>
      </c>
      <c r="AB14" s="196" t="s">
        <v>436</v>
      </c>
      <c r="AC14" s="196" t="s">
        <v>83</v>
      </c>
      <c r="AD14" s="196" t="s">
        <v>5</v>
      </c>
      <c r="AE14" s="196" t="s">
        <v>149</v>
      </c>
      <c r="AF14" s="196" t="s">
        <v>150</v>
      </c>
    </row>
    <row r="15" spans="1:36" x14ac:dyDescent="0.25">
      <c r="H15" s="22"/>
      <c r="I15" s="22"/>
      <c r="U15" s="110" t="s">
        <v>364</v>
      </c>
      <c r="V15" s="94" t="s">
        <v>376</v>
      </c>
      <c r="W15" s="148">
        <f t="shared" si="2"/>
        <v>9</v>
      </c>
      <c r="X15" s="148"/>
      <c r="Y15" s="148"/>
      <c r="Z15" s="195" t="str">
        <f t="shared" si="1"/>
        <v>Crazy 8GY C8 17 PRE SUMMER</v>
      </c>
      <c r="AA15" s="182" t="str">
        <f t="shared" si="0"/>
        <v>2018Crazy 8Spring</v>
      </c>
      <c r="AB15" s="196" t="s">
        <v>436</v>
      </c>
      <c r="AC15" s="196" t="s">
        <v>83</v>
      </c>
      <c r="AD15" s="196" t="s">
        <v>5</v>
      </c>
      <c r="AE15" s="196" t="s">
        <v>151</v>
      </c>
      <c r="AF15" s="196" t="s">
        <v>152</v>
      </c>
    </row>
    <row r="16" spans="1:36" x14ac:dyDescent="0.25">
      <c r="A16" t="s">
        <v>82</v>
      </c>
      <c r="U16" s="110" t="s">
        <v>364</v>
      </c>
      <c r="V16" s="94" t="s">
        <v>377</v>
      </c>
      <c r="W16" s="148">
        <f t="shared" si="2"/>
        <v>10</v>
      </c>
      <c r="X16" s="148"/>
      <c r="Y16" s="148"/>
      <c r="Z16" s="195" t="str">
        <f t="shared" si="1"/>
        <v>Crazy 8GY C8 17 SPR</v>
      </c>
      <c r="AA16" s="182" t="str">
        <f t="shared" si="0"/>
        <v>2018Crazy 8Spring</v>
      </c>
      <c r="AB16" s="196" t="s">
        <v>436</v>
      </c>
      <c r="AC16" s="196" t="s">
        <v>83</v>
      </c>
      <c r="AD16" s="196" t="s">
        <v>5</v>
      </c>
      <c r="AE16" s="196" t="s">
        <v>85</v>
      </c>
      <c r="AF16" s="196" t="s">
        <v>130</v>
      </c>
    </row>
    <row r="17" spans="1:32" x14ac:dyDescent="0.25">
      <c r="U17" s="110" t="s">
        <v>364</v>
      </c>
      <c r="V17" s="94" t="s">
        <v>378</v>
      </c>
      <c r="W17" s="148">
        <f t="shared" si="2"/>
        <v>11</v>
      </c>
      <c r="X17" s="148"/>
      <c r="Y17" s="148"/>
      <c r="Z17" s="195" t="str">
        <f t="shared" si="1"/>
        <v>Crazy 8GY C8 17 SPR DOORBUSTER</v>
      </c>
      <c r="AA17" s="182" t="str">
        <f t="shared" si="0"/>
        <v>2018Crazy 8Spring</v>
      </c>
      <c r="AB17" s="196" t="s">
        <v>436</v>
      </c>
      <c r="AC17" s="196" t="s">
        <v>83</v>
      </c>
      <c r="AD17" s="196" t="s">
        <v>5</v>
      </c>
      <c r="AE17" s="196" t="s">
        <v>136</v>
      </c>
      <c r="AF17" s="196" t="s">
        <v>137</v>
      </c>
    </row>
    <row r="18" spans="1:32" x14ac:dyDescent="0.25">
      <c r="A18" s="13" t="s">
        <v>135</v>
      </c>
      <c r="U18" s="111" t="s">
        <v>364</v>
      </c>
      <c r="V18" s="98" t="s">
        <v>379</v>
      </c>
      <c r="W18" s="148">
        <f t="shared" si="2"/>
        <v>12</v>
      </c>
      <c r="X18" s="148"/>
      <c r="Y18" s="148"/>
      <c r="Z18" s="195" t="str">
        <f t="shared" si="1"/>
        <v>Crazy 8GY C8 17 SPRING</v>
      </c>
      <c r="AA18" s="182" t="str">
        <f t="shared" si="0"/>
        <v>2018Crazy 8Spring</v>
      </c>
      <c r="AB18" s="196" t="s">
        <v>436</v>
      </c>
      <c r="AC18" s="196" t="s">
        <v>83</v>
      </c>
      <c r="AD18" s="196" t="s">
        <v>5</v>
      </c>
      <c r="AE18" s="196" t="s">
        <v>139</v>
      </c>
      <c r="AF18" s="196" t="s">
        <v>140</v>
      </c>
    </row>
    <row r="19" spans="1:32" x14ac:dyDescent="0.25">
      <c r="A19" s="13" t="s">
        <v>138</v>
      </c>
      <c r="Z19" s="195" t="str">
        <f t="shared" si="1"/>
        <v>Crazy 8GY C8 17 SPRING BREAK</v>
      </c>
      <c r="AA19" s="182" t="str">
        <f t="shared" si="0"/>
        <v>2018Crazy 8Spring</v>
      </c>
      <c r="AB19" s="196" t="s">
        <v>436</v>
      </c>
      <c r="AC19" s="196" t="s">
        <v>83</v>
      </c>
      <c r="AD19" s="196" t="s">
        <v>5</v>
      </c>
      <c r="AE19" s="196" t="s">
        <v>145</v>
      </c>
      <c r="AF19" s="196" t="s">
        <v>146</v>
      </c>
    </row>
    <row r="20" spans="1:32" x14ac:dyDescent="0.25">
      <c r="Z20" s="195" t="str">
        <f t="shared" si="1"/>
        <v>Crazy 8GY C8 17 SPRING TRANS</v>
      </c>
      <c r="AA20" s="182" t="str">
        <f t="shared" si="0"/>
        <v>2018Crazy 8Spring</v>
      </c>
      <c r="AB20" s="196" t="s">
        <v>436</v>
      </c>
      <c r="AC20" s="196" t="s">
        <v>83</v>
      </c>
      <c r="AD20" s="196" t="s">
        <v>5</v>
      </c>
      <c r="AE20" s="196" t="s">
        <v>133</v>
      </c>
      <c r="AF20" s="196" t="s">
        <v>134</v>
      </c>
    </row>
    <row r="21" spans="1:32" x14ac:dyDescent="0.25">
      <c r="A21" s="107" t="s">
        <v>394</v>
      </c>
      <c r="C21" s="150">
        <f>IFERROR(VLOOKUP(View,tblMonth,2,FALSE),0)</f>
        <v>0</v>
      </c>
      <c r="Z21" s="195" t="str">
        <f t="shared" si="1"/>
        <v>Crazy 8GY C8 17 SWIM 1</v>
      </c>
      <c r="AA21" s="182" t="str">
        <f t="shared" si="0"/>
        <v>2018Crazy 8Spring</v>
      </c>
      <c r="AB21" s="196" t="s">
        <v>436</v>
      </c>
      <c r="AC21" s="196" t="s">
        <v>83</v>
      </c>
      <c r="AD21" s="196" t="s">
        <v>5</v>
      </c>
      <c r="AE21" s="196" t="s">
        <v>141</v>
      </c>
      <c r="AF21" s="196" t="s">
        <v>142</v>
      </c>
    </row>
    <row r="22" spans="1:32" x14ac:dyDescent="0.25">
      <c r="A22" s="13" t="s">
        <v>425</v>
      </c>
      <c r="C22" s="150">
        <f>IFERROR(VLOOKUP(View,tblQtr,2,FALSE),0)</f>
        <v>6</v>
      </c>
      <c r="Z22" s="195" t="str">
        <f t="shared" si="1"/>
        <v>Crazy 8GY C8 17 SWIM 2</v>
      </c>
      <c r="AA22" s="182" t="str">
        <f t="shared" si="0"/>
        <v>2018Crazy 8Spring</v>
      </c>
      <c r="AB22" s="196" t="s">
        <v>436</v>
      </c>
      <c r="AC22" s="196" t="s">
        <v>83</v>
      </c>
      <c r="AD22" s="196" t="s">
        <v>5</v>
      </c>
      <c r="AE22" s="196" t="s">
        <v>147</v>
      </c>
      <c r="AF22" s="196" t="s">
        <v>148</v>
      </c>
    </row>
    <row r="23" spans="1:32" x14ac:dyDescent="0.25">
      <c r="A23" s="13" t="s">
        <v>426</v>
      </c>
      <c r="C23" s="191">
        <f>IF(RptLen="Quarter",QtrMo,FiscalMo)</f>
        <v>6</v>
      </c>
      <c r="Z23" s="195" t="str">
        <f t="shared" si="1"/>
        <v>Crazy 8GY C8 17 SWIM 3</v>
      </c>
      <c r="AA23" s="182" t="str">
        <f t="shared" si="0"/>
        <v>2018Crazy 8Spring</v>
      </c>
      <c r="AB23" s="196" t="s">
        <v>436</v>
      </c>
      <c r="AC23" s="196" t="s">
        <v>83</v>
      </c>
      <c r="AD23" s="196" t="s">
        <v>5</v>
      </c>
      <c r="AE23" s="196" t="s">
        <v>153</v>
      </c>
      <c r="AF23" s="196" t="s">
        <v>154</v>
      </c>
    </row>
    <row r="24" spans="1:32" x14ac:dyDescent="0.25">
      <c r="Z24" s="195" t="str">
        <f t="shared" si="1"/>
        <v>Crazy 8GY C8 17 VDAY CAP</v>
      </c>
      <c r="AA24" s="182" t="str">
        <f t="shared" si="0"/>
        <v>2018Crazy 8Spring</v>
      </c>
      <c r="AB24" s="196" t="s">
        <v>436</v>
      </c>
      <c r="AC24" s="196" t="s">
        <v>83</v>
      </c>
      <c r="AD24" s="196" t="s">
        <v>5</v>
      </c>
      <c r="AE24" s="196" t="s">
        <v>131</v>
      </c>
      <c r="AF24" s="196" t="s">
        <v>132</v>
      </c>
    </row>
    <row r="25" spans="1:32" x14ac:dyDescent="0.25">
      <c r="Z25" s="195" t="str">
        <f t="shared" si="1"/>
        <v>Crazy 8GY C8 17 HIGH SUMMER</v>
      </c>
      <c r="AA25" s="182" t="str">
        <f t="shared" si="0"/>
        <v>2018Crazy 8Summer</v>
      </c>
      <c r="AB25" s="196" t="s">
        <v>436</v>
      </c>
      <c r="AC25" s="196" t="s">
        <v>83</v>
      </c>
      <c r="AD25" s="196" t="s">
        <v>6</v>
      </c>
      <c r="AE25" s="196" t="s">
        <v>167</v>
      </c>
      <c r="AF25" s="196" t="s">
        <v>168</v>
      </c>
    </row>
    <row r="26" spans="1:32" x14ac:dyDescent="0.25">
      <c r="Z26" s="195" t="str">
        <f t="shared" si="1"/>
        <v>Crazy 8GY C8 17 JULY 4TH CAP</v>
      </c>
      <c r="AA26" s="182" t="str">
        <f t="shared" si="0"/>
        <v>2018Crazy 8Summer</v>
      </c>
      <c r="AB26" s="196" t="s">
        <v>436</v>
      </c>
      <c r="AC26" s="196" t="s">
        <v>83</v>
      </c>
      <c r="AD26" s="196" t="s">
        <v>6</v>
      </c>
      <c r="AE26" s="196" t="s">
        <v>163</v>
      </c>
      <c r="AF26" s="196" t="s">
        <v>164</v>
      </c>
    </row>
    <row r="27" spans="1:32" x14ac:dyDescent="0.25">
      <c r="Z27" s="195" t="str">
        <f t="shared" si="1"/>
        <v>Crazy 8GY C8 17 SMR</v>
      </c>
      <c r="AA27" s="182" t="str">
        <f t="shared" si="0"/>
        <v>2018Crazy 8Summer</v>
      </c>
      <c r="AB27" s="196" t="s">
        <v>436</v>
      </c>
      <c r="AC27" s="196" t="s">
        <v>83</v>
      </c>
      <c r="AD27" s="196" t="s">
        <v>6</v>
      </c>
      <c r="AE27" s="196" t="s">
        <v>157</v>
      </c>
      <c r="AF27" s="196" t="s">
        <v>158</v>
      </c>
    </row>
    <row r="28" spans="1:32" x14ac:dyDescent="0.25">
      <c r="Z28" s="195" t="str">
        <f t="shared" si="1"/>
        <v>Crazy 8GY C8 17 SMR DOORBUSTER</v>
      </c>
      <c r="AA28" s="182" t="str">
        <f t="shared" si="0"/>
        <v>2018Crazy 8Summer</v>
      </c>
      <c r="AB28" s="196" t="s">
        <v>436</v>
      </c>
      <c r="AC28" s="196" t="s">
        <v>83</v>
      </c>
      <c r="AD28" s="196" t="s">
        <v>6</v>
      </c>
      <c r="AE28" s="196" t="s">
        <v>165</v>
      </c>
      <c r="AF28" s="196" t="s">
        <v>166</v>
      </c>
    </row>
    <row r="29" spans="1:32" x14ac:dyDescent="0.25">
      <c r="Z29" s="195" t="str">
        <f t="shared" si="1"/>
        <v>Crazy 8GY C8 17 SUMMER</v>
      </c>
      <c r="AA29" s="182" t="str">
        <f t="shared" si="0"/>
        <v>2018Crazy 8Summer</v>
      </c>
      <c r="AB29" s="196" t="s">
        <v>436</v>
      </c>
      <c r="AC29" s="196" t="s">
        <v>83</v>
      </c>
      <c r="AD29" s="196" t="s">
        <v>6</v>
      </c>
      <c r="AE29" s="196" t="s">
        <v>159</v>
      </c>
      <c r="AF29" s="196" t="s">
        <v>160</v>
      </c>
    </row>
    <row r="30" spans="1:32" x14ac:dyDescent="0.25">
      <c r="Z30" s="195" t="str">
        <f t="shared" si="1"/>
        <v>Crazy 8GY C8 17 SUMMER CAP</v>
      </c>
      <c r="AA30" s="182" t="str">
        <f t="shared" si="0"/>
        <v>2018Crazy 8Summer</v>
      </c>
      <c r="AB30" s="196" t="s">
        <v>436</v>
      </c>
      <c r="AC30" s="196" t="s">
        <v>83</v>
      </c>
      <c r="AD30" s="196" t="s">
        <v>6</v>
      </c>
      <c r="AE30" s="196" t="s">
        <v>155</v>
      </c>
      <c r="AF30" s="196" t="s">
        <v>156</v>
      </c>
    </row>
    <row r="31" spans="1:32" x14ac:dyDescent="0.25">
      <c r="Z31" s="195" t="str">
        <f t="shared" si="1"/>
        <v>Crazy 8GY C8 17 SUMMER TRANS</v>
      </c>
      <c r="AA31" s="182" t="str">
        <f t="shared" si="0"/>
        <v>2018Crazy 8Summer</v>
      </c>
      <c r="AB31" s="196" t="s">
        <v>436</v>
      </c>
      <c r="AC31" s="196" t="s">
        <v>83</v>
      </c>
      <c r="AD31" s="196" t="s">
        <v>6</v>
      </c>
      <c r="AE31" s="196" t="s">
        <v>169</v>
      </c>
      <c r="AF31" s="196" t="s">
        <v>170</v>
      </c>
    </row>
    <row r="32" spans="1:32" x14ac:dyDescent="0.25">
      <c r="Z32" s="195" t="str">
        <f t="shared" si="1"/>
        <v>Crazy 8GY C8 17 SWIM 4</v>
      </c>
      <c r="AA32" s="182" t="str">
        <f t="shared" si="0"/>
        <v>2018Crazy 8Summer</v>
      </c>
      <c r="AB32" s="196" t="s">
        <v>436</v>
      </c>
      <c r="AC32" s="196" t="s">
        <v>83</v>
      </c>
      <c r="AD32" s="196" t="s">
        <v>6</v>
      </c>
      <c r="AE32" s="196" t="s">
        <v>161</v>
      </c>
      <c r="AF32" s="196" t="s">
        <v>162</v>
      </c>
    </row>
    <row r="33" spans="26:32" x14ac:dyDescent="0.25">
      <c r="Z33" s="195" t="str">
        <f t="shared" si="1"/>
        <v>Crazy 8GY C8 17 TRANS CAP</v>
      </c>
      <c r="AA33" s="182" t="str">
        <f t="shared" si="0"/>
        <v>2018Crazy 8Summer</v>
      </c>
      <c r="AB33" s="196" t="s">
        <v>436</v>
      </c>
      <c r="AC33" s="196" t="s">
        <v>83</v>
      </c>
      <c r="AD33" s="196" t="s">
        <v>6</v>
      </c>
      <c r="AE33" s="196" t="s">
        <v>171</v>
      </c>
      <c r="AF33" s="196" t="s">
        <v>172</v>
      </c>
    </row>
    <row r="34" spans="26:32" x14ac:dyDescent="0.25">
      <c r="Z34" s="195" t="str">
        <f t="shared" si="1"/>
        <v>Crazy 8GY C8 17 FALL 1</v>
      </c>
      <c r="AA34" s="182" t="str">
        <f t="shared" si="0"/>
        <v>2018Crazy 8Fall</v>
      </c>
      <c r="AB34" s="196" t="s">
        <v>436</v>
      </c>
      <c r="AC34" s="196" t="s">
        <v>83</v>
      </c>
      <c r="AD34" s="196" t="s">
        <v>54</v>
      </c>
      <c r="AE34" s="196" t="s">
        <v>119</v>
      </c>
      <c r="AF34" s="196" t="s">
        <v>120</v>
      </c>
    </row>
    <row r="35" spans="26:32" x14ac:dyDescent="0.25">
      <c r="Z35" s="195" t="str">
        <f t="shared" si="1"/>
        <v>Crazy 8GY C8 17 FAL</v>
      </c>
      <c r="AA35" s="182" t="str">
        <f t="shared" si="0"/>
        <v>2018Crazy 8Fall</v>
      </c>
      <c r="AB35" s="196" t="s">
        <v>436</v>
      </c>
      <c r="AC35" s="196" t="s">
        <v>83</v>
      </c>
      <c r="AD35" s="196" t="s">
        <v>54</v>
      </c>
      <c r="AE35" s="196" t="s">
        <v>112</v>
      </c>
      <c r="AF35" s="196" t="s">
        <v>113</v>
      </c>
    </row>
    <row r="36" spans="26:32" x14ac:dyDescent="0.25">
      <c r="Z36" s="195" t="str">
        <f t="shared" si="1"/>
        <v>Crazy 8GY C8 17 FAL DOORBUSTER</v>
      </c>
      <c r="AA36" s="182" t="str">
        <f t="shared" si="0"/>
        <v>2018Crazy 8Fall</v>
      </c>
      <c r="AB36" s="196" t="s">
        <v>436</v>
      </c>
      <c r="AC36" s="196" t="s">
        <v>83</v>
      </c>
      <c r="AD36" s="196" t="s">
        <v>54</v>
      </c>
      <c r="AE36" s="196" t="s">
        <v>114</v>
      </c>
      <c r="AF36" s="196" t="s">
        <v>115</v>
      </c>
    </row>
    <row r="37" spans="26:32" x14ac:dyDescent="0.25">
      <c r="Z37" s="195" t="str">
        <f t="shared" si="1"/>
        <v>Crazy 8GY C8 17 BTS</v>
      </c>
      <c r="AA37" s="182" t="str">
        <f t="shared" si="0"/>
        <v>2018Crazy 8Fall</v>
      </c>
      <c r="AB37" s="196" t="s">
        <v>436</v>
      </c>
      <c r="AC37" s="196" t="s">
        <v>83</v>
      </c>
      <c r="AD37" s="196" t="s">
        <v>54</v>
      </c>
      <c r="AE37" s="196" t="s">
        <v>117</v>
      </c>
      <c r="AF37" s="196" t="s">
        <v>118</v>
      </c>
    </row>
    <row r="38" spans="26:32" x14ac:dyDescent="0.25">
      <c r="Z38" s="195" t="str">
        <f t="shared" si="1"/>
        <v>Crazy 8GY C8 17 BTS CAP</v>
      </c>
      <c r="AA38" s="182" t="str">
        <f t="shared" si="0"/>
        <v>2018Crazy 8Fall</v>
      </c>
      <c r="AB38" s="196" t="s">
        <v>436</v>
      </c>
      <c r="AC38" s="196" t="s">
        <v>83</v>
      </c>
      <c r="AD38" s="196" t="s">
        <v>54</v>
      </c>
      <c r="AE38" s="196" t="s">
        <v>117</v>
      </c>
      <c r="AF38" s="196" t="s">
        <v>116</v>
      </c>
    </row>
    <row r="39" spans="26:32" x14ac:dyDescent="0.25">
      <c r="Z39" s="195" t="str">
        <f t="shared" si="1"/>
        <v>Crazy 8GY C8 17 SEASONAL</v>
      </c>
      <c r="AA39" s="182" t="str">
        <f t="shared" si="0"/>
        <v>2018Crazy 8Fall</v>
      </c>
      <c r="AB39" s="196" t="s">
        <v>436</v>
      </c>
      <c r="AC39" s="196" t="s">
        <v>83</v>
      </c>
      <c r="AD39" s="196" t="s">
        <v>54</v>
      </c>
      <c r="AE39" s="196" t="s">
        <v>447</v>
      </c>
      <c r="AF39" s="196" t="s">
        <v>126</v>
      </c>
    </row>
    <row r="40" spans="26:32" x14ac:dyDescent="0.25">
      <c r="Z40" s="195" t="str">
        <f t="shared" si="1"/>
        <v>Crazy 8</v>
      </c>
      <c r="AA40" s="182" t="str">
        <f t="shared" si="0"/>
        <v>2018Crazy 8Fall</v>
      </c>
      <c r="AB40" s="196" t="s">
        <v>436</v>
      </c>
      <c r="AC40" s="196" t="s">
        <v>83</v>
      </c>
      <c r="AD40" s="196" t="s">
        <v>54</v>
      </c>
      <c r="AE40" s="196" t="s">
        <v>448</v>
      </c>
      <c r="AF40" s="196" t="s">
        <v>445</v>
      </c>
    </row>
    <row r="41" spans="26:32" x14ac:dyDescent="0.25">
      <c r="Z41" s="195" t="str">
        <f t="shared" si="1"/>
        <v>Crazy 8GY C8 17 PARTY CAP</v>
      </c>
      <c r="AA41" s="182" t="str">
        <f t="shared" si="0"/>
        <v>2018Crazy 8Fall</v>
      </c>
      <c r="AB41" s="196" t="s">
        <v>436</v>
      </c>
      <c r="AC41" s="196" t="s">
        <v>83</v>
      </c>
      <c r="AD41" s="196" t="s">
        <v>54</v>
      </c>
      <c r="AE41" s="196" t="s">
        <v>128</v>
      </c>
      <c r="AF41" s="196" t="s">
        <v>129</v>
      </c>
    </row>
    <row r="42" spans="26:32" x14ac:dyDescent="0.25">
      <c r="Z42" s="195" t="str">
        <f t="shared" si="1"/>
        <v>Crazy 8GY C8 17 FALL 2</v>
      </c>
      <c r="AA42" s="182" t="str">
        <f t="shared" si="0"/>
        <v>2018Crazy 8Fall</v>
      </c>
      <c r="AB42" s="196" t="s">
        <v>436</v>
      </c>
      <c r="AC42" s="196" t="s">
        <v>83</v>
      </c>
      <c r="AD42" s="196" t="s">
        <v>54</v>
      </c>
      <c r="AE42" s="196" t="s">
        <v>449</v>
      </c>
      <c r="AF42" s="196" t="s">
        <v>122</v>
      </c>
    </row>
    <row r="43" spans="26:32" x14ac:dyDescent="0.25">
      <c r="Z43" s="195" t="str">
        <f t="shared" si="1"/>
        <v>Crazy 8GY C8 17 HALLOWEEN CAP</v>
      </c>
      <c r="AA43" s="182" t="str">
        <f t="shared" si="0"/>
        <v>2018Crazy 8Fall</v>
      </c>
      <c r="AB43" s="196" t="s">
        <v>436</v>
      </c>
      <c r="AC43" s="196" t="s">
        <v>83</v>
      </c>
      <c r="AD43" s="196" t="s">
        <v>54</v>
      </c>
      <c r="AE43" s="196" t="s">
        <v>449</v>
      </c>
      <c r="AF43" s="196" t="s">
        <v>121</v>
      </c>
    </row>
    <row r="44" spans="26:32" x14ac:dyDescent="0.25">
      <c r="Z44" s="195" t="str">
        <f t="shared" si="1"/>
        <v>Crazy 8</v>
      </c>
      <c r="AA44" s="182" t="str">
        <f t="shared" si="0"/>
        <v>2018Crazy 8Fall</v>
      </c>
      <c r="AB44" s="196" t="s">
        <v>436</v>
      </c>
      <c r="AC44" s="196" t="s">
        <v>83</v>
      </c>
      <c r="AD44" s="196" t="s">
        <v>54</v>
      </c>
      <c r="AE44" s="196" t="s">
        <v>450</v>
      </c>
      <c r="AF44" s="196" t="s">
        <v>445</v>
      </c>
    </row>
    <row r="45" spans="26:32" x14ac:dyDescent="0.25">
      <c r="Z45" s="195" t="str">
        <f t="shared" si="1"/>
        <v>Crazy 8GY C8 17 PICTURE CAP</v>
      </c>
      <c r="AA45" s="182" t="str">
        <f t="shared" si="0"/>
        <v>2018Crazy 8Fall</v>
      </c>
      <c r="AB45" s="196" t="s">
        <v>436</v>
      </c>
      <c r="AC45" s="196" t="s">
        <v>83</v>
      </c>
      <c r="AD45" s="196" t="s">
        <v>54</v>
      </c>
      <c r="AE45" s="196" t="s">
        <v>123</v>
      </c>
      <c r="AF45" s="196" t="s">
        <v>124</v>
      </c>
    </row>
    <row r="46" spans="26:32" x14ac:dyDescent="0.25">
      <c r="Z46" s="195" t="str">
        <f t="shared" si="1"/>
        <v>Crazy 8GY C8 17 SB1</v>
      </c>
      <c r="AA46" s="182" t="str">
        <f t="shared" si="0"/>
        <v>2018Crazy 8Basics</v>
      </c>
      <c r="AB46" s="196" t="s">
        <v>436</v>
      </c>
      <c r="AC46" s="196" t="s">
        <v>83</v>
      </c>
      <c r="AD46" s="196" t="s">
        <v>10</v>
      </c>
      <c r="AE46" s="196" t="s">
        <v>101</v>
      </c>
      <c r="AF46" s="196" t="s">
        <v>102</v>
      </c>
    </row>
    <row r="47" spans="26:32" x14ac:dyDescent="0.25">
      <c r="Z47" s="195" t="str">
        <f t="shared" si="1"/>
        <v>Crazy 8GY C8 17 SB2</v>
      </c>
      <c r="AA47" s="182" t="str">
        <f t="shared" si="0"/>
        <v>2018Crazy 8Basics</v>
      </c>
      <c r="AB47" s="196" t="s">
        <v>436</v>
      </c>
      <c r="AC47" s="196" t="s">
        <v>83</v>
      </c>
      <c r="AD47" s="196" t="s">
        <v>10</v>
      </c>
      <c r="AE47" s="196" t="s">
        <v>109</v>
      </c>
      <c r="AF47" s="196" t="s">
        <v>110</v>
      </c>
    </row>
    <row r="48" spans="26:32" x14ac:dyDescent="0.25">
      <c r="Z48" s="195" t="str">
        <f t="shared" si="1"/>
        <v>Crazy 8GY C8 17 UNIFORM CAP</v>
      </c>
      <c r="AA48" s="182" t="str">
        <f t="shared" si="0"/>
        <v>2018Crazy 8Basics</v>
      </c>
      <c r="AB48" s="196" t="s">
        <v>436</v>
      </c>
      <c r="AC48" s="196" t="s">
        <v>83</v>
      </c>
      <c r="AD48" s="196" t="s">
        <v>10</v>
      </c>
      <c r="AE48" s="196" t="s">
        <v>107</v>
      </c>
      <c r="AF48" s="196" t="s">
        <v>411</v>
      </c>
    </row>
    <row r="49" spans="26:32" x14ac:dyDescent="0.25">
      <c r="Z49" s="195" t="str">
        <f t="shared" si="1"/>
        <v>Crazy 8GY C8 YRLY BASICS</v>
      </c>
      <c r="AA49" s="182" t="str">
        <f t="shared" si="0"/>
        <v>2018Crazy 8Basics</v>
      </c>
      <c r="AB49" s="196" t="s">
        <v>436</v>
      </c>
      <c r="AC49" s="196" t="s">
        <v>83</v>
      </c>
      <c r="AD49" s="196" t="s">
        <v>10</v>
      </c>
      <c r="AE49" s="196" t="s">
        <v>347</v>
      </c>
      <c r="AF49" s="196" t="s">
        <v>347</v>
      </c>
    </row>
    <row r="50" spans="26:32" x14ac:dyDescent="0.25">
      <c r="Z50" s="195" t="str">
        <f t="shared" si="1"/>
        <v>Crazy 8GY C8 YRLY DENIM</v>
      </c>
      <c r="AA50" s="182" t="str">
        <f t="shared" si="0"/>
        <v>2018Crazy 8Basics</v>
      </c>
      <c r="AB50" s="196" t="s">
        <v>436</v>
      </c>
      <c r="AC50" s="196" t="s">
        <v>83</v>
      </c>
      <c r="AD50" s="196" t="s">
        <v>10</v>
      </c>
      <c r="AE50" s="196" t="s">
        <v>348</v>
      </c>
      <c r="AF50" s="196" t="s">
        <v>348</v>
      </c>
    </row>
    <row r="51" spans="26:32" x14ac:dyDescent="0.25">
      <c r="Z51" s="195" t="str">
        <f t="shared" si="1"/>
        <v>Crazy 8WINTER 17</v>
      </c>
      <c r="AA51" s="182" t="str">
        <f t="shared" si="0"/>
        <v>2018Crazy 8WINTER 17</v>
      </c>
      <c r="AB51" s="196" t="s">
        <v>436</v>
      </c>
      <c r="AC51" s="196" t="s">
        <v>83</v>
      </c>
      <c r="AD51" s="196" t="s">
        <v>451</v>
      </c>
      <c r="AE51" s="196" t="s">
        <v>451</v>
      </c>
      <c r="AF51" s="196" t="s">
        <v>451</v>
      </c>
    </row>
    <row r="52" spans="26:32" x14ac:dyDescent="0.25">
      <c r="Z52" s="195" t="str">
        <f t="shared" si="1"/>
        <v>Crazy 8OLD</v>
      </c>
      <c r="AA52" s="182" t="str">
        <f t="shared" si="0"/>
        <v>2018Crazy 8OLD</v>
      </c>
      <c r="AB52" s="196" t="s">
        <v>436</v>
      </c>
      <c r="AC52" s="196" t="s">
        <v>83</v>
      </c>
      <c r="AD52" s="196" t="s">
        <v>452</v>
      </c>
      <c r="AE52" s="196" t="s">
        <v>452</v>
      </c>
      <c r="AF52" s="196" t="s">
        <v>452</v>
      </c>
    </row>
    <row r="53" spans="26:32" x14ac:dyDescent="0.25">
      <c r="Z53" s="195" t="str">
        <f t="shared" si="1"/>
        <v>GymboreeGY 17 DRSY CAP</v>
      </c>
      <c r="AA53" s="182" t="str">
        <f t="shared" si="0"/>
        <v>2018GymboreeSpring</v>
      </c>
      <c r="AB53" s="196" t="s">
        <v>436</v>
      </c>
      <c r="AC53" s="196" t="s">
        <v>99</v>
      </c>
      <c r="AD53" s="196" t="s">
        <v>5</v>
      </c>
      <c r="AE53" s="196" t="s">
        <v>185</v>
      </c>
      <c r="AF53" s="196" t="s">
        <v>186</v>
      </c>
    </row>
    <row r="54" spans="26:32" x14ac:dyDescent="0.25">
      <c r="Z54" s="195" t="str">
        <f t="shared" si="1"/>
        <v>GymboreeGY 17 SPR</v>
      </c>
      <c r="AA54" s="182" t="str">
        <f t="shared" si="0"/>
        <v>2018GymboreeSpring</v>
      </c>
      <c r="AB54" s="196" t="s">
        <v>436</v>
      </c>
      <c r="AC54" s="196" t="s">
        <v>99</v>
      </c>
      <c r="AD54" s="196" t="s">
        <v>5</v>
      </c>
      <c r="AE54" s="196" t="s">
        <v>177</v>
      </c>
      <c r="AF54" s="196" t="s">
        <v>178</v>
      </c>
    </row>
    <row r="55" spans="26:32" x14ac:dyDescent="0.25">
      <c r="Z55" s="195" t="str">
        <f t="shared" si="1"/>
        <v>GymboreeGY 17 SPR 1</v>
      </c>
      <c r="AA55" s="182" t="str">
        <f t="shared" si="0"/>
        <v>2018GymboreeSpring</v>
      </c>
      <c r="AB55" s="196" t="s">
        <v>436</v>
      </c>
      <c r="AC55" s="196" t="s">
        <v>99</v>
      </c>
      <c r="AD55" s="196" t="s">
        <v>5</v>
      </c>
      <c r="AE55" s="196" t="s">
        <v>179</v>
      </c>
      <c r="AF55" s="196" t="s">
        <v>180</v>
      </c>
    </row>
    <row r="56" spans="26:32" x14ac:dyDescent="0.25">
      <c r="Z56" s="195" t="str">
        <f t="shared" si="1"/>
        <v>GymboreeGY 17 SPR 2</v>
      </c>
      <c r="AA56" s="182" t="str">
        <f t="shared" si="0"/>
        <v>2018GymboreeSpring</v>
      </c>
      <c r="AB56" s="196" t="s">
        <v>436</v>
      </c>
      <c r="AC56" s="196" t="s">
        <v>99</v>
      </c>
      <c r="AD56" s="196" t="s">
        <v>5</v>
      </c>
      <c r="AE56" s="196" t="s">
        <v>181</v>
      </c>
      <c r="AF56" s="196" t="s">
        <v>182</v>
      </c>
    </row>
    <row r="57" spans="26:32" x14ac:dyDescent="0.25">
      <c r="Z57" s="195" t="str">
        <f t="shared" si="1"/>
        <v>GymboreeGY 17 SPR VAC</v>
      </c>
      <c r="AA57" s="182" t="str">
        <f t="shared" si="0"/>
        <v>2018GymboreeSpring</v>
      </c>
      <c r="AB57" s="196" t="s">
        <v>436</v>
      </c>
      <c r="AC57" s="196" t="s">
        <v>99</v>
      </c>
      <c r="AD57" s="196" t="s">
        <v>5</v>
      </c>
      <c r="AE57" s="196" t="s">
        <v>187</v>
      </c>
      <c r="AF57" s="196" t="s">
        <v>188</v>
      </c>
    </row>
    <row r="58" spans="26:32" x14ac:dyDescent="0.25">
      <c r="Z58" s="195" t="str">
        <f t="shared" si="1"/>
        <v>GymboreeGY 17 SUM 1</v>
      </c>
      <c r="AA58" s="182" t="str">
        <f t="shared" si="0"/>
        <v>2018GymboreeSpring</v>
      </c>
      <c r="AB58" s="196" t="s">
        <v>436</v>
      </c>
      <c r="AC58" s="196" t="s">
        <v>99</v>
      </c>
      <c r="AD58" s="196" t="s">
        <v>5</v>
      </c>
      <c r="AE58" s="196" t="s">
        <v>189</v>
      </c>
      <c r="AF58" s="196" t="s">
        <v>190</v>
      </c>
    </row>
    <row r="59" spans="26:32" x14ac:dyDescent="0.25">
      <c r="Z59" s="195" t="str">
        <f t="shared" si="1"/>
        <v>GymboreeGY 17 SWIM 1</v>
      </c>
      <c r="AA59" s="182" t="str">
        <f t="shared" si="0"/>
        <v>2018GymboreeSpring</v>
      </c>
      <c r="AB59" s="196" t="s">
        <v>436</v>
      </c>
      <c r="AC59" s="196" t="s">
        <v>99</v>
      </c>
      <c r="AD59" s="196" t="s">
        <v>5</v>
      </c>
      <c r="AE59" s="196" t="s">
        <v>183</v>
      </c>
      <c r="AF59" s="196" t="s">
        <v>184</v>
      </c>
    </row>
    <row r="60" spans="26:32" x14ac:dyDescent="0.25">
      <c r="Z60" s="195" t="str">
        <f t="shared" si="1"/>
        <v>GymboreeGY 17 SWIM 2</v>
      </c>
      <c r="AA60" s="182" t="str">
        <f t="shared" si="0"/>
        <v>2018GymboreeSpring</v>
      </c>
      <c r="AB60" s="196" t="s">
        <v>436</v>
      </c>
      <c r="AC60" s="196" t="s">
        <v>99</v>
      </c>
      <c r="AD60" s="196" t="s">
        <v>5</v>
      </c>
      <c r="AE60" s="196" t="s">
        <v>191</v>
      </c>
      <c r="AF60" s="196" t="s">
        <v>192</v>
      </c>
    </row>
    <row r="61" spans="26:32" x14ac:dyDescent="0.25">
      <c r="Z61" s="195" t="str">
        <f t="shared" si="1"/>
        <v>GymboreeGY 17 SM2</v>
      </c>
      <c r="AA61" s="182" t="str">
        <f t="shared" si="0"/>
        <v>2018GymboreeSummer</v>
      </c>
      <c r="AB61" s="196" t="s">
        <v>436</v>
      </c>
      <c r="AC61" s="196" t="s">
        <v>99</v>
      </c>
      <c r="AD61" s="196" t="s">
        <v>6</v>
      </c>
      <c r="AE61" s="196" t="s">
        <v>193</v>
      </c>
      <c r="AF61" s="196" t="s">
        <v>194</v>
      </c>
    </row>
    <row r="62" spans="26:32" x14ac:dyDescent="0.25">
      <c r="Z62" s="195" t="str">
        <f t="shared" si="1"/>
        <v>GymboreeGY 17 SM3</v>
      </c>
      <c r="AA62" s="182" t="str">
        <f t="shared" si="0"/>
        <v>2018GymboreeSummer</v>
      </c>
      <c r="AB62" s="196" t="s">
        <v>436</v>
      </c>
      <c r="AC62" s="196" t="s">
        <v>99</v>
      </c>
      <c r="AD62" s="196" t="s">
        <v>6</v>
      </c>
      <c r="AE62" s="196" t="s">
        <v>195</v>
      </c>
      <c r="AF62" s="196" t="s">
        <v>196</v>
      </c>
    </row>
    <row r="63" spans="26:32" x14ac:dyDescent="0.25">
      <c r="Z63" s="195" t="str">
        <f t="shared" si="1"/>
        <v>GymboreeGY 17 SM4</v>
      </c>
      <c r="AA63" s="182" t="str">
        <f t="shared" si="0"/>
        <v>2018GymboreeSummer</v>
      </c>
      <c r="AB63" s="196" t="s">
        <v>436</v>
      </c>
      <c r="AC63" s="196" t="s">
        <v>99</v>
      </c>
      <c r="AD63" s="196" t="s">
        <v>6</v>
      </c>
      <c r="AE63" s="196" t="s">
        <v>199</v>
      </c>
      <c r="AF63" s="196" t="s">
        <v>200</v>
      </c>
    </row>
    <row r="64" spans="26:32" x14ac:dyDescent="0.25">
      <c r="Z64" s="195" t="str">
        <f t="shared" si="1"/>
        <v>GymboreeGY 17 TRANS</v>
      </c>
      <c r="AA64" s="182" t="str">
        <f t="shared" si="0"/>
        <v>2018GymboreeSummer</v>
      </c>
      <c r="AB64" s="196" t="s">
        <v>436</v>
      </c>
      <c r="AC64" s="196" t="s">
        <v>99</v>
      </c>
      <c r="AD64" s="196" t="s">
        <v>6</v>
      </c>
      <c r="AE64" s="196" t="s">
        <v>201</v>
      </c>
      <c r="AF64" s="196" t="s">
        <v>202</v>
      </c>
    </row>
    <row r="65" spans="26:32" x14ac:dyDescent="0.25">
      <c r="Z65" s="195" t="str">
        <f t="shared" si="1"/>
        <v>GymboreeGY 17 SMR</v>
      </c>
      <c r="AA65" s="182" t="str">
        <f t="shared" si="0"/>
        <v>2018GymboreeSummer</v>
      </c>
      <c r="AB65" s="196" t="s">
        <v>436</v>
      </c>
      <c r="AC65" s="196" t="s">
        <v>99</v>
      </c>
      <c r="AD65" s="196" t="s">
        <v>6</v>
      </c>
      <c r="AE65" s="196" t="s">
        <v>203</v>
      </c>
      <c r="AF65" s="196" t="s">
        <v>204</v>
      </c>
    </row>
    <row r="66" spans="26:32" x14ac:dyDescent="0.25">
      <c r="Z66" s="195" t="str">
        <f t="shared" si="1"/>
        <v>GymboreeGY 17 SWIM 3</v>
      </c>
      <c r="AA66" s="182" t="str">
        <f t="shared" ref="AA66:AA129" si="3">AB66&amp;AC66&amp;AD66</f>
        <v>2018GymboreeSummer</v>
      </c>
      <c r="AB66" s="196" t="s">
        <v>436</v>
      </c>
      <c r="AC66" s="196" t="s">
        <v>99</v>
      </c>
      <c r="AD66" s="196" t="s">
        <v>6</v>
      </c>
      <c r="AE66" s="196" t="s">
        <v>197</v>
      </c>
      <c r="AF66" s="196" t="s">
        <v>198</v>
      </c>
    </row>
    <row r="67" spans="26:32" x14ac:dyDescent="0.25">
      <c r="Z67" s="195" t="str">
        <f t="shared" ref="Z67:Z130" si="4">AC67&amp;AF67</f>
        <v>GymboreeGY 17 BTS</v>
      </c>
      <c r="AA67" s="182" t="str">
        <f t="shared" si="3"/>
        <v>2018GymboreeFall</v>
      </c>
      <c r="AB67" s="196" t="s">
        <v>436</v>
      </c>
      <c r="AC67" s="196" t="s">
        <v>99</v>
      </c>
      <c r="AD67" s="196" t="s">
        <v>54</v>
      </c>
      <c r="AE67" s="196" t="s">
        <v>428</v>
      </c>
      <c r="AF67" s="196" t="s">
        <v>397</v>
      </c>
    </row>
    <row r="68" spans="26:32" x14ac:dyDescent="0.25">
      <c r="Z68" s="195" t="str">
        <f t="shared" si="4"/>
        <v>GymboreeGY 17 FAL</v>
      </c>
      <c r="AA68" s="182" t="str">
        <f t="shared" si="3"/>
        <v>2018GymboreeFall</v>
      </c>
      <c r="AB68" s="196" t="s">
        <v>436</v>
      </c>
      <c r="AC68" s="196" t="s">
        <v>99</v>
      </c>
      <c r="AD68" s="196" t="s">
        <v>54</v>
      </c>
      <c r="AE68" s="196" t="s">
        <v>427</v>
      </c>
      <c r="AF68" s="196" t="s">
        <v>398</v>
      </c>
    </row>
    <row r="69" spans="26:32" x14ac:dyDescent="0.25">
      <c r="Z69" s="195" t="str">
        <f t="shared" si="4"/>
        <v>GymboreeGY 17 FALL 1</v>
      </c>
      <c r="AA69" s="182" t="str">
        <f t="shared" si="3"/>
        <v>2018GymboreeFall</v>
      </c>
      <c r="AB69" s="196" t="s">
        <v>436</v>
      </c>
      <c r="AC69" s="196" t="s">
        <v>99</v>
      </c>
      <c r="AD69" s="196" t="s">
        <v>54</v>
      </c>
      <c r="AE69" s="196" t="s">
        <v>429</v>
      </c>
      <c r="AF69" s="196" t="s">
        <v>399</v>
      </c>
    </row>
    <row r="70" spans="26:32" x14ac:dyDescent="0.25">
      <c r="Z70" s="195" t="str">
        <f t="shared" si="4"/>
        <v>GymboreeGY 17 FALL 2</v>
      </c>
      <c r="AA70" s="182" t="str">
        <f t="shared" si="3"/>
        <v>2018GymboreeFall</v>
      </c>
      <c r="AB70" s="196" t="s">
        <v>436</v>
      </c>
      <c r="AC70" s="196" t="s">
        <v>99</v>
      </c>
      <c r="AD70" s="196" t="s">
        <v>54</v>
      </c>
      <c r="AE70" s="196" t="s">
        <v>430</v>
      </c>
      <c r="AF70" s="196" t="s">
        <v>400</v>
      </c>
    </row>
    <row r="71" spans="26:32" x14ac:dyDescent="0.25">
      <c r="Z71" s="195" t="str">
        <f t="shared" si="4"/>
        <v>GymboreeGY 17 FALL 3</v>
      </c>
      <c r="AA71" s="182" t="str">
        <f t="shared" si="3"/>
        <v>2018GymboreeFall</v>
      </c>
      <c r="AB71" s="196" t="s">
        <v>436</v>
      </c>
      <c r="AC71" s="196" t="s">
        <v>99</v>
      </c>
      <c r="AD71" s="196" t="s">
        <v>54</v>
      </c>
      <c r="AE71" s="196" t="s">
        <v>431</v>
      </c>
      <c r="AF71" s="196" t="s">
        <v>401</v>
      </c>
    </row>
    <row r="72" spans="26:32" x14ac:dyDescent="0.25">
      <c r="Z72" s="195" t="str">
        <f t="shared" si="4"/>
        <v>GymboreeGY 17 FALL 4</v>
      </c>
      <c r="AA72" s="182" t="str">
        <f t="shared" si="3"/>
        <v>2018GymboreeFall</v>
      </c>
      <c r="AB72" s="196" t="s">
        <v>436</v>
      </c>
      <c r="AC72" s="196" t="s">
        <v>99</v>
      </c>
      <c r="AD72" s="196" t="s">
        <v>54</v>
      </c>
      <c r="AE72" s="196" t="s">
        <v>432</v>
      </c>
      <c r="AF72" s="196" t="s">
        <v>402</v>
      </c>
    </row>
    <row r="73" spans="26:32" x14ac:dyDescent="0.25">
      <c r="Z73" s="195" t="str">
        <f t="shared" si="4"/>
        <v>GymboreeGY 17 HO HO SHOP</v>
      </c>
      <c r="AA73" s="182" t="str">
        <f t="shared" si="3"/>
        <v>2018GymboreeFall</v>
      </c>
      <c r="AB73" s="196" t="s">
        <v>436</v>
      </c>
      <c r="AC73" s="196" t="s">
        <v>99</v>
      </c>
      <c r="AD73" s="196" t="s">
        <v>54</v>
      </c>
      <c r="AE73" s="196" t="s">
        <v>433</v>
      </c>
      <c r="AF73" s="196" t="s">
        <v>405</v>
      </c>
    </row>
    <row r="74" spans="26:32" x14ac:dyDescent="0.25">
      <c r="Z74" s="195" t="str">
        <f t="shared" si="4"/>
        <v>GymboreeGY 17 FALL BASICS</v>
      </c>
      <c r="AA74" s="182" t="str">
        <f t="shared" si="3"/>
        <v>2018GymboreeBasics</v>
      </c>
      <c r="AB74" s="196" t="s">
        <v>436</v>
      </c>
      <c r="AC74" s="196" t="s">
        <v>99</v>
      </c>
      <c r="AD74" s="196" t="s">
        <v>10</v>
      </c>
      <c r="AE74" s="196" t="s">
        <v>175</v>
      </c>
      <c r="AF74" s="196" t="s">
        <v>176</v>
      </c>
    </row>
    <row r="75" spans="26:32" x14ac:dyDescent="0.25">
      <c r="Z75" s="195" t="str">
        <f t="shared" si="4"/>
        <v>GymboreeGY 17 SPRING BASICS</v>
      </c>
      <c r="AA75" s="182" t="str">
        <f t="shared" si="3"/>
        <v>2018GymboreeBasics</v>
      </c>
      <c r="AB75" s="196" t="s">
        <v>436</v>
      </c>
      <c r="AC75" s="196" t="s">
        <v>99</v>
      </c>
      <c r="AD75" s="196" t="s">
        <v>10</v>
      </c>
      <c r="AE75" s="196" t="s">
        <v>173</v>
      </c>
      <c r="AF75" s="196" t="s">
        <v>174</v>
      </c>
    </row>
    <row r="76" spans="26:32" x14ac:dyDescent="0.25">
      <c r="Z76" s="195" t="str">
        <f t="shared" si="4"/>
        <v>GymboreeGY YRLY BASICS</v>
      </c>
      <c r="AA76" s="182" t="str">
        <f t="shared" si="3"/>
        <v>2018GymboreeBasics</v>
      </c>
      <c r="AB76" s="196" t="s">
        <v>436</v>
      </c>
      <c r="AC76" s="196" t="s">
        <v>99</v>
      </c>
      <c r="AD76" s="196" t="s">
        <v>10</v>
      </c>
      <c r="AE76" s="196" t="s">
        <v>349</v>
      </c>
      <c r="AF76" s="196" t="s">
        <v>349</v>
      </c>
    </row>
    <row r="77" spans="26:32" x14ac:dyDescent="0.25">
      <c r="Z77" s="195" t="str">
        <f t="shared" si="4"/>
        <v>GymboreeGY YRLY DENIM</v>
      </c>
      <c r="AA77" s="182" t="str">
        <f t="shared" si="3"/>
        <v>2018GymboreeBasics</v>
      </c>
      <c r="AB77" s="196" t="s">
        <v>436</v>
      </c>
      <c r="AC77" s="196" t="s">
        <v>99</v>
      </c>
      <c r="AD77" s="196" t="s">
        <v>10</v>
      </c>
      <c r="AE77" s="196" t="s">
        <v>350</v>
      </c>
      <c r="AF77" s="196" t="s">
        <v>350</v>
      </c>
    </row>
    <row r="78" spans="26:32" x14ac:dyDescent="0.25">
      <c r="Z78" s="195" t="str">
        <f t="shared" si="4"/>
        <v>GymboreeGY YRLY UNIFORM</v>
      </c>
      <c r="AA78" s="182" t="str">
        <f t="shared" si="3"/>
        <v>2018GymboreeBasics</v>
      </c>
      <c r="AB78" s="196" t="s">
        <v>436</v>
      </c>
      <c r="AC78" s="196" t="s">
        <v>99</v>
      </c>
      <c r="AD78" s="196" t="s">
        <v>10</v>
      </c>
      <c r="AE78" s="196" t="s">
        <v>351</v>
      </c>
      <c r="AF78" s="196" t="s">
        <v>351</v>
      </c>
    </row>
    <row r="79" spans="26:32" x14ac:dyDescent="0.25">
      <c r="Z79" s="195" t="str">
        <f t="shared" si="4"/>
        <v>GymboreeWINTER 17</v>
      </c>
      <c r="AA79" s="182" t="str">
        <f t="shared" si="3"/>
        <v>2018GymboreeWINTER 17</v>
      </c>
      <c r="AB79" s="196" t="s">
        <v>436</v>
      </c>
      <c r="AC79" s="196" t="s">
        <v>99</v>
      </c>
      <c r="AD79" s="196" t="s">
        <v>451</v>
      </c>
      <c r="AE79" s="196" t="s">
        <v>451</v>
      </c>
      <c r="AF79" s="196" t="s">
        <v>451</v>
      </c>
    </row>
    <row r="80" spans="26:32" x14ac:dyDescent="0.25">
      <c r="Z80" s="195" t="str">
        <f t="shared" si="4"/>
        <v>GymboreeOLD</v>
      </c>
      <c r="AA80" s="182" t="str">
        <f t="shared" si="3"/>
        <v>2018GymboreeOLD</v>
      </c>
      <c r="AB80" s="196" t="s">
        <v>436</v>
      </c>
      <c r="AC80" s="196" t="s">
        <v>99</v>
      </c>
      <c r="AD80" s="196" t="s">
        <v>452</v>
      </c>
      <c r="AE80" s="196" t="s">
        <v>452</v>
      </c>
      <c r="AF80" s="196" t="s">
        <v>452</v>
      </c>
    </row>
    <row r="81" spans="26:32" x14ac:dyDescent="0.25">
      <c r="Z81" s="195" t="str">
        <f t="shared" si="4"/>
        <v>Janie &amp; JackJJ 17 DEC RESORT 1</v>
      </c>
      <c r="AA81" s="182" t="str">
        <f t="shared" si="3"/>
        <v>2018Janie &amp; JackWinter</v>
      </c>
      <c r="AB81" s="196" t="s">
        <v>436</v>
      </c>
      <c r="AC81" s="196" t="s">
        <v>111</v>
      </c>
      <c r="AD81" s="196" t="s">
        <v>8</v>
      </c>
      <c r="AE81" s="196" t="s">
        <v>270</v>
      </c>
      <c r="AF81" s="196" t="s">
        <v>271</v>
      </c>
    </row>
    <row r="82" spans="26:32" x14ac:dyDescent="0.25">
      <c r="Z82" s="195" t="str">
        <f t="shared" si="4"/>
        <v>Janie &amp; JackJJ 17 SUMMER 2 CAP WOMENS</v>
      </c>
      <c r="AA82" s="182" t="str">
        <f t="shared" si="3"/>
        <v>2018Janie &amp; JackSpring</v>
      </c>
      <c r="AB82" s="196" t="s">
        <v>436</v>
      </c>
      <c r="AC82" s="196" t="s">
        <v>111</v>
      </c>
      <c r="AD82" s="196" t="s">
        <v>5</v>
      </c>
      <c r="AE82" s="196" t="s">
        <v>419</v>
      </c>
      <c r="AF82" s="196" t="s">
        <v>419</v>
      </c>
    </row>
    <row r="83" spans="26:32" x14ac:dyDescent="0.25">
      <c r="Z83" s="195" t="str">
        <f t="shared" si="4"/>
        <v>Janie &amp; JackJJ 17 DEC RESORT 2</v>
      </c>
      <c r="AA83" s="182" t="str">
        <f t="shared" si="3"/>
        <v>2018Janie &amp; JackSpring</v>
      </c>
      <c r="AB83" s="196" t="s">
        <v>436</v>
      </c>
      <c r="AC83" s="196" t="s">
        <v>111</v>
      </c>
      <c r="AD83" s="196" t="s">
        <v>5</v>
      </c>
      <c r="AE83" s="196" t="s">
        <v>236</v>
      </c>
      <c r="AF83" s="196" t="s">
        <v>237</v>
      </c>
    </row>
    <row r="84" spans="26:32" x14ac:dyDescent="0.25">
      <c r="Z84" s="195" t="str">
        <f t="shared" si="4"/>
        <v>Janie &amp; JackJJ 17 DEC VDAY</v>
      </c>
      <c r="AA84" s="182" t="str">
        <f t="shared" si="3"/>
        <v>2018Janie &amp; JackSpring</v>
      </c>
      <c r="AB84" s="196" t="s">
        <v>436</v>
      </c>
      <c r="AC84" s="196" t="s">
        <v>111</v>
      </c>
      <c r="AD84" s="196" t="s">
        <v>5</v>
      </c>
      <c r="AE84" s="196" t="s">
        <v>234</v>
      </c>
      <c r="AF84" s="196" t="s">
        <v>235</v>
      </c>
    </row>
    <row r="85" spans="26:32" x14ac:dyDescent="0.25">
      <c r="Z85" s="195" t="str">
        <f t="shared" si="4"/>
        <v>Janie &amp; JackJJ 17 FEB EASTER 1</v>
      </c>
      <c r="AA85" s="182" t="str">
        <f t="shared" si="3"/>
        <v>2018Janie &amp; JackSpring</v>
      </c>
      <c r="AB85" s="196" t="s">
        <v>436</v>
      </c>
      <c r="AC85" s="196" t="s">
        <v>111</v>
      </c>
      <c r="AD85" s="196" t="s">
        <v>5</v>
      </c>
      <c r="AE85" s="196" t="s">
        <v>238</v>
      </c>
      <c r="AF85" s="196" t="s">
        <v>239</v>
      </c>
    </row>
    <row r="86" spans="26:32" x14ac:dyDescent="0.25">
      <c r="Z86" s="195" t="str">
        <f t="shared" si="4"/>
        <v>Janie &amp; JackJJ 17 FEB EASTER GIFT LAY</v>
      </c>
      <c r="AA86" s="182" t="str">
        <f t="shared" si="3"/>
        <v>2018Janie &amp; JackSpring</v>
      </c>
      <c r="AB86" s="196" t="s">
        <v>436</v>
      </c>
      <c r="AC86" s="196" t="s">
        <v>111</v>
      </c>
      <c r="AD86" s="196" t="s">
        <v>5</v>
      </c>
      <c r="AE86" s="196" t="s">
        <v>240</v>
      </c>
      <c r="AF86" s="196" t="s">
        <v>241</v>
      </c>
    </row>
    <row r="87" spans="26:32" x14ac:dyDescent="0.25">
      <c r="Z87" s="195" t="str">
        <f t="shared" si="4"/>
        <v>Janie &amp; Jack</v>
      </c>
      <c r="AA87" s="182" t="str">
        <f t="shared" si="3"/>
        <v>2018Janie &amp; JackSpring</v>
      </c>
      <c r="AB87" s="196" t="s">
        <v>436</v>
      </c>
      <c r="AC87" s="196" t="s">
        <v>111</v>
      </c>
      <c r="AD87" s="196" t="s">
        <v>5</v>
      </c>
      <c r="AE87" s="196" t="s">
        <v>250</v>
      </c>
      <c r="AF87" s="196" t="s">
        <v>445</v>
      </c>
    </row>
    <row r="88" spans="26:32" x14ac:dyDescent="0.25">
      <c r="Z88" s="195" t="str">
        <f t="shared" si="4"/>
        <v>Janie &amp; JackJJ 17 JAN SPR GIFTING LAYETTE</v>
      </c>
      <c r="AA88" s="182" t="str">
        <f t="shared" si="3"/>
        <v>2018Janie &amp; JackSpring</v>
      </c>
      <c r="AB88" s="196" t="s">
        <v>436</v>
      </c>
      <c r="AC88" s="196" t="s">
        <v>111</v>
      </c>
      <c r="AD88" s="196" t="s">
        <v>5</v>
      </c>
      <c r="AE88" s="196" t="s">
        <v>246</v>
      </c>
      <c r="AF88" s="196" t="s">
        <v>247</v>
      </c>
    </row>
    <row r="89" spans="26:32" x14ac:dyDescent="0.25">
      <c r="Z89" s="195" t="str">
        <f t="shared" si="4"/>
        <v>Janie &amp; JackJJ 17 JAN SPRING 1</v>
      </c>
      <c r="AA89" s="182" t="str">
        <f t="shared" si="3"/>
        <v>2018Janie &amp; JackSpring</v>
      </c>
      <c r="AB89" s="196" t="s">
        <v>436</v>
      </c>
      <c r="AC89" s="196" t="s">
        <v>111</v>
      </c>
      <c r="AD89" s="196" t="s">
        <v>5</v>
      </c>
      <c r="AE89" s="196" t="s">
        <v>232</v>
      </c>
      <c r="AF89" s="196" t="s">
        <v>233</v>
      </c>
    </row>
    <row r="90" spans="26:32" x14ac:dyDescent="0.25">
      <c r="Z90" s="195" t="str">
        <f t="shared" si="4"/>
        <v>Janie &amp; JackJJ 17 JAN SPRING TRANS</v>
      </c>
      <c r="AA90" s="182" t="str">
        <f t="shared" si="3"/>
        <v>2018Janie &amp; JackSpring</v>
      </c>
      <c r="AB90" s="196" t="s">
        <v>436</v>
      </c>
      <c r="AC90" s="196" t="s">
        <v>111</v>
      </c>
      <c r="AD90" s="196" t="s">
        <v>5</v>
      </c>
      <c r="AE90" s="196" t="s">
        <v>242</v>
      </c>
      <c r="AF90" s="196" t="s">
        <v>243</v>
      </c>
    </row>
    <row r="91" spans="26:32" x14ac:dyDescent="0.25">
      <c r="Z91" s="195" t="str">
        <f t="shared" si="4"/>
        <v>Janie &amp; JackJJ 17 MAR EASTER 2 A+B</v>
      </c>
      <c r="AA91" s="182" t="str">
        <f t="shared" si="3"/>
        <v>2018Janie &amp; JackSpring</v>
      </c>
      <c r="AB91" s="196" t="s">
        <v>436</v>
      </c>
      <c r="AC91" s="196" t="s">
        <v>111</v>
      </c>
      <c r="AD91" s="196" t="s">
        <v>5</v>
      </c>
      <c r="AE91" s="196" t="s">
        <v>244</v>
      </c>
      <c r="AF91" s="196" t="s">
        <v>245</v>
      </c>
    </row>
    <row r="92" spans="26:32" x14ac:dyDescent="0.25">
      <c r="Z92" s="195" t="str">
        <f t="shared" si="4"/>
        <v>Janie &amp; Jack</v>
      </c>
      <c r="AA92" s="182" t="str">
        <f t="shared" si="3"/>
        <v>2018Janie &amp; JackSpring</v>
      </c>
      <c r="AB92" s="196" t="s">
        <v>436</v>
      </c>
      <c r="AC92" s="196" t="s">
        <v>111</v>
      </c>
      <c r="AD92" s="196" t="s">
        <v>5</v>
      </c>
      <c r="AE92" s="196" t="s">
        <v>251</v>
      </c>
      <c r="AF92" s="196" t="s">
        <v>445</v>
      </c>
    </row>
    <row r="93" spans="26:32" x14ac:dyDescent="0.25">
      <c r="Z93" s="195" t="str">
        <f t="shared" si="4"/>
        <v>Janie &amp; JackJJ 17 FEB SPR 2</v>
      </c>
      <c r="AA93" s="182" t="str">
        <f t="shared" si="3"/>
        <v>2018Janie &amp; JackSpring</v>
      </c>
      <c r="AB93" s="196" t="s">
        <v>436</v>
      </c>
      <c r="AC93" s="196" t="s">
        <v>111</v>
      </c>
      <c r="AD93" s="196" t="s">
        <v>5</v>
      </c>
      <c r="AE93" s="196" t="s">
        <v>248</v>
      </c>
      <c r="AF93" s="196" t="s">
        <v>249</v>
      </c>
    </row>
    <row r="94" spans="26:32" x14ac:dyDescent="0.25">
      <c r="Z94" s="195" t="str">
        <f t="shared" si="4"/>
        <v>Janie &amp; JackJJ 17 APR SMR 1 A+B</v>
      </c>
      <c r="AA94" s="182" t="str">
        <f t="shared" si="3"/>
        <v>2018Janie &amp; JackSummer</v>
      </c>
      <c r="AB94" s="196" t="s">
        <v>436</v>
      </c>
      <c r="AC94" s="196" t="s">
        <v>111</v>
      </c>
      <c r="AD94" s="196" t="s">
        <v>6</v>
      </c>
      <c r="AE94" s="196" t="s">
        <v>254</v>
      </c>
      <c r="AF94" s="196" t="s">
        <v>255</v>
      </c>
    </row>
    <row r="95" spans="26:32" x14ac:dyDescent="0.25">
      <c r="Z95" s="195" t="str">
        <f t="shared" si="4"/>
        <v>Janie &amp; Jack</v>
      </c>
      <c r="AA95" s="182" t="str">
        <f t="shared" si="3"/>
        <v>2018Janie &amp; JackSummer</v>
      </c>
      <c r="AB95" s="196" t="s">
        <v>436</v>
      </c>
      <c r="AC95" s="196" t="s">
        <v>111</v>
      </c>
      <c r="AD95" s="196" t="s">
        <v>6</v>
      </c>
      <c r="AE95" s="196" t="s">
        <v>267</v>
      </c>
      <c r="AF95" s="196" t="s">
        <v>445</v>
      </c>
    </row>
    <row r="96" spans="26:32" x14ac:dyDescent="0.25">
      <c r="Z96" s="195" t="str">
        <f t="shared" si="4"/>
        <v>Janie &amp; JackJJ 17 JULY TRANS 1</v>
      </c>
      <c r="AA96" s="182" t="str">
        <f t="shared" si="3"/>
        <v>2018Janie &amp; JackSummer</v>
      </c>
      <c r="AB96" s="196" t="s">
        <v>436</v>
      </c>
      <c r="AC96" s="196" t="s">
        <v>111</v>
      </c>
      <c r="AD96" s="196" t="s">
        <v>6</v>
      </c>
      <c r="AE96" s="196" t="s">
        <v>265</v>
      </c>
      <c r="AF96" s="196" t="s">
        <v>266</v>
      </c>
    </row>
    <row r="97" spans="26:32" x14ac:dyDescent="0.25">
      <c r="Z97" s="195" t="str">
        <f t="shared" si="4"/>
        <v>Janie &amp; JackJJ 17 MAR SUMMER 0</v>
      </c>
      <c r="AA97" s="182" t="str">
        <f t="shared" si="3"/>
        <v>2018Janie &amp; JackSummer</v>
      </c>
      <c r="AB97" s="196" t="s">
        <v>436</v>
      </c>
      <c r="AC97" s="196" t="s">
        <v>111</v>
      </c>
      <c r="AD97" s="196" t="s">
        <v>6</v>
      </c>
      <c r="AE97" s="196" t="s">
        <v>252</v>
      </c>
      <c r="AF97" s="196" t="s">
        <v>253</v>
      </c>
    </row>
    <row r="98" spans="26:32" x14ac:dyDescent="0.25">
      <c r="Z98" s="195" t="str">
        <f t="shared" si="4"/>
        <v>Janie &amp; JackJJ 17 4TH OF JULY</v>
      </c>
      <c r="AA98" s="182" t="str">
        <f t="shared" si="3"/>
        <v>2018Janie &amp; JackSummer</v>
      </c>
      <c r="AB98" s="196" t="s">
        <v>436</v>
      </c>
      <c r="AC98" s="196" t="s">
        <v>111</v>
      </c>
      <c r="AD98" s="196" t="s">
        <v>6</v>
      </c>
      <c r="AE98" s="196" t="s">
        <v>258</v>
      </c>
      <c r="AF98" s="196" t="s">
        <v>259</v>
      </c>
    </row>
    <row r="99" spans="26:32" x14ac:dyDescent="0.25">
      <c r="Z99" s="195" t="str">
        <f t="shared" si="4"/>
        <v>Janie &amp; Jack</v>
      </c>
      <c r="AA99" s="182" t="str">
        <f t="shared" si="3"/>
        <v>2018Janie &amp; JackSummer</v>
      </c>
      <c r="AB99" s="196" t="s">
        <v>436</v>
      </c>
      <c r="AC99" s="196" t="s">
        <v>111</v>
      </c>
      <c r="AD99" s="196" t="s">
        <v>6</v>
      </c>
      <c r="AE99" s="196" t="s">
        <v>260</v>
      </c>
      <c r="AF99" s="196" t="s">
        <v>445</v>
      </c>
    </row>
    <row r="100" spans="26:32" x14ac:dyDescent="0.25">
      <c r="Z100" s="195" t="str">
        <f t="shared" si="4"/>
        <v>Janie &amp; Jack</v>
      </c>
      <c r="AA100" s="182" t="str">
        <f t="shared" si="3"/>
        <v>2018Janie &amp; JackSummer</v>
      </c>
      <c r="AB100" s="196" t="s">
        <v>436</v>
      </c>
      <c r="AC100" s="196" t="s">
        <v>111</v>
      </c>
      <c r="AD100" s="196" t="s">
        <v>6</v>
      </c>
      <c r="AE100" s="196" t="s">
        <v>420</v>
      </c>
      <c r="AF100" s="196" t="s">
        <v>445</v>
      </c>
    </row>
    <row r="101" spans="26:32" x14ac:dyDescent="0.25">
      <c r="Z101" s="195" t="str">
        <f t="shared" si="4"/>
        <v>Janie &amp; JackJJ 17 SUMMER 2</v>
      </c>
      <c r="AA101" s="182" t="str">
        <f t="shared" si="3"/>
        <v>2018Janie &amp; JackSummer</v>
      </c>
      <c r="AB101" s="196" t="s">
        <v>436</v>
      </c>
      <c r="AC101" s="196" t="s">
        <v>111</v>
      </c>
      <c r="AD101" s="196" t="s">
        <v>6</v>
      </c>
      <c r="AE101" s="196" t="s">
        <v>256</v>
      </c>
      <c r="AF101" s="196" t="s">
        <v>257</v>
      </c>
    </row>
    <row r="102" spans="26:32" x14ac:dyDescent="0.25">
      <c r="Z102" s="195" t="str">
        <f t="shared" si="4"/>
        <v>Janie &amp; JackJJ 17 SUMMER 3</v>
      </c>
      <c r="AA102" s="182" t="str">
        <f t="shared" si="3"/>
        <v>2018Janie &amp; JackSummer</v>
      </c>
      <c r="AB102" s="196" t="s">
        <v>436</v>
      </c>
      <c r="AC102" s="196" t="s">
        <v>111</v>
      </c>
      <c r="AD102" s="196" t="s">
        <v>6</v>
      </c>
      <c r="AE102" s="196" t="s">
        <v>261</v>
      </c>
      <c r="AF102" s="196" t="s">
        <v>262</v>
      </c>
    </row>
    <row r="103" spans="26:32" x14ac:dyDescent="0.25">
      <c r="Z103" s="195" t="str">
        <f t="shared" si="4"/>
        <v>Janie &amp; JackJJ 17 SUMMER 4</v>
      </c>
      <c r="AA103" s="182" t="str">
        <f t="shared" si="3"/>
        <v>2018Janie &amp; JackSummer</v>
      </c>
      <c r="AB103" s="196" t="s">
        <v>436</v>
      </c>
      <c r="AC103" s="196" t="s">
        <v>111</v>
      </c>
      <c r="AD103" s="196" t="s">
        <v>6</v>
      </c>
      <c r="AE103" s="196" t="s">
        <v>263</v>
      </c>
      <c r="AF103" s="196" t="s">
        <v>264</v>
      </c>
    </row>
    <row r="104" spans="26:32" x14ac:dyDescent="0.25">
      <c r="Z104" s="195" t="str">
        <f t="shared" si="4"/>
        <v>Janie &amp; JackJJ 17 TRANS GIFTING LAY</v>
      </c>
      <c r="AA104" s="182" t="str">
        <f t="shared" si="3"/>
        <v>2018Janie &amp; JackSummer</v>
      </c>
      <c r="AB104" s="196" t="s">
        <v>436</v>
      </c>
      <c r="AC104" s="196" t="s">
        <v>111</v>
      </c>
      <c r="AD104" s="196" t="s">
        <v>6</v>
      </c>
      <c r="AE104" s="196" t="s">
        <v>268</v>
      </c>
      <c r="AF104" s="196" t="s">
        <v>269</v>
      </c>
    </row>
    <row r="105" spans="26:32" x14ac:dyDescent="0.25">
      <c r="Z105" s="195" t="str">
        <f t="shared" si="4"/>
        <v>Janie &amp; JackJJ 17 FALL 0</v>
      </c>
      <c r="AA105" s="182" t="str">
        <f t="shared" si="3"/>
        <v>2018Janie &amp; JackFall</v>
      </c>
      <c r="AB105" s="196" t="s">
        <v>436</v>
      </c>
      <c r="AC105" s="196" t="s">
        <v>111</v>
      </c>
      <c r="AD105" s="196" t="s">
        <v>54</v>
      </c>
      <c r="AE105" s="196" t="s">
        <v>209</v>
      </c>
      <c r="AF105" s="196" t="s">
        <v>210</v>
      </c>
    </row>
    <row r="106" spans="26:32" x14ac:dyDescent="0.25">
      <c r="Z106" s="195" t="str">
        <f t="shared" si="4"/>
        <v>Janie &amp; Jack</v>
      </c>
      <c r="AA106" s="182" t="str">
        <f t="shared" si="3"/>
        <v>2018Janie &amp; JackFall</v>
      </c>
      <c r="AB106" s="196" t="s">
        <v>436</v>
      </c>
      <c r="AC106" s="196" t="s">
        <v>111</v>
      </c>
      <c r="AD106" s="196" t="s">
        <v>54</v>
      </c>
      <c r="AE106" s="196" t="s">
        <v>211</v>
      </c>
      <c r="AF106" s="196" t="s">
        <v>445</v>
      </c>
    </row>
    <row r="107" spans="26:32" x14ac:dyDescent="0.25">
      <c r="Z107" s="195" t="str">
        <f t="shared" si="4"/>
        <v>Janie &amp; JackJJ 17 TRANS 2</v>
      </c>
      <c r="AA107" s="182" t="str">
        <f t="shared" si="3"/>
        <v>2018Janie &amp; JackFall</v>
      </c>
      <c r="AB107" s="196" t="s">
        <v>436</v>
      </c>
      <c r="AC107" s="196" t="s">
        <v>111</v>
      </c>
      <c r="AD107" s="196" t="s">
        <v>54</v>
      </c>
      <c r="AE107" s="196" t="s">
        <v>205</v>
      </c>
      <c r="AF107" s="196" t="s">
        <v>206</v>
      </c>
    </row>
    <row r="108" spans="26:32" x14ac:dyDescent="0.25">
      <c r="Z108" s="195" t="str">
        <f t="shared" si="4"/>
        <v>Janie &amp; JackJJ 17 JULY TRANS 3 GIRL ONLY</v>
      </c>
      <c r="AA108" s="182" t="str">
        <f t="shared" si="3"/>
        <v>2018Janie &amp; JackFall</v>
      </c>
      <c r="AB108" s="196" t="s">
        <v>436</v>
      </c>
      <c r="AC108" s="196" t="s">
        <v>111</v>
      </c>
      <c r="AD108" s="196" t="s">
        <v>54</v>
      </c>
      <c r="AE108" s="196" t="s">
        <v>207</v>
      </c>
      <c r="AF108" s="196" t="s">
        <v>208</v>
      </c>
    </row>
    <row r="109" spans="26:32" x14ac:dyDescent="0.25">
      <c r="Z109" s="195" t="str">
        <f t="shared" si="4"/>
        <v>Janie &amp; JackJJ 17 DEC SWIM</v>
      </c>
      <c r="AA109" s="182" t="str">
        <f t="shared" si="3"/>
        <v>2018Janie &amp; JackSeasonal Basics</v>
      </c>
      <c r="AB109" s="196" t="s">
        <v>436</v>
      </c>
      <c r="AC109" s="196" t="s">
        <v>111</v>
      </c>
      <c r="AD109" s="196" t="s">
        <v>9</v>
      </c>
      <c r="AE109" s="196" t="s">
        <v>212</v>
      </c>
      <c r="AF109" s="196" t="s">
        <v>213</v>
      </c>
    </row>
    <row r="110" spans="26:32" x14ac:dyDescent="0.25">
      <c r="Z110" s="195" t="str">
        <f t="shared" si="4"/>
        <v>Janie &amp; JackJJ 17 JAN SO SB1</v>
      </c>
      <c r="AA110" s="182" t="str">
        <f t="shared" si="3"/>
        <v>2018Janie &amp; JackSeasonal Basics</v>
      </c>
      <c r="AB110" s="196" t="s">
        <v>436</v>
      </c>
      <c r="AC110" s="196" t="s">
        <v>111</v>
      </c>
      <c r="AD110" s="196" t="s">
        <v>9</v>
      </c>
      <c r="AE110" s="196" t="s">
        <v>218</v>
      </c>
      <c r="AF110" s="196" t="s">
        <v>219</v>
      </c>
    </row>
    <row r="111" spans="26:32" x14ac:dyDescent="0.25">
      <c r="Z111" s="195" t="str">
        <f t="shared" si="4"/>
        <v>Janie &amp; JackJJ 17 SB2</v>
      </c>
      <c r="AA111" s="182" t="str">
        <f t="shared" si="3"/>
        <v>2018Janie &amp; JackSeasonal Basics</v>
      </c>
      <c r="AB111" s="196" t="s">
        <v>436</v>
      </c>
      <c r="AC111" s="196" t="s">
        <v>111</v>
      </c>
      <c r="AD111" s="196" t="s">
        <v>9</v>
      </c>
      <c r="AE111" s="196" t="s">
        <v>227</v>
      </c>
      <c r="AF111" s="196" t="s">
        <v>228</v>
      </c>
    </row>
    <row r="112" spans="26:32" x14ac:dyDescent="0.25">
      <c r="Z112" s="195" t="str">
        <f t="shared" si="4"/>
        <v>Janie &amp; JackJJ 17 SO SB2</v>
      </c>
      <c r="AA112" s="182" t="str">
        <f t="shared" si="3"/>
        <v>2018Janie &amp; JackSeasonal Basics</v>
      </c>
      <c r="AB112" s="196" t="s">
        <v>436</v>
      </c>
      <c r="AC112" s="196" t="s">
        <v>111</v>
      </c>
      <c r="AD112" s="196" t="s">
        <v>9</v>
      </c>
      <c r="AE112" s="196" t="s">
        <v>229</v>
      </c>
      <c r="AF112" s="196" t="s">
        <v>230</v>
      </c>
    </row>
    <row r="113" spans="26:32" x14ac:dyDescent="0.25">
      <c r="Z113" s="195" t="str">
        <f t="shared" si="4"/>
        <v>Janie &amp; Jack</v>
      </c>
      <c r="AA113" s="182" t="str">
        <f t="shared" si="3"/>
        <v>2018Janie &amp; JackSeasonal Basics</v>
      </c>
      <c r="AB113" s="196" t="s">
        <v>436</v>
      </c>
      <c r="AC113" s="196" t="s">
        <v>111</v>
      </c>
      <c r="AD113" s="196" t="s">
        <v>9</v>
      </c>
      <c r="AE113" s="196" t="s">
        <v>224</v>
      </c>
      <c r="AF113" s="196" t="s">
        <v>445</v>
      </c>
    </row>
    <row r="114" spans="26:32" x14ac:dyDescent="0.25">
      <c r="Z114" s="195" t="str">
        <f t="shared" si="4"/>
        <v>Janie &amp; Jack</v>
      </c>
      <c r="AA114" s="182" t="str">
        <f t="shared" si="3"/>
        <v>2018Janie &amp; JackSeasonal Basics</v>
      </c>
      <c r="AB114" s="196" t="s">
        <v>436</v>
      </c>
      <c r="AC114" s="196" t="s">
        <v>111</v>
      </c>
      <c r="AD114" s="196" t="s">
        <v>9</v>
      </c>
      <c r="AE114" s="196" t="s">
        <v>231</v>
      </c>
      <c r="AF114" s="196" t="s">
        <v>445</v>
      </c>
    </row>
    <row r="115" spans="26:32" x14ac:dyDescent="0.25">
      <c r="Z115" s="195" t="str">
        <f t="shared" si="4"/>
        <v>Janie &amp; JackJJ 17 APR LAY SWIM</v>
      </c>
      <c r="AA115" s="182" t="str">
        <f t="shared" si="3"/>
        <v>2018Janie &amp; JackSeasonal Basics</v>
      </c>
      <c r="AB115" s="196" t="s">
        <v>436</v>
      </c>
      <c r="AC115" s="196" t="s">
        <v>111</v>
      </c>
      <c r="AD115" s="196" t="s">
        <v>9</v>
      </c>
      <c r="AE115" s="196" t="s">
        <v>225</v>
      </c>
      <c r="AF115" s="196" t="s">
        <v>226</v>
      </c>
    </row>
    <row r="116" spans="26:32" x14ac:dyDescent="0.25">
      <c r="Z116" s="195" t="str">
        <f t="shared" si="4"/>
        <v>Janie &amp; JackJJ 17 SB1/YEARLY BASICS</v>
      </c>
      <c r="AA116" s="182" t="str">
        <f t="shared" si="3"/>
        <v>2018Janie &amp; JackSeasonal Basics</v>
      </c>
      <c r="AB116" s="196" t="s">
        <v>436</v>
      </c>
      <c r="AC116" s="196" t="s">
        <v>111</v>
      </c>
      <c r="AD116" s="196" t="s">
        <v>9</v>
      </c>
      <c r="AE116" s="196" t="s">
        <v>214</v>
      </c>
      <c r="AF116" s="196" t="s">
        <v>215</v>
      </c>
    </row>
    <row r="117" spans="26:32" x14ac:dyDescent="0.25">
      <c r="Z117" s="195" t="str">
        <f t="shared" si="4"/>
        <v>Janie &amp; JackJJ 17 SMR BASICS</v>
      </c>
      <c r="AA117" s="182" t="str">
        <f t="shared" si="3"/>
        <v>2018Janie &amp; JackSeasonal Basics</v>
      </c>
      <c r="AB117" s="196" t="s">
        <v>436</v>
      </c>
      <c r="AC117" s="196" t="s">
        <v>111</v>
      </c>
      <c r="AD117" s="196" t="s">
        <v>9</v>
      </c>
      <c r="AE117" s="196" t="s">
        <v>222</v>
      </c>
      <c r="AF117" s="196" t="s">
        <v>223</v>
      </c>
    </row>
    <row r="118" spans="26:32" x14ac:dyDescent="0.25">
      <c r="Z118" s="195" t="str">
        <f t="shared" si="4"/>
        <v>Janie &amp; JackJJ 17 SPR SO REFRESH</v>
      </c>
      <c r="AA118" s="182" t="str">
        <f t="shared" si="3"/>
        <v>2018Janie &amp; JackSeasonal Basics</v>
      </c>
      <c r="AB118" s="196" t="s">
        <v>436</v>
      </c>
      <c r="AC118" s="196" t="s">
        <v>111</v>
      </c>
      <c r="AD118" s="196" t="s">
        <v>9</v>
      </c>
      <c r="AE118" s="196" t="s">
        <v>220</v>
      </c>
      <c r="AF118" s="196" t="s">
        <v>221</v>
      </c>
    </row>
    <row r="119" spans="26:32" x14ac:dyDescent="0.25">
      <c r="Z119" s="195" t="str">
        <f t="shared" si="4"/>
        <v>Janie &amp; JackJJ 17 JAN SWIM 2</v>
      </c>
      <c r="AA119" s="182" t="str">
        <f t="shared" si="3"/>
        <v>2018Janie &amp; JackSeasonal Basics</v>
      </c>
      <c r="AB119" s="196" t="s">
        <v>436</v>
      </c>
      <c r="AC119" s="196" t="s">
        <v>111</v>
      </c>
      <c r="AD119" s="196" t="s">
        <v>9</v>
      </c>
      <c r="AE119" s="196" t="s">
        <v>216</v>
      </c>
      <c r="AF119" s="196" t="s">
        <v>217</v>
      </c>
    </row>
    <row r="120" spans="26:32" x14ac:dyDescent="0.25">
      <c r="Z120" s="195" t="str">
        <f t="shared" si="4"/>
        <v>Janie &amp; JackJJ 3RD PARTY</v>
      </c>
      <c r="AA120" s="182" t="str">
        <f t="shared" si="3"/>
        <v>2018Janie &amp; JackBasics</v>
      </c>
      <c r="AB120" s="196" t="s">
        <v>436</v>
      </c>
      <c r="AC120" s="196" t="s">
        <v>111</v>
      </c>
      <c r="AD120" s="196" t="s">
        <v>10</v>
      </c>
      <c r="AE120" s="196" t="s">
        <v>355</v>
      </c>
      <c r="AF120" s="196" t="s">
        <v>355</v>
      </c>
    </row>
    <row r="121" spans="26:32" x14ac:dyDescent="0.25">
      <c r="Z121" s="195" t="str">
        <f t="shared" si="4"/>
        <v>Janie &amp; JackJJ SO YEARLY BASICS</v>
      </c>
      <c r="AA121" s="182" t="str">
        <f t="shared" si="3"/>
        <v>2018Janie &amp; JackBasics</v>
      </c>
      <c r="AB121" s="196" t="s">
        <v>436</v>
      </c>
      <c r="AC121" s="196" t="s">
        <v>111</v>
      </c>
      <c r="AD121" s="196" t="s">
        <v>10</v>
      </c>
      <c r="AE121" s="196" t="s">
        <v>353</v>
      </c>
      <c r="AF121" s="196" t="s">
        <v>353</v>
      </c>
    </row>
    <row r="122" spans="26:32" x14ac:dyDescent="0.25">
      <c r="Z122" s="195" t="str">
        <f t="shared" si="4"/>
        <v>Janie &amp; JackJJ YRLY BASICS</v>
      </c>
      <c r="AA122" s="182" t="str">
        <f t="shared" si="3"/>
        <v>2018Janie &amp; JackBasics</v>
      </c>
      <c r="AB122" s="196" t="s">
        <v>436</v>
      </c>
      <c r="AC122" s="196" t="s">
        <v>111</v>
      </c>
      <c r="AD122" s="196" t="s">
        <v>10</v>
      </c>
      <c r="AE122" s="196" t="s">
        <v>354</v>
      </c>
      <c r="AF122" s="196" t="s">
        <v>354</v>
      </c>
    </row>
    <row r="123" spans="26:32" x14ac:dyDescent="0.25">
      <c r="Z123" s="195" t="str">
        <f t="shared" si="4"/>
        <v>Janie &amp; JackWINTER 17</v>
      </c>
      <c r="AA123" s="182" t="str">
        <f t="shared" si="3"/>
        <v>2018Janie &amp; JackWINTER 17</v>
      </c>
      <c r="AB123" s="196" t="s">
        <v>436</v>
      </c>
      <c r="AC123" s="196" t="s">
        <v>111</v>
      </c>
      <c r="AD123" s="196" t="s">
        <v>451</v>
      </c>
      <c r="AE123" s="196" t="s">
        <v>451</v>
      </c>
      <c r="AF123" s="196" t="s">
        <v>451</v>
      </c>
    </row>
    <row r="124" spans="26:32" x14ac:dyDescent="0.25">
      <c r="Z124" s="195" t="str">
        <f t="shared" si="4"/>
        <v>Janie &amp; JackOLD</v>
      </c>
      <c r="AA124" s="182" t="str">
        <f t="shared" si="3"/>
        <v>2018Janie &amp; JackOLD</v>
      </c>
      <c r="AB124" s="196" t="s">
        <v>436</v>
      </c>
      <c r="AC124" s="196" t="s">
        <v>111</v>
      </c>
      <c r="AD124" s="196" t="s">
        <v>452</v>
      </c>
      <c r="AE124" s="196" t="s">
        <v>452</v>
      </c>
      <c r="AF124" s="196" t="s">
        <v>452</v>
      </c>
    </row>
    <row r="125" spans="26:32" x14ac:dyDescent="0.25">
      <c r="Z125" s="195" t="str">
        <f t="shared" si="4"/>
        <v>OutletGY 17 OUTLET BNB WINTER</v>
      </c>
      <c r="AA125" s="182" t="str">
        <f t="shared" si="3"/>
        <v>2018OutletWinter</v>
      </c>
      <c r="AB125" s="196" t="s">
        <v>436</v>
      </c>
      <c r="AC125" s="196" t="s">
        <v>103</v>
      </c>
      <c r="AD125" s="196" t="s">
        <v>8</v>
      </c>
      <c r="AE125" s="196" t="s">
        <v>339</v>
      </c>
      <c r="AF125" s="196" t="s">
        <v>340</v>
      </c>
    </row>
    <row r="126" spans="26:32" x14ac:dyDescent="0.25">
      <c r="Z126" s="195" t="str">
        <f t="shared" si="4"/>
        <v>OutletGY 17 OUTLET FLEECE</v>
      </c>
      <c r="AA126" s="182" t="str">
        <f t="shared" si="3"/>
        <v>2018OutletWinter</v>
      </c>
      <c r="AB126" s="196" t="s">
        <v>436</v>
      </c>
      <c r="AC126" s="196" t="s">
        <v>103</v>
      </c>
      <c r="AD126" s="196" t="s">
        <v>8</v>
      </c>
      <c r="AE126" s="196" t="s">
        <v>341</v>
      </c>
      <c r="AF126" s="196" t="s">
        <v>342</v>
      </c>
    </row>
    <row r="127" spans="26:32" x14ac:dyDescent="0.25">
      <c r="Z127" s="195" t="str">
        <f t="shared" si="4"/>
        <v>OutletGY 17 OUTLET SPRING TRANS</v>
      </c>
      <c r="AA127" s="182" t="str">
        <f t="shared" si="3"/>
        <v>2018OutletWinter</v>
      </c>
      <c r="AB127" s="196" t="s">
        <v>436</v>
      </c>
      <c r="AC127" s="196" t="s">
        <v>103</v>
      </c>
      <c r="AD127" s="196" t="s">
        <v>8</v>
      </c>
      <c r="AE127" s="196" t="s">
        <v>345</v>
      </c>
      <c r="AF127" s="196" t="s">
        <v>346</v>
      </c>
    </row>
    <row r="128" spans="26:32" x14ac:dyDescent="0.25">
      <c r="Z128" s="195" t="str">
        <f t="shared" si="4"/>
        <v>OutletGY 17 OUTLET WINTER 1</v>
      </c>
      <c r="AA128" s="182" t="str">
        <f t="shared" si="3"/>
        <v>2018OutletWinter</v>
      </c>
      <c r="AB128" s="196" t="s">
        <v>436</v>
      </c>
      <c r="AC128" s="196" t="s">
        <v>103</v>
      </c>
      <c r="AD128" s="196" t="s">
        <v>8</v>
      </c>
      <c r="AE128" s="196" t="s">
        <v>333</v>
      </c>
      <c r="AF128" s="196" t="s">
        <v>334</v>
      </c>
    </row>
    <row r="129" spans="26:32" x14ac:dyDescent="0.25">
      <c r="Z129" s="195" t="str">
        <f t="shared" si="4"/>
        <v>OutletGY 17 OUTLET WINTER 2</v>
      </c>
      <c r="AA129" s="182" t="str">
        <f t="shared" si="3"/>
        <v>2018OutletWinter</v>
      </c>
      <c r="AB129" s="196" t="s">
        <v>436</v>
      </c>
      <c r="AC129" s="196" t="s">
        <v>103</v>
      </c>
      <c r="AD129" s="196" t="s">
        <v>8</v>
      </c>
      <c r="AE129" s="196" t="s">
        <v>337</v>
      </c>
      <c r="AF129" s="196" t="s">
        <v>338</v>
      </c>
    </row>
    <row r="130" spans="26:32" x14ac:dyDescent="0.25">
      <c r="Z130" s="195" t="str">
        <f t="shared" si="4"/>
        <v>OutletGY 17 OUTLET WINTER 3</v>
      </c>
      <c r="AA130" s="182" t="str">
        <f t="shared" ref="AA130:AA165" si="5">AB130&amp;AC130&amp;AD130</f>
        <v>2018OutletWinter</v>
      </c>
      <c r="AB130" s="196" t="s">
        <v>436</v>
      </c>
      <c r="AC130" s="196" t="s">
        <v>103</v>
      </c>
      <c r="AD130" s="196" t="s">
        <v>8</v>
      </c>
      <c r="AE130" s="196" t="s">
        <v>343</v>
      </c>
      <c r="AF130" s="196" t="s">
        <v>344</v>
      </c>
    </row>
    <row r="131" spans="26:32" x14ac:dyDescent="0.25">
      <c r="Z131" s="195" t="str">
        <f t="shared" ref="Z131:Z165" si="6">AC131&amp;AF131</f>
        <v>OutletGY 17 OUTLET WTR</v>
      </c>
      <c r="AA131" s="182" t="str">
        <f t="shared" si="5"/>
        <v>2018OutletWinter</v>
      </c>
      <c r="AB131" s="196" t="s">
        <v>436</v>
      </c>
      <c r="AC131" s="196" t="s">
        <v>103</v>
      </c>
      <c r="AD131" s="196" t="s">
        <v>8</v>
      </c>
      <c r="AE131" s="196" t="s">
        <v>335</v>
      </c>
      <c r="AF131" s="196" t="s">
        <v>336</v>
      </c>
    </row>
    <row r="132" spans="26:32" x14ac:dyDescent="0.25">
      <c r="Z132" s="195" t="str">
        <f t="shared" si="6"/>
        <v>OutletGY 17 OUTLET BNB Spring</v>
      </c>
      <c r="AA132" s="182" t="str">
        <f t="shared" si="5"/>
        <v>2018OutletSpring</v>
      </c>
      <c r="AB132" s="196" t="s">
        <v>436</v>
      </c>
      <c r="AC132" s="196" t="s">
        <v>103</v>
      </c>
      <c r="AD132" s="196" t="s">
        <v>5</v>
      </c>
      <c r="AE132" s="196" t="s">
        <v>295</v>
      </c>
      <c r="AF132" s="196" t="s">
        <v>296</v>
      </c>
    </row>
    <row r="133" spans="26:32" x14ac:dyDescent="0.25">
      <c r="Z133" s="195" t="str">
        <f t="shared" si="6"/>
        <v>OutletGY 17 OUTLET Easter</v>
      </c>
      <c r="AA133" s="182" t="str">
        <f t="shared" si="5"/>
        <v>2018OutletSpring</v>
      </c>
      <c r="AB133" s="196" t="s">
        <v>436</v>
      </c>
      <c r="AC133" s="196" t="s">
        <v>103</v>
      </c>
      <c r="AD133" s="196" t="s">
        <v>5</v>
      </c>
      <c r="AE133" s="196" t="s">
        <v>299</v>
      </c>
      <c r="AF133" s="196" t="s">
        <v>300</v>
      </c>
    </row>
    <row r="134" spans="26:32" x14ac:dyDescent="0.25">
      <c r="Z134" s="195" t="str">
        <f t="shared" si="6"/>
        <v>OutletGY 17 OUTLET SPR</v>
      </c>
      <c r="AA134" s="182" t="str">
        <f t="shared" si="5"/>
        <v>2018OutletSpring</v>
      </c>
      <c r="AB134" s="196" t="s">
        <v>436</v>
      </c>
      <c r="AC134" s="196" t="s">
        <v>103</v>
      </c>
      <c r="AD134" s="196" t="s">
        <v>5</v>
      </c>
      <c r="AE134" s="196" t="s">
        <v>293</v>
      </c>
      <c r="AF134" s="196" t="s">
        <v>294</v>
      </c>
    </row>
    <row r="135" spans="26:32" x14ac:dyDescent="0.25">
      <c r="Z135" s="195" t="str">
        <f t="shared" si="6"/>
        <v>OutletGY 17 OUTLET Spr Fashion Cap</v>
      </c>
      <c r="AA135" s="182" t="str">
        <f t="shared" si="5"/>
        <v>2018OutletSpring</v>
      </c>
      <c r="AB135" s="196" t="s">
        <v>436</v>
      </c>
      <c r="AC135" s="196" t="s">
        <v>103</v>
      </c>
      <c r="AD135" s="196" t="s">
        <v>5</v>
      </c>
      <c r="AE135" s="196" t="s">
        <v>301</v>
      </c>
      <c r="AF135" s="196" t="s">
        <v>302</v>
      </c>
    </row>
    <row r="136" spans="26:32" x14ac:dyDescent="0.25">
      <c r="Z136" s="195" t="str">
        <f t="shared" si="6"/>
        <v>OutletGY 17 OUTLET Spring 1</v>
      </c>
      <c r="AA136" s="182" t="str">
        <f t="shared" si="5"/>
        <v>2018OutletSpring</v>
      </c>
      <c r="AB136" s="196" t="s">
        <v>436</v>
      </c>
      <c r="AC136" s="196" t="s">
        <v>103</v>
      </c>
      <c r="AD136" s="196" t="s">
        <v>5</v>
      </c>
      <c r="AE136" s="196" t="s">
        <v>303</v>
      </c>
      <c r="AF136" s="196" t="s">
        <v>304</v>
      </c>
    </row>
    <row r="137" spans="26:32" x14ac:dyDescent="0.25">
      <c r="Z137" s="195" t="str">
        <f t="shared" si="6"/>
        <v>OutletGY 17 OUTLET Spring 2</v>
      </c>
      <c r="AA137" s="182" t="str">
        <f t="shared" si="5"/>
        <v>2018OutletSpring</v>
      </c>
      <c r="AB137" s="196" t="s">
        <v>436</v>
      </c>
      <c r="AC137" s="196" t="s">
        <v>103</v>
      </c>
      <c r="AD137" s="196" t="s">
        <v>5</v>
      </c>
      <c r="AE137" s="196" t="s">
        <v>305</v>
      </c>
      <c r="AF137" s="196" t="s">
        <v>306</v>
      </c>
    </row>
    <row r="138" spans="26:32" x14ac:dyDescent="0.25">
      <c r="Z138" s="195" t="str">
        <f t="shared" si="6"/>
        <v>OutletGY 17 OUTLET Spring 3</v>
      </c>
      <c r="AA138" s="182" t="str">
        <f t="shared" si="5"/>
        <v>2018OutletSpring</v>
      </c>
      <c r="AB138" s="196" t="s">
        <v>436</v>
      </c>
      <c r="AC138" s="196" t="s">
        <v>103</v>
      </c>
      <c r="AD138" s="196" t="s">
        <v>5</v>
      </c>
      <c r="AE138" s="196" t="s">
        <v>307</v>
      </c>
      <c r="AF138" s="196" t="s">
        <v>308</v>
      </c>
    </row>
    <row r="139" spans="26:32" x14ac:dyDescent="0.25">
      <c r="Z139" s="195" t="str">
        <f t="shared" si="6"/>
        <v>OutletGY 17 OUTLET SPRING ACTIVE</v>
      </c>
      <c r="AA139" s="182" t="str">
        <f t="shared" si="5"/>
        <v>2018OutletSpring</v>
      </c>
      <c r="AB139" s="196" t="s">
        <v>436</v>
      </c>
      <c r="AC139" s="196" t="s">
        <v>103</v>
      </c>
      <c r="AD139" s="196" t="s">
        <v>5</v>
      </c>
      <c r="AE139" s="196" t="s">
        <v>297</v>
      </c>
      <c r="AF139" s="196" t="s">
        <v>298</v>
      </c>
    </row>
    <row r="140" spans="26:32" x14ac:dyDescent="0.25">
      <c r="Z140" s="195" t="str">
        <f t="shared" si="6"/>
        <v>OutletGY 17 OUTLET Swim 1</v>
      </c>
      <c r="AA140" s="182" t="str">
        <f t="shared" si="5"/>
        <v>2018OutletSpring</v>
      </c>
      <c r="AB140" s="196" t="s">
        <v>436</v>
      </c>
      <c r="AC140" s="196" t="s">
        <v>103</v>
      </c>
      <c r="AD140" s="196" t="s">
        <v>5</v>
      </c>
      <c r="AE140" s="196" t="s">
        <v>309</v>
      </c>
      <c r="AF140" s="196" t="s">
        <v>310</v>
      </c>
    </row>
    <row r="141" spans="26:32" x14ac:dyDescent="0.25">
      <c r="Z141" s="195" t="str">
        <f t="shared" si="6"/>
        <v>OutletGY 17 OUTLET Swim 2</v>
      </c>
      <c r="AA141" s="182" t="str">
        <f t="shared" si="5"/>
        <v>2018OutletSpring</v>
      </c>
      <c r="AB141" s="196" t="s">
        <v>436</v>
      </c>
      <c r="AC141" s="196" t="s">
        <v>103</v>
      </c>
      <c r="AD141" s="196" t="s">
        <v>5</v>
      </c>
      <c r="AE141" s="196" t="s">
        <v>311</v>
      </c>
      <c r="AF141" s="196" t="s">
        <v>312</v>
      </c>
    </row>
    <row r="142" spans="26:32" x14ac:dyDescent="0.25">
      <c r="Z142" s="195" t="str">
        <f t="shared" si="6"/>
        <v>OutletGY 17 OUTLET VDAY</v>
      </c>
      <c r="AA142" s="182" t="str">
        <f t="shared" si="5"/>
        <v>2018OutletSpring</v>
      </c>
      <c r="AB142" s="196" t="s">
        <v>436</v>
      </c>
      <c r="AC142" s="196" t="s">
        <v>103</v>
      </c>
      <c r="AD142" s="196" t="s">
        <v>5</v>
      </c>
      <c r="AE142" s="196" t="s">
        <v>291</v>
      </c>
      <c r="AF142" s="196" t="s">
        <v>292</v>
      </c>
    </row>
    <row r="143" spans="26:32" x14ac:dyDescent="0.25">
      <c r="Z143" s="195" t="str">
        <f t="shared" si="6"/>
        <v>OutletGY 17 OUTLET BNB SUMMER</v>
      </c>
      <c r="AA143" s="182" t="str">
        <f t="shared" si="5"/>
        <v>2018OutletSummer</v>
      </c>
      <c r="AB143" s="196" t="s">
        <v>436</v>
      </c>
      <c r="AC143" s="196" t="s">
        <v>103</v>
      </c>
      <c r="AD143" s="196" t="s">
        <v>6</v>
      </c>
      <c r="AE143" s="196" t="s">
        <v>317</v>
      </c>
      <c r="AF143" s="196" t="s">
        <v>318</v>
      </c>
    </row>
    <row r="144" spans="26:32" x14ac:dyDescent="0.25">
      <c r="Z144" s="195" t="str">
        <f t="shared" si="6"/>
        <v>OutletGY 17 OUTLET SMR</v>
      </c>
      <c r="AA144" s="182" t="str">
        <f t="shared" si="5"/>
        <v>2018OutletSummer</v>
      </c>
      <c r="AB144" s="196" t="s">
        <v>436</v>
      </c>
      <c r="AC144" s="196" t="s">
        <v>103</v>
      </c>
      <c r="AD144" s="196" t="s">
        <v>6</v>
      </c>
      <c r="AE144" s="196" t="s">
        <v>315</v>
      </c>
      <c r="AF144" s="196" t="s">
        <v>316</v>
      </c>
    </row>
    <row r="145" spans="26:32" x14ac:dyDescent="0.25">
      <c r="Z145" s="195" t="str">
        <f t="shared" si="6"/>
        <v>OutletGY 17 OUTLET Summer 1</v>
      </c>
      <c r="AA145" s="182" t="str">
        <f t="shared" si="5"/>
        <v>2018OutletSummer</v>
      </c>
      <c r="AB145" s="196" t="s">
        <v>436</v>
      </c>
      <c r="AC145" s="196" t="s">
        <v>103</v>
      </c>
      <c r="AD145" s="196" t="s">
        <v>6</v>
      </c>
      <c r="AE145" s="196" t="s">
        <v>321</v>
      </c>
      <c r="AF145" s="196" t="s">
        <v>322</v>
      </c>
    </row>
    <row r="146" spans="26:32" x14ac:dyDescent="0.25">
      <c r="Z146" s="195" t="str">
        <f t="shared" si="6"/>
        <v>OutletGY 17 OUTLET SUMMER 2</v>
      </c>
      <c r="AA146" s="182" t="str">
        <f t="shared" si="5"/>
        <v>2018OutletSummer</v>
      </c>
      <c r="AB146" s="196" t="s">
        <v>436</v>
      </c>
      <c r="AC146" s="196" t="s">
        <v>103</v>
      </c>
      <c r="AD146" s="196" t="s">
        <v>6</v>
      </c>
      <c r="AE146" s="196" t="s">
        <v>323</v>
      </c>
      <c r="AF146" s="196" t="s">
        <v>324</v>
      </c>
    </row>
    <row r="147" spans="26:32" x14ac:dyDescent="0.25">
      <c r="Z147" s="195" t="str">
        <f t="shared" si="6"/>
        <v>OutletGY 17 OUTLET SUMMER 3</v>
      </c>
      <c r="AA147" s="182" t="str">
        <f t="shared" si="5"/>
        <v>2018OutletSummer</v>
      </c>
      <c r="AB147" s="196" t="s">
        <v>436</v>
      </c>
      <c r="AC147" s="196" t="s">
        <v>103</v>
      </c>
      <c r="AD147" s="196" t="s">
        <v>6</v>
      </c>
      <c r="AE147" s="196" t="s">
        <v>325</v>
      </c>
      <c r="AF147" s="196" t="s">
        <v>326</v>
      </c>
    </row>
    <row r="148" spans="26:32" x14ac:dyDescent="0.25">
      <c r="Z148" s="195" t="str">
        <f t="shared" si="6"/>
        <v>OutletGY 17 OUTLET SUMMER 4</v>
      </c>
      <c r="AA148" s="182" t="str">
        <f t="shared" si="5"/>
        <v>2018OutletSummer</v>
      </c>
      <c r="AB148" s="196" t="s">
        <v>436</v>
      </c>
      <c r="AC148" s="196" t="s">
        <v>103</v>
      </c>
      <c r="AD148" s="196" t="s">
        <v>6</v>
      </c>
      <c r="AE148" s="196" t="s">
        <v>327</v>
      </c>
      <c r="AF148" s="196" t="s">
        <v>328</v>
      </c>
    </row>
    <row r="149" spans="26:32" x14ac:dyDescent="0.25">
      <c r="Z149" s="195" t="str">
        <f t="shared" si="6"/>
        <v>OutletGY 17 OUTLET SUMMER ACTIVE</v>
      </c>
      <c r="AA149" s="182" t="str">
        <f t="shared" si="5"/>
        <v>2018OutletSummer</v>
      </c>
      <c r="AB149" s="196" t="s">
        <v>436</v>
      </c>
      <c r="AC149" s="196" t="s">
        <v>103</v>
      </c>
      <c r="AD149" s="196" t="s">
        <v>6</v>
      </c>
      <c r="AE149" s="196" t="s">
        <v>319</v>
      </c>
      <c r="AF149" s="196" t="s">
        <v>320</v>
      </c>
    </row>
    <row r="150" spans="26:32" x14ac:dyDescent="0.25">
      <c r="Z150" s="195" t="str">
        <f t="shared" si="6"/>
        <v>OutletGY 17 OUTLET SWIM 3</v>
      </c>
      <c r="AA150" s="182" t="str">
        <f t="shared" si="5"/>
        <v>2018OutletSummer</v>
      </c>
      <c r="AB150" s="196" t="s">
        <v>436</v>
      </c>
      <c r="AC150" s="196" t="s">
        <v>103</v>
      </c>
      <c r="AD150" s="196" t="s">
        <v>6</v>
      </c>
      <c r="AE150" s="196" t="s">
        <v>313</v>
      </c>
      <c r="AF150" s="196" t="s">
        <v>314</v>
      </c>
    </row>
    <row r="151" spans="26:32" x14ac:dyDescent="0.25">
      <c r="Z151" s="195" t="str">
        <f t="shared" si="6"/>
        <v>OutletGY 17 OUTLET TRANSITION</v>
      </c>
      <c r="AA151" s="182" t="str">
        <f t="shared" si="5"/>
        <v>2018OutletSummer</v>
      </c>
      <c r="AB151" s="196" t="s">
        <v>436</v>
      </c>
      <c r="AC151" s="196" t="s">
        <v>103</v>
      </c>
      <c r="AD151" s="196" t="s">
        <v>6</v>
      </c>
      <c r="AE151" s="196" t="s">
        <v>331</v>
      </c>
      <c r="AF151" s="196" t="s">
        <v>332</v>
      </c>
    </row>
    <row r="152" spans="26:32" x14ac:dyDescent="0.25">
      <c r="Z152" s="195" t="str">
        <f t="shared" si="6"/>
        <v>OutletGY 17 OUTLET UNIFORM</v>
      </c>
      <c r="AA152" s="182" t="str">
        <f t="shared" si="5"/>
        <v>2018OutletSummer</v>
      </c>
      <c r="AB152" s="196" t="s">
        <v>436</v>
      </c>
      <c r="AC152" s="196" t="s">
        <v>103</v>
      </c>
      <c r="AD152" s="196" t="s">
        <v>6</v>
      </c>
      <c r="AE152" s="196" t="s">
        <v>329</v>
      </c>
      <c r="AF152" s="196" t="s">
        <v>330</v>
      </c>
    </row>
    <row r="153" spans="26:32" x14ac:dyDescent="0.25">
      <c r="Z153" s="195" t="str">
        <f t="shared" si="6"/>
        <v>OutletGY 17 OUTLET BNB FALL</v>
      </c>
      <c r="AA153" s="182" t="str">
        <f t="shared" si="5"/>
        <v>2018OutletFall</v>
      </c>
      <c r="AB153" s="196" t="s">
        <v>436</v>
      </c>
      <c r="AC153" s="196" t="s">
        <v>103</v>
      </c>
      <c r="AD153" s="196" t="s">
        <v>54</v>
      </c>
      <c r="AE153" s="196" t="s">
        <v>278</v>
      </c>
      <c r="AF153" s="196" t="s">
        <v>279</v>
      </c>
    </row>
    <row r="154" spans="26:32" x14ac:dyDescent="0.25">
      <c r="Z154" s="195" t="str">
        <f t="shared" si="6"/>
        <v>OutletGY 17 OUTLET BTS 1</v>
      </c>
      <c r="AA154" s="182" t="str">
        <f t="shared" si="5"/>
        <v>2018OutletFall</v>
      </c>
      <c r="AB154" s="196" t="s">
        <v>436</v>
      </c>
      <c r="AC154" s="196" t="s">
        <v>103</v>
      </c>
      <c r="AD154" s="196" t="s">
        <v>54</v>
      </c>
      <c r="AE154" s="196" t="s">
        <v>274</v>
      </c>
      <c r="AF154" s="196" t="s">
        <v>275</v>
      </c>
    </row>
    <row r="155" spans="26:32" x14ac:dyDescent="0.25">
      <c r="Z155" s="195" t="str">
        <f t="shared" si="6"/>
        <v>OutletGY 17 OUTLET BTS 2</v>
      </c>
      <c r="AA155" s="182" t="str">
        <f t="shared" si="5"/>
        <v>2018OutletFall</v>
      </c>
      <c r="AB155" s="196" t="s">
        <v>436</v>
      </c>
      <c r="AC155" s="196" t="s">
        <v>103</v>
      </c>
      <c r="AD155" s="196" t="s">
        <v>54</v>
      </c>
      <c r="AE155" s="196" t="s">
        <v>276</v>
      </c>
      <c r="AF155" s="196" t="s">
        <v>277</v>
      </c>
    </row>
    <row r="156" spans="26:32" x14ac:dyDescent="0.25">
      <c r="Z156" s="195" t="str">
        <f t="shared" si="6"/>
        <v>OutletGY 17 OUTLET FAL</v>
      </c>
      <c r="AA156" s="182" t="str">
        <f t="shared" si="5"/>
        <v>2018OutletFall</v>
      </c>
      <c r="AB156" s="196" t="s">
        <v>436</v>
      </c>
      <c r="AC156" s="196" t="s">
        <v>103</v>
      </c>
      <c r="AD156" s="196" t="s">
        <v>54</v>
      </c>
      <c r="AE156" s="196" t="s">
        <v>272</v>
      </c>
      <c r="AF156" s="196" t="s">
        <v>273</v>
      </c>
    </row>
    <row r="157" spans="26:32" x14ac:dyDescent="0.25">
      <c r="Z157" s="195" t="str">
        <f t="shared" si="6"/>
        <v>OutletGY 17 OUTLET FALL 1</v>
      </c>
      <c r="AA157" s="182" t="str">
        <f t="shared" si="5"/>
        <v>2018OutletFall</v>
      </c>
      <c r="AB157" s="196" t="s">
        <v>436</v>
      </c>
      <c r="AC157" s="196" t="s">
        <v>103</v>
      </c>
      <c r="AD157" s="196" t="s">
        <v>54</v>
      </c>
      <c r="AE157" s="196" t="s">
        <v>280</v>
      </c>
      <c r="AF157" s="196" t="s">
        <v>281</v>
      </c>
    </row>
    <row r="158" spans="26:32" x14ac:dyDescent="0.25">
      <c r="Z158" s="195" t="str">
        <f t="shared" si="6"/>
        <v>OutletGY 17 OUTLET FALL 2</v>
      </c>
      <c r="AA158" s="182" t="str">
        <f t="shared" si="5"/>
        <v>2018OutletFall</v>
      </c>
      <c r="AB158" s="196" t="s">
        <v>436</v>
      </c>
      <c r="AC158" s="196" t="s">
        <v>103</v>
      </c>
      <c r="AD158" s="196" t="s">
        <v>54</v>
      </c>
      <c r="AE158" s="196" t="s">
        <v>283</v>
      </c>
      <c r="AF158" s="196" t="s">
        <v>284</v>
      </c>
    </row>
    <row r="159" spans="26:32" x14ac:dyDescent="0.25">
      <c r="Z159" s="195" t="str">
        <f t="shared" si="6"/>
        <v>OutletGY 17 OUTLET FALL 1</v>
      </c>
      <c r="AA159" s="182" t="str">
        <f t="shared" si="5"/>
        <v>2018OutletFall</v>
      </c>
      <c r="AB159" s="196" t="s">
        <v>436</v>
      </c>
      <c r="AC159" s="196" t="s">
        <v>103</v>
      </c>
      <c r="AD159" s="196" t="s">
        <v>54</v>
      </c>
      <c r="AE159" s="196" t="s">
        <v>282</v>
      </c>
      <c r="AF159" s="196" t="s">
        <v>281</v>
      </c>
    </row>
    <row r="160" spans="26:32" x14ac:dyDescent="0.25">
      <c r="Z160" s="195" t="str">
        <f t="shared" si="6"/>
        <v>OutletGY 17 OUTLET HOLIDAY DRESSY</v>
      </c>
      <c r="AA160" s="182" t="str">
        <f t="shared" si="5"/>
        <v>2018OutletFall</v>
      </c>
      <c r="AB160" s="196" t="s">
        <v>436</v>
      </c>
      <c r="AC160" s="196" t="s">
        <v>103</v>
      </c>
      <c r="AD160" s="196" t="s">
        <v>54</v>
      </c>
      <c r="AE160" s="196" t="s">
        <v>285</v>
      </c>
      <c r="AF160" s="196" t="s">
        <v>286</v>
      </c>
    </row>
    <row r="161" spans="26:32" x14ac:dyDescent="0.25">
      <c r="Z161" s="195" t="str">
        <f t="shared" si="6"/>
        <v>OutletGY 17 OUTLET SB1</v>
      </c>
      <c r="AA161" s="182" t="str">
        <f t="shared" si="5"/>
        <v>2018OutletSeasonal Basics</v>
      </c>
      <c r="AB161" s="196" t="s">
        <v>436</v>
      </c>
      <c r="AC161" s="196" t="s">
        <v>103</v>
      </c>
      <c r="AD161" s="196" t="s">
        <v>9</v>
      </c>
      <c r="AE161" s="196" t="s">
        <v>287</v>
      </c>
      <c r="AF161" s="196" t="s">
        <v>288</v>
      </c>
    </row>
    <row r="162" spans="26:32" x14ac:dyDescent="0.25">
      <c r="Z162" s="195" t="str">
        <f t="shared" si="6"/>
        <v>OutletGY 17 OUTLET SB2</v>
      </c>
      <c r="AA162" s="182" t="str">
        <f t="shared" si="5"/>
        <v>2018OutletSeasonal Basics</v>
      </c>
      <c r="AB162" s="196" t="s">
        <v>436</v>
      </c>
      <c r="AC162" s="196" t="s">
        <v>103</v>
      </c>
      <c r="AD162" s="196" t="s">
        <v>9</v>
      </c>
      <c r="AE162" s="196" t="s">
        <v>289</v>
      </c>
      <c r="AF162" s="196" t="s">
        <v>290</v>
      </c>
    </row>
    <row r="163" spans="26:32" x14ac:dyDescent="0.25">
      <c r="Z163" s="195" t="str">
        <f t="shared" si="6"/>
        <v>OutletGY OUTLET YRLY BSCS</v>
      </c>
      <c r="AA163" s="182" t="str">
        <f t="shared" si="5"/>
        <v>2018OutletBasics</v>
      </c>
      <c r="AB163" s="196" t="s">
        <v>436</v>
      </c>
      <c r="AC163" s="196" t="s">
        <v>103</v>
      </c>
      <c r="AD163" s="196" t="s">
        <v>10</v>
      </c>
      <c r="AE163" s="196" t="s">
        <v>356</v>
      </c>
      <c r="AF163" s="196" t="s">
        <v>356</v>
      </c>
    </row>
    <row r="164" spans="26:32" x14ac:dyDescent="0.25">
      <c r="Z164" s="195" t="str">
        <f t="shared" si="6"/>
        <v>OutletWINTER 17</v>
      </c>
      <c r="AA164" s="182" t="str">
        <f t="shared" si="5"/>
        <v>2018OutletWINTER 17</v>
      </c>
      <c r="AB164" s="196" t="s">
        <v>436</v>
      </c>
      <c r="AC164" s="196" t="s">
        <v>103</v>
      </c>
      <c r="AD164" s="196" t="s">
        <v>451</v>
      </c>
      <c r="AE164" s="196" t="s">
        <v>451</v>
      </c>
      <c r="AF164" s="196" t="s">
        <v>451</v>
      </c>
    </row>
    <row r="165" spans="26:32" x14ac:dyDescent="0.25">
      <c r="Z165" s="195" t="str">
        <f t="shared" si="6"/>
        <v>OutletOLD</v>
      </c>
      <c r="AA165" s="182" t="str">
        <f t="shared" si="5"/>
        <v>2018OutletOLD</v>
      </c>
      <c r="AB165" s="196" t="s">
        <v>436</v>
      </c>
      <c r="AC165" s="196" t="s">
        <v>103</v>
      </c>
      <c r="AD165" s="196" t="s">
        <v>452</v>
      </c>
      <c r="AE165" s="196" t="s">
        <v>452</v>
      </c>
      <c r="AF165" s="196" t="s">
        <v>452</v>
      </c>
    </row>
    <row r="171" spans="26:32" x14ac:dyDescent="0.25">
      <c r="AD171" s="192"/>
      <c r="AE171" s="192"/>
      <c r="AF171" s="193"/>
    </row>
    <row r="172" spans="26:32" x14ac:dyDescent="0.25">
      <c r="AD172" s="192"/>
      <c r="AE172" s="192"/>
      <c r="AF172" s="193"/>
    </row>
    <row r="173" spans="26:32" x14ac:dyDescent="0.25">
      <c r="AD173" s="192"/>
      <c r="AE173" s="192"/>
      <c r="AF173" s="193"/>
    </row>
    <row r="320" spans="33:33" x14ac:dyDescent="0.25">
      <c r="AG320" s="192"/>
    </row>
    <row r="321" spans="33:33" x14ac:dyDescent="0.25">
      <c r="AG321" s="192"/>
    </row>
    <row r="322" spans="33:33" x14ac:dyDescent="0.25">
      <c r="AG322" s="192"/>
    </row>
  </sheetData>
  <mergeCells count="4">
    <mergeCell ref="K1:L1"/>
    <mergeCell ref="N1:O1"/>
    <mergeCell ref="C13:G13"/>
    <mergeCell ref="C14:G14"/>
  </mergeCells>
  <dataValidations disablePrompts="1"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workbookViewId="0">
      <selection activeCell="Q11" sqref="Q11"/>
    </sheetView>
  </sheetViews>
  <sheetFormatPr defaultColWidth="11" defaultRowHeight="12.75" x14ac:dyDescent="0.2"/>
  <cols>
    <col min="1" max="1" width="2" style="124" bestFit="1" customWidth="1"/>
    <col min="2" max="3" width="10.140625" style="124" bestFit="1" customWidth="1"/>
    <col min="4" max="4" width="12" style="124" bestFit="1" customWidth="1"/>
    <col min="5" max="5" width="13.140625" style="124" bestFit="1" customWidth="1"/>
    <col min="6" max="6" width="6" style="124" bestFit="1" customWidth="1"/>
    <col min="7" max="8" width="12" style="124" bestFit="1" customWidth="1"/>
    <col min="9" max="9" width="6.28515625" style="124" bestFit="1" customWidth="1"/>
    <col min="10" max="10" width="9.140625" style="124" bestFit="1" customWidth="1"/>
    <col min="11" max="11" width="5.7109375" style="124" bestFit="1" customWidth="1"/>
    <col min="12" max="12" width="9.140625" style="124" bestFit="1" customWidth="1"/>
    <col min="13" max="13" width="6.5703125" style="124" bestFit="1" customWidth="1"/>
    <col min="14" max="14" width="10" style="124" bestFit="1" customWidth="1"/>
    <col min="15" max="15" width="11" style="124" bestFit="1" customWidth="1"/>
    <col min="16" max="16" width="6" style="124" bestFit="1" customWidth="1"/>
    <col min="17" max="17" width="9.140625" style="124" bestFit="1" customWidth="1"/>
    <col min="18" max="18" width="11" style="124" bestFit="1" customWidth="1"/>
    <col min="19" max="19" width="6" style="124" bestFit="1" customWidth="1"/>
    <col min="20" max="20" width="9.140625" style="124" bestFit="1" customWidth="1"/>
    <col min="21" max="21" width="4.5703125" style="124" bestFit="1" customWidth="1"/>
    <col min="22" max="22" width="9.140625" style="124" bestFit="1" customWidth="1"/>
    <col min="23" max="23" width="6.7109375" style="124" bestFit="1" customWidth="1"/>
    <col min="24" max="24" width="9.140625" style="124" bestFit="1" customWidth="1"/>
    <col min="25" max="25" width="6.5703125" style="124" bestFit="1" customWidth="1"/>
    <col min="26" max="26" width="9.140625" style="124" bestFit="1" customWidth="1"/>
    <col min="27" max="27" width="7.5703125" style="124" bestFit="1" customWidth="1"/>
    <col min="28" max="16384" width="11" style="124"/>
  </cols>
  <sheetData>
    <row r="1" spans="1:31" s="126" customFormat="1" x14ac:dyDescent="0.2">
      <c r="D1" s="126">
        <v>11</v>
      </c>
      <c r="E1" s="126">
        <v>11</v>
      </c>
      <c r="N1" s="126">
        <v>9</v>
      </c>
      <c r="O1" s="126">
        <v>9</v>
      </c>
      <c r="Q1" s="126">
        <v>18</v>
      </c>
      <c r="R1" s="126">
        <v>18</v>
      </c>
      <c r="AB1" s="126">
        <v>12</v>
      </c>
      <c r="AC1" s="126">
        <v>12</v>
      </c>
      <c r="AD1" s="126">
        <v>10</v>
      </c>
      <c r="AE1" s="126">
        <v>10</v>
      </c>
    </row>
    <row r="2" spans="1:31" s="127" customFormat="1" x14ac:dyDescent="0.2">
      <c r="D2" s="128" t="str">
        <f>ForecastVer</f>
        <v>MBR</v>
      </c>
      <c r="E2" s="129" t="str">
        <f>CompareVer</f>
        <v>LY</v>
      </c>
      <c r="F2" s="129"/>
      <c r="G2" s="129"/>
      <c r="H2" s="129"/>
      <c r="I2" s="129"/>
      <c r="J2" s="129"/>
      <c r="K2" s="129"/>
      <c r="L2" s="129"/>
      <c r="M2" s="129"/>
      <c r="N2" s="128" t="str">
        <f>ForecastVer</f>
        <v>MBR</v>
      </c>
      <c r="O2" s="129" t="str">
        <f>CompareVer</f>
        <v>LY</v>
      </c>
      <c r="Q2" s="128" t="str">
        <f>ForecastVer</f>
        <v>MBR</v>
      </c>
      <c r="R2" s="129" t="str">
        <f>CompareVer</f>
        <v>LY</v>
      </c>
      <c r="X2" s="128"/>
      <c r="Y2" s="129"/>
      <c r="Z2" s="128"/>
      <c r="AA2" s="129"/>
      <c r="AB2" s="128" t="str">
        <f>ForecastVer</f>
        <v>MBR</v>
      </c>
      <c r="AC2" s="129" t="str">
        <f>CompareVer</f>
        <v>LY</v>
      </c>
      <c r="AD2" s="128" t="str">
        <f>ForecastVer</f>
        <v>MBR</v>
      </c>
      <c r="AE2" s="129" t="str">
        <f>CompareVer</f>
        <v>LY</v>
      </c>
    </row>
    <row r="3" spans="1:31" x14ac:dyDescent="0.2">
      <c r="D3" s="125"/>
      <c r="E3" s="131"/>
      <c r="F3" s="131"/>
      <c r="G3" s="131"/>
      <c r="H3" s="131"/>
      <c r="I3" s="131"/>
      <c r="J3" s="131"/>
      <c r="K3" s="131"/>
      <c r="L3" s="131"/>
      <c r="M3" s="131"/>
      <c r="N3" s="131"/>
    </row>
    <row r="4" spans="1:31" s="175" customFormat="1" ht="15" x14ac:dyDescent="0.25">
      <c r="C4" s="176"/>
      <c r="D4" s="201" t="s">
        <v>65</v>
      </c>
      <c r="E4" s="201"/>
      <c r="F4" s="201"/>
      <c r="G4" s="201" t="s">
        <v>66</v>
      </c>
      <c r="H4" s="201"/>
      <c r="I4" s="201"/>
      <c r="J4" s="201" t="s">
        <v>21</v>
      </c>
      <c r="K4" s="201"/>
      <c r="L4" s="201" t="s">
        <v>22</v>
      </c>
      <c r="M4" s="201"/>
      <c r="N4" s="201" t="s">
        <v>67</v>
      </c>
      <c r="O4" s="201"/>
      <c r="P4" s="201"/>
      <c r="Q4" s="201" t="s">
        <v>68</v>
      </c>
      <c r="R4" s="201"/>
      <c r="S4" s="201"/>
      <c r="T4" s="202" t="s">
        <v>23</v>
      </c>
      <c r="U4" s="202"/>
      <c r="V4" s="202" t="s">
        <v>24</v>
      </c>
      <c r="W4" s="202"/>
      <c r="X4" s="201" t="s">
        <v>37</v>
      </c>
      <c r="Y4" s="201"/>
      <c r="Z4" s="201" t="s">
        <v>36</v>
      </c>
      <c r="AA4" s="201"/>
      <c r="AB4" s="175" t="s">
        <v>457</v>
      </c>
      <c r="AC4" s="175" t="s">
        <v>456</v>
      </c>
      <c r="AD4" s="175" t="s">
        <v>458</v>
      </c>
      <c r="AE4" s="176" t="s">
        <v>458</v>
      </c>
    </row>
    <row r="5" spans="1:31" s="175" customFormat="1" ht="15" x14ac:dyDescent="0.25">
      <c r="C5" s="177"/>
      <c r="D5" s="178" t="s">
        <v>453</v>
      </c>
      <c r="E5" s="179" t="str">
        <f>CompareVer</f>
        <v>LY</v>
      </c>
      <c r="F5" s="180" t="s">
        <v>20</v>
      </c>
      <c r="G5" s="178" t="s">
        <v>453</v>
      </c>
      <c r="H5" s="179" t="str">
        <f>CompareVer</f>
        <v>LY</v>
      </c>
      <c r="I5" s="180" t="s">
        <v>20</v>
      </c>
      <c r="J5" s="178" t="s">
        <v>453</v>
      </c>
      <c r="K5" s="180" t="str">
        <f>CompareVer</f>
        <v>LY</v>
      </c>
      <c r="L5" s="178" t="s">
        <v>453</v>
      </c>
      <c r="M5" s="180" t="str">
        <f>CompareVer</f>
        <v>LY</v>
      </c>
      <c r="N5" s="178" t="s">
        <v>453</v>
      </c>
      <c r="O5" s="179" t="str">
        <f>CompareVer</f>
        <v>LY</v>
      </c>
      <c r="P5" s="180" t="s">
        <v>20</v>
      </c>
      <c r="Q5" s="178" t="s">
        <v>453</v>
      </c>
      <c r="R5" s="179" t="str">
        <f>CompareVer</f>
        <v>LY</v>
      </c>
      <c r="S5" s="180" t="s">
        <v>20</v>
      </c>
      <c r="T5" s="178" t="s">
        <v>453</v>
      </c>
      <c r="U5" s="180" t="str">
        <f>CompareVer</f>
        <v>LY</v>
      </c>
      <c r="V5" s="178" t="s">
        <v>453</v>
      </c>
      <c r="W5" s="180" t="str">
        <f>CompareVer</f>
        <v>LY</v>
      </c>
      <c r="X5" s="178" t="s">
        <v>453</v>
      </c>
      <c r="Y5" s="180" t="str">
        <f>CompareVer</f>
        <v>LY</v>
      </c>
      <c r="Z5" s="178" t="s">
        <v>453</v>
      </c>
      <c r="AA5" s="180" t="str">
        <f>CompareVer</f>
        <v>LY</v>
      </c>
      <c r="AD5"/>
    </row>
    <row r="6" spans="1:31" ht="15" x14ac:dyDescent="0.25">
      <c r="AD6"/>
    </row>
    <row r="7" spans="1:31" s="133" customFormat="1" x14ac:dyDescent="0.2">
      <c r="A7" s="123">
        <v>7</v>
      </c>
      <c r="B7" s="134" t="s">
        <v>365</v>
      </c>
      <c r="C7" s="135" t="s">
        <v>11</v>
      </c>
      <c r="D7" s="136">
        <f>SUMIF(rngLookup,6,rngSum)</f>
        <v>0</v>
      </c>
      <c r="E7" s="152">
        <f>SUMIF(rngLookup,6,rngSum)</f>
        <v>0</v>
      </c>
      <c r="F7" s="153">
        <f>IFERROR(D7/E7-1,0)</f>
        <v>0</v>
      </c>
      <c r="G7" s="156">
        <f>D7-(N7*X7)</f>
        <v>0</v>
      </c>
      <c r="H7" s="137">
        <f>IFERROR(E7-(O7*Y7),0)</f>
        <v>0</v>
      </c>
      <c r="I7" s="153">
        <f>IFERROR(G7/H7-1,0)</f>
        <v>0</v>
      </c>
      <c r="J7" s="160">
        <f t="shared" ref="J7" si="0">IFERROR(G7/D7,0)</f>
        <v>0</v>
      </c>
      <c r="K7" s="161">
        <f>IFERROR(H7/E7,0)</f>
        <v>0</v>
      </c>
      <c r="L7" s="163">
        <f>IFERROR(D7/N7,0)</f>
        <v>0</v>
      </c>
      <c r="M7" s="164">
        <f>IFERROR(E7/O7,0)</f>
        <v>0</v>
      </c>
      <c r="N7" s="169">
        <f>SUMIF(rngLookup,6,rngSum)</f>
        <v>0</v>
      </c>
      <c r="O7" s="140">
        <f>SUMIF(rngLookup,6,rngSum)</f>
        <v>0</v>
      </c>
      <c r="P7" s="153">
        <f>IFERROR(N7/O7-1,0)</f>
        <v>0</v>
      </c>
      <c r="Q7" s="169">
        <f>SUMIF(rngLookup,6,rngSum)</f>
        <v>0</v>
      </c>
      <c r="R7" s="140">
        <f>SUMIF(rngLookup,6,rngSum)</f>
        <v>0</v>
      </c>
      <c r="S7" s="153">
        <f>IFERROR(Q7/R7-1,0)</f>
        <v>0</v>
      </c>
      <c r="T7" s="171">
        <f>IFERROR(Q7/N7,0)</f>
        <v>0</v>
      </c>
      <c r="U7" s="172">
        <f>IFERROR(R7/O7,0)</f>
        <v>0</v>
      </c>
      <c r="V7" s="138">
        <f>IFERROR(N7/Q7,0)</f>
        <v>0</v>
      </c>
      <c r="W7" s="138">
        <f t="shared" ref="W7" si="1">IFERROR(O7/R7,0)</f>
        <v>0</v>
      </c>
      <c r="X7" s="139">
        <f>IF(N7&lt;&gt;0,AB7/N7,0)</f>
        <v>0</v>
      </c>
      <c r="Y7" s="164">
        <f>IF(O7&lt;&gt;0,AC7/O7,0)</f>
        <v>0</v>
      </c>
      <c r="Z7" s="163">
        <f>IF(Q7&lt;&gt;0,AD7/Q7,0)</f>
        <v>0</v>
      </c>
      <c r="AA7" s="164">
        <f>IF(R7&lt;&gt;0,AE7/R7,0)</f>
        <v>0</v>
      </c>
      <c r="AB7" s="136">
        <f>SUMIF(rngLookup,6,rngSum)</f>
        <v>0</v>
      </c>
      <c r="AC7" s="136">
        <f>SUMIF(rngLookup,6,rngSum)</f>
        <v>0</v>
      </c>
      <c r="AD7" s="136">
        <f>SUMIF(rngLookup,6,rngSum)</f>
        <v>0</v>
      </c>
      <c r="AE7" s="136">
        <f>SUMIF(rngLookup,6,rngSum)</f>
        <v>0</v>
      </c>
    </row>
    <row r="8" spans="1:31" ht="15" x14ac:dyDescent="0.25">
      <c r="AD8"/>
    </row>
    <row r="9" spans="1:31" s="133" customFormat="1" x14ac:dyDescent="0.2">
      <c r="A9" s="123">
        <v>6</v>
      </c>
      <c r="B9" s="134" t="s">
        <v>365</v>
      </c>
      <c r="C9" s="135" t="s">
        <v>11</v>
      </c>
      <c r="D9" s="136">
        <f>SUMIF(rngLookup,$C9,rngSum)</f>
        <v>0</v>
      </c>
      <c r="E9" s="152">
        <f>SUMIF(rngLookup,$C9,rngSum)</f>
        <v>0</v>
      </c>
      <c r="F9" s="153">
        <f>IFERROR(D9/E9-1,0)</f>
        <v>0</v>
      </c>
      <c r="G9" s="156">
        <f>D9-(N9*X9)</f>
        <v>0</v>
      </c>
      <c r="H9" s="137">
        <f>IFERROR(E9-(O9*Y9),0)</f>
        <v>0</v>
      </c>
      <c r="I9" s="153">
        <f>IFERROR(G9/H9-1,0)</f>
        <v>0</v>
      </c>
      <c r="J9" s="160">
        <f t="shared" ref="J9" si="2">IFERROR(G9/D9,0)</f>
        <v>0</v>
      </c>
      <c r="K9" s="161">
        <f>IFERROR(H9/E9,0)</f>
        <v>0</v>
      </c>
      <c r="L9" s="163">
        <f>IFERROR(D9/N9,0)</f>
        <v>0</v>
      </c>
      <c r="M9" s="164">
        <f>IFERROR(E9/O9,0)</f>
        <v>0</v>
      </c>
      <c r="N9" s="169">
        <f>SUMIF(rngLookup,$C9,rngSum)</f>
        <v>0</v>
      </c>
      <c r="O9" s="140">
        <f>SUMIF(rngLookup,$C9,rngSum)</f>
        <v>0</v>
      </c>
      <c r="P9" s="153">
        <f>IFERROR(N9/O9-1,0)</f>
        <v>0</v>
      </c>
      <c r="Q9" s="169">
        <f>SUMIF(rngLookup,$C9,rngSum)</f>
        <v>0</v>
      </c>
      <c r="R9" s="140">
        <f>SUMIF(rngLookup,$C9,rngSum)</f>
        <v>0</v>
      </c>
      <c r="S9" s="153">
        <f>IFERROR(Q9/R9-1,0)</f>
        <v>0</v>
      </c>
      <c r="T9" s="171">
        <f>IFERROR(Q9/N9,0)</f>
        <v>0</v>
      </c>
      <c r="U9" s="172">
        <f>IFERROR(R9/O9,0)</f>
        <v>0</v>
      </c>
      <c r="V9" s="138">
        <f>IFERROR(N9/Q9,0)</f>
        <v>0</v>
      </c>
      <c r="W9" s="138">
        <f t="shared" ref="W9" si="3">IFERROR(O9/R9,0)</f>
        <v>0</v>
      </c>
      <c r="X9" s="139">
        <f>IF(N9&lt;&gt;0,AB9/N9,0)</f>
        <v>0</v>
      </c>
      <c r="Y9" s="164">
        <f>IF(O9&lt;&gt;0,AC9/O9,0)</f>
        <v>0</v>
      </c>
      <c r="Z9" s="163">
        <f>IF(Q9&lt;&gt;0,AD9/Q9,0)</f>
        <v>0</v>
      </c>
      <c r="AA9" s="164">
        <f>IF(R9&lt;&gt;0,AE9/R9,0)</f>
        <v>0</v>
      </c>
      <c r="AB9" s="139">
        <f>SUMIF(rngLookup,$C9,rngSum)</f>
        <v>0</v>
      </c>
      <c r="AC9" s="139">
        <f>SUMIF(rngLookup,$C9,rngSum)</f>
        <v>0</v>
      </c>
      <c r="AD9" s="139">
        <f>SUMIF(rngLookup,$C9,rngSum)</f>
        <v>0</v>
      </c>
      <c r="AE9" s="139">
        <f>SUMIF(rngLookup,$C9,rngSum)</f>
        <v>0</v>
      </c>
    </row>
    <row r="10" spans="1:31" x14ac:dyDescent="0.2">
      <c r="D10" s="132"/>
      <c r="E10" s="132"/>
      <c r="F10" s="154"/>
      <c r="G10" s="157"/>
      <c r="H10" s="132"/>
      <c r="I10" s="154"/>
      <c r="J10" s="157"/>
      <c r="K10" s="154"/>
      <c r="L10" s="157"/>
      <c r="M10" s="154"/>
      <c r="N10" s="157"/>
      <c r="O10" s="132"/>
      <c r="P10" s="154"/>
      <c r="Q10" s="157"/>
      <c r="R10" s="132"/>
      <c r="S10" s="154"/>
      <c r="T10" s="157"/>
      <c r="U10" s="154"/>
      <c r="V10" s="145"/>
      <c r="W10" s="145"/>
      <c r="X10" s="132"/>
      <c r="Y10" s="154"/>
      <c r="Z10" s="157"/>
      <c r="AA10" s="154"/>
    </row>
    <row r="11" spans="1:31" ht="15" x14ac:dyDescent="0.25">
      <c r="A11" s="123">
        <v>6</v>
      </c>
      <c r="B11" s="141" t="s">
        <v>5</v>
      </c>
      <c r="C11" s="142" t="s">
        <v>5</v>
      </c>
      <c r="D11" s="143">
        <f ca="1">SUMIFS(OFFSET(tblSourceData,,D$1,,1),OFFSET(tblSourceData,,7,,1),$B11,OFFSET(tblSourceData,,,,1),FiscalYr)</f>
        <v>0</v>
      </c>
      <c r="E11" s="144">
        <f ca="1">SUMIFS(OFFSET(tblSourceData,,E$1,,1),OFFSET(tblSourceData,,7,,1),$B11,OFFSET(tblSourceData,,8,,1),E$2,OFFSET(tblSourceData,,,,1),FiscalYr-1)</f>
        <v>0</v>
      </c>
      <c r="F11" s="155">
        <f ca="1">IFERROR(D11/E11-1,0)</f>
        <v>0</v>
      </c>
      <c r="G11" s="186">
        <f ca="1">IFERROR(D11-(N11*X11),0)</f>
        <v>0</v>
      </c>
      <c r="H11" s="186">
        <f ca="1">IFERROR(E11-(O11*Y11),0)</f>
        <v>0</v>
      </c>
      <c r="I11" s="159">
        <f ca="1">IFERROR(G11/H11-1,0)</f>
        <v>0</v>
      </c>
      <c r="J11" s="162">
        <f t="shared" ref="J11" ca="1" si="4">IFERROR(G11/D11,0)</f>
        <v>0</v>
      </c>
      <c r="K11" s="159">
        <f ca="1">IFERROR(H11/E11,0)</f>
        <v>0</v>
      </c>
      <c r="L11" s="165">
        <f ca="1">IFERROR(D11/N11,0)</f>
        <v>0</v>
      </c>
      <c r="M11" s="166">
        <f ca="1">IFERROR(E11/O11,0)</f>
        <v>0</v>
      </c>
      <c r="N11" s="170">
        <f ca="1">SUMIFS(OFFSET(tblSourceData,,N$1,,1),OFFSET(tblSourceData,,7,,1),$B11,OFFSET(tblSourceData,,,,1),FiscalYr)</f>
        <v>0</v>
      </c>
      <c r="O11" s="147">
        <f ca="1">SUMIFS(OFFSET(tblSourceData,,O$1,,1),OFFSET(tblSourceData,,7,,1),$B11,OFFSET(tblSourceData,,8,,1),O$2,OFFSET(tblSourceData,,,,1),FiscalYr-1)</f>
        <v>0</v>
      </c>
      <c r="P11" s="155">
        <f ca="1">IFERROR(N11/O11-1,0)</f>
        <v>0</v>
      </c>
      <c r="Q11" s="170">
        <f ca="1">SUMIFS(OFFSET(tblSourceData,,Q$1,,1),OFFSET(tblSourceData,,7,,1),$B11,OFFSET(tblSourceData,,,,1),FiscalYr)</f>
        <v>0</v>
      </c>
      <c r="R11" s="147">
        <f ca="1">SUMIFS(OFFSET(tblSourceData,,R$1,,1),OFFSET(tblSourceData,,7,,1),$B11,OFFSET(tblSourceData,,8,,1),R$2,OFFSET(tblSourceData,,,,1),FiscalYr-1)</f>
        <v>0</v>
      </c>
      <c r="S11" s="155">
        <f ca="1">IFERROR(Q11/R11-1,0)</f>
        <v>0</v>
      </c>
      <c r="T11" s="173">
        <f ca="1">IFERROR(Q11/N11,0)</f>
        <v>0</v>
      </c>
      <c r="U11" s="174">
        <f ca="1">IFERROR(R11/O11,0)</f>
        <v>0</v>
      </c>
      <c r="V11" s="145">
        <f t="shared" ref="V11:V13" ca="1" si="5">IFERROR(N11/Q11,0)</f>
        <v>0</v>
      </c>
      <c r="W11" s="145">
        <f t="shared" ref="W11:W13" ca="1" si="6">IFERROR(O11/R11,0)</f>
        <v>0</v>
      </c>
      <c r="X11" s="146">
        <f ca="1">IF(N11&lt;&gt;0,AB11/N11,0)</f>
        <v>0</v>
      </c>
      <c r="Y11" s="166">
        <f ca="1">IF(O11&lt;&gt;0,AC11/O11,0)</f>
        <v>0</v>
      </c>
      <c r="Z11" s="165">
        <f ca="1">IF(Q11&lt;&gt;0,AD11/Q11,0)</f>
        <v>0</v>
      </c>
      <c r="AA11" s="166">
        <f ca="1">IF(R11&lt;&gt;0,AE11/R11,0)</f>
        <v>0</v>
      </c>
      <c r="AB11" s="106">
        <f ca="1">SUMIFS(OFFSET(tblSourceData,,AB$1,,1),OFFSET(tblSourceData,,7,,1),$B11,OFFSET(tblSourceData,,,,1),FiscalYr)</f>
        <v>0</v>
      </c>
      <c r="AC11" s="106">
        <f ca="1">SUMIFS(OFFSET(tblSourceData,,AC$1,,1),OFFSET(tblSourceData,,7,,1),$B11,OFFSET(tblSourceData,,,,1),FiscalYr)</f>
        <v>0</v>
      </c>
      <c r="AD11" s="106">
        <f ca="1">SUMIFS(OFFSET(tblSourceData,,AD$1,,1),OFFSET(tblSourceData,,7,,1),$B11,OFFSET(tblSourceData,,,,1),FiscalYr)</f>
        <v>0</v>
      </c>
      <c r="AE11" s="106">
        <f ca="1">SUMIFS(OFFSET(tblSourceData,,AE$1,,1),OFFSET(tblSourceData,,7,,1),$B11,OFFSET(tblSourceData,,,,1),FiscalYr)</f>
        <v>0</v>
      </c>
    </row>
    <row r="12" spans="1:31" ht="15" x14ac:dyDescent="0.25">
      <c r="A12" s="123"/>
      <c r="B12" s="123"/>
      <c r="D12" s="132"/>
      <c r="E12" s="132"/>
      <c r="F12" s="154"/>
      <c r="G12" s="157"/>
      <c r="H12" s="132"/>
      <c r="I12" s="154"/>
      <c r="J12" s="157"/>
      <c r="K12" s="154"/>
      <c r="L12" s="167"/>
      <c r="M12" s="168"/>
      <c r="N12" s="157"/>
      <c r="O12" s="132"/>
      <c r="P12" s="154"/>
      <c r="Q12" s="157"/>
      <c r="R12" s="132"/>
      <c r="S12" s="154"/>
      <c r="T12" s="157"/>
      <c r="U12" s="154"/>
      <c r="V12" s="145"/>
      <c r="W12" s="145"/>
      <c r="X12" s="132"/>
      <c r="Y12" s="154"/>
      <c r="Z12" s="157"/>
      <c r="AA12" s="154"/>
      <c r="AD12"/>
    </row>
    <row r="13" spans="1:31" x14ac:dyDescent="0.2">
      <c r="A13" s="123">
        <v>7</v>
      </c>
      <c r="B13" s="141" t="s">
        <v>181</v>
      </c>
      <c r="C13" s="142" t="s">
        <v>181</v>
      </c>
      <c r="D13" s="143">
        <f ca="1">SUMIFS(OFFSET(tblSourceData,,D$1,,1),OFFSET(tblSourceData,,$A13,,1),$B13,OFFSET(tblSourceData,,8,,1),D$2)</f>
        <v>405578.5</v>
      </c>
      <c r="E13" s="144">
        <f ca="1">SUMIFS(OFFSET(tblSourceData,,E$1,,1),OFFSET(tblSourceData,,$A13,,1),$B13,OFFSET(tblSourceData,,8,,1),E$2)</f>
        <v>1871108.2283999999</v>
      </c>
      <c r="F13" s="155">
        <f ca="1">IFERROR(D13/E13-1,0)</f>
        <v>-0.78324156035227666</v>
      </c>
      <c r="G13" s="158">
        <f ca="1">D13-(N13*X13)</f>
        <v>405578.5</v>
      </c>
      <c r="H13" s="137">
        <f ca="1">IFERROR(E13-(O13*Y13),0)</f>
        <v>1871108.2283999999</v>
      </c>
      <c r="I13" s="159">
        <f ca="1">IFERROR(G13/H13-1,0)</f>
        <v>-0.78324156035227666</v>
      </c>
      <c r="J13" s="162">
        <f t="shared" ref="J13" ca="1" si="7">IFERROR(G13/D13,0)</f>
        <v>1</v>
      </c>
      <c r="K13" s="159">
        <f ca="1">IFERROR(H13/E13,0)</f>
        <v>1</v>
      </c>
      <c r="L13" s="165">
        <f ca="1">IFERROR(D13/N13,0)</f>
        <v>5.8372576675637946</v>
      </c>
      <c r="M13" s="166">
        <f ca="1">IFERROR(E13/O13,0)</f>
        <v>6.6701419806074433</v>
      </c>
      <c r="N13" s="170">
        <f ca="1">SUMIFS(OFFSET(tblSourceData,,N$1,,1),OFFSET(tblSourceData,,$A13,,1),$B13,OFFSET(tblSourceData,,8,,1),N$2)</f>
        <v>69481</v>
      </c>
      <c r="O13" s="147">
        <f ca="1">SUMIFS(OFFSET(tblSourceData,,O$1,,1),OFFSET(tblSourceData,,$A13,,1),$B13,OFFSET(tblSourceData,,8,,1),O$2)</f>
        <v>280520</v>
      </c>
      <c r="P13" s="155">
        <f ca="1">IFERROR(N13/O13-1,0)</f>
        <v>-0.7523135605304434</v>
      </c>
      <c r="Q13" s="170">
        <f ca="1">SUMIFS(OFFSET(tblSourceData,,Q$1,,1),OFFSET(tblSourceData,,$A13,,1),$B13,OFFSET(tblSourceData,,8,,1),Q$2)</f>
        <v>0</v>
      </c>
      <c r="R13" s="147">
        <f ca="1">SUMIFS(OFFSET(tblSourceData,,R$1,,1),OFFSET(tblSourceData,,$A13,,1),$B13,OFFSET(tblSourceData,,8,,1),R$2)</f>
        <v>92620</v>
      </c>
      <c r="S13" s="155">
        <f ca="1">IFERROR(Q13/R13-1,0)</f>
        <v>-1</v>
      </c>
      <c r="T13" s="173">
        <f ca="1">IFERROR(Q13/N13,0)</f>
        <v>0</v>
      </c>
      <c r="U13" s="174">
        <f ca="1">IFERROR(R13/O13,0)</f>
        <v>0.33017253671752461</v>
      </c>
      <c r="V13" s="145">
        <f t="shared" ca="1" si="5"/>
        <v>0</v>
      </c>
      <c r="W13" s="145">
        <f t="shared" ca="1" si="6"/>
        <v>3.0287194990282877</v>
      </c>
      <c r="X13" s="146">
        <f ca="1">IF($N13&lt;&gt;0,SUMIFS(OFFSET(tblSourceData,,X$1,,1),OFFSET(tblSourceData,,$A13,,1),$B13,OFFSET(tblSourceData,,8,,1),X$2)/$N13,0)</f>
        <v>0</v>
      </c>
      <c r="Y13" s="166">
        <f ca="1">IF($O13&lt;&gt;0,SUMIFS(OFFSET(tblSourceData,,Y$1,,1),OFFSET(tblSourceData,,$A13,,1),$B13,OFFSET(tblSourceData,,8,,1),Y$2)/$O13,0)</f>
        <v>0</v>
      </c>
      <c r="Z13" s="165">
        <f ca="1">IF($N13&lt;&gt;0,SUMIFS(OFFSET(tblSourceData,,Z$1,,1),OFFSET(tblSourceData,,$A13,,1),$B13,OFFSET(tblSourceData,,8,,1),Z$2)/$N13,0)</f>
        <v>0</v>
      </c>
      <c r="AA13" s="166">
        <f ca="1">IF($O13&lt;&gt;0,SUMIFS(OFFSET(tblSourceData,,AA$1,,1),OFFSET(tblSourceData,,$A13,,1),$B13,OFFSET(tblSourceData,,8,,1),AA$2)/$O13,0)</f>
        <v>0</v>
      </c>
    </row>
    <row r="17" spans="2:2" x14ac:dyDescent="0.2">
      <c r="B17" s="197" t="s">
        <v>455</v>
      </c>
    </row>
    <row r="18" spans="2:2" x14ac:dyDescent="0.2">
      <c r="B18" s="197" t="s">
        <v>454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70"/>
  <sheetViews>
    <sheetView zoomScale="80" zoomScaleNormal="80" workbookViewId="0">
      <selection activeCell="D169" sqref="D169"/>
    </sheetView>
  </sheetViews>
  <sheetFormatPr defaultRowHeight="15" x14ac:dyDescent="0.25"/>
  <cols>
    <col min="1" max="1" width="19.4257812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8" customFormat="1" x14ac:dyDescent="0.25">
      <c r="A1" s="189" t="s">
        <v>422</v>
      </c>
      <c r="B1" s="189" t="s">
        <v>358</v>
      </c>
      <c r="C1" s="189" t="s">
        <v>393</v>
      </c>
      <c r="D1" s="189" t="s">
        <v>424</v>
      </c>
      <c r="E1" s="189" t="s">
        <v>359</v>
      </c>
      <c r="F1" s="189" t="s">
        <v>361</v>
      </c>
      <c r="G1" s="189" t="s">
        <v>360</v>
      </c>
      <c r="H1" s="189" t="s">
        <v>362</v>
      </c>
      <c r="I1" s="189" t="s">
        <v>363</v>
      </c>
      <c r="J1" s="189" t="s">
        <v>459</v>
      </c>
    </row>
    <row r="2" spans="1:10" x14ac:dyDescent="0.25">
      <c r="A2" t="str">
        <f>I2&amp;B2&amp;C2&amp;D2</f>
        <v>GY 17 BTS201811</v>
      </c>
      <c r="B2">
        <v>2018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54</v>
      </c>
      <c r="I2" t="s">
        <v>397</v>
      </c>
      <c r="J2">
        <v>28320</v>
      </c>
    </row>
    <row r="3" spans="1:10" x14ac:dyDescent="0.25">
      <c r="A3" t="str">
        <f>I3&amp;B3&amp;C3&amp;D3</f>
        <v>GY 17 CAP201811</v>
      </c>
      <c r="B3">
        <v>2018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404</v>
      </c>
      <c r="J3">
        <v>1676</v>
      </c>
    </row>
    <row r="4" spans="1:10" x14ac:dyDescent="0.25">
      <c r="A4" t="str">
        <f>I4&amp;B4&amp;C4&amp;D4</f>
        <v>GY 17 DRSY CAP201811</v>
      </c>
      <c r="B4">
        <v>2018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5</v>
      </c>
      <c r="I4" t="s">
        <v>186</v>
      </c>
      <c r="J4">
        <v>6069</v>
      </c>
    </row>
    <row r="5" spans="1:10" x14ac:dyDescent="0.25">
      <c r="A5" t="str">
        <f>I5&amp;B5&amp;C5&amp;D5</f>
        <v>GY 17 FAL201811</v>
      </c>
      <c r="B5">
        <v>2018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54</v>
      </c>
      <c r="I5" t="s">
        <v>398</v>
      </c>
      <c r="J5">
        <v>199874</v>
      </c>
    </row>
    <row r="6" spans="1:10" x14ac:dyDescent="0.25">
      <c r="A6" t="str">
        <f>I6&amp;B6&amp;C6&amp;D6</f>
        <v>GY 17 FALL 1201811</v>
      </c>
      <c r="B6">
        <v>2018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54</v>
      </c>
      <c r="I6" t="s">
        <v>399</v>
      </c>
      <c r="J6">
        <v>59329</v>
      </c>
    </row>
    <row r="7" spans="1:10" x14ac:dyDescent="0.25">
      <c r="A7" t="str">
        <f>I7&amp;B7&amp;C7&amp;D7</f>
        <v>GY 17 FALL 2201811</v>
      </c>
      <c r="B7">
        <v>2018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54</v>
      </c>
      <c r="I7" t="s">
        <v>400</v>
      </c>
      <c r="J7">
        <v>275525</v>
      </c>
    </row>
    <row r="8" spans="1:10" x14ac:dyDescent="0.25">
      <c r="A8" t="str">
        <f>I8&amp;B8&amp;C8&amp;D8</f>
        <v>GY 17 FALL 3201811</v>
      </c>
      <c r="B8">
        <v>2018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54</v>
      </c>
      <c r="I8" t="s">
        <v>401</v>
      </c>
      <c r="J8" s="9">
        <v>368491</v>
      </c>
    </row>
    <row r="9" spans="1:10" x14ac:dyDescent="0.25">
      <c r="A9" t="str">
        <f>I9&amp;B9&amp;C9&amp;D9</f>
        <v>GY 17 FALL 4201811</v>
      </c>
      <c r="B9">
        <v>2018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54</v>
      </c>
      <c r="I9" t="s">
        <v>402</v>
      </c>
      <c r="J9">
        <v>228712</v>
      </c>
    </row>
    <row r="10" spans="1:10" x14ac:dyDescent="0.25">
      <c r="A10" t="str">
        <f>I10&amp;B10&amp;C10&amp;D10</f>
        <v>GY 17 FALL BASICS201811</v>
      </c>
      <c r="B10">
        <v>2018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10</v>
      </c>
      <c r="I10" t="s">
        <v>176</v>
      </c>
      <c r="J10">
        <v>121531</v>
      </c>
    </row>
    <row r="11" spans="1:10" x14ac:dyDescent="0.25">
      <c r="A11" t="str">
        <f>I11&amp;B11&amp;C11&amp;D11</f>
        <v>GY 17 HO HO SHOP201811</v>
      </c>
      <c r="B11">
        <v>2018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54</v>
      </c>
      <c r="I11" t="s">
        <v>405</v>
      </c>
      <c r="J11">
        <v>375805</v>
      </c>
    </row>
    <row r="12" spans="1:10" x14ac:dyDescent="0.25">
      <c r="A12" t="str">
        <f>I12&amp;B12&amp;C12&amp;D12</f>
        <v>GY 17 HOL201811</v>
      </c>
      <c r="B12">
        <v>2018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8</v>
      </c>
      <c r="I12" t="s">
        <v>406</v>
      </c>
      <c r="J12">
        <v>142339</v>
      </c>
    </row>
    <row r="13" spans="1:10" x14ac:dyDescent="0.25">
      <c r="A13" t="str">
        <f>I13&amp;B13&amp;C13&amp;D13</f>
        <v>GY 17 JAN CAP201811</v>
      </c>
      <c r="B13">
        <v>2018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8</v>
      </c>
      <c r="I13" t="s">
        <v>407</v>
      </c>
      <c r="J13">
        <v>2476</v>
      </c>
    </row>
    <row r="14" spans="1:10" x14ac:dyDescent="0.25">
      <c r="A14" t="str">
        <f>I14&amp;B14&amp;C14&amp;D14</f>
        <v>GY 17 SM2201811</v>
      </c>
      <c r="B14">
        <v>2018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194</v>
      </c>
      <c r="J14">
        <v>3524</v>
      </c>
    </row>
    <row r="15" spans="1:10" x14ac:dyDescent="0.25">
      <c r="A15" t="str">
        <f>I15&amp;B15&amp;C15&amp;D15</f>
        <v>GY 17 SM3201811</v>
      </c>
      <c r="B15">
        <v>2018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6</v>
      </c>
      <c r="I15" t="s">
        <v>196</v>
      </c>
      <c r="J15">
        <v>4428</v>
      </c>
    </row>
    <row r="16" spans="1:10" x14ac:dyDescent="0.25">
      <c r="A16" t="str">
        <f>I16&amp;B16&amp;C16&amp;D16</f>
        <v>GY 17 SM4201811</v>
      </c>
      <c r="B16">
        <v>2018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200</v>
      </c>
      <c r="J16">
        <v>4734</v>
      </c>
    </row>
    <row r="17" spans="1:10" x14ac:dyDescent="0.25">
      <c r="A17" t="str">
        <f>I17&amp;B17&amp;C17&amp;D17</f>
        <v>GY 17 SMR201811</v>
      </c>
      <c r="B17">
        <v>2018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204</v>
      </c>
      <c r="J17">
        <v>13751</v>
      </c>
    </row>
    <row r="18" spans="1:10" x14ac:dyDescent="0.25">
      <c r="A18" t="str">
        <f>I18&amp;B18&amp;C18&amp;D18</f>
        <v>GY 17 SPR201811</v>
      </c>
      <c r="B18">
        <v>2018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178</v>
      </c>
      <c r="J18">
        <v>3798</v>
      </c>
    </row>
    <row r="19" spans="1:10" x14ac:dyDescent="0.25">
      <c r="A19" t="str">
        <f>I19&amp;B19&amp;C19&amp;D19</f>
        <v>GY 17 SPR 1201811</v>
      </c>
      <c r="B19">
        <v>2018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</v>
      </c>
      <c r="I19" t="s">
        <v>180</v>
      </c>
      <c r="J19">
        <v>2623</v>
      </c>
    </row>
    <row r="20" spans="1:10" x14ac:dyDescent="0.25">
      <c r="A20" t="str">
        <f>I20&amp;B20&amp;C20&amp;D20</f>
        <v>GY 17 SPR 2201811</v>
      </c>
      <c r="B20">
        <v>2018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</v>
      </c>
      <c r="I20" t="s">
        <v>182</v>
      </c>
      <c r="J20">
        <v>1396</v>
      </c>
    </row>
    <row r="21" spans="1:10" x14ac:dyDescent="0.25">
      <c r="A21" t="str">
        <f>I21&amp;B21&amp;C21&amp;D21</f>
        <v>GY 17 SPR TRANS201811</v>
      </c>
      <c r="B21">
        <v>2018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403</v>
      </c>
      <c r="J21">
        <v>166072</v>
      </c>
    </row>
    <row r="22" spans="1:10" x14ac:dyDescent="0.25">
      <c r="A22" t="str">
        <f>I22&amp;B22&amp;C22&amp;D22</f>
        <v>GY 17 SPR VAC201811</v>
      </c>
      <c r="B22">
        <v>2018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5</v>
      </c>
      <c r="I22" t="s">
        <v>188</v>
      </c>
      <c r="J22">
        <v>1525</v>
      </c>
    </row>
    <row r="23" spans="1:10" x14ac:dyDescent="0.25">
      <c r="A23" t="str">
        <f>I23&amp;B23&amp;C23&amp;D23</f>
        <v>GY 17 SPRING BASICS201811</v>
      </c>
      <c r="B23">
        <v>2018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10</v>
      </c>
      <c r="I23" t="s">
        <v>174</v>
      </c>
      <c r="J23">
        <v>23319</v>
      </c>
    </row>
    <row r="24" spans="1:10" x14ac:dyDescent="0.25">
      <c r="A24" t="str">
        <f>I24&amp;B24&amp;C24&amp;D24</f>
        <v>GY 17 SUM 1201811</v>
      </c>
      <c r="B24">
        <v>2018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5</v>
      </c>
      <c r="I24" t="s">
        <v>190</v>
      </c>
      <c r="J24">
        <v>2951</v>
      </c>
    </row>
    <row r="25" spans="1:10" x14ac:dyDescent="0.25">
      <c r="A25" t="str">
        <f>I25&amp;B25&amp;C25&amp;D25</f>
        <v>GY 17 SWIM 1201811</v>
      </c>
      <c r="B25">
        <v>2018</v>
      </c>
      <c r="C25">
        <v>1</v>
      </c>
      <c r="D25">
        <v>1</v>
      </c>
      <c r="E25" t="s">
        <v>99</v>
      </c>
      <c r="F25" t="s">
        <v>84</v>
      </c>
      <c r="G25" t="s">
        <v>29</v>
      </c>
      <c r="H25" t="s">
        <v>5</v>
      </c>
      <c r="I25" t="s">
        <v>184</v>
      </c>
      <c r="J25">
        <v>509</v>
      </c>
    </row>
    <row r="26" spans="1:10" x14ac:dyDescent="0.25">
      <c r="A26" t="str">
        <f>I26&amp;B26&amp;C26&amp;D26</f>
        <v>GY 17 SWIM 2201811</v>
      </c>
      <c r="B26">
        <v>2018</v>
      </c>
      <c r="C26">
        <v>1</v>
      </c>
      <c r="D26">
        <v>1</v>
      </c>
      <c r="E26" t="s">
        <v>99</v>
      </c>
      <c r="F26" t="s">
        <v>84</v>
      </c>
      <c r="G26" t="s">
        <v>29</v>
      </c>
      <c r="H26" t="s">
        <v>5</v>
      </c>
      <c r="I26" t="s">
        <v>192</v>
      </c>
      <c r="J26">
        <v>1077</v>
      </c>
    </row>
    <row r="27" spans="1:10" x14ac:dyDescent="0.25">
      <c r="A27" t="str">
        <f>I27&amp;B27&amp;C27&amp;D27</f>
        <v>GY 17 SWIM 3201811</v>
      </c>
      <c r="B27">
        <v>2018</v>
      </c>
      <c r="C27">
        <v>1</v>
      </c>
      <c r="D27">
        <v>1</v>
      </c>
      <c r="E27" t="s">
        <v>99</v>
      </c>
      <c r="F27" t="s">
        <v>84</v>
      </c>
      <c r="G27" t="s">
        <v>29</v>
      </c>
      <c r="H27" t="s">
        <v>6</v>
      </c>
      <c r="I27" t="s">
        <v>198</v>
      </c>
      <c r="J27">
        <v>620</v>
      </c>
    </row>
    <row r="28" spans="1:10" x14ac:dyDescent="0.25">
      <c r="A28" t="str">
        <f>I28&amp;B28&amp;C28&amp;D28</f>
        <v>GY 17 TRANS201811</v>
      </c>
      <c r="B28">
        <v>2018</v>
      </c>
      <c r="C28">
        <v>1</v>
      </c>
      <c r="D28">
        <v>1</v>
      </c>
      <c r="E28" t="s">
        <v>99</v>
      </c>
      <c r="F28" t="s">
        <v>84</v>
      </c>
      <c r="G28" t="s">
        <v>29</v>
      </c>
      <c r="H28" t="s">
        <v>6</v>
      </c>
      <c r="I28" t="s">
        <v>202</v>
      </c>
      <c r="J28">
        <v>17964</v>
      </c>
    </row>
    <row r="29" spans="1:10" x14ac:dyDescent="0.25">
      <c r="A29" t="str">
        <f>I29&amp;B29&amp;C29&amp;D29</f>
        <v>GY 17 WINTER 1201811</v>
      </c>
      <c r="B29">
        <v>2018</v>
      </c>
      <c r="C29">
        <v>1</v>
      </c>
      <c r="D29">
        <v>1</v>
      </c>
      <c r="E29" t="s">
        <v>99</v>
      </c>
      <c r="F29" t="s">
        <v>84</v>
      </c>
      <c r="G29" t="s">
        <v>29</v>
      </c>
      <c r="H29" t="s">
        <v>8</v>
      </c>
      <c r="I29" t="s">
        <v>408</v>
      </c>
      <c r="J29">
        <v>87888</v>
      </c>
    </row>
    <row r="30" spans="1:10" x14ac:dyDescent="0.25">
      <c r="A30" t="str">
        <f>I30&amp;B30&amp;C30&amp;D30</f>
        <v>GY 17 WINTER 2201811</v>
      </c>
      <c r="B30">
        <v>2018</v>
      </c>
      <c r="C30">
        <v>1</v>
      </c>
      <c r="D30">
        <v>1</v>
      </c>
      <c r="E30" t="s">
        <v>99</v>
      </c>
      <c r="F30" t="s">
        <v>84</v>
      </c>
      <c r="G30" t="s">
        <v>29</v>
      </c>
      <c r="H30" t="s">
        <v>8</v>
      </c>
      <c r="I30" t="s">
        <v>409</v>
      </c>
      <c r="J30">
        <v>144563</v>
      </c>
    </row>
    <row r="31" spans="1:10" x14ac:dyDescent="0.25">
      <c r="A31" t="str">
        <f>I31&amp;B31&amp;C31&amp;D31</f>
        <v>GY 17 WINTER 3201811</v>
      </c>
      <c r="B31">
        <v>2018</v>
      </c>
      <c r="C31">
        <v>1</v>
      </c>
      <c r="D31">
        <v>1</v>
      </c>
      <c r="E31" t="s">
        <v>99</v>
      </c>
      <c r="F31" t="s">
        <v>84</v>
      </c>
      <c r="G31" t="s">
        <v>29</v>
      </c>
      <c r="H31" t="s">
        <v>8</v>
      </c>
      <c r="I31" t="s">
        <v>410</v>
      </c>
      <c r="J31">
        <v>105950</v>
      </c>
    </row>
    <row r="32" spans="1:10" x14ac:dyDescent="0.25">
      <c r="A32" t="str">
        <f>I32&amp;B32&amp;C32&amp;D32</f>
        <v>GY 18 BTS201811</v>
      </c>
      <c r="B32">
        <v>2018</v>
      </c>
      <c r="C32">
        <v>1</v>
      </c>
      <c r="D32">
        <v>1</v>
      </c>
      <c r="E32" t="s">
        <v>99</v>
      </c>
      <c r="F32" t="s">
        <v>84</v>
      </c>
      <c r="G32" t="s">
        <v>29</v>
      </c>
      <c r="H32" t="s">
        <v>54</v>
      </c>
      <c r="I32" t="s">
        <v>428</v>
      </c>
      <c r="J32">
        <v>0</v>
      </c>
    </row>
    <row r="33" spans="1:10" x14ac:dyDescent="0.25">
      <c r="A33" t="str">
        <f>I33&amp;B33&amp;C33&amp;D33</f>
        <v>GY 18 FAL201811</v>
      </c>
      <c r="B33">
        <v>2018</v>
      </c>
      <c r="C33">
        <v>1</v>
      </c>
      <c r="D33">
        <v>1</v>
      </c>
      <c r="E33" t="s">
        <v>99</v>
      </c>
      <c r="F33" t="s">
        <v>84</v>
      </c>
      <c r="G33" t="s">
        <v>29</v>
      </c>
      <c r="H33" t="s">
        <v>54</v>
      </c>
      <c r="I33" t="s">
        <v>427</v>
      </c>
      <c r="J33">
        <v>-1</v>
      </c>
    </row>
    <row r="34" spans="1:10" x14ac:dyDescent="0.25">
      <c r="A34" t="str">
        <f>I34&amp;B34&amp;C34&amp;D34</f>
        <v>GY 18 FALL 1201811</v>
      </c>
      <c r="B34">
        <v>2018</v>
      </c>
      <c r="C34">
        <v>1</v>
      </c>
      <c r="D34">
        <v>1</v>
      </c>
      <c r="E34" t="s">
        <v>99</v>
      </c>
      <c r="F34" t="s">
        <v>84</v>
      </c>
      <c r="G34" t="s">
        <v>29</v>
      </c>
      <c r="H34" t="s">
        <v>54</v>
      </c>
      <c r="I34" t="s">
        <v>429</v>
      </c>
      <c r="J34">
        <v>-2</v>
      </c>
    </row>
    <row r="35" spans="1:10" x14ac:dyDescent="0.25">
      <c r="A35" t="str">
        <f>I35&amp;B35&amp;C35&amp;D35</f>
        <v>GY 18 FALL 2201811</v>
      </c>
      <c r="B35">
        <v>2018</v>
      </c>
      <c r="C35">
        <v>1</v>
      </c>
      <c r="D35">
        <v>1</v>
      </c>
      <c r="E35" t="s">
        <v>99</v>
      </c>
      <c r="F35" t="s">
        <v>84</v>
      </c>
      <c r="G35" t="s">
        <v>29</v>
      </c>
      <c r="H35" t="s">
        <v>54</v>
      </c>
      <c r="I35" t="s">
        <v>430</v>
      </c>
      <c r="J35">
        <v>0</v>
      </c>
    </row>
    <row r="36" spans="1:10" x14ac:dyDescent="0.25">
      <c r="A36" t="str">
        <f>I36&amp;B36&amp;C36&amp;D36</f>
        <v>GY 18 FALL BASICS201811</v>
      </c>
      <c r="B36">
        <v>2018</v>
      </c>
      <c r="C36">
        <v>1</v>
      </c>
      <c r="D36">
        <v>1</v>
      </c>
      <c r="E36" t="s">
        <v>99</v>
      </c>
      <c r="F36" t="s">
        <v>84</v>
      </c>
      <c r="G36" t="s">
        <v>29</v>
      </c>
      <c r="H36" t="s">
        <v>10</v>
      </c>
      <c r="I36" t="s">
        <v>175</v>
      </c>
      <c r="J36">
        <v>0</v>
      </c>
    </row>
    <row r="37" spans="1:10" x14ac:dyDescent="0.25">
      <c r="A37" t="str">
        <f>I37&amp;B37&amp;C37&amp;D37</f>
        <v>GY 18 SM2201811</v>
      </c>
      <c r="B37">
        <v>2018</v>
      </c>
      <c r="C37">
        <v>1</v>
      </c>
      <c r="D37">
        <v>1</v>
      </c>
      <c r="E37" t="s">
        <v>99</v>
      </c>
      <c r="F37" t="s">
        <v>84</v>
      </c>
      <c r="G37" t="s">
        <v>29</v>
      </c>
      <c r="H37" t="s">
        <v>6</v>
      </c>
      <c r="I37" t="s">
        <v>193</v>
      </c>
      <c r="J37">
        <v>114476</v>
      </c>
    </row>
    <row r="38" spans="1:10" x14ac:dyDescent="0.25">
      <c r="A38" t="str">
        <f>I38&amp;B38&amp;C38&amp;D38</f>
        <v>GY 18 SM3201811</v>
      </c>
      <c r="B38">
        <v>2018</v>
      </c>
      <c r="C38">
        <v>1</v>
      </c>
      <c r="D38">
        <v>1</v>
      </c>
      <c r="E38" t="s">
        <v>99</v>
      </c>
      <c r="F38" t="s">
        <v>84</v>
      </c>
      <c r="G38" t="s">
        <v>29</v>
      </c>
      <c r="H38" t="s">
        <v>6</v>
      </c>
      <c r="I38" t="s">
        <v>195</v>
      </c>
      <c r="J38">
        <v>6</v>
      </c>
    </row>
    <row r="39" spans="1:10" x14ac:dyDescent="0.25">
      <c r="A39" t="str">
        <f>I39&amp;B39&amp;C39&amp;D39</f>
        <v>GY 18 SM4201811</v>
      </c>
      <c r="B39">
        <v>2018</v>
      </c>
      <c r="C39">
        <v>1</v>
      </c>
      <c r="D39">
        <v>1</v>
      </c>
      <c r="E39" t="s">
        <v>99</v>
      </c>
      <c r="F39" t="s">
        <v>84</v>
      </c>
      <c r="G39" t="s">
        <v>29</v>
      </c>
      <c r="H39" t="s">
        <v>6</v>
      </c>
      <c r="I39" t="s">
        <v>199</v>
      </c>
      <c r="J39">
        <v>4</v>
      </c>
    </row>
    <row r="40" spans="1:10" x14ac:dyDescent="0.25">
      <c r="A40" t="str">
        <f>I40&amp;B40&amp;C40&amp;D40</f>
        <v>GY 18 SM5201811</v>
      </c>
      <c r="B40">
        <v>2018</v>
      </c>
      <c r="C40">
        <v>1</v>
      </c>
      <c r="D40">
        <v>1</v>
      </c>
      <c r="E40" t="s">
        <v>99</v>
      </c>
      <c r="F40" t="s">
        <v>84</v>
      </c>
      <c r="G40" t="s">
        <v>29</v>
      </c>
      <c r="H40" t="s">
        <v>6</v>
      </c>
      <c r="I40" t="s">
        <v>201</v>
      </c>
      <c r="J40">
        <v>14</v>
      </c>
    </row>
    <row r="41" spans="1:10" x14ac:dyDescent="0.25">
      <c r="A41" t="str">
        <f>I41&amp;B41&amp;C41&amp;D41</f>
        <v>GY 18 SMR201811</v>
      </c>
      <c r="B41">
        <v>2018</v>
      </c>
      <c r="C41">
        <v>1</v>
      </c>
      <c r="D41">
        <v>1</v>
      </c>
      <c r="E41" t="s">
        <v>99</v>
      </c>
      <c r="F41" t="s">
        <v>84</v>
      </c>
      <c r="G41" t="s">
        <v>29</v>
      </c>
      <c r="H41" t="s">
        <v>6</v>
      </c>
      <c r="I41" t="s">
        <v>203</v>
      </c>
      <c r="J41">
        <v>862280</v>
      </c>
    </row>
    <row r="42" spans="1:10" x14ac:dyDescent="0.25">
      <c r="A42" t="str">
        <f>I42&amp;B42&amp;C42&amp;D42</f>
        <v>GY 18 SPR201811</v>
      </c>
      <c r="B42">
        <v>2018</v>
      </c>
      <c r="C42">
        <v>1</v>
      </c>
      <c r="D42">
        <v>1</v>
      </c>
      <c r="E42" t="s">
        <v>99</v>
      </c>
      <c r="F42" t="s">
        <v>84</v>
      </c>
      <c r="G42" t="s">
        <v>29</v>
      </c>
      <c r="H42" t="s">
        <v>5</v>
      </c>
      <c r="I42" t="s">
        <v>177</v>
      </c>
      <c r="J42">
        <v>67439</v>
      </c>
    </row>
    <row r="43" spans="1:10" x14ac:dyDescent="0.25">
      <c r="A43" t="str">
        <f>I43&amp;B43&amp;C43&amp;D43</f>
        <v>GY 18 SPR 1201811</v>
      </c>
      <c r="B43">
        <v>2018</v>
      </c>
      <c r="C43">
        <v>1</v>
      </c>
      <c r="D43">
        <v>1</v>
      </c>
      <c r="E43" t="s">
        <v>99</v>
      </c>
      <c r="F43" t="s">
        <v>84</v>
      </c>
      <c r="G43" t="s">
        <v>29</v>
      </c>
      <c r="H43" t="s">
        <v>5</v>
      </c>
      <c r="I43" t="s">
        <v>179</v>
      </c>
      <c r="J43">
        <v>402381</v>
      </c>
    </row>
    <row r="44" spans="1:10" x14ac:dyDescent="0.25">
      <c r="A44" t="str">
        <f>I44&amp;B44&amp;C44&amp;D44</f>
        <v>GY 18 SPR 2201811</v>
      </c>
      <c r="B44">
        <v>2018</v>
      </c>
      <c r="C44">
        <v>1</v>
      </c>
      <c r="D44">
        <v>1</v>
      </c>
      <c r="E44" t="s">
        <v>99</v>
      </c>
      <c r="F44" t="s">
        <v>84</v>
      </c>
      <c r="G44" t="s">
        <v>29</v>
      </c>
      <c r="H44" t="s">
        <v>5</v>
      </c>
      <c r="I44" t="s">
        <v>181</v>
      </c>
      <c r="J44">
        <v>359906</v>
      </c>
    </row>
    <row r="45" spans="1:10" x14ac:dyDescent="0.25">
      <c r="A45" t="str">
        <f>I45&amp;B45&amp;C45&amp;D45</f>
        <v>GY 18 SPR VACA201811</v>
      </c>
      <c r="B45">
        <v>2018</v>
      </c>
      <c r="C45">
        <v>1</v>
      </c>
      <c r="D45">
        <v>1</v>
      </c>
      <c r="E45" t="s">
        <v>99</v>
      </c>
      <c r="F45" t="s">
        <v>84</v>
      </c>
      <c r="G45" t="s">
        <v>29</v>
      </c>
      <c r="H45" t="s">
        <v>5</v>
      </c>
      <c r="I45" t="s">
        <v>187</v>
      </c>
      <c r="J45">
        <v>945476</v>
      </c>
    </row>
    <row r="46" spans="1:10" x14ac:dyDescent="0.25">
      <c r="A46" t="str">
        <f>I46&amp;B46&amp;C46&amp;D46</f>
        <v>GY 18 SPRING BASICS201811</v>
      </c>
      <c r="B46">
        <v>2018</v>
      </c>
      <c r="C46">
        <v>1</v>
      </c>
      <c r="D46">
        <v>1</v>
      </c>
      <c r="E46" t="s">
        <v>99</v>
      </c>
      <c r="F46" t="s">
        <v>84</v>
      </c>
      <c r="G46" t="s">
        <v>29</v>
      </c>
      <c r="H46" t="s">
        <v>10</v>
      </c>
      <c r="I46" t="s">
        <v>173</v>
      </c>
      <c r="J46">
        <v>911996</v>
      </c>
    </row>
    <row r="47" spans="1:10" x14ac:dyDescent="0.25">
      <c r="A47" t="str">
        <f>I47&amp;B47&amp;C47&amp;D47</f>
        <v>GY 18 SUM 1201811</v>
      </c>
      <c r="B47">
        <v>2018</v>
      </c>
      <c r="C47">
        <v>1</v>
      </c>
      <c r="D47">
        <v>1</v>
      </c>
      <c r="E47" t="s">
        <v>99</v>
      </c>
      <c r="F47" t="s">
        <v>84</v>
      </c>
      <c r="G47" t="s">
        <v>29</v>
      </c>
      <c r="H47" t="s">
        <v>5</v>
      </c>
      <c r="I47" t="s">
        <v>189</v>
      </c>
      <c r="J47">
        <v>596453</v>
      </c>
    </row>
    <row r="48" spans="1:10" x14ac:dyDescent="0.25">
      <c r="A48" t="str">
        <f>I48&amp;B48&amp;C48&amp;D48</f>
        <v>GY 18 SWIM 1201811</v>
      </c>
      <c r="B48">
        <v>2018</v>
      </c>
      <c r="C48">
        <v>1</v>
      </c>
      <c r="D48">
        <v>1</v>
      </c>
      <c r="E48" t="s">
        <v>99</v>
      </c>
      <c r="F48" t="s">
        <v>84</v>
      </c>
      <c r="G48" t="s">
        <v>29</v>
      </c>
      <c r="H48" t="s">
        <v>5</v>
      </c>
      <c r="I48" t="s">
        <v>183</v>
      </c>
      <c r="J48">
        <v>44894</v>
      </c>
    </row>
    <row r="49" spans="1:10" x14ac:dyDescent="0.25">
      <c r="A49" t="str">
        <f>I49&amp;B49&amp;C49&amp;D49</f>
        <v>GY 18 SWIM 2201811</v>
      </c>
      <c r="B49">
        <v>2018</v>
      </c>
      <c r="C49">
        <v>1</v>
      </c>
      <c r="D49">
        <v>1</v>
      </c>
      <c r="E49" t="s">
        <v>99</v>
      </c>
      <c r="F49" t="s">
        <v>84</v>
      </c>
      <c r="G49" t="s">
        <v>29</v>
      </c>
      <c r="H49" t="s">
        <v>5</v>
      </c>
      <c r="I49" t="s">
        <v>191</v>
      </c>
      <c r="J49">
        <v>226931</v>
      </c>
    </row>
    <row r="50" spans="1:10" x14ac:dyDescent="0.25">
      <c r="A50" t="str">
        <f>I50&amp;B50&amp;C50&amp;D50</f>
        <v>GY 18 SWIM 3201811</v>
      </c>
      <c r="B50">
        <v>2018</v>
      </c>
      <c r="C50">
        <v>1</v>
      </c>
      <c r="D50">
        <v>1</v>
      </c>
      <c r="E50" t="s">
        <v>99</v>
      </c>
      <c r="F50" t="s">
        <v>84</v>
      </c>
      <c r="G50" t="s">
        <v>29</v>
      </c>
      <c r="H50" t="s">
        <v>6</v>
      </c>
      <c r="I50" t="s">
        <v>197</v>
      </c>
      <c r="J50">
        <v>18730</v>
      </c>
    </row>
    <row r="51" spans="1:10" x14ac:dyDescent="0.25">
      <c r="A51" t="str">
        <f>I51&amp;B51&amp;C51&amp;D51</f>
        <v>GY 18 VDAY201811</v>
      </c>
      <c r="B51">
        <v>2018</v>
      </c>
      <c r="C51">
        <v>1</v>
      </c>
      <c r="D51">
        <v>1</v>
      </c>
      <c r="E51" t="s">
        <v>99</v>
      </c>
      <c r="F51" t="s">
        <v>84</v>
      </c>
      <c r="G51" t="s">
        <v>29</v>
      </c>
      <c r="H51" t="s">
        <v>8</v>
      </c>
      <c r="I51" t="s">
        <v>396</v>
      </c>
      <c r="J51">
        <v>72901</v>
      </c>
    </row>
    <row r="52" spans="1:10" x14ac:dyDescent="0.25">
      <c r="A52" t="str">
        <f>I52&amp;B52&amp;C52&amp;D52</f>
        <v>GY YRLY BASICS201811</v>
      </c>
      <c r="B52">
        <v>2018</v>
      </c>
      <c r="C52">
        <v>1</v>
      </c>
      <c r="D52">
        <v>1</v>
      </c>
      <c r="E52" t="s">
        <v>99</v>
      </c>
      <c r="F52" t="s">
        <v>84</v>
      </c>
      <c r="G52" t="s">
        <v>29</v>
      </c>
      <c r="H52" t="s">
        <v>10</v>
      </c>
      <c r="I52" t="s">
        <v>349</v>
      </c>
      <c r="J52">
        <v>0</v>
      </c>
    </row>
    <row r="53" spans="1:10" x14ac:dyDescent="0.25">
      <c r="A53" t="str">
        <f>I53&amp;B53&amp;C53&amp;D53</f>
        <v>GY YRLY DENIM201811</v>
      </c>
      <c r="B53">
        <v>2018</v>
      </c>
      <c r="C53">
        <v>1</v>
      </c>
      <c r="D53">
        <v>1</v>
      </c>
      <c r="E53" t="s">
        <v>99</v>
      </c>
      <c r="F53" t="s">
        <v>84</v>
      </c>
      <c r="G53" t="s">
        <v>29</v>
      </c>
      <c r="H53" t="s">
        <v>10</v>
      </c>
      <c r="I53" t="s">
        <v>350</v>
      </c>
      <c r="J53">
        <v>0</v>
      </c>
    </row>
    <row r="54" spans="1:10" x14ac:dyDescent="0.25">
      <c r="A54" t="str">
        <f>I54&amp;B54&amp;C54&amp;D54</f>
        <v>GY YRLY UNIFORM201811</v>
      </c>
      <c r="B54">
        <v>2018</v>
      </c>
      <c r="C54">
        <v>1</v>
      </c>
      <c r="D54">
        <v>1</v>
      </c>
      <c r="E54" t="s">
        <v>99</v>
      </c>
      <c r="F54" t="s">
        <v>84</v>
      </c>
      <c r="G54" t="s">
        <v>29</v>
      </c>
      <c r="H54" t="s">
        <v>10</v>
      </c>
      <c r="I54" t="s">
        <v>351</v>
      </c>
      <c r="J54">
        <v>38414</v>
      </c>
    </row>
    <row r="55" spans="1:10" x14ac:dyDescent="0.25">
      <c r="A55" t="str">
        <f>I55&amp;B55&amp;C55&amp;D55</f>
        <v>Old201811</v>
      </c>
      <c r="B55">
        <v>2018</v>
      </c>
      <c r="C55">
        <v>1</v>
      </c>
      <c r="D55">
        <v>1</v>
      </c>
      <c r="E55" t="s">
        <v>99</v>
      </c>
      <c r="F55" t="s">
        <v>84</v>
      </c>
      <c r="G55" t="s">
        <v>29</v>
      </c>
      <c r="H55" t="s">
        <v>434</v>
      </c>
      <c r="I55" t="s">
        <v>434</v>
      </c>
      <c r="J55">
        <v>1602701</v>
      </c>
    </row>
    <row r="56" spans="1:10" x14ac:dyDescent="0.25">
      <c r="A56" t="str">
        <f>I56&amp;B56&amp;C56&amp;D56</f>
        <v>Winter 17201811</v>
      </c>
      <c r="B56">
        <v>2018</v>
      </c>
      <c r="C56">
        <v>1</v>
      </c>
      <c r="D56">
        <v>1</v>
      </c>
      <c r="E56" t="s">
        <v>99</v>
      </c>
      <c r="F56" t="s">
        <v>84</v>
      </c>
      <c r="G56" t="s">
        <v>29</v>
      </c>
      <c r="H56" t="s">
        <v>435</v>
      </c>
      <c r="I56" t="s">
        <v>435</v>
      </c>
      <c r="J56">
        <v>722189</v>
      </c>
    </row>
    <row r="57" spans="1:10" x14ac:dyDescent="0.25">
      <c r="A57" t="str">
        <f>I57&amp;B57&amp;C57&amp;D57</f>
        <v>GY 17 BTS201812</v>
      </c>
      <c r="B57">
        <v>2018</v>
      </c>
      <c r="C57">
        <v>1</v>
      </c>
      <c r="D57">
        <v>2</v>
      </c>
      <c r="E57" t="s">
        <v>99</v>
      </c>
      <c r="F57" t="s">
        <v>84</v>
      </c>
      <c r="G57" t="s">
        <v>29</v>
      </c>
      <c r="H57" t="s">
        <v>54</v>
      </c>
      <c r="I57" t="s">
        <v>397</v>
      </c>
      <c r="J57">
        <v>13752</v>
      </c>
    </row>
    <row r="58" spans="1:10" x14ac:dyDescent="0.25">
      <c r="A58" t="str">
        <f>I58&amp;B58&amp;C58&amp;D58</f>
        <v>GY 17 CAP201812</v>
      </c>
      <c r="B58">
        <v>2018</v>
      </c>
      <c r="C58">
        <v>1</v>
      </c>
      <c r="D58">
        <v>2</v>
      </c>
      <c r="E58" t="s">
        <v>99</v>
      </c>
      <c r="F58" t="s">
        <v>84</v>
      </c>
      <c r="G58" t="s">
        <v>29</v>
      </c>
      <c r="H58" t="s">
        <v>6</v>
      </c>
      <c r="I58" t="s">
        <v>404</v>
      </c>
      <c r="J58">
        <v>1077</v>
      </c>
    </row>
    <row r="59" spans="1:10" x14ac:dyDescent="0.25">
      <c r="A59" t="str">
        <f>I59&amp;B59&amp;C59&amp;D59</f>
        <v>GY 17 DRSY CAP201812</v>
      </c>
      <c r="B59">
        <v>2018</v>
      </c>
      <c r="C59">
        <v>1</v>
      </c>
      <c r="D59">
        <v>2</v>
      </c>
      <c r="E59" t="s">
        <v>99</v>
      </c>
      <c r="F59" t="s">
        <v>84</v>
      </c>
      <c r="G59" t="s">
        <v>29</v>
      </c>
      <c r="H59" t="s">
        <v>5</v>
      </c>
      <c r="I59" t="s">
        <v>186</v>
      </c>
      <c r="J59">
        <v>5888</v>
      </c>
    </row>
    <row r="60" spans="1:10" x14ac:dyDescent="0.25">
      <c r="A60" t="str">
        <f>I60&amp;B60&amp;C60&amp;D60</f>
        <v>GY 17 FAL201812</v>
      </c>
      <c r="B60">
        <v>2018</v>
      </c>
      <c r="C60">
        <v>1</v>
      </c>
      <c r="D60">
        <v>2</v>
      </c>
      <c r="E60" t="s">
        <v>99</v>
      </c>
      <c r="F60" t="s">
        <v>84</v>
      </c>
      <c r="G60" t="s">
        <v>29</v>
      </c>
      <c r="H60" t="s">
        <v>54</v>
      </c>
      <c r="I60" t="s">
        <v>398</v>
      </c>
      <c r="J60">
        <v>114851</v>
      </c>
    </row>
    <row r="61" spans="1:10" x14ac:dyDescent="0.25">
      <c r="A61" t="str">
        <f>I61&amp;B61&amp;C61&amp;D61</f>
        <v>GY 17 FALL 1201812</v>
      </c>
      <c r="B61">
        <v>2018</v>
      </c>
      <c r="C61">
        <v>1</v>
      </c>
      <c r="D61">
        <v>2</v>
      </c>
      <c r="E61" t="s">
        <v>99</v>
      </c>
      <c r="F61" t="s">
        <v>84</v>
      </c>
      <c r="G61" t="s">
        <v>29</v>
      </c>
      <c r="H61" t="s">
        <v>54</v>
      </c>
      <c r="I61" t="s">
        <v>399</v>
      </c>
      <c r="J61">
        <v>36252</v>
      </c>
    </row>
    <row r="62" spans="1:10" x14ac:dyDescent="0.25">
      <c r="A62" t="str">
        <f>I62&amp;B62&amp;C62&amp;D62</f>
        <v>GY 17 FALL 2201812</v>
      </c>
      <c r="B62">
        <v>2018</v>
      </c>
      <c r="C62">
        <v>1</v>
      </c>
      <c r="D62">
        <v>2</v>
      </c>
      <c r="E62" t="s">
        <v>99</v>
      </c>
      <c r="F62" t="s">
        <v>84</v>
      </c>
      <c r="G62" t="s">
        <v>29</v>
      </c>
      <c r="H62" t="s">
        <v>54</v>
      </c>
      <c r="I62" t="s">
        <v>400</v>
      </c>
      <c r="J62">
        <v>230399</v>
      </c>
    </row>
    <row r="63" spans="1:10" x14ac:dyDescent="0.25">
      <c r="A63" t="str">
        <f>I63&amp;B63&amp;C63&amp;D63</f>
        <v>GY 17 FALL 3201812</v>
      </c>
      <c r="B63">
        <v>2018</v>
      </c>
      <c r="C63">
        <v>1</v>
      </c>
      <c r="D63">
        <v>2</v>
      </c>
      <c r="E63" t="s">
        <v>99</v>
      </c>
      <c r="F63" t="s">
        <v>84</v>
      </c>
      <c r="G63" t="s">
        <v>29</v>
      </c>
      <c r="H63" t="s">
        <v>54</v>
      </c>
      <c r="I63" t="s">
        <v>401</v>
      </c>
      <c r="J63">
        <v>319695</v>
      </c>
    </row>
    <row r="64" spans="1:10" x14ac:dyDescent="0.25">
      <c r="A64" t="str">
        <f>I64&amp;B64&amp;C64&amp;D64</f>
        <v>GY 17 FALL 4201812</v>
      </c>
      <c r="B64">
        <v>2018</v>
      </c>
      <c r="C64">
        <v>1</v>
      </c>
      <c r="D64">
        <v>2</v>
      </c>
      <c r="E64" t="s">
        <v>99</v>
      </c>
      <c r="F64" t="s">
        <v>84</v>
      </c>
      <c r="G64" t="s">
        <v>29</v>
      </c>
      <c r="H64" t="s">
        <v>54</v>
      </c>
      <c r="I64" t="s">
        <v>402</v>
      </c>
      <c r="J64">
        <v>203182</v>
      </c>
    </row>
    <row r="65" spans="1:10" x14ac:dyDescent="0.25">
      <c r="A65" t="str">
        <f>I65&amp;B65&amp;C65&amp;D65</f>
        <v>GY 17 FALL BASICS201812</v>
      </c>
      <c r="B65">
        <v>2018</v>
      </c>
      <c r="C65">
        <v>1</v>
      </c>
      <c r="D65">
        <v>2</v>
      </c>
      <c r="E65" t="s">
        <v>99</v>
      </c>
      <c r="F65" t="s">
        <v>84</v>
      </c>
      <c r="G65" t="s">
        <v>29</v>
      </c>
      <c r="H65" t="s">
        <v>10</v>
      </c>
      <c r="I65" t="s">
        <v>176</v>
      </c>
      <c r="J65">
        <v>92950</v>
      </c>
    </row>
    <row r="66" spans="1:10" x14ac:dyDescent="0.25">
      <c r="A66" t="str">
        <f>I66&amp;B66&amp;C66&amp;D66</f>
        <v>GY 17 HO HO SHOP201812</v>
      </c>
      <c r="B66">
        <v>2018</v>
      </c>
      <c r="C66">
        <v>1</v>
      </c>
      <c r="D66">
        <v>2</v>
      </c>
      <c r="E66" t="s">
        <v>99</v>
      </c>
      <c r="F66" t="s">
        <v>84</v>
      </c>
      <c r="G66" t="s">
        <v>29</v>
      </c>
      <c r="H66" t="s">
        <v>54</v>
      </c>
      <c r="I66" t="s">
        <v>405</v>
      </c>
      <c r="J66">
        <v>350269</v>
      </c>
    </row>
    <row r="67" spans="1:10" x14ac:dyDescent="0.25">
      <c r="A67" t="str">
        <f>I67&amp;B67&amp;C67&amp;D67</f>
        <v>GY 17 HOL201812</v>
      </c>
      <c r="B67">
        <v>2018</v>
      </c>
      <c r="C67">
        <v>1</v>
      </c>
      <c r="D67">
        <v>2</v>
      </c>
      <c r="E67" t="s">
        <v>99</v>
      </c>
      <c r="F67" t="s">
        <v>84</v>
      </c>
      <c r="G67" t="s">
        <v>29</v>
      </c>
      <c r="H67" t="s">
        <v>8</v>
      </c>
      <c r="I67" t="s">
        <v>406</v>
      </c>
      <c r="J67">
        <v>96311</v>
      </c>
    </row>
    <row r="68" spans="1:10" x14ac:dyDescent="0.25">
      <c r="A68" t="str">
        <f>I68&amp;B68&amp;C68&amp;D68</f>
        <v>GY 17 JAN CAP201812</v>
      </c>
      <c r="B68">
        <v>2018</v>
      </c>
      <c r="C68">
        <v>1</v>
      </c>
      <c r="D68">
        <v>2</v>
      </c>
      <c r="E68" t="s">
        <v>99</v>
      </c>
      <c r="F68" t="s">
        <v>84</v>
      </c>
      <c r="G68" t="s">
        <v>29</v>
      </c>
      <c r="H68" t="s">
        <v>8</v>
      </c>
      <c r="I68" t="s">
        <v>407</v>
      </c>
      <c r="J68">
        <v>2410</v>
      </c>
    </row>
    <row r="69" spans="1:10" x14ac:dyDescent="0.25">
      <c r="A69" t="str">
        <f>I69&amp;B69&amp;C69&amp;D69</f>
        <v>GY 17 SM2201812</v>
      </c>
      <c r="B69">
        <v>2018</v>
      </c>
      <c r="C69">
        <v>1</v>
      </c>
      <c r="D69">
        <v>2</v>
      </c>
      <c r="E69" t="s">
        <v>99</v>
      </c>
      <c r="F69" t="s">
        <v>84</v>
      </c>
      <c r="G69" t="s">
        <v>29</v>
      </c>
      <c r="H69" t="s">
        <v>6</v>
      </c>
      <c r="I69" t="s">
        <v>194</v>
      </c>
      <c r="J69">
        <v>1986</v>
      </c>
    </row>
    <row r="70" spans="1:10" x14ac:dyDescent="0.25">
      <c r="A70" t="str">
        <f>I70&amp;B70&amp;C70&amp;D70</f>
        <v>GY 17 SM3201812</v>
      </c>
      <c r="B70">
        <v>2018</v>
      </c>
      <c r="C70">
        <v>1</v>
      </c>
      <c r="D70">
        <v>2</v>
      </c>
      <c r="E70" t="s">
        <v>99</v>
      </c>
      <c r="F70" t="s">
        <v>84</v>
      </c>
      <c r="G70" t="s">
        <v>29</v>
      </c>
      <c r="H70" t="s">
        <v>6</v>
      </c>
      <c r="I70" t="s">
        <v>196</v>
      </c>
      <c r="J70">
        <v>2753</v>
      </c>
    </row>
    <row r="71" spans="1:10" x14ac:dyDescent="0.25">
      <c r="A71" t="str">
        <f>I71&amp;B71&amp;C71&amp;D71</f>
        <v>GY 17 SM4201812</v>
      </c>
      <c r="B71">
        <v>2018</v>
      </c>
      <c r="C71">
        <v>1</v>
      </c>
      <c r="D71">
        <v>2</v>
      </c>
      <c r="E71" t="s">
        <v>99</v>
      </c>
      <c r="F71" t="s">
        <v>84</v>
      </c>
      <c r="G71" t="s">
        <v>29</v>
      </c>
      <c r="H71" t="s">
        <v>6</v>
      </c>
      <c r="I71" t="s">
        <v>200</v>
      </c>
      <c r="J71">
        <v>2796</v>
      </c>
    </row>
    <row r="72" spans="1:10" x14ac:dyDescent="0.25">
      <c r="A72" t="str">
        <f>I72&amp;B72&amp;C72&amp;D72</f>
        <v>GY 17 SMR201812</v>
      </c>
      <c r="B72">
        <v>2018</v>
      </c>
      <c r="C72">
        <v>1</v>
      </c>
      <c r="D72">
        <v>2</v>
      </c>
      <c r="E72" t="s">
        <v>99</v>
      </c>
      <c r="F72" t="s">
        <v>84</v>
      </c>
      <c r="G72" t="s">
        <v>29</v>
      </c>
      <c r="H72" t="s">
        <v>6</v>
      </c>
      <c r="I72" t="s">
        <v>204</v>
      </c>
      <c r="J72">
        <v>9000</v>
      </c>
    </row>
    <row r="73" spans="1:10" x14ac:dyDescent="0.25">
      <c r="A73" t="str">
        <f>I73&amp;B73&amp;C73&amp;D73</f>
        <v>GY 17 SPR201812</v>
      </c>
      <c r="B73">
        <v>2018</v>
      </c>
      <c r="C73">
        <v>1</v>
      </c>
      <c r="D73">
        <v>2</v>
      </c>
      <c r="E73" t="s">
        <v>99</v>
      </c>
      <c r="F73" t="s">
        <v>84</v>
      </c>
      <c r="G73" t="s">
        <v>29</v>
      </c>
      <c r="H73" t="s">
        <v>5</v>
      </c>
      <c r="I73" t="s">
        <v>178</v>
      </c>
      <c r="J73">
        <v>3067</v>
      </c>
    </row>
    <row r="74" spans="1:10" x14ac:dyDescent="0.25">
      <c r="A74" t="str">
        <f>I74&amp;B74&amp;C74&amp;D74</f>
        <v>GY 17 SPR 1201812</v>
      </c>
      <c r="B74">
        <v>2018</v>
      </c>
      <c r="C74">
        <v>1</v>
      </c>
      <c r="D74">
        <v>2</v>
      </c>
      <c r="E74" t="s">
        <v>99</v>
      </c>
      <c r="F74" t="s">
        <v>84</v>
      </c>
      <c r="G74" t="s">
        <v>29</v>
      </c>
      <c r="H74" t="s">
        <v>5</v>
      </c>
      <c r="I74" t="s">
        <v>180</v>
      </c>
      <c r="J74">
        <v>2472</v>
      </c>
    </row>
    <row r="75" spans="1:10" x14ac:dyDescent="0.25">
      <c r="A75" t="str">
        <f>I75&amp;B75&amp;C75&amp;D75</f>
        <v>GY 17 SPR 2201812</v>
      </c>
      <c r="B75">
        <v>2018</v>
      </c>
      <c r="C75">
        <v>1</v>
      </c>
      <c r="D75">
        <v>2</v>
      </c>
      <c r="E75" t="s">
        <v>99</v>
      </c>
      <c r="F75" t="s">
        <v>84</v>
      </c>
      <c r="G75" t="s">
        <v>29</v>
      </c>
      <c r="H75" t="s">
        <v>5</v>
      </c>
      <c r="I75" t="s">
        <v>182</v>
      </c>
      <c r="J75">
        <v>1199</v>
      </c>
    </row>
    <row r="76" spans="1:10" x14ac:dyDescent="0.25">
      <c r="A76" t="str">
        <f>I76&amp;B76&amp;C76&amp;D76</f>
        <v>GY 17 SPR TRANS201812</v>
      </c>
      <c r="B76">
        <v>2018</v>
      </c>
      <c r="C76">
        <v>1</v>
      </c>
      <c r="D76">
        <v>2</v>
      </c>
      <c r="E76" t="s">
        <v>99</v>
      </c>
      <c r="F76" t="s">
        <v>84</v>
      </c>
      <c r="G76" t="s">
        <v>29</v>
      </c>
      <c r="H76" t="s">
        <v>8</v>
      </c>
      <c r="I76" t="s">
        <v>403</v>
      </c>
      <c r="J76">
        <v>117977</v>
      </c>
    </row>
    <row r="77" spans="1:10" x14ac:dyDescent="0.25">
      <c r="A77" t="str">
        <f>I77&amp;B77&amp;C77&amp;D77</f>
        <v>GY 17 SPR VAC201812</v>
      </c>
      <c r="B77">
        <v>2018</v>
      </c>
      <c r="C77">
        <v>1</v>
      </c>
      <c r="D77">
        <v>2</v>
      </c>
      <c r="E77" t="s">
        <v>99</v>
      </c>
      <c r="F77" t="s">
        <v>84</v>
      </c>
      <c r="G77" t="s">
        <v>29</v>
      </c>
      <c r="H77" t="s">
        <v>5</v>
      </c>
      <c r="I77" t="s">
        <v>188</v>
      </c>
      <c r="J77">
        <v>1081</v>
      </c>
    </row>
    <row r="78" spans="1:10" x14ac:dyDescent="0.25">
      <c r="A78" t="str">
        <f>I78&amp;B78&amp;C78&amp;D78</f>
        <v>GY 17 SPRING BASICS201812</v>
      </c>
      <c r="B78">
        <v>2018</v>
      </c>
      <c r="C78">
        <v>1</v>
      </c>
      <c r="D78">
        <v>2</v>
      </c>
      <c r="E78" t="s">
        <v>99</v>
      </c>
      <c r="F78" t="s">
        <v>84</v>
      </c>
      <c r="G78" t="s">
        <v>29</v>
      </c>
      <c r="H78" t="s">
        <v>10</v>
      </c>
      <c r="I78" t="s">
        <v>174</v>
      </c>
      <c r="J78">
        <v>22359</v>
      </c>
    </row>
    <row r="79" spans="1:10" x14ac:dyDescent="0.25">
      <c r="A79" t="str">
        <f>I79&amp;B79&amp;C79&amp;D79</f>
        <v>GY 17 SUM 1201812</v>
      </c>
      <c r="B79">
        <v>2018</v>
      </c>
      <c r="C79">
        <v>1</v>
      </c>
      <c r="D79">
        <v>2</v>
      </c>
      <c r="E79" t="s">
        <v>99</v>
      </c>
      <c r="F79" t="s">
        <v>84</v>
      </c>
      <c r="G79" t="s">
        <v>29</v>
      </c>
      <c r="H79" t="s">
        <v>5</v>
      </c>
      <c r="I79" t="s">
        <v>190</v>
      </c>
      <c r="J79">
        <v>2755</v>
      </c>
    </row>
    <row r="80" spans="1:10" x14ac:dyDescent="0.25">
      <c r="A80" t="str">
        <f>I80&amp;B80&amp;C80&amp;D80</f>
        <v>GY 17 SWIM 1201812</v>
      </c>
      <c r="B80">
        <v>2018</v>
      </c>
      <c r="C80">
        <v>1</v>
      </c>
      <c r="D80">
        <v>2</v>
      </c>
      <c r="E80" t="s">
        <v>99</v>
      </c>
      <c r="F80" t="s">
        <v>84</v>
      </c>
      <c r="G80" t="s">
        <v>29</v>
      </c>
      <c r="H80" t="s">
        <v>5</v>
      </c>
      <c r="I80" t="s">
        <v>184</v>
      </c>
      <c r="J80">
        <v>441</v>
      </c>
    </row>
    <row r="81" spans="1:10" x14ac:dyDescent="0.25">
      <c r="A81" t="str">
        <f>I81&amp;B81&amp;C81&amp;D81</f>
        <v>GY 17 SWIM 2201812</v>
      </c>
      <c r="B81">
        <v>2018</v>
      </c>
      <c r="C81">
        <v>1</v>
      </c>
      <c r="D81">
        <v>2</v>
      </c>
      <c r="E81" t="s">
        <v>99</v>
      </c>
      <c r="F81" t="s">
        <v>84</v>
      </c>
      <c r="G81" t="s">
        <v>29</v>
      </c>
      <c r="H81" t="s">
        <v>5</v>
      </c>
      <c r="I81" t="s">
        <v>192</v>
      </c>
      <c r="J81">
        <v>879</v>
      </c>
    </row>
    <row r="82" spans="1:10" x14ac:dyDescent="0.25">
      <c r="A82" t="str">
        <f>I82&amp;B82&amp;C82&amp;D82</f>
        <v>GY 17 SWIM 3201812</v>
      </c>
      <c r="B82">
        <v>2018</v>
      </c>
      <c r="C82">
        <v>1</v>
      </c>
      <c r="D82">
        <v>2</v>
      </c>
      <c r="E82" t="s">
        <v>99</v>
      </c>
      <c r="F82" t="s">
        <v>84</v>
      </c>
      <c r="G82" t="s">
        <v>29</v>
      </c>
      <c r="H82" t="s">
        <v>6</v>
      </c>
      <c r="I82" t="s">
        <v>198</v>
      </c>
      <c r="J82">
        <v>317</v>
      </c>
    </row>
    <row r="83" spans="1:10" x14ac:dyDescent="0.25">
      <c r="A83" t="str">
        <f>I83&amp;B83&amp;C83&amp;D83</f>
        <v>GY 17 TRANS201812</v>
      </c>
      <c r="B83">
        <v>2018</v>
      </c>
      <c r="C83">
        <v>1</v>
      </c>
      <c r="D83">
        <v>2</v>
      </c>
      <c r="E83" t="s">
        <v>99</v>
      </c>
      <c r="F83" t="s">
        <v>84</v>
      </c>
      <c r="G83" t="s">
        <v>29</v>
      </c>
      <c r="H83" t="s">
        <v>6</v>
      </c>
      <c r="I83" t="s">
        <v>202</v>
      </c>
      <c r="J83">
        <v>13441</v>
      </c>
    </row>
    <row r="84" spans="1:10" x14ac:dyDescent="0.25">
      <c r="A84" t="str">
        <f>I84&amp;B84&amp;C84&amp;D84</f>
        <v>GY 17 WINTER 1201812</v>
      </c>
      <c r="B84">
        <v>2018</v>
      </c>
      <c r="C84">
        <v>1</v>
      </c>
      <c r="D84">
        <v>2</v>
      </c>
      <c r="E84" t="s">
        <v>99</v>
      </c>
      <c r="F84" t="s">
        <v>84</v>
      </c>
      <c r="G84" t="s">
        <v>29</v>
      </c>
      <c r="H84" t="s">
        <v>8</v>
      </c>
      <c r="I84" t="s">
        <v>408</v>
      </c>
      <c r="J84">
        <v>47978</v>
      </c>
    </row>
    <row r="85" spans="1:10" x14ac:dyDescent="0.25">
      <c r="A85" t="str">
        <f>I85&amp;B85&amp;C85&amp;D85</f>
        <v>GY 17 WINTER 2201812</v>
      </c>
      <c r="B85">
        <v>2018</v>
      </c>
      <c r="C85">
        <v>1</v>
      </c>
      <c r="D85">
        <v>2</v>
      </c>
      <c r="E85" t="s">
        <v>99</v>
      </c>
      <c r="F85" t="s">
        <v>84</v>
      </c>
      <c r="G85" t="s">
        <v>29</v>
      </c>
      <c r="H85" t="s">
        <v>8</v>
      </c>
      <c r="I85" t="s">
        <v>409</v>
      </c>
      <c r="J85">
        <v>78225</v>
      </c>
    </row>
    <row r="86" spans="1:10" x14ac:dyDescent="0.25">
      <c r="A86" t="str">
        <f>I86&amp;B86&amp;C86&amp;D86</f>
        <v>GY 17 WINTER 3201812</v>
      </c>
      <c r="B86">
        <v>2018</v>
      </c>
      <c r="C86">
        <v>1</v>
      </c>
      <c r="D86">
        <v>2</v>
      </c>
      <c r="E86" t="s">
        <v>99</v>
      </c>
      <c r="F86" t="s">
        <v>84</v>
      </c>
      <c r="G86" t="s">
        <v>29</v>
      </c>
      <c r="H86" t="s">
        <v>8</v>
      </c>
      <c r="I86" t="s">
        <v>410</v>
      </c>
      <c r="J86">
        <v>49186</v>
      </c>
    </row>
    <row r="87" spans="1:10" x14ac:dyDescent="0.25">
      <c r="A87" t="str">
        <f>I87&amp;B87&amp;C87&amp;D87</f>
        <v>GY 18 BTS201812</v>
      </c>
      <c r="B87">
        <v>2018</v>
      </c>
      <c r="C87">
        <v>1</v>
      </c>
      <c r="D87">
        <v>2</v>
      </c>
      <c r="E87" t="s">
        <v>99</v>
      </c>
      <c r="F87" t="s">
        <v>84</v>
      </c>
      <c r="G87" t="s">
        <v>29</v>
      </c>
      <c r="H87" t="s">
        <v>54</v>
      </c>
      <c r="I87" t="s">
        <v>428</v>
      </c>
      <c r="J87">
        <v>0</v>
      </c>
    </row>
    <row r="88" spans="1:10" x14ac:dyDescent="0.25">
      <c r="A88" t="str">
        <f>I88&amp;B88&amp;C88&amp;D88</f>
        <v>GY 18 FAL201812</v>
      </c>
      <c r="B88">
        <v>2018</v>
      </c>
      <c r="C88">
        <v>1</v>
      </c>
      <c r="D88">
        <v>2</v>
      </c>
      <c r="E88" t="s">
        <v>99</v>
      </c>
      <c r="F88" t="s">
        <v>84</v>
      </c>
      <c r="G88" t="s">
        <v>29</v>
      </c>
      <c r="H88" t="s">
        <v>54</v>
      </c>
      <c r="I88" t="s">
        <v>427</v>
      </c>
      <c r="J88">
        <v>-1</v>
      </c>
    </row>
    <row r="89" spans="1:10" x14ac:dyDescent="0.25">
      <c r="A89" t="str">
        <f>I89&amp;B89&amp;C89&amp;D89</f>
        <v>GY 18 FALL 1201812</v>
      </c>
      <c r="B89">
        <v>2018</v>
      </c>
      <c r="C89">
        <v>1</v>
      </c>
      <c r="D89">
        <v>2</v>
      </c>
      <c r="E89" t="s">
        <v>99</v>
      </c>
      <c r="F89" t="s">
        <v>84</v>
      </c>
      <c r="G89" t="s">
        <v>29</v>
      </c>
      <c r="H89" t="s">
        <v>54</v>
      </c>
      <c r="I89" t="s">
        <v>429</v>
      </c>
      <c r="J89">
        <v>-3</v>
      </c>
    </row>
    <row r="90" spans="1:10" x14ac:dyDescent="0.25">
      <c r="A90" t="str">
        <f>I90&amp;B90&amp;C90&amp;D90</f>
        <v>GY 18 FALL 2201812</v>
      </c>
      <c r="B90">
        <v>2018</v>
      </c>
      <c r="C90">
        <v>1</v>
      </c>
      <c r="D90">
        <v>2</v>
      </c>
      <c r="E90" t="s">
        <v>99</v>
      </c>
      <c r="F90" t="s">
        <v>84</v>
      </c>
      <c r="G90" t="s">
        <v>29</v>
      </c>
      <c r="H90" t="s">
        <v>54</v>
      </c>
      <c r="I90" t="s">
        <v>430</v>
      </c>
      <c r="J90">
        <v>0</v>
      </c>
    </row>
    <row r="91" spans="1:10" x14ac:dyDescent="0.25">
      <c r="A91" t="str">
        <f>I91&amp;B91&amp;C91&amp;D91</f>
        <v>GY 18 FALL BASICS201812</v>
      </c>
      <c r="B91">
        <v>2018</v>
      </c>
      <c r="C91">
        <v>1</v>
      </c>
      <c r="D91">
        <v>2</v>
      </c>
      <c r="E91" t="s">
        <v>99</v>
      </c>
      <c r="F91" t="s">
        <v>84</v>
      </c>
      <c r="G91" t="s">
        <v>29</v>
      </c>
      <c r="H91" t="s">
        <v>10</v>
      </c>
      <c r="I91" t="s">
        <v>175</v>
      </c>
      <c r="J91">
        <v>0</v>
      </c>
    </row>
    <row r="92" spans="1:10" x14ac:dyDescent="0.25">
      <c r="A92" t="str">
        <f>I92&amp;B92&amp;C92&amp;D92</f>
        <v>GY 18 SM2201812</v>
      </c>
      <c r="B92">
        <v>2018</v>
      </c>
      <c r="C92">
        <v>1</v>
      </c>
      <c r="D92">
        <v>2</v>
      </c>
      <c r="E92" t="s">
        <v>99</v>
      </c>
      <c r="F92" t="s">
        <v>84</v>
      </c>
      <c r="G92" t="s">
        <v>29</v>
      </c>
      <c r="H92" t="s">
        <v>6</v>
      </c>
      <c r="I92" t="s">
        <v>193</v>
      </c>
      <c r="J92">
        <v>1069018</v>
      </c>
    </row>
    <row r="93" spans="1:10" x14ac:dyDescent="0.25">
      <c r="A93" t="str">
        <f>I93&amp;B93&amp;C93&amp;D93</f>
        <v>GY 18 SM3201812</v>
      </c>
      <c r="B93">
        <v>2018</v>
      </c>
      <c r="C93">
        <v>1</v>
      </c>
      <c r="D93">
        <v>2</v>
      </c>
      <c r="E93" t="s">
        <v>99</v>
      </c>
      <c r="F93" t="s">
        <v>84</v>
      </c>
      <c r="G93" t="s">
        <v>29</v>
      </c>
      <c r="H93" t="s">
        <v>6</v>
      </c>
      <c r="I93" t="s">
        <v>195</v>
      </c>
      <c r="J93">
        <v>45083</v>
      </c>
    </row>
    <row r="94" spans="1:10" x14ac:dyDescent="0.25">
      <c r="A94" t="str">
        <f>I94&amp;B94&amp;C94&amp;D94</f>
        <v>GY 18 SM4201812</v>
      </c>
      <c r="B94">
        <v>2018</v>
      </c>
      <c r="C94">
        <v>1</v>
      </c>
      <c r="D94">
        <v>2</v>
      </c>
      <c r="E94" t="s">
        <v>99</v>
      </c>
      <c r="F94" t="s">
        <v>84</v>
      </c>
      <c r="G94" t="s">
        <v>29</v>
      </c>
      <c r="H94" t="s">
        <v>6</v>
      </c>
      <c r="I94" t="s">
        <v>199</v>
      </c>
      <c r="J94">
        <v>2</v>
      </c>
    </row>
    <row r="95" spans="1:10" x14ac:dyDescent="0.25">
      <c r="A95" t="str">
        <f>I95&amp;B95&amp;C95&amp;D95</f>
        <v>GY 18 SM5201812</v>
      </c>
      <c r="B95">
        <v>2018</v>
      </c>
      <c r="C95">
        <v>1</v>
      </c>
      <c r="D95">
        <v>2</v>
      </c>
      <c r="E95" t="s">
        <v>99</v>
      </c>
      <c r="F95" t="s">
        <v>84</v>
      </c>
      <c r="G95" t="s">
        <v>29</v>
      </c>
      <c r="H95" t="s">
        <v>6</v>
      </c>
      <c r="I95" t="s">
        <v>201</v>
      </c>
      <c r="J95">
        <v>12</v>
      </c>
    </row>
    <row r="96" spans="1:10" x14ac:dyDescent="0.25">
      <c r="A96" t="str">
        <f>I96&amp;B96&amp;C96&amp;D96</f>
        <v>GY 18 SMR201812</v>
      </c>
      <c r="B96">
        <v>2018</v>
      </c>
      <c r="C96">
        <v>1</v>
      </c>
      <c r="D96">
        <v>2</v>
      </c>
      <c r="E96" t="s">
        <v>99</v>
      </c>
      <c r="F96" t="s">
        <v>84</v>
      </c>
      <c r="G96" t="s">
        <v>29</v>
      </c>
      <c r="H96" t="s">
        <v>6</v>
      </c>
      <c r="I96" t="s">
        <v>203</v>
      </c>
      <c r="J96">
        <v>1698969</v>
      </c>
    </row>
    <row r="97" spans="1:10" x14ac:dyDescent="0.25">
      <c r="A97" t="str">
        <f>I97&amp;B97&amp;C97&amp;D97</f>
        <v>GY 18 SPR201812</v>
      </c>
      <c r="B97">
        <v>2018</v>
      </c>
      <c r="C97">
        <v>1</v>
      </c>
      <c r="D97">
        <v>2</v>
      </c>
      <c r="E97" t="s">
        <v>99</v>
      </c>
      <c r="F97" t="s">
        <v>84</v>
      </c>
      <c r="G97" t="s">
        <v>29</v>
      </c>
      <c r="H97" t="s">
        <v>5</v>
      </c>
      <c r="I97" t="s">
        <v>177</v>
      </c>
      <c r="J97">
        <v>26563</v>
      </c>
    </row>
    <row r="98" spans="1:10" x14ac:dyDescent="0.25">
      <c r="A98" t="str">
        <f>I98&amp;B98&amp;C98&amp;D98</f>
        <v>GY 18 SPR 1201812</v>
      </c>
      <c r="B98">
        <v>2018</v>
      </c>
      <c r="C98">
        <v>1</v>
      </c>
      <c r="D98">
        <v>2</v>
      </c>
      <c r="E98" t="s">
        <v>99</v>
      </c>
      <c r="F98" t="s">
        <v>84</v>
      </c>
      <c r="G98" t="s">
        <v>29</v>
      </c>
      <c r="H98" t="s">
        <v>5</v>
      </c>
      <c r="I98" t="s">
        <v>179</v>
      </c>
      <c r="J98">
        <v>296214</v>
      </c>
    </row>
    <row r="99" spans="1:10" x14ac:dyDescent="0.25">
      <c r="A99" t="str">
        <f>I99&amp;B99&amp;C99&amp;D99</f>
        <v>GY 18 SPR 2201812</v>
      </c>
      <c r="B99">
        <v>2018</v>
      </c>
      <c r="C99">
        <v>1</v>
      </c>
      <c r="D99">
        <v>2</v>
      </c>
      <c r="E99" t="s">
        <v>99</v>
      </c>
      <c r="F99" t="s">
        <v>84</v>
      </c>
      <c r="G99" t="s">
        <v>29</v>
      </c>
      <c r="H99" t="s">
        <v>5</v>
      </c>
      <c r="I99" t="s">
        <v>181</v>
      </c>
      <c r="J99">
        <v>233180</v>
      </c>
    </row>
    <row r="100" spans="1:10" x14ac:dyDescent="0.25">
      <c r="A100" t="str">
        <f>I100&amp;B100&amp;C100&amp;D100</f>
        <v>GY 18 SPR VACA201812</v>
      </c>
      <c r="B100">
        <v>2018</v>
      </c>
      <c r="C100">
        <v>1</v>
      </c>
      <c r="D100">
        <v>2</v>
      </c>
      <c r="E100" t="s">
        <v>99</v>
      </c>
      <c r="F100" t="s">
        <v>84</v>
      </c>
      <c r="G100" t="s">
        <v>29</v>
      </c>
      <c r="H100" t="s">
        <v>5</v>
      </c>
      <c r="I100" t="s">
        <v>187</v>
      </c>
      <c r="J100">
        <v>544984</v>
      </c>
    </row>
    <row r="101" spans="1:10" x14ac:dyDescent="0.25">
      <c r="A101" t="str">
        <f>I101&amp;B101&amp;C101&amp;D101</f>
        <v>GY 18 SPRING BASICS201812</v>
      </c>
      <c r="B101">
        <v>2018</v>
      </c>
      <c r="C101">
        <v>1</v>
      </c>
      <c r="D101">
        <v>2</v>
      </c>
      <c r="E101" t="s">
        <v>99</v>
      </c>
      <c r="F101" t="s">
        <v>84</v>
      </c>
      <c r="G101" t="s">
        <v>29</v>
      </c>
      <c r="H101" t="s">
        <v>10</v>
      </c>
      <c r="I101" t="s">
        <v>173</v>
      </c>
      <c r="J101">
        <v>711952</v>
      </c>
    </row>
    <row r="102" spans="1:10" x14ac:dyDescent="0.25">
      <c r="A102" t="str">
        <f>I102&amp;B102&amp;C102&amp;D102</f>
        <v>GY 18 SUM 1201812</v>
      </c>
      <c r="B102">
        <v>2018</v>
      </c>
      <c r="C102">
        <v>1</v>
      </c>
      <c r="D102">
        <v>2</v>
      </c>
      <c r="E102" t="s">
        <v>99</v>
      </c>
      <c r="F102" t="s">
        <v>84</v>
      </c>
      <c r="G102" t="s">
        <v>29</v>
      </c>
      <c r="H102" t="s">
        <v>5</v>
      </c>
      <c r="I102" t="s">
        <v>189</v>
      </c>
      <c r="J102">
        <v>430897</v>
      </c>
    </row>
    <row r="103" spans="1:10" x14ac:dyDescent="0.25">
      <c r="A103" t="str">
        <f>I103&amp;B103&amp;C103&amp;D103</f>
        <v>GY 18 SWIM 1201812</v>
      </c>
      <c r="B103">
        <v>2018</v>
      </c>
      <c r="C103">
        <v>1</v>
      </c>
      <c r="D103">
        <v>2</v>
      </c>
      <c r="E103" t="s">
        <v>99</v>
      </c>
      <c r="F103" t="s">
        <v>84</v>
      </c>
      <c r="G103" t="s">
        <v>29</v>
      </c>
      <c r="H103" t="s">
        <v>5</v>
      </c>
      <c r="I103" t="s">
        <v>183</v>
      </c>
      <c r="J103">
        <v>31128</v>
      </c>
    </row>
    <row r="104" spans="1:10" x14ac:dyDescent="0.25">
      <c r="A104" t="str">
        <f>I104&amp;B104&amp;C104&amp;D104</f>
        <v>GY 18 SWIM 2201812</v>
      </c>
      <c r="B104">
        <v>2018</v>
      </c>
      <c r="C104">
        <v>1</v>
      </c>
      <c r="D104">
        <v>2</v>
      </c>
      <c r="E104" t="s">
        <v>99</v>
      </c>
      <c r="F104" t="s">
        <v>84</v>
      </c>
      <c r="G104" t="s">
        <v>29</v>
      </c>
      <c r="H104" t="s">
        <v>5</v>
      </c>
      <c r="I104" t="s">
        <v>191</v>
      </c>
      <c r="J104">
        <v>146561</v>
      </c>
    </row>
    <row r="105" spans="1:10" x14ac:dyDescent="0.25">
      <c r="A105" t="str">
        <f>I105&amp;B105&amp;C105&amp;D105</f>
        <v>GY 18 SWIM 3201812</v>
      </c>
      <c r="B105">
        <v>2018</v>
      </c>
      <c r="C105">
        <v>1</v>
      </c>
      <c r="D105">
        <v>2</v>
      </c>
      <c r="E105" t="s">
        <v>99</v>
      </c>
      <c r="F105" t="s">
        <v>84</v>
      </c>
      <c r="G105" t="s">
        <v>29</v>
      </c>
      <c r="H105" t="s">
        <v>6</v>
      </c>
      <c r="I105" t="s">
        <v>197</v>
      </c>
      <c r="J105">
        <v>200628</v>
      </c>
    </row>
    <row r="106" spans="1:10" x14ac:dyDescent="0.25">
      <c r="A106" t="str">
        <f>I106&amp;B106&amp;C106&amp;D106</f>
        <v>GY 18 VDAY201812</v>
      </c>
      <c r="B106">
        <v>2018</v>
      </c>
      <c r="C106">
        <v>1</v>
      </c>
      <c r="D106">
        <v>2</v>
      </c>
      <c r="E106" t="s">
        <v>99</v>
      </c>
      <c r="F106" t="s">
        <v>84</v>
      </c>
      <c r="G106" t="s">
        <v>29</v>
      </c>
      <c r="H106" t="s">
        <v>8</v>
      </c>
      <c r="I106" t="s">
        <v>396</v>
      </c>
      <c r="J106">
        <v>57648</v>
      </c>
    </row>
    <row r="107" spans="1:10" x14ac:dyDescent="0.25">
      <c r="A107" t="str">
        <f>I107&amp;B107&amp;C107&amp;D107</f>
        <v>GY YRLY BASICS201812</v>
      </c>
      <c r="B107">
        <v>2018</v>
      </c>
      <c r="C107">
        <v>1</v>
      </c>
      <c r="D107">
        <v>2</v>
      </c>
      <c r="E107" t="s">
        <v>99</v>
      </c>
      <c r="F107" t="s">
        <v>84</v>
      </c>
      <c r="G107" t="s">
        <v>29</v>
      </c>
      <c r="H107" t="s">
        <v>10</v>
      </c>
      <c r="I107" t="s">
        <v>349</v>
      </c>
      <c r="J107">
        <v>0</v>
      </c>
    </row>
    <row r="108" spans="1:10" x14ac:dyDescent="0.25">
      <c r="A108" t="str">
        <f>I108&amp;B108&amp;C108&amp;D108</f>
        <v>GY YRLY DENIM201812</v>
      </c>
      <c r="B108">
        <v>2018</v>
      </c>
      <c r="C108">
        <v>1</v>
      </c>
      <c r="D108">
        <v>2</v>
      </c>
      <c r="E108" t="s">
        <v>99</v>
      </c>
      <c r="F108" t="s">
        <v>84</v>
      </c>
      <c r="G108" t="s">
        <v>29</v>
      </c>
      <c r="H108" t="s">
        <v>10</v>
      </c>
      <c r="I108" t="s">
        <v>350</v>
      </c>
      <c r="J108">
        <v>0</v>
      </c>
    </row>
    <row r="109" spans="1:10" x14ac:dyDescent="0.25">
      <c r="A109" t="str">
        <f>I109&amp;B109&amp;C109&amp;D109</f>
        <v>GY YRLY UNIFORM201812</v>
      </c>
      <c r="B109">
        <v>2018</v>
      </c>
      <c r="C109">
        <v>1</v>
      </c>
      <c r="D109">
        <v>2</v>
      </c>
      <c r="E109" t="s">
        <v>99</v>
      </c>
      <c r="F109" t="s">
        <v>84</v>
      </c>
      <c r="G109" t="s">
        <v>29</v>
      </c>
      <c r="H109" t="s">
        <v>10</v>
      </c>
      <c r="I109" t="s">
        <v>351</v>
      </c>
      <c r="J109">
        <v>37796</v>
      </c>
    </row>
    <row r="110" spans="1:10" x14ac:dyDescent="0.25">
      <c r="A110" t="str">
        <f>I110&amp;B110&amp;C110&amp;D110</f>
        <v>Old201812</v>
      </c>
      <c r="B110">
        <v>2018</v>
      </c>
      <c r="C110">
        <v>1</v>
      </c>
      <c r="D110">
        <v>2</v>
      </c>
      <c r="E110" t="s">
        <v>99</v>
      </c>
      <c r="F110" t="s">
        <v>84</v>
      </c>
      <c r="G110" t="s">
        <v>29</v>
      </c>
      <c r="H110" t="s">
        <v>434</v>
      </c>
      <c r="I110" t="s">
        <v>434</v>
      </c>
      <c r="J110">
        <v>1317552</v>
      </c>
    </row>
    <row r="111" spans="1:10" x14ac:dyDescent="0.25">
      <c r="A111" t="str">
        <f>I111&amp;B111&amp;C111&amp;D111</f>
        <v>Winter 17201812</v>
      </c>
      <c r="B111">
        <v>2018</v>
      </c>
      <c r="C111">
        <v>1</v>
      </c>
      <c r="D111">
        <v>2</v>
      </c>
      <c r="E111" t="s">
        <v>99</v>
      </c>
      <c r="F111" t="s">
        <v>84</v>
      </c>
      <c r="G111" t="s">
        <v>29</v>
      </c>
      <c r="H111" t="s">
        <v>435</v>
      </c>
      <c r="I111" t="s">
        <v>435</v>
      </c>
      <c r="J111">
        <v>449735</v>
      </c>
    </row>
    <row r="112" spans="1:10" x14ac:dyDescent="0.25">
      <c r="A112" t="str">
        <f>I112&amp;B112&amp;C112&amp;D112</f>
        <v>GY 17 BTS201813</v>
      </c>
      <c r="B112">
        <v>2018</v>
      </c>
      <c r="C112">
        <v>1</v>
      </c>
      <c r="D112">
        <v>3</v>
      </c>
      <c r="E112" t="s">
        <v>99</v>
      </c>
      <c r="F112" t="s">
        <v>84</v>
      </c>
      <c r="G112" t="s">
        <v>29</v>
      </c>
      <c r="H112" t="s">
        <v>54</v>
      </c>
      <c r="I112" t="s">
        <v>397</v>
      </c>
      <c r="J112">
        <v>8171</v>
      </c>
    </row>
    <row r="113" spans="1:10" x14ac:dyDescent="0.25">
      <c r="A113" t="str">
        <f>I113&amp;B113&amp;C113&amp;D113</f>
        <v>GY 17 CAP201813</v>
      </c>
      <c r="B113">
        <v>2018</v>
      </c>
      <c r="C113">
        <v>1</v>
      </c>
      <c r="D113">
        <v>3</v>
      </c>
      <c r="E113" t="s">
        <v>99</v>
      </c>
      <c r="F113" t="s">
        <v>84</v>
      </c>
      <c r="G113" t="s">
        <v>29</v>
      </c>
      <c r="H113" t="s">
        <v>6</v>
      </c>
      <c r="I113" t="s">
        <v>404</v>
      </c>
      <c r="J113">
        <v>827</v>
      </c>
    </row>
    <row r="114" spans="1:10" x14ac:dyDescent="0.25">
      <c r="A114" t="str">
        <f>I114&amp;B114&amp;C114&amp;D114</f>
        <v>GY 17 DRSY CAP201813</v>
      </c>
      <c r="B114">
        <v>2018</v>
      </c>
      <c r="C114">
        <v>1</v>
      </c>
      <c r="D114">
        <v>3</v>
      </c>
      <c r="E114" t="s">
        <v>99</v>
      </c>
      <c r="F114" t="s">
        <v>84</v>
      </c>
      <c r="G114" t="s">
        <v>29</v>
      </c>
      <c r="H114" t="s">
        <v>5</v>
      </c>
      <c r="I114" t="s">
        <v>186</v>
      </c>
      <c r="J114">
        <v>5788</v>
      </c>
    </row>
    <row r="115" spans="1:10" x14ac:dyDescent="0.25">
      <c r="A115" t="str">
        <f>I115&amp;B115&amp;C115&amp;D115</f>
        <v>GY 17 FAL201813</v>
      </c>
      <c r="B115">
        <v>2018</v>
      </c>
      <c r="C115">
        <v>1</v>
      </c>
      <c r="D115">
        <v>3</v>
      </c>
      <c r="E115" t="s">
        <v>99</v>
      </c>
      <c r="F115" t="s">
        <v>84</v>
      </c>
      <c r="G115" t="s">
        <v>29</v>
      </c>
      <c r="H115" t="s">
        <v>54</v>
      </c>
      <c r="I115" t="s">
        <v>398</v>
      </c>
      <c r="J115">
        <v>81374</v>
      </c>
    </row>
    <row r="116" spans="1:10" x14ac:dyDescent="0.25">
      <c r="A116" t="str">
        <f>I116&amp;B116&amp;C116&amp;D116</f>
        <v>GY 17 FALL 1201813</v>
      </c>
      <c r="B116">
        <v>2018</v>
      </c>
      <c r="C116">
        <v>1</v>
      </c>
      <c r="D116">
        <v>3</v>
      </c>
      <c r="E116" t="s">
        <v>99</v>
      </c>
      <c r="F116" t="s">
        <v>84</v>
      </c>
      <c r="G116" t="s">
        <v>29</v>
      </c>
      <c r="H116" t="s">
        <v>54</v>
      </c>
      <c r="I116" t="s">
        <v>399</v>
      </c>
      <c r="J116">
        <v>25892</v>
      </c>
    </row>
    <row r="117" spans="1:10" x14ac:dyDescent="0.25">
      <c r="A117" t="str">
        <f>I117&amp;B117&amp;C117&amp;D117</f>
        <v>GY 17 FALL 2201813</v>
      </c>
      <c r="B117">
        <v>2018</v>
      </c>
      <c r="C117">
        <v>1</v>
      </c>
      <c r="D117">
        <v>3</v>
      </c>
      <c r="E117" t="s">
        <v>99</v>
      </c>
      <c r="F117" t="s">
        <v>84</v>
      </c>
      <c r="G117" t="s">
        <v>29</v>
      </c>
      <c r="H117" t="s">
        <v>54</v>
      </c>
      <c r="I117" t="s">
        <v>400</v>
      </c>
      <c r="J117">
        <v>210802</v>
      </c>
    </row>
    <row r="118" spans="1:10" x14ac:dyDescent="0.25">
      <c r="A118" t="str">
        <f>I118&amp;B118&amp;C118&amp;D118</f>
        <v>GY 17 FALL 3201813</v>
      </c>
      <c r="B118">
        <v>2018</v>
      </c>
      <c r="C118">
        <v>1</v>
      </c>
      <c r="D118">
        <v>3</v>
      </c>
      <c r="E118" t="s">
        <v>99</v>
      </c>
      <c r="F118" t="s">
        <v>84</v>
      </c>
      <c r="G118" t="s">
        <v>29</v>
      </c>
      <c r="H118" t="s">
        <v>54</v>
      </c>
      <c r="I118" t="s">
        <v>401</v>
      </c>
      <c r="J118">
        <v>301883</v>
      </c>
    </row>
    <row r="119" spans="1:10" x14ac:dyDescent="0.25">
      <c r="A119" t="str">
        <f>I119&amp;B119&amp;C119&amp;D119</f>
        <v>GY 17 FALL 4201813</v>
      </c>
      <c r="B119">
        <v>2018</v>
      </c>
      <c r="C119">
        <v>1</v>
      </c>
      <c r="D119">
        <v>3</v>
      </c>
      <c r="E119" t="s">
        <v>99</v>
      </c>
      <c r="F119" t="s">
        <v>84</v>
      </c>
      <c r="G119" t="s">
        <v>29</v>
      </c>
      <c r="H119" t="s">
        <v>54</v>
      </c>
      <c r="I119" t="s">
        <v>402</v>
      </c>
      <c r="J119">
        <v>167270</v>
      </c>
    </row>
    <row r="120" spans="1:10" x14ac:dyDescent="0.25">
      <c r="A120" t="str">
        <f>I120&amp;B120&amp;C120&amp;D120</f>
        <v>GY 17 FALL BASICS201813</v>
      </c>
      <c r="B120">
        <v>2018</v>
      </c>
      <c r="C120">
        <v>1</v>
      </c>
      <c r="D120">
        <v>3</v>
      </c>
      <c r="E120" t="s">
        <v>99</v>
      </c>
      <c r="F120" t="s">
        <v>84</v>
      </c>
      <c r="G120" t="s">
        <v>29</v>
      </c>
      <c r="H120" t="s">
        <v>10</v>
      </c>
      <c r="I120" t="s">
        <v>176</v>
      </c>
      <c r="J120">
        <v>79558</v>
      </c>
    </row>
    <row r="121" spans="1:10" x14ac:dyDescent="0.25">
      <c r="A121" t="str">
        <f>I121&amp;B121&amp;C121&amp;D121</f>
        <v>GY 17 HO HO SHOP201813</v>
      </c>
      <c r="B121">
        <v>2018</v>
      </c>
      <c r="C121">
        <v>1</v>
      </c>
      <c r="D121">
        <v>3</v>
      </c>
      <c r="E121" t="s">
        <v>99</v>
      </c>
      <c r="F121" t="s">
        <v>84</v>
      </c>
      <c r="G121" t="s">
        <v>29</v>
      </c>
      <c r="H121" t="s">
        <v>54</v>
      </c>
      <c r="I121" t="s">
        <v>405</v>
      </c>
      <c r="J121">
        <v>337752</v>
      </c>
    </row>
    <row r="122" spans="1:10" x14ac:dyDescent="0.25">
      <c r="A122" t="str">
        <f>I122&amp;B122&amp;C122&amp;D122</f>
        <v>GY 17 HOL201813</v>
      </c>
      <c r="B122">
        <v>2018</v>
      </c>
      <c r="C122">
        <v>1</v>
      </c>
      <c r="D122">
        <v>3</v>
      </c>
      <c r="E122" t="s">
        <v>99</v>
      </c>
      <c r="F122" t="s">
        <v>84</v>
      </c>
      <c r="G122" t="s">
        <v>29</v>
      </c>
      <c r="H122" t="s">
        <v>8</v>
      </c>
      <c r="I122" t="s">
        <v>406</v>
      </c>
      <c r="J122">
        <v>79010</v>
      </c>
    </row>
    <row r="123" spans="1:10" x14ac:dyDescent="0.25">
      <c r="A123" t="str">
        <f>I123&amp;B123&amp;C123&amp;D123</f>
        <v>GY 17 JAN CAP201813</v>
      </c>
      <c r="B123">
        <v>2018</v>
      </c>
      <c r="C123">
        <v>1</v>
      </c>
      <c r="D123">
        <v>3</v>
      </c>
      <c r="E123" t="s">
        <v>99</v>
      </c>
      <c r="F123" t="s">
        <v>84</v>
      </c>
      <c r="G123" t="s">
        <v>29</v>
      </c>
      <c r="H123" t="s">
        <v>8</v>
      </c>
      <c r="I123" t="s">
        <v>407</v>
      </c>
      <c r="J123">
        <v>2340</v>
      </c>
    </row>
    <row r="124" spans="1:10" x14ac:dyDescent="0.25">
      <c r="A124" t="str">
        <f>I124&amp;B124&amp;C124&amp;D124</f>
        <v>GY 17 SM2201813</v>
      </c>
      <c r="B124">
        <v>2018</v>
      </c>
      <c r="C124">
        <v>1</v>
      </c>
      <c r="D124">
        <v>3</v>
      </c>
      <c r="E124" t="s">
        <v>99</v>
      </c>
      <c r="F124" t="s">
        <v>84</v>
      </c>
      <c r="G124" t="s">
        <v>29</v>
      </c>
      <c r="H124" t="s">
        <v>6</v>
      </c>
      <c r="I124" t="s">
        <v>194</v>
      </c>
      <c r="J124">
        <v>1012</v>
      </c>
    </row>
    <row r="125" spans="1:10" x14ac:dyDescent="0.25">
      <c r="A125" t="str">
        <f>I125&amp;B125&amp;C125&amp;D125</f>
        <v>GY 17 SM3201813</v>
      </c>
      <c r="B125">
        <v>2018</v>
      </c>
      <c r="C125">
        <v>1</v>
      </c>
      <c r="D125">
        <v>3</v>
      </c>
      <c r="E125" t="s">
        <v>99</v>
      </c>
      <c r="F125" t="s">
        <v>84</v>
      </c>
      <c r="G125" t="s">
        <v>29</v>
      </c>
      <c r="H125" t="s">
        <v>6</v>
      </c>
      <c r="I125" t="s">
        <v>196</v>
      </c>
      <c r="J125">
        <v>1678</v>
      </c>
    </row>
    <row r="126" spans="1:10" x14ac:dyDescent="0.25">
      <c r="A126" t="str">
        <f>I126&amp;B126&amp;C126&amp;D126</f>
        <v>GY 17 SM4201813</v>
      </c>
      <c r="B126">
        <v>2018</v>
      </c>
      <c r="C126">
        <v>1</v>
      </c>
      <c r="D126">
        <v>3</v>
      </c>
      <c r="E126" t="s">
        <v>99</v>
      </c>
      <c r="F126" t="s">
        <v>84</v>
      </c>
      <c r="G126" t="s">
        <v>29</v>
      </c>
      <c r="H126" t="s">
        <v>6</v>
      </c>
      <c r="I126" t="s">
        <v>200</v>
      </c>
      <c r="J126">
        <v>1999</v>
      </c>
    </row>
    <row r="127" spans="1:10" x14ac:dyDescent="0.25">
      <c r="A127" t="str">
        <f>I127&amp;B127&amp;C127&amp;D127</f>
        <v>GY 17 SMR201813</v>
      </c>
      <c r="B127">
        <v>2018</v>
      </c>
      <c r="C127">
        <v>1</v>
      </c>
      <c r="D127">
        <v>3</v>
      </c>
      <c r="E127" t="s">
        <v>99</v>
      </c>
      <c r="F127" t="s">
        <v>84</v>
      </c>
      <c r="G127" t="s">
        <v>29</v>
      </c>
      <c r="H127" t="s">
        <v>6</v>
      </c>
      <c r="I127" t="s">
        <v>204</v>
      </c>
      <c r="J127">
        <v>5202</v>
      </c>
    </row>
    <row r="128" spans="1:10" x14ac:dyDescent="0.25">
      <c r="A128" t="str">
        <f>I128&amp;B128&amp;C128&amp;D128</f>
        <v>GY 17 SPR201813</v>
      </c>
      <c r="B128">
        <v>2018</v>
      </c>
      <c r="C128">
        <v>1</v>
      </c>
      <c r="D128">
        <v>3</v>
      </c>
      <c r="E128" t="s">
        <v>99</v>
      </c>
      <c r="F128" t="s">
        <v>84</v>
      </c>
      <c r="G128" t="s">
        <v>29</v>
      </c>
      <c r="H128" t="s">
        <v>5</v>
      </c>
      <c r="I128" t="s">
        <v>178</v>
      </c>
      <c r="J128">
        <v>2715</v>
      </c>
    </row>
    <row r="129" spans="1:10" x14ac:dyDescent="0.25">
      <c r="A129" t="str">
        <f>I129&amp;B129&amp;C129&amp;D129</f>
        <v>GY 17 SPR 1201813</v>
      </c>
      <c r="B129">
        <v>2018</v>
      </c>
      <c r="C129">
        <v>1</v>
      </c>
      <c r="D129">
        <v>3</v>
      </c>
      <c r="E129" t="s">
        <v>99</v>
      </c>
      <c r="F129" t="s">
        <v>84</v>
      </c>
      <c r="G129" t="s">
        <v>29</v>
      </c>
      <c r="H129" t="s">
        <v>5</v>
      </c>
      <c r="I129" t="s">
        <v>180</v>
      </c>
      <c r="J129">
        <v>2356</v>
      </c>
    </row>
    <row r="130" spans="1:10" x14ac:dyDescent="0.25">
      <c r="A130" t="str">
        <f>I130&amp;B130&amp;C130&amp;D130</f>
        <v>GY 17 SPR 2201813</v>
      </c>
      <c r="B130">
        <v>2018</v>
      </c>
      <c r="C130">
        <v>1</v>
      </c>
      <c r="D130">
        <v>3</v>
      </c>
      <c r="E130" t="s">
        <v>99</v>
      </c>
      <c r="F130" t="s">
        <v>84</v>
      </c>
      <c r="G130" t="s">
        <v>29</v>
      </c>
      <c r="H130" t="s">
        <v>5</v>
      </c>
      <c r="I130" t="s">
        <v>182</v>
      </c>
      <c r="J130">
        <v>1076</v>
      </c>
    </row>
    <row r="131" spans="1:10" x14ac:dyDescent="0.25">
      <c r="A131" t="str">
        <f>I131&amp;B131&amp;C131&amp;D131</f>
        <v>GY 17 SPR TRANS201813</v>
      </c>
      <c r="B131">
        <v>2018</v>
      </c>
      <c r="C131">
        <v>1</v>
      </c>
      <c r="D131">
        <v>3</v>
      </c>
      <c r="E131" t="s">
        <v>99</v>
      </c>
      <c r="F131" t="s">
        <v>84</v>
      </c>
      <c r="G131" t="s">
        <v>29</v>
      </c>
      <c r="H131" t="s">
        <v>8</v>
      </c>
      <c r="I131" t="s">
        <v>403</v>
      </c>
      <c r="J131">
        <v>14924</v>
      </c>
    </row>
    <row r="132" spans="1:10" x14ac:dyDescent="0.25">
      <c r="A132" t="str">
        <f>I132&amp;B132&amp;C132&amp;D132</f>
        <v>GY 17 SPR VAC201813</v>
      </c>
      <c r="B132">
        <v>2018</v>
      </c>
      <c r="C132">
        <v>1</v>
      </c>
      <c r="D132">
        <v>3</v>
      </c>
      <c r="E132" t="s">
        <v>99</v>
      </c>
      <c r="F132" t="s">
        <v>84</v>
      </c>
      <c r="G132" t="s">
        <v>29</v>
      </c>
      <c r="H132" t="s">
        <v>5</v>
      </c>
      <c r="I132" t="s">
        <v>188</v>
      </c>
      <c r="J132">
        <v>783</v>
      </c>
    </row>
    <row r="133" spans="1:10" x14ac:dyDescent="0.25">
      <c r="A133" t="str">
        <f>I133&amp;B133&amp;C133&amp;D133</f>
        <v>GY 17 SPRING BASICS201813</v>
      </c>
      <c r="B133">
        <v>2018</v>
      </c>
      <c r="C133">
        <v>1</v>
      </c>
      <c r="D133">
        <v>3</v>
      </c>
      <c r="E133" t="s">
        <v>99</v>
      </c>
      <c r="F133" t="s">
        <v>84</v>
      </c>
      <c r="G133" t="s">
        <v>29</v>
      </c>
      <c r="H133" t="s">
        <v>10</v>
      </c>
      <c r="I133" t="s">
        <v>174</v>
      </c>
      <c r="J133">
        <v>21638</v>
      </c>
    </row>
    <row r="134" spans="1:10" x14ac:dyDescent="0.25">
      <c r="A134" t="str">
        <f>I134&amp;B134&amp;C134&amp;D134</f>
        <v>GY 17 SUM 1201813</v>
      </c>
      <c r="B134">
        <v>2018</v>
      </c>
      <c r="C134">
        <v>1</v>
      </c>
      <c r="D134">
        <v>3</v>
      </c>
      <c r="E134" t="s">
        <v>99</v>
      </c>
      <c r="F134" t="s">
        <v>84</v>
      </c>
      <c r="G134" t="s">
        <v>29</v>
      </c>
      <c r="H134" t="s">
        <v>5</v>
      </c>
      <c r="I134" t="s">
        <v>190</v>
      </c>
      <c r="J134">
        <v>2614</v>
      </c>
    </row>
    <row r="135" spans="1:10" x14ac:dyDescent="0.25">
      <c r="A135" t="str">
        <f>I135&amp;B135&amp;C135&amp;D135</f>
        <v>GY 17 SWIM 1201813</v>
      </c>
      <c r="B135">
        <v>2018</v>
      </c>
      <c r="C135">
        <v>1</v>
      </c>
      <c r="D135">
        <v>3</v>
      </c>
      <c r="E135" t="s">
        <v>99</v>
      </c>
      <c r="F135" t="s">
        <v>84</v>
      </c>
      <c r="G135" t="s">
        <v>29</v>
      </c>
      <c r="H135" t="s">
        <v>5</v>
      </c>
      <c r="I135" t="s">
        <v>184</v>
      </c>
      <c r="J135">
        <v>407</v>
      </c>
    </row>
    <row r="136" spans="1:10" x14ac:dyDescent="0.25">
      <c r="A136" t="str">
        <f>I136&amp;B136&amp;C136&amp;D136</f>
        <v>GY 17 SWIM 2201813</v>
      </c>
      <c r="B136">
        <v>2018</v>
      </c>
      <c r="C136">
        <v>1</v>
      </c>
      <c r="D136">
        <v>3</v>
      </c>
      <c r="E136" t="s">
        <v>99</v>
      </c>
      <c r="F136" t="s">
        <v>84</v>
      </c>
      <c r="G136" t="s">
        <v>29</v>
      </c>
      <c r="H136" t="s">
        <v>5</v>
      </c>
      <c r="I136" t="s">
        <v>192</v>
      </c>
      <c r="J136">
        <v>663</v>
      </c>
    </row>
    <row r="137" spans="1:10" x14ac:dyDescent="0.25">
      <c r="A137" t="str">
        <f>I137&amp;B137&amp;C137&amp;D137</f>
        <v>GY 17 SWIM 3201813</v>
      </c>
      <c r="B137">
        <v>2018</v>
      </c>
      <c r="C137">
        <v>1</v>
      </c>
      <c r="D137">
        <v>3</v>
      </c>
      <c r="E137" t="s">
        <v>99</v>
      </c>
      <c r="F137" t="s">
        <v>84</v>
      </c>
      <c r="G137" t="s">
        <v>29</v>
      </c>
      <c r="H137" t="s">
        <v>6</v>
      </c>
      <c r="I137" t="s">
        <v>198</v>
      </c>
      <c r="J137">
        <v>250</v>
      </c>
    </row>
    <row r="138" spans="1:10" x14ac:dyDescent="0.25">
      <c r="A138" t="str">
        <f>I138&amp;B138&amp;C138&amp;D138</f>
        <v>GY 17 TRANS201813</v>
      </c>
      <c r="B138">
        <v>2018</v>
      </c>
      <c r="C138">
        <v>1</v>
      </c>
      <c r="D138">
        <v>3</v>
      </c>
      <c r="E138" t="s">
        <v>99</v>
      </c>
      <c r="F138" t="s">
        <v>84</v>
      </c>
      <c r="G138" t="s">
        <v>29</v>
      </c>
      <c r="H138" t="s">
        <v>6</v>
      </c>
      <c r="I138" t="s">
        <v>202</v>
      </c>
      <c r="J138">
        <v>11086</v>
      </c>
    </row>
    <row r="139" spans="1:10" x14ac:dyDescent="0.25">
      <c r="A139" t="str">
        <f>I139&amp;B139&amp;C139&amp;D139</f>
        <v>GY 17 WINTER 1201813</v>
      </c>
      <c r="B139">
        <v>2018</v>
      </c>
      <c r="C139">
        <v>1</v>
      </c>
      <c r="D139">
        <v>3</v>
      </c>
      <c r="E139" t="s">
        <v>99</v>
      </c>
      <c r="F139" t="s">
        <v>84</v>
      </c>
      <c r="G139" t="s">
        <v>29</v>
      </c>
      <c r="H139" t="s">
        <v>8</v>
      </c>
      <c r="I139" t="s">
        <v>408</v>
      </c>
      <c r="J139">
        <v>28981</v>
      </c>
    </row>
    <row r="140" spans="1:10" x14ac:dyDescent="0.25">
      <c r="A140" t="str">
        <f>I140&amp;B140&amp;C140&amp;D140</f>
        <v>GY 17 WINTER 2201813</v>
      </c>
      <c r="B140">
        <v>2018</v>
      </c>
      <c r="C140">
        <v>1</v>
      </c>
      <c r="D140">
        <v>3</v>
      </c>
      <c r="E140" t="s">
        <v>99</v>
      </c>
      <c r="F140" t="s">
        <v>84</v>
      </c>
      <c r="G140" t="s">
        <v>29</v>
      </c>
      <c r="H140" t="s">
        <v>8</v>
      </c>
      <c r="I140" t="s">
        <v>409</v>
      </c>
      <c r="J140">
        <v>53959</v>
      </c>
    </row>
    <row r="141" spans="1:10" x14ac:dyDescent="0.25">
      <c r="A141" t="str">
        <f>I141&amp;B141&amp;C141&amp;D141</f>
        <v>GY 17 WINTER 3201813</v>
      </c>
      <c r="B141">
        <v>2018</v>
      </c>
      <c r="C141">
        <v>1</v>
      </c>
      <c r="D141">
        <v>3</v>
      </c>
      <c r="E141" t="s">
        <v>99</v>
      </c>
      <c r="F141" t="s">
        <v>84</v>
      </c>
      <c r="G141" t="s">
        <v>29</v>
      </c>
      <c r="H141" t="s">
        <v>8</v>
      </c>
      <c r="I141" t="s">
        <v>410</v>
      </c>
      <c r="J141">
        <v>20306</v>
      </c>
    </row>
    <row r="142" spans="1:10" x14ac:dyDescent="0.25">
      <c r="A142" t="str">
        <f>I142&amp;B142&amp;C142&amp;D142</f>
        <v>GY 18 BTS201813</v>
      </c>
      <c r="B142">
        <v>2018</v>
      </c>
      <c r="C142">
        <v>1</v>
      </c>
      <c r="D142">
        <v>3</v>
      </c>
      <c r="E142" t="s">
        <v>99</v>
      </c>
      <c r="F142" t="s">
        <v>84</v>
      </c>
      <c r="G142" t="s">
        <v>29</v>
      </c>
      <c r="H142" t="s">
        <v>54</v>
      </c>
      <c r="I142" t="s">
        <v>428</v>
      </c>
      <c r="J142">
        <v>0</v>
      </c>
    </row>
    <row r="143" spans="1:10" x14ac:dyDescent="0.25">
      <c r="A143" t="str">
        <f>I143&amp;B143&amp;C143&amp;D143</f>
        <v>GY 18 FAL201813</v>
      </c>
      <c r="B143">
        <v>2018</v>
      </c>
      <c r="C143">
        <v>1</v>
      </c>
      <c r="D143">
        <v>3</v>
      </c>
      <c r="E143" t="s">
        <v>99</v>
      </c>
      <c r="F143" t="s">
        <v>84</v>
      </c>
      <c r="G143" t="s">
        <v>29</v>
      </c>
      <c r="H143" t="s">
        <v>54</v>
      </c>
      <c r="I143" t="s">
        <v>427</v>
      </c>
      <c r="J143">
        <v>-1</v>
      </c>
    </row>
    <row r="144" spans="1:10" x14ac:dyDescent="0.25">
      <c r="A144" t="str">
        <f>I144&amp;B144&amp;C144&amp;D144</f>
        <v>GY 18 FALL 1201813</v>
      </c>
      <c r="B144">
        <v>2018</v>
      </c>
      <c r="C144">
        <v>1</v>
      </c>
      <c r="D144">
        <v>3</v>
      </c>
      <c r="E144" t="s">
        <v>99</v>
      </c>
      <c r="F144" t="s">
        <v>84</v>
      </c>
      <c r="G144" t="s">
        <v>29</v>
      </c>
      <c r="H144" t="s">
        <v>54</v>
      </c>
      <c r="I144" t="s">
        <v>429</v>
      </c>
      <c r="J144">
        <v>-3</v>
      </c>
    </row>
    <row r="145" spans="1:10" x14ac:dyDescent="0.25">
      <c r="A145" t="str">
        <f>I145&amp;B145&amp;C145&amp;D145</f>
        <v>GY 18 FALL 2201813</v>
      </c>
      <c r="B145">
        <v>2018</v>
      </c>
      <c r="C145">
        <v>1</v>
      </c>
      <c r="D145">
        <v>3</v>
      </c>
      <c r="E145" t="s">
        <v>99</v>
      </c>
      <c r="F145" t="s">
        <v>84</v>
      </c>
      <c r="G145" t="s">
        <v>29</v>
      </c>
      <c r="H145" t="s">
        <v>54</v>
      </c>
      <c r="I145" t="s">
        <v>430</v>
      </c>
      <c r="J145">
        <v>0</v>
      </c>
    </row>
    <row r="146" spans="1:10" x14ac:dyDescent="0.25">
      <c r="A146" t="str">
        <f>I146&amp;B146&amp;C146&amp;D146</f>
        <v>GY 18 FALL BASICS201813</v>
      </c>
      <c r="B146">
        <v>2018</v>
      </c>
      <c r="C146">
        <v>1</v>
      </c>
      <c r="D146">
        <v>3</v>
      </c>
      <c r="E146" t="s">
        <v>99</v>
      </c>
      <c r="F146" t="s">
        <v>84</v>
      </c>
      <c r="G146" t="s">
        <v>29</v>
      </c>
      <c r="H146" t="s">
        <v>10</v>
      </c>
      <c r="I146" t="s">
        <v>175</v>
      </c>
      <c r="J146">
        <v>0</v>
      </c>
    </row>
    <row r="147" spans="1:10" x14ac:dyDescent="0.25">
      <c r="A147" t="str">
        <f>I147&amp;B147&amp;C147&amp;D147</f>
        <v>GY 18 SM2201813</v>
      </c>
      <c r="B147">
        <v>2018</v>
      </c>
      <c r="C147">
        <v>1</v>
      </c>
      <c r="D147">
        <v>3</v>
      </c>
      <c r="E147" t="s">
        <v>99</v>
      </c>
      <c r="F147" t="s">
        <v>84</v>
      </c>
      <c r="G147" t="s">
        <v>29</v>
      </c>
      <c r="H147" t="s">
        <v>6</v>
      </c>
      <c r="I147" t="s">
        <v>193</v>
      </c>
      <c r="J147">
        <v>757875</v>
      </c>
    </row>
    <row r="148" spans="1:10" x14ac:dyDescent="0.25">
      <c r="A148" t="str">
        <f>I148&amp;B148&amp;C148&amp;D148</f>
        <v>GY 18 SM3201813</v>
      </c>
      <c r="B148">
        <v>2018</v>
      </c>
      <c r="C148">
        <v>1</v>
      </c>
      <c r="D148">
        <v>3</v>
      </c>
      <c r="E148" t="s">
        <v>99</v>
      </c>
      <c r="F148" t="s">
        <v>84</v>
      </c>
      <c r="G148" t="s">
        <v>29</v>
      </c>
      <c r="H148" t="s">
        <v>6</v>
      </c>
      <c r="I148" t="s">
        <v>195</v>
      </c>
      <c r="J148">
        <v>765220</v>
      </c>
    </row>
    <row r="149" spans="1:10" x14ac:dyDescent="0.25">
      <c r="A149" t="str">
        <f>I149&amp;B149&amp;C149&amp;D149</f>
        <v>GY 18 SM4201813</v>
      </c>
      <c r="B149">
        <v>2018</v>
      </c>
      <c r="C149">
        <v>1</v>
      </c>
      <c r="D149">
        <v>3</v>
      </c>
      <c r="E149" t="s">
        <v>99</v>
      </c>
      <c r="F149" t="s">
        <v>84</v>
      </c>
      <c r="G149" t="s">
        <v>29</v>
      </c>
      <c r="H149" t="s">
        <v>6</v>
      </c>
      <c r="I149" t="s">
        <v>199</v>
      </c>
      <c r="J149">
        <v>525560</v>
      </c>
    </row>
    <row r="150" spans="1:10" x14ac:dyDescent="0.25">
      <c r="A150" t="str">
        <f>I150&amp;B150&amp;C150&amp;D150</f>
        <v>GY 18 SM5201813</v>
      </c>
      <c r="B150">
        <v>2018</v>
      </c>
      <c r="C150">
        <v>1</v>
      </c>
      <c r="D150">
        <v>3</v>
      </c>
      <c r="E150" t="s">
        <v>99</v>
      </c>
      <c r="F150" t="s">
        <v>84</v>
      </c>
      <c r="G150" t="s">
        <v>29</v>
      </c>
      <c r="H150" t="s">
        <v>6</v>
      </c>
      <c r="I150" t="s">
        <v>201</v>
      </c>
      <c r="J150">
        <v>10</v>
      </c>
    </row>
    <row r="151" spans="1:10" x14ac:dyDescent="0.25">
      <c r="A151" t="str">
        <f>I151&amp;B151&amp;C151&amp;D151</f>
        <v>GY 18 SMR201813</v>
      </c>
      <c r="B151">
        <v>2018</v>
      </c>
      <c r="C151">
        <v>1</v>
      </c>
      <c r="D151">
        <v>3</v>
      </c>
      <c r="E151" t="s">
        <v>99</v>
      </c>
      <c r="F151" t="s">
        <v>84</v>
      </c>
      <c r="G151" t="s">
        <v>29</v>
      </c>
      <c r="H151" t="s">
        <v>6</v>
      </c>
      <c r="I151" t="s">
        <v>203</v>
      </c>
      <c r="J151">
        <v>1376353</v>
      </c>
    </row>
    <row r="152" spans="1:10" x14ac:dyDescent="0.25">
      <c r="A152" t="str">
        <f>I152&amp;B152&amp;C152&amp;D152</f>
        <v>GY 18 SPR201813</v>
      </c>
      <c r="B152">
        <v>2018</v>
      </c>
      <c r="C152">
        <v>1</v>
      </c>
      <c r="D152">
        <v>3</v>
      </c>
      <c r="E152" t="s">
        <v>99</v>
      </c>
      <c r="F152" t="s">
        <v>84</v>
      </c>
      <c r="G152" t="s">
        <v>29</v>
      </c>
      <c r="H152" t="s">
        <v>5</v>
      </c>
      <c r="I152" t="s">
        <v>177</v>
      </c>
      <c r="J152">
        <v>23304</v>
      </c>
    </row>
    <row r="153" spans="1:10" x14ac:dyDescent="0.25">
      <c r="A153" t="str">
        <f>I153&amp;B153&amp;C153&amp;D153</f>
        <v>GY 18 SPR 1201813</v>
      </c>
      <c r="B153">
        <v>2018</v>
      </c>
      <c r="C153">
        <v>1</v>
      </c>
      <c r="D153">
        <v>3</v>
      </c>
      <c r="E153" t="s">
        <v>99</v>
      </c>
      <c r="F153" t="s">
        <v>84</v>
      </c>
      <c r="G153" t="s">
        <v>29</v>
      </c>
      <c r="H153" t="s">
        <v>5</v>
      </c>
      <c r="I153" t="s">
        <v>179</v>
      </c>
      <c r="J153">
        <v>240221</v>
      </c>
    </row>
    <row r="154" spans="1:10" x14ac:dyDescent="0.25">
      <c r="A154" t="str">
        <f>I154&amp;B154&amp;C154&amp;D154</f>
        <v>GY 18 SPR 2201813</v>
      </c>
      <c r="B154">
        <v>2018</v>
      </c>
      <c r="C154">
        <v>1</v>
      </c>
      <c r="D154">
        <v>3</v>
      </c>
      <c r="E154" t="s">
        <v>99</v>
      </c>
      <c r="F154" t="s">
        <v>84</v>
      </c>
      <c r="G154" t="s">
        <v>29</v>
      </c>
      <c r="H154" t="s">
        <v>5</v>
      </c>
      <c r="I154" t="s">
        <v>181</v>
      </c>
      <c r="J154">
        <v>177825</v>
      </c>
    </row>
    <row r="155" spans="1:10" x14ac:dyDescent="0.25">
      <c r="A155" t="str">
        <f>I155&amp;B155&amp;C155&amp;D155</f>
        <v>GY 18 SPR VACA201813</v>
      </c>
      <c r="B155">
        <v>2018</v>
      </c>
      <c r="C155">
        <v>1</v>
      </c>
      <c r="D155">
        <v>3</v>
      </c>
      <c r="E155" t="s">
        <v>99</v>
      </c>
      <c r="F155" t="s">
        <v>84</v>
      </c>
      <c r="G155" t="s">
        <v>29</v>
      </c>
      <c r="H155" t="s">
        <v>5</v>
      </c>
      <c r="I155" t="s">
        <v>187</v>
      </c>
      <c r="J155">
        <v>381234</v>
      </c>
    </row>
    <row r="156" spans="1:10" x14ac:dyDescent="0.25">
      <c r="A156" t="str">
        <f>I156&amp;B156&amp;C156&amp;D156</f>
        <v>GY 18 SPRING BASICS201813</v>
      </c>
      <c r="B156">
        <v>2018</v>
      </c>
      <c r="C156">
        <v>1</v>
      </c>
      <c r="D156">
        <v>3</v>
      </c>
      <c r="E156" t="s">
        <v>99</v>
      </c>
      <c r="F156" t="s">
        <v>84</v>
      </c>
      <c r="G156" t="s">
        <v>29</v>
      </c>
      <c r="H156" t="s">
        <v>10</v>
      </c>
      <c r="I156" t="s">
        <v>173</v>
      </c>
      <c r="J156">
        <v>593861</v>
      </c>
    </row>
    <row r="157" spans="1:10" x14ac:dyDescent="0.25">
      <c r="A157" t="str">
        <f>I157&amp;B157&amp;C157&amp;D157</f>
        <v>GY 18 SUM 1201813</v>
      </c>
      <c r="B157">
        <v>2018</v>
      </c>
      <c r="C157">
        <v>1</v>
      </c>
      <c r="D157">
        <v>3</v>
      </c>
      <c r="E157" t="s">
        <v>99</v>
      </c>
      <c r="F157" t="s">
        <v>84</v>
      </c>
      <c r="G157" t="s">
        <v>29</v>
      </c>
      <c r="H157" t="s">
        <v>5</v>
      </c>
      <c r="I157" t="s">
        <v>189</v>
      </c>
      <c r="J157">
        <v>338537</v>
      </c>
    </row>
    <row r="158" spans="1:10" x14ac:dyDescent="0.25">
      <c r="A158" t="str">
        <f>I158&amp;B158&amp;C158&amp;D158</f>
        <v>GY 18 SWIM 1201813</v>
      </c>
      <c r="B158">
        <v>2018</v>
      </c>
      <c r="C158">
        <v>1</v>
      </c>
      <c r="D158">
        <v>3</v>
      </c>
      <c r="E158" t="s">
        <v>99</v>
      </c>
      <c r="F158" t="s">
        <v>84</v>
      </c>
      <c r="G158" t="s">
        <v>29</v>
      </c>
      <c r="H158" t="s">
        <v>5</v>
      </c>
      <c r="I158" t="s">
        <v>183</v>
      </c>
      <c r="J158">
        <v>25817</v>
      </c>
    </row>
    <row r="159" spans="1:10" x14ac:dyDescent="0.25">
      <c r="A159" t="str">
        <f>I159&amp;B159&amp;C159&amp;D159</f>
        <v>GY 18 SWIM 2201813</v>
      </c>
      <c r="B159">
        <v>2018</v>
      </c>
      <c r="C159">
        <v>1</v>
      </c>
      <c r="D159">
        <v>3</v>
      </c>
      <c r="E159" t="s">
        <v>99</v>
      </c>
      <c r="F159" t="s">
        <v>84</v>
      </c>
      <c r="G159" t="s">
        <v>29</v>
      </c>
      <c r="H159" t="s">
        <v>5</v>
      </c>
      <c r="I159" t="s">
        <v>191</v>
      </c>
      <c r="J159">
        <v>122087</v>
      </c>
    </row>
    <row r="160" spans="1:10" x14ac:dyDescent="0.25">
      <c r="A160" t="str">
        <f>I160&amp;B160&amp;C160&amp;D160</f>
        <v>GY 18 SWIM 3201813</v>
      </c>
      <c r="B160">
        <v>2018</v>
      </c>
      <c r="C160">
        <v>1</v>
      </c>
      <c r="D160">
        <v>3</v>
      </c>
      <c r="E160" t="s">
        <v>99</v>
      </c>
      <c r="F160" t="s">
        <v>84</v>
      </c>
      <c r="G160" t="s">
        <v>29</v>
      </c>
      <c r="H160" t="s">
        <v>6</v>
      </c>
      <c r="I160" t="s">
        <v>197</v>
      </c>
      <c r="J160">
        <v>181324</v>
      </c>
    </row>
    <row r="161" spans="1:10" x14ac:dyDescent="0.25">
      <c r="A161" t="str">
        <f>I161&amp;B161&amp;C161&amp;D161</f>
        <v>GY 18 VDAY201813</v>
      </c>
      <c r="B161">
        <v>2018</v>
      </c>
      <c r="C161">
        <v>1</v>
      </c>
      <c r="D161">
        <v>3</v>
      </c>
      <c r="E161" t="s">
        <v>99</v>
      </c>
      <c r="F161" t="s">
        <v>84</v>
      </c>
      <c r="G161" t="s">
        <v>29</v>
      </c>
      <c r="H161" t="s">
        <v>8</v>
      </c>
      <c r="I161" t="s">
        <v>396</v>
      </c>
      <c r="J161">
        <v>48318</v>
      </c>
    </row>
    <row r="162" spans="1:10" x14ac:dyDescent="0.25">
      <c r="A162" t="str">
        <f>I162&amp;B162&amp;C162&amp;D162</f>
        <v>GY YRLY BASICS201813</v>
      </c>
      <c r="B162">
        <v>2018</v>
      </c>
      <c r="C162">
        <v>1</v>
      </c>
      <c r="D162">
        <v>3</v>
      </c>
      <c r="E162" t="s">
        <v>99</v>
      </c>
      <c r="F162" t="s">
        <v>84</v>
      </c>
      <c r="G162" t="s">
        <v>29</v>
      </c>
      <c r="H162" t="s">
        <v>10</v>
      </c>
      <c r="I162" t="s">
        <v>349</v>
      </c>
      <c r="J162">
        <v>0</v>
      </c>
    </row>
    <row r="163" spans="1:10" x14ac:dyDescent="0.25">
      <c r="A163" t="str">
        <f>I163&amp;B163&amp;C163&amp;D163</f>
        <v>GY YRLY DENIM201813</v>
      </c>
      <c r="B163">
        <v>2018</v>
      </c>
      <c r="C163">
        <v>1</v>
      </c>
      <c r="D163">
        <v>3</v>
      </c>
      <c r="E163" t="s">
        <v>99</v>
      </c>
      <c r="F163" t="s">
        <v>84</v>
      </c>
      <c r="G163" t="s">
        <v>29</v>
      </c>
      <c r="H163" t="s">
        <v>10</v>
      </c>
      <c r="I163" t="s">
        <v>350</v>
      </c>
      <c r="J163">
        <v>0</v>
      </c>
    </row>
    <row r="164" spans="1:10" x14ac:dyDescent="0.25">
      <c r="A164" t="str">
        <f>I164&amp;B164&amp;C164&amp;D164</f>
        <v>GY YRLY UNIFORM201813</v>
      </c>
      <c r="B164">
        <v>2018</v>
      </c>
      <c r="C164">
        <v>1</v>
      </c>
      <c r="D164">
        <v>3</v>
      </c>
      <c r="E164" t="s">
        <v>99</v>
      </c>
      <c r="F164" t="s">
        <v>84</v>
      </c>
      <c r="G164" t="s">
        <v>29</v>
      </c>
      <c r="H164" t="s">
        <v>10</v>
      </c>
      <c r="I164" t="s">
        <v>351</v>
      </c>
      <c r="J164">
        <v>37080</v>
      </c>
    </row>
    <row r="165" spans="1:10" x14ac:dyDescent="0.25">
      <c r="A165" t="str">
        <f>I165&amp;B165&amp;C165&amp;D165</f>
        <v>Old201813</v>
      </c>
      <c r="B165">
        <v>2018</v>
      </c>
      <c r="C165">
        <v>1</v>
      </c>
      <c r="D165">
        <v>3</v>
      </c>
      <c r="E165" t="s">
        <v>99</v>
      </c>
      <c r="F165" t="s">
        <v>84</v>
      </c>
      <c r="G165" t="s">
        <v>29</v>
      </c>
      <c r="H165" t="s">
        <v>434</v>
      </c>
      <c r="I165" t="s">
        <v>434</v>
      </c>
      <c r="J165">
        <v>1171600</v>
      </c>
    </row>
    <row r="166" spans="1:10" x14ac:dyDescent="0.25">
      <c r="A166" t="str">
        <f>I166&amp;B166&amp;C166&amp;D166</f>
        <v>Winter 17201813</v>
      </c>
      <c r="B166">
        <v>2018</v>
      </c>
      <c r="C166">
        <v>1</v>
      </c>
      <c r="D166">
        <v>3</v>
      </c>
      <c r="E166" t="s">
        <v>99</v>
      </c>
      <c r="F166" t="s">
        <v>84</v>
      </c>
      <c r="G166" t="s">
        <v>29</v>
      </c>
      <c r="H166" t="s">
        <v>435</v>
      </c>
      <c r="I166" t="s">
        <v>435</v>
      </c>
      <c r="J166">
        <v>247838</v>
      </c>
    </row>
    <row r="167" spans="1:10" x14ac:dyDescent="0.25">
      <c r="A167" t="str">
        <f>I167&amp;B167&amp;C167&amp;D167</f>
        <v>GY 17 BTS201824</v>
      </c>
      <c r="B167">
        <v>2018</v>
      </c>
      <c r="C167">
        <v>2</v>
      </c>
      <c r="D167">
        <v>4</v>
      </c>
      <c r="E167" t="s">
        <v>99</v>
      </c>
      <c r="F167" t="s">
        <v>84</v>
      </c>
      <c r="G167" t="s">
        <v>29</v>
      </c>
      <c r="H167" t="s">
        <v>54</v>
      </c>
      <c r="I167" t="s">
        <v>397</v>
      </c>
      <c r="J167">
        <v>7236</v>
      </c>
    </row>
    <row r="168" spans="1:10" x14ac:dyDescent="0.25">
      <c r="A168" t="str">
        <f>I168&amp;B168&amp;C168&amp;D168</f>
        <v>GY 17 CAP201824</v>
      </c>
      <c r="B168">
        <v>2018</v>
      </c>
      <c r="C168">
        <v>2</v>
      </c>
      <c r="D168">
        <v>4</v>
      </c>
      <c r="E168" t="s">
        <v>99</v>
      </c>
      <c r="F168" t="s">
        <v>84</v>
      </c>
      <c r="G168" t="s">
        <v>29</v>
      </c>
      <c r="H168" t="s">
        <v>6</v>
      </c>
      <c r="I168" t="s">
        <v>404</v>
      </c>
      <c r="J168">
        <v>755</v>
      </c>
    </row>
    <row r="169" spans="1:10" x14ac:dyDescent="0.25">
      <c r="A169" t="str">
        <f>I169&amp;B169&amp;C169&amp;D169</f>
        <v>GY 17 DRSY CAP201824</v>
      </c>
      <c r="B169">
        <v>2018</v>
      </c>
      <c r="C169">
        <v>2</v>
      </c>
      <c r="D169">
        <v>4</v>
      </c>
      <c r="E169" t="s">
        <v>99</v>
      </c>
      <c r="F169" t="s">
        <v>84</v>
      </c>
      <c r="G169" t="s">
        <v>29</v>
      </c>
      <c r="H169" t="s">
        <v>5</v>
      </c>
      <c r="I169" t="s">
        <v>186</v>
      </c>
      <c r="J169">
        <v>5757</v>
      </c>
    </row>
    <row r="170" spans="1:10" x14ac:dyDescent="0.25">
      <c r="A170" t="str">
        <f>I170&amp;B170&amp;C170&amp;D170</f>
        <v>GY 17 FAL201824</v>
      </c>
      <c r="B170">
        <v>2018</v>
      </c>
      <c r="C170">
        <v>2</v>
      </c>
      <c r="D170">
        <v>4</v>
      </c>
      <c r="E170" t="s">
        <v>99</v>
      </c>
      <c r="F170" t="s">
        <v>84</v>
      </c>
      <c r="G170" t="s">
        <v>29</v>
      </c>
      <c r="H170" t="s">
        <v>54</v>
      </c>
      <c r="I170" t="s">
        <v>398</v>
      </c>
      <c r="J170">
        <v>75724</v>
      </c>
    </row>
    <row r="171" spans="1:10" x14ac:dyDescent="0.25">
      <c r="A171" t="str">
        <f>I171&amp;B171&amp;C171&amp;D171</f>
        <v>GY 17 FALL 1201824</v>
      </c>
      <c r="B171">
        <v>2018</v>
      </c>
      <c r="C171">
        <v>2</v>
      </c>
      <c r="D171">
        <v>4</v>
      </c>
      <c r="E171" t="s">
        <v>99</v>
      </c>
      <c r="F171" t="s">
        <v>84</v>
      </c>
      <c r="G171" t="s">
        <v>29</v>
      </c>
      <c r="H171" t="s">
        <v>54</v>
      </c>
      <c r="I171" t="s">
        <v>399</v>
      </c>
      <c r="J171">
        <v>24392</v>
      </c>
    </row>
    <row r="172" spans="1:10" x14ac:dyDescent="0.25">
      <c r="A172" t="str">
        <f>I172&amp;B172&amp;C172&amp;D172</f>
        <v>GY 17 FALL 2201824</v>
      </c>
      <c r="B172">
        <v>2018</v>
      </c>
      <c r="C172">
        <v>2</v>
      </c>
      <c r="D172">
        <v>4</v>
      </c>
      <c r="E172" t="s">
        <v>99</v>
      </c>
      <c r="F172" t="s">
        <v>84</v>
      </c>
      <c r="G172" t="s">
        <v>29</v>
      </c>
      <c r="H172" t="s">
        <v>54</v>
      </c>
      <c r="I172" t="s">
        <v>400</v>
      </c>
      <c r="J172">
        <v>207496</v>
      </c>
    </row>
    <row r="173" spans="1:10" x14ac:dyDescent="0.25">
      <c r="A173" t="str">
        <f>I173&amp;B173&amp;C173&amp;D173</f>
        <v>GY 17 FALL 3201824</v>
      </c>
      <c r="B173">
        <v>2018</v>
      </c>
      <c r="C173">
        <v>2</v>
      </c>
      <c r="D173">
        <v>4</v>
      </c>
      <c r="E173" t="s">
        <v>99</v>
      </c>
      <c r="F173" t="s">
        <v>84</v>
      </c>
      <c r="G173" t="s">
        <v>29</v>
      </c>
      <c r="H173" t="s">
        <v>54</v>
      </c>
      <c r="I173" t="s">
        <v>401</v>
      </c>
      <c r="J173">
        <v>298751</v>
      </c>
    </row>
    <row r="174" spans="1:10" x14ac:dyDescent="0.25">
      <c r="A174" t="str">
        <f>I174&amp;B174&amp;C174&amp;D174</f>
        <v>GY 17 FALL 4201824</v>
      </c>
      <c r="B174">
        <v>2018</v>
      </c>
      <c r="C174">
        <v>2</v>
      </c>
      <c r="D174">
        <v>4</v>
      </c>
      <c r="E174" t="s">
        <v>99</v>
      </c>
      <c r="F174" t="s">
        <v>84</v>
      </c>
      <c r="G174" t="s">
        <v>29</v>
      </c>
      <c r="H174" t="s">
        <v>54</v>
      </c>
      <c r="I174" t="s">
        <v>402</v>
      </c>
      <c r="J174">
        <v>165745</v>
      </c>
    </row>
    <row r="175" spans="1:10" x14ac:dyDescent="0.25">
      <c r="A175" t="str">
        <f>I175&amp;B175&amp;C175&amp;D175</f>
        <v>GY 17 FALL BASICS201824</v>
      </c>
      <c r="B175">
        <v>2018</v>
      </c>
      <c r="C175">
        <v>2</v>
      </c>
      <c r="D175">
        <v>4</v>
      </c>
      <c r="E175" t="s">
        <v>99</v>
      </c>
      <c r="F175" t="s">
        <v>84</v>
      </c>
      <c r="G175" t="s">
        <v>29</v>
      </c>
      <c r="H175" t="s">
        <v>10</v>
      </c>
      <c r="I175" t="s">
        <v>176</v>
      </c>
      <c r="J175">
        <v>77407</v>
      </c>
    </row>
    <row r="176" spans="1:10" x14ac:dyDescent="0.25">
      <c r="A176" t="str">
        <f>I176&amp;B176&amp;C176&amp;D176</f>
        <v>GY 17 HO HO SHOP201824</v>
      </c>
      <c r="B176">
        <v>2018</v>
      </c>
      <c r="C176">
        <v>2</v>
      </c>
      <c r="D176">
        <v>4</v>
      </c>
      <c r="E176" t="s">
        <v>99</v>
      </c>
      <c r="F176" t="s">
        <v>84</v>
      </c>
      <c r="G176" t="s">
        <v>29</v>
      </c>
      <c r="H176" t="s">
        <v>54</v>
      </c>
      <c r="I176" t="s">
        <v>405</v>
      </c>
      <c r="J176">
        <v>335944</v>
      </c>
    </row>
    <row r="177" spans="1:10" x14ac:dyDescent="0.25">
      <c r="A177" t="str">
        <f>I177&amp;B177&amp;C177&amp;D177</f>
        <v>GY 17 HOL201824</v>
      </c>
      <c r="B177">
        <v>2018</v>
      </c>
      <c r="C177">
        <v>2</v>
      </c>
      <c r="D177">
        <v>4</v>
      </c>
      <c r="E177" t="s">
        <v>99</v>
      </c>
      <c r="F177" t="s">
        <v>84</v>
      </c>
      <c r="G177" t="s">
        <v>29</v>
      </c>
      <c r="H177" t="s">
        <v>8</v>
      </c>
      <c r="I177" t="s">
        <v>406</v>
      </c>
      <c r="J177">
        <v>77232</v>
      </c>
    </row>
    <row r="178" spans="1:10" x14ac:dyDescent="0.25">
      <c r="A178" t="str">
        <f>I178&amp;B178&amp;C178&amp;D178</f>
        <v>GY 17 JAN CAP201824</v>
      </c>
      <c r="B178">
        <v>2018</v>
      </c>
      <c r="C178">
        <v>2</v>
      </c>
      <c r="D178">
        <v>4</v>
      </c>
      <c r="E178" t="s">
        <v>99</v>
      </c>
      <c r="F178" t="s">
        <v>84</v>
      </c>
      <c r="G178" t="s">
        <v>29</v>
      </c>
      <c r="H178" t="s">
        <v>8</v>
      </c>
      <c r="I178" t="s">
        <v>407</v>
      </c>
      <c r="J178">
        <v>2324</v>
      </c>
    </row>
    <row r="179" spans="1:10" x14ac:dyDescent="0.25">
      <c r="A179" t="str">
        <f>I179&amp;B179&amp;C179&amp;D179</f>
        <v>GY 17 SM2201824</v>
      </c>
      <c r="B179">
        <v>2018</v>
      </c>
      <c r="C179">
        <v>2</v>
      </c>
      <c r="D179">
        <v>4</v>
      </c>
      <c r="E179" t="s">
        <v>99</v>
      </c>
      <c r="F179" t="s">
        <v>84</v>
      </c>
      <c r="G179" t="s">
        <v>29</v>
      </c>
      <c r="H179" t="s">
        <v>6</v>
      </c>
      <c r="I179" t="s">
        <v>194</v>
      </c>
      <c r="J179">
        <v>819</v>
      </c>
    </row>
    <row r="180" spans="1:10" x14ac:dyDescent="0.25">
      <c r="A180" t="str">
        <f>I180&amp;B180&amp;C180&amp;D180</f>
        <v>GY 17 SM3201824</v>
      </c>
      <c r="B180">
        <v>2018</v>
      </c>
      <c r="C180">
        <v>2</v>
      </c>
      <c r="D180">
        <v>4</v>
      </c>
      <c r="E180" t="s">
        <v>99</v>
      </c>
      <c r="F180" t="s">
        <v>84</v>
      </c>
      <c r="G180" t="s">
        <v>29</v>
      </c>
      <c r="H180" t="s">
        <v>6</v>
      </c>
      <c r="I180" t="s">
        <v>196</v>
      </c>
      <c r="J180">
        <v>1533</v>
      </c>
    </row>
    <row r="181" spans="1:10" x14ac:dyDescent="0.25">
      <c r="A181" t="str">
        <f>I181&amp;B181&amp;C181&amp;D181</f>
        <v>GY 17 SM4201824</v>
      </c>
      <c r="B181">
        <v>2018</v>
      </c>
      <c r="C181">
        <v>2</v>
      </c>
      <c r="D181">
        <v>4</v>
      </c>
      <c r="E181" t="s">
        <v>99</v>
      </c>
      <c r="F181" t="s">
        <v>84</v>
      </c>
      <c r="G181" t="s">
        <v>29</v>
      </c>
      <c r="H181" t="s">
        <v>6</v>
      </c>
      <c r="I181" t="s">
        <v>200</v>
      </c>
      <c r="J181">
        <v>1830</v>
      </c>
    </row>
    <row r="182" spans="1:10" x14ac:dyDescent="0.25">
      <c r="A182" t="str">
        <f>I182&amp;B182&amp;C182&amp;D182</f>
        <v>GY 17 SMR201824</v>
      </c>
      <c r="B182">
        <v>2018</v>
      </c>
      <c r="C182">
        <v>2</v>
      </c>
      <c r="D182">
        <v>4</v>
      </c>
      <c r="E182" t="s">
        <v>99</v>
      </c>
      <c r="F182" t="s">
        <v>84</v>
      </c>
      <c r="G182" t="s">
        <v>29</v>
      </c>
      <c r="H182" t="s">
        <v>6</v>
      </c>
      <c r="I182" t="s">
        <v>204</v>
      </c>
      <c r="J182">
        <v>4695</v>
      </c>
    </row>
    <row r="183" spans="1:10" x14ac:dyDescent="0.25">
      <c r="A183" t="str">
        <f>I183&amp;B183&amp;C183&amp;D183</f>
        <v>GY 17 SPR201824</v>
      </c>
      <c r="B183">
        <v>2018</v>
      </c>
      <c r="C183">
        <v>2</v>
      </c>
      <c r="D183">
        <v>4</v>
      </c>
      <c r="E183" t="s">
        <v>99</v>
      </c>
      <c r="F183" t="s">
        <v>84</v>
      </c>
      <c r="G183" t="s">
        <v>29</v>
      </c>
      <c r="H183" t="s">
        <v>5</v>
      </c>
      <c r="I183" t="s">
        <v>178</v>
      </c>
      <c r="J183">
        <v>2647</v>
      </c>
    </row>
    <row r="184" spans="1:10" x14ac:dyDescent="0.25">
      <c r="A184" t="str">
        <f>I184&amp;B184&amp;C184&amp;D184</f>
        <v>GY 17 SPR 1201824</v>
      </c>
      <c r="B184">
        <v>2018</v>
      </c>
      <c r="C184">
        <v>2</v>
      </c>
      <c r="D184">
        <v>4</v>
      </c>
      <c r="E184" t="s">
        <v>99</v>
      </c>
      <c r="F184" t="s">
        <v>84</v>
      </c>
      <c r="G184" t="s">
        <v>29</v>
      </c>
      <c r="H184" t="s">
        <v>5</v>
      </c>
      <c r="I184" t="s">
        <v>180</v>
      </c>
      <c r="J184">
        <v>2334</v>
      </c>
    </row>
    <row r="185" spans="1:10" x14ac:dyDescent="0.25">
      <c r="A185" t="str">
        <f>I185&amp;B185&amp;C185&amp;D185</f>
        <v>GY 17 SPR 2201824</v>
      </c>
      <c r="B185">
        <v>2018</v>
      </c>
      <c r="C185">
        <v>2</v>
      </c>
      <c r="D185">
        <v>4</v>
      </c>
      <c r="E185" t="s">
        <v>99</v>
      </c>
      <c r="F185" t="s">
        <v>84</v>
      </c>
      <c r="G185" t="s">
        <v>29</v>
      </c>
      <c r="H185" t="s">
        <v>5</v>
      </c>
      <c r="I185" t="s">
        <v>182</v>
      </c>
      <c r="J185">
        <v>1049</v>
      </c>
    </row>
    <row r="186" spans="1:10" x14ac:dyDescent="0.25">
      <c r="A186" t="str">
        <f>I186&amp;B186&amp;C186&amp;D186</f>
        <v>GY 17 SPR TRANS201824</v>
      </c>
      <c r="B186">
        <v>2018</v>
      </c>
      <c r="C186">
        <v>2</v>
      </c>
      <c r="D186">
        <v>4</v>
      </c>
      <c r="E186" t="s">
        <v>99</v>
      </c>
      <c r="F186" t="s">
        <v>84</v>
      </c>
      <c r="G186" t="s">
        <v>29</v>
      </c>
      <c r="H186" t="s">
        <v>8</v>
      </c>
      <c r="I186" t="s">
        <v>403</v>
      </c>
      <c r="J186">
        <v>12299</v>
      </c>
    </row>
    <row r="187" spans="1:10" x14ac:dyDescent="0.25">
      <c r="A187" t="str">
        <f>I187&amp;B187&amp;C187&amp;D187</f>
        <v>GY 17 SPR VAC201824</v>
      </c>
      <c r="B187">
        <v>2018</v>
      </c>
      <c r="C187">
        <v>2</v>
      </c>
      <c r="D187">
        <v>4</v>
      </c>
      <c r="E187" t="s">
        <v>99</v>
      </c>
      <c r="F187" t="s">
        <v>84</v>
      </c>
      <c r="G187" t="s">
        <v>29</v>
      </c>
      <c r="H187" t="s">
        <v>5</v>
      </c>
      <c r="I187" t="s">
        <v>188</v>
      </c>
      <c r="J187">
        <v>702</v>
      </c>
    </row>
    <row r="188" spans="1:10" x14ac:dyDescent="0.25">
      <c r="A188" t="str">
        <f>I188&amp;B188&amp;C188&amp;D188</f>
        <v>GY 17 SPRING BASICS201824</v>
      </c>
      <c r="B188">
        <v>2018</v>
      </c>
      <c r="C188">
        <v>2</v>
      </c>
      <c r="D188">
        <v>4</v>
      </c>
      <c r="E188" t="s">
        <v>99</v>
      </c>
      <c r="F188" t="s">
        <v>84</v>
      </c>
      <c r="G188" t="s">
        <v>29</v>
      </c>
      <c r="H188" t="s">
        <v>10</v>
      </c>
      <c r="I188" t="s">
        <v>174</v>
      </c>
      <c r="J188">
        <v>21478</v>
      </c>
    </row>
    <row r="189" spans="1:10" x14ac:dyDescent="0.25">
      <c r="A189" t="str">
        <f>I189&amp;B189&amp;C189&amp;D189</f>
        <v>GY 17 SUM 1201824</v>
      </c>
      <c r="B189">
        <v>2018</v>
      </c>
      <c r="C189">
        <v>2</v>
      </c>
      <c r="D189">
        <v>4</v>
      </c>
      <c r="E189" t="s">
        <v>99</v>
      </c>
      <c r="F189" t="s">
        <v>84</v>
      </c>
      <c r="G189" t="s">
        <v>29</v>
      </c>
      <c r="H189" t="s">
        <v>5</v>
      </c>
      <c r="I189" t="s">
        <v>190</v>
      </c>
      <c r="J189">
        <v>2579</v>
      </c>
    </row>
    <row r="190" spans="1:10" x14ac:dyDescent="0.25">
      <c r="A190" t="str">
        <f>I190&amp;B190&amp;C190&amp;D190</f>
        <v>GY 17 SWIM 1201824</v>
      </c>
      <c r="B190">
        <v>2018</v>
      </c>
      <c r="C190">
        <v>2</v>
      </c>
      <c r="D190">
        <v>4</v>
      </c>
      <c r="E190" t="s">
        <v>99</v>
      </c>
      <c r="F190" t="s">
        <v>84</v>
      </c>
      <c r="G190" t="s">
        <v>29</v>
      </c>
      <c r="H190" t="s">
        <v>5</v>
      </c>
      <c r="I190" t="s">
        <v>184</v>
      </c>
      <c r="J190">
        <v>389</v>
      </c>
    </row>
    <row r="191" spans="1:10" x14ac:dyDescent="0.25">
      <c r="A191" t="str">
        <f>I191&amp;B191&amp;C191&amp;D191</f>
        <v>GY 17 SWIM 2201824</v>
      </c>
      <c r="B191">
        <v>2018</v>
      </c>
      <c r="C191">
        <v>2</v>
      </c>
      <c r="D191">
        <v>4</v>
      </c>
      <c r="E191" t="s">
        <v>99</v>
      </c>
      <c r="F191" t="s">
        <v>84</v>
      </c>
      <c r="G191" t="s">
        <v>29</v>
      </c>
      <c r="H191" t="s">
        <v>5</v>
      </c>
      <c r="I191" t="s">
        <v>192</v>
      </c>
      <c r="J191">
        <v>629</v>
      </c>
    </row>
    <row r="192" spans="1:10" x14ac:dyDescent="0.25">
      <c r="A192" t="str">
        <f>I192&amp;B192&amp;C192&amp;D192</f>
        <v>GY 17 SWIM 3201824</v>
      </c>
      <c r="B192">
        <v>2018</v>
      </c>
      <c r="C192">
        <v>2</v>
      </c>
      <c r="D192">
        <v>4</v>
      </c>
      <c r="E192" t="s">
        <v>99</v>
      </c>
      <c r="F192" t="s">
        <v>84</v>
      </c>
      <c r="G192" t="s">
        <v>29</v>
      </c>
      <c r="H192" t="s">
        <v>6</v>
      </c>
      <c r="I192" t="s">
        <v>198</v>
      </c>
      <c r="J192">
        <v>216</v>
      </c>
    </row>
    <row r="193" spans="1:10" x14ac:dyDescent="0.25">
      <c r="A193" t="str">
        <f>I193&amp;B193&amp;C193&amp;D193</f>
        <v>GY 17 TRANS201824</v>
      </c>
      <c r="B193">
        <v>2018</v>
      </c>
      <c r="C193">
        <v>2</v>
      </c>
      <c r="D193">
        <v>4</v>
      </c>
      <c r="E193" t="s">
        <v>99</v>
      </c>
      <c r="F193" t="s">
        <v>84</v>
      </c>
      <c r="G193" t="s">
        <v>29</v>
      </c>
      <c r="H193" t="s">
        <v>6</v>
      </c>
      <c r="I193" t="s">
        <v>202</v>
      </c>
      <c r="J193">
        <v>10640</v>
      </c>
    </row>
    <row r="194" spans="1:10" x14ac:dyDescent="0.25">
      <c r="A194" t="str">
        <f>I194&amp;B194&amp;C194&amp;D194</f>
        <v>GY 17 WINTER 1201824</v>
      </c>
      <c r="B194">
        <v>2018</v>
      </c>
      <c r="C194">
        <v>2</v>
      </c>
      <c r="D194">
        <v>4</v>
      </c>
      <c r="E194" t="s">
        <v>99</v>
      </c>
      <c r="F194" t="s">
        <v>84</v>
      </c>
      <c r="G194" t="s">
        <v>29</v>
      </c>
      <c r="H194" t="s">
        <v>8</v>
      </c>
      <c r="I194" t="s">
        <v>408</v>
      </c>
      <c r="J194">
        <v>27161</v>
      </c>
    </row>
    <row r="195" spans="1:10" x14ac:dyDescent="0.25">
      <c r="A195" t="str">
        <f>I195&amp;B195&amp;C195&amp;D195</f>
        <v>GY 17 WINTER 2201824</v>
      </c>
      <c r="B195">
        <v>2018</v>
      </c>
      <c r="C195">
        <v>2</v>
      </c>
      <c r="D195">
        <v>4</v>
      </c>
      <c r="E195" t="s">
        <v>99</v>
      </c>
      <c r="F195" t="s">
        <v>84</v>
      </c>
      <c r="G195" t="s">
        <v>29</v>
      </c>
      <c r="H195" t="s">
        <v>8</v>
      </c>
      <c r="I195" t="s">
        <v>409</v>
      </c>
      <c r="J195">
        <v>51248</v>
      </c>
    </row>
    <row r="196" spans="1:10" x14ac:dyDescent="0.25">
      <c r="A196" t="str">
        <f>I196&amp;B196&amp;C196&amp;D196</f>
        <v>GY 17 WINTER 3201824</v>
      </c>
      <c r="B196">
        <v>2018</v>
      </c>
      <c r="C196">
        <v>2</v>
      </c>
      <c r="D196">
        <v>4</v>
      </c>
      <c r="E196" t="s">
        <v>99</v>
      </c>
      <c r="F196" t="s">
        <v>84</v>
      </c>
      <c r="G196" t="s">
        <v>29</v>
      </c>
      <c r="H196" t="s">
        <v>8</v>
      </c>
      <c r="I196" t="s">
        <v>410</v>
      </c>
      <c r="J196">
        <v>18859</v>
      </c>
    </row>
    <row r="197" spans="1:10" x14ac:dyDescent="0.25">
      <c r="A197" t="str">
        <f>I197&amp;B197&amp;C197&amp;D197</f>
        <v>GY 18 BTS201824</v>
      </c>
      <c r="B197">
        <v>2018</v>
      </c>
      <c r="C197">
        <v>2</v>
      </c>
      <c r="D197">
        <v>4</v>
      </c>
      <c r="E197" t="s">
        <v>99</v>
      </c>
      <c r="F197" t="s">
        <v>84</v>
      </c>
      <c r="G197" t="s">
        <v>29</v>
      </c>
      <c r="H197" t="s">
        <v>54</v>
      </c>
      <c r="I197" t="s">
        <v>428</v>
      </c>
      <c r="J197">
        <v>191765</v>
      </c>
    </row>
    <row r="198" spans="1:10" x14ac:dyDescent="0.25">
      <c r="A198" t="str">
        <f>I198&amp;B198&amp;C198&amp;D198</f>
        <v>GY 18 DRESSY201824</v>
      </c>
      <c r="B198">
        <v>2018</v>
      </c>
      <c r="C198">
        <v>2</v>
      </c>
      <c r="D198">
        <v>4</v>
      </c>
      <c r="E198" t="s">
        <v>99</v>
      </c>
      <c r="F198" t="s">
        <v>84</v>
      </c>
      <c r="G198" t="s">
        <v>29</v>
      </c>
      <c r="H198" t="s">
        <v>5</v>
      </c>
      <c r="I198" t="s">
        <v>185</v>
      </c>
      <c r="J198">
        <v>4</v>
      </c>
    </row>
    <row r="199" spans="1:10" x14ac:dyDescent="0.25">
      <c r="A199" t="str">
        <f>I199&amp;B199&amp;C199&amp;D199</f>
        <v>GY 18 FAL201824</v>
      </c>
      <c r="B199">
        <v>2018</v>
      </c>
      <c r="C199">
        <v>2</v>
      </c>
      <c r="D199">
        <v>4</v>
      </c>
      <c r="E199" t="s">
        <v>99</v>
      </c>
      <c r="F199" t="s">
        <v>84</v>
      </c>
      <c r="G199" t="s">
        <v>29</v>
      </c>
      <c r="H199" t="s">
        <v>54</v>
      </c>
      <c r="I199" t="s">
        <v>427</v>
      </c>
      <c r="J199">
        <v>37764</v>
      </c>
    </row>
    <row r="200" spans="1:10" x14ac:dyDescent="0.25">
      <c r="A200" t="str">
        <f>I200&amp;B200&amp;C200&amp;D200</f>
        <v>GY 18 FALL 1201824</v>
      </c>
      <c r="B200">
        <v>2018</v>
      </c>
      <c r="C200">
        <v>2</v>
      </c>
      <c r="D200">
        <v>4</v>
      </c>
      <c r="E200" t="s">
        <v>99</v>
      </c>
      <c r="F200" t="s">
        <v>84</v>
      </c>
      <c r="G200" t="s">
        <v>29</v>
      </c>
      <c r="H200" t="s">
        <v>54</v>
      </c>
      <c r="I200" t="s">
        <v>429</v>
      </c>
      <c r="J200">
        <v>9913</v>
      </c>
    </row>
    <row r="201" spans="1:10" x14ac:dyDescent="0.25">
      <c r="A201" t="str">
        <f>I201&amp;B201&amp;C201&amp;D201</f>
        <v>GY 18 FALL 2201824</v>
      </c>
      <c r="B201">
        <v>2018</v>
      </c>
      <c r="C201">
        <v>2</v>
      </c>
      <c r="D201">
        <v>4</v>
      </c>
      <c r="E201" t="s">
        <v>99</v>
      </c>
      <c r="F201" t="s">
        <v>84</v>
      </c>
      <c r="G201" t="s">
        <v>29</v>
      </c>
      <c r="H201" t="s">
        <v>54</v>
      </c>
      <c r="I201" t="s">
        <v>430</v>
      </c>
      <c r="J201">
        <v>0</v>
      </c>
    </row>
    <row r="202" spans="1:10" x14ac:dyDescent="0.25">
      <c r="A202" t="str">
        <f>I202&amp;B202&amp;C202&amp;D202</f>
        <v>GY 18 FALL BASICS201824</v>
      </c>
      <c r="B202">
        <v>2018</v>
      </c>
      <c r="C202">
        <v>2</v>
      </c>
      <c r="D202">
        <v>4</v>
      </c>
      <c r="E202" t="s">
        <v>99</v>
      </c>
      <c r="F202" t="s">
        <v>84</v>
      </c>
      <c r="G202" t="s">
        <v>29</v>
      </c>
      <c r="H202" t="s">
        <v>10</v>
      </c>
      <c r="I202" t="s">
        <v>175</v>
      </c>
      <c r="J202">
        <v>155986</v>
      </c>
    </row>
    <row r="203" spans="1:10" x14ac:dyDescent="0.25">
      <c r="A203" t="str">
        <f>I203&amp;B203&amp;C203&amp;D203</f>
        <v>GY 18 SM2201824</v>
      </c>
      <c r="B203">
        <v>2018</v>
      </c>
      <c r="C203">
        <v>2</v>
      </c>
      <c r="D203">
        <v>4</v>
      </c>
      <c r="E203" t="s">
        <v>99</v>
      </c>
      <c r="F203" t="s">
        <v>84</v>
      </c>
      <c r="G203" t="s">
        <v>29</v>
      </c>
      <c r="H203" t="s">
        <v>6</v>
      </c>
      <c r="I203" t="s">
        <v>193</v>
      </c>
      <c r="J203">
        <v>592291</v>
      </c>
    </row>
    <row r="204" spans="1:10" x14ac:dyDescent="0.25">
      <c r="A204" t="str">
        <f>I204&amp;B204&amp;C204&amp;D204</f>
        <v>GY 18 SM3201824</v>
      </c>
      <c r="B204">
        <v>2018</v>
      </c>
      <c r="C204">
        <v>2</v>
      </c>
      <c r="D204">
        <v>4</v>
      </c>
      <c r="E204" t="s">
        <v>99</v>
      </c>
      <c r="F204" t="s">
        <v>84</v>
      </c>
      <c r="G204" t="s">
        <v>29</v>
      </c>
      <c r="H204" t="s">
        <v>6</v>
      </c>
      <c r="I204" t="s">
        <v>195</v>
      </c>
      <c r="J204">
        <v>620926</v>
      </c>
    </row>
    <row r="205" spans="1:10" x14ac:dyDescent="0.25">
      <c r="A205" t="str">
        <f>I205&amp;B205&amp;C205&amp;D205</f>
        <v>GY 18 SM4201824</v>
      </c>
      <c r="B205">
        <v>2018</v>
      </c>
      <c r="C205">
        <v>2</v>
      </c>
      <c r="D205">
        <v>4</v>
      </c>
      <c r="E205" t="s">
        <v>99</v>
      </c>
      <c r="F205" t="s">
        <v>84</v>
      </c>
      <c r="G205" t="s">
        <v>29</v>
      </c>
      <c r="H205" t="s">
        <v>6</v>
      </c>
      <c r="I205" t="s">
        <v>199</v>
      </c>
      <c r="J205">
        <v>626185</v>
      </c>
    </row>
    <row r="206" spans="1:10" x14ac:dyDescent="0.25">
      <c r="A206" t="str">
        <f>I206&amp;B206&amp;C206&amp;D206</f>
        <v>GY 18 SM5201824</v>
      </c>
      <c r="B206">
        <v>2018</v>
      </c>
      <c r="C206">
        <v>2</v>
      </c>
      <c r="D206">
        <v>4</v>
      </c>
      <c r="E206" t="s">
        <v>99</v>
      </c>
      <c r="F206" t="s">
        <v>84</v>
      </c>
      <c r="G206" t="s">
        <v>29</v>
      </c>
      <c r="H206" t="s">
        <v>6</v>
      </c>
      <c r="I206" t="s">
        <v>201</v>
      </c>
      <c r="J206">
        <v>0</v>
      </c>
    </row>
    <row r="207" spans="1:10" x14ac:dyDescent="0.25">
      <c r="A207" t="str">
        <f>I207&amp;B207&amp;C207&amp;D207</f>
        <v>GY 18 SMR201824</v>
      </c>
      <c r="B207">
        <v>2018</v>
      </c>
      <c r="C207">
        <v>2</v>
      </c>
      <c r="D207">
        <v>4</v>
      </c>
      <c r="E207" t="s">
        <v>99</v>
      </c>
      <c r="F207" t="s">
        <v>84</v>
      </c>
      <c r="G207" t="s">
        <v>29</v>
      </c>
      <c r="H207" t="s">
        <v>6</v>
      </c>
      <c r="I207" t="s">
        <v>203</v>
      </c>
      <c r="J207">
        <v>1090223</v>
      </c>
    </row>
    <row r="208" spans="1:10" x14ac:dyDescent="0.25">
      <c r="A208" t="str">
        <f>I208&amp;B208&amp;C208&amp;D208</f>
        <v>GY 18 SPR201824</v>
      </c>
      <c r="B208">
        <v>2018</v>
      </c>
      <c r="C208">
        <v>2</v>
      </c>
      <c r="D208">
        <v>4</v>
      </c>
      <c r="E208" t="s">
        <v>99</v>
      </c>
      <c r="F208" t="s">
        <v>84</v>
      </c>
      <c r="G208" t="s">
        <v>29</v>
      </c>
      <c r="H208" t="s">
        <v>5</v>
      </c>
      <c r="I208" t="s">
        <v>177</v>
      </c>
      <c r="J208">
        <v>23294</v>
      </c>
    </row>
    <row r="209" spans="1:10" x14ac:dyDescent="0.25">
      <c r="A209" t="str">
        <f>I209&amp;B209&amp;C209&amp;D209</f>
        <v>GY 18 SPR 1201824</v>
      </c>
      <c r="B209">
        <v>2018</v>
      </c>
      <c r="C209">
        <v>2</v>
      </c>
      <c r="D209">
        <v>4</v>
      </c>
      <c r="E209" t="s">
        <v>99</v>
      </c>
      <c r="F209" t="s">
        <v>84</v>
      </c>
      <c r="G209" t="s">
        <v>29</v>
      </c>
      <c r="H209" t="s">
        <v>5</v>
      </c>
      <c r="I209" t="s">
        <v>179</v>
      </c>
      <c r="J209">
        <v>175911</v>
      </c>
    </row>
    <row r="210" spans="1:10" x14ac:dyDescent="0.25">
      <c r="A210" t="str">
        <f>I210&amp;B210&amp;C210&amp;D210</f>
        <v>GY 18 SPR 2201824</v>
      </c>
      <c r="B210">
        <v>2018</v>
      </c>
      <c r="C210">
        <v>2</v>
      </c>
      <c r="D210">
        <v>4</v>
      </c>
      <c r="E210" t="s">
        <v>99</v>
      </c>
      <c r="F210" t="s">
        <v>84</v>
      </c>
      <c r="G210" t="s">
        <v>29</v>
      </c>
      <c r="H210" t="s">
        <v>5</v>
      </c>
      <c r="I210" t="s">
        <v>181</v>
      </c>
      <c r="J210">
        <v>128402</v>
      </c>
    </row>
    <row r="211" spans="1:10" x14ac:dyDescent="0.25">
      <c r="A211" t="str">
        <f>I211&amp;B211&amp;C211&amp;D211</f>
        <v>GY 18 SPR VACA201824</v>
      </c>
      <c r="B211">
        <v>2018</v>
      </c>
      <c r="C211">
        <v>2</v>
      </c>
      <c r="D211">
        <v>4</v>
      </c>
      <c r="E211" t="s">
        <v>99</v>
      </c>
      <c r="F211" t="s">
        <v>84</v>
      </c>
      <c r="G211" t="s">
        <v>29</v>
      </c>
      <c r="H211" t="s">
        <v>5</v>
      </c>
      <c r="I211" t="s">
        <v>187</v>
      </c>
      <c r="J211">
        <v>273125</v>
      </c>
    </row>
    <row r="212" spans="1:10" x14ac:dyDescent="0.25">
      <c r="A212" t="str">
        <f>I212&amp;B212&amp;C212&amp;D212</f>
        <v>GY 18 SPRING BASICS201824</v>
      </c>
      <c r="B212">
        <v>2018</v>
      </c>
      <c r="C212">
        <v>2</v>
      </c>
      <c r="D212">
        <v>4</v>
      </c>
      <c r="E212" t="s">
        <v>99</v>
      </c>
      <c r="F212" t="s">
        <v>84</v>
      </c>
      <c r="G212" t="s">
        <v>29</v>
      </c>
      <c r="H212" t="s">
        <v>10</v>
      </c>
      <c r="I212" t="s">
        <v>173</v>
      </c>
      <c r="J212">
        <v>484745</v>
      </c>
    </row>
    <row r="213" spans="1:10" x14ac:dyDescent="0.25">
      <c r="A213" t="str">
        <f>I213&amp;B213&amp;C213&amp;D213</f>
        <v>GY 18 SUM 1201824</v>
      </c>
      <c r="B213">
        <v>2018</v>
      </c>
      <c r="C213">
        <v>2</v>
      </c>
      <c r="D213">
        <v>4</v>
      </c>
      <c r="E213" t="s">
        <v>99</v>
      </c>
      <c r="F213" t="s">
        <v>84</v>
      </c>
      <c r="G213" t="s">
        <v>29</v>
      </c>
      <c r="H213" t="s">
        <v>5</v>
      </c>
      <c r="I213" t="s">
        <v>189</v>
      </c>
      <c r="J213">
        <v>279416</v>
      </c>
    </row>
    <row r="214" spans="1:10" x14ac:dyDescent="0.25">
      <c r="A214" t="str">
        <f>I214&amp;B214&amp;C214&amp;D214</f>
        <v>GY 18 SWIM 1201824</v>
      </c>
      <c r="B214">
        <v>2018</v>
      </c>
      <c r="C214">
        <v>2</v>
      </c>
      <c r="D214">
        <v>4</v>
      </c>
      <c r="E214" t="s">
        <v>99</v>
      </c>
      <c r="F214" t="s">
        <v>84</v>
      </c>
      <c r="G214" t="s">
        <v>29</v>
      </c>
      <c r="H214" t="s">
        <v>5</v>
      </c>
      <c r="I214" t="s">
        <v>183</v>
      </c>
      <c r="J214">
        <v>20881</v>
      </c>
    </row>
    <row r="215" spans="1:10" x14ac:dyDescent="0.25">
      <c r="A215" t="str">
        <f>I215&amp;B215&amp;C215&amp;D215</f>
        <v>GY 18 SWIM 2201824</v>
      </c>
      <c r="B215">
        <v>2018</v>
      </c>
      <c r="C215">
        <v>2</v>
      </c>
      <c r="D215">
        <v>4</v>
      </c>
      <c r="E215" t="s">
        <v>99</v>
      </c>
      <c r="F215" t="s">
        <v>84</v>
      </c>
      <c r="G215" t="s">
        <v>29</v>
      </c>
      <c r="H215" t="s">
        <v>5</v>
      </c>
      <c r="I215" t="s">
        <v>191</v>
      </c>
      <c r="J215">
        <v>100577</v>
      </c>
    </row>
    <row r="216" spans="1:10" x14ac:dyDescent="0.25">
      <c r="A216" t="str">
        <f>I216&amp;B216&amp;C216&amp;D216</f>
        <v>GY 18 SWIM 3201824</v>
      </c>
      <c r="B216">
        <v>2018</v>
      </c>
      <c r="C216">
        <v>2</v>
      </c>
      <c r="D216">
        <v>4</v>
      </c>
      <c r="E216" t="s">
        <v>99</v>
      </c>
      <c r="F216" t="s">
        <v>84</v>
      </c>
      <c r="G216" t="s">
        <v>29</v>
      </c>
      <c r="H216" t="s">
        <v>6</v>
      </c>
      <c r="I216" t="s">
        <v>197</v>
      </c>
      <c r="J216">
        <v>146351</v>
      </c>
    </row>
    <row r="217" spans="1:10" x14ac:dyDescent="0.25">
      <c r="A217" t="str">
        <f>I217&amp;B217&amp;C217&amp;D217</f>
        <v>GY 18 VDAY201824</v>
      </c>
      <c r="B217">
        <v>2018</v>
      </c>
      <c r="C217">
        <v>2</v>
      </c>
      <c r="D217">
        <v>4</v>
      </c>
      <c r="E217" t="s">
        <v>99</v>
      </c>
      <c r="F217" t="s">
        <v>84</v>
      </c>
      <c r="G217" t="s">
        <v>29</v>
      </c>
      <c r="H217" t="s">
        <v>8</v>
      </c>
      <c r="I217" t="s">
        <v>396</v>
      </c>
      <c r="J217">
        <v>35884</v>
      </c>
    </row>
    <row r="218" spans="1:10" x14ac:dyDescent="0.25">
      <c r="A218" t="str">
        <f>I218&amp;B218&amp;C218&amp;D218</f>
        <v>GY YRLY BASICS201824</v>
      </c>
      <c r="B218">
        <v>2018</v>
      </c>
      <c r="C218">
        <v>2</v>
      </c>
      <c r="D218">
        <v>4</v>
      </c>
      <c r="E218" t="s">
        <v>99</v>
      </c>
      <c r="F218" t="s">
        <v>84</v>
      </c>
      <c r="G218" t="s">
        <v>29</v>
      </c>
      <c r="H218" t="s">
        <v>10</v>
      </c>
      <c r="I218" t="s">
        <v>349</v>
      </c>
      <c r="J218">
        <v>624551</v>
      </c>
    </row>
    <row r="219" spans="1:10" x14ac:dyDescent="0.25">
      <c r="A219" t="str">
        <f>I219&amp;B219&amp;C219&amp;D219</f>
        <v>GY YRLY DENIM201824</v>
      </c>
      <c r="B219">
        <v>2018</v>
      </c>
      <c r="C219">
        <v>2</v>
      </c>
      <c r="D219">
        <v>4</v>
      </c>
      <c r="E219" t="s">
        <v>99</v>
      </c>
      <c r="F219" t="s">
        <v>84</v>
      </c>
      <c r="G219" t="s">
        <v>29</v>
      </c>
      <c r="H219" t="s">
        <v>10</v>
      </c>
      <c r="I219" t="s">
        <v>350</v>
      </c>
      <c r="J219">
        <v>18600</v>
      </c>
    </row>
    <row r="220" spans="1:10" x14ac:dyDescent="0.25">
      <c r="A220" t="str">
        <f>I220&amp;B220&amp;C220&amp;D220</f>
        <v>GY YRLY UNIFORM201824</v>
      </c>
      <c r="B220">
        <v>2018</v>
      </c>
      <c r="C220">
        <v>2</v>
      </c>
      <c r="D220">
        <v>4</v>
      </c>
      <c r="E220" t="s">
        <v>99</v>
      </c>
      <c r="F220" t="s">
        <v>84</v>
      </c>
      <c r="G220" t="s">
        <v>29</v>
      </c>
      <c r="H220" t="s">
        <v>10</v>
      </c>
      <c r="I220" t="s">
        <v>351</v>
      </c>
      <c r="J220">
        <v>34995</v>
      </c>
    </row>
    <row r="221" spans="1:10" x14ac:dyDescent="0.25">
      <c r="A221" t="str">
        <f>I221&amp;B221&amp;C221&amp;D221</f>
        <v>Old201824</v>
      </c>
      <c r="B221">
        <v>2018</v>
      </c>
      <c r="C221">
        <v>2</v>
      </c>
      <c r="D221">
        <v>4</v>
      </c>
      <c r="E221" t="s">
        <v>99</v>
      </c>
      <c r="F221" t="s">
        <v>84</v>
      </c>
      <c r="G221" t="s">
        <v>29</v>
      </c>
      <c r="H221" t="s">
        <v>434</v>
      </c>
      <c r="I221" t="s">
        <v>434</v>
      </c>
      <c r="J221">
        <v>1151862</v>
      </c>
    </row>
    <row r="222" spans="1:10" x14ac:dyDescent="0.25">
      <c r="A222" t="str">
        <f>I222&amp;B222&amp;C222&amp;D222</f>
        <v>Winter 17201824</v>
      </c>
      <c r="B222">
        <v>2018</v>
      </c>
      <c r="C222">
        <v>2</v>
      </c>
      <c r="D222">
        <v>4</v>
      </c>
      <c r="E222" t="s">
        <v>99</v>
      </c>
      <c r="F222" t="s">
        <v>84</v>
      </c>
      <c r="G222" t="s">
        <v>29</v>
      </c>
      <c r="H222" t="s">
        <v>435</v>
      </c>
      <c r="I222" t="s">
        <v>435</v>
      </c>
      <c r="J222">
        <v>225007</v>
      </c>
    </row>
    <row r="223" spans="1:10" x14ac:dyDescent="0.25">
      <c r="A223" t="str">
        <f>I223&amp;B223&amp;C223&amp;D223</f>
        <v>GY 17 BTS201825</v>
      </c>
      <c r="B223">
        <v>2018</v>
      </c>
      <c r="C223">
        <v>2</v>
      </c>
      <c r="D223">
        <v>5</v>
      </c>
      <c r="E223" t="s">
        <v>99</v>
      </c>
      <c r="F223" t="s">
        <v>84</v>
      </c>
      <c r="G223" t="s">
        <v>29</v>
      </c>
      <c r="H223" t="s">
        <v>54</v>
      </c>
      <c r="I223" t="s">
        <v>397</v>
      </c>
      <c r="J223">
        <v>7111</v>
      </c>
    </row>
    <row r="224" spans="1:10" x14ac:dyDescent="0.25">
      <c r="A224" t="str">
        <f>I224&amp;B224&amp;C224&amp;D224</f>
        <v>GY 17 CAP201825</v>
      </c>
      <c r="B224">
        <v>2018</v>
      </c>
      <c r="C224">
        <v>2</v>
      </c>
      <c r="D224">
        <v>5</v>
      </c>
      <c r="E224" t="s">
        <v>99</v>
      </c>
      <c r="F224" t="s">
        <v>84</v>
      </c>
      <c r="G224" t="s">
        <v>29</v>
      </c>
      <c r="H224" t="s">
        <v>6</v>
      </c>
      <c r="I224" t="s">
        <v>404</v>
      </c>
      <c r="J224">
        <v>730</v>
      </c>
    </row>
    <row r="225" spans="1:10" x14ac:dyDescent="0.25">
      <c r="A225" t="str">
        <f>I225&amp;B225&amp;C225&amp;D225</f>
        <v>GY 17 DRSY CAP201825</v>
      </c>
      <c r="B225">
        <v>2018</v>
      </c>
      <c r="C225">
        <v>2</v>
      </c>
      <c r="D225">
        <v>5</v>
      </c>
      <c r="E225" t="s">
        <v>99</v>
      </c>
      <c r="F225" t="s">
        <v>84</v>
      </c>
      <c r="G225" t="s">
        <v>29</v>
      </c>
      <c r="H225" t="s">
        <v>5</v>
      </c>
      <c r="I225" t="s">
        <v>186</v>
      </c>
      <c r="J225">
        <v>5732</v>
      </c>
    </row>
    <row r="226" spans="1:10" x14ac:dyDescent="0.25">
      <c r="A226" t="str">
        <f>I226&amp;B226&amp;C226&amp;D226</f>
        <v>GY 17 FAL201825</v>
      </c>
      <c r="B226">
        <v>2018</v>
      </c>
      <c r="C226">
        <v>2</v>
      </c>
      <c r="D226">
        <v>5</v>
      </c>
      <c r="E226" t="s">
        <v>99</v>
      </c>
      <c r="F226" t="s">
        <v>84</v>
      </c>
      <c r="G226" t="s">
        <v>29</v>
      </c>
      <c r="H226" t="s">
        <v>54</v>
      </c>
      <c r="I226" t="s">
        <v>398</v>
      </c>
      <c r="J226">
        <v>51474</v>
      </c>
    </row>
    <row r="227" spans="1:10" x14ac:dyDescent="0.25">
      <c r="A227" t="str">
        <f>I227&amp;B227&amp;C227&amp;D227</f>
        <v>GY 17 FALL 1201825</v>
      </c>
      <c r="B227">
        <v>2018</v>
      </c>
      <c r="C227">
        <v>2</v>
      </c>
      <c r="D227">
        <v>5</v>
      </c>
      <c r="E227" t="s">
        <v>99</v>
      </c>
      <c r="F227" t="s">
        <v>84</v>
      </c>
      <c r="G227" t="s">
        <v>29</v>
      </c>
      <c r="H227" t="s">
        <v>54</v>
      </c>
      <c r="I227" t="s">
        <v>399</v>
      </c>
      <c r="J227">
        <v>15767</v>
      </c>
    </row>
    <row r="228" spans="1:10" x14ac:dyDescent="0.25">
      <c r="A228" t="str">
        <f>I228&amp;B228&amp;C228&amp;D228</f>
        <v>GY 17 FALL 2201825</v>
      </c>
      <c r="B228">
        <v>2018</v>
      </c>
      <c r="C228">
        <v>2</v>
      </c>
      <c r="D228">
        <v>5</v>
      </c>
      <c r="E228" t="s">
        <v>99</v>
      </c>
      <c r="F228" t="s">
        <v>84</v>
      </c>
      <c r="G228" t="s">
        <v>29</v>
      </c>
      <c r="H228" t="s">
        <v>54</v>
      </c>
      <c r="I228" t="s">
        <v>400</v>
      </c>
      <c r="J228">
        <v>57421</v>
      </c>
    </row>
    <row r="229" spans="1:10" x14ac:dyDescent="0.25">
      <c r="A229" t="str">
        <f>I229&amp;B229&amp;C229&amp;D229</f>
        <v>GY 17 FALL 3201825</v>
      </c>
      <c r="B229">
        <v>2018</v>
      </c>
      <c r="C229">
        <v>2</v>
      </c>
      <c r="D229">
        <v>5</v>
      </c>
      <c r="E229" t="s">
        <v>99</v>
      </c>
      <c r="F229" t="s">
        <v>84</v>
      </c>
      <c r="G229" t="s">
        <v>29</v>
      </c>
      <c r="H229" t="s">
        <v>54</v>
      </c>
      <c r="I229" t="s">
        <v>401</v>
      </c>
      <c r="J229">
        <v>58651</v>
      </c>
    </row>
    <row r="230" spans="1:10" x14ac:dyDescent="0.25">
      <c r="A230" t="str">
        <f>I230&amp;B230&amp;C230&amp;D230</f>
        <v>GY 17 FALL 4201825</v>
      </c>
      <c r="B230">
        <v>2018</v>
      </c>
      <c r="C230">
        <v>2</v>
      </c>
      <c r="D230">
        <v>5</v>
      </c>
      <c r="E230" t="s">
        <v>99</v>
      </c>
      <c r="F230" t="s">
        <v>84</v>
      </c>
      <c r="G230" t="s">
        <v>29</v>
      </c>
      <c r="H230" t="s">
        <v>54</v>
      </c>
      <c r="I230" t="s">
        <v>402</v>
      </c>
      <c r="J230">
        <v>30670</v>
      </c>
    </row>
    <row r="231" spans="1:10" x14ac:dyDescent="0.25">
      <c r="A231" t="str">
        <f>I231&amp;B231&amp;C231&amp;D231</f>
        <v>GY 17 FALL BASICS201825</v>
      </c>
      <c r="B231">
        <v>2018</v>
      </c>
      <c r="C231">
        <v>2</v>
      </c>
      <c r="D231">
        <v>5</v>
      </c>
      <c r="E231" t="s">
        <v>99</v>
      </c>
      <c r="F231" t="s">
        <v>84</v>
      </c>
      <c r="G231" t="s">
        <v>29</v>
      </c>
      <c r="H231" t="s">
        <v>10</v>
      </c>
      <c r="I231" t="s">
        <v>176</v>
      </c>
      <c r="J231">
        <v>25332</v>
      </c>
    </row>
    <row r="232" spans="1:10" x14ac:dyDescent="0.25">
      <c r="A232" t="str">
        <f>I232&amp;B232&amp;C232&amp;D232</f>
        <v>GY 17 HO HO SHOP201825</v>
      </c>
      <c r="B232">
        <v>2018</v>
      </c>
      <c r="C232">
        <v>2</v>
      </c>
      <c r="D232">
        <v>5</v>
      </c>
      <c r="E232" t="s">
        <v>99</v>
      </c>
      <c r="F232" t="s">
        <v>84</v>
      </c>
      <c r="G232" t="s">
        <v>29</v>
      </c>
      <c r="H232" t="s">
        <v>54</v>
      </c>
      <c r="I232" t="s">
        <v>405</v>
      </c>
      <c r="J232">
        <v>25869</v>
      </c>
    </row>
    <row r="233" spans="1:10" x14ac:dyDescent="0.25">
      <c r="A233" t="str">
        <f>I233&amp;B233&amp;C233&amp;D233</f>
        <v>GY 17 HOL201825</v>
      </c>
      <c r="B233">
        <v>2018</v>
      </c>
      <c r="C233">
        <v>2</v>
      </c>
      <c r="D233">
        <v>5</v>
      </c>
      <c r="E233" t="s">
        <v>99</v>
      </c>
      <c r="F233" t="s">
        <v>84</v>
      </c>
      <c r="G233" t="s">
        <v>29</v>
      </c>
      <c r="H233" t="s">
        <v>8</v>
      </c>
      <c r="I233" t="s">
        <v>406</v>
      </c>
      <c r="J233">
        <v>29157</v>
      </c>
    </row>
    <row r="234" spans="1:10" x14ac:dyDescent="0.25">
      <c r="A234" t="str">
        <f>I234&amp;B234&amp;C234&amp;D234</f>
        <v>GY 17 JAN CAP201825</v>
      </c>
      <c r="B234">
        <v>2018</v>
      </c>
      <c r="C234">
        <v>2</v>
      </c>
      <c r="D234">
        <v>5</v>
      </c>
      <c r="E234" t="s">
        <v>99</v>
      </c>
      <c r="F234" t="s">
        <v>84</v>
      </c>
      <c r="G234" t="s">
        <v>29</v>
      </c>
      <c r="H234" t="s">
        <v>8</v>
      </c>
      <c r="I234" t="s">
        <v>407</v>
      </c>
      <c r="J234">
        <v>2299</v>
      </c>
    </row>
    <row r="235" spans="1:10" x14ac:dyDescent="0.25">
      <c r="A235" t="str">
        <f>I235&amp;B235&amp;C235&amp;D235</f>
        <v>GY 17 SM2201825</v>
      </c>
      <c r="B235">
        <v>2018</v>
      </c>
      <c r="C235">
        <v>2</v>
      </c>
      <c r="D235">
        <v>5</v>
      </c>
      <c r="E235" t="s">
        <v>99</v>
      </c>
      <c r="F235" t="s">
        <v>84</v>
      </c>
      <c r="G235" t="s">
        <v>29</v>
      </c>
      <c r="H235" t="s">
        <v>6</v>
      </c>
      <c r="I235" t="s">
        <v>194</v>
      </c>
      <c r="J235">
        <v>769</v>
      </c>
    </row>
    <row r="236" spans="1:10" x14ac:dyDescent="0.25">
      <c r="A236" t="str">
        <f>I236&amp;B236&amp;C236&amp;D236</f>
        <v>GY 17 SM3201825</v>
      </c>
      <c r="B236">
        <v>2018</v>
      </c>
      <c r="C236">
        <v>2</v>
      </c>
      <c r="D236">
        <v>5</v>
      </c>
      <c r="E236" t="s">
        <v>99</v>
      </c>
      <c r="F236" t="s">
        <v>84</v>
      </c>
      <c r="G236" t="s">
        <v>29</v>
      </c>
      <c r="H236" t="s">
        <v>6</v>
      </c>
      <c r="I236" t="s">
        <v>196</v>
      </c>
      <c r="J236">
        <v>1508</v>
      </c>
    </row>
    <row r="237" spans="1:10" x14ac:dyDescent="0.25">
      <c r="A237" t="str">
        <f>I237&amp;B237&amp;C237&amp;D237</f>
        <v>GY 17 SM4201825</v>
      </c>
      <c r="B237">
        <v>2018</v>
      </c>
      <c r="C237">
        <v>2</v>
      </c>
      <c r="D237">
        <v>5</v>
      </c>
      <c r="E237" t="s">
        <v>99</v>
      </c>
      <c r="F237" t="s">
        <v>84</v>
      </c>
      <c r="G237" t="s">
        <v>29</v>
      </c>
      <c r="H237" t="s">
        <v>6</v>
      </c>
      <c r="I237" t="s">
        <v>200</v>
      </c>
      <c r="J237">
        <v>1755</v>
      </c>
    </row>
    <row r="238" spans="1:10" x14ac:dyDescent="0.25">
      <c r="A238" t="str">
        <f>I238&amp;B238&amp;C238&amp;D238</f>
        <v>GY 17 SMR201825</v>
      </c>
      <c r="B238">
        <v>2018</v>
      </c>
      <c r="C238">
        <v>2</v>
      </c>
      <c r="D238">
        <v>5</v>
      </c>
      <c r="E238" t="s">
        <v>99</v>
      </c>
      <c r="F238" t="s">
        <v>84</v>
      </c>
      <c r="G238" t="s">
        <v>29</v>
      </c>
      <c r="H238" t="s">
        <v>6</v>
      </c>
      <c r="I238" t="s">
        <v>204</v>
      </c>
      <c r="J238">
        <v>4620</v>
      </c>
    </row>
    <row r="239" spans="1:10" x14ac:dyDescent="0.25">
      <c r="A239" t="str">
        <f>I239&amp;B239&amp;C239&amp;D239</f>
        <v>GY 17 SPR201825</v>
      </c>
      <c r="B239">
        <v>2018</v>
      </c>
      <c r="C239">
        <v>2</v>
      </c>
      <c r="D239">
        <v>5</v>
      </c>
      <c r="E239" t="s">
        <v>99</v>
      </c>
      <c r="F239" t="s">
        <v>84</v>
      </c>
      <c r="G239" t="s">
        <v>29</v>
      </c>
      <c r="H239" t="s">
        <v>5</v>
      </c>
      <c r="I239" t="s">
        <v>178</v>
      </c>
      <c r="J239">
        <v>2572</v>
      </c>
    </row>
    <row r="240" spans="1:10" x14ac:dyDescent="0.25">
      <c r="A240" t="str">
        <f>I240&amp;B240&amp;C240&amp;D240</f>
        <v>GY 17 SPR 1201825</v>
      </c>
      <c r="B240">
        <v>2018</v>
      </c>
      <c r="C240">
        <v>2</v>
      </c>
      <c r="D240">
        <v>5</v>
      </c>
      <c r="E240" t="s">
        <v>99</v>
      </c>
      <c r="F240" t="s">
        <v>84</v>
      </c>
      <c r="G240" t="s">
        <v>29</v>
      </c>
      <c r="H240" t="s">
        <v>5</v>
      </c>
      <c r="I240" t="s">
        <v>180</v>
      </c>
      <c r="J240">
        <v>2329</v>
      </c>
    </row>
    <row r="241" spans="1:10" x14ac:dyDescent="0.25">
      <c r="A241" t="str">
        <f>I241&amp;B241&amp;C241&amp;D241</f>
        <v>GY 17 SPR 2201825</v>
      </c>
      <c r="B241">
        <v>2018</v>
      </c>
      <c r="C241">
        <v>2</v>
      </c>
      <c r="D241">
        <v>5</v>
      </c>
      <c r="E241" t="s">
        <v>99</v>
      </c>
      <c r="F241" t="s">
        <v>84</v>
      </c>
      <c r="G241" t="s">
        <v>29</v>
      </c>
      <c r="H241" t="s">
        <v>5</v>
      </c>
      <c r="I241" t="s">
        <v>182</v>
      </c>
      <c r="J241">
        <v>1044</v>
      </c>
    </row>
    <row r="242" spans="1:10" x14ac:dyDescent="0.25">
      <c r="A242" t="str">
        <f>I242&amp;B242&amp;C242&amp;D242</f>
        <v>GY 17 SPR TRANS201825</v>
      </c>
      <c r="B242">
        <v>2018</v>
      </c>
      <c r="C242">
        <v>2</v>
      </c>
      <c r="D242">
        <v>5</v>
      </c>
      <c r="E242" t="s">
        <v>99</v>
      </c>
      <c r="F242" t="s">
        <v>84</v>
      </c>
      <c r="G242" t="s">
        <v>29</v>
      </c>
      <c r="H242" t="s">
        <v>8</v>
      </c>
      <c r="I242" t="s">
        <v>403</v>
      </c>
      <c r="J242">
        <v>7799</v>
      </c>
    </row>
    <row r="243" spans="1:10" x14ac:dyDescent="0.25">
      <c r="A243" t="str">
        <f>I243&amp;B243&amp;C243&amp;D243</f>
        <v>GY 17 SPR VAC201825</v>
      </c>
      <c r="B243">
        <v>2018</v>
      </c>
      <c r="C243">
        <v>2</v>
      </c>
      <c r="D243">
        <v>5</v>
      </c>
      <c r="E243" t="s">
        <v>99</v>
      </c>
      <c r="F243" t="s">
        <v>84</v>
      </c>
      <c r="G243" t="s">
        <v>29</v>
      </c>
      <c r="H243" t="s">
        <v>5</v>
      </c>
      <c r="I243" t="s">
        <v>188</v>
      </c>
      <c r="J243">
        <v>677</v>
      </c>
    </row>
    <row r="244" spans="1:10" x14ac:dyDescent="0.25">
      <c r="A244" t="str">
        <f>I244&amp;B244&amp;C244&amp;D244</f>
        <v>GY 17 SPRING BASICS201825</v>
      </c>
      <c r="B244">
        <v>2018</v>
      </c>
      <c r="C244">
        <v>2</v>
      </c>
      <c r="D244">
        <v>5</v>
      </c>
      <c r="E244" t="s">
        <v>99</v>
      </c>
      <c r="F244" t="s">
        <v>84</v>
      </c>
      <c r="G244" t="s">
        <v>29</v>
      </c>
      <c r="H244" t="s">
        <v>10</v>
      </c>
      <c r="I244" t="s">
        <v>174</v>
      </c>
      <c r="J244">
        <v>21453</v>
      </c>
    </row>
    <row r="245" spans="1:10" x14ac:dyDescent="0.25">
      <c r="A245" t="str">
        <f>I245&amp;B245&amp;C245&amp;D245</f>
        <v>GY 17 SUM 1201825</v>
      </c>
      <c r="B245">
        <v>2018</v>
      </c>
      <c r="C245">
        <v>2</v>
      </c>
      <c r="D245">
        <v>5</v>
      </c>
      <c r="E245" t="s">
        <v>99</v>
      </c>
      <c r="F245" t="s">
        <v>84</v>
      </c>
      <c r="G245" t="s">
        <v>29</v>
      </c>
      <c r="H245" t="s">
        <v>5</v>
      </c>
      <c r="I245" t="s">
        <v>190</v>
      </c>
      <c r="J245">
        <v>2554</v>
      </c>
    </row>
    <row r="246" spans="1:10" x14ac:dyDescent="0.25">
      <c r="A246" t="str">
        <f>I246&amp;B246&amp;C246&amp;D246</f>
        <v>GY 17 SWIM 1201825</v>
      </c>
      <c r="B246">
        <v>2018</v>
      </c>
      <c r="C246">
        <v>2</v>
      </c>
      <c r="D246">
        <v>5</v>
      </c>
      <c r="E246" t="s">
        <v>99</v>
      </c>
      <c r="F246" t="s">
        <v>84</v>
      </c>
      <c r="G246" t="s">
        <v>29</v>
      </c>
      <c r="H246" t="s">
        <v>5</v>
      </c>
      <c r="I246" t="s">
        <v>184</v>
      </c>
      <c r="J246">
        <v>384</v>
      </c>
    </row>
    <row r="247" spans="1:10" x14ac:dyDescent="0.25">
      <c r="A247" t="str">
        <f>I247&amp;B247&amp;C247&amp;D247</f>
        <v>GY 17 SWIM 2201825</v>
      </c>
      <c r="B247">
        <v>2018</v>
      </c>
      <c r="C247">
        <v>2</v>
      </c>
      <c r="D247">
        <v>5</v>
      </c>
      <c r="E247" t="s">
        <v>99</v>
      </c>
      <c r="F247" t="s">
        <v>84</v>
      </c>
      <c r="G247" t="s">
        <v>29</v>
      </c>
      <c r="H247" t="s">
        <v>5</v>
      </c>
      <c r="I247" t="s">
        <v>192</v>
      </c>
      <c r="J247">
        <v>604</v>
      </c>
    </row>
    <row r="248" spans="1:10" x14ac:dyDescent="0.25">
      <c r="A248" t="str">
        <f>I248&amp;B248&amp;C248&amp;D248</f>
        <v>GY 17 SWIM 3201825</v>
      </c>
      <c r="B248">
        <v>2018</v>
      </c>
      <c r="C248">
        <v>2</v>
      </c>
      <c r="D248">
        <v>5</v>
      </c>
      <c r="E248" t="s">
        <v>99</v>
      </c>
      <c r="F248" t="s">
        <v>84</v>
      </c>
      <c r="G248" t="s">
        <v>29</v>
      </c>
      <c r="H248" t="s">
        <v>6</v>
      </c>
      <c r="I248" t="s">
        <v>198</v>
      </c>
      <c r="J248">
        <v>216</v>
      </c>
    </row>
    <row r="249" spans="1:10" x14ac:dyDescent="0.25">
      <c r="A249" t="str">
        <f>I249&amp;B249&amp;C249&amp;D249</f>
        <v>GY 17 TRANS201825</v>
      </c>
      <c r="B249">
        <v>2018</v>
      </c>
      <c r="C249">
        <v>2</v>
      </c>
      <c r="D249">
        <v>5</v>
      </c>
      <c r="E249" t="s">
        <v>99</v>
      </c>
      <c r="F249" t="s">
        <v>84</v>
      </c>
      <c r="G249" t="s">
        <v>29</v>
      </c>
      <c r="H249" t="s">
        <v>6</v>
      </c>
      <c r="I249" t="s">
        <v>202</v>
      </c>
      <c r="J249">
        <v>10565</v>
      </c>
    </row>
    <row r="250" spans="1:10" x14ac:dyDescent="0.25">
      <c r="A250" t="str">
        <f>I250&amp;B250&amp;C250&amp;D250</f>
        <v>GY 17 WINTER 1201825</v>
      </c>
      <c r="B250">
        <v>2018</v>
      </c>
      <c r="C250">
        <v>2</v>
      </c>
      <c r="D250">
        <v>5</v>
      </c>
      <c r="E250" t="s">
        <v>99</v>
      </c>
      <c r="F250" t="s">
        <v>84</v>
      </c>
      <c r="G250" t="s">
        <v>29</v>
      </c>
      <c r="H250" t="s">
        <v>8</v>
      </c>
      <c r="I250" t="s">
        <v>408</v>
      </c>
      <c r="J250">
        <v>27086</v>
      </c>
    </row>
    <row r="251" spans="1:10" x14ac:dyDescent="0.25">
      <c r="A251" t="str">
        <f>I251&amp;B251&amp;C251&amp;D251</f>
        <v>GY 17 WINTER 2201825</v>
      </c>
      <c r="B251">
        <v>2018</v>
      </c>
      <c r="C251">
        <v>2</v>
      </c>
      <c r="D251">
        <v>5</v>
      </c>
      <c r="E251" t="s">
        <v>99</v>
      </c>
      <c r="F251" t="s">
        <v>84</v>
      </c>
      <c r="G251" t="s">
        <v>29</v>
      </c>
      <c r="H251" t="s">
        <v>8</v>
      </c>
      <c r="I251" t="s">
        <v>409</v>
      </c>
      <c r="J251">
        <v>51173</v>
      </c>
    </row>
    <row r="252" spans="1:10" x14ac:dyDescent="0.25">
      <c r="A252" t="str">
        <f>I252&amp;B252&amp;C252&amp;D252</f>
        <v>GY 17 WINTER 3201825</v>
      </c>
      <c r="B252">
        <v>2018</v>
      </c>
      <c r="C252">
        <v>2</v>
      </c>
      <c r="D252">
        <v>5</v>
      </c>
      <c r="E252" t="s">
        <v>99</v>
      </c>
      <c r="F252" t="s">
        <v>84</v>
      </c>
      <c r="G252" t="s">
        <v>29</v>
      </c>
      <c r="H252" t="s">
        <v>8</v>
      </c>
      <c r="I252" t="s">
        <v>410</v>
      </c>
      <c r="J252">
        <v>18784</v>
      </c>
    </row>
    <row r="253" spans="1:10" x14ac:dyDescent="0.25">
      <c r="A253" t="str">
        <f>I253&amp;B253&amp;C253&amp;D253</f>
        <v>GY 18 BTS201825</v>
      </c>
      <c r="B253">
        <v>2018</v>
      </c>
      <c r="C253">
        <v>2</v>
      </c>
      <c r="D253">
        <v>5</v>
      </c>
      <c r="E253" t="s">
        <v>99</v>
      </c>
      <c r="F253" t="s">
        <v>84</v>
      </c>
      <c r="G253" t="s">
        <v>29</v>
      </c>
      <c r="H253" t="s">
        <v>54</v>
      </c>
      <c r="I253" t="s">
        <v>428</v>
      </c>
      <c r="J253">
        <v>838210</v>
      </c>
    </row>
    <row r="254" spans="1:10" x14ac:dyDescent="0.25">
      <c r="A254" t="str">
        <f>I254&amp;B254&amp;C254&amp;D254</f>
        <v>GY 18 DRESSY201825</v>
      </c>
      <c r="B254">
        <v>2018</v>
      </c>
      <c r="C254">
        <v>2</v>
      </c>
      <c r="D254">
        <v>5</v>
      </c>
      <c r="E254" t="s">
        <v>99</v>
      </c>
      <c r="F254" t="s">
        <v>84</v>
      </c>
      <c r="G254" t="s">
        <v>29</v>
      </c>
      <c r="H254" t="s">
        <v>5</v>
      </c>
      <c r="I254" t="s">
        <v>185</v>
      </c>
      <c r="J254">
        <v>0</v>
      </c>
    </row>
    <row r="255" spans="1:10" x14ac:dyDescent="0.25">
      <c r="A255" t="str">
        <f>I255&amp;B255&amp;C255&amp;D255</f>
        <v>GY 18 FAL201825</v>
      </c>
      <c r="B255">
        <v>2018</v>
      </c>
      <c r="C255">
        <v>2</v>
      </c>
      <c r="D255">
        <v>5</v>
      </c>
      <c r="E255" t="s">
        <v>99</v>
      </c>
      <c r="F255" t="s">
        <v>84</v>
      </c>
      <c r="G255" t="s">
        <v>29</v>
      </c>
      <c r="H255" t="s">
        <v>54</v>
      </c>
      <c r="I255" t="s">
        <v>427</v>
      </c>
      <c r="J255">
        <v>366597</v>
      </c>
    </row>
    <row r="256" spans="1:10" x14ac:dyDescent="0.25">
      <c r="A256" t="str">
        <f>I256&amp;B256&amp;C256&amp;D256</f>
        <v>GY 18 FALL 1201825</v>
      </c>
      <c r="B256">
        <v>2018</v>
      </c>
      <c r="C256">
        <v>2</v>
      </c>
      <c r="D256">
        <v>5</v>
      </c>
      <c r="E256" t="s">
        <v>99</v>
      </c>
      <c r="F256" t="s">
        <v>84</v>
      </c>
      <c r="G256" t="s">
        <v>29</v>
      </c>
      <c r="H256" t="s">
        <v>54</v>
      </c>
      <c r="I256" t="s">
        <v>429</v>
      </c>
      <c r="J256">
        <v>18886</v>
      </c>
    </row>
    <row r="257" spans="1:10" x14ac:dyDescent="0.25">
      <c r="A257" t="str">
        <f>I257&amp;B257&amp;C257&amp;D257</f>
        <v>GY 18 FALL 2201825</v>
      </c>
      <c r="B257">
        <v>2018</v>
      </c>
      <c r="C257">
        <v>2</v>
      </c>
      <c r="D257">
        <v>5</v>
      </c>
      <c r="E257" t="s">
        <v>99</v>
      </c>
      <c r="F257" t="s">
        <v>84</v>
      </c>
      <c r="G257" t="s">
        <v>29</v>
      </c>
      <c r="H257" t="s">
        <v>54</v>
      </c>
      <c r="I257" t="s">
        <v>430</v>
      </c>
      <c r="J257">
        <v>0</v>
      </c>
    </row>
    <row r="258" spans="1:10" x14ac:dyDescent="0.25">
      <c r="A258" t="str">
        <f>I258&amp;B258&amp;C258&amp;D258</f>
        <v>GY 18 FALL BASICS201825</v>
      </c>
      <c r="B258">
        <v>2018</v>
      </c>
      <c r="C258">
        <v>2</v>
      </c>
      <c r="D258">
        <v>5</v>
      </c>
      <c r="E258" t="s">
        <v>99</v>
      </c>
      <c r="F258" t="s">
        <v>84</v>
      </c>
      <c r="G258" t="s">
        <v>29</v>
      </c>
      <c r="H258" t="s">
        <v>10</v>
      </c>
      <c r="I258" t="s">
        <v>175</v>
      </c>
      <c r="J258">
        <v>858129</v>
      </c>
    </row>
    <row r="259" spans="1:10" x14ac:dyDescent="0.25">
      <c r="A259" t="str">
        <f>I259&amp;B259&amp;C259&amp;D259</f>
        <v>GY 18 SM2201825</v>
      </c>
      <c r="B259">
        <v>2018</v>
      </c>
      <c r="C259">
        <v>2</v>
      </c>
      <c r="D259">
        <v>5</v>
      </c>
      <c r="E259" t="s">
        <v>99</v>
      </c>
      <c r="F259" t="s">
        <v>84</v>
      </c>
      <c r="G259" t="s">
        <v>29</v>
      </c>
      <c r="H259" t="s">
        <v>6</v>
      </c>
      <c r="I259" t="s">
        <v>193</v>
      </c>
      <c r="J259">
        <v>267083</v>
      </c>
    </row>
    <row r="260" spans="1:10" x14ac:dyDescent="0.25">
      <c r="A260" t="str">
        <f>I260&amp;B260&amp;C260&amp;D260</f>
        <v>GY 18 SM3201825</v>
      </c>
      <c r="B260">
        <v>2018</v>
      </c>
      <c r="C260">
        <v>2</v>
      </c>
      <c r="D260">
        <v>5</v>
      </c>
      <c r="E260" t="s">
        <v>99</v>
      </c>
      <c r="F260" t="s">
        <v>84</v>
      </c>
      <c r="G260" t="s">
        <v>29</v>
      </c>
      <c r="H260" t="s">
        <v>6</v>
      </c>
      <c r="I260" t="s">
        <v>195</v>
      </c>
      <c r="J260">
        <v>266308</v>
      </c>
    </row>
    <row r="261" spans="1:10" x14ac:dyDescent="0.25">
      <c r="A261" t="str">
        <f>I261&amp;B261&amp;C261&amp;D261</f>
        <v>GY 18 SM4201825</v>
      </c>
      <c r="B261">
        <v>2018</v>
      </c>
      <c r="C261">
        <v>2</v>
      </c>
      <c r="D261">
        <v>5</v>
      </c>
      <c r="E261" t="s">
        <v>99</v>
      </c>
      <c r="F261" t="s">
        <v>84</v>
      </c>
      <c r="G261" t="s">
        <v>29</v>
      </c>
      <c r="H261" t="s">
        <v>6</v>
      </c>
      <c r="I261" t="s">
        <v>199</v>
      </c>
      <c r="J261">
        <v>326739</v>
      </c>
    </row>
    <row r="262" spans="1:10" x14ac:dyDescent="0.25">
      <c r="A262" t="str">
        <f>I262&amp;B262&amp;C262&amp;D262</f>
        <v>GY 18 SM5201825</v>
      </c>
      <c r="B262">
        <v>2018</v>
      </c>
      <c r="C262">
        <v>2</v>
      </c>
      <c r="D262">
        <v>5</v>
      </c>
      <c r="E262" t="s">
        <v>99</v>
      </c>
      <c r="F262" t="s">
        <v>84</v>
      </c>
      <c r="G262" t="s">
        <v>29</v>
      </c>
      <c r="H262" t="s">
        <v>6</v>
      </c>
      <c r="I262" t="s">
        <v>201</v>
      </c>
      <c r="J262">
        <v>689631</v>
      </c>
    </row>
    <row r="263" spans="1:10" x14ac:dyDescent="0.25">
      <c r="A263" t="str">
        <f>I263&amp;B263&amp;C263&amp;D263</f>
        <v>GY 18 SMR201825</v>
      </c>
      <c r="B263">
        <v>2018</v>
      </c>
      <c r="C263">
        <v>2</v>
      </c>
      <c r="D263">
        <v>5</v>
      </c>
      <c r="E263" t="s">
        <v>99</v>
      </c>
      <c r="F263" t="s">
        <v>84</v>
      </c>
      <c r="G263" t="s">
        <v>29</v>
      </c>
      <c r="H263" t="s">
        <v>6</v>
      </c>
      <c r="I263" t="s">
        <v>203</v>
      </c>
      <c r="J263">
        <v>522655</v>
      </c>
    </row>
    <row r="264" spans="1:10" x14ac:dyDescent="0.25">
      <c r="A264" t="str">
        <f>I264&amp;B264&amp;C264&amp;D264</f>
        <v>GY 18 SPR201825</v>
      </c>
      <c r="B264">
        <v>2018</v>
      </c>
      <c r="C264">
        <v>2</v>
      </c>
      <c r="D264">
        <v>5</v>
      </c>
      <c r="E264" t="s">
        <v>99</v>
      </c>
      <c r="F264" t="s">
        <v>84</v>
      </c>
      <c r="G264" t="s">
        <v>29</v>
      </c>
      <c r="H264" t="s">
        <v>5</v>
      </c>
      <c r="I264" t="s">
        <v>177</v>
      </c>
      <c r="J264">
        <v>0</v>
      </c>
    </row>
    <row r="265" spans="1:10" x14ac:dyDescent="0.25">
      <c r="A265" t="str">
        <f>I265&amp;B265&amp;C265&amp;D265</f>
        <v>GY 18 SPR 1201825</v>
      </c>
      <c r="B265">
        <v>2018</v>
      </c>
      <c r="C265">
        <v>2</v>
      </c>
      <c r="D265">
        <v>5</v>
      </c>
      <c r="E265" t="s">
        <v>99</v>
      </c>
      <c r="F265" t="s">
        <v>84</v>
      </c>
      <c r="G265" t="s">
        <v>29</v>
      </c>
      <c r="H265" t="s">
        <v>5</v>
      </c>
      <c r="I265" t="s">
        <v>179</v>
      </c>
      <c r="J265">
        <v>0</v>
      </c>
    </row>
    <row r="266" spans="1:10" x14ac:dyDescent="0.25">
      <c r="A266" t="str">
        <f>I266&amp;B266&amp;C266&amp;D266</f>
        <v>GY 18 SPR 2201825</v>
      </c>
      <c r="B266">
        <v>2018</v>
      </c>
      <c r="C266">
        <v>2</v>
      </c>
      <c r="D266">
        <v>5</v>
      </c>
      <c r="E266" t="s">
        <v>99</v>
      </c>
      <c r="F266" t="s">
        <v>84</v>
      </c>
      <c r="G266" t="s">
        <v>29</v>
      </c>
      <c r="H266" t="s">
        <v>5</v>
      </c>
      <c r="I266" t="s">
        <v>181</v>
      </c>
      <c r="J266">
        <v>0</v>
      </c>
    </row>
    <row r="267" spans="1:10" x14ac:dyDescent="0.25">
      <c r="A267" t="str">
        <f>I267&amp;B267&amp;C267&amp;D267</f>
        <v>GY 18 SPR VACA201825</v>
      </c>
      <c r="B267">
        <v>2018</v>
      </c>
      <c r="C267">
        <v>2</v>
      </c>
      <c r="D267">
        <v>5</v>
      </c>
      <c r="E267" t="s">
        <v>99</v>
      </c>
      <c r="F267" t="s">
        <v>84</v>
      </c>
      <c r="G267" t="s">
        <v>29</v>
      </c>
      <c r="H267" t="s">
        <v>5</v>
      </c>
      <c r="I267" t="s">
        <v>187</v>
      </c>
      <c r="J267">
        <v>0</v>
      </c>
    </row>
    <row r="268" spans="1:10" x14ac:dyDescent="0.25">
      <c r="A268" t="str">
        <f>I268&amp;B268&amp;C268&amp;D268</f>
        <v>GY 18 SPRING BASICS201825</v>
      </c>
      <c r="B268">
        <v>2018</v>
      </c>
      <c r="C268">
        <v>2</v>
      </c>
      <c r="D268">
        <v>5</v>
      </c>
      <c r="E268" t="s">
        <v>99</v>
      </c>
      <c r="F268" t="s">
        <v>84</v>
      </c>
      <c r="G268" t="s">
        <v>29</v>
      </c>
      <c r="H268" t="s">
        <v>10</v>
      </c>
      <c r="I268" t="s">
        <v>173</v>
      </c>
      <c r="J268">
        <v>318565</v>
      </c>
    </row>
    <row r="269" spans="1:10" x14ac:dyDescent="0.25">
      <c r="A269" t="str">
        <f>I269&amp;B269&amp;C269&amp;D269</f>
        <v>GY 18 SUM 1201825</v>
      </c>
      <c r="B269">
        <v>2018</v>
      </c>
      <c r="C269">
        <v>2</v>
      </c>
      <c r="D269">
        <v>5</v>
      </c>
      <c r="E269" t="s">
        <v>99</v>
      </c>
      <c r="F269" t="s">
        <v>84</v>
      </c>
      <c r="G269" t="s">
        <v>29</v>
      </c>
      <c r="H269" t="s">
        <v>5</v>
      </c>
      <c r="I269" t="s">
        <v>189</v>
      </c>
      <c r="J269">
        <v>0</v>
      </c>
    </row>
    <row r="270" spans="1:10" x14ac:dyDescent="0.25">
      <c r="A270" t="str">
        <f>I270&amp;B270&amp;C270&amp;D270</f>
        <v>GY 18 SWIM 1201825</v>
      </c>
      <c r="B270">
        <v>2018</v>
      </c>
      <c r="C270">
        <v>2</v>
      </c>
      <c r="D270">
        <v>5</v>
      </c>
      <c r="E270" t="s">
        <v>99</v>
      </c>
      <c r="F270" t="s">
        <v>84</v>
      </c>
      <c r="G270" t="s">
        <v>29</v>
      </c>
      <c r="H270" t="s">
        <v>5</v>
      </c>
      <c r="I270" t="s">
        <v>183</v>
      </c>
      <c r="J270">
        <v>14009</v>
      </c>
    </row>
    <row r="271" spans="1:10" x14ac:dyDescent="0.25">
      <c r="A271" t="str">
        <f>I271&amp;B271&amp;C271&amp;D271</f>
        <v>GY 18 SWIM 2201825</v>
      </c>
      <c r="B271">
        <v>2018</v>
      </c>
      <c r="C271">
        <v>2</v>
      </c>
      <c r="D271">
        <v>5</v>
      </c>
      <c r="E271" t="s">
        <v>99</v>
      </c>
      <c r="F271" t="s">
        <v>84</v>
      </c>
      <c r="G271" t="s">
        <v>29</v>
      </c>
      <c r="H271" t="s">
        <v>5</v>
      </c>
      <c r="I271" t="s">
        <v>191</v>
      </c>
      <c r="J271">
        <v>64423</v>
      </c>
    </row>
    <row r="272" spans="1:10" x14ac:dyDescent="0.25">
      <c r="A272" t="str">
        <f>I272&amp;B272&amp;C272&amp;D272</f>
        <v>GY 18 SWIM 3201825</v>
      </c>
      <c r="B272">
        <v>2018</v>
      </c>
      <c r="C272">
        <v>2</v>
      </c>
      <c r="D272">
        <v>5</v>
      </c>
      <c r="E272" t="s">
        <v>99</v>
      </c>
      <c r="F272" t="s">
        <v>84</v>
      </c>
      <c r="G272" t="s">
        <v>29</v>
      </c>
      <c r="H272" t="s">
        <v>6</v>
      </c>
      <c r="I272" t="s">
        <v>197</v>
      </c>
      <c r="J272">
        <v>60957</v>
      </c>
    </row>
    <row r="273" spans="1:10" x14ac:dyDescent="0.25">
      <c r="A273" t="str">
        <f>I273&amp;B273&amp;C273&amp;D273</f>
        <v>GY 18 VDAY201825</v>
      </c>
      <c r="B273">
        <v>2018</v>
      </c>
      <c r="C273">
        <v>2</v>
      </c>
      <c r="D273">
        <v>5</v>
      </c>
      <c r="E273" t="s">
        <v>99</v>
      </c>
      <c r="F273" t="s">
        <v>84</v>
      </c>
      <c r="G273" t="s">
        <v>29</v>
      </c>
      <c r="H273" t="s">
        <v>8</v>
      </c>
      <c r="I273" t="s">
        <v>396</v>
      </c>
      <c r="J273">
        <v>23884</v>
      </c>
    </row>
    <row r="274" spans="1:10" x14ac:dyDescent="0.25">
      <c r="A274" t="str">
        <f>I274&amp;B274&amp;C274&amp;D274</f>
        <v>GY YRLY BASICS201825</v>
      </c>
      <c r="B274">
        <v>2018</v>
      </c>
      <c r="C274">
        <v>2</v>
      </c>
      <c r="D274">
        <v>5</v>
      </c>
      <c r="E274" t="s">
        <v>99</v>
      </c>
      <c r="F274" t="s">
        <v>84</v>
      </c>
      <c r="G274" t="s">
        <v>29</v>
      </c>
      <c r="H274" t="s">
        <v>10</v>
      </c>
      <c r="I274" t="s">
        <v>349</v>
      </c>
      <c r="J274">
        <v>977206</v>
      </c>
    </row>
    <row r="275" spans="1:10" x14ac:dyDescent="0.25">
      <c r="A275" t="str">
        <f>I275&amp;B275&amp;C275&amp;D275</f>
        <v>GY YRLY DENIM201825</v>
      </c>
      <c r="B275">
        <v>2018</v>
      </c>
      <c r="C275">
        <v>2</v>
      </c>
      <c r="D275">
        <v>5</v>
      </c>
      <c r="E275" t="s">
        <v>99</v>
      </c>
      <c r="F275" t="s">
        <v>84</v>
      </c>
      <c r="G275" t="s">
        <v>29</v>
      </c>
      <c r="H275" t="s">
        <v>10</v>
      </c>
      <c r="I275" t="s">
        <v>350</v>
      </c>
      <c r="J275">
        <v>273912</v>
      </c>
    </row>
    <row r="276" spans="1:10" x14ac:dyDescent="0.25">
      <c r="A276" t="str">
        <f>I276&amp;B276&amp;C276&amp;D276</f>
        <v>GY YRLY UNIFORM201825</v>
      </c>
      <c r="B276">
        <v>2018</v>
      </c>
      <c r="C276">
        <v>2</v>
      </c>
      <c r="D276">
        <v>5</v>
      </c>
      <c r="E276" t="s">
        <v>99</v>
      </c>
      <c r="F276" t="s">
        <v>84</v>
      </c>
      <c r="G276" t="s">
        <v>29</v>
      </c>
      <c r="H276" t="s">
        <v>10</v>
      </c>
      <c r="I276" t="s">
        <v>351</v>
      </c>
      <c r="J276">
        <v>42495</v>
      </c>
    </row>
    <row r="277" spans="1:10" x14ac:dyDescent="0.25">
      <c r="A277" t="str">
        <f>I277&amp;B277&amp;C277&amp;D277</f>
        <v>Old201825</v>
      </c>
      <c r="B277">
        <v>2018</v>
      </c>
      <c r="C277">
        <v>2</v>
      </c>
      <c r="D277">
        <v>5</v>
      </c>
      <c r="E277" t="s">
        <v>99</v>
      </c>
      <c r="F277" t="s">
        <v>84</v>
      </c>
      <c r="G277" t="s">
        <v>29</v>
      </c>
      <c r="H277" t="s">
        <v>434</v>
      </c>
      <c r="I277" t="s">
        <v>434</v>
      </c>
      <c r="J277">
        <v>283022</v>
      </c>
    </row>
    <row r="278" spans="1:10" x14ac:dyDescent="0.25">
      <c r="A278" t="str">
        <f>I278&amp;B278&amp;C278&amp;D278</f>
        <v>Winter 17201825</v>
      </c>
      <c r="B278">
        <v>2018</v>
      </c>
      <c r="C278">
        <v>2</v>
      </c>
      <c r="D278">
        <v>5</v>
      </c>
      <c r="E278" t="s">
        <v>99</v>
      </c>
      <c r="F278" t="s">
        <v>84</v>
      </c>
      <c r="G278" t="s">
        <v>29</v>
      </c>
      <c r="H278" t="s">
        <v>435</v>
      </c>
      <c r="I278" t="s">
        <v>435</v>
      </c>
      <c r="J278">
        <v>160182</v>
      </c>
    </row>
    <row r="279" spans="1:10" x14ac:dyDescent="0.25">
      <c r="A279" t="str">
        <f>I279&amp;B279&amp;C279&amp;D279</f>
        <v>GY 17 BTS201826</v>
      </c>
      <c r="B279">
        <v>2018</v>
      </c>
      <c r="C279">
        <v>2</v>
      </c>
      <c r="D279">
        <v>6</v>
      </c>
      <c r="E279" t="s">
        <v>99</v>
      </c>
      <c r="F279" t="s">
        <v>84</v>
      </c>
      <c r="G279" t="s">
        <v>29</v>
      </c>
      <c r="H279" t="s">
        <v>54</v>
      </c>
      <c r="I279" t="s">
        <v>397</v>
      </c>
      <c r="J279">
        <v>1011</v>
      </c>
    </row>
    <row r="280" spans="1:10" x14ac:dyDescent="0.25">
      <c r="A280" t="str">
        <f>I280&amp;B280&amp;C280&amp;D280</f>
        <v>GY 17 CAP201826</v>
      </c>
      <c r="B280">
        <v>2018</v>
      </c>
      <c r="C280">
        <v>2</v>
      </c>
      <c r="D280">
        <v>6</v>
      </c>
      <c r="E280" t="s">
        <v>99</v>
      </c>
      <c r="F280" t="s">
        <v>84</v>
      </c>
      <c r="G280" t="s">
        <v>29</v>
      </c>
      <c r="H280" t="s">
        <v>6</v>
      </c>
      <c r="I280" t="s">
        <v>404</v>
      </c>
      <c r="J280">
        <v>110</v>
      </c>
    </row>
    <row r="281" spans="1:10" x14ac:dyDescent="0.25">
      <c r="A281" t="str">
        <f>I281&amp;B281&amp;C281&amp;D281</f>
        <v>GY 17 DRSY CAP201826</v>
      </c>
      <c r="B281">
        <v>2018</v>
      </c>
      <c r="C281">
        <v>2</v>
      </c>
      <c r="D281">
        <v>6</v>
      </c>
      <c r="E281" t="s">
        <v>99</v>
      </c>
      <c r="F281" t="s">
        <v>84</v>
      </c>
      <c r="G281" t="s">
        <v>29</v>
      </c>
      <c r="H281" t="s">
        <v>5</v>
      </c>
      <c r="I281" t="s">
        <v>186</v>
      </c>
      <c r="J281">
        <v>212</v>
      </c>
    </row>
    <row r="282" spans="1:10" x14ac:dyDescent="0.25">
      <c r="A282" t="str">
        <f>I282&amp;B282&amp;C282&amp;D282</f>
        <v>GY 17 FAL201826</v>
      </c>
      <c r="B282">
        <v>2018</v>
      </c>
      <c r="C282">
        <v>2</v>
      </c>
      <c r="D282">
        <v>6</v>
      </c>
      <c r="E282" t="s">
        <v>99</v>
      </c>
      <c r="F282" t="s">
        <v>84</v>
      </c>
      <c r="G282" t="s">
        <v>29</v>
      </c>
      <c r="H282" t="s">
        <v>54</v>
      </c>
      <c r="I282" t="s">
        <v>398</v>
      </c>
      <c r="J282">
        <v>1274</v>
      </c>
    </row>
    <row r="283" spans="1:10" x14ac:dyDescent="0.25">
      <c r="A283" t="str">
        <f>I283&amp;B283&amp;C283&amp;D283</f>
        <v>GY 17 FALL 1201826</v>
      </c>
      <c r="B283">
        <v>2018</v>
      </c>
      <c r="C283">
        <v>2</v>
      </c>
      <c r="D283">
        <v>6</v>
      </c>
      <c r="E283" t="s">
        <v>99</v>
      </c>
      <c r="F283" t="s">
        <v>84</v>
      </c>
      <c r="G283" t="s">
        <v>29</v>
      </c>
      <c r="H283" t="s">
        <v>54</v>
      </c>
      <c r="I283" t="s">
        <v>399</v>
      </c>
      <c r="J283">
        <v>1707</v>
      </c>
    </row>
    <row r="284" spans="1:10" x14ac:dyDescent="0.25">
      <c r="A284" t="str">
        <f>I284&amp;B284&amp;C284&amp;D284</f>
        <v>GY 17 FALL 2201826</v>
      </c>
      <c r="B284">
        <v>2018</v>
      </c>
      <c r="C284">
        <v>2</v>
      </c>
      <c r="D284">
        <v>6</v>
      </c>
      <c r="E284" t="s">
        <v>99</v>
      </c>
      <c r="F284" t="s">
        <v>84</v>
      </c>
      <c r="G284" t="s">
        <v>29</v>
      </c>
      <c r="H284" t="s">
        <v>54</v>
      </c>
      <c r="I284" t="s">
        <v>400</v>
      </c>
      <c r="J284">
        <v>1861</v>
      </c>
    </row>
    <row r="285" spans="1:10" x14ac:dyDescent="0.25">
      <c r="A285" t="str">
        <f>I285&amp;B285&amp;C285&amp;D285</f>
        <v>GY 17 FALL 3201826</v>
      </c>
      <c r="B285">
        <v>2018</v>
      </c>
      <c r="C285">
        <v>2</v>
      </c>
      <c r="D285">
        <v>6</v>
      </c>
      <c r="E285" t="s">
        <v>99</v>
      </c>
      <c r="F285" t="s">
        <v>84</v>
      </c>
      <c r="G285" t="s">
        <v>29</v>
      </c>
      <c r="H285" t="s">
        <v>54</v>
      </c>
      <c r="I285" t="s">
        <v>401</v>
      </c>
      <c r="J285">
        <v>3016</v>
      </c>
    </row>
    <row r="286" spans="1:10" x14ac:dyDescent="0.25">
      <c r="A286" t="str">
        <f>I286&amp;B286&amp;C286&amp;D286</f>
        <v>GY 17 FALL 4201826</v>
      </c>
      <c r="B286">
        <v>2018</v>
      </c>
      <c r="C286">
        <v>2</v>
      </c>
      <c r="D286">
        <v>6</v>
      </c>
      <c r="E286" t="s">
        <v>99</v>
      </c>
      <c r="F286" t="s">
        <v>84</v>
      </c>
      <c r="G286" t="s">
        <v>29</v>
      </c>
      <c r="H286" t="s">
        <v>54</v>
      </c>
      <c r="I286" t="s">
        <v>402</v>
      </c>
      <c r="J286">
        <v>1610</v>
      </c>
    </row>
    <row r="287" spans="1:10" x14ac:dyDescent="0.25">
      <c r="A287" t="str">
        <f>I287&amp;B287&amp;C287&amp;D287</f>
        <v>GY 17 FALL BASICS201826</v>
      </c>
      <c r="B287">
        <v>2018</v>
      </c>
      <c r="C287">
        <v>2</v>
      </c>
      <c r="D287">
        <v>6</v>
      </c>
      <c r="E287" t="s">
        <v>99</v>
      </c>
      <c r="F287" t="s">
        <v>84</v>
      </c>
      <c r="G287" t="s">
        <v>29</v>
      </c>
      <c r="H287" t="s">
        <v>10</v>
      </c>
      <c r="I287" t="s">
        <v>176</v>
      </c>
      <c r="J287">
        <v>1272</v>
      </c>
    </row>
    <row r="288" spans="1:10" x14ac:dyDescent="0.25">
      <c r="A288" t="str">
        <f>I288&amp;B288&amp;C288&amp;D288</f>
        <v>GY 17 HO HO SHOP201826</v>
      </c>
      <c r="B288">
        <v>2018</v>
      </c>
      <c r="C288">
        <v>2</v>
      </c>
      <c r="D288">
        <v>6</v>
      </c>
      <c r="E288" t="s">
        <v>99</v>
      </c>
      <c r="F288" t="s">
        <v>84</v>
      </c>
      <c r="G288" t="s">
        <v>29</v>
      </c>
      <c r="H288" t="s">
        <v>54</v>
      </c>
      <c r="I288" t="s">
        <v>405</v>
      </c>
      <c r="J288">
        <v>1809</v>
      </c>
    </row>
    <row r="289" spans="1:10" x14ac:dyDescent="0.25">
      <c r="A289" t="str">
        <f>I289&amp;B289&amp;C289&amp;D289</f>
        <v>GY 17 HOL201826</v>
      </c>
      <c r="B289">
        <v>2018</v>
      </c>
      <c r="C289">
        <v>2</v>
      </c>
      <c r="D289">
        <v>6</v>
      </c>
      <c r="E289" t="s">
        <v>99</v>
      </c>
      <c r="F289" t="s">
        <v>84</v>
      </c>
      <c r="G289" t="s">
        <v>29</v>
      </c>
      <c r="H289" t="s">
        <v>8</v>
      </c>
      <c r="I289" t="s">
        <v>406</v>
      </c>
      <c r="J289">
        <v>1097</v>
      </c>
    </row>
    <row r="290" spans="1:10" x14ac:dyDescent="0.25">
      <c r="A290" t="str">
        <f>I290&amp;B290&amp;C290&amp;D290</f>
        <v>GY 17 JAN CAP201826</v>
      </c>
      <c r="B290">
        <v>2018</v>
      </c>
      <c r="C290">
        <v>2</v>
      </c>
      <c r="D290">
        <v>6</v>
      </c>
      <c r="E290" t="s">
        <v>99</v>
      </c>
      <c r="F290" t="s">
        <v>84</v>
      </c>
      <c r="G290" t="s">
        <v>29</v>
      </c>
      <c r="H290" t="s">
        <v>8</v>
      </c>
      <c r="I290" t="s">
        <v>407</v>
      </c>
      <c r="J290">
        <v>79</v>
      </c>
    </row>
    <row r="291" spans="1:10" x14ac:dyDescent="0.25">
      <c r="A291" t="str">
        <f>I291&amp;B291&amp;C291&amp;D291</f>
        <v>GY 17 SM2201826</v>
      </c>
      <c r="B291">
        <v>2018</v>
      </c>
      <c r="C291">
        <v>2</v>
      </c>
      <c r="D291">
        <v>6</v>
      </c>
      <c r="E291" t="s">
        <v>99</v>
      </c>
      <c r="F291" t="s">
        <v>84</v>
      </c>
      <c r="G291" t="s">
        <v>29</v>
      </c>
      <c r="H291" t="s">
        <v>6</v>
      </c>
      <c r="I291" t="s">
        <v>194</v>
      </c>
      <c r="J291">
        <v>129</v>
      </c>
    </row>
    <row r="292" spans="1:10" x14ac:dyDescent="0.25">
      <c r="A292" t="str">
        <f>I292&amp;B292&amp;C292&amp;D292</f>
        <v>GY 17 SM3201826</v>
      </c>
      <c r="B292">
        <v>2018</v>
      </c>
      <c r="C292">
        <v>2</v>
      </c>
      <c r="D292">
        <v>6</v>
      </c>
      <c r="E292" t="s">
        <v>99</v>
      </c>
      <c r="F292" t="s">
        <v>84</v>
      </c>
      <c r="G292" t="s">
        <v>29</v>
      </c>
      <c r="H292" t="s">
        <v>6</v>
      </c>
      <c r="I292" t="s">
        <v>196</v>
      </c>
      <c r="J292">
        <v>288</v>
      </c>
    </row>
    <row r="293" spans="1:10" x14ac:dyDescent="0.25">
      <c r="A293" t="str">
        <f>I293&amp;B293&amp;C293&amp;D293</f>
        <v>GY 17 SM4201826</v>
      </c>
      <c r="B293">
        <v>2018</v>
      </c>
      <c r="C293">
        <v>2</v>
      </c>
      <c r="D293">
        <v>6</v>
      </c>
      <c r="E293" t="s">
        <v>99</v>
      </c>
      <c r="F293" t="s">
        <v>84</v>
      </c>
      <c r="G293" t="s">
        <v>29</v>
      </c>
      <c r="H293" t="s">
        <v>6</v>
      </c>
      <c r="I293" t="s">
        <v>200</v>
      </c>
      <c r="J293">
        <v>195</v>
      </c>
    </row>
    <row r="294" spans="1:10" x14ac:dyDescent="0.25">
      <c r="A294" t="str">
        <f>I294&amp;B294&amp;C294&amp;D294</f>
        <v>GY 17 SMR201826</v>
      </c>
      <c r="B294">
        <v>2018</v>
      </c>
      <c r="C294">
        <v>2</v>
      </c>
      <c r="D294">
        <v>6</v>
      </c>
      <c r="E294" t="s">
        <v>99</v>
      </c>
      <c r="F294" t="s">
        <v>84</v>
      </c>
      <c r="G294" t="s">
        <v>29</v>
      </c>
      <c r="H294" t="s">
        <v>6</v>
      </c>
      <c r="I294" t="s">
        <v>204</v>
      </c>
      <c r="J294">
        <v>560</v>
      </c>
    </row>
    <row r="295" spans="1:10" x14ac:dyDescent="0.25">
      <c r="A295" t="str">
        <f>I295&amp;B295&amp;C295&amp;D295</f>
        <v>GY 17 SPR201826</v>
      </c>
      <c r="B295">
        <v>2018</v>
      </c>
      <c r="C295">
        <v>2</v>
      </c>
      <c r="D295">
        <v>6</v>
      </c>
      <c r="E295" t="s">
        <v>99</v>
      </c>
      <c r="F295" t="s">
        <v>84</v>
      </c>
      <c r="G295" t="s">
        <v>29</v>
      </c>
      <c r="H295" t="s">
        <v>5</v>
      </c>
      <c r="I295" t="s">
        <v>178</v>
      </c>
      <c r="J295">
        <v>262</v>
      </c>
    </row>
    <row r="296" spans="1:10" x14ac:dyDescent="0.25">
      <c r="A296" t="str">
        <f>I296&amp;B296&amp;C296&amp;D296</f>
        <v>GY 17 SPR 1201826</v>
      </c>
      <c r="B296">
        <v>2018</v>
      </c>
      <c r="C296">
        <v>2</v>
      </c>
      <c r="D296">
        <v>6</v>
      </c>
      <c r="E296" t="s">
        <v>99</v>
      </c>
      <c r="F296" t="s">
        <v>84</v>
      </c>
      <c r="G296" t="s">
        <v>29</v>
      </c>
      <c r="H296" t="s">
        <v>5</v>
      </c>
      <c r="I296" t="s">
        <v>180</v>
      </c>
      <c r="J296">
        <v>125</v>
      </c>
    </row>
    <row r="297" spans="1:10" x14ac:dyDescent="0.25">
      <c r="A297" t="str">
        <f>I297&amp;B297&amp;C297&amp;D297</f>
        <v>GY 17 SPR 2201826</v>
      </c>
      <c r="B297">
        <v>2018</v>
      </c>
      <c r="C297">
        <v>2</v>
      </c>
      <c r="D297">
        <v>6</v>
      </c>
      <c r="E297" t="s">
        <v>99</v>
      </c>
      <c r="F297" t="s">
        <v>84</v>
      </c>
      <c r="G297" t="s">
        <v>29</v>
      </c>
      <c r="H297" t="s">
        <v>5</v>
      </c>
      <c r="I297" t="s">
        <v>182</v>
      </c>
      <c r="J297">
        <v>40</v>
      </c>
    </row>
    <row r="298" spans="1:10" x14ac:dyDescent="0.25">
      <c r="A298" t="str">
        <f>I298&amp;B298&amp;C298&amp;D298</f>
        <v>GY 17 SPR TRANS201826</v>
      </c>
      <c r="B298">
        <v>2018</v>
      </c>
      <c r="C298">
        <v>2</v>
      </c>
      <c r="D298">
        <v>6</v>
      </c>
      <c r="E298" t="s">
        <v>99</v>
      </c>
      <c r="F298" t="s">
        <v>84</v>
      </c>
      <c r="G298" t="s">
        <v>29</v>
      </c>
      <c r="H298" t="s">
        <v>8</v>
      </c>
      <c r="I298" t="s">
        <v>403</v>
      </c>
      <c r="J298">
        <v>5799</v>
      </c>
    </row>
    <row r="299" spans="1:10" x14ac:dyDescent="0.25">
      <c r="A299" t="str">
        <f>I299&amp;B299&amp;C299&amp;D299</f>
        <v>GY 17 SPR VAC201826</v>
      </c>
      <c r="B299">
        <v>2018</v>
      </c>
      <c r="C299">
        <v>2</v>
      </c>
      <c r="D299">
        <v>6</v>
      </c>
      <c r="E299" t="s">
        <v>99</v>
      </c>
      <c r="F299" t="s">
        <v>84</v>
      </c>
      <c r="G299" t="s">
        <v>29</v>
      </c>
      <c r="H299" t="s">
        <v>5</v>
      </c>
      <c r="I299" t="s">
        <v>188</v>
      </c>
      <c r="J299">
        <v>157</v>
      </c>
    </row>
    <row r="300" spans="1:10" x14ac:dyDescent="0.25">
      <c r="A300" t="str">
        <f>I300&amp;B300&amp;C300&amp;D300</f>
        <v>GY 17 SPRING BASICS201826</v>
      </c>
      <c r="B300">
        <v>2018</v>
      </c>
      <c r="C300">
        <v>2</v>
      </c>
      <c r="D300">
        <v>6</v>
      </c>
      <c r="E300" t="s">
        <v>99</v>
      </c>
      <c r="F300" t="s">
        <v>84</v>
      </c>
      <c r="G300" t="s">
        <v>29</v>
      </c>
      <c r="H300" t="s">
        <v>10</v>
      </c>
      <c r="I300" t="s">
        <v>174</v>
      </c>
      <c r="J300">
        <v>433</v>
      </c>
    </row>
    <row r="301" spans="1:10" x14ac:dyDescent="0.25">
      <c r="A301" t="str">
        <f>I301&amp;B301&amp;C301&amp;D301</f>
        <v>GY 17 SUM 1201826</v>
      </c>
      <c r="B301">
        <v>2018</v>
      </c>
      <c r="C301">
        <v>2</v>
      </c>
      <c r="D301">
        <v>6</v>
      </c>
      <c r="E301" t="s">
        <v>99</v>
      </c>
      <c r="F301" t="s">
        <v>84</v>
      </c>
      <c r="G301" t="s">
        <v>29</v>
      </c>
      <c r="H301" t="s">
        <v>5</v>
      </c>
      <c r="I301" t="s">
        <v>190</v>
      </c>
      <c r="J301">
        <v>300</v>
      </c>
    </row>
    <row r="302" spans="1:10" x14ac:dyDescent="0.25">
      <c r="A302" t="str">
        <f>I302&amp;B302&amp;C302&amp;D302</f>
        <v>GY 17 SWIM 1201826</v>
      </c>
      <c r="B302">
        <v>2018</v>
      </c>
      <c r="C302">
        <v>2</v>
      </c>
      <c r="D302">
        <v>6</v>
      </c>
      <c r="E302" t="s">
        <v>99</v>
      </c>
      <c r="F302" t="s">
        <v>84</v>
      </c>
      <c r="G302" t="s">
        <v>29</v>
      </c>
      <c r="H302" t="s">
        <v>5</v>
      </c>
      <c r="I302" t="s">
        <v>184</v>
      </c>
      <c r="J302">
        <v>80</v>
      </c>
    </row>
    <row r="303" spans="1:10" x14ac:dyDescent="0.25">
      <c r="A303" t="str">
        <f>I303&amp;B303&amp;C303&amp;D303</f>
        <v>GY 17 SWIM 2201826</v>
      </c>
      <c r="B303">
        <v>2018</v>
      </c>
      <c r="C303">
        <v>2</v>
      </c>
      <c r="D303">
        <v>6</v>
      </c>
      <c r="E303" t="s">
        <v>99</v>
      </c>
      <c r="F303" t="s">
        <v>84</v>
      </c>
      <c r="G303" t="s">
        <v>29</v>
      </c>
      <c r="H303" t="s">
        <v>5</v>
      </c>
      <c r="I303" t="s">
        <v>192</v>
      </c>
      <c r="J303">
        <v>100</v>
      </c>
    </row>
    <row r="304" spans="1:10" x14ac:dyDescent="0.25">
      <c r="A304" t="str">
        <f>I304&amp;B304&amp;C304&amp;D304</f>
        <v>GY 17 SWIM 3201826</v>
      </c>
      <c r="B304">
        <v>2018</v>
      </c>
      <c r="C304">
        <v>2</v>
      </c>
      <c r="D304">
        <v>6</v>
      </c>
      <c r="E304" t="s">
        <v>99</v>
      </c>
      <c r="F304" t="s">
        <v>84</v>
      </c>
      <c r="G304" t="s">
        <v>29</v>
      </c>
      <c r="H304" t="s">
        <v>6</v>
      </c>
      <c r="I304" t="s">
        <v>198</v>
      </c>
      <c r="J304">
        <v>16</v>
      </c>
    </row>
    <row r="305" spans="1:10" x14ac:dyDescent="0.25">
      <c r="A305" t="str">
        <f>I305&amp;B305&amp;C305&amp;D305</f>
        <v>GY 17 TRANS201826</v>
      </c>
      <c r="B305">
        <v>2018</v>
      </c>
      <c r="C305">
        <v>2</v>
      </c>
      <c r="D305">
        <v>6</v>
      </c>
      <c r="E305" t="s">
        <v>99</v>
      </c>
      <c r="F305" t="s">
        <v>84</v>
      </c>
      <c r="G305" t="s">
        <v>29</v>
      </c>
      <c r="H305" t="s">
        <v>6</v>
      </c>
      <c r="I305" t="s">
        <v>202</v>
      </c>
      <c r="J305">
        <v>505</v>
      </c>
    </row>
    <row r="306" spans="1:10" x14ac:dyDescent="0.25">
      <c r="A306" t="str">
        <f>I306&amp;B306&amp;C306&amp;D306</f>
        <v>GY 17 WINTER 1201826</v>
      </c>
      <c r="B306">
        <v>2018</v>
      </c>
      <c r="C306">
        <v>2</v>
      </c>
      <c r="D306">
        <v>6</v>
      </c>
      <c r="E306" t="s">
        <v>99</v>
      </c>
      <c r="F306" t="s">
        <v>84</v>
      </c>
      <c r="G306" t="s">
        <v>29</v>
      </c>
      <c r="H306" t="s">
        <v>8</v>
      </c>
      <c r="I306" t="s">
        <v>408</v>
      </c>
      <c r="J306">
        <v>1026</v>
      </c>
    </row>
    <row r="307" spans="1:10" x14ac:dyDescent="0.25">
      <c r="A307" t="str">
        <f>I307&amp;B307&amp;C307&amp;D307</f>
        <v>GY 17 WINTER 2201826</v>
      </c>
      <c r="B307">
        <v>2018</v>
      </c>
      <c r="C307">
        <v>2</v>
      </c>
      <c r="D307">
        <v>6</v>
      </c>
      <c r="E307" t="s">
        <v>99</v>
      </c>
      <c r="F307" t="s">
        <v>84</v>
      </c>
      <c r="G307" t="s">
        <v>29</v>
      </c>
      <c r="H307" t="s">
        <v>8</v>
      </c>
      <c r="I307" t="s">
        <v>409</v>
      </c>
      <c r="J307">
        <v>1113</v>
      </c>
    </row>
    <row r="308" spans="1:10" x14ac:dyDescent="0.25">
      <c r="A308" t="str">
        <f>I308&amp;B308&amp;C308&amp;D308</f>
        <v>GY 17 WINTER 3201826</v>
      </c>
      <c r="B308">
        <v>2018</v>
      </c>
      <c r="C308">
        <v>2</v>
      </c>
      <c r="D308">
        <v>6</v>
      </c>
      <c r="E308" t="s">
        <v>99</v>
      </c>
      <c r="F308" t="s">
        <v>84</v>
      </c>
      <c r="G308" t="s">
        <v>29</v>
      </c>
      <c r="H308" t="s">
        <v>8</v>
      </c>
      <c r="I308" t="s">
        <v>410</v>
      </c>
      <c r="J308">
        <v>2724</v>
      </c>
    </row>
    <row r="309" spans="1:10" x14ac:dyDescent="0.25">
      <c r="A309" t="str">
        <f>I309&amp;B309&amp;C309&amp;D309</f>
        <v>GY 18 BTS201826</v>
      </c>
      <c r="B309">
        <v>2018</v>
      </c>
      <c r="C309">
        <v>2</v>
      </c>
      <c r="D309">
        <v>6</v>
      </c>
      <c r="E309" t="s">
        <v>99</v>
      </c>
      <c r="F309" t="s">
        <v>84</v>
      </c>
      <c r="G309" t="s">
        <v>29</v>
      </c>
      <c r="H309" t="s">
        <v>54</v>
      </c>
      <c r="I309" t="s">
        <v>428</v>
      </c>
      <c r="J309">
        <v>798946</v>
      </c>
    </row>
    <row r="310" spans="1:10" x14ac:dyDescent="0.25">
      <c r="A310" t="str">
        <f>I310&amp;B310&amp;C310&amp;D310</f>
        <v>GY 18 DRESSY201826</v>
      </c>
      <c r="B310">
        <v>2018</v>
      </c>
      <c r="C310">
        <v>2</v>
      </c>
      <c r="D310">
        <v>6</v>
      </c>
      <c r="E310" t="s">
        <v>99</v>
      </c>
      <c r="F310" t="s">
        <v>84</v>
      </c>
      <c r="G310" t="s">
        <v>29</v>
      </c>
      <c r="H310" t="s">
        <v>5</v>
      </c>
      <c r="I310" t="s">
        <v>185</v>
      </c>
      <c r="J310">
        <v>0</v>
      </c>
    </row>
    <row r="311" spans="1:10" x14ac:dyDescent="0.25">
      <c r="A311" t="str">
        <f>I311&amp;B311&amp;C311&amp;D311</f>
        <v>GY 18 FAL201826</v>
      </c>
      <c r="B311">
        <v>2018</v>
      </c>
      <c r="C311">
        <v>2</v>
      </c>
      <c r="D311">
        <v>6</v>
      </c>
      <c r="E311" t="s">
        <v>99</v>
      </c>
      <c r="F311" t="s">
        <v>84</v>
      </c>
      <c r="G311" t="s">
        <v>29</v>
      </c>
      <c r="H311" t="s">
        <v>54</v>
      </c>
      <c r="I311" t="s">
        <v>427</v>
      </c>
      <c r="J311">
        <v>480511</v>
      </c>
    </row>
    <row r="312" spans="1:10" x14ac:dyDescent="0.25">
      <c r="A312" t="str">
        <f>I312&amp;B312&amp;C312&amp;D312</f>
        <v>GY 18 FALL 1201826</v>
      </c>
      <c r="B312">
        <v>2018</v>
      </c>
      <c r="C312">
        <v>2</v>
      </c>
      <c r="D312">
        <v>6</v>
      </c>
      <c r="E312" t="s">
        <v>99</v>
      </c>
      <c r="F312" t="s">
        <v>84</v>
      </c>
      <c r="G312" t="s">
        <v>29</v>
      </c>
      <c r="H312" t="s">
        <v>54</v>
      </c>
      <c r="I312" t="s">
        <v>429</v>
      </c>
      <c r="J312">
        <v>667379</v>
      </c>
    </row>
    <row r="313" spans="1:10" x14ac:dyDescent="0.25">
      <c r="A313" t="str">
        <f>I313&amp;B313&amp;C313&amp;D313</f>
        <v>GY 18 FALL 2201826</v>
      </c>
      <c r="B313">
        <v>2018</v>
      </c>
      <c r="C313">
        <v>2</v>
      </c>
      <c r="D313">
        <v>6</v>
      </c>
      <c r="E313" t="s">
        <v>99</v>
      </c>
      <c r="F313" t="s">
        <v>84</v>
      </c>
      <c r="G313" t="s">
        <v>29</v>
      </c>
      <c r="H313" t="s">
        <v>54</v>
      </c>
      <c r="I313" t="s">
        <v>430</v>
      </c>
      <c r="J313">
        <v>360000</v>
      </c>
    </row>
    <row r="314" spans="1:10" x14ac:dyDescent="0.25">
      <c r="A314" t="str">
        <f>I314&amp;B314&amp;C314&amp;D314</f>
        <v>GY 18 FALL BASICS201826</v>
      </c>
      <c r="B314">
        <v>2018</v>
      </c>
      <c r="C314">
        <v>2</v>
      </c>
      <c r="D314">
        <v>6</v>
      </c>
      <c r="E314" t="s">
        <v>99</v>
      </c>
      <c r="F314" t="s">
        <v>84</v>
      </c>
      <c r="G314" t="s">
        <v>29</v>
      </c>
      <c r="H314" t="s">
        <v>10</v>
      </c>
      <c r="I314" t="s">
        <v>175</v>
      </c>
      <c r="J314">
        <v>1043997</v>
      </c>
    </row>
    <row r="315" spans="1:10" x14ac:dyDescent="0.25">
      <c r="A315" t="str">
        <f>I315&amp;B315&amp;C315&amp;D315</f>
        <v>GY 18 SM2201826</v>
      </c>
      <c r="B315">
        <v>2018</v>
      </c>
      <c r="C315">
        <v>2</v>
      </c>
      <c r="D315">
        <v>6</v>
      </c>
      <c r="E315" t="s">
        <v>99</v>
      </c>
      <c r="F315" t="s">
        <v>84</v>
      </c>
      <c r="G315" t="s">
        <v>29</v>
      </c>
      <c r="H315" t="s">
        <v>6</v>
      </c>
      <c r="I315" t="s">
        <v>193</v>
      </c>
      <c r="J315">
        <v>127619</v>
      </c>
    </row>
    <row r="316" spans="1:10" x14ac:dyDescent="0.25">
      <c r="A316" t="str">
        <f>I316&amp;B316&amp;C316&amp;D316</f>
        <v>GY 18 SM3201826</v>
      </c>
      <c r="B316">
        <v>2018</v>
      </c>
      <c r="C316">
        <v>2</v>
      </c>
      <c r="D316">
        <v>6</v>
      </c>
      <c r="E316" t="s">
        <v>99</v>
      </c>
      <c r="F316" t="s">
        <v>84</v>
      </c>
      <c r="G316" t="s">
        <v>29</v>
      </c>
      <c r="H316" t="s">
        <v>6</v>
      </c>
      <c r="I316" t="s">
        <v>195</v>
      </c>
      <c r="J316">
        <v>131636</v>
      </c>
    </row>
    <row r="317" spans="1:10" x14ac:dyDescent="0.25">
      <c r="A317" t="str">
        <f>I317&amp;B317&amp;C317&amp;D317</f>
        <v>GY 18 SM4201826</v>
      </c>
      <c r="B317">
        <v>2018</v>
      </c>
      <c r="C317">
        <v>2</v>
      </c>
      <c r="D317">
        <v>6</v>
      </c>
      <c r="E317" t="s">
        <v>99</v>
      </c>
      <c r="F317" t="s">
        <v>84</v>
      </c>
      <c r="G317" t="s">
        <v>29</v>
      </c>
      <c r="H317" t="s">
        <v>6</v>
      </c>
      <c r="I317" t="s">
        <v>199</v>
      </c>
      <c r="J317">
        <v>231037</v>
      </c>
    </row>
    <row r="318" spans="1:10" x14ac:dyDescent="0.25">
      <c r="A318" t="str">
        <f>I318&amp;B318&amp;C318&amp;D318</f>
        <v>GY 18 SM5201826</v>
      </c>
      <c r="B318">
        <v>2018</v>
      </c>
      <c r="C318">
        <v>2</v>
      </c>
      <c r="D318">
        <v>6</v>
      </c>
      <c r="E318" t="s">
        <v>99</v>
      </c>
      <c r="F318" t="s">
        <v>84</v>
      </c>
      <c r="G318" t="s">
        <v>29</v>
      </c>
      <c r="H318" t="s">
        <v>6</v>
      </c>
      <c r="I318" t="s">
        <v>201</v>
      </c>
      <c r="J318">
        <v>431412</v>
      </c>
    </row>
    <row r="319" spans="1:10" x14ac:dyDescent="0.25">
      <c r="A319" t="str">
        <f>I319&amp;B319&amp;C319&amp;D319</f>
        <v>GY 18 SMR201826</v>
      </c>
      <c r="B319">
        <v>2018</v>
      </c>
      <c r="C319">
        <v>2</v>
      </c>
      <c r="D319">
        <v>6</v>
      </c>
      <c r="E319" t="s">
        <v>99</v>
      </c>
      <c r="F319" t="s">
        <v>84</v>
      </c>
      <c r="G319" t="s">
        <v>29</v>
      </c>
      <c r="H319" t="s">
        <v>6</v>
      </c>
      <c r="I319" t="s">
        <v>203</v>
      </c>
      <c r="J319">
        <v>307802</v>
      </c>
    </row>
    <row r="320" spans="1:10" x14ac:dyDescent="0.25">
      <c r="A320" t="str">
        <f>I320&amp;B320&amp;C320&amp;D320</f>
        <v>GY 18 SPR201826</v>
      </c>
      <c r="B320">
        <v>2018</v>
      </c>
      <c r="C320">
        <v>2</v>
      </c>
      <c r="D320">
        <v>6</v>
      </c>
      <c r="E320" t="s">
        <v>99</v>
      </c>
      <c r="F320" t="s">
        <v>84</v>
      </c>
      <c r="G320" t="s">
        <v>29</v>
      </c>
      <c r="H320" t="s">
        <v>5</v>
      </c>
      <c r="I320" t="s">
        <v>177</v>
      </c>
      <c r="J320">
        <v>0</v>
      </c>
    </row>
    <row r="321" spans="1:10" x14ac:dyDescent="0.25">
      <c r="A321" t="str">
        <f>I321&amp;B321&amp;C321&amp;D321</f>
        <v>GY 18 SPR 1201826</v>
      </c>
      <c r="B321">
        <v>2018</v>
      </c>
      <c r="C321">
        <v>2</v>
      </c>
      <c r="D321">
        <v>6</v>
      </c>
      <c r="E321" t="s">
        <v>99</v>
      </c>
      <c r="F321" t="s">
        <v>84</v>
      </c>
      <c r="G321" t="s">
        <v>29</v>
      </c>
      <c r="H321" t="s">
        <v>5</v>
      </c>
      <c r="I321" t="s">
        <v>179</v>
      </c>
      <c r="J321">
        <v>0</v>
      </c>
    </row>
    <row r="322" spans="1:10" x14ac:dyDescent="0.25">
      <c r="A322" t="str">
        <f>I322&amp;B322&amp;C322&amp;D322</f>
        <v>GY 18 SPR 2201826</v>
      </c>
      <c r="B322">
        <v>2018</v>
      </c>
      <c r="C322">
        <v>2</v>
      </c>
      <c r="D322">
        <v>6</v>
      </c>
      <c r="E322" t="s">
        <v>99</v>
      </c>
      <c r="F322" t="s">
        <v>84</v>
      </c>
      <c r="G322" t="s">
        <v>29</v>
      </c>
      <c r="H322" t="s">
        <v>5</v>
      </c>
      <c r="I322" t="s">
        <v>181</v>
      </c>
      <c r="J322">
        <v>0</v>
      </c>
    </row>
    <row r="323" spans="1:10" x14ac:dyDescent="0.25">
      <c r="A323" t="str">
        <f>I323&amp;B323&amp;C323&amp;D323</f>
        <v>GY 18 SPR VACA201826</v>
      </c>
      <c r="B323">
        <v>2018</v>
      </c>
      <c r="C323">
        <v>2</v>
      </c>
      <c r="D323">
        <v>6</v>
      </c>
      <c r="E323" t="s">
        <v>99</v>
      </c>
      <c r="F323" t="s">
        <v>84</v>
      </c>
      <c r="G323" t="s">
        <v>29</v>
      </c>
      <c r="H323" t="s">
        <v>5</v>
      </c>
      <c r="I323" t="s">
        <v>187</v>
      </c>
      <c r="J323">
        <v>0</v>
      </c>
    </row>
    <row r="324" spans="1:10" x14ac:dyDescent="0.25">
      <c r="A324" t="str">
        <f>I324&amp;B324&amp;C324&amp;D324</f>
        <v>GY 18 SPRING BASICS201826</v>
      </c>
      <c r="B324">
        <v>2018</v>
      </c>
      <c r="C324">
        <v>2</v>
      </c>
      <c r="D324">
        <v>6</v>
      </c>
      <c r="E324" t="s">
        <v>99</v>
      </c>
      <c r="F324" t="s">
        <v>84</v>
      </c>
      <c r="G324" t="s">
        <v>29</v>
      </c>
      <c r="H324" t="s">
        <v>10</v>
      </c>
      <c r="I324" t="s">
        <v>173</v>
      </c>
      <c r="J324">
        <v>240301</v>
      </c>
    </row>
    <row r="325" spans="1:10" x14ac:dyDescent="0.25">
      <c r="A325" t="str">
        <f>I325&amp;B325&amp;C325&amp;D325</f>
        <v>GY 18 SUM 1201826</v>
      </c>
      <c r="B325">
        <v>2018</v>
      </c>
      <c r="C325">
        <v>2</v>
      </c>
      <c r="D325">
        <v>6</v>
      </c>
      <c r="E325" t="s">
        <v>99</v>
      </c>
      <c r="F325" t="s">
        <v>84</v>
      </c>
      <c r="G325" t="s">
        <v>29</v>
      </c>
      <c r="H325" t="s">
        <v>5</v>
      </c>
      <c r="I325" t="s">
        <v>189</v>
      </c>
      <c r="J325">
        <v>-1</v>
      </c>
    </row>
    <row r="326" spans="1:10" x14ac:dyDescent="0.25">
      <c r="A326" t="str">
        <f>I326&amp;B326&amp;C326&amp;D326</f>
        <v>GY 18 SWIM 1201826</v>
      </c>
      <c r="B326">
        <v>2018</v>
      </c>
      <c r="C326">
        <v>2</v>
      </c>
      <c r="D326">
        <v>6</v>
      </c>
      <c r="E326" t="s">
        <v>99</v>
      </c>
      <c r="F326" t="s">
        <v>84</v>
      </c>
      <c r="G326" t="s">
        <v>29</v>
      </c>
      <c r="H326" t="s">
        <v>5</v>
      </c>
      <c r="I326" t="s">
        <v>183</v>
      </c>
      <c r="J326">
        <v>9350</v>
      </c>
    </row>
    <row r="327" spans="1:10" x14ac:dyDescent="0.25">
      <c r="A327" t="str">
        <f>I327&amp;B327&amp;C327&amp;D327</f>
        <v>GY 18 SWIM 2201826</v>
      </c>
      <c r="B327">
        <v>2018</v>
      </c>
      <c r="C327">
        <v>2</v>
      </c>
      <c r="D327">
        <v>6</v>
      </c>
      <c r="E327" t="s">
        <v>99</v>
      </c>
      <c r="F327" t="s">
        <v>84</v>
      </c>
      <c r="G327" t="s">
        <v>29</v>
      </c>
      <c r="H327" t="s">
        <v>5</v>
      </c>
      <c r="I327" t="s">
        <v>191</v>
      </c>
      <c r="J327">
        <v>47962</v>
      </c>
    </row>
    <row r="328" spans="1:10" x14ac:dyDescent="0.25">
      <c r="A328" t="str">
        <f>I328&amp;B328&amp;C328&amp;D328</f>
        <v>GY 18 SWIM 3201826</v>
      </c>
      <c r="B328">
        <v>2018</v>
      </c>
      <c r="C328">
        <v>2</v>
      </c>
      <c r="D328">
        <v>6</v>
      </c>
      <c r="E328" t="s">
        <v>99</v>
      </c>
      <c r="F328" t="s">
        <v>84</v>
      </c>
      <c r="G328" t="s">
        <v>29</v>
      </c>
      <c r="H328" t="s">
        <v>6</v>
      </c>
      <c r="I328" t="s">
        <v>197</v>
      </c>
      <c r="J328">
        <v>22854</v>
      </c>
    </row>
    <row r="329" spans="1:10" x14ac:dyDescent="0.25">
      <c r="A329" t="str">
        <f>I329&amp;B329&amp;C329&amp;D329</f>
        <v>GY 18 VDAY201826</v>
      </c>
      <c r="B329">
        <v>2018</v>
      </c>
      <c r="C329">
        <v>2</v>
      </c>
      <c r="D329">
        <v>6</v>
      </c>
      <c r="E329" t="s">
        <v>99</v>
      </c>
      <c r="F329" t="s">
        <v>84</v>
      </c>
      <c r="G329" t="s">
        <v>29</v>
      </c>
      <c r="H329" t="s">
        <v>8</v>
      </c>
      <c r="I329" t="s">
        <v>396</v>
      </c>
      <c r="J329">
        <v>17884</v>
      </c>
    </row>
    <row r="330" spans="1:10" x14ac:dyDescent="0.25">
      <c r="A330" t="str">
        <f>I330&amp;B330&amp;C330&amp;D330</f>
        <v>GY YRLY BASICS201826</v>
      </c>
      <c r="B330">
        <v>2018</v>
      </c>
      <c r="C330">
        <v>2</v>
      </c>
      <c r="D330">
        <v>6</v>
      </c>
      <c r="E330" t="s">
        <v>99</v>
      </c>
      <c r="F330" t="s">
        <v>84</v>
      </c>
      <c r="G330" t="s">
        <v>29</v>
      </c>
      <c r="H330" t="s">
        <v>10</v>
      </c>
      <c r="I330" t="s">
        <v>349</v>
      </c>
      <c r="J330">
        <v>741370</v>
      </c>
    </row>
    <row r="331" spans="1:10" x14ac:dyDescent="0.25">
      <c r="A331" t="str">
        <f>I331&amp;B331&amp;C331&amp;D331</f>
        <v>GY YRLY DENIM201826</v>
      </c>
      <c r="B331">
        <v>2018</v>
      </c>
      <c r="C331">
        <v>2</v>
      </c>
      <c r="D331">
        <v>6</v>
      </c>
      <c r="E331" t="s">
        <v>99</v>
      </c>
      <c r="F331" t="s">
        <v>84</v>
      </c>
      <c r="G331" t="s">
        <v>29</v>
      </c>
      <c r="H331" t="s">
        <v>10</v>
      </c>
      <c r="I331" t="s">
        <v>350</v>
      </c>
      <c r="J331">
        <v>359811</v>
      </c>
    </row>
    <row r="332" spans="1:10" x14ac:dyDescent="0.25">
      <c r="A332" t="str">
        <f>I332&amp;B332&amp;C332&amp;D332</f>
        <v>GY YRLY UNIFORM201826</v>
      </c>
      <c r="B332">
        <v>2018</v>
      </c>
      <c r="C332">
        <v>2</v>
      </c>
      <c r="D332">
        <v>6</v>
      </c>
      <c r="E332" t="s">
        <v>99</v>
      </c>
      <c r="F332" t="s">
        <v>84</v>
      </c>
      <c r="G332" t="s">
        <v>29</v>
      </c>
      <c r="H332" t="s">
        <v>10</v>
      </c>
      <c r="I332" t="s">
        <v>351</v>
      </c>
      <c r="J332">
        <v>40895</v>
      </c>
    </row>
    <row r="333" spans="1:10" x14ac:dyDescent="0.25">
      <c r="A333" t="str">
        <f>I333&amp;B333&amp;C333&amp;D333</f>
        <v>Old201826</v>
      </c>
      <c r="B333">
        <v>2018</v>
      </c>
      <c r="C333">
        <v>2</v>
      </c>
      <c r="D333">
        <v>6</v>
      </c>
      <c r="E333" t="s">
        <v>99</v>
      </c>
      <c r="F333" t="s">
        <v>84</v>
      </c>
      <c r="G333" t="s">
        <v>29</v>
      </c>
      <c r="H333" t="s">
        <v>434</v>
      </c>
      <c r="I333" t="s">
        <v>434</v>
      </c>
      <c r="J333">
        <v>15367</v>
      </c>
    </row>
    <row r="334" spans="1:10" x14ac:dyDescent="0.25">
      <c r="A334" t="str">
        <f>I334&amp;B334&amp;C334&amp;D334</f>
        <v>Winter 17201826</v>
      </c>
      <c r="B334">
        <v>2018</v>
      </c>
      <c r="C334">
        <v>2</v>
      </c>
      <c r="D334">
        <v>6</v>
      </c>
      <c r="E334" t="s">
        <v>99</v>
      </c>
      <c r="F334" t="s">
        <v>84</v>
      </c>
      <c r="G334" t="s">
        <v>29</v>
      </c>
      <c r="H334" t="s">
        <v>435</v>
      </c>
      <c r="I334" t="s">
        <v>435</v>
      </c>
      <c r="J334">
        <v>29722</v>
      </c>
    </row>
    <row r="335" spans="1:10" x14ac:dyDescent="0.25">
      <c r="A335" t="str">
        <f>I335&amp;B335&amp;C335&amp;D335</f>
        <v>GY 17 BTS201837</v>
      </c>
      <c r="B335">
        <v>2018</v>
      </c>
      <c r="C335">
        <v>3</v>
      </c>
      <c r="D335">
        <v>7</v>
      </c>
      <c r="E335" t="s">
        <v>99</v>
      </c>
      <c r="F335" t="s">
        <v>84</v>
      </c>
      <c r="G335" t="s">
        <v>29</v>
      </c>
      <c r="H335" t="s">
        <v>54</v>
      </c>
      <c r="I335" t="s">
        <v>397</v>
      </c>
      <c r="J335">
        <v>991</v>
      </c>
    </row>
    <row r="336" spans="1:10" x14ac:dyDescent="0.25">
      <c r="A336" t="str">
        <f>I336&amp;B336&amp;C336&amp;D336</f>
        <v>GY 17 CAP201837</v>
      </c>
      <c r="B336">
        <v>2018</v>
      </c>
      <c r="C336">
        <v>3</v>
      </c>
      <c r="D336">
        <v>7</v>
      </c>
      <c r="E336" t="s">
        <v>99</v>
      </c>
      <c r="F336" t="s">
        <v>84</v>
      </c>
      <c r="G336" t="s">
        <v>29</v>
      </c>
      <c r="H336" t="s">
        <v>6</v>
      </c>
      <c r="I336" t="s">
        <v>404</v>
      </c>
      <c r="J336">
        <v>90</v>
      </c>
    </row>
    <row r="337" spans="1:10" x14ac:dyDescent="0.25">
      <c r="A337" t="str">
        <f>I337&amp;B337&amp;C337&amp;D337</f>
        <v>GY 17 DRSY CAP201837</v>
      </c>
      <c r="B337">
        <v>2018</v>
      </c>
      <c r="C337">
        <v>3</v>
      </c>
      <c r="D337">
        <v>7</v>
      </c>
      <c r="E337" t="s">
        <v>99</v>
      </c>
      <c r="F337" t="s">
        <v>84</v>
      </c>
      <c r="G337" t="s">
        <v>29</v>
      </c>
      <c r="H337" t="s">
        <v>5</v>
      </c>
      <c r="I337" t="s">
        <v>186</v>
      </c>
      <c r="J337">
        <v>208</v>
      </c>
    </row>
    <row r="338" spans="1:10" x14ac:dyDescent="0.25">
      <c r="A338" t="str">
        <f>I338&amp;B338&amp;C338&amp;D338</f>
        <v>GY 17 FAL201837</v>
      </c>
      <c r="B338">
        <v>2018</v>
      </c>
      <c r="C338">
        <v>3</v>
      </c>
      <c r="D338">
        <v>7</v>
      </c>
      <c r="E338" t="s">
        <v>99</v>
      </c>
      <c r="F338" t="s">
        <v>84</v>
      </c>
      <c r="G338" t="s">
        <v>29</v>
      </c>
      <c r="H338" t="s">
        <v>54</v>
      </c>
      <c r="I338" t="s">
        <v>398</v>
      </c>
      <c r="J338">
        <v>1234</v>
      </c>
    </row>
    <row r="339" spans="1:10" x14ac:dyDescent="0.25">
      <c r="A339" t="str">
        <f>I339&amp;B339&amp;C339&amp;D339</f>
        <v>GY 17 FALL 1201837</v>
      </c>
      <c r="B339">
        <v>2018</v>
      </c>
      <c r="C339">
        <v>3</v>
      </c>
      <c r="D339">
        <v>7</v>
      </c>
      <c r="E339" t="s">
        <v>99</v>
      </c>
      <c r="F339" t="s">
        <v>84</v>
      </c>
      <c r="G339" t="s">
        <v>29</v>
      </c>
      <c r="H339" t="s">
        <v>54</v>
      </c>
      <c r="I339" t="s">
        <v>399</v>
      </c>
      <c r="J339">
        <v>1647</v>
      </c>
    </row>
    <row r="340" spans="1:10" x14ac:dyDescent="0.25">
      <c r="A340" t="str">
        <f>I340&amp;B340&amp;C340&amp;D340</f>
        <v>GY 17 FALL 2201837</v>
      </c>
      <c r="B340">
        <v>2018</v>
      </c>
      <c r="C340">
        <v>3</v>
      </c>
      <c r="D340">
        <v>7</v>
      </c>
      <c r="E340" t="s">
        <v>99</v>
      </c>
      <c r="F340" t="s">
        <v>84</v>
      </c>
      <c r="G340" t="s">
        <v>29</v>
      </c>
      <c r="H340" t="s">
        <v>54</v>
      </c>
      <c r="I340" t="s">
        <v>400</v>
      </c>
      <c r="J340">
        <v>1801</v>
      </c>
    </row>
    <row r="341" spans="1:10" x14ac:dyDescent="0.25">
      <c r="A341" t="str">
        <f>I341&amp;B341&amp;C341&amp;D341</f>
        <v>GY 17 FALL 3201837</v>
      </c>
      <c r="B341">
        <v>2018</v>
      </c>
      <c r="C341">
        <v>3</v>
      </c>
      <c r="D341">
        <v>7</v>
      </c>
      <c r="E341" t="s">
        <v>99</v>
      </c>
      <c r="F341" t="s">
        <v>84</v>
      </c>
      <c r="G341" t="s">
        <v>29</v>
      </c>
      <c r="H341" t="s">
        <v>54</v>
      </c>
      <c r="I341" t="s">
        <v>401</v>
      </c>
      <c r="J341">
        <v>2936</v>
      </c>
    </row>
    <row r="342" spans="1:10" x14ac:dyDescent="0.25">
      <c r="A342" t="str">
        <f>I342&amp;B342&amp;C342&amp;D342</f>
        <v>GY 17 FALL 4201837</v>
      </c>
      <c r="B342">
        <v>2018</v>
      </c>
      <c r="C342">
        <v>3</v>
      </c>
      <c r="D342">
        <v>7</v>
      </c>
      <c r="E342" t="s">
        <v>99</v>
      </c>
      <c r="F342" t="s">
        <v>84</v>
      </c>
      <c r="G342" t="s">
        <v>29</v>
      </c>
      <c r="H342" t="s">
        <v>54</v>
      </c>
      <c r="I342" t="s">
        <v>402</v>
      </c>
      <c r="J342">
        <v>1550</v>
      </c>
    </row>
    <row r="343" spans="1:10" x14ac:dyDescent="0.25">
      <c r="A343" t="str">
        <f>I343&amp;B343&amp;C343&amp;D343</f>
        <v>GY 17 FALL BASICS201837</v>
      </c>
      <c r="B343">
        <v>2018</v>
      </c>
      <c r="C343">
        <v>3</v>
      </c>
      <c r="D343">
        <v>7</v>
      </c>
      <c r="E343" t="s">
        <v>99</v>
      </c>
      <c r="F343" t="s">
        <v>84</v>
      </c>
      <c r="G343" t="s">
        <v>29</v>
      </c>
      <c r="H343" t="s">
        <v>10</v>
      </c>
      <c r="I343" t="s">
        <v>176</v>
      </c>
      <c r="J343">
        <v>1252</v>
      </c>
    </row>
    <row r="344" spans="1:10" x14ac:dyDescent="0.25">
      <c r="A344" t="str">
        <f>I344&amp;B344&amp;C344&amp;D344</f>
        <v>GY 17 HO HO SHOP201837</v>
      </c>
      <c r="B344">
        <v>2018</v>
      </c>
      <c r="C344">
        <v>3</v>
      </c>
      <c r="D344">
        <v>7</v>
      </c>
      <c r="E344" t="s">
        <v>99</v>
      </c>
      <c r="F344" t="s">
        <v>84</v>
      </c>
      <c r="G344" t="s">
        <v>29</v>
      </c>
      <c r="H344" t="s">
        <v>54</v>
      </c>
      <c r="I344" t="s">
        <v>405</v>
      </c>
      <c r="J344">
        <v>1749</v>
      </c>
    </row>
    <row r="345" spans="1:10" x14ac:dyDescent="0.25">
      <c r="A345" t="str">
        <f>I345&amp;B345&amp;C345&amp;D345</f>
        <v>GY 17 HOL201837</v>
      </c>
      <c r="B345">
        <v>2018</v>
      </c>
      <c r="C345">
        <v>3</v>
      </c>
      <c r="D345">
        <v>7</v>
      </c>
      <c r="E345" t="s">
        <v>99</v>
      </c>
      <c r="F345" t="s">
        <v>84</v>
      </c>
      <c r="G345" t="s">
        <v>29</v>
      </c>
      <c r="H345" t="s">
        <v>8</v>
      </c>
      <c r="I345" t="s">
        <v>406</v>
      </c>
      <c r="J345">
        <v>1093</v>
      </c>
    </row>
    <row r="346" spans="1:10" x14ac:dyDescent="0.25">
      <c r="A346" t="str">
        <f>I346&amp;B346&amp;C346&amp;D346</f>
        <v>GY 17 JAN CAP201837</v>
      </c>
      <c r="B346">
        <v>2018</v>
      </c>
      <c r="C346">
        <v>3</v>
      </c>
      <c r="D346">
        <v>7</v>
      </c>
      <c r="E346" t="s">
        <v>99</v>
      </c>
      <c r="F346" t="s">
        <v>84</v>
      </c>
      <c r="G346" t="s">
        <v>29</v>
      </c>
      <c r="H346" t="s">
        <v>8</v>
      </c>
      <c r="I346" t="s">
        <v>407</v>
      </c>
      <c r="J346">
        <v>75</v>
      </c>
    </row>
    <row r="347" spans="1:10" x14ac:dyDescent="0.25">
      <c r="A347" t="str">
        <f>I347&amp;B347&amp;C347&amp;D347</f>
        <v>GY 17 SM2201837</v>
      </c>
      <c r="B347">
        <v>2018</v>
      </c>
      <c r="C347">
        <v>3</v>
      </c>
      <c r="D347">
        <v>7</v>
      </c>
      <c r="E347" t="s">
        <v>99</v>
      </c>
      <c r="F347" t="s">
        <v>84</v>
      </c>
      <c r="G347" t="s">
        <v>29</v>
      </c>
      <c r="H347" t="s">
        <v>6</v>
      </c>
      <c r="I347" t="s">
        <v>194</v>
      </c>
      <c r="J347">
        <v>109</v>
      </c>
    </row>
    <row r="348" spans="1:10" x14ac:dyDescent="0.25">
      <c r="A348" t="str">
        <f>I348&amp;B348&amp;C348&amp;D348</f>
        <v>GY 17 SM3201837</v>
      </c>
      <c r="B348">
        <v>2018</v>
      </c>
      <c r="C348">
        <v>3</v>
      </c>
      <c r="D348">
        <v>7</v>
      </c>
      <c r="E348" t="s">
        <v>99</v>
      </c>
      <c r="F348" t="s">
        <v>84</v>
      </c>
      <c r="G348" t="s">
        <v>29</v>
      </c>
      <c r="H348" t="s">
        <v>6</v>
      </c>
      <c r="I348" t="s">
        <v>196</v>
      </c>
      <c r="J348">
        <v>268</v>
      </c>
    </row>
    <row r="349" spans="1:10" x14ac:dyDescent="0.25">
      <c r="A349" t="str">
        <f>I349&amp;B349&amp;C349&amp;D349</f>
        <v>GY 17 SM4201837</v>
      </c>
      <c r="B349">
        <v>2018</v>
      </c>
      <c r="C349">
        <v>3</v>
      </c>
      <c r="D349">
        <v>7</v>
      </c>
      <c r="E349" t="s">
        <v>99</v>
      </c>
      <c r="F349" t="s">
        <v>84</v>
      </c>
      <c r="G349" t="s">
        <v>29</v>
      </c>
      <c r="H349" t="s">
        <v>6</v>
      </c>
      <c r="I349" t="s">
        <v>200</v>
      </c>
      <c r="J349">
        <v>175</v>
      </c>
    </row>
    <row r="350" spans="1:10" x14ac:dyDescent="0.25">
      <c r="A350" t="str">
        <f>I350&amp;B350&amp;C350&amp;D350</f>
        <v>GY 17 SMR201837</v>
      </c>
      <c r="B350">
        <v>2018</v>
      </c>
      <c r="C350">
        <v>3</v>
      </c>
      <c r="D350">
        <v>7</v>
      </c>
      <c r="E350" t="s">
        <v>99</v>
      </c>
      <c r="F350" t="s">
        <v>84</v>
      </c>
      <c r="G350" t="s">
        <v>29</v>
      </c>
      <c r="H350" t="s">
        <v>6</v>
      </c>
      <c r="I350" t="s">
        <v>204</v>
      </c>
      <c r="J350">
        <v>540</v>
      </c>
    </row>
    <row r="351" spans="1:10" x14ac:dyDescent="0.25">
      <c r="A351" t="str">
        <f>I351&amp;B351&amp;C351&amp;D351</f>
        <v>GY 17 SPR201837</v>
      </c>
      <c r="B351">
        <v>2018</v>
      </c>
      <c r="C351">
        <v>3</v>
      </c>
      <c r="D351">
        <v>7</v>
      </c>
      <c r="E351" t="s">
        <v>99</v>
      </c>
      <c r="F351" t="s">
        <v>84</v>
      </c>
      <c r="G351" t="s">
        <v>29</v>
      </c>
      <c r="H351" t="s">
        <v>5</v>
      </c>
      <c r="I351" t="s">
        <v>178</v>
      </c>
      <c r="J351">
        <v>242</v>
      </c>
    </row>
    <row r="352" spans="1:10" x14ac:dyDescent="0.25">
      <c r="A352" t="str">
        <f>I352&amp;B352&amp;C352&amp;D352</f>
        <v>GY 17 SPR 1201837</v>
      </c>
      <c r="B352">
        <v>2018</v>
      </c>
      <c r="C352">
        <v>3</v>
      </c>
      <c r="D352">
        <v>7</v>
      </c>
      <c r="E352" t="s">
        <v>99</v>
      </c>
      <c r="F352" t="s">
        <v>84</v>
      </c>
      <c r="G352" t="s">
        <v>29</v>
      </c>
      <c r="H352" t="s">
        <v>5</v>
      </c>
      <c r="I352" t="s">
        <v>180</v>
      </c>
      <c r="J352">
        <v>121</v>
      </c>
    </row>
    <row r="353" spans="1:10" x14ac:dyDescent="0.25">
      <c r="A353" t="str">
        <f>I353&amp;B353&amp;C353&amp;D353</f>
        <v>GY 17 SPR 2201837</v>
      </c>
      <c r="B353">
        <v>2018</v>
      </c>
      <c r="C353">
        <v>3</v>
      </c>
      <c r="D353">
        <v>7</v>
      </c>
      <c r="E353" t="s">
        <v>99</v>
      </c>
      <c r="F353" t="s">
        <v>84</v>
      </c>
      <c r="G353" t="s">
        <v>29</v>
      </c>
      <c r="H353" t="s">
        <v>5</v>
      </c>
      <c r="I353" t="s">
        <v>182</v>
      </c>
      <c r="J353">
        <v>36</v>
      </c>
    </row>
    <row r="354" spans="1:10" x14ac:dyDescent="0.25">
      <c r="A354" t="str">
        <f>I354&amp;B354&amp;C354&amp;D354</f>
        <v>GY 17 SPR TRANS201837</v>
      </c>
      <c r="B354">
        <v>2018</v>
      </c>
      <c r="C354">
        <v>3</v>
      </c>
      <c r="D354">
        <v>7</v>
      </c>
      <c r="E354" t="s">
        <v>99</v>
      </c>
      <c r="F354" t="s">
        <v>84</v>
      </c>
      <c r="G354" t="s">
        <v>29</v>
      </c>
      <c r="H354" t="s">
        <v>8</v>
      </c>
      <c r="I354" t="s">
        <v>403</v>
      </c>
      <c r="J354">
        <v>4599</v>
      </c>
    </row>
    <row r="355" spans="1:10" x14ac:dyDescent="0.25">
      <c r="A355" t="str">
        <f>I355&amp;B355&amp;C355&amp;D355</f>
        <v>GY 17 SPR VAC201837</v>
      </c>
      <c r="B355">
        <v>2018</v>
      </c>
      <c r="C355">
        <v>3</v>
      </c>
      <c r="D355">
        <v>7</v>
      </c>
      <c r="E355" t="s">
        <v>99</v>
      </c>
      <c r="F355" t="s">
        <v>84</v>
      </c>
      <c r="G355" t="s">
        <v>29</v>
      </c>
      <c r="H355" t="s">
        <v>5</v>
      </c>
      <c r="I355" t="s">
        <v>188</v>
      </c>
      <c r="J355">
        <v>153</v>
      </c>
    </row>
    <row r="356" spans="1:10" x14ac:dyDescent="0.25">
      <c r="A356" t="str">
        <f>I356&amp;B356&amp;C356&amp;D356</f>
        <v>GY 17 SPRING BASICS201837</v>
      </c>
      <c r="B356">
        <v>2018</v>
      </c>
      <c r="C356">
        <v>3</v>
      </c>
      <c r="D356">
        <v>7</v>
      </c>
      <c r="E356" t="s">
        <v>99</v>
      </c>
      <c r="F356" t="s">
        <v>84</v>
      </c>
      <c r="G356" t="s">
        <v>29</v>
      </c>
      <c r="H356" t="s">
        <v>10</v>
      </c>
      <c r="I356" t="s">
        <v>174</v>
      </c>
      <c r="J356">
        <v>429</v>
      </c>
    </row>
    <row r="357" spans="1:10" x14ac:dyDescent="0.25">
      <c r="A357" t="str">
        <f>I357&amp;B357&amp;C357&amp;D357</f>
        <v>GY 17 SUM 1201837</v>
      </c>
      <c r="B357">
        <v>2018</v>
      </c>
      <c r="C357">
        <v>3</v>
      </c>
      <c r="D357">
        <v>7</v>
      </c>
      <c r="E357" t="s">
        <v>99</v>
      </c>
      <c r="F357" t="s">
        <v>84</v>
      </c>
      <c r="G357" t="s">
        <v>29</v>
      </c>
      <c r="H357" t="s">
        <v>5</v>
      </c>
      <c r="I357" t="s">
        <v>190</v>
      </c>
      <c r="J357">
        <v>296</v>
      </c>
    </row>
    <row r="358" spans="1:10" x14ac:dyDescent="0.25">
      <c r="A358" t="str">
        <f>I358&amp;B358&amp;C358&amp;D358</f>
        <v>GY 17 SWIM 1201837</v>
      </c>
      <c r="B358">
        <v>2018</v>
      </c>
      <c r="C358">
        <v>3</v>
      </c>
      <c r="D358">
        <v>7</v>
      </c>
      <c r="E358" t="s">
        <v>99</v>
      </c>
      <c r="F358" t="s">
        <v>84</v>
      </c>
      <c r="G358" t="s">
        <v>29</v>
      </c>
      <c r="H358" t="s">
        <v>5</v>
      </c>
      <c r="I358" t="s">
        <v>184</v>
      </c>
      <c r="J358">
        <v>76</v>
      </c>
    </row>
    <row r="359" spans="1:10" x14ac:dyDescent="0.25">
      <c r="A359" t="str">
        <f>I359&amp;B359&amp;C359&amp;D359</f>
        <v>GY 17 SWIM 2201837</v>
      </c>
      <c r="B359">
        <v>2018</v>
      </c>
      <c r="C359">
        <v>3</v>
      </c>
      <c r="D359">
        <v>7</v>
      </c>
      <c r="E359" t="s">
        <v>99</v>
      </c>
      <c r="F359" t="s">
        <v>84</v>
      </c>
      <c r="G359" t="s">
        <v>29</v>
      </c>
      <c r="H359" t="s">
        <v>5</v>
      </c>
      <c r="I359" t="s">
        <v>192</v>
      </c>
      <c r="J359">
        <v>96</v>
      </c>
    </row>
    <row r="360" spans="1:10" x14ac:dyDescent="0.25">
      <c r="A360" t="str">
        <f>I360&amp;B360&amp;C360&amp;D360</f>
        <v>GY 17 SWIM 3201837</v>
      </c>
      <c r="B360">
        <v>2018</v>
      </c>
      <c r="C360">
        <v>3</v>
      </c>
      <c r="D360">
        <v>7</v>
      </c>
      <c r="E360" t="s">
        <v>99</v>
      </c>
      <c r="F360" t="s">
        <v>84</v>
      </c>
      <c r="G360" t="s">
        <v>29</v>
      </c>
      <c r="H360" t="s">
        <v>6</v>
      </c>
      <c r="I360" t="s">
        <v>198</v>
      </c>
      <c r="J360">
        <v>16</v>
      </c>
    </row>
    <row r="361" spans="1:10" x14ac:dyDescent="0.25">
      <c r="A361" t="str">
        <f>I361&amp;B361&amp;C361&amp;D361</f>
        <v>GY 17 TRANS201837</v>
      </c>
      <c r="B361">
        <v>2018</v>
      </c>
      <c r="C361">
        <v>3</v>
      </c>
      <c r="D361">
        <v>7</v>
      </c>
      <c r="E361" t="s">
        <v>99</v>
      </c>
      <c r="F361" t="s">
        <v>84</v>
      </c>
      <c r="G361" t="s">
        <v>29</v>
      </c>
      <c r="H361" t="s">
        <v>6</v>
      </c>
      <c r="I361" t="s">
        <v>202</v>
      </c>
      <c r="J361">
        <v>485</v>
      </c>
    </row>
    <row r="362" spans="1:10" x14ac:dyDescent="0.25">
      <c r="A362" t="str">
        <f>I362&amp;B362&amp;C362&amp;D362</f>
        <v>GY 17 WINTER 1201837</v>
      </c>
      <c r="B362">
        <v>2018</v>
      </c>
      <c r="C362">
        <v>3</v>
      </c>
      <c r="D362">
        <v>7</v>
      </c>
      <c r="E362" t="s">
        <v>99</v>
      </c>
      <c r="F362" t="s">
        <v>84</v>
      </c>
      <c r="G362" t="s">
        <v>29</v>
      </c>
      <c r="H362" t="s">
        <v>8</v>
      </c>
      <c r="I362" t="s">
        <v>408</v>
      </c>
      <c r="J362">
        <v>1006</v>
      </c>
    </row>
    <row r="363" spans="1:10" x14ac:dyDescent="0.25">
      <c r="A363" t="str">
        <f>I363&amp;B363&amp;C363&amp;D363</f>
        <v>GY 17 WINTER 2201837</v>
      </c>
      <c r="B363">
        <v>2018</v>
      </c>
      <c r="C363">
        <v>3</v>
      </c>
      <c r="D363">
        <v>7</v>
      </c>
      <c r="E363" t="s">
        <v>99</v>
      </c>
      <c r="F363" t="s">
        <v>84</v>
      </c>
      <c r="G363" t="s">
        <v>29</v>
      </c>
      <c r="H363" t="s">
        <v>8</v>
      </c>
      <c r="I363" t="s">
        <v>409</v>
      </c>
      <c r="J363">
        <v>1093</v>
      </c>
    </row>
    <row r="364" spans="1:10" x14ac:dyDescent="0.25">
      <c r="A364" t="str">
        <f>I364&amp;B364&amp;C364&amp;D364</f>
        <v>GY 17 WINTER 3201837</v>
      </c>
      <c r="B364">
        <v>2018</v>
      </c>
      <c r="C364">
        <v>3</v>
      </c>
      <c r="D364">
        <v>7</v>
      </c>
      <c r="E364" t="s">
        <v>99</v>
      </c>
      <c r="F364" t="s">
        <v>84</v>
      </c>
      <c r="G364" t="s">
        <v>29</v>
      </c>
      <c r="H364" t="s">
        <v>8</v>
      </c>
      <c r="I364" t="s">
        <v>410</v>
      </c>
      <c r="J364">
        <v>2704</v>
      </c>
    </row>
    <row r="365" spans="1:10" x14ac:dyDescent="0.25">
      <c r="A365" t="str">
        <f>I365&amp;B365&amp;C365&amp;D365</f>
        <v>GY 18 BTS201837</v>
      </c>
      <c r="B365">
        <v>2018</v>
      </c>
      <c r="C365">
        <v>3</v>
      </c>
      <c r="D365">
        <v>7</v>
      </c>
      <c r="E365" t="s">
        <v>99</v>
      </c>
      <c r="F365" t="s">
        <v>84</v>
      </c>
      <c r="G365" t="s">
        <v>29</v>
      </c>
      <c r="H365" t="s">
        <v>54</v>
      </c>
      <c r="I365" t="s">
        <v>428</v>
      </c>
      <c r="J365">
        <v>634634</v>
      </c>
    </row>
    <row r="366" spans="1:10" x14ac:dyDescent="0.25">
      <c r="A366" t="str">
        <f>I366&amp;B366&amp;C366&amp;D366</f>
        <v>GY 18 DRESSY201837</v>
      </c>
      <c r="B366">
        <v>2018</v>
      </c>
      <c r="C366">
        <v>3</v>
      </c>
      <c r="D366">
        <v>7</v>
      </c>
      <c r="E366" t="s">
        <v>99</v>
      </c>
      <c r="F366" t="s">
        <v>84</v>
      </c>
      <c r="G366" t="s">
        <v>29</v>
      </c>
      <c r="H366" t="s">
        <v>5</v>
      </c>
      <c r="I366" t="s">
        <v>185</v>
      </c>
      <c r="J366">
        <v>0</v>
      </c>
    </row>
    <row r="367" spans="1:10" x14ac:dyDescent="0.25">
      <c r="A367" t="str">
        <f>I367&amp;B367&amp;C367&amp;D367</f>
        <v>GY 18 FAL201837</v>
      </c>
      <c r="B367">
        <v>2018</v>
      </c>
      <c r="C367">
        <v>3</v>
      </c>
      <c r="D367">
        <v>7</v>
      </c>
      <c r="E367" t="s">
        <v>99</v>
      </c>
      <c r="F367" t="s">
        <v>84</v>
      </c>
      <c r="G367" t="s">
        <v>29</v>
      </c>
      <c r="H367" t="s">
        <v>54</v>
      </c>
      <c r="I367" t="s">
        <v>427</v>
      </c>
      <c r="J367">
        <v>338436</v>
      </c>
    </row>
    <row r="368" spans="1:10" x14ac:dyDescent="0.25">
      <c r="A368" t="str">
        <f>I368&amp;B368&amp;C368&amp;D368</f>
        <v>GY 18 FALL 1201837</v>
      </c>
      <c r="B368">
        <v>2018</v>
      </c>
      <c r="C368">
        <v>3</v>
      </c>
      <c r="D368">
        <v>7</v>
      </c>
      <c r="E368" t="s">
        <v>99</v>
      </c>
      <c r="F368" t="s">
        <v>84</v>
      </c>
      <c r="G368" t="s">
        <v>29</v>
      </c>
      <c r="H368" t="s">
        <v>54</v>
      </c>
      <c r="I368" t="s">
        <v>429</v>
      </c>
      <c r="J368">
        <v>504495</v>
      </c>
    </row>
    <row r="369" spans="1:10" x14ac:dyDescent="0.25">
      <c r="A369" t="str">
        <f>I369&amp;B369&amp;C369&amp;D369</f>
        <v>GY 18 FALL 2201837</v>
      </c>
      <c r="B369">
        <v>2018</v>
      </c>
      <c r="C369">
        <v>3</v>
      </c>
      <c r="D369">
        <v>7</v>
      </c>
      <c r="E369" t="s">
        <v>99</v>
      </c>
      <c r="F369" t="s">
        <v>84</v>
      </c>
      <c r="G369" t="s">
        <v>29</v>
      </c>
      <c r="H369" t="s">
        <v>54</v>
      </c>
      <c r="I369" t="s">
        <v>430</v>
      </c>
      <c r="J369">
        <v>0</v>
      </c>
    </row>
    <row r="370" spans="1:10" x14ac:dyDescent="0.25">
      <c r="A370" t="str">
        <f>I370&amp;B370&amp;C370&amp;D370</f>
        <v>GY 18 FALL BASICS201837</v>
      </c>
      <c r="B370">
        <v>2018</v>
      </c>
      <c r="C370">
        <v>3</v>
      </c>
      <c r="D370">
        <v>7</v>
      </c>
      <c r="E370" t="s">
        <v>99</v>
      </c>
      <c r="F370" t="s">
        <v>84</v>
      </c>
      <c r="G370" t="s">
        <v>29</v>
      </c>
      <c r="H370" t="s">
        <v>10</v>
      </c>
      <c r="I370" t="s">
        <v>175</v>
      </c>
      <c r="J370">
        <v>1194715</v>
      </c>
    </row>
    <row r="371" spans="1:10" x14ac:dyDescent="0.25">
      <c r="A371" t="str">
        <f>I371&amp;B371&amp;C371&amp;D371</f>
        <v>GY 18 SM2201837</v>
      </c>
      <c r="B371">
        <v>2018</v>
      </c>
      <c r="C371">
        <v>3</v>
      </c>
      <c r="D371">
        <v>7</v>
      </c>
      <c r="E371" t="s">
        <v>99</v>
      </c>
      <c r="F371" t="s">
        <v>84</v>
      </c>
      <c r="G371" t="s">
        <v>29</v>
      </c>
      <c r="H371" t="s">
        <v>6</v>
      </c>
      <c r="I371" t="s">
        <v>193</v>
      </c>
      <c r="J371">
        <v>45812</v>
      </c>
    </row>
    <row r="372" spans="1:10" x14ac:dyDescent="0.25">
      <c r="A372" t="str">
        <f>I372&amp;B372&amp;C372&amp;D372</f>
        <v>GY 18 SM3201837</v>
      </c>
      <c r="B372">
        <v>2018</v>
      </c>
      <c r="C372">
        <v>3</v>
      </c>
      <c r="D372">
        <v>7</v>
      </c>
      <c r="E372" t="s">
        <v>99</v>
      </c>
      <c r="F372" t="s">
        <v>84</v>
      </c>
      <c r="G372" t="s">
        <v>29</v>
      </c>
      <c r="H372" t="s">
        <v>6</v>
      </c>
      <c r="I372" t="s">
        <v>195</v>
      </c>
      <c r="J372">
        <v>60933</v>
      </c>
    </row>
    <row r="373" spans="1:10" x14ac:dyDescent="0.25">
      <c r="A373" t="str">
        <f>I373&amp;B373&amp;C373&amp;D373</f>
        <v>GY 18 SM4201837</v>
      </c>
      <c r="B373">
        <v>2018</v>
      </c>
      <c r="C373">
        <v>3</v>
      </c>
      <c r="D373">
        <v>7</v>
      </c>
      <c r="E373" t="s">
        <v>99</v>
      </c>
      <c r="F373" t="s">
        <v>84</v>
      </c>
      <c r="G373" t="s">
        <v>29</v>
      </c>
      <c r="H373" t="s">
        <v>6</v>
      </c>
      <c r="I373" t="s">
        <v>199</v>
      </c>
      <c r="J373">
        <v>159207</v>
      </c>
    </row>
    <row r="374" spans="1:10" x14ac:dyDescent="0.25">
      <c r="A374" t="str">
        <f>I374&amp;B374&amp;C374&amp;D374</f>
        <v>GY 18 SM5201837</v>
      </c>
      <c r="B374">
        <v>2018</v>
      </c>
      <c r="C374">
        <v>3</v>
      </c>
      <c r="D374">
        <v>7</v>
      </c>
      <c r="E374" t="s">
        <v>99</v>
      </c>
      <c r="F374" t="s">
        <v>84</v>
      </c>
      <c r="G374" t="s">
        <v>29</v>
      </c>
      <c r="H374" t="s">
        <v>6</v>
      </c>
      <c r="I374" t="s">
        <v>201</v>
      </c>
      <c r="J374">
        <v>301274</v>
      </c>
    </row>
    <row r="375" spans="1:10" x14ac:dyDescent="0.25">
      <c r="A375" t="str">
        <f>I375&amp;B375&amp;C375&amp;D375</f>
        <v>GY 18 SMR201837</v>
      </c>
      <c r="B375">
        <v>2018</v>
      </c>
      <c r="C375">
        <v>3</v>
      </c>
      <c r="D375">
        <v>7</v>
      </c>
      <c r="E375" t="s">
        <v>99</v>
      </c>
      <c r="F375" t="s">
        <v>84</v>
      </c>
      <c r="G375" t="s">
        <v>29</v>
      </c>
      <c r="H375" t="s">
        <v>6</v>
      </c>
      <c r="I375" t="s">
        <v>203</v>
      </c>
      <c r="J375">
        <v>179737</v>
      </c>
    </row>
    <row r="376" spans="1:10" x14ac:dyDescent="0.25">
      <c r="A376" t="str">
        <f>I376&amp;B376&amp;C376&amp;D376</f>
        <v>GY 18 SPR201837</v>
      </c>
      <c r="B376">
        <v>2018</v>
      </c>
      <c r="C376">
        <v>3</v>
      </c>
      <c r="D376">
        <v>7</v>
      </c>
      <c r="E376" t="s">
        <v>99</v>
      </c>
      <c r="F376" t="s">
        <v>84</v>
      </c>
      <c r="G376" t="s">
        <v>29</v>
      </c>
      <c r="H376" t="s">
        <v>5</v>
      </c>
      <c r="I376" t="s">
        <v>177</v>
      </c>
      <c r="J376">
        <v>0</v>
      </c>
    </row>
    <row r="377" spans="1:10" x14ac:dyDescent="0.25">
      <c r="A377" t="str">
        <f>I377&amp;B377&amp;C377&amp;D377</f>
        <v>GY 18 SPR 1201837</v>
      </c>
      <c r="B377">
        <v>2018</v>
      </c>
      <c r="C377">
        <v>3</v>
      </c>
      <c r="D377">
        <v>7</v>
      </c>
      <c r="E377" t="s">
        <v>99</v>
      </c>
      <c r="F377" t="s">
        <v>84</v>
      </c>
      <c r="G377" t="s">
        <v>29</v>
      </c>
      <c r="H377" t="s">
        <v>5</v>
      </c>
      <c r="I377" t="s">
        <v>179</v>
      </c>
      <c r="J377">
        <v>0</v>
      </c>
    </row>
    <row r="378" spans="1:10" x14ac:dyDescent="0.25">
      <c r="A378" t="str">
        <f>I378&amp;B378&amp;C378&amp;D378</f>
        <v>GY 18 SPR 2201837</v>
      </c>
      <c r="B378">
        <v>2018</v>
      </c>
      <c r="C378">
        <v>3</v>
      </c>
      <c r="D378">
        <v>7</v>
      </c>
      <c r="E378" t="s">
        <v>99</v>
      </c>
      <c r="F378" t="s">
        <v>84</v>
      </c>
      <c r="G378" t="s">
        <v>29</v>
      </c>
      <c r="H378" t="s">
        <v>5</v>
      </c>
      <c r="I378" t="s">
        <v>181</v>
      </c>
      <c r="J378">
        <v>0</v>
      </c>
    </row>
    <row r="379" spans="1:10" x14ac:dyDescent="0.25">
      <c r="A379" t="str">
        <f>I379&amp;B379&amp;C379&amp;D379</f>
        <v>GY 18 SPR VACA201837</v>
      </c>
      <c r="B379">
        <v>2018</v>
      </c>
      <c r="C379">
        <v>3</v>
      </c>
      <c r="D379">
        <v>7</v>
      </c>
      <c r="E379" t="s">
        <v>99</v>
      </c>
      <c r="F379" t="s">
        <v>84</v>
      </c>
      <c r="G379" t="s">
        <v>29</v>
      </c>
      <c r="H379" t="s">
        <v>5</v>
      </c>
      <c r="I379" t="s">
        <v>187</v>
      </c>
      <c r="J379">
        <v>0</v>
      </c>
    </row>
    <row r="380" spans="1:10" x14ac:dyDescent="0.25">
      <c r="A380" t="str">
        <f>I380&amp;B380&amp;C380&amp;D380</f>
        <v>GY 18 SPRING BASICS201837</v>
      </c>
      <c r="B380">
        <v>2018</v>
      </c>
      <c r="C380">
        <v>3</v>
      </c>
      <c r="D380">
        <v>7</v>
      </c>
      <c r="E380" t="s">
        <v>99</v>
      </c>
      <c r="F380" t="s">
        <v>84</v>
      </c>
      <c r="G380" t="s">
        <v>29</v>
      </c>
      <c r="H380" t="s">
        <v>10</v>
      </c>
      <c r="I380" t="s">
        <v>173</v>
      </c>
      <c r="J380">
        <v>170514</v>
      </c>
    </row>
    <row r="381" spans="1:10" x14ac:dyDescent="0.25">
      <c r="A381" t="str">
        <f>I381&amp;B381&amp;C381&amp;D381</f>
        <v>GY 18 SUM 1201837</v>
      </c>
      <c r="B381">
        <v>2018</v>
      </c>
      <c r="C381">
        <v>3</v>
      </c>
      <c r="D381">
        <v>7</v>
      </c>
      <c r="E381" t="s">
        <v>99</v>
      </c>
      <c r="F381" t="s">
        <v>84</v>
      </c>
      <c r="G381" t="s">
        <v>29</v>
      </c>
      <c r="H381" t="s">
        <v>5</v>
      </c>
      <c r="I381" t="s">
        <v>189</v>
      </c>
      <c r="J381">
        <v>0</v>
      </c>
    </row>
    <row r="382" spans="1:10" x14ac:dyDescent="0.25">
      <c r="A382" t="str">
        <f>I382&amp;B382&amp;C382&amp;D382</f>
        <v>GY 18 SWIM 1201837</v>
      </c>
      <c r="B382">
        <v>2018</v>
      </c>
      <c r="C382">
        <v>3</v>
      </c>
      <c r="D382">
        <v>7</v>
      </c>
      <c r="E382" t="s">
        <v>99</v>
      </c>
      <c r="F382" t="s">
        <v>84</v>
      </c>
      <c r="G382" t="s">
        <v>29</v>
      </c>
      <c r="H382" t="s">
        <v>5</v>
      </c>
      <c r="I382" t="s">
        <v>183</v>
      </c>
      <c r="J382">
        <v>7350</v>
      </c>
    </row>
    <row r="383" spans="1:10" x14ac:dyDescent="0.25">
      <c r="A383" t="str">
        <f>I383&amp;B383&amp;C383&amp;D383</f>
        <v>GY 18 SWIM 2201837</v>
      </c>
      <c r="B383">
        <v>2018</v>
      </c>
      <c r="C383">
        <v>3</v>
      </c>
      <c r="D383">
        <v>7</v>
      </c>
      <c r="E383" t="s">
        <v>99</v>
      </c>
      <c r="F383" t="s">
        <v>84</v>
      </c>
      <c r="G383" t="s">
        <v>29</v>
      </c>
      <c r="H383" t="s">
        <v>5</v>
      </c>
      <c r="I383" t="s">
        <v>191</v>
      </c>
      <c r="J383">
        <v>46362</v>
      </c>
    </row>
    <row r="384" spans="1:10" x14ac:dyDescent="0.25">
      <c r="A384" t="str">
        <f>I384&amp;B384&amp;C384&amp;D384</f>
        <v>GY 18 SWIM 3201837</v>
      </c>
      <c r="B384">
        <v>2018</v>
      </c>
      <c r="C384">
        <v>3</v>
      </c>
      <c r="D384">
        <v>7</v>
      </c>
      <c r="E384" t="s">
        <v>99</v>
      </c>
      <c r="F384" t="s">
        <v>84</v>
      </c>
      <c r="G384" t="s">
        <v>29</v>
      </c>
      <c r="H384" t="s">
        <v>6</v>
      </c>
      <c r="I384" t="s">
        <v>197</v>
      </c>
      <c r="J384">
        <v>10226</v>
      </c>
    </row>
    <row r="385" spans="1:10" x14ac:dyDescent="0.25">
      <c r="A385" t="str">
        <f>I385&amp;B385&amp;C385&amp;D385</f>
        <v>GY 18 VDAY201837</v>
      </c>
      <c r="B385">
        <v>2018</v>
      </c>
      <c r="C385">
        <v>3</v>
      </c>
      <c r="D385">
        <v>7</v>
      </c>
      <c r="E385" t="s">
        <v>99</v>
      </c>
      <c r="F385" t="s">
        <v>84</v>
      </c>
      <c r="G385" t="s">
        <v>29</v>
      </c>
      <c r="H385" t="s">
        <v>8</v>
      </c>
      <c r="I385" t="s">
        <v>396</v>
      </c>
      <c r="J385">
        <v>13884</v>
      </c>
    </row>
    <row r="386" spans="1:10" x14ac:dyDescent="0.25">
      <c r="A386" t="str">
        <f>I386&amp;B386&amp;C386&amp;D386</f>
        <v>GY YRLY BASICS201837</v>
      </c>
      <c r="B386">
        <v>2018</v>
      </c>
      <c r="C386">
        <v>3</v>
      </c>
      <c r="D386">
        <v>7</v>
      </c>
      <c r="E386" t="s">
        <v>99</v>
      </c>
      <c r="F386" t="s">
        <v>84</v>
      </c>
      <c r="G386" t="s">
        <v>29</v>
      </c>
      <c r="H386" t="s">
        <v>10</v>
      </c>
      <c r="I386" t="s">
        <v>349</v>
      </c>
      <c r="J386">
        <v>741370</v>
      </c>
    </row>
    <row r="387" spans="1:10" x14ac:dyDescent="0.25">
      <c r="A387" t="str">
        <f>I387&amp;B387&amp;C387&amp;D387</f>
        <v>GY YRLY DENIM201837</v>
      </c>
      <c r="B387">
        <v>2018</v>
      </c>
      <c r="C387">
        <v>3</v>
      </c>
      <c r="D387">
        <v>7</v>
      </c>
      <c r="E387" t="s">
        <v>99</v>
      </c>
      <c r="F387" t="s">
        <v>84</v>
      </c>
      <c r="G387" t="s">
        <v>29</v>
      </c>
      <c r="H387" t="s">
        <v>10</v>
      </c>
      <c r="I387" t="s">
        <v>350</v>
      </c>
      <c r="J387">
        <v>359811</v>
      </c>
    </row>
    <row r="388" spans="1:10" x14ac:dyDescent="0.25">
      <c r="A388" t="str">
        <f>I388&amp;B388&amp;C388&amp;D388</f>
        <v>GY YRLY UNIFORM201837</v>
      </c>
      <c r="B388">
        <v>2018</v>
      </c>
      <c r="C388">
        <v>3</v>
      </c>
      <c r="D388">
        <v>7</v>
      </c>
      <c r="E388" t="s">
        <v>99</v>
      </c>
      <c r="F388" t="s">
        <v>84</v>
      </c>
      <c r="G388" t="s">
        <v>29</v>
      </c>
      <c r="H388" t="s">
        <v>10</v>
      </c>
      <c r="I388" t="s">
        <v>351</v>
      </c>
      <c r="J388">
        <v>38895</v>
      </c>
    </row>
    <row r="389" spans="1:10" x14ac:dyDescent="0.25">
      <c r="A389" t="str">
        <f>I389&amp;B389&amp;C389&amp;D389</f>
        <v>Old201837</v>
      </c>
      <c r="B389">
        <v>2018</v>
      </c>
      <c r="C389">
        <v>3</v>
      </c>
      <c r="D389">
        <v>7</v>
      </c>
      <c r="E389" t="s">
        <v>99</v>
      </c>
      <c r="F389" t="s">
        <v>84</v>
      </c>
      <c r="G389" t="s">
        <v>29</v>
      </c>
      <c r="H389" t="s">
        <v>434</v>
      </c>
      <c r="I389" t="s">
        <v>434</v>
      </c>
      <c r="J389">
        <v>14819</v>
      </c>
    </row>
    <row r="390" spans="1:10" x14ac:dyDescent="0.25">
      <c r="A390" t="str">
        <f>I390&amp;B390&amp;C390&amp;D390</f>
        <v>Winter 17201837</v>
      </c>
      <c r="B390">
        <v>2018</v>
      </c>
      <c r="C390">
        <v>3</v>
      </c>
      <c r="D390">
        <v>7</v>
      </c>
      <c r="E390" t="s">
        <v>99</v>
      </c>
      <c r="F390" t="s">
        <v>84</v>
      </c>
      <c r="G390" t="s">
        <v>29</v>
      </c>
      <c r="H390" t="s">
        <v>435</v>
      </c>
      <c r="I390" t="s">
        <v>435</v>
      </c>
      <c r="J390">
        <v>24454</v>
      </c>
    </row>
    <row r="391" spans="1:10" x14ac:dyDescent="0.25">
      <c r="A391" t="str">
        <f>I391&amp;B391&amp;C391&amp;D391</f>
        <v>GY 17 BTS201838</v>
      </c>
      <c r="B391">
        <v>2018</v>
      </c>
      <c r="C391">
        <v>3</v>
      </c>
      <c r="D391">
        <v>8</v>
      </c>
      <c r="E391" t="s">
        <v>99</v>
      </c>
      <c r="F391" t="s">
        <v>84</v>
      </c>
      <c r="G391" t="s">
        <v>29</v>
      </c>
      <c r="H391" t="s">
        <v>54</v>
      </c>
      <c r="I391" t="s">
        <v>397</v>
      </c>
      <c r="J391">
        <v>966</v>
      </c>
    </row>
    <row r="392" spans="1:10" x14ac:dyDescent="0.25">
      <c r="A392" t="str">
        <f>I392&amp;B392&amp;C392&amp;D392</f>
        <v>GY 17 CAP201838</v>
      </c>
      <c r="B392">
        <v>2018</v>
      </c>
      <c r="C392">
        <v>3</v>
      </c>
      <c r="D392">
        <v>8</v>
      </c>
      <c r="E392" t="s">
        <v>99</v>
      </c>
      <c r="F392" t="s">
        <v>84</v>
      </c>
      <c r="G392" t="s">
        <v>29</v>
      </c>
      <c r="H392" t="s">
        <v>6</v>
      </c>
      <c r="I392" t="s">
        <v>404</v>
      </c>
      <c r="J392">
        <v>65</v>
      </c>
    </row>
    <row r="393" spans="1:10" x14ac:dyDescent="0.25">
      <c r="A393" t="str">
        <f>I393&amp;B393&amp;C393&amp;D393</f>
        <v>GY 17 DRSY CAP201838</v>
      </c>
      <c r="B393">
        <v>2018</v>
      </c>
      <c r="C393">
        <v>3</v>
      </c>
      <c r="D393">
        <v>8</v>
      </c>
      <c r="E393" t="s">
        <v>99</v>
      </c>
      <c r="F393" t="s">
        <v>84</v>
      </c>
      <c r="G393" t="s">
        <v>29</v>
      </c>
      <c r="H393" t="s">
        <v>5</v>
      </c>
      <c r="I393" t="s">
        <v>186</v>
      </c>
      <c r="J393">
        <v>203</v>
      </c>
    </row>
    <row r="394" spans="1:10" x14ac:dyDescent="0.25">
      <c r="A394" t="str">
        <f>I394&amp;B394&amp;C394&amp;D394</f>
        <v>GY 17 FAL201838</v>
      </c>
      <c r="B394">
        <v>2018</v>
      </c>
      <c r="C394">
        <v>3</v>
      </c>
      <c r="D394">
        <v>8</v>
      </c>
      <c r="E394" t="s">
        <v>99</v>
      </c>
      <c r="F394" t="s">
        <v>84</v>
      </c>
      <c r="G394" t="s">
        <v>29</v>
      </c>
      <c r="H394" t="s">
        <v>54</v>
      </c>
      <c r="I394" t="s">
        <v>398</v>
      </c>
      <c r="J394">
        <v>1184</v>
      </c>
    </row>
    <row r="395" spans="1:10" x14ac:dyDescent="0.25">
      <c r="A395" t="str">
        <f>I395&amp;B395&amp;C395&amp;D395</f>
        <v>GY 17 FALL 1201838</v>
      </c>
      <c r="B395">
        <v>2018</v>
      </c>
      <c r="C395">
        <v>3</v>
      </c>
      <c r="D395">
        <v>8</v>
      </c>
      <c r="E395" t="s">
        <v>99</v>
      </c>
      <c r="F395" t="s">
        <v>84</v>
      </c>
      <c r="G395" t="s">
        <v>29</v>
      </c>
      <c r="H395" t="s">
        <v>54</v>
      </c>
      <c r="I395" t="s">
        <v>399</v>
      </c>
      <c r="J395">
        <v>1572</v>
      </c>
    </row>
    <row r="396" spans="1:10" x14ac:dyDescent="0.25">
      <c r="A396" t="str">
        <f>I396&amp;B396&amp;C396&amp;D396</f>
        <v>GY 17 FALL 2201838</v>
      </c>
      <c r="B396">
        <v>2018</v>
      </c>
      <c r="C396">
        <v>3</v>
      </c>
      <c r="D396">
        <v>8</v>
      </c>
      <c r="E396" t="s">
        <v>99</v>
      </c>
      <c r="F396" t="s">
        <v>84</v>
      </c>
      <c r="G396" t="s">
        <v>29</v>
      </c>
      <c r="H396" t="s">
        <v>54</v>
      </c>
      <c r="I396" t="s">
        <v>400</v>
      </c>
      <c r="J396">
        <v>1726</v>
      </c>
    </row>
    <row r="397" spans="1:10" x14ac:dyDescent="0.25">
      <c r="A397" t="str">
        <f>I397&amp;B397&amp;C397&amp;D397</f>
        <v>GY 17 FALL 3201838</v>
      </c>
      <c r="B397">
        <v>2018</v>
      </c>
      <c r="C397">
        <v>3</v>
      </c>
      <c r="D397">
        <v>8</v>
      </c>
      <c r="E397" t="s">
        <v>99</v>
      </c>
      <c r="F397" t="s">
        <v>84</v>
      </c>
      <c r="G397" t="s">
        <v>29</v>
      </c>
      <c r="H397" t="s">
        <v>54</v>
      </c>
      <c r="I397" t="s">
        <v>401</v>
      </c>
      <c r="J397">
        <v>2836</v>
      </c>
    </row>
    <row r="398" spans="1:10" x14ac:dyDescent="0.25">
      <c r="A398" t="str">
        <f>I398&amp;B398&amp;C398&amp;D398</f>
        <v>GY 17 FALL 4201838</v>
      </c>
      <c r="B398">
        <v>2018</v>
      </c>
      <c r="C398">
        <v>3</v>
      </c>
      <c r="D398">
        <v>8</v>
      </c>
      <c r="E398" t="s">
        <v>99</v>
      </c>
      <c r="F398" t="s">
        <v>84</v>
      </c>
      <c r="G398" t="s">
        <v>29</v>
      </c>
      <c r="H398" t="s">
        <v>54</v>
      </c>
      <c r="I398" t="s">
        <v>402</v>
      </c>
      <c r="J398">
        <v>1475</v>
      </c>
    </row>
    <row r="399" spans="1:10" x14ac:dyDescent="0.25">
      <c r="A399" t="str">
        <f>I399&amp;B399&amp;C399&amp;D399</f>
        <v>GY 17 FALL BASICS201838</v>
      </c>
      <c r="B399">
        <v>2018</v>
      </c>
      <c r="C399">
        <v>3</v>
      </c>
      <c r="D399">
        <v>8</v>
      </c>
      <c r="E399" t="s">
        <v>99</v>
      </c>
      <c r="F399" t="s">
        <v>84</v>
      </c>
      <c r="G399" t="s">
        <v>29</v>
      </c>
      <c r="H399" t="s">
        <v>10</v>
      </c>
      <c r="I399" t="s">
        <v>176</v>
      </c>
      <c r="J399">
        <v>1227</v>
      </c>
    </row>
    <row r="400" spans="1:10" x14ac:dyDescent="0.25">
      <c r="A400" t="str">
        <f>I400&amp;B400&amp;C400&amp;D400</f>
        <v>GY 17 HO HO SHOP201838</v>
      </c>
      <c r="B400">
        <v>2018</v>
      </c>
      <c r="C400">
        <v>3</v>
      </c>
      <c r="D400">
        <v>8</v>
      </c>
      <c r="E400" t="s">
        <v>99</v>
      </c>
      <c r="F400" t="s">
        <v>84</v>
      </c>
      <c r="G400" t="s">
        <v>29</v>
      </c>
      <c r="H400" t="s">
        <v>54</v>
      </c>
      <c r="I400" t="s">
        <v>405</v>
      </c>
      <c r="J400">
        <v>1674</v>
      </c>
    </row>
    <row r="401" spans="1:10" x14ac:dyDescent="0.25">
      <c r="A401" t="str">
        <f>I401&amp;B401&amp;C401&amp;D401</f>
        <v>GY 17 HOL201838</v>
      </c>
      <c r="B401">
        <v>2018</v>
      </c>
      <c r="C401">
        <v>3</v>
      </c>
      <c r="D401">
        <v>8</v>
      </c>
      <c r="E401" t="s">
        <v>99</v>
      </c>
      <c r="F401" t="s">
        <v>84</v>
      </c>
      <c r="G401" t="s">
        <v>29</v>
      </c>
      <c r="H401" t="s">
        <v>8</v>
      </c>
      <c r="I401" t="s">
        <v>406</v>
      </c>
      <c r="J401">
        <v>1088</v>
      </c>
    </row>
    <row r="402" spans="1:10" x14ac:dyDescent="0.25">
      <c r="A402" t="str">
        <f>I402&amp;B402&amp;C402&amp;D402</f>
        <v>GY 17 JAN CAP201838</v>
      </c>
      <c r="B402">
        <v>2018</v>
      </c>
      <c r="C402">
        <v>3</v>
      </c>
      <c r="D402">
        <v>8</v>
      </c>
      <c r="E402" t="s">
        <v>99</v>
      </c>
      <c r="F402" t="s">
        <v>84</v>
      </c>
      <c r="G402" t="s">
        <v>29</v>
      </c>
      <c r="H402" t="s">
        <v>8</v>
      </c>
      <c r="I402" t="s">
        <v>407</v>
      </c>
      <c r="J402">
        <v>70</v>
      </c>
    </row>
    <row r="403" spans="1:10" x14ac:dyDescent="0.25">
      <c r="A403" t="str">
        <f>I403&amp;B403&amp;C403&amp;D403</f>
        <v>GY 17 SM2201838</v>
      </c>
      <c r="B403">
        <v>2018</v>
      </c>
      <c r="C403">
        <v>3</v>
      </c>
      <c r="D403">
        <v>8</v>
      </c>
      <c r="E403" t="s">
        <v>99</v>
      </c>
      <c r="F403" t="s">
        <v>84</v>
      </c>
      <c r="G403" t="s">
        <v>29</v>
      </c>
      <c r="H403" t="s">
        <v>6</v>
      </c>
      <c r="I403" t="s">
        <v>194</v>
      </c>
      <c r="J403">
        <v>84</v>
      </c>
    </row>
    <row r="404" spans="1:10" x14ac:dyDescent="0.25">
      <c r="A404" t="str">
        <f>I404&amp;B404&amp;C404&amp;D404</f>
        <v>GY 17 SM3201838</v>
      </c>
      <c r="B404">
        <v>2018</v>
      </c>
      <c r="C404">
        <v>3</v>
      </c>
      <c r="D404">
        <v>8</v>
      </c>
      <c r="E404" t="s">
        <v>99</v>
      </c>
      <c r="F404" t="s">
        <v>84</v>
      </c>
      <c r="G404" t="s">
        <v>29</v>
      </c>
      <c r="H404" t="s">
        <v>6</v>
      </c>
      <c r="I404" t="s">
        <v>196</v>
      </c>
      <c r="J404">
        <v>243</v>
      </c>
    </row>
    <row r="405" spans="1:10" x14ac:dyDescent="0.25">
      <c r="A405" t="str">
        <f>I405&amp;B405&amp;C405&amp;D405</f>
        <v>GY 17 SM4201838</v>
      </c>
      <c r="B405">
        <v>2018</v>
      </c>
      <c r="C405">
        <v>3</v>
      </c>
      <c r="D405">
        <v>8</v>
      </c>
      <c r="E405" t="s">
        <v>99</v>
      </c>
      <c r="F405" t="s">
        <v>84</v>
      </c>
      <c r="G405" t="s">
        <v>29</v>
      </c>
      <c r="H405" t="s">
        <v>6</v>
      </c>
      <c r="I405" t="s">
        <v>200</v>
      </c>
      <c r="J405">
        <v>150</v>
      </c>
    </row>
    <row r="406" spans="1:10" x14ac:dyDescent="0.25">
      <c r="A406" t="str">
        <f>I406&amp;B406&amp;C406&amp;D406</f>
        <v>GY 17 SMR201838</v>
      </c>
      <c r="B406">
        <v>2018</v>
      </c>
      <c r="C406">
        <v>3</v>
      </c>
      <c r="D406">
        <v>8</v>
      </c>
      <c r="E406" t="s">
        <v>99</v>
      </c>
      <c r="F406" t="s">
        <v>84</v>
      </c>
      <c r="G406" t="s">
        <v>29</v>
      </c>
      <c r="H406" t="s">
        <v>6</v>
      </c>
      <c r="I406" t="s">
        <v>204</v>
      </c>
      <c r="J406">
        <v>515</v>
      </c>
    </row>
    <row r="407" spans="1:10" x14ac:dyDescent="0.25">
      <c r="A407" t="str">
        <f>I407&amp;B407&amp;C407&amp;D407</f>
        <v>GY 17 SPR201838</v>
      </c>
      <c r="B407">
        <v>2018</v>
      </c>
      <c r="C407">
        <v>3</v>
      </c>
      <c r="D407">
        <v>8</v>
      </c>
      <c r="E407" t="s">
        <v>99</v>
      </c>
      <c r="F407" t="s">
        <v>84</v>
      </c>
      <c r="G407" t="s">
        <v>29</v>
      </c>
      <c r="H407" t="s">
        <v>5</v>
      </c>
      <c r="I407" t="s">
        <v>178</v>
      </c>
      <c r="J407">
        <v>217</v>
      </c>
    </row>
    <row r="408" spans="1:10" x14ac:dyDescent="0.25">
      <c r="A408" t="str">
        <f>I408&amp;B408&amp;C408&amp;D408</f>
        <v>GY 17 SPR 1201838</v>
      </c>
      <c r="B408">
        <v>2018</v>
      </c>
      <c r="C408">
        <v>3</v>
      </c>
      <c r="D408">
        <v>8</v>
      </c>
      <c r="E408" t="s">
        <v>99</v>
      </c>
      <c r="F408" t="s">
        <v>84</v>
      </c>
      <c r="G408" t="s">
        <v>29</v>
      </c>
      <c r="H408" t="s">
        <v>5</v>
      </c>
      <c r="I408" t="s">
        <v>180</v>
      </c>
      <c r="J408">
        <v>116</v>
      </c>
    </row>
    <row r="409" spans="1:10" x14ac:dyDescent="0.25">
      <c r="A409" t="str">
        <f>I409&amp;B409&amp;C409&amp;D409</f>
        <v>GY 17 SPR 2201838</v>
      </c>
      <c r="B409">
        <v>2018</v>
      </c>
      <c r="C409">
        <v>3</v>
      </c>
      <c r="D409">
        <v>8</v>
      </c>
      <c r="E409" t="s">
        <v>99</v>
      </c>
      <c r="F409" t="s">
        <v>84</v>
      </c>
      <c r="G409" t="s">
        <v>29</v>
      </c>
      <c r="H409" t="s">
        <v>5</v>
      </c>
      <c r="I409" t="s">
        <v>182</v>
      </c>
      <c r="J409">
        <v>31</v>
      </c>
    </row>
    <row r="410" spans="1:10" x14ac:dyDescent="0.25">
      <c r="A410" t="str">
        <f>I410&amp;B410&amp;C410&amp;D410</f>
        <v>GY 17 SPR TRANS201838</v>
      </c>
      <c r="B410">
        <v>2018</v>
      </c>
      <c r="C410">
        <v>3</v>
      </c>
      <c r="D410">
        <v>8</v>
      </c>
      <c r="E410" t="s">
        <v>99</v>
      </c>
      <c r="F410" t="s">
        <v>84</v>
      </c>
      <c r="G410" t="s">
        <v>29</v>
      </c>
      <c r="H410" t="s">
        <v>8</v>
      </c>
      <c r="I410" t="s">
        <v>403</v>
      </c>
      <c r="J410">
        <v>3099</v>
      </c>
    </row>
    <row r="411" spans="1:10" x14ac:dyDescent="0.25">
      <c r="A411" t="str">
        <f>I411&amp;B411&amp;C411&amp;D411</f>
        <v>GY 17 SPR VAC201838</v>
      </c>
      <c r="B411">
        <v>2018</v>
      </c>
      <c r="C411">
        <v>3</v>
      </c>
      <c r="D411">
        <v>8</v>
      </c>
      <c r="E411" t="s">
        <v>99</v>
      </c>
      <c r="F411" t="s">
        <v>84</v>
      </c>
      <c r="G411" t="s">
        <v>29</v>
      </c>
      <c r="H411" t="s">
        <v>5</v>
      </c>
      <c r="I411" t="s">
        <v>188</v>
      </c>
      <c r="J411">
        <v>148</v>
      </c>
    </row>
    <row r="412" spans="1:10" x14ac:dyDescent="0.25">
      <c r="A412" t="str">
        <f>I412&amp;B412&amp;C412&amp;D412</f>
        <v>GY 17 SPRING BASICS201838</v>
      </c>
      <c r="B412">
        <v>2018</v>
      </c>
      <c r="C412">
        <v>3</v>
      </c>
      <c r="D412">
        <v>8</v>
      </c>
      <c r="E412" t="s">
        <v>99</v>
      </c>
      <c r="F412" t="s">
        <v>84</v>
      </c>
      <c r="G412" t="s">
        <v>29</v>
      </c>
      <c r="H412" t="s">
        <v>10</v>
      </c>
      <c r="I412" t="s">
        <v>174</v>
      </c>
      <c r="J412">
        <v>424</v>
      </c>
    </row>
    <row r="413" spans="1:10" x14ac:dyDescent="0.25">
      <c r="A413" t="str">
        <f>I413&amp;B413&amp;C413&amp;D413</f>
        <v>GY 17 SUM 1201838</v>
      </c>
      <c r="B413">
        <v>2018</v>
      </c>
      <c r="C413">
        <v>3</v>
      </c>
      <c r="D413">
        <v>8</v>
      </c>
      <c r="E413" t="s">
        <v>99</v>
      </c>
      <c r="F413" t="s">
        <v>84</v>
      </c>
      <c r="G413" t="s">
        <v>29</v>
      </c>
      <c r="H413" t="s">
        <v>5</v>
      </c>
      <c r="I413" t="s">
        <v>190</v>
      </c>
      <c r="J413">
        <v>291</v>
      </c>
    </row>
    <row r="414" spans="1:10" x14ac:dyDescent="0.25">
      <c r="A414" t="str">
        <f>I414&amp;B414&amp;C414&amp;D414</f>
        <v>GY 17 SWIM 1201838</v>
      </c>
      <c r="B414">
        <v>2018</v>
      </c>
      <c r="C414">
        <v>3</v>
      </c>
      <c r="D414">
        <v>8</v>
      </c>
      <c r="E414" t="s">
        <v>99</v>
      </c>
      <c r="F414" t="s">
        <v>84</v>
      </c>
      <c r="G414" t="s">
        <v>29</v>
      </c>
      <c r="H414" t="s">
        <v>5</v>
      </c>
      <c r="I414" t="s">
        <v>184</v>
      </c>
      <c r="J414">
        <v>71</v>
      </c>
    </row>
    <row r="415" spans="1:10" x14ac:dyDescent="0.25">
      <c r="A415" t="str">
        <f>I415&amp;B415&amp;C415&amp;D415</f>
        <v>GY 17 SWIM 2201838</v>
      </c>
      <c r="B415">
        <v>2018</v>
      </c>
      <c r="C415">
        <v>3</v>
      </c>
      <c r="D415">
        <v>8</v>
      </c>
      <c r="E415" t="s">
        <v>99</v>
      </c>
      <c r="F415" t="s">
        <v>84</v>
      </c>
      <c r="G415" t="s">
        <v>29</v>
      </c>
      <c r="H415" t="s">
        <v>5</v>
      </c>
      <c r="I415" t="s">
        <v>192</v>
      </c>
      <c r="J415">
        <v>91</v>
      </c>
    </row>
    <row r="416" spans="1:10" x14ac:dyDescent="0.25">
      <c r="A416" t="str">
        <f>I416&amp;B416&amp;C416&amp;D416</f>
        <v>GY 17 SWIM 3201838</v>
      </c>
      <c r="B416">
        <v>2018</v>
      </c>
      <c r="C416">
        <v>3</v>
      </c>
      <c r="D416">
        <v>8</v>
      </c>
      <c r="E416" t="s">
        <v>99</v>
      </c>
      <c r="F416" t="s">
        <v>84</v>
      </c>
      <c r="G416" t="s">
        <v>29</v>
      </c>
      <c r="H416" t="s">
        <v>6</v>
      </c>
      <c r="I416" t="s">
        <v>198</v>
      </c>
      <c r="J416">
        <v>16</v>
      </c>
    </row>
    <row r="417" spans="1:10" x14ac:dyDescent="0.25">
      <c r="A417" t="str">
        <f>I417&amp;B417&amp;C417&amp;D417</f>
        <v>GY 17 TRANS201838</v>
      </c>
      <c r="B417">
        <v>2018</v>
      </c>
      <c r="C417">
        <v>3</v>
      </c>
      <c r="D417">
        <v>8</v>
      </c>
      <c r="E417" t="s">
        <v>99</v>
      </c>
      <c r="F417" t="s">
        <v>84</v>
      </c>
      <c r="G417" t="s">
        <v>29</v>
      </c>
      <c r="H417" t="s">
        <v>6</v>
      </c>
      <c r="I417" t="s">
        <v>202</v>
      </c>
      <c r="J417">
        <v>460</v>
      </c>
    </row>
    <row r="418" spans="1:10" x14ac:dyDescent="0.25">
      <c r="A418" t="str">
        <f>I418&amp;B418&amp;C418&amp;D418</f>
        <v>GY 17 WINTER 1201838</v>
      </c>
      <c r="B418">
        <v>2018</v>
      </c>
      <c r="C418">
        <v>3</v>
      </c>
      <c r="D418">
        <v>8</v>
      </c>
      <c r="E418" t="s">
        <v>99</v>
      </c>
      <c r="F418" t="s">
        <v>84</v>
      </c>
      <c r="G418" t="s">
        <v>29</v>
      </c>
      <c r="H418" t="s">
        <v>8</v>
      </c>
      <c r="I418" t="s">
        <v>408</v>
      </c>
      <c r="J418">
        <v>981</v>
      </c>
    </row>
    <row r="419" spans="1:10" x14ac:dyDescent="0.25">
      <c r="A419" t="str">
        <f>I419&amp;B419&amp;C419&amp;D419</f>
        <v>GY 17 WINTER 2201838</v>
      </c>
      <c r="B419">
        <v>2018</v>
      </c>
      <c r="C419">
        <v>3</v>
      </c>
      <c r="D419">
        <v>8</v>
      </c>
      <c r="E419" t="s">
        <v>99</v>
      </c>
      <c r="F419" t="s">
        <v>84</v>
      </c>
      <c r="G419" t="s">
        <v>29</v>
      </c>
      <c r="H419" t="s">
        <v>8</v>
      </c>
      <c r="I419" t="s">
        <v>409</v>
      </c>
      <c r="J419">
        <v>1068</v>
      </c>
    </row>
    <row r="420" spans="1:10" x14ac:dyDescent="0.25">
      <c r="A420" t="str">
        <f>I420&amp;B420&amp;C420&amp;D420</f>
        <v>GY 17 WINTER 3201838</v>
      </c>
      <c r="B420">
        <v>2018</v>
      </c>
      <c r="C420">
        <v>3</v>
      </c>
      <c r="D420">
        <v>8</v>
      </c>
      <c r="E420" t="s">
        <v>99</v>
      </c>
      <c r="F420" t="s">
        <v>84</v>
      </c>
      <c r="G420" t="s">
        <v>29</v>
      </c>
      <c r="H420" t="s">
        <v>8</v>
      </c>
      <c r="I420" t="s">
        <v>410</v>
      </c>
      <c r="J420">
        <v>2679</v>
      </c>
    </row>
    <row r="421" spans="1:10" x14ac:dyDescent="0.25">
      <c r="A421" t="str">
        <f>I421&amp;B421&amp;C421&amp;D421</f>
        <v>GY 18 BTS201838</v>
      </c>
      <c r="B421">
        <v>2018</v>
      </c>
      <c r="C421">
        <v>3</v>
      </c>
      <c r="D421">
        <v>8</v>
      </c>
      <c r="E421" t="s">
        <v>99</v>
      </c>
      <c r="F421" t="s">
        <v>84</v>
      </c>
      <c r="G421" t="s">
        <v>29</v>
      </c>
      <c r="H421" t="s">
        <v>54</v>
      </c>
      <c r="I421" t="s">
        <v>428</v>
      </c>
      <c r="J421">
        <v>481248</v>
      </c>
    </row>
    <row r="422" spans="1:10" x14ac:dyDescent="0.25">
      <c r="A422" t="str">
        <f>I422&amp;B422&amp;C422&amp;D422</f>
        <v>GY 18 DRESSY201838</v>
      </c>
      <c r="B422">
        <v>2018</v>
      </c>
      <c r="C422">
        <v>3</v>
      </c>
      <c r="D422">
        <v>8</v>
      </c>
      <c r="E422" t="s">
        <v>99</v>
      </c>
      <c r="F422" t="s">
        <v>84</v>
      </c>
      <c r="G422" t="s">
        <v>29</v>
      </c>
      <c r="H422" t="s">
        <v>5</v>
      </c>
      <c r="I422" t="s">
        <v>185</v>
      </c>
      <c r="J422">
        <v>0</v>
      </c>
    </row>
    <row r="423" spans="1:10" x14ac:dyDescent="0.25">
      <c r="A423" t="str">
        <f>I423&amp;B423&amp;C423&amp;D423</f>
        <v>GY 18 FAL201838</v>
      </c>
      <c r="B423">
        <v>2018</v>
      </c>
      <c r="C423">
        <v>3</v>
      </c>
      <c r="D423">
        <v>8</v>
      </c>
      <c r="E423" t="s">
        <v>99</v>
      </c>
      <c r="F423" t="s">
        <v>84</v>
      </c>
      <c r="G423" t="s">
        <v>29</v>
      </c>
      <c r="H423" t="s">
        <v>54</v>
      </c>
      <c r="I423" t="s">
        <v>427</v>
      </c>
      <c r="J423">
        <v>109703</v>
      </c>
    </row>
    <row r="424" spans="1:10" x14ac:dyDescent="0.25">
      <c r="A424" t="str">
        <f>I424&amp;B424&amp;C424&amp;D424</f>
        <v>GY 18 FALL 1201838</v>
      </c>
      <c r="B424">
        <v>2018</v>
      </c>
      <c r="C424">
        <v>3</v>
      </c>
      <c r="D424">
        <v>8</v>
      </c>
      <c r="E424" t="s">
        <v>99</v>
      </c>
      <c r="F424" t="s">
        <v>84</v>
      </c>
      <c r="G424" t="s">
        <v>29</v>
      </c>
      <c r="H424" t="s">
        <v>54</v>
      </c>
      <c r="I424" t="s">
        <v>429</v>
      </c>
      <c r="J424">
        <v>306330</v>
      </c>
    </row>
    <row r="425" spans="1:10" x14ac:dyDescent="0.25">
      <c r="A425" t="str">
        <f>I425&amp;B425&amp;C425&amp;D425</f>
        <v>GY 18 FALL 2201838</v>
      </c>
      <c r="B425">
        <v>2018</v>
      </c>
      <c r="C425">
        <v>3</v>
      </c>
      <c r="D425">
        <v>8</v>
      </c>
      <c r="E425" t="s">
        <v>99</v>
      </c>
      <c r="F425" t="s">
        <v>84</v>
      </c>
      <c r="G425" t="s">
        <v>29</v>
      </c>
      <c r="H425" t="s">
        <v>54</v>
      </c>
      <c r="I425" t="s">
        <v>430</v>
      </c>
      <c r="J425">
        <v>0</v>
      </c>
    </row>
    <row r="426" spans="1:10" x14ac:dyDescent="0.25">
      <c r="A426" t="str">
        <f>I426&amp;B426&amp;C426&amp;D426</f>
        <v>GY 18 FALL BASICS201838</v>
      </c>
      <c r="B426">
        <v>2018</v>
      </c>
      <c r="C426">
        <v>3</v>
      </c>
      <c r="D426">
        <v>8</v>
      </c>
      <c r="E426" t="s">
        <v>99</v>
      </c>
      <c r="F426" t="s">
        <v>84</v>
      </c>
      <c r="G426" t="s">
        <v>29</v>
      </c>
      <c r="H426" t="s">
        <v>10</v>
      </c>
      <c r="I426" t="s">
        <v>175</v>
      </c>
      <c r="J426">
        <v>1035918</v>
      </c>
    </row>
    <row r="427" spans="1:10" x14ac:dyDescent="0.25">
      <c r="A427" t="str">
        <f>I427&amp;B427&amp;C427&amp;D427</f>
        <v>GY 18 SM2201838</v>
      </c>
      <c r="B427">
        <v>2018</v>
      </c>
      <c r="C427">
        <v>3</v>
      </c>
      <c r="D427">
        <v>8</v>
      </c>
      <c r="E427" t="s">
        <v>99</v>
      </c>
      <c r="F427" t="s">
        <v>84</v>
      </c>
      <c r="G427" t="s">
        <v>29</v>
      </c>
      <c r="H427" t="s">
        <v>6</v>
      </c>
      <c r="I427" t="s">
        <v>193</v>
      </c>
      <c r="J427">
        <v>7524</v>
      </c>
    </row>
    <row r="428" spans="1:10" x14ac:dyDescent="0.25">
      <c r="A428" t="str">
        <f>I428&amp;B428&amp;C428&amp;D428</f>
        <v>GY 18 SM3201838</v>
      </c>
      <c r="B428">
        <v>2018</v>
      </c>
      <c r="C428">
        <v>3</v>
      </c>
      <c r="D428">
        <v>8</v>
      </c>
      <c r="E428" t="s">
        <v>99</v>
      </c>
      <c r="F428" t="s">
        <v>84</v>
      </c>
      <c r="G428" t="s">
        <v>29</v>
      </c>
      <c r="H428" t="s">
        <v>6</v>
      </c>
      <c r="I428" t="s">
        <v>195</v>
      </c>
      <c r="J428">
        <v>27105</v>
      </c>
    </row>
    <row r="429" spans="1:10" x14ac:dyDescent="0.25">
      <c r="A429" t="str">
        <f>I429&amp;B429&amp;C429&amp;D429</f>
        <v>GY 18 SM4201838</v>
      </c>
      <c r="B429">
        <v>2018</v>
      </c>
      <c r="C429">
        <v>3</v>
      </c>
      <c r="D429">
        <v>8</v>
      </c>
      <c r="E429" t="s">
        <v>99</v>
      </c>
      <c r="F429" t="s">
        <v>84</v>
      </c>
      <c r="G429" t="s">
        <v>29</v>
      </c>
      <c r="H429" t="s">
        <v>6</v>
      </c>
      <c r="I429" t="s">
        <v>199</v>
      </c>
      <c r="J429">
        <v>127394</v>
      </c>
    </row>
    <row r="430" spans="1:10" x14ac:dyDescent="0.25">
      <c r="A430" t="str">
        <f>I430&amp;B430&amp;C430&amp;D430</f>
        <v>GY 18 SM5201838</v>
      </c>
      <c r="B430">
        <v>2018</v>
      </c>
      <c r="C430">
        <v>3</v>
      </c>
      <c r="D430">
        <v>8</v>
      </c>
      <c r="E430" t="s">
        <v>99</v>
      </c>
      <c r="F430" t="s">
        <v>84</v>
      </c>
      <c r="G430" t="s">
        <v>29</v>
      </c>
      <c r="H430" t="s">
        <v>6</v>
      </c>
      <c r="I430" t="s">
        <v>201</v>
      </c>
      <c r="J430">
        <v>215160</v>
      </c>
    </row>
    <row r="431" spans="1:10" x14ac:dyDescent="0.25">
      <c r="A431" t="str">
        <f>I431&amp;B431&amp;C431&amp;D431</f>
        <v>GY 18 SMR201838</v>
      </c>
      <c r="B431">
        <v>2018</v>
      </c>
      <c r="C431">
        <v>3</v>
      </c>
      <c r="D431">
        <v>8</v>
      </c>
      <c r="E431" t="s">
        <v>99</v>
      </c>
      <c r="F431" t="s">
        <v>84</v>
      </c>
      <c r="G431" t="s">
        <v>29</v>
      </c>
      <c r="H431" t="s">
        <v>6</v>
      </c>
      <c r="I431" t="s">
        <v>203</v>
      </c>
      <c r="J431">
        <v>89445</v>
      </c>
    </row>
    <row r="432" spans="1:10" x14ac:dyDescent="0.25">
      <c r="A432" t="str">
        <f>I432&amp;B432&amp;C432&amp;D432</f>
        <v>GY 18 SPR201838</v>
      </c>
      <c r="B432">
        <v>2018</v>
      </c>
      <c r="C432">
        <v>3</v>
      </c>
      <c r="D432">
        <v>8</v>
      </c>
      <c r="E432" t="s">
        <v>99</v>
      </c>
      <c r="F432" t="s">
        <v>84</v>
      </c>
      <c r="G432" t="s">
        <v>29</v>
      </c>
      <c r="H432" t="s">
        <v>5</v>
      </c>
      <c r="I432" t="s">
        <v>177</v>
      </c>
      <c r="J432">
        <v>0</v>
      </c>
    </row>
    <row r="433" spans="1:10" x14ac:dyDescent="0.25">
      <c r="A433" t="str">
        <f>I433&amp;B433&amp;C433&amp;D433</f>
        <v>GY 18 SPR 1201838</v>
      </c>
      <c r="B433">
        <v>2018</v>
      </c>
      <c r="C433">
        <v>3</v>
      </c>
      <c r="D433">
        <v>8</v>
      </c>
      <c r="E433" t="s">
        <v>99</v>
      </c>
      <c r="F433" t="s">
        <v>84</v>
      </c>
      <c r="G433" t="s">
        <v>29</v>
      </c>
      <c r="H433" t="s">
        <v>5</v>
      </c>
      <c r="I433" t="s">
        <v>179</v>
      </c>
      <c r="J433">
        <v>0</v>
      </c>
    </row>
    <row r="434" spans="1:10" x14ac:dyDescent="0.25">
      <c r="A434" t="str">
        <f>I434&amp;B434&amp;C434&amp;D434</f>
        <v>GY 18 SPR 2201838</v>
      </c>
      <c r="B434">
        <v>2018</v>
      </c>
      <c r="C434">
        <v>3</v>
      </c>
      <c r="D434">
        <v>8</v>
      </c>
      <c r="E434" t="s">
        <v>99</v>
      </c>
      <c r="F434" t="s">
        <v>84</v>
      </c>
      <c r="G434" t="s">
        <v>29</v>
      </c>
      <c r="H434" t="s">
        <v>5</v>
      </c>
      <c r="I434" t="s">
        <v>181</v>
      </c>
      <c r="J434">
        <v>0</v>
      </c>
    </row>
    <row r="435" spans="1:10" x14ac:dyDescent="0.25">
      <c r="A435" t="str">
        <f>I435&amp;B435&amp;C435&amp;D435</f>
        <v>GY 18 SPR VACA201838</v>
      </c>
      <c r="B435">
        <v>2018</v>
      </c>
      <c r="C435">
        <v>3</v>
      </c>
      <c r="D435">
        <v>8</v>
      </c>
      <c r="E435" t="s">
        <v>99</v>
      </c>
      <c r="F435" t="s">
        <v>84</v>
      </c>
      <c r="G435" t="s">
        <v>29</v>
      </c>
      <c r="H435" t="s">
        <v>5</v>
      </c>
      <c r="I435" t="s">
        <v>187</v>
      </c>
      <c r="J435">
        <v>0</v>
      </c>
    </row>
    <row r="436" spans="1:10" x14ac:dyDescent="0.25">
      <c r="A436" t="str">
        <f>I436&amp;B436&amp;C436&amp;D436</f>
        <v>GY 18 SPRING BASICS201838</v>
      </c>
      <c r="B436">
        <v>2018</v>
      </c>
      <c r="C436">
        <v>3</v>
      </c>
      <c r="D436">
        <v>8</v>
      </c>
      <c r="E436" t="s">
        <v>99</v>
      </c>
      <c r="F436" t="s">
        <v>84</v>
      </c>
      <c r="G436" t="s">
        <v>29</v>
      </c>
      <c r="H436" t="s">
        <v>10</v>
      </c>
      <c r="I436" t="s">
        <v>173</v>
      </c>
      <c r="J436">
        <v>129562</v>
      </c>
    </row>
    <row r="437" spans="1:10" x14ac:dyDescent="0.25">
      <c r="A437" t="str">
        <f>I437&amp;B437&amp;C437&amp;D437</f>
        <v>GY 18 SUM 1201838</v>
      </c>
      <c r="B437">
        <v>2018</v>
      </c>
      <c r="C437">
        <v>3</v>
      </c>
      <c r="D437">
        <v>8</v>
      </c>
      <c r="E437" t="s">
        <v>99</v>
      </c>
      <c r="F437" t="s">
        <v>84</v>
      </c>
      <c r="G437" t="s">
        <v>29</v>
      </c>
      <c r="H437" t="s">
        <v>5</v>
      </c>
      <c r="I437" t="s">
        <v>189</v>
      </c>
      <c r="J437">
        <v>-1</v>
      </c>
    </row>
    <row r="438" spans="1:10" x14ac:dyDescent="0.25">
      <c r="A438" t="str">
        <f>I438&amp;B438&amp;C438&amp;D438</f>
        <v>GY 18 SWIM 1201838</v>
      </c>
      <c r="B438">
        <v>2018</v>
      </c>
      <c r="C438">
        <v>3</v>
      </c>
      <c r="D438">
        <v>8</v>
      </c>
      <c r="E438" t="s">
        <v>99</v>
      </c>
      <c r="F438" t="s">
        <v>84</v>
      </c>
      <c r="G438" t="s">
        <v>29</v>
      </c>
      <c r="H438" t="s">
        <v>5</v>
      </c>
      <c r="I438" t="s">
        <v>183</v>
      </c>
      <c r="J438">
        <v>5850</v>
      </c>
    </row>
    <row r="439" spans="1:10" x14ac:dyDescent="0.25">
      <c r="A439" t="str">
        <f>I439&amp;B439&amp;C439&amp;D439</f>
        <v>GY 18 SWIM 2201838</v>
      </c>
      <c r="B439">
        <v>2018</v>
      </c>
      <c r="C439">
        <v>3</v>
      </c>
      <c r="D439">
        <v>8</v>
      </c>
      <c r="E439" t="s">
        <v>99</v>
      </c>
      <c r="F439" t="s">
        <v>84</v>
      </c>
      <c r="G439" t="s">
        <v>29</v>
      </c>
      <c r="H439" t="s">
        <v>5</v>
      </c>
      <c r="I439" t="s">
        <v>191</v>
      </c>
      <c r="J439">
        <v>45362</v>
      </c>
    </row>
    <row r="440" spans="1:10" x14ac:dyDescent="0.25">
      <c r="A440" t="str">
        <f>I440&amp;B440&amp;C440&amp;D440</f>
        <v>GY 18 SWIM 3201838</v>
      </c>
      <c r="B440">
        <v>2018</v>
      </c>
      <c r="C440">
        <v>3</v>
      </c>
      <c r="D440">
        <v>8</v>
      </c>
      <c r="E440" t="s">
        <v>99</v>
      </c>
      <c r="F440" t="s">
        <v>84</v>
      </c>
      <c r="G440" t="s">
        <v>29</v>
      </c>
      <c r="H440" t="s">
        <v>6</v>
      </c>
      <c r="I440" t="s">
        <v>197</v>
      </c>
      <c r="J440">
        <v>5881</v>
      </c>
    </row>
    <row r="441" spans="1:10" x14ac:dyDescent="0.25">
      <c r="A441" t="str">
        <f>I441&amp;B441&amp;C441&amp;D441</f>
        <v>GY 18 VDAY201838</v>
      </c>
      <c r="B441">
        <v>2018</v>
      </c>
      <c r="C441">
        <v>3</v>
      </c>
      <c r="D441">
        <v>8</v>
      </c>
      <c r="E441" t="s">
        <v>99</v>
      </c>
      <c r="F441" t="s">
        <v>84</v>
      </c>
      <c r="G441" t="s">
        <v>29</v>
      </c>
      <c r="H441" t="s">
        <v>8</v>
      </c>
      <c r="I441" t="s">
        <v>396</v>
      </c>
      <c r="J441">
        <v>10384</v>
      </c>
    </row>
    <row r="442" spans="1:10" x14ac:dyDescent="0.25">
      <c r="A442" t="str">
        <f>I442&amp;B442&amp;C442&amp;D442</f>
        <v>GY YRLY BASICS201838</v>
      </c>
      <c r="B442">
        <v>2018</v>
      </c>
      <c r="C442">
        <v>3</v>
      </c>
      <c r="D442">
        <v>8</v>
      </c>
      <c r="E442" t="s">
        <v>99</v>
      </c>
      <c r="F442" t="s">
        <v>84</v>
      </c>
      <c r="G442" t="s">
        <v>29</v>
      </c>
      <c r="H442" t="s">
        <v>10</v>
      </c>
      <c r="I442" t="s">
        <v>349</v>
      </c>
      <c r="J442">
        <v>741370</v>
      </c>
    </row>
    <row r="443" spans="1:10" x14ac:dyDescent="0.25">
      <c r="A443" t="str">
        <f>I443&amp;B443&amp;C443&amp;D443</f>
        <v>GY YRLY DENIM201838</v>
      </c>
      <c r="B443">
        <v>2018</v>
      </c>
      <c r="C443">
        <v>3</v>
      </c>
      <c r="D443">
        <v>8</v>
      </c>
      <c r="E443" t="s">
        <v>99</v>
      </c>
      <c r="F443" t="s">
        <v>84</v>
      </c>
      <c r="G443" t="s">
        <v>29</v>
      </c>
      <c r="H443" t="s">
        <v>10</v>
      </c>
      <c r="I443" t="s">
        <v>350</v>
      </c>
      <c r="J443">
        <v>359811</v>
      </c>
    </row>
    <row r="444" spans="1:10" x14ac:dyDescent="0.25">
      <c r="A444" t="str">
        <f>I444&amp;B444&amp;C444&amp;D444</f>
        <v>GY YRLY UNIFORM201838</v>
      </c>
      <c r="B444">
        <v>2018</v>
      </c>
      <c r="C444">
        <v>3</v>
      </c>
      <c r="D444">
        <v>8</v>
      </c>
      <c r="E444" t="s">
        <v>99</v>
      </c>
      <c r="F444" t="s">
        <v>84</v>
      </c>
      <c r="G444" t="s">
        <v>29</v>
      </c>
      <c r="H444" t="s">
        <v>10</v>
      </c>
      <c r="I444" t="s">
        <v>351</v>
      </c>
      <c r="J444">
        <v>37195</v>
      </c>
    </row>
    <row r="445" spans="1:10" x14ac:dyDescent="0.25">
      <c r="A445" t="str">
        <f>I445&amp;B445&amp;C445&amp;D445</f>
        <v>Old201838</v>
      </c>
      <c r="B445">
        <v>2018</v>
      </c>
      <c r="C445">
        <v>3</v>
      </c>
      <c r="D445">
        <v>8</v>
      </c>
      <c r="E445" t="s">
        <v>99</v>
      </c>
      <c r="F445" t="s">
        <v>84</v>
      </c>
      <c r="G445" t="s">
        <v>29</v>
      </c>
      <c r="H445" t="s">
        <v>434</v>
      </c>
      <c r="I445" t="s">
        <v>434</v>
      </c>
      <c r="J445">
        <v>14134</v>
      </c>
    </row>
    <row r="446" spans="1:10" x14ac:dyDescent="0.25">
      <c r="A446" t="str">
        <f>I446&amp;B446&amp;C446&amp;D446</f>
        <v>Winter 17201838</v>
      </c>
      <c r="B446">
        <v>2018</v>
      </c>
      <c r="C446">
        <v>3</v>
      </c>
      <c r="D446">
        <v>8</v>
      </c>
      <c r="E446" t="s">
        <v>99</v>
      </c>
      <c r="F446" t="s">
        <v>84</v>
      </c>
      <c r="G446" t="s">
        <v>29</v>
      </c>
      <c r="H446" t="s">
        <v>435</v>
      </c>
      <c r="I446" t="s">
        <v>435</v>
      </c>
      <c r="J446">
        <v>19369</v>
      </c>
    </row>
    <row r="447" spans="1:10" x14ac:dyDescent="0.25">
      <c r="A447" t="str">
        <f>I447&amp;B447&amp;C447&amp;D447</f>
        <v>GY 17 BTS201839</v>
      </c>
      <c r="B447">
        <v>2018</v>
      </c>
      <c r="C447">
        <v>3</v>
      </c>
      <c r="D447">
        <v>9</v>
      </c>
      <c r="E447" t="s">
        <v>99</v>
      </c>
      <c r="F447" t="s">
        <v>84</v>
      </c>
      <c r="G447" t="s">
        <v>29</v>
      </c>
      <c r="H447" t="s">
        <v>54</v>
      </c>
      <c r="I447" t="s">
        <v>397</v>
      </c>
      <c r="J447">
        <v>946</v>
      </c>
    </row>
    <row r="448" spans="1:10" x14ac:dyDescent="0.25">
      <c r="A448" t="str">
        <f>I448&amp;B448&amp;C448&amp;D448</f>
        <v>GY 17 CAP201839</v>
      </c>
      <c r="B448">
        <v>2018</v>
      </c>
      <c r="C448">
        <v>3</v>
      </c>
      <c r="D448">
        <v>9</v>
      </c>
      <c r="E448" t="s">
        <v>99</v>
      </c>
      <c r="F448" t="s">
        <v>84</v>
      </c>
      <c r="G448" t="s">
        <v>29</v>
      </c>
      <c r="H448" t="s">
        <v>6</v>
      </c>
      <c r="I448" t="s">
        <v>404</v>
      </c>
      <c r="J448">
        <v>45</v>
      </c>
    </row>
    <row r="449" spans="1:10" x14ac:dyDescent="0.25">
      <c r="A449" t="str">
        <f>I449&amp;B449&amp;C449&amp;D449</f>
        <v>GY 17 DRSY CAP201839</v>
      </c>
      <c r="B449">
        <v>2018</v>
      </c>
      <c r="C449">
        <v>3</v>
      </c>
      <c r="D449">
        <v>9</v>
      </c>
      <c r="E449" t="s">
        <v>99</v>
      </c>
      <c r="F449" t="s">
        <v>84</v>
      </c>
      <c r="G449" t="s">
        <v>29</v>
      </c>
      <c r="H449" t="s">
        <v>5</v>
      </c>
      <c r="I449" t="s">
        <v>186</v>
      </c>
      <c r="J449">
        <v>199</v>
      </c>
    </row>
    <row r="450" spans="1:10" x14ac:dyDescent="0.25">
      <c r="A450" t="str">
        <f>I450&amp;B450&amp;C450&amp;D450</f>
        <v>GY 17 FAL201839</v>
      </c>
      <c r="B450">
        <v>2018</v>
      </c>
      <c r="C450">
        <v>3</v>
      </c>
      <c r="D450">
        <v>9</v>
      </c>
      <c r="E450" t="s">
        <v>99</v>
      </c>
      <c r="F450" t="s">
        <v>84</v>
      </c>
      <c r="G450" t="s">
        <v>29</v>
      </c>
      <c r="H450" t="s">
        <v>54</v>
      </c>
      <c r="I450" t="s">
        <v>398</v>
      </c>
      <c r="J450">
        <v>1144</v>
      </c>
    </row>
    <row r="451" spans="1:10" x14ac:dyDescent="0.25">
      <c r="A451" t="str">
        <f>I451&amp;B451&amp;C451&amp;D451</f>
        <v>GY 17 FALL 1201839</v>
      </c>
      <c r="B451">
        <v>2018</v>
      </c>
      <c r="C451">
        <v>3</v>
      </c>
      <c r="D451">
        <v>9</v>
      </c>
      <c r="E451" t="s">
        <v>99</v>
      </c>
      <c r="F451" t="s">
        <v>84</v>
      </c>
      <c r="G451" t="s">
        <v>29</v>
      </c>
      <c r="H451" t="s">
        <v>54</v>
      </c>
      <c r="I451" t="s">
        <v>399</v>
      </c>
      <c r="J451">
        <v>1512</v>
      </c>
    </row>
    <row r="452" spans="1:10" x14ac:dyDescent="0.25">
      <c r="A452" t="str">
        <f>I452&amp;B452&amp;C452&amp;D452</f>
        <v>GY 17 FALL 2201839</v>
      </c>
      <c r="B452">
        <v>2018</v>
      </c>
      <c r="C452">
        <v>3</v>
      </c>
      <c r="D452">
        <v>9</v>
      </c>
      <c r="E452" t="s">
        <v>99</v>
      </c>
      <c r="F452" t="s">
        <v>84</v>
      </c>
      <c r="G452" t="s">
        <v>29</v>
      </c>
      <c r="H452" t="s">
        <v>54</v>
      </c>
      <c r="I452" t="s">
        <v>400</v>
      </c>
      <c r="J452">
        <v>1666</v>
      </c>
    </row>
    <row r="453" spans="1:10" x14ac:dyDescent="0.25">
      <c r="A453" t="str">
        <f>I453&amp;B453&amp;C453&amp;D453</f>
        <v>GY 17 FALL 3201839</v>
      </c>
      <c r="B453">
        <v>2018</v>
      </c>
      <c r="C453">
        <v>3</v>
      </c>
      <c r="D453">
        <v>9</v>
      </c>
      <c r="E453" t="s">
        <v>99</v>
      </c>
      <c r="F453" t="s">
        <v>84</v>
      </c>
      <c r="G453" t="s">
        <v>29</v>
      </c>
      <c r="H453" t="s">
        <v>54</v>
      </c>
      <c r="I453" t="s">
        <v>401</v>
      </c>
      <c r="J453">
        <v>2756</v>
      </c>
    </row>
    <row r="454" spans="1:10" x14ac:dyDescent="0.25">
      <c r="A454" t="str">
        <f>I454&amp;B454&amp;C454&amp;D454</f>
        <v>GY 17 FALL 4201839</v>
      </c>
      <c r="B454">
        <v>2018</v>
      </c>
      <c r="C454">
        <v>3</v>
      </c>
      <c r="D454">
        <v>9</v>
      </c>
      <c r="E454" t="s">
        <v>99</v>
      </c>
      <c r="F454" t="s">
        <v>84</v>
      </c>
      <c r="G454" t="s">
        <v>29</v>
      </c>
      <c r="H454" t="s">
        <v>54</v>
      </c>
      <c r="I454" t="s">
        <v>402</v>
      </c>
      <c r="J454">
        <v>1415</v>
      </c>
    </row>
    <row r="455" spans="1:10" x14ac:dyDescent="0.25">
      <c r="A455" t="str">
        <f>I455&amp;B455&amp;C455&amp;D455</f>
        <v>GY 17 FALL BASICS201839</v>
      </c>
      <c r="B455">
        <v>2018</v>
      </c>
      <c r="C455">
        <v>3</v>
      </c>
      <c r="D455">
        <v>9</v>
      </c>
      <c r="E455" t="s">
        <v>99</v>
      </c>
      <c r="F455" t="s">
        <v>84</v>
      </c>
      <c r="G455" t="s">
        <v>29</v>
      </c>
      <c r="H455" t="s">
        <v>10</v>
      </c>
      <c r="I455" t="s">
        <v>176</v>
      </c>
      <c r="J455">
        <v>1207</v>
      </c>
    </row>
    <row r="456" spans="1:10" x14ac:dyDescent="0.25">
      <c r="A456" t="str">
        <f>I456&amp;B456&amp;C456&amp;D456</f>
        <v>GY 17 HO HO SHOP201839</v>
      </c>
      <c r="B456">
        <v>2018</v>
      </c>
      <c r="C456">
        <v>3</v>
      </c>
      <c r="D456">
        <v>9</v>
      </c>
      <c r="E456" t="s">
        <v>99</v>
      </c>
      <c r="F456" t="s">
        <v>84</v>
      </c>
      <c r="G456" t="s">
        <v>29</v>
      </c>
      <c r="H456" t="s">
        <v>54</v>
      </c>
      <c r="I456" t="s">
        <v>405</v>
      </c>
      <c r="J456">
        <v>1614</v>
      </c>
    </row>
    <row r="457" spans="1:10" x14ac:dyDescent="0.25">
      <c r="A457" t="str">
        <f>I457&amp;B457&amp;C457&amp;D457</f>
        <v>GY 17 HOL201839</v>
      </c>
      <c r="B457">
        <v>2018</v>
      </c>
      <c r="C457">
        <v>3</v>
      </c>
      <c r="D457">
        <v>9</v>
      </c>
      <c r="E457" t="s">
        <v>99</v>
      </c>
      <c r="F457" t="s">
        <v>84</v>
      </c>
      <c r="G457" t="s">
        <v>29</v>
      </c>
      <c r="H457" t="s">
        <v>8</v>
      </c>
      <c r="I457" t="s">
        <v>406</v>
      </c>
      <c r="J457">
        <v>1084</v>
      </c>
    </row>
    <row r="458" spans="1:10" x14ac:dyDescent="0.25">
      <c r="A458" t="str">
        <f>I458&amp;B458&amp;C458&amp;D458</f>
        <v>GY 17 JAN CAP201839</v>
      </c>
      <c r="B458">
        <v>2018</v>
      </c>
      <c r="C458">
        <v>3</v>
      </c>
      <c r="D458">
        <v>9</v>
      </c>
      <c r="E458" t="s">
        <v>99</v>
      </c>
      <c r="F458" t="s">
        <v>84</v>
      </c>
      <c r="G458" t="s">
        <v>29</v>
      </c>
      <c r="H458" t="s">
        <v>8</v>
      </c>
      <c r="I458" t="s">
        <v>407</v>
      </c>
      <c r="J458">
        <v>66</v>
      </c>
    </row>
    <row r="459" spans="1:10" x14ac:dyDescent="0.25">
      <c r="A459" t="str">
        <f>I459&amp;B459&amp;C459&amp;D459</f>
        <v>GY 17 SM2201839</v>
      </c>
      <c r="B459">
        <v>2018</v>
      </c>
      <c r="C459">
        <v>3</v>
      </c>
      <c r="D459">
        <v>9</v>
      </c>
      <c r="E459" t="s">
        <v>99</v>
      </c>
      <c r="F459" t="s">
        <v>84</v>
      </c>
      <c r="G459" t="s">
        <v>29</v>
      </c>
      <c r="H459" t="s">
        <v>6</v>
      </c>
      <c r="I459" t="s">
        <v>194</v>
      </c>
      <c r="J459">
        <v>64</v>
      </c>
    </row>
    <row r="460" spans="1:10" x14ac:dyDescent="0.25">
      <c r="A460" t="str">
        <f>I460&amp;B460&amp;C460&amp;D460</f>
        <v>GY 17 SM3201839</v>
      </c>
      <c r="B460">
        <v>2018</v>
      </c>
      <c r="C460">
        <v>3</v>
      </c>
      <c r="D460">
        <v>9</v>
      </c>
      <c r="E460" t="s">
        <v>99</v>
      </c>
      <c r="F460" t="s">
        <v>84</v>
      </c>
      <c r="G460" t="s">
        <v>29</v>
      </c>
      <c r="H460" t="s">
        <v>6</v>
      </c>
      <c r="I460" t="s">
        <v>196</v>
      </c>
      <c r="J460">
        <v>223</v>
      </c>
    </row>
    <row r="461" spans="1:10" x14ac:dyDescent="0.25">
      <c r="A461" t="str">
        <f>I461&amp;B461&amp;C461&amp;D461</f>
        <v>GY 17 SM4201839</v>
      </c>
      <c r="B461">
        <v>2018</v>
      </c>
      <c r="C461">
        <v>3</v>
      </c>
      <c r="D461">
        <v>9</v>
      </c>
      <c r="E461" t="s">
        <v>99</v>
      </c>
      <c r="F461" t="s">
        <v>84</v>
      </c>
      <c r="G461" t="s">
        <v>29</v>
      </c>
      <c r="H461" t="s">
        <v>6</v>
      </c>
      <c r="I461" t="s">
        <v>200</v>
      </c>
      <c r="J461">
        <v>130</v>
      </c>
    </row>
    <row r="462" spans="1:10" x14ac:dyDescent="0.25">
      <c r="A462" t="str">
        <f>I462&amp;B462&amp;C462&amp;D462</f>
        <v>GY 17 SMR201839</v>
      </c>
      <c r="B462">
        <v>2018</v>
      </c>
      <c r="C462">
        <v>3</v>
      </c>
      <c r="D462">
        <v>9</v>
      </c>
      <c r="E462" t="s">
        <v>99</v>
      </c>
      <c r="F462" t="s">
        <v>84</v>
      </c>
      <c r="G462" t="s">
        <v>29</v>
      </c>
      <c r="H462" t="s">
        <v>6</v>
      </c>
      <c r="I462" t="s">
        <v>204</v>
      </c>
      <c r="J462">
        <v>495</v>
      </c>
    </row>
    <row r="463" spans="1:10" x14ac:dyDescent="0.25">
      <c r="A463" t="str">
        <f>I463&amp;B463&amp;C463&amp;D463</f>
        <v>GY 17 SPR201839</v>
      </c>
      <c r="B463">
        <v>2018</v>
      </c>
      <c r="C463">
        <v>3</v>
      </c>
      <c r="D463">
        <v>9</v>
      </c>
      <c r="E463" t="s">
        <v>99</v>
      </c>
      <c r="F463" t="s">
        <v>84</v>
      </c>
      <c r="G463" t="s">
        <v>29</v>
      </c>
      <c r="H463" t="s">
        <v>5</v>
      </c>
      <c r="I463" t="s">
        <v>178</v>
      </c>
      <c r="J463">
        <v>197</v>
      </c>
    </row>
    <row r="464" spans="1:10" x14ac:dyDescent="0.25">
      <c r="A464" t="str">
        <f>I464&amp;B464&amp;C464&amp;D464</f>
        <v>GY 17 SPR 1201839</v>
      </c>
      <c r="B464">
        <v>2018</v>
      </c>
      <c r="C464">
        <v>3</v>
      </c>
      <c r="D464">
        <v>9</v>
      </c>
      <c r="E464" t="s">
        <v>99</v>
      </c>
      <c r="F464" t="s">
        <v>84</v>
      </c>
      <c r="G464" t="s">
        <v>29</v>
      </c>
      <c r="H464" t="s">
        <v>5</v>
      </c>
      <c r="I464" t="s">
        <v>180</v>
      </c>
      <c r="J464">
        <v>112</v>
      </c>
    </row>
    <row r="465" spans="1:10" x14ac:dyDescent="0.25">
      <c r="A465" t="str">
        <f>I465&amp;B465&amp;C465&amp;D465</f>
        <v>GY 17 SPR 2201839</v>
      </c>
      <c r="B465">
        <v>2018</v>
      </c>
      <c r="C465">
        <v>3</v>
      </c>
      <c r="D465">
        <v>9</v>
      </c>
      <c r="E465" t="s">
        <v>99</v>
      </c>
      <c r="F465" t="s">
        <v>84</v>
      </c>
      <c r="G465" t="s">
        <v>29</v>
      </c>
      <c r="H465" t="s">
        <v>5</v>
      </c>
      <c r="I465" t="s">
        <v>182</v>
      </c>
      <c r="J465">
        <v>27</v>
      </c>
    </row>
    <row r="466" spans="1:10" x14ac:dyDescent="0.25">
      <c r="A466" t="str">
        <f>I466&amp;B466&amp;C466&amp;D466</f>
        <v>GY 17 SPR TRANS201839</v>
      </c>
      <c r="B466">
        <v>2018</v>
      </c>
      <c r="C466">
        <v>3</v>
      </c>
      <c r="D466">
        <v>9</v>
      </c>
      <c r="E466" t="s">
        <v>99</v>
      </c>
      <c r="F466" t="s">
        <v>84</v>
      </c>
      <c r="G466" t="s">
        <v>29</v>
      </c>
      <c r="H466" t="s">
        <v>8</v>
      </c>
      <c r="I466" t="s">
        <v>403</v>
      </c>
      <c r="J466">
        <v>1899</v>
      </c>
    </row>
    <row r="467" spans="1:10" x14ac:dyDescent="0.25">
      <c r="A467" t="str">
        <f>I467&amp;B467&amp;C467&amp;D467</f>
        <v>GY 17 SPR VAC201839</v>
      </c>
      <c r="B467">
        <v>2018</v>
      </c>
      <c r="C467">
        <v>3</v>
      </c>
      <c r="D467">
        <v>9</v>
      </c>
      <c r="E467" t="s">
        <v>99</v>
      </c>
      <c r="F467" t="s">
        <v>84</v>
      </c>
      <c r="G467" t="s">
        <v>29</v>
      </c>
      <c r="H467" t="s">
        <v>5</v>
      </c>
      <c r="I467" t="s">
        <v>188</v>
      </c>
      <c r="J467">
        <v>144</v>
      </c>
    </row>
    <row r="468" spans="1:10" x14ac:dyDescent="0.25">
      <c r="A468" t="str">
        <f>I468&amp;B468&amp;C468&amp;D468</f>
        <v>GY 17 SPRING BASICS201839</v>
      </c>
      <c r="B468">
        <v>2018</v>
      </c>
      <c r="C468">
        <v>3</v>
      </c>
      <c r="D468">
        <v>9</v>
      </c>
      <c r="E468" t="s">
        <v>99</v>
      </c>
      <c r="F468" t="s">
        <v>84</v>
      </c>
      <c r="G468" t="s">
        <v>29</v>
      </c>
      <c r="H468" t="s">
        <v>10</v>
      </c>
      <c r="I468" t="s">
        <v>174</v>
      </c>
      <c r="J468">
        <v>420</v>
      </c>
    </row>
    <row r="469" spans="1:10" x14ac:dyDescent="0.25">
      <c r="A469" t="str">
        <f>I469&amp;B469&amp;C469&amp;D469</f>
        <v>GY 17 SUM 1201839</v>
      </c>
      <c r="B469">
        <v>2018</v>
      </c>
      <c r="C469">
        <v>3</v>
      </c>
      <c r="D469">
        <v>9</v>
      </c>
      <c r="E469" t="s">
        <v>99</v>
      </c>
      <c r="F469" t="s">
        <v>84</v>
      </c>
      <c r="G469" t="s">
        <v>29</v>
      </c>
      <c r="H469" t="s">
        <v>5</v>
      </c>
      <c r="I469" t="s">
        <v>190</v>
      </c>
      <c r="J469">
        <v>287</v>
      </c>
    </row>
    <row r="470" spans="1:10" x14ac:dyDescent="0.25">
      <c r="A470" t="str">
        <f>I470&amp;B470&amp;C470&amp;D470</f>
        <v>GY 17 SWIM 1201839</v>
      </c>
      <c r="B470">
        <v>2018</v>
      </c>
      <c r="C470">
        <v>3</v>
      </c>
      <c r="D470">
        <v>9</v>
      </c>
      <c r="E470" t="s">
        <v>99</v>
      </c>
      <c r="F470" t="s">
        <v>84</v>
      </c>
      <c r="G470" t="s">
        <v>29</v>
      </c>
      <c r="H470" t="s">
        <v>5</v>
      </c>
      <c r="I470" t="s">
        <v>184</v>
      </c>
      <c r="J470">
        <v>67</v>
      </c>
    </row>
    <row r="471" spans="1:10" x14ac:dyDescent="0.25">
      <c r="A471" t="str">
        <f>I471&amp;B471&amp;C471&amp;D471</f>
        <v>GY 17 SWIM 2201839</v>
      </c>
      <c r="B471">
        <v>2018</v>
      </c>
      <c r="C471">
        <v>3</v>
      </c>
      <c r="D471">
        <v>9</v>
      </c>
      <c r="E471" t="s">
        <v>99</v>
      </c>
      <c r="F471" t="s">
        <v>84</v>
      </c>
      <c r="G471" t="s">
        <v>29</v>
      </c>
      <c r="H471" t="s">
        <v>5</v>
      </c>
      <c r="I471" t="s">
        <v>192</v>
      </c>
      <c r="J471">
        <v>87</v>
      </c>
    </row>
    <row r="472" spans="1:10" x14ac:dyDescent="0.25">
      <c r="A472" t="str">
        <f>I472&amp;B472&amp;C472&amp;D472</f>
        <v>GY 17 SWIM 3201839</v>
      </c>
      <c r="B472">
        <v>2018</v>
      </c>
      <c r="C472">
        <v>3</v>
      </c>
      <c r="D472">
        <v>9</v>
      </c>
      <c r="E472" t="s">
        <v>99</v>
      </c>
      <c r="F472" t="s">
        <v>84</v>
      </c>
      <c r="G472" t="s">
        <v>29</v>
      </c>
      <c r="H472" t="s">
        <v>6</v>
      </c>
      <c r="I472" t="s">
        <v>198</v>
      </c>
      <c r="J472">
        <v>16</v>
      </c>
    </row>
    <row r="473" spans="1:10" x14ac:dyDescent="0.25">
      <c r="A473" t="str">
        <f>I473&amp;B473&amp;C473&amp;D473</f>
        <v>GY 17 TRANS201839</v>
      </c>
      <c r="B473">
        <v>2018</v>
      </c>
      <c r="C473">
        <v>3</v>
      </c>
      <c r="D473">
        <v>9</v>
      </c>
      <c r="E473" t="s">
        <v>99</v>
      </c>
      <c r="F473" t="s">
        <v>84</v>
      </c>
      <c r="G473" t="s">
        <v>29</v>
      </c>
      <c r="H473" t="s">
        <v>6</v>
      </c>
      <c r="I473" t="s">
        <v>202</v>
      </c>
      <c r="J473">
        <v>440</v>
      </c>
    </row>
    <row r="474" spans="1:10" x14ac:dyDescent="0.25">
      <c r="A474" t="str">
        <f>I474&amp;B474&amp;C474&amp;D474</f>
        <v>GY 17 WINTER 1201839</v>
      </c>
      <c r="B474">
        <v>2018</v>
      </c>
      <c r="C474">
        <v>3</v>
      </c>
      <c r="D474">
        <v>9</v>
      </c>
      <c r="E474" t="s">
        <v>99</v>
      </c>
      <c r="F474" t="s">
        <v>84</v>
      </c>
      <c r="G474" t="s">
        <v>29</v>
      </c>
      <c r="H474" t="s">
        <v>8</v>
      </c>
      <c r="I474" t="s">
        <v>408</v>
      </c>
      <c r="J474">
        <v>961</v>
      </c>
    </row>
    <row r="475" spans="1:10" x14ac:dyDescent="0.25">
      <c r="A475" t="str">
        <f>I475&amp;B475&amp;C475&amp;D475</f>
        <v>GY 17 WINTER 2201839</v>
      </c>
      <c r="B475">
        <v>2018</v>
      </c>
      <c r="C475">
        <v>3</v>
      </c>
      <c r="D475">
        <v>9</v>
      </c>
      <c r="E475" t="s">
        <v>99</v>
      </c>
      <c r="F475" t="s">
        <v>84</v>
      </c>
      <c r="G475" t="s">
        <v>29</v>
      </c>
      <c r="H475" t="s">
        <v>8</v>
      </c>
      <c r="I475" t="s">
        <v>409</v>
      </c>
      <c r="J475">
        <v>1048</v>
      </c>
    </row>
    <row r="476" spans="1:10" x14ac:dyDescent="0.25">
      <c r="A476" t="str">
        <f>I476&amp;B476&amp;C476&amp;D476</f>
        <v>GY 17 WINTER 3201839</v>
      </c>
      <c r="B476">
        <v>2018</v>
      </c>
      <c r="C476">
        <v>3</v>
      </c>
      <c r="D476">
        <v>9</v>
      </c>
      <c r="E476" t="s">
        <v>99</v>
      </c>
      <c r="F476" t="s">
        <v>84</v>
      </c>
      <c r="G476" t="s">
        <v>29</v>
      </c>
      <c r="H476" t="s">
        <v>8</v>
      </c>
      <c r="I476" t="s">
        <v>410</v>
      </c>
      <c r="J476">
        <v>2659</v>
      </c>
    </row>
    <row r="477" spans="1:10" x14ac:dyDescent="0.25">
      <c r="A477" t="str">
        <f>I477&amp;B477&amp;C477&amp;D477</f>
        <v>GY 18 BTS201839</v>
      </c>
      <c r="B477">
        <v>2018</v>
      </c>
      <c r="C477">
        <v>3</v>
      </c>
      <c r="D477">
        <v>9</v>
      </c>
      <c r="E477" t="s">
        <v>99</v>
      </c>
      <c r="F477" t="s">
        <v>84</v>
      </c>
      <c r="G477" t="s">
        <v>29</v>
      </c>
      <c r="H477" t="s">
        <v>54</v>
      </c>
      <c r="I477" t="s">
        <v>428</v>
      </c>
      <c r="J477">
        <v>402151</v>
      </c>
    </row>
    <row r="478" spans="1:10" x14ac:dyDescent="0.25">
      <c r="A478" t="str">
        <f>I478&amp;B478&amp;C478&amp;D478</f>
        <v>GY 18 DRESSY201839</v>
      </c>
      <c r="B478">
        <v>2018</v>
      </c>
      <c r="C478">
        <v>3</v>
      </c>
      <c r="D478">
        <v>9</v>
      </c>
      <c r="E478" t="s">
        <v>99</v>
      </c>
      <c r="F478" t="s">
        <v>84</v>
      </c>
      <c r="G478" t="s">
        <v>29</v>
      </c>
      <c r="H478" t="s">
        <v>5</v>
      </c>
      <c r="I478" t="s">
        <v>185</v>
      </c>
      <c r="J478">
        <v>0</v>
      </c>
    </row>
    <row r="479" spans="1:10" x14ac:dyDescent="0.25">
      <c r="A479" t="str">
        <f>I479&amp;B479&amp;C479&amp;D479</f>
        <v>GY 18 FAL201839</v>
      </c>
      <c r="B479">
        <v>2018</v>
      </c>
      <c r="C479">
        <v>3</v>
      </c>
      <c r="D479">
        <v>9</v>
      </c>
      <c r="E479" t="s">
        <v>99</v>
      </c>
      <c r="F479" t="s">
        <v>84</v>
      </c>
      <c r="G479" t="s">
        <v>29</v>
      </c>
      <c r="H479" t="s">
        <v>54</v>
      </c>
      <c r="I479" t="s">
        <v>427</v>
      </c>
      <c r="J479">
        <v>109703</v>
      </c>
    </row>
    <row r="480" spans="1:10" x14ac:dyDescent="0.25">
      <c r="A480" t="str">
        <f>I480&amp;B480&amp;C480&amp;D480</f>
        <v>GY 18 FALL 1201839</v>
      </c>
      <c r="B480">
        <v>2018</v>
      </c>
      <c r="C480">
        <v>3</v>
      </c>
      <c r="D480">
        <v>9</v>
      </c>
      <c r="E480" t="s">
        <v>99</v>
      </c>
      <c r="F480" t="s">
        <v>84</v>
      </c>
      <c r="G480" t="s">
        <v>29</v>
      </c>
      <c r="H480" t="s">
        <v>54</v>
      </c>
      <c r="I480" t="s">
        <v>429</v>
      </c>
      <c r="J480">
        <v>168792</v>
      </c>
    </row>
    <row r="481" spans="1:10" x14ac:dyDescent="0.25">
      <c r="A481" t="str">
        <f>I481&amp;B481&amp;C481&amp;D481</f>
        <v>GY 18 FALL 2201839</v>
      </c>
      <c r="B481">
        <v>2018</v>
      </c>
      <c r="C481">
        <v>3</v>
      </c>
      <c r="D481">
        <v>9</v>
      </c>
      <c r="E481" t="s">
        <v>99</v>
      </c>
      <c r="F481" t="s">
        <v>84</v>
      </c>
      <c r="G481" t="s">
        <v>29</v>
      </c>
      <c r="H481" t="s">
        <v>54</v>
      </c>
      <c r="I481" t="s">
        <v>430</v>
      </c>
      <c r="J481">
        <v>0</v>
      </c>
    </row>
    <row r="482" spans="1:10" x14ac:dyDescent="0.25">
      <c r="A482" t="str">
        <f>I482&amp;B482&amp;C482&amp;D482</f>
        <v>GY 18 FALL BASICS201839</v>
      </c>
      <c r="B482">
        <v>2018</v>
      </c>
      <c r="C482">
        <v>3</v>
      </c>
      <c r="D482">
        <v>9</v>
      </c>
      <c r="E482" t="s">
        <v>99</v>
      </c>
      <c r="F482" t="s">
        <v>84</v>
      </c>
      <c r="G482" t="s">
        <v>29</v>
      </c>
      <c r="H482" t="s">
        <v>10</v>
      </c>
      <c r="I482" t="s">
        <v>175</v>
      </c>
      <c r="J482">
        <v>713877</v>
      </c>
    </row>
    <row r="483" spans="1:10" x14ac:dyDescent="0.25">
      <c r="A483" t="str">
        <f>I483&amp;B483&amp;C483&amp;D483</f>
        <v>GY 18 SM2201839</v>
      </c>
      <c r="B483">
        <v>2018</v>
      </c>
      <c r="C483">
        <v>3</v>
      </c>
      <c r="D483">
        <v>9</v>
      </c>
      <c r="E483" t="s">
        <v>99</v>
      </c>
      <c r="F483" t="s">
        <v>84</v>
      </c>
      <c r="G483" t="s">
        <v>29</v>
      </c>
      <c r="H483" t="s">
        <v>6</v>
      </c>
      <c r="I483" t="s">
        <v>193</v>
      </c>
      <c r="J483">
        <v>2985</v>
      </c>
    </row>
    <row r="484" spans="1:10" x14ac:dyDescent="0.25">
      <c r="A484" t="str">
        <f>I484&amp;B484&amp;C484&amp;D484</f>
        <v>GY 18 SM3201839</v>
      </c>
      <c r="B484">
        <v>2018</v>
      </c>
      <c r="C484">
        <v>3</v>
      </c>
      <c r="D484">
        <v>9</v>
      </c>
      <c r="E484" t="s">
        <v>99</v>
      </c>
      <c r="F484" t="s">
        <v>84</v>
      </c>
      <c r="G484" t="s">
        <v>29</v>
      </c>
      <c r="H484" t="s">
        <v>6</v>
      </c>
      <c r="I484" t="s">
        <v>195</v>
      </c>
      <c r="J484">
        <v>21515</v>
      </c>
    </row>
    <row r="485" spans="1:10" x14ac:dyDescent="0.25">
      <c r="A485" t="str">
        <f>I485&amp;B485&amp;C485&amp;D485</f>
        <v>GY 18 SM4201839</v>
      </c>
      <c r="B485">
        <v>2018</v>
      </c>
      <c r="C485">
        <v>3</v>
      </c>
      <c r="D485">
        <v>9</v>
      </c>
      <c r="E485" t="s">
        <v>99</v>
      </c>
      <c r="F485" t="s">
        <v>84</v>
      </c>
      <c r="G485" t="s">
        <v>29</v>
      </c>
      <c r="H485" t="s">
        <v>6</v>
      </c>
      <c r="I485" t="s">
        <v>199</v>
      </c>
      <c r="J485">
        <v>123411</v>
      </c>
    </row>
    <row r="486" spans="1:10" x14ac:dyDescent="0.25">
      <c r="A486" t="str">
        <f>I486&amp;B486&amp;C486&amp;D486</f>
        <v>GY 18 SM5201839</v>
      </c>
      <c r="B486">
        <v>2018</v>
      </c>
      <c r="C486">
        <v>3</v>
      </c>
      <c r="D486">
        <v>9</v>
      </c>
      <c r="E486" t="s">
        <v>99</v>
      </c>
      <c r="F486" t="s">
        <v>84</v>
      </c>
      <c r="G486" t="s">
        <v>29</v>
      </c>
      <c r="H486" t="s">
        <v>6</v>
      </c>
      <c r="I486" t="s">
        <v>201</v>
      </c>
      <c r="J486">
        <v>174711</v>
      </c>
    </row>
    <row r="487" spans="1:10" x14ac:dyDescent="0.25">
      <c r="A487" t="str">
        <f>I487&amp;B487&amp;C487&amp;D487</f>
        <v>GY 18 SMR201839</v>
      </c>
      <c r="B487">
        <v>2018</v>
      </c>
      <c r="C487">
        <v>3</v>
      </c>
      <c r="D487">
        <v>9</v>
      </c>
      <c r="E487" t="s">
        <v>99</v>
      </c>
      <c r="F487" t="s">
        <v>84</v>
      </c>
      <c r="G487" t="s">
        <v>29</v>
      </c>
      <c r="H487" t="s">
        <v>6</v>
      </c>
      <c r="I487" t="s">
        <v>203</v>
      </c>
      <c r="J487">
        <v>66757</v>
      </c>
    </row>
    <row r="488" spans="1:10" x14ac:dyDescent="0.25">
      <c r="A488" t="str">
        <f>I488&amp;B488&amp;C488&amp;D488</f>
        <v>GY 18 SPR201839</v>
      </c>
      <c r="B488">
        <v>2018</v>
      </c>
      <c r="C488">
        <v>3</v>
      </c>
      <c r="D488">
        <v>9</v>
      </c>
      <c r="E488" t="s">
        <v>99</v>
      </c>
      <c r="F488" t="s">
        <v>84</v>
      </c>
      <c r="G488" t="s">
        <v>29</v>
      </c>
      <c r="H488" t="s">
        <v>5</v>
      </c>
      <c r="I488" t="s">
        <v>177</v>
      </c>
      <c r="J488">
        <v>0</v>
      </c>
    </row>
    <row r="489" spans="1:10" x14ac:dyDescent="0.25">
      <c r="A489" t="str">
        <f>I489&amp;B489&amp;C489&amp;D489</f>
        <v>GY 18 SPR 1201839</v>
      </c>
      <c r="B489">
        <v>2018</v>
      </c>
      <c r="C489">
        <v>3</v>
      </c>
      <c r="D489">
        <v>9</v>
      </c>
      <c r="E489" t="s">
        <v>99</v>
      </c>
      <c r="F489" t="s">
        <v>84</v>
      </c>
      <c r="G489" t="s">
        <v>29</v>
      </c>
      <c r="H489" t="s">
        <v>5</v>
      </c>
      <c r="I489" t="s">
        <v>179</v>
      </c>
      <c r="J489">
        <v>0</v>
      </c>
    </row>
    <row r="490" spans="1:10" x14ac:dyDescent="0.25">
      <c r="A490" t="str">
        <f>I490&amp;B490&amp;C490&amp;D490</f>
        <v>GY 18 SPR 2201839</v>
      </c>
      <c r="B490">
        <v>2018</v>
      </c>
      <c r="C490">
        <v>3</v>
      </c>
      <c r="D490">
        <v>9</v>
      </c>
      <c r="E490" t="s">
        <v>99</v>
      </c>
      <c r="F490" t="s">
        <v>84</v>
      </c>
      <c r="G490" t="s">
        <v>29</v>
      </c>
      <c r="H490" t="s">
        <v>5</v>
      </c>
      <c r="I490" t="s">
        <v>181</v>
      </c>
      <c r="J490">
        <v>0</v>
      </c>
    </row>
    <row r="491" spans="1:10" x14ac:dyDescent="0.25">
      <c r="A491" t="str">
        <f>I491&amp;B491&amp;C491&amp;D491</f>
        <v>GY 18 SPR VACA201839</v>
      </c>
      <c r="B491">
        <v>2018</v>
      </c>
      <c r="C491">
        <v>3</v>
      </c>
      <c r="D491">
        <v>9</v>
      </c>
      <c r="E491" t="s">
        <v>99</v>
      </c>
      <c r="F491" t="s">
        <v>84</v>
      </c>
      <c r="G491" t="s">
        <v>29</v>
      </c>
      <c r="H491" t="s">
        <v>5</v>
      </c>
      <c r="I491" t="s">
        <v>187</v>
      </c>
      <c r="J491">
        <v>0</v>
      </c>
    </row>
    <row r="492" spans="1:10" x14ac:dyDescent="0.25">
      <c r="A492" t="str">
        <f>I492&amp;B492&amp;C492&amp;D492</f>
        <v>GY 18 SPRING BASICS201839</v>
      </c>
      <c r="B492">
        <v>2018</v>
      </c>
      <c r="C492">
        <v>3</v>
      </c>
      <c r="D492">
        <v>9</v>
      </c>
      <c r="E492" t="s">
        <v>99</v>
      </c>
      <c r="F492" t="s">
        <v>84</v>
      </c>
      <c r="G492" t="s">
        <v>29</v>
      </c>
      <c r="H492" t="s">
        <v>10</v>
      </c>
      <c r="I492" t="s">
        <v>173</v>
      </c>
      <c r="J492">
        <v>105335</v>
      </c>
    </row>
    <row r="493" spans="1:10" x14ac:dyDescent="0.25">
      <c r="A493" t="str">
        <f>I493&amp;B493&amp;C493&amp;D493</f>
        <v>GY 18 SUM 1201839</v>
      </c>
      <c r="B493">
        <v>2018</v>
      </c>
      <c r="C493">
        <v>3</v>
      </c>
      <c r="D493">
        <v>9</v>
      </c>
      <c r="E493" t="s">
        <v>99</v>
      </c>
      <c r="F493" t="s">
        <v>84</v>
      </c>
      <c r="G493" t="s">
        <v>29</v>
      </c>
      <c r="H493" t="s">
        <v>5</v>
      </c>
      <c r="I493" t="s">
        <v>189</v>
      </c>
      <c r="J493">
        <v>-1</v>
      </c>
    </row>
    <row r="494" spans="1:10" x14ac:dyDescent="0.25">
      <c r="A494" t="str">
        <f>I494&amp;B494&amp;C494&amp;D494</f>
        <v>GY 18 SWIM 1201839</v>
      </c>
      <c r="B494">
        <v>2018</v>
      </c>
      <c r="C494">
        <v>3</v>
      </c>
      <c r="D494">
        <v>9</v>
      </c>
      <c r="E494" t="s">
        <v>99</v>
      </c>
      <c r="F494" t="s">
        <v>84</v>
      </c>
      <c r="G494" t="s">
        <v>29</v>
      </c>
      <c r="H494" t="s">
        <v>5</v>
      </c>
      <c r="I494" t="s">
        <v>183</v>
      </c>
      <c r="J494">
        <v>5050</v>
      </c>
    </row>
    <row r="495" spans="1:10" x14ac:dyDescent="0.25">
      <c r="A495" t="str">
        <f>I495&amp;B495&amp;C495&amp;D495</f>
        <v>GY 18 SWIM 2201839</v>
      </c>
      <c r="B495">
        <v>2018</v>
      </c>
      <c r="C495">
        <v>3</v>
      </c>
      <c r="D495">
        <v>9</v>
      </c>
      <c r="E495" t="s">
        <v>99</v>
      </c>
      <c r="F495" t="s">
        <v>84</v>
      </c>
      <c r="G495" t="s">
        <v>29</v>
      </c>
      <c r="H495" t="s">
        <v>5</v>
      </c>
      <c r="I495" t="s">
        <v>191</v>
      </c>
      <c r="J495">
        <v>44962</v>
      </c>
    </row>
    <row r="496" spans="1:10" x14ac:dyDescent="0.25">
      <c r="A496" t="str">
        <f>I496&amp;B496&amp;C496&amp;D496</f>
        <v>GY 18 SWIM 3201839</v>
      </c>
      <c r="B496">
        <v>2018</v>
      </c>
      <c r="C496">
        <v>3</v>
      </c>
      <c r="D496">
        <v>9</v>
      </c>
      <c r="E496" t="s">
        <v>99</v>
      </c>
      <c r="F496" t="s">
        <v>84</v>
      </c>
      <c r="G496" t="s">
        <v>29</v>
      </c>
      <c r="H496" t="s">
        <v>6</v>
      </c>
      <c r="I496" t="s">
        <v>197</v>
      </c>
      <c r="J496">
        <v>5544</v>
      </c>
    </row>
    <row r="497" spans="1:10" x14ac:dyDescent="0.25">
      <c r="A497" t="str">
        <f>I497&amp;B497&amp;C497&amp;D497</f>
        <v>GY 18 VDAY201839</v>
      </c>
      <c r="B497">
        <v>2018</v>
      </c>
      <c r="C497">
        <v>3</v>
      </c>
      <c r="D497">
        <v>9</v>
      </c>
      <c r="E497" t="s">
        <v>99</v>
      </c>
      <c r="F497" t="s">
        <v>84</v>
      </c>
      <c r="G497" t="s">
        <v>29</v>
      </c>
      <c r="H497" t="s">
        <v>8</v>
      </c>
      <c r="I497" t="s">
        <v>396</v>
      </c>
      <c r="J497">
        <v>7584</v>
      </c>
    </row>
    <row r="498" spans="1:10" x14ac:dyDescent="0.25">
      <c r="A498" t="str">
        <f>I498&amp;B498&amp;C498&amp;D498</f>
        <v>GY YRLY BASICS201839</v>
      </c>
      <c r="B498">
        <v>2018</v>
      </c>
      <c r="C498">
        <v>3</v>
      </c>
      <c r="D498">
        <v>9</v>
      </c>
      <c r="E498" t="s">
        <v>99</v>
      </c>
      <c r="F498" t="s">
        <v>84</v>
      </c>
      <c r="G498" t="s">
        <v>29</v>
      </c>
      <c r="H498" t="s">
        <v>10</v>
      </c>
      <c r="I498" t="s">
        <v>349</v>
      </c>
      <c r="J498">
        <v>741370</v>
      </c>
    </row>
    <row r="499" spans="1:10" x14ac:dyDescent="0.25">
      <c r="A499" t="str">
        <f>I499&amp;B499&amp;C499&amp;D499</f>
        <v>GY YRLY DENIM201839</v>
      </c>
      <c r="B499">
        <v>2018</v>
      </c>
      <c r="C499">
        <v>3</v>
      </c>
      <c r="D499">
        <v>9</v>
      </c>
      <c r="E499" t="s">
        <v>99</v>
      </c>
      <c r="F499" t="s">
        <v>84</v>
      </c>
      <c r="G499" t="s">
        <v>29</v>
      </c>
      <c r="H499" t="s">
        <v>10</v>
      </c>
      <c r="I499" t="s">
        <v>350</v>
      </c>
      <c r="J499">
        <v>359811</v>
      </c>
    </row>
    <row r="500" spans="1:10" x14ac:dyDescent="0.25">
      <c r="A500" t="str">
        <f>I500&amp;B500&amp;C500&amp;D500</f>
        <v>GY YRLY UNIFORM201839</v>
      </c>
      <c r="B500">
        <v>2018</v>
      </c>
      <c r="C500">
        <v>3</v>
      </c>
      <c r="D500">
        <v>9</v>
      </c>
      <c r="E500" t="s">
        <v>99</v>
      </c>
      <c r="F500" t="s">
        <v>84</v>
      </c>
      <c r="G500" t="s">
        <v>29</v>
      </c>
      <c r="H500" t="s">
        <v>10</v>
      </c>
      <c r="I500" t="s">
        <v>351</v>
      </c>
      <c r="J500">
        <v>35995</v>
      </c>
    </row>
    <row r="501" spans="1:10" x14ac:dyDescent="0.25">
      <c r="A501" t="str">
        <f>I501&amp;B501&amp;C501&amp;D501</f>
        <v>Old201839</v>
      </c>
      <c r="B501">
        <v>2018</v>
      </c>
      <c r="C501">
        <v>3</v>
      </c>
      <c r="D501">
        <v>9</v>
      </c>
      <c r="E501" t="s">
        <v>99</v>
      </c>
      <c r="F501" t="s">
        <v>84</v>
      </c>
      <c r="G501" t="s">
        <v>29</v>
      </c>
      <c r="H501" t="s">
        <v>434</v>
      </c>
      <c r="I501" t="s">
        <v>434</v>
      </c>
      <c r="J501">
        <v>13586</v>
      </c>
    </row>
    <row r="502" spans="1:10" x14ac:dyDescent="0.25">
      <c r="A502" t="str">
        <f>I502&amp;B502&amp;C502&amp;D502</f>
        <v>Winter 17201839</v>
      </c>
      <c r="B502">
        <v>2018</v>
      </c>
      <c r="C502">
        <v>3</v>
      </c>
      <c r="D502">
        <v>9</v>
      </c>
      <c r="E502" t="s">
        <v>99</v>
      </c>
      <c r="F502" t="s">
        <v>84</v>
      </c>
      <c r="G502" t="s">
        <v>29</v>
      </c>
      <c r="H502" t="s">
        <v>435</v>
      </c>
      <c r="I502" t="s">
        <v>435</v>
      </c>
      <c r="J502">
        <v>15301</v>
      </c>
    </row>
    <row r="503" spans="1:10" x14ac:dyDescent="0.25">
      <c r="A503" t="str">
        <f>I503&amp;B503&amp;C503&amp;D503</f>
        <v>GY 17 BTS2018410</v>
      </c>
      <c r="B503">
        <v>2018</v>
      </c>
      <c r="C503">
        <v>4</v>
      </c>
      <c r="D503">
        <v>10</v>
      </c>
      <c r="E503" t="s">
        <v>99</v>
      </c>
      <c r="F503" t="s">
        <v>84</v>
      </c>
      <c r="G503" t="s">
        <v>29</v>
      </c>
      <c r="H503" t="s">
        <v>54</v>
      </c>
      <c r="I503" t="s">
        <v>397</v>
      </c>
      <c r="J503">
        <v>926</v>
      </c>
    </row>
    <row r="504" spans="1:10" x14ac:dyDescent="0.25">
      <c r="A504" t="str">
        <f>I504&amp;B504&amp;C504&amp;D504</f>
        <v>GY 17 CAP2018410</v>
      </c>
      <c r="B504">
        <v>2018</v>
      </c>
      <c r="C504">
        <v>4</v>
      </c>
      <c r="D504">
        <v>10</v>
      </c>
      <c r="E504" t="s">
        <v>99</v>
      </c>
      <c r="F504" t="s">
        <v>84</v>
      </c>
      <c r="G504" t="s">
        <v>29</v>
      </c>
      <c r="H504" t="s">
        <v>6</v>
      </c>
      <c r="I504" t="s">
        <v>404</v>
      </c>
      <c r="J504">
        <v>41</v>
      </c>
    </row>
    <row r="505" spans="1:10" x14ac:dyDescent="0.25">
      <c r="A505" t="str">
        <f>I505&amp;B505&amp;C505&amp;D505</f>
        <v>GY 17 DRSY CAP2018410</v>
      </c>
      <c r="B505">
        <v>2018</v>
      </c>
      <c r="C505">
        <v>4</v>
      </c>
      <c r="D505">
        <v>10</v>
      </c>
      <c r="E505" t="s">
        <v>99</v>
      </c>
      <c r="F505" t="s">
        <v>84</v>
      </c>
      <c r="G505" t="s">
        <v>29</v>
      </c>
      <c r="H505" t="s">
        <v>5</v>
      </c>
      <c r="I505" t="s">
        <v>186</v>
      </c>
      <c r="J505">
        <v>195</v>
      </c>
    </row>
    <row r="506" spans="1:10" x14ac:dyDescent="0.25">
      <c r="A506" t="str">
        <f>I506&amp;B506&amp;C506&amp;D506</f>
        <v>GY 17 FAL2018410</v>
      </c>
      <c r="B506">
        <v>2018</v>
      </c>
      <c r="C506">
        <v>4</v>
      </c>
      <c r="D506">
        <v>10</v>
      </c>
      <c r="E506" t="s">
        <v>99</v>
      </c>
      <c r="F506" t="s">
        <v>84</v>
      </c>
      <c r="G506" t="s">
        <v>29</v>
      </c>
      <c r="H506" t="s">
        <v>54</v>
      </c>
      <c r="I506" t="s">
        <v>398</v>
      </c>
      <c r="J506">
        <v>1104</v>
      </c>
    </row>
    <row r="507" spans="1:10" x14ac:dyDescent="0.25">
      <c r="A507" t="str">
        <f>I507&amp;B507&amp;C507&amp;D507</f>
        <v>GY 17 FALL 12018410</v>
      </c>
      <c r="B507">
        <v>2018</v>
      </c>
      <c r="C507">
        <v>4</v>
      </c>
      <c r="D507">
        <v>10</v>
      </c>
      <c r="E507" t="s">
        <v>99</v>
      </c>
      <c r="F507" t="s">
        <v>84</v>
      </c>
      <c r="G507" t="s">
        <v>29</v>
      </c>
      <c r="H507" t="s">
        <v>54</v>
      </c>
      <c r="I507" t="s">
        <v>399</v>
      </c>
      <c r="J507">
        <v>1492</v>
      </c>
    </row>
    <row r="508" spans="1:10" x14ac:dyDescent="0.25">
      <c r="A508" t="str">
        <f>I508&amp;B508&amp;C508&amp;D508</f>
        <v>GY 17 FALL 22018410</v>
      </c>
      <c r="B508">
        <v>2018</v>
      </c>
      <c r="C508">
        <v>4</v>
      </c>
      <c r="D508">
        <v>10</v>
      </c>
      <c r="E508" t="s">
        <v>99</v>
      </c>
      <c r="F508" t="s">
        <v>84</v>
      </c>
      <c r="G508" t="s">
        <v>29</v>
      </c>
      <c r="H508" t="s">
        <v>54</v>
      </c>
      <c r="I508" t="s">
        <v>400</v>
      </c>
      <c r="J508">
        <v>1646</v>
      </c>
    </row>
    <row r="509" spans="1:10" x14ac:dyDescent="0.25">
      <c r="A509" t="str">
        <f>I509&amp;B509&amp;C509&amp;D509</f>
        <v>GY 17 FALL 32018410</v>
      </c>
      <c r="B509">
        <v>2018</v>
      </c>
      <c r="C509">
        <v>4</v>
      </c>
      <c r="D509">
        <v>10</v>
      </c>
      <c r="E509" t="s">
        <v>99</v>
      </c>
      <c r="F509" t="s">
        <v>84</v>
      </c>
      <c r="G509" t="s">
        <v>29</v>
      </c>
      <c r="H509" t="s">
        <v>54</v>
      </c>
      <c r="I509" t="s">
        <v>401</v>
      </c>
      <c r="J509">
        <v>2736</v>
      </c>
    </row>
    <row r="510" spans="1:10" x14ac:dyDescent="0.25">
      <c r="A510" t="str">
        <f>I510&amp;B510&amp;C510&amp;D510</f>
        <v>GY 17 FALL 42018410</v>
      </c>
      <c r="B510">
        <v>2018</v>
      </c>
      <c r="C510">
        <v>4</v>
      </c>
      <c r="D510">
        <v>10</v>
      </c>
      <c r="E510" t="s">
        <v>99</v>
      </c>
      <c r="F510" t="s">
        <v>84</v>
      </c>
      <c r="G510" t="s">
        <v>29</v>
      </c>
      <c r="H510" t="s">
        <v>54</v>
      </c>
      <c r="I510" t="s">
        <v>402</v>
      </c>
      <c r="J510">
        <v>1395</v>
      </c>
    </row>
    <row r="511" spans="1:10" x14ac:dyDescent="0.25">
      <c r="A511" t="str">
        <f>I511&amp;B511&amp;C511&amp;D511</f>
        <v>GY 17 FALL BASICS2018410</v>
      </c>
      <c r="B511">
        <v>2018</v>
      </c>
      <c r="C511">
        <v>4</v>
      </c>
      <c r="D511">
        <v>10</v>
      </c>
      <c r="E511" t="s">
        <v>99</v>
      </c>
      <c r="F511" t="s">
        <v>84</v>
      </c>
      <c r="G511" t="s">
        <v>29</v>
      </c>
      <c r="H511" t="s">
        <v>10</v>
      </c>
      <c r="I511" t="s">
        <v>176</v>
      </c>
      <c r="J511">
        <v>1203</v>
      </c>
    </row>
    <row r="512" spans="1:10" x14ac:dyDescent="0.25">
      <c r="A512" t="str">
        <f>I512&amp;B512&amp;C512&amp;D512</f>
        <v>GY 17 HO HO SHOP2018410</v>
      </c>
      <c r="B512">
        <v>2018</v>
      </c>
      <c r="C512">
        <v>4</v>
      </c>
      <c r="D512">
        <v>10</v>
      </c>
      <c r="E512" t="s">
        <v>99</v>
      </c>
      <c r="F512" t="s">
        <v>84</v>
      </c>
      <c r="G512" t="s">
        <v>29</v>
      </c>
      <c r="H512" t="s">
        <v>54</v>
      </c>
      <c r="I512" t="s">
        <v>405</v>
      </c>
      <c r="J512">
        <v>1594</v>
      </c>
    </row>
    <row r="513" spans="1:10" x14ac:dyDescent="0.25">
      <c r="A513" t="str">
        <f>I513&amp;B513&amp;C513&amp;D513</f>
        <v>GY 17 HOL2018410</v>
      </c>
      <c r="B513">
        <v>2018</v>
      </c>
      <c r="C513">
        <v>4</v>
      </c>
      <c r="D513">
        <v>10</v>
      </c>
      <c r="E513" t="s">
        <v>99</v>
      </c>
      <c r="F513" t="s">
        <v>84</v>
      </c>
      <c r="G513" t="s">
        <v>29</v>
      </c>
      <c r="H513" t="s">
        <v>8</v>
      </c>
      <c r="I513" t="s">
        <v>406</v>
      </c>
      <c r="J513">
        <v>1080</v>
      </c>
    </row>
    <row r="514" spans="1:10" x14ac:dyDescent="0.25">
      <c r="A514" t="str">
        <f>I514&amp;B514&amp;C514&amp;D514</f>
        <v>GY 17 JAN CAP2018410</v>
      </c>
      <c r="B514">
        <v>2018</v>
      </c>
      <c r="C514">
        <v>4</v>
      </c>
      <c r="D514">
        <v>10</v>
      </c>
      <c r="E514" t="s">
        <v>99</v>
      </c>
      <c r="F514" t="s">
        <v>84</v>
      </c>
      <c r="G514" t="s">
        <v>29</v>
      </c>
      <c r="H514" t="s">
        <v>8</v>
      </c>
      <c r="I514" t="s">
        <v>407</v>
      </c>
      <c r="J514">
        <v>62</v>
      </c>
    </row>
    <row r="515" spans="1:10" x14ac:dyDescent="0.25">
      <c r="A515" t="str">
        <f>I515&amp;B515&amp;C515&amp;D515</f>
        <v>GY 17 SM22018410</v>
      </c>
      <c r="B515">
        <v>2018</v>
      </c>
      <c r="C515">
        <v>4</v>
      </c>
      <c r="D515">
        <v>10</v>
      </c>
      <c r="E515" t="s">
        <v>99</v>
      </c>
      <c r="F515" t="s">
        <v>84</v>
      </c>
      <c r="G515" t="s">
        <v>29</v>
      </c>
      <c r="H515" t="s">
        <v>6</v>
      </c>
      <c r="I515" t="s">
        <v>194</v>
      </c>
      <c r="J515">
        <v>44</v>
      </c>
    </row>
    <row r="516" spans="1:10" x14ac:dyDescent="0.25">
      <c r="A516" t="str">
        <f>I516&amp;B516&amp;C516&amp;D516</f>
        <v>GY 17 SM32018410</v>
      </c>
      <c r="B516">
        <v>2018</v>
      </c>
      <c r="C516">
        <v>4</v>
      </c>
      <c r="D516">
        <v>10</v>
      </c>
      <c r="E516" t="s">
        <v>99</v>
      </c>
      <c r="F516" t="s">
        <v>84</v>
      </c>
      <c r="G516" t="s">
        <v>29</v>
      </c>
      <c r="H516" t="s">
        <v>6</v>
      </c>
      <c r="I516" t="s">
        <v>196</v>
      </c>
      <c r="J516">
        <v>203</v>
      </c>
    </row>
    <row r="517" spans="1:10" x14ac:dyDescent="0.25">
      <c r="A517" t="str">
        <f>I517&amp;B517&amp;C517&amp;D517</f>
        <v>GY 17 SM42018410</v>
      </c>
      <c r="B517">
        <v>2018</v>
      </c>
      <c r="C517">
        <v>4</v>
      </c>
      <c r="D517">
        <v>10</v>
      </c>
      <c r="E517" t="s">
        <v>99</v>
      </c>
      <c r="F517" t="s">
        <v>84</v>
      </c>
      <c r="G517" t="s">
        <v>29</v>
      </c>
      <c r="H517" t="s">
        <v>6</v>
      </c>
      <c r="I517" t="s">
        <v>200</v>
      </c>
      <c r="J517">
        <v>110</v>
      </c>
    </row>
    <row r="518" spans="1:10" x14ac:dyDescent="0.25">
      <c r="A518" t="str">
        <f>I518&amp;B518&amp;C518&amp;D518</f>
        <v>GY 17 SMR2018410</v>
      </c>
      <c r="B518">
        <v>2018</v>
      </c>
      <c r="C518">
        <v>4</v>
      </c>
      <c r="D518">
        <v>10</v>
      </c>
      <c r="E518" t="s">
        <v>99</v>
      </c>
      <c r="F518" t="s">
        <v>84</v>
      </c>
      <c r="G518" t="s">
        <v>29</v>
      </c>
      <c r="H518" t="s">
        <v>6</v>
      </c>
      <c r="I518" t="s">
        <v>204</v>
      </c>
      <c r="J518">
        <v>491</v>
      </c>
    </row>
    <row r="519" spans="1:10" x14ac:dyDescent="0.25">
      <c r="A519" t="str">
        <f>I519&amp;B519&amp;C519&amp;D519</f>
        <v>GY 17 SPR2018410</v>
      </c>
      <c r="B519">
        <v>2018</v>
      </c>
      <c r="C519">
        <v>4</v>
      </c>
      <c r="D519">
        <v>10</v>
      </c>
      <c r="E519" t="s">
        <v>99</v>
      </c>
      <c r="F519" t="s">
        <v>84</v>
      </c>
      <c r="G519" t="s">
        <v>29</v>
      </c>
      <c r="H519" t="s">
        <v>5</v>
      </c>
      <c r="I519" t="s">
        <v>178</v>
      </c>
      <c r="J519">
        <v>177</v>
      </c>
    </row>
    <row r="520" spans="1:10" x14ac:dyDescent="0.25">
      <c r="A520" t="str">
        <f>I520&amp;B520&amp;C520&amp;D520</f>
        <v>GY 17 SPR 12018410</v>
      </c>
      <c r="B520">
        <v>2018</v>
      </c>
      <c r="C520">
        <v>4</v>
      </c>
      <c r="D520">
        <v>10</v>
      </c>
      <c r="E520" t="s">
        <v>99</v>
      </c>
      <c r="F520" t="s">
        <v>84</v>
      </c>
      <c r="G520" t="s">
        <v>29</v>
      </c>
      <c r="H520" t="s">
        <v>5</v>
      </c>
      <c r="I520" t="s">
        <v>180</v>
      </c>
      <c r="J520">
        <v>108</v>
      </c>
    </row>
    <row r="521" spans="1:10" x14ac:dyDescent="0.25">
      <c r="A521" t="str">
        <f>I521&amp;B521&amp;C521&amp;D521</f>
        <v>GY 17 SPR 22018410</v>
      </c>
      <c r="B521">
        <v>2018</v>
      </c>
      <c r="C521">
        <v>4</v>
      </c>
      <c r="D521">
        <v>10</v>
      </c>
      <c r="E521" t="s">
        <v>99</v>
      </c>
      <c r="F521" t="s">
        <v>84</v>
      </c>
      <c r="G521" t="s">
        <v>29</v>
      </c>
      <c r="H521" t="s">
        <v>5</v>
      </c>
      <c r="I521" t="s">
        <v>182</v>
      </c>
      <c r="J521">
        <v>23</v>
      </c>
    </row>
    <row r="522" spans="1:10" x14ac:dyDescent="0.25">
      <c r="A522" t="str">
        <f>I522&amp;B522&amp;C522&amp;D522</f>
        <v>GY 17 SPR TRANS2018410</v>
      </c>
      <c r="B522">
        <v>2018</v>
      </c>
      <c r="C522">
        <v>4</v>
      </c>
      <c r="D522">
        <v>10</v>
      </c>
      <c r="E522" t="s">
        <v>99</v>
      </c>
      <c r="F522" t="s">
        <v>84</v>
      </c>
      <c r="G522" t="s">
        <v>29</v>
      </c>
      <c r="H522" t="s">
        <v>8</v>
      </c>
      <c r="I522" t="s">
        <v>403</v>
      </c>
      <c r="J522">
        <v>1299</v>
      </c>
    </row>
    <row r="523" spans="1:10" x14ac:dyDescent="0.25">
      <c r="A523" t="str">
        <f>I523&amp;B523&amp;C523&amp;D523</f>
        <v>GY 17 SPR VAC2018410</v>
      </c>
      <c r="B523">
        <v>2018</v>
      </c>
      <c r="C523">
        <v>4</v>
      </c>
      <c r="D523">
        <v>10</v>
      </c>
      <c r="E523" t="s">
        <v>99</v>
      </c>
      <c r="F523" t="s">
        <v>84</v>
      </c>
      <c r="G523" t="s">
        <v>29</v>
      </c>
      <c r="H523" t="s">
        <v>5</v>
      </c>
      <c r="I523" t="s">
        <v>188</v>
      </c>
      <c r="J523">
        <v>140</v>
      </c>
    </row>
    <row r="524" spans="1:10" x14ac:dyDescent="0.25">
      <c r="A524" t="str">
        <f>I524&amp;B524&amp;C524&amp;D524</f>
        <v>GY 17 SPRING BASICS2018410</v>
      </c>
      <c r="B524">
        <v>2018</v>
      </c>
      <c r="C524">
        <v>4</v>
      </c>
      <c r="D524">
        <v>10</v>
      </c>
      <c r="E524" t="s">
        <v>99</v>
      </c>
      <c r="F524" t="s">
        <v>84</v>
      </c>
      <c r="G524" t="s">
        <v>29</v>
      </c>
      <c r="H524" t="s">
        <v>10</v>
      </c>
      <c r="I524" t="s">
        <v>174</v>
      </c>
      <c r="J524">
        <v>416</v>
      </c>
    </row>
    <row r="525" spans="1:10" x14ac:dyDescent="0.25">
      <c r="A525" t="str">
        <f>I525&amp;B525&amp;C525&amp;D525</f>
        <v>GY 17 SUM 12018410</v>
      </c>
      <c r="B525">
        <v>2018</v>
      </c>
      <c r="C525">
        <v>4</v>
      </c>
      <c r="D525">
        <v>10</v>
      </c>
      <c r="E525" t="s">
        <v>99</v>
      </c>
      <c r="F525" t="s">
        <v>84</v>
      </c>
      <c r="G525" t="s">
        <v>29</v>
      </c>
      <c r="H525" t="s">
        <v>5</v>
      </c>
      <c r="I525" t="s">
        <v>190</v>
      </c>
      <c r="J525">
        <v>283</v>
      </c>
    </row>
    <row r="526" spans="1:10" x14ac:dyDescent="0.25">
      <c r="A526" t="str">
        <f>I526&amp;B526&amp;C526&amp;D526</f>
        <v>GY 17 SWIM 12018410</v>
      </c>
      <c r="B526">
        <v>2018</v>
      </c>
      <c r="C526">
        <v>4</v>
      </c>
      <c r="D526">
        <v>10</v>
      </c>
      <c r="E526" t="s">
        <v>99</v>
      </c>
      <c r="F526" t="s">
        <v>84</v>
      </c>
      <c r="G526" t="s">
        <v>29</v>
      </c>
      <c r="H526" t="s">
        <v>5</v>
      </c>
      <c r="I526" t="s">
        <v>184</v>
      </c>
      <c r="J526">
        <v>63</v>
      </c>
    </row>
    <row r="527" spans="1:10" x14ac:dyDescent="0.25">
      <c r="A527" t="str">
        <f>I527&amp;B527&amp;C527&amp;D527</f>
        <v>GY 17 SWIM 22018410</v>
      </c>
      <c r="B527">
        <v>2018</v>
      </c>
      <c r="C527">
        <v>4</v>
      </c>
      <c r="D527">
        <v>10</v>
      </c>
      <c r="E527" t="s">
        <v>99</v>
      </c>
      <c r="F527" t="s">
        <v>84</v>
      </c>
      <c r="G527" t="s">
        <v>29</v>
      </c>
      <c r="H527" t="s">
        <v>5</v>
      </c>
      <c r="I527" t="s">
        <v>192</v>
      </c>
      <c r="J527">
        <v>83</v>
      </c>
    </row>
    <row r="528" spans="1:10" x14ac:dyDescent="0.25">
      <c r="A528" t="str">
        <f>I528&amp;B528&amp;C528&amp;D528</f>
        <v>GY 17 SWIM 32018410</v>
      </c>
      <c r="B528">
        <v>2018</v>
      </c>
      <c r="C528">
        <v>4</v>
      </c>
      <c r="D528">
        <v>10</v>
      </c>
      <c r="E528" t="s">
        <v>99</v>
      </c>
      <c r="F528" t="s">
        <v>84</v>
      </c>
      <c r="G528" t="s">
        <v>29</v>
      </c>
      <c r="H528" t="s">
        <v>6</v>
      </c>
      <c r="I528" t="s">
        <v>198</v>
      </c>
      <c r="J528">
        <v>16</v>
      </c>
    </row>
    <row r="529" spans="1:10" x14ac:dyDescent="0.25">
      <c r="A529" t="str">
        <f>I529&amp;B529&amp;C529&amp;D529</f>
        <v>GY 17 TRANS2018410</v>
      </c>
      <c r="B529">
        <v>2018</v>
      </c>
      <c r="C529">
        <v>4</v>
      </c>
      <c r="D529">
        <v>10</v>
      </c>
      <c r="E529" t="s">
        <v>99</v>
      </c>
      <c r="F529" t="s">
        <v>84</v>
      </c>
      <c r="G529" t="s">
        <v>29</v>
      </c>
      <c r="H529" t="s">
        <v>6</v>
      </c>
      <c r="I529" t="s">
        <v>202</v>
      </c>
      <c r="J529">
        <v>436</v>
      </c>
    </row>
    <row r="530" spans="1:10" x14ac:dyDescent="0.25">
      <c r="A530" t="str">
        <f>I530&amp;B530&amp;C530&amp;D530</f>
        <v>GY 17 WINTER 12018410</v>
      </c>
      <c r="B530">
        <v>2018</v>
      </c>
      <c r="C530">
        <v>4</v>
      </c>
      <c r="D530">
        <v>10</v>
      </c>
      <c r="E530" t="s">
        <v>99</v>
      </c>
      <c r="F530" t="s">
        <v>84</v>
      </c>
      <c r="G530" t="s">
        <v>29</v>
      </c>
      <c r="H530" t="s">
        <v>8</v>
      </c>
      <c r="I530" t="s">
        <v>408</v>
      </c>
      <c r="J530">
        <v>957</v>
      </c>
    </row>
    <row r="531" spans="1:10" x14ac:dyDescent="0.25">
      <c r="A531" t="str">
        <f>I531&amp;B531&amp;C531&amp;D531</f>
        <v>GY 17 WINTER 22018410</v>
      </c>
      <c r="B531">
        <v>2018</v>
      </c>
      <c r="C531">
        <v>4</v>
      </c>
      <c r="D531">
        <v>10</v>
      </c>
      <c r="E531" t="s">
        <v>99</v>
      </c>
      <c r="F531" t="s">
        <v>84</v>
      </c>
      <c r="G531" t="s">
        <v>29</v>
      </c>
      <c r="H531" t="s">
        <v>8</v>
      </c>
      <c r="I531" t="s">
        <v>409</v>
      </c>
      <c r="J531">
        <v>1044</v>
      </c>
    </row>
    <row r="532" spans="1:10" x14ac:dyDescent="0.25">
      <c r="A532" t="str">
        <f>I532&amp;B532&amp;C532&amp;D532</f>
        <v>GY 17 WINTER 32018410</v>
      </c>
      <c r="B532">
        <v>2018</v>
      </c>
      <c r="C532">
        <v>4</v>
      </c>
      <c r="D532">
        <v>10</v>
      </c>
      <c r="E532" t="s">
        <v>99</v>
      </c>
      <c r="F532" t="s">
        <v>84</v>
      </c>
      <c r="G532" t="s">
        <v>29</v>
      </c>
      <c r="H532" t="s">
        <v>8</v>
      </c>
      <c r="I532" t="s">
        <v>410</v>
      </c>
      <c r="J532">
        <v>2655</v>
      </c>
    </row>
    <row r="533" spans="1:10" x14ac:dyDescent="0.25">
      <c r="A533" t="str">
        <f>I533&amp;B533&amp;C533&amp;D533</f>
        <v>GY 18 BTS2018410</v>
      </c>
      <c r="B533">
        <v>2018</v>
      </c>
      <c r="C533">
        <v>4</v>
      </c>
      <c r="D533">
        <v>10</v>
      </c>
      <c r="E533" t="s">
        <v>99</v>
      </c>
      <c r="F533" t="s">
        <v>84</v>
      </c>
      <c r="G533" t="s">
        <v>29</v>
      </c>
      <c r="H533" t="s">
        <v>54</v>
      </c>
      <c r="I533" t="s">
        <v>428</v>
      </c>
      <c r="J533">
        <v>359832</v>
      </c>
    </row>
    <row r="534" spans="1:10" x14ac:dyDescent="0.25">
      <c r="A534" t="str">
        <f>I534&amp;B534&amp;C534&amp;D534</f>
        <v>GY 18 DRESSY2018410</v>
      </c>
      <c r="B534">
        <v>2018</v>
      </c>
      <c r="C534">
        <v>4</v>
      </c>
      <c r="D534">
        <v>10</v>
      </c>
      <c r="E534" t="s">
        <v>99</v>
      </c>
      <c r="F534" t="s">
        <v>84</v>
      </c>
      <c r="G534" t="s">
        <v>29</v>
      </c>
      <c r="H534" t="s">
        <v>5</v>
      </c>
      <c r="I534" t="s">
        <v>185</v>
      </c>
      <c r="J534">
        <v>0</v>
      </c>
    </row>
    <row r="535" spans="1:10" x14ac:dyDescent="0.25">
      <c r="A535" t="str">
        <f>I535&amp;B535&amp;C535&amp;D535</f>
        <v>GY 18 FAL2018410</v>
      </c>
      <c r="B535">
        <v>2018</v>
      </c>
      <c r="C535">
        <v>4</v>
      </c>
      <c r="D535">
        <v>10</v>
      </c>
      <c r="E535" t="s">
        <v>99</v>
      </c>
      <c r="F535" t="s">
        <v>84</v>
      </c>
      <c r="G535" t="s">
        <v>29</v>
      </c>
      <c r="H535" t="s">
        <v>54</v>
      </c>
      <c r="I535" t="s">
        <v>427</v>
      </c>
      <c r="J535">
        <v>109703</v>
      </c>
    </row>
    <row r="536" spans="1:10" x14ac:dyDescent="0.25">
      <c r="A536" t="str">
        <f>I536&amp;B536&amp;C536&amp;D536</f>
        <v>GY 18 FALL 12018410</v>
      </c>
      <c r="B536">
        <v>2018</v>
      </c>
      <c r="C536">
        <v>4</v>
      </c>
      <c r="D536">
        <v>10</v>
      </c>
      <c r="E536" t="s">
        <v>99</v>
      </c>
      <c r="F536" t="s">
        <v>84</v>
      </c>
      <c r="G536" t="s">
        <v>29</v>
      </c>
      <c r="H536" t="s">
        <v>54</v>
      </c>
      <c r="I536" t="s">
        <v>429</v>
      </c>
      <c r="J536">
        <v>101541</v>
      </c>
    </row>
    <row r="537" spans="1:10" x14ac:dyDescent="0.25">
      <c r="A537" t="str">
        <f>I537&amp;B537&amp;C537&amp;D537</f>
        <v>GY 18 FALL 22018410</v>
      </c>
      <c r="B537">
        <v>2018</v>
      </c>
      <c r="C537">
        <v>4</v>
      </c>
      <c r="D537">
        <v>10</v>
      </c>
      <c r="E537" t="s">
        <v>99</v>
      </c>
      <c r="F537" t="s">
        <v>84</v>
      </c>
      <c r="G537" t="s">
        <v>29</v>
      </c>
      <c r="H537" t="s">
        <v>54</v>
      </c>
      <c r="I537" t="s">
        <v>430</v>
      </c>
      <c r="J537">
        <v>0</v>
      </c>
    </row>
    <row r="538" spans="1:10" x14ac:dyDescent="0.25">
      <c r="A538" t="str">
        <f>I538&amp;B538&amp;C538&amp;D538</f>
        <v>GY 18 FALL BASICS2018410</v>
      </c>
      <c r="B538">
        <v>2018</v>
      </c>
      <c r="C538">
        <v>4</v>
      </c>
      <c r="D538">
        <v>10</v>
      </c>
      <c r="E538" t="s">
        <v>99</v>
      </c>
      <c r="F538" t="s">
        <v>84</v>
      </c>
      <c r="G538" t="s">
        <v>29</v>
      </c>
      <c r="H538" t="s">
        <v>10</v>
      </c>
      <c r="I538" t="s">
        <v>175</v>
      </c>
      <c r="J538">
        <v>390521</v>
      </c>
    </row>
    <row r="539" spans="1:10" x14ac:dyDescent="0.25">
      <c r="A539" t="str">
        <f>I539&amp;B539&amp;C539&amp;D539</f>
        <v>GY 18 SM22018410</v>
      </c>
      <c r="B539">
        <v>2018</v>
      </c>
      <c r="C539">
        <v>4</v>
      </c>
      <c r="D539">
        <v>10</v>
      </c>
      <c r="E539" t="s">
        <v>99</v>
      </c>
      <c r="F539" t="s">
        <v>84</v>
      </c>
      <c r="G539" t="s">
        <v>29</v>
      </c>
      <c r="H539" t="s">
        <v>6</v>
      </c>
      <c r="I539" t="s">
        <v>193</v>
      </c>
      <c r="J539">
        <v>1457</v>
      </c>
    </row>
    <row r="540" spans="1:10" x14ac:dyDescent="0.25">
      <c r="A540" t="str">
        <f>I540&amp;B540&amp;C540&amp;D540</f>
        <v>GY 18 SM32018410</v>
      </c>
      <c r="B540">
        <v>2018</v>
      </c>
      <c r="C540">
        <v>4</v>
      </c>
      <c r="D540">
        <v>10</v>
      </c>
      <c r="E540" t="s">
        <v>99</v>
      </c>
      <c r="F540" t="s">
        <v>84</v>
      </c>
      <c r="G540" t="s">
        <v>29</v>
      </c>
      <c r="H540" t="s">
        <v>6</v>
      </c>
      <c r="I540" t="s">
        <v>195</v>
      </c>
      <c r="J540">
        <v>20139</v>
      </c>
    </row>
    <row r="541" spans="1:10" x14ac:dyDescent="0.25">
      <c r="A541" t="str">
        <f>I541&amp;B541&amp;C541&amp;D541</f>
        <v>GY 18 SM42018410</v>
      </c>
      <c r="B541">
        <v>2018</v>
      </c>
      <c r="C541">
        <v>4</v>
      </c>
      <c r="D541">
        <v>10</v>
      </c>
      <c r="E541" t="s">
        <v>99</v>
      </c>
      <c r="F541" t="s">
        <v>84</v>
      </c>
      <c r="G541" t="s">
        <v>29</v>
      </c>
      <c r="H541" t="s">
        <v>6</v>
      </c>
      <c r="I541" t="s">
        <v>199</v>
      </c>
      <c r="J541">
        <v>122360</v>
      </c>
    </row>
    <row r="542" spans="1:10" x14ac:dyDescent="0.25">
      <c r="A542" t="str">
        <f>I542&amp;B542&amp;C542&amp;D542</f>
        <v>GY 18 SM52018410</v>
      </c>
      <c r="B542">
        <v>2018</v>
      </c>
      <c r="C542">
        <v>4</v>
      </c>
      <c r="D542">
        <v>10</v>
      </c>
      <c r="E542" t="s">
        <v>99</v>
      </c>
      <c r="F542" t="s">
        <v>84</v>
      </c>
      <c r="G542" t="s">
        <v>29</v>
      </c>
      <c r="H542" t="s">
        <v>6</v>
      </c>
      <c r="I542" t="s">
        <v>201</v>
      </c>
      <c r="J542">
        <v>165999</v>
      </c>
    </row>
    <row r="543" spans="1:10" x14ac:dyDescent="0.25">
      <c r="A543" t="str">
        <f>I543&amp;B543&amp;C543&amp;D543</f>
        <v>GY 18 SMR2018410</v>
      </c>
      <c r="B543">
        <v>2018</v>
      </c>
      <c r="C543">
        <v>4</v>
      </c>
      <c r="D543">
        <v>10</v>
      </c>
      <c r="E543" t="s">
        <v>99</v>
      </c>
      <c r="F543" t="s">
        <v>84</v>
      </c>
      <c r="G543" t="s">
        <v>29</v>
      </c>
      <c r="H543" t="s">
        <v>6</v>
      </c>
      <c r="I543" t="s">
        <v>203</v>
      </c>
      <c r="J543">
        <v>59762</v>
      </c>
    </row>
    <row r="544" spans="1:10" x14ac:dyDescent="0.25">
      <c r="A544" t="str">
        <f>I544&amp;B544&amp;C544&amp;D544</f>
        <v>GY 18 SPR2018410</v>
      </c>
      <c r="B544">
        <v>2018</v>
      </c>
      <c r="C544">
        <v>4</v>
      </c>
      <c r="D544">
        <v>10</v>
      </c>
      <c r="E544" t="s">
        <v>99</v>
      </c>
      <c r="F544" t="s">
        <v>84</v>
      </c>
      <c r="G544" t="s">
        <v>29</v>
      </c>
      <c r="H544" t="s">
        <v>5</v>
      </c>
      <c r="I544" t="s">
        <v>177</v>
      </c>
      <c r="J544">
        <v>0</v>
      </c>
    </row>
    <row r="545" spans="1:10" x14ac:dyDescent="0.25">
      <c r="A545" t="str">
        <f>I545&amp;B545&amp;C545&amp;D545</f>
        <v>GY 18 SPR 12018410</v>
      </c>
      <c r="B545">
        <v>2018</v>
      </c>
      <c r="C545">
        <v>4</v>
      </c>
      <c r="D545">
        <v>10</v>
      </c>
      <c r="E545" t="s">
        <v>99</v>
      </c>
      <c r="F545" t="s">
        <v>84</v>
      </c>
      <c r="G545" t="s">
        <v>29</v>
      </c>
      <c r="H545" t="s">
        <v>5</v>
      </c>
      <c r="I545" t="s">
        <v>179</v>
      </c>
      <c r="J545">
        <v>0</v>
      </c>
    </row>
    <row r="546" spans="1:10" x14ac:dyDescent="0.25">
      <c r="A546" t="str">
        <f>I546&amp;B546&amp;C546&amp;D546</f>
        <v>GY 18 SPR 22018410</v>
      </c>
      <c r="B546">
        <v>2018</v>
      </c>
      <c r="C546">
        <v>4</v>
      </c>
      <c r="D546">
        <v>10</v>
      </c>
      <c r="E546" t="s">
        <v>99</v>
      </c>
      <c r="F546" t="s">
        <v>84</v>
      </c>
      <c r="G546" t="s">
        <v>29</v>
      </c>
      <c r="H546" t="s">
        <v>5</v>
      </c>
      <c r="I546" t="s">
        <v>181</v>
      </c>
      <c r="J546">
        <v>0</v>
      </c>
    </row>
    <row r="547" spans="1:10" x14ac:dyDescent="0.25">
      <c r="A547" t="str">
        <f>I547&amp;B547&amp;C547&amp;D547</f>
        <v>GY 18 SPR VACA2018410</v>
      </c>
      <c r="B547">
        <v>2018</v>
      </c>
      <c r="C547">
        <v>4</v>
      </c>
      <c r="D547">
        <v>10</v>
      </c>
      <c r="E547" t="s">
        <v>99</v>
      </c>
      <c r="F547" t="s">
        <v>84</v>
      </c>
      <c r="G547" t="s">
        <v>29</v>
      </c>
      <c r="H547" t="s">
        <v>5</v>
      </c>
      <c r="I547" t="s">
        <v>187</v>
      </c>
      <c r="J547">
        <v>0</v>
      </c>
    </row>
    <row r="548" spans="1:10" x14ac:dyDescent="0.25">
      <c r="A548" t="str">
        <f>I548&amp;B548&amp;C548&amp;D548</f>
        <v>GY 18 SPRING BASICS2018410</v>
      </c>
      <c r="B548">
        <v>2018</v>
      </c>
      <c r="C548">
        <v>4</v>
      </c>
      <c r="D548">
        <v>10</v>
      </c>
      <c r="E548" t="s">
        <v>99</v>
      </c>
      <c r="F548" t="s">
        <v>84</v>
      </c>
      <c r="G548" t="s">
        <v>29</v>
      </c>
      <c r="H548" t="s">
        <v>10</v>
      </c>
      <c r="I548" t="s">
        <v>173</v>
      </c>
      <c r="J548">
        <v>103366</v>
      </c>
    </row>
    <row r="549" spans="1:10" x14ac:dyDescent="0.25">
      <c r="A549" t="str">
        <f>I549&amp;B549&amp;C549&amp;D549</f>
        <v>GY 18 SUM 12018410</v>
      </c>
      <c r="B549">
        <v>2018</v>
      </c>
      <c r="C549">
        <v>4</v>
      </c>
      <c r="D549">
        <v>10</v>
      </c>
      <c r="E549" t="s">
        <v>99</v>
      </c>
      <c r="F549" t="s">
        <v>84</v>
      </c>
      <c r="G549" t="s">
        <v>29</v>
      </c>
      <c r="H549" t="s">
        <v>5</v>
      </c>
      <c r="I549" t="s">
        <v>189</v>
      </c>
      <c r="J549">
        <v>-1</v>
      </c>
    </row>
    <row r="550" spans="1:10" x14ac:dyDescent="0.25">
      <c r="A550" t="str">
        <f>I550&amp;B550&amp;C550&amp;D550</f>
        <v>GY 18 SWIM 12018410</v>
      </c>
      <c r="B550">
        <v>2018</v>
      </c>
      <c r="C550">
        <v>4</v>
      </c>
      <c r="D550">
        <v>10</v>
      </c>
      <c r="E550" t="s">
        <v>99</v>
      </c>
      <c r="F550" t="s">
        <v>84</v>
      </c>
      <c r="G550" t="s">
        <v>29</v>
      </c>
      <c r="H550" t="s">
        <v>5</v>
      </c>
      <c r="I550" t="s">
        <v>183</v>
      </c>
      <c r="J550">
        <v>5030</v>
      </c>
    </row>
    <row r="551" spans="1:10" x14ac:dyDescent="0.25">
      <c r="A551" t="str">
        <f>I551&amp;B551&amp;C551&amp;D551</f>
        <v>GY 18 SWIM 22018410</v>
      </c>
      <c r="B551">
        <v>2018</v>
      </c>
      <c r="C551">
        <v>4</v>
      </c>
      <c r="D551">
        <v>10</v>
      </c>
      <c r="E551" t="s">
        <v>99</v>
      </c>
      <c r="F551" t="s">
        <v>84</v>
      </c>
      <c r="G551" t="s">
        <v>29</v>
      </c>
      <c r="H551" t="s">
        <v>5</v>
      </c>
      <c r="I551" t="s">
        <v>191</v>
      </c>
      <c r="J551">
        <v>44922</v>
      </c>
    </row>
    <row r="552" spans="1:10" x14ac:dyDescent="0.25">
      <c r="A552" t="str">
        <f>I552&amp;B552&amp;C552&amp;D552</f>
        <v>GY 18 SWIM 32018410</v>
      </c>
      <c r="B552">
        <v>2018</v>
      </c>
      <c r="C552">
        <v>4</v>
      </c>
      <c r="D552">
        <v>10</v>
      </c>
      <c r="E552" t="s">
        <v>99</v>
      </c>
      <c r="F552" t="s">
        <v>84</v>
      </c>
      <c r="G552" t="s">
        <v>29</v>
      </c>
      <c r="H552" t="s">
        <v>6</v>
      </c>
      <c r="I552" t="s">
        <v>197</v>
      </c>
      <c r="J552">
        <v>5416</v>
      </c>
    </row>
    <row r="553" spans="1:10" x14ac:dyDescent="0.25">
      <c r="A553" t="str">
        <f>I553&amp;B553&amp;C553&amp;D553</f>
        <v>GY 18 VDAY2018410</v>
      </c>
      <c r="B553">
        <v>2018</v>
      </c>
      <c r="C553">
        <v>4</v>
      </c>
      <c r="D553">
        <v>10</v>
      </c>
      <c r="E553" t="s">
        <v>99</v>
      </c>
      <c r="F553" t="s">
        <v>84</v>
      </c>
      <c r="G553" t="s">
        <v>29</v>
      </c>
      <c r="H553" t="s">
        <v>8</v>
      </c>
      <c r="I553" t="s">
        <v>396</v>
      </c>
      <c r="J553">
        <v>6384</v>
      </c>
    </row>
    <row r="554" spans="1:10" x14ac:dyDescent="0.25">
      <c r="A554" t="str">
        <f>I554&amp;B554&amp;C554&amp;D554</f>
        <v>GY YRLY BASICS2018410</v>
      </c>
      <c r="B554">
        <v>2018</v>
      </c>
      <c r="C554">
        <v>4</v>
      </c>
      <c r="D554">
        <v>10</v>
      </c>
      <c r="E554" t="s">
        <v>99</v>
      </c>
      <c r="F554" t="s">
        <v>84</v>
      </c>
      <c r="G554" t="s">
        <v>29</v>
      </c>
      <c r="H554" t="s">
        <v>10</v>
      </c>
      <c r="I554" t="s">
        <v>349</v>
      </c>
      <c r="J554">
        <v>741370</v>
      </c>
    </row>
    <row r="555" spans="1:10" x14ac:dyDescent="0.25">
      <c r="A555" t="str">
        <f>I555&amp;B555&amp;C555&amp;D555</f>
        <v>GY YRLY DENIM2018410</v>
      </c>
      <c r="B555">
        <v>2018</v>
      </c>
      <c r="C555">
        <v>4</v>
      </c>
      <c r="D555">
        <v>10</v>
      </c>
      <c r="E555" t="s">
        <v>99</v>
      </c>
      <c r="F555" t="s">
        <v>84</v>
      </c>
      <c r="G555" t="s">
        <v>29</v>
      </c>
      <c r="H555" t="s">
        <v>10</v>
      </c>
      <c r="I555" t="s">
        <v>350</v>
      </c>
      <c r="J555">
        <v>359811</v>
      </c>
    </row>
    <row r="556" spans="1:10" x14ac:dyDescent="0.25">
      <c r="A556" t="str">
        <f>I556&amp;B556&amp;C556&amp;D556</f>
        <v>GY YRLY UNIFORM2018410</v>
      </c>
      <c r="B556">
        <v>2018</v>
      </c>
      <c r="C556">
        <v>4</v>
      </c>
      <c r="D556">
        <v>10</v>
      </c>
      <c r="E556" t="s">
        <v>99</v>
      </c>
      <c r="F556" t="s">
        <v>84</v>
      </c>
      <c r="G556" t="s">
        <v>29</v>
      </c>
      <c r="H556" t="s">
        <v>10</v>
      </c>
      <c r="I556" t="s">
        <v>351</v>
      </c>
      <c r="J556">
        <v>34421</v>
      </c>
    </row>
    <row r="557" spans="1:10" x14ac:dyDescent="0.25">
      <c r="A557" t="str">
        <f>I557&amp;B557&amp;C557&amp;D557</f>
        <v>Old2018410</v>
      </c>
      <c r="B557">
        <v>2018</v>
      </c>
      <c r="C557">
        <v>4</v>
      </c>
      <c r="D557">
        <v>10</v>
      </c>
      <c r="E557" t="s">
        <v>99</v>
      </c>
      <c r="F557" t="s">
        <v>84</v>
      </c>
      <c r="G557" t="s">
        <v>29</v>
      </c>
      <c r="H557" t="s">
        <v>434</v>
      </c>
      <c r="I557" t="s">
        <v>434</v>
      </c>
      <c r="J557">
        <v>13306</v>
      </c>
    </row>
    <row r="558" spans="1:10" x14ac:dyDescent="0.25">
      <c r="A558" t="str">
        <f>I558&amp;B558&amp;C558&amp;D558</f>
        <v>Winter 172018410</v>
      </c>
      <c r="B558">
        <v>2018</v>
      </c>
      <c r="C558">
        <v>4</v>
      </c>
      <c r="D558">
        <v>10</v>
      </c>
      <c r="E558" t="s">
        <v>99</v>
      </c>
      <c r="F558" t="s">
        <v>84</v>
      </c>
      <c r="G558" t="s">
        <v>29</v>
      </c>
      <c r="H558" t="s">
        <v>435</v>
      </c>
      <c r="I558" t="s">
        <v>435</v>
      </c>
      <c r="J558">
        <v>13481</v>
      </c>
    </row>
    <row r="559" spans="1:10" x14ac:dyDescent="0.25">
      <c r="A559" t="str">
        <f>I559&amp;B559&amp;C559&amp;D559</f>
        <v>GY 17 BTS2018411</v>
      </c>
      <c r="B559">
        <v>2018</v>
      </c>
      <c r="C559">
        <v>4</v>
      </c>
      <c r="D559">
        <v>11</v>
      </c>
      <c r="E559" t="s">
        <v>99</v>
      </c>
      <c r="F559" t="s">
        <v>84</v>
      </c>
      <c r="G559" t="s">
        <v>29</v>
      </c>
      <c r="H559" t="s">
        <v>54</v>
      </c>
      <c r="I559" t="s">
        <v>397</v>
      </c>
      <c r="J559">
        <v>901</v>
      </c>
    </row>
    <row r="560" spans="1:10" x14ac:dyDescent="0.25">
      <c r="A560" t="str">
        <f>I560&amp;B560&amp;C560&amp;D560</f>
        <v>GY 17 CAP2018411</v>
      </c>
      <c r="B560">
        <v>2018</v>
      </c>
      <c r="C560">
        <v>4</v>
      </c>
      <c r="D560">
        <v>11</v>
      </c>
      <c r="E560" t="s">
        <v>99</v>
      </c>
      <c r="F560" t="s">
        <v>84</v>
      </c>
      <c r="G560" t="s">
        <v>29</v>
      </c>
      <c r="H560" t="s">
        <v>6</v>
      </c>
      <c r="I560" t="s">
        <v>404</v>
      </c>
      <c r="J560">
        <v>36</v>
      </c>
    </row>
    <row r="561" spans="1:10" x14ac:dyDescent="0.25">
      <c r="A561" t="str">
        <f>I561&amp;B561&amp;C561&amp;D561</f>
        <v>GY 17 DRSY CAP2018411</v>
      </c>
      <c r="B561">
        <v>2018</v>
      </c>
      <c r="C561">
        <v>4</v>
      </c>
      <c r="D561">
        <v>11</v>
      </c>
      <c r="E561" t="s">
        <v>99</v>
      </c>
      <c r="F561" t="s">
        <v>84</v>
      </c>
      <c r="G561" t="s">
        <v>29</v>
      </c>
      <c r="H561" t="s">
        <v>5</v>
      </c>
      <c r="I561" t="s">
        <v>186</v>
      </c>
      <c r="J561">
        <v>190</v>
      </c>
    </row>
    <row r="562" spans="1:10" x14ac:dyDescent="0.25">
      <c r="A562" t="str">
        <f>I562&amp;B562&amp;C562&amp;D562</f>
        <v>GY 17 FAL2018411</v>
      </c>
      <c r="B562">
        <v>2018</v>
      </c>
      <c r="C562">
        <v>4</v>
      </c>
      <c r="D562">
        <v>11</v>
      </c>
      <c r="E562" t="s">
        <v>99</v>
      </c>
      <c r="F562" t="s">
        <v>84</v>
      </c>
      <c r="G562" t="s">
        <v>29</v>
      </c>
      <c r="H562" t="s">
        <v>54</v>
      </c>
      <c r="I562" t="s">
        <v>398</v>
      </c>
      <c r="J562">
        <v>1054</v>
      </c>
    </row>
    <row r="563" spans="1:10" x14ac:dyDescent="0.25">
      <c r="A563" t="str">
        <f>I563&amp;B563&amp;C563&amp;D563</f>
        <v>GY 17 FALL 12018411</v>
      </c>
      <c r="B563">
        <v>2018</v>
      </c>
      <c r="C563">
        <v>4</v>
      </c>
      <c r="D563">
        <v>11</v>
      </c>
      <c r="E563" t="s">
        <v>99</v>
      </c>
      <c r="F563" t="s">
        <v>84</v>
      </c>
      <c r="G563" t="s">
        <v>29</v>
      </c>
      <c r="H563" t="s">
        <v>54</v>
      </c>
      <c r="I563" t="s">
        <v>399</v>
      </c>
      <c r="J563">
        <v>1467</v>
      </c>
    </row>
    <row r="564" spans="1:10" x14ac:dyDescent="0.25">
      <c r="A564" t="str">
        <f>I564&amp;B564&amp;C564&amp;D564</f>
        <v>GY 17 FALL 22018411</v>
      </c>
      <c r="B564">
        <v>2018</v>
      </c>
      <c r="C564">
        <v>4</v>
      </c>
      <c r="D564">
        <v>11</v>
      </c>
      <c r="E564" t="s">
        <v>99</v>
      </c>
      <c r="F564" t="s">
        <v>84</v>
      </c>
      <c r="G564" t="s">
        <v>29</v>
      </c>
      <c r="H564" t="s">
        <v>54</v>
      </c>
      <c r="I564" t="s">
        <v>400</v>
      </c>
      <c r="J564">
        <v>1621</v>
      </c>
    </row>
    <row r="565" spans="1:10" x14ac:dyDescent="0.25">
      <c r="A565" t="str">
        <f>I565&amp;B565&amp;C565&amp;D565</f>
        <v>GY 17 FALL 32018411</v>
      </c>
      <c r="B565">
        <v>2018</v>
      </c>
      <c r="C565">
        <v>4</v>
      </c>
      <c r="D565">
        <v>11</v>
      </c>
      <c r="E565" t="s">
        <v>99</v>
      </c>
      <c r="F565" t="s">
        <v>84</v>
      </c>
      <c r="G565" t="s">
        <v>29</v>
      </c>
      <c r="H565" t="s">
        <v>54</v>
      </c>
      <c r="I565" t="s">
        <v>401</v>
      </c>
      <c r="J565">
        <v>2711</v>
      </c>
    </row>
    <row r="566" spans="1:10" x14ac:dyDescent="0.25">
      <c r="A566" t="str">
        <f>I566&amp;B566&amp;C566&amp;D566</f>
        <v>GY 17 FALL 42018411</v>
      </c>
      <c r="B566">
        <v>2018</v>
      </c>
      <c r="C566">
        <v>4</v>
      </c>
      <c r="D566">
        <v>11</v>
      </c>
      <c r="E566" t="s">
        <v>99</v>
      </c>
      <c r="F566" t="s">
        <v>84</v>
      </c>
      <c r="G566" t="s">
        <v>29</v>
      </c>
      <c r="H566" t="s">
        <v>54</v>
      </c>
      <c r="I566" t="s">
        <v>402</v>
      </c>
      <c r="J566">
        <v>1370</v>
      </c>
    </row>
    <row r="567" spans="1:10" x14ac:dyDescent="0.25">
      <c r="A567" t="str">
        <f>I567&amp;B567&amp;C567&amp;D567</f>
        <v>GY 17 FALL BASICS2018411</v>
      </c>
      <c r="B567">
        <v>2018</v>
      </c>
      <c r="C567">
        <v>4</v>
      </c>
      <c r="D567">
        <v>11</v>
      </c>
      <c r="E567" t="s">
        <v>99</v>
      </c>
      <c r="F567" t="s">
        <v>84</v>
      </c>
      <c r="G567" t="s">
        <v>29</v>
      </c>
      <c r="H567" t="s">
        <v>10</v>
      </c>
      <c r="I567" t="s">
        <v>176</v>
      </c>
      <c r="J567">
        <v>1198</v>
      </c>
    </row>
    <row r="568" spans="1:10" x14ac:dyDescent="0.25">
      <c r="A568" t="str">
        <f>I568&amp;B568&amp;C568&amp;D568</f>
        <v>GY 17 HO HO SHOP2018411</v>
      </c>
      <c r="B568">
        <v>2018</v>
      </c>
      <c r="C568">
        <v>4</v>
      </c>
      <c r="D568">
        <v>11</v>
      </c>
      <c r="E568" t="s">
        <v>99</v>
      </c>
      <c r="F568" t="s">
        <v>84</v>
      </c>
      <c r="G568" t="s">
        <v>29</v>
      </c>
      <c r="H568" t="s">
        <v>54</v>
      </c>
      <c r="I568" t="s">
        <v>405</v>
      </c>
      <c r="J568">
        <v>1569</v>
      </c>
    </row>
    <row r="569" spans="1:10" x14ac:dyDescent="0.25">
      <c r="A569" t="str">
        <f>I569&amp;B569&amp;C569&amp;D569</f>
        <v>GY 17 HOL2018411</v>
      </c>
      <c r="B569">
        <v>2018</v>
      </c>
      <c r="C569">
        <v>4</v>
      </c>
      <c r="D569">
        <v>11</v>
      </c>
      <c r="E569" t="s">
        <v>99</v>
      </c>
      <c r="F569" t="s">
        <v>84</v>
      </c>
      <c r="G569" t="s">
        <v>29</v>
      </c>
      <c r="H569" t="s">
        <v>8</v>
      </c>
      <c r="I569" t="s">
        <v>406</v>
      </c>
      <c r="J569">
        <v>1075</v>
      </c>
    </row>
    <row r="570" spans="1:10" x14ac:dyDescent="0.25">
      <c r="A570" t="str">
        <f>I570&amp;B570&amp;C570&amp;D570</f>
        <v>GY 17 JAN CAP2018411</v>
      </c>
      <c r="B570">
        <v>2018</v>
      </c>
      <c r="C570">
        <v>4</v>
      </c>
      <c r="D570">
        <v>11</v>
      </c>
      <c r="E570" t="s">
        <v>99</v>
      </c>
      <c r="F570" t="s">
        <v>84</v>
      </c>
      <c r="G570" t="s">
        <v>29</v>
      </c>
      <c r="H570" t="s">
        <v>8</v>
      </c>
      <c r="I570" t="s">
        <v>407</v>
      </c>
      <c r="J570">
        <v>57</v>
      </c>
    </row>
    <row r="571" spans="1:10" x14ac:dyDescent="0.25">
      <c r="A571" t="str">
        <f>I571&amp;B571&amp;C571&amp;D571</f>
        <v>GY 17 SM22018411</v>
      </c>
      <c r="B571">
        <v>2018</v>
      </c>
      <c r="C571">
        <v>4</v>
      </c>
      <c r="D571">
        <v>11</v>
      </c>
      <c r="E571" t="s">
        <v>99</v>
      </c>
      <c r="F571" t="s">
        <v>84</v>
      </c>
      <c r="G571" t="s">
        <v>29</v>
      </c>
      <c r="H571" t="s">
        <v>6</v>
      </c>
      <c r="I571" t="s">
        <v>194</v>
      </c>
      <c r="J571">
        <v>19</v>
      </c>
    </row>
    <row r="572" spans="1:10" x14ac:dyDescent="0.25">
      <c r="A572" t="str">
        <f>I572&amp;B572&amp;C572&amp;D572</f>
        <v>GY 17 SM32018411</v>
      </c>
      <c r="B572">
        <v>2018</v>
      </c>
      <c r="C572">
        <v>4</v>
      </c>
      <c r="D572">
        <v>11</v>
      </c>
      <c r="E572" t="s">
        <v>99</v>
      </c>
      <c r="F572" t="s">
        <v>84</v>
      </c>
      <c r="G572" t="s">
        <v>29</v>
      </c>
      <c r="H572" t="s">
        <v>6</v>
      </c>
      <c r="I572" t="s">
        <v>196</v>
      </c>
      <c r="J572">
        <v>178</v>
      </c>
    </row>
    <row r="573" spans="1:10" x14ac:dyDescent="0.25">
      <c r="A573" t="str">
        <f>I573&amp;B573&amp;C573&amp;D573</f>
        <v>GY 17 SM42018411</v>
      </c>
      <c r="B573">
        <v>2018</v>
      </c>
      <c r="C573">
        <v>4</v>
      </c>
      <c r="D573">
        <v>11</v>
      </c>
      <c r="E573" t="s">
        <v>99</v>
      </c>
      <c r="F573" t="s">
        <v>84</v>
      </c>
      <c r="G573" t="s">
        <v>29</v>
      </c>
      <c r="H573" t="s">
        <v>6</v>
      </c>
      <c r="I573" t="s">
        <v>200</v>
      </c>
      <c r="J573">
        <v>85</v>
      </c>
    </row>
    <row r="574" spans="1:10" x14ac:dyDescent="0.25">
      <c r="A574" t="str">
        <f>I574&amp;B574&amp;C574&amp;D574</f>
        <v>GY 17 SMR2018411</v>
      </c>
      <c r="B574">
        <v>2018</v>
      </c>
      <c r="C574">
        <v>4</v>
      </c>
      <c r="D574">
        <v>11</v>
      </c>
      <c r="E574" t="s">
        <v>99</v>
      </c>
      <c r="F574" t="s">
        <v>84</v>
      </c>
      <c r="G574" t="s">
        <v>29</v>
      </c>
      <c r="H574" t="s">
        <v>6</v>
      </c>
      <c r="I574" t="s">
        <v>204</v>
      </c>
      <c r="J574">
        <v>486</v>
      </c>
    </row>
    <row r="575" spans="1:10" x14ac:dyDescent="0.25">
      <c r="A575" t="str">
        <f>I575&amp;B575&amp;C575&amp;D575</f>
        <v>GY 17 SPR2018411</v>
      </c>
      <c r="B575">
        <v>2018</v>
      </c>
      <c r="C575">
        <v>4</v>
      </c>
      <c r="D575">
        <v>11</v>
      </c>
      <c r="E575" t="s">
        <v>99</v>
      </c>
      <c r="F575" t="s">
        <v>84</v>
      </c>
      <c r="G575" t="s">
        <v>29</v>
      </c>
      <c r="H575" t="s">
        <v>5</v>
      </c>
      <c r="I575" t="s">
        <v>178</v>
      </c>
      <c r="J575">
        <v>152</v>
      </c>
    </row>
    <row r="576" spans="1:10" x14ac:dyDescent="0.25">
      <c r="A576" t="str">
        <f>I576&amp;B576&amp;C576&amp;D576</f>
        <v>GY 17 SPR 12018411</v>
      </c>
      <c r="B576">
        <v>2018</v>
      </c>
      <c r="C576">
        <v>4</v>
      </c>
      <c r="D576">
        <v>11</v>
      </c>
      <c r="E576" t="s">
        <v>99</v>
      </c>
      <c r="F576" t="s">
        <v>84</v>
      </c>
      <c r="G576" t="s">
        <v>29</v>
      </c>
      <c r="H576" t="s">
        <v>5</v>
      </c>
      <c r="I576" t="s">
        <v>180</v>
      </c>
      <c r="J576">
        <v>103</v>
      </c>
    </row>
    <row r="577" spans="1:10" x14ac:dyDescent="0.25">
      <c r="A577" t="str">
        <f>I577&amp;B577&amp;C577&amp;D577</f>
        <v>GY 17 SPR 22018411</v>
      </c>
      <c r="B577">
        <v>2018</v>
      </c>
      <c r="C577">
        <v>4</v>
      </c>
      <c r="D577">
        <v>11</v>
      </c>
      <c r="E577" t="s">
        <v>99</v>
      </c>
      <c r="F577" t="s">
        <v>84</v>
      </c>
      <c r="G577" t="s">
        <v>29</v>
      </c>
      <c r="H577" t="s">
        <v>5</v>
      </c>
      <c r="I577" t="s">
        <v>182</v>
      </c>
      <c r="J577">
        <v>18</v>
      </c>
    </row>
    <row r="578" spans="1:10" x14ac:dyDescent="0.25">
      <c r="A578" t="str">
        <f>I578&amp;B578&amp;C578&amp;D578</f>
        <v>GY 17 SPR TRANS2018411</v>
      </c>
      <c r="B578">
        <v>2018</v>
      </c>
      <c r="C578">
        <v>4</v>
      </c>
      <c r="D578">
        <v>11</v>
      </c>
      <c r="E578" t="s">
        <v>99</v>
      </c>
      <c r="F578" t="s">
        <v>84</v>
      </c>
      <c r="G578" t="s">
        <v>29</v>
      </c>
      <c r="H578" t="s">
        <v>8</v>
      </c>
      <c r="I578" t="s">
        <v>403</v>
      </c>
      <c r="J578">
        <v>1049</v>
      </c>
    </row>
    <row r="579" spans="1:10" x14ac:dyDescent="0.25">
      <c r="A579" t="str">
        <f>I579&amp;B579&amp;C579&amp;D579</f>
        <v>GY 17 SPR VAC2018411</v>
      </c>
      <c r="B579">
        <v>2018</v>
      </c>
      <c r="C579">
        <v>4</v>
      </c>
      <c r="D579">
        <v>11</v>
      </c>
      <c r="E579" t="s">
        <v>99</v>
      </c>
      <c r="F579" t="s">
        <v>84</v>
      </c>
      <c r="G579" t="s">
        <v>29</v>
      </c>
      <c r="H579" t="s">
        <v>5</v>
      </c>
      <c r="I579" t="s">
        <v>188</v>
      </c>
      <c r="J579">
        <v>135</v>
      </c>
    </row>
    <row r="580" spans="1:10" x14ac:dyDescent="0.25">
      <c r="A580" t="str">
        <f>I580&amp;B580&amp;C580&amp;D580</f>
        <v>GY 17 SPRING BASICS2018411</v>
      </c>
      <c r="B580">
        <v>2018</v>
      </c>
      <c r="C580">
        <v>4</v>
      </c>
      <c r="D580">
        <v>11</v>
      </c>
      <c r="E580" t="s">
        <v>99</v>
      </c>
      <c r="F580" t="s">
        <v>84</v>
      </c>
      <c r="G580" t="s">
        <v>29</v>
      </c>
      <c r="H580" t="s">
        <v>10</v>
      </c>
      <c r="I580" t="s">
        <v>174</v>
      </c>
      <c r="J580">
        <v>411</v>
      </c>
    </row>
    <row r="581" spans="1:10" x14ac:dyDescent="0.25">
      <c r="A581" t="str">
        <f>I581&amp;B581&amp;C581&amp;D581</f>
        <v>GY 17 SUM 12018411</v>
      </c>
      <c r="B581">
        <v>2018</v>
      </c>
      <c r="C581">
        <v>4</v>
      </c>
      <c r="D581">
        <v>11</v>
      </c>
      <c r="E581" t="s">
        <v>99</v>
      </c>
      <c r="F581" t="s">
        <v>84</v>
      </c>
      <c r="G581" t="s">
        <v>29</v>
      </c>
      <c r="H581" t="s">
        <v>5</v>
      </c>
      <c r="I581" t="s">
        <v>190</v>
      </c>
      <c r="J581">
        <v>278</v>
      </c>
    </row>
    <row r="582" spans="1:10" x14ac:dyDescent="0.25">
      <c r="A582" t="str">
        <f>I582&amp;B582&amp;C582&amp;D582</f>
        <v>GY 17 SWIM 12018411</v>
      </c>
      <c r="B582">
        <v>2018</v>
      </c>
      <c r="C582">
        <v>4</v>
      </c>
      <c r="D582">
        <v>11</v>
      </c>
      <c r="E582" t="s">
        <v>99</v>
      </c>
      <c r="F582" t="s">
        <v>84</v>
      </c>
      <c r="G582" t="s">
        <v>29</v>
      </c>
      <c r="H582" t="s">
        <v>5</v>
      </c>
      <c r="I582" t="s">
        <v>184</v>
      </c>
      <c r="J582">
        <v>58</v>
      </c>
    </row>
    <row r="583" spans="1:10" x14ac:dyDescent="0.25">
      <c r="A583" t="str">
        <f>I583&amp;B583&amp;C583&amp;D583</f>
        <v>GY 17 SWIM 22018411</v>
      </c>
      <c r="B583">
        <v>2018</v>
      </c>
      <c r="C583">
        <v>4</v>
      </c>
      <c r="D583">
        <v>11</v>
      </c>
      <c r="E583" t="s">
        <v>99</v>
      </c>
      <c r="F583" t="s">
        <v>84</v>
      </c>
      <c r="G583" t="s">
        <v>29</v>
      </c>
      <c r="H583" t="s">
        <v>5</v>
      </c>
      <c r="I583" t="s">
        <v>192</v>
      </c>
      <c r="J583">
        <v>78</v>
      </c>
    </row>
    <row r="584" spans="1:10" x14ac:dyDescent="0.25">
      <c r="A584" t="str">
        <f>I584&amp;B584&amp;C584&amp;D584</f>
        <v>GY 17 SWIM 32018411</v>
      </c>
      <c r="B584">
        <v>2018</v>
      </c>
      <c r="C584">
        <v>4</v>
      </c>
      <c r="D584">
        <v>11</v>
      </c>
      <c r="E584" t="s">
        <v>99</v>
      </c>
      <c r="F584" t="s">
        <v>84</v>
      </c>
      <c r="G584" t="s">
        <v>29</v>
      </c>
      <c r="H584" t="s">
        <v>6</v>
      </c>
      <c r="I584" t="s">
        <v>198</v>
      </c>
      <c r="J584">
        <v>16</v>
      </c>
    </row>
    <row r="585" spans="1:10" x14ac:dyDescent="0.25">
      <c r="A585" t="str">
        <f>I585&amp;B585&amp;C585&amp;D585</f>
        <v>GY 17 TRANS2018411</v>
      </c>
      <c r="B585">
        <v>2018</v>
      </c>
      <c r="C585">
        <v>4</v>
      </c>
      <c r="D585">
        <v>11</v>
      </c>
      <c r="E585" t="s">
        <v>99</v>
      </c>
      <c r="F585" t="s">
        <v>84</v>
      </c>
      <c r="G585" t="s">
        <v>29</v>
      </c>
      <c r="H585" t="s">
        <v>6</v>
      </c>
      <c r="I585" t="s">
        <v>202</v>
      </c>
      <c r="J585">
        <v>431</v>
      </c>
    </row>
    <row r="586" spans="1:10" x14ac:dyDescent="0.25">
      <c r="A586" t="str">
        <f>I586&amp;B586&amp;C586&amp;D586</f>
        <v>GY 17 WINTER 12018411</v>
      </c>
      <c r="B586">
        <v>2018</v>
      </c>
      <c r="C586">
        <v>4</v>
      </c>
      <c r="D586">
        <v>11</v>
      </c>
      <c r="E586" t="s">
        <v>99</v>
      </c>
      <c r="F586" t="s">
        <v>84</v>
      </c>
      <c r="G586" t="s">
        <v>29</v>
      </c>
      <c r="H586" t="s">
        <v>8</v>
      </c>
      <c r="I586" t="s">
        <v>408</v>
      </c>
      <c r="J586">
        <v>952</v>
      </c>
    </row>
    <row r="587" spans="1:10" x14ac:dyDescent="0.25">
      <c r="A587" t="str">
        <f>I587&amp;B587&amp;C587&amp;D587</f>
        <v>GY 17 WINTER 22018411</v>
      </c>
      <c r="B587">
        <v>2018</v>
      </c>
      <c r="C587">
        <v>4</v>
      </c>
      <c r="D587">
        <v>11</v>
      </c>
      <c r="E587" t="s">
        <v>99</v>
      </c>
      <c r="F587" t="s">
        <v>84</v>
      </c>
      <c r="G587" t="s">
        <v>29</v>
      </c>
      <c r="H587" t="s">
        <v>8</v>
      </c>
      <c r="I587" t="s">
        <v>409</v>
      </c>
      <c r="J587">
        <v>1039</v>
      </c>
    </row>
    <row r="588" spans="1:10" x14ac:dyDescent="0.25">
      <c r="A588" t="str">
        <f>I588&amp;B588&amp;C588&amp;D588</f>
        <v>GY 17 WINTER 32018411</v>
      </c>
      <c r="B588">
        <v>2018</v>
      </c>
      <c r="C588">
        <v>4</v>
      </c>
      <c r="D588">
        <v>11</v>
      </c>
      <c r="E588" t="s">
        <v>99</v>
      </c>
      <c r="F588" t="s">
        <v>84</v>
      </c>
      <c r="G588" t="s">
        <v>29</v>
      </c>
      <c r="H588" t="s">
        <v>8</v>
      </c>
      <c r="I588" t="s">
        <v>410</v>
      </c>
      <c r="J588">
        <v>2650</v>
      </c>
    </row>
    <row r="589" spans="1:10" x14ac:dyDescent="0.25">
      <c r="A589" t="str">
        <f>I589&amp;B589&amp;C589&amp;D589</f>
        <v>GY 18 BTS2018411</v>
      </c>
      <c r="B589">
        <v>2018</v>
      </c>
      <c r="C589">
        <v>4</v>
      </c>
      <c r="D589">
        <v>11</v>
      </c>
      <c r="E589" t="s">
        <v>99</v>
      </c>
      <c r="F589" t="s">
        <v>84</v>
      </c>
      <c r="G589" t="s">
        <v>29</v>
      </c>
      <c r="H589" t="s">
        <v>54</v>
      </c>
      <c r="I589" t="s">
        <v>428</v>
      </c>
      <c r="J589">
        <v>328760</v>
      </c>
    </row>
    <row r="590" spans="1:10" x14ac:dyDescent="0.25">
      <c r="A590" t="str">
        <f>I590&amp;B590&amp;C590&amp;D590</f>
        <v>GY 18 DRESSY2018411</v>
      </c>
      <c r="B590">
        <v>2018</v>
      </c>
      <c r="C590">
        <v>4</v>
      </c>
      <c r="D590">
        <v>11</v>
      </c>
      <c r="E590" t="s">
        <v>99</v>
      </c>
      <c r="F590" t="s">
        <v>84</v>
      </c>
      <c r="G590" t="s">
        <v>29</v>
      </c>
      <c r="H590" t="s">
        <v>5</v>
      </c>
      <c r="I590" t="s">
        <v>185</v>
      </c>
      <c r="J590">
        <v>0</v>
      </c>
    </row>
    <row r="591" spans="1:10" x14ac:dyDescent="0.25">
      <c r="A591" t="str">
        <f>I591&amp;B591&amp;C591&amp;D591</f>
        <v>GY 18 FAL2018411</v>
      </c>
      <c r="B591">
        <v>2018</v>
      </c>
      <c r="C591">
        <v>4</v>
      </c>
      <c r="D591">
        <v>11</v>
      </c>
      <c r="E591" t="s">
        <v>99</v>
      </c>
      <c r="F591" t="s">
        <v>84</v>
      </c>
      <c r="G591" t="s">
        <v>29</v>
      </c>
      <c r="H591" t="s">
        <v>54</v>
      </c>
      <c r="I591" t="s">
        <v>427</v>
      </c>
      <c r="J591">
        <v>109703</v>
      </c>
    </row>
    <row r="592" spans="1:10" x14ac:dyDescent="0.25">
      <c r="A592" t="str">
        <f>I592&amp;B592&amp;C592&amp;D592</f>
        <v>GY 18 FALL 12018411</v>
      </c>
      <c r="B592">
        <v>2018</v>
      </c>
      <c r="C592">
        <v>4</v>
      </c>
      <c r="D592">
        <v>11</v>
      </c>
      <c r="E592" t="s">
        <v>99</v>
      </c>
      <c r="F592" t="s">
        <v>84</v>
      </c>
      <c r="G592" t="s">
        <v>29</v>
      </c>
      <c r="H592" t="s">
        <v>54</v>
      </c>
      <c r="I592" t="s">
        <v>429</v>
      </c>
      <c r="J592">
        <v>53382</v>
      </c>
    </row>
    <row r="593" spans="1:10" x14ac:dyDescent="0.25">
      <c r="A593" t="str">
        <f>I593&amp;B593&amp;C593&amp;D593</f>
        <v>GY 18 FALL 22018411</v>
      </c>
      <c r="B593">
        <v>2018</v>
      </c>
      <c r="C593">
        <v>4</v>
      </c>
      <c r="D593">
        <v>11</v>
      </c>
      <c r="E593" t="s">
        <v>99</v>
      </c>
      <c r="F593" t="s">
        <v>84</v>
      </c>
      <c r="G593" t="s">
        <v>29</v>
      </c>
      <c r="H593" t="s">
        <v>54</v>
      </c>
      <c r="I593" t="s">
        <v>430</v>
      </c>
      <c r="J593">
        <v>0</v>
      </c>
    </row>
    <row r="594" spans="1:10" x14ac:dyDescent="0.25">
      <c r="A594" t="str">
        <f>I594&amp;B594&amp;C594&amp;D594</f>
        <v>GY 18 FALL BASICS2018411</v>
      </c>
      <c r="B594">
        <v>2018</v>
      </c>
      <c r="C594">
        <v>4</v>
      </c>
      <c r="D594">
        <v>11</v>
      </c>
      <c r="E594" t="s">
        <v>99</v>
      </c>
      <c r="F594" t="s">
        <v>84</v>
      </c>
      <c r="G594" t="s">
        <v>29</v>
      </c>
      <c r="H594" t="s">
        <v>10</v>
      </c>
      <c r="I594" t="s">
        <v>175</v>
      </c>
      <c r="J594">
        <v>202629</v>
      </c>
    </row>
    <row r="595" spans="1:10" x14ac:dyDescent="0.25">
      <c r="A595" t="str">
        <f>I595&amp;B595&amp;C595&amp;D595</f>
        <v>GY 18 SM22018411</v>
      </c>
      <c r="B595">
        <v>2018</v>
      </c>
      <c r="C595">
        <v>4</v>
      </c>
      <c r="D595">
        <v>11</v>
      </c>
      <c r="E595" t="s">
        <v>99</v>
      </c>
      <c r="F595" t="s">
        <v>84</v>
      </c>
      <c r="G595" t="s">
        <v>29</v>
      </c>
      <c r="H595" t="s">
        <v>6</v>
      </c>
      <c r="I595" t="s">
        <v>193</v>
      </c>
      <c r="J595">
        <v>0</v>
      </c>
    </row>
    <row r="596" spans="1:10" x14ac:dyDescent="0.25">
      <c r="A596" t="str">
        <f>I596&amp;B596&amp;C596&amp;D596</f>
        <v>GY 18 SM32018411</v>
      </c>
      <c r="B596">
        <v>2018</v>
      </c>
      <c r="C596">
        <v>4</v>
      </c>
      <c r="D596">
        <v>11</v>
      </c>
      <c r="E596" t="s">
        <v>99</v>
      </c>
      <c r="F596" t="s">
        <v>84</v>
      </c>
      <c r="G596" t="s">
        <v>29</v>
      </c>
      <c r="H596" t="s">
        <v>6</v>
      </c>
      <c r="I596" t="s">
        <v>195</v>
      </c>
      <c r="J596">
        <v>17762</v>
      </c>
    </row>
    <row r="597" spans="1:10" x14ac:dyDescent="0.25">
      <c r="A597" t="str">
        <f>I597&amp;B597&amp;C597&amp;D597</f>
        <v>GY 18 SM42018411</v>
      </c>
      <c r="B597">
        <v>2018</v>
      </c>
      <c r="C597">
        <v>4</v>
      </c>
      <c r="D597">
        <v>11</v>
      </c>
      <c r="E597" t="s">
        <v>99</v>
      </c>
      <c r="F597" t="s">
        <v>84</v>
      </c>
      <c r="G597" t="s">
        <v>29</v>
      </c>
      <c r="H597" t="s">
        <v>6</v>
      </c>
      <c r="I597" t="s">
        <v>199</v>
      </c>
      <c r="J597">
        <v>118354</v>
      </c>
    </row>
    <row r="598" spans="1:10" x14ac:dyDescent="0.25">
      <c r="A598" t="str">
        <f>I598&amp;B598&amp;C598&amp;D598</f>
        <v>GY 18 SM52018411</v>
      </c>
      <c r="B598">
        <v>2018</v>
      </c>
      <c r="C598">
        <v>4</v>
      </c>
      <c r="D598">
        <v>11</v>
      </c>
      <c r="E598" t="s">
        <v>99</v>
      </c>
      <c r="F598" t="s">
        <v>84</v>
      </c>
      <c r="G598" t="s">
        <v>29</v>
      </c>
      <c r="H598" t="s">
        <v>6</v>
      </c>
      <c r="I598" t="s">
        <v>201</v>
      </c>
      <c r="J598">
        <v>159685</v>
      </c>
    </row>
    <row r="599" spans="1:10" x14ac:dyDescent="0.25">
      <c r="A599" t="str">
        <f>I599&amp;B599&amp;C599&amp;D599</f>
        <v>GY 18 SMR2018411</v>
      </c>
      <c r="B599">
        <v>2018</v>
      </c>
      <c r="C599">
        <v>4</v>
      </c>
      <c r="D599">
        <v>11</v>
      </c>
      <c r="E599" t="s">
        <v>99</v>
      </c>
      <c r="F599" t="s">
        <v>84</v>
      </c>
      <c r="G599" t="s">
        <v>29</v>
      </c>
      <c r="H599" t="s">
        <v>6</v>
      </c>
      <c r="I599" t="s">
        <v>203</v>
      </c>
      <c r="J599">
        <v>50308</v>
      </c>
    </row>
    <row r="600" spans="1:10" x14ac:dyDescent="0.25">
      <c r="A600" t="str">
        <f>I600&amp;B600&amp;C600&amp;D600</f>
        <v>GY 18 SPR2018411</v>
      </c>
      <c r="B600">
        <v>2018</v>
      </c>
      <c r="C600">
        <v>4</v>
      </c>
      <c r="D600">
        <v>11</v>
      </c>
      <c r="E600" t="s">
        <v>99</v>
      </c>
      <c r="F600" t="s">
        <v>84</v>
      </c>
      <c r="G600" t="s">
        <v>29</v>
      </c>
      <c r="H600" t="s">
        <v>5</v>
      </c>
      <c r="I600" t="s">
        <v>177</v>
      </c>
      <c r="J600">
        <v>0</v>
      </c>
    </row>
    <row r="601" spans="1:10" x14ac:dyDescent="0.25">
      <c r="A601" t="str">
        <f>I601&amp;B601&amp;C601&amp;D601</f>
        <v>GY 18 SPR 12018411</v>
      </c>
      <c r="B601">
        <v>2018</v>
      </c>
      <c r="C601">
        <v>4</v>
      </c>
      <c r="D601">
        <v>11</v>
      </c>
      <c r="E601" t="s">
        <v>99</v>
      </c>
      <c r="F601" t="s">
        <v>84</v>
      </c>
      <c r="G601" t="s">
        <v>29</v>
      </c>
      <c r="H601" t="s">
        <v>5</v>
      </c>
      <c r="I601" t="s">
        <v>179</v>
      </c>
      <c r="J601">
        <v>0</v>
      </c>
    </row>
    <row r="602" spans="1:10" x14ac:dyDescent="0.25">
      <c r="A602" t="str">
        <f>I602&amp;B602&amp;C602&amp;D602</f>
        <v>GY 18 SPR 22018411</v>
      </c>
      <c r="B602">
        <v>2018</v>
      </c>
      <c r="C602">
        <v>4</v>
      </c>
      <c r="D602">
        <v>11</v>
      </c>
      <c r="E602" t="s">
        <v>99</v>
      </c>
      <c r="F602" t="s">
        <v>84</v>
      </c>
      <c r="G602" t="s">
        <v>29</v>
      </c>
      <c r="H602" t="s">
        <v>5</v>
      </c>
      <c r="I602" t="s">
        <v>181</v>
      </c>
      <c r="J602">
        <v>0</v>
      </c>
    </row>
    <row r="603" spans="1:10" x14ac:dyDescent="0.25">
      <c r="A603" t="str">
        <f>I603&amp;B603&amp;C603&amp;D603</f>
        <v>GY 18 SPR VACA2018411</v>
      </c>
      <c r="B603">
        <v>2018</v>
      </c>
      <c r="C603">
        <v>4</v>
      </c>
      <c r="D603">
        <v>11</v>
      </c>
      <c r="E603" t="s">
        <v>99</v>
      </c>
      <c r="F603" t="s">
        <v>84</v>
      </c>
      <c r="G603" t="s">
        <v>29</v>
      </c>
      <c r="H603" t="s">
        <v>5</v>
      </c>
      <c r="I603" t="s">
        <v>187</v>
      </c>
      <c r="J603">
        <v>0</v>
      </c>
    </row>
    <row r="604" spans="1:10" x14ac:dyDescent="0.25">
      <c r="A604" t="str">
        <f>I604&amp;B604&amp;C604&amp;D604</f>
        <v>GY 18 SPRING BASICS2018411</v>
      </c>
      <c r="B604">
        <v>2018</v>
      </c>
      <c r="C604">
        <v>4</v>
      </c>
      <c r="D604">
        <v>11</v>
      </c>
      <c r="E604" t="s">
        <v>99</v>
      </c>
      <c r="F604" t="s">
        <v>84</v>
      </c>
      <c r="G604" t="s">
        <v>29</v>
      </c>
      <c r="H604" t="s">
        <v>10</v>
      </c>
      <c r="I604" t="s">
        <v>173</v>
      </c>
      <c r="J604">
        <v>100470</v>
      </c>
    </row>
    <row r="605" spans="1:10" x14ac:dyDescent="0.25">
      <c r="A605" t="str">
        <f>I605&amp;B605&amp;C605&amp;D605</f>
        <v>GY 18 SUM 12018411</v>
      </c>
      <c r="B605">
        <v>2018</v>
      </c>
      <c r="C605">
        <v>4</v>
      </c>
      <c r="D605">
        <v>11</v>
      </c>
      <c r="E605" t="s">
        <v>99</v>
      </c>
      <c r="F605" t="s">
        <v>84</v>
      </c>
      <c r="G605" t="s">
        <v>29</v>
      </c>
      <c r="H605" t="s">
        <v>5</v>
      </c>
      <c r="I605" t="s">
        <v>189</v>
      </c>
      <c r="J605">
        <v>-1</v>
      </c>
    </row>
    <row r="606" spans="1:10" x14ac:dyDescent="0.25">
      <c r="A606" t="str">
        <f>I606&amp;B606&amp;C606&amp;D606</f>
        <v>GY 18 SWIM 12018411</v>
      </c>
      <c r="B606">
        <v>2018</v>
      </c>
      <c r="C606">
        <v>4</v>
      </c>
      <c r="D606">
        <v>11</v>
      </c>
      <c r="E606" t="s">
        <v>99</v>
      </c>
      <c r="F606" t="s">
        <v>84</v>
      </c>
      <c r="G606" t="s">
        <v>29</v>
      </c>
      <c r="H606" t="s">
        <v>5</v>
      </c>
      <c r="I606" t="s">
        <v>183</v>
      </c>
      <c r="J606">
        <v>5005</v>
      </c>
    </row>
    <row r="607" spans="1:10" x14ac:dyDescent="0.25">
      <c r="A607" t="str">
        <f>I607&amp;B607&amp;C607&amp;D607</f>
        <v>GY 18 SWIM 22018411</v>
      </c>
      <c r="B607">
        <v>2018</v>
      </c>
      <c r="C607">
        <v>4</v>
      </c>
      <c r="D607">
        <v>11</v>
      </c>
      <c r="E607" t="s">
        <v>99</v>
      </c>
      <c r="F607" t="s">
        <v>84</v>
      </c>
      <c r="G607" t="s">
        <v>29</v>
      </c>
      <c r="H607" t="s">
        <v>5</v>
      </c>
      <c r="I607" t="s">
        <v>191</v>
      </c>
      <c r="J607">
        <v>44872</v>
      </c>
    </row>
    <row r="608" spans="1:10" x14ac:dyDescent="0.25">
      <c r="A608" t="str">
        <f>I608&amp;B608&amp;C608&amp;D608</f>
        <v>GY 18 SWIM 32018411</v>
      </c>
      <c r="B608">
        <v>2018</v>
      </c>
      <c r="C608">
        <v>4</v>
      </c>
      <c r="D608">
        <v>11</v>
      </c>
      <c r="E608" t="s">
        <v>99</v>
      </c>
      <c r="F608" t="s">
        <v>84</v>
      </c>
      <c r="G608" t="s">
        <v>29</v>
      </c>
      <c r="H608" t="s">
        <v>6</v>
      </c>
      <c r="I608" t="s">
        <v>197</v>
      </c>
      <c r="J608">
        <v>3387</v>
      </c>
    </row>
    <row r="609" spans="1:10" x14ac:dyDescent="0.25">
      <c r="A609" t="str">
        <f>I609&amp;B609&amp;C609&amp;D609</f>
        <v>GY 18 VDAY2018411</v>
      </c>
      <c r="B609">
        <v>2018</v>
      </c>
      <c r="C609">
        <v>4</v>
      </c>
      <c r="D609">
        <v>11</v>
      </c>
      <c r="E609" t="s">
        <v>99</v>
      </c>
      <c r="F609" t="s">
        <v>84</v>
      </c>
      <c r="G609" t="s">
        <v>29</v>
      </c>
      <c r="H609" t="s">
        <v>8</v>
      </c>
      <c r="I609" t="s">
        <v>396</v>
      </c>
      <c r="J609">
        <v>4884</v>
      </c>
    </row>
    <row r="610" spans="1:10" x14ac:dyDescent="0.25">
      <c r="A610" t="str">
        <f>I610&amp;B610&amp;C610&amp;D610</f>
        <v>GY YRLY BASICS2018411</v>
      </c>
      <c r="B610">
        <v>2018</v>
      </c>
      <c r="C610">
        <v>4</v>
      </c>
      <c r="D610">
        <v>11</v>
      </c>
      <c r="E610" t="s">
        <v>99</v>
      </c>
      <c r="F610" t="s">
        <v>84</v>
      </c>
      <c r="G610" t="s">
        <v>29</v>
      </c>
      <c r="H610" t="s">
        <v>10</v>
      </c>
      <c r="I610" t="s">
        <v>349</v>
      </c>
      <c r="J610">
        <v>741370</v>
      </c>
    </row>
    <row r="611" spans="1:10" x14ac:dyDescent="0.25">
      <c r="A611" t="str">
        <f>I611&amp;B611&amp;C611&amp;D611</f>
        <v>GY YRLY DENIM2018411</v>
      </c>
      <c r="B611">
        <v>2018</v>
      </c>
      <c r="C611">
        <v>4</v>
      </c>
      <c r="D611">
        <v>11</v>
      </c>
      <c r="E611" t="s">
        <v>99</v>
      </c>
      <c r="F611" t="s">
        <v>84</v>
      </c>
      <c r="G611" t="s">
        <v>29</v>
      </c>
      <c r="H611" t="s">
        <v>10</v>
      </c>
      <c r="I611" t="s">
        <v>350</v>
      </c>
      <c r="J611">
        <v>359811</v>
      </c>
    </row>
    <row r="612" spans="1:10" x14ac:dyDescent="0.25">
      <c r="A612" t="str">
        <f>I612&amp;B612&amp;C612&amp;D612</f>
        <v>GY YRLY UNIFORM2018411</v>
      </c>
      <c r="B612">
        <v>2018</v>
      </c>
      <c r="C612">
        <v>4</v>
      </c>
      <c r="D612">
        <v>11</v>
      </c>
      <c r="E612" t="s">
        <v>99</v>
      </c>
      <c r="F612" t="s">
        <v>84</v>
      </c>
      <c r="G612" t="s">
        <v>29</v>
      </c>
      <c r="H612" t="s">
        <v>10</v>
      </c>
      <c r="I612" t="s">
        <v>351</v>
      </c>
      <c r="J612">
        <v>32081</v>
      </c>
    </row>
    <row r="613" spans="1:10" x14ac:dyDescent="0.25">
      <c r="A613" t="str">
        <f>I613&amp;B613&amp;C613&amp;D613</f>
        <v>Old2018411</v>
      </c>
      <c r="B613">
        <v>2018</v>
      </c>
      <c r="C613">
        <v>4</v>
      </c>
      <c r="D613">
        <v>11</v>
      </c>
      <c r="E613" t="s">
        <v>99</v>
      </c>
      <c r="F613" t="s">
        <v>84</v>
      </c>
      <c r="G613" t="s">
        <v>29</v>
      </c>
      <c r="H613" t="s">
        <v>434</v>
      </c>
      <c r="I613" t="s">
        <v>434</v>
      </c>
      <c r="J613">
        <v>12956</v>
      </c>
    </row>
    <row r="614" spans="1:10" x14ac:dyDescent="0.25">
      <c r="A614" t="str">
        <f>I614&amp;B614&amp;C614&amp;D614</f>
        <v>Winter 172018411</v>
      </c>
      <c r="B614">
        <v>2018</v>
      </c>
      <c r="C614">
        <v>4</v>
      </c>
      <c r="D614">
        <v>11</v>
      </c>
      <c r="E614" t="s">
        <v>99</v>
      </c>
      <c r="F614" t="s">
        <v>84</v>
      </c>
      <c r="G614" t="s">
        <v>29</v>
      </c>
      <c r="H614" t="s">
        <v>435</v>
      </c>
      <c r="I614" t="s">
        <v>435</v>
      </c>
      <c r="J614">
        <v>11706</v>
      </c>
    </row>
    <row r="615" spans="1:10" x14ac:dyDescent="0.25">
      <c r="A615" t="str">
        <f>I615&amp;B615&amp;C615&amp;D615</f>
        <v>GY 17 BTS2018412</v>
      </c>
      <c r="B615">
        <v>2018</v>
      </c>
      <c r="C615">
        <v>4</v>
      </c>
      <c r="D615">
        <v>12</v>
      </c>
      <c r="E615" t="s">
        <v>99</v>
      </c>
      <c r="F615" t="s">
        <v>84</v>
      </c>
      <c r="G615" t="s">
        <v>29</v>
      </c>
      <c r="H615" t="s">
        <v>54</v>
      </c>
      <c r="I615" t="s">
        <v>397</v>
      </c>
      <c r="J615">
        <v>881</v>
      </c>
    </row>
    <row r="616" spans="1:10" x14ac:dyDescent="0.25">
      <c r="A616" t="str">
        <f>I616&amp;B616&amp;C616&amp;D616</f>
        <v>GY 17 CAP2018412</v>
      </c>
      <c r="B616">
        <v>2018</v>
      </c>
      <c r="C616">
        <v>4</v>
      </c>
      <c r="D616">
        <v>12</v>
      </c>
      <c r="E616" t="s">
        <v>99</v>
      </c>
      <c r="F616" t="s">
        <v>84</v>
      </c>
      <c r="G616" t="s">
        <v>29</v>
      </c>
      <c r="H616" t="s">
        <v>6</v>
      </c>
      <c r="I616" t="s">
        <v>404</v>
      </c>
      <c r="J616">
        <v>32</v>
      </c>
    </row>
    <row r="617" spans="1:10" x14ac:dyDescent="0.25">
      <c r="A617" t="str">
        <f>I617&amp;B617&amp;C617&amp;D617</f>
        <v>GY 17 DRSY CAP2018412</v>
      </c>
      <c r="B617">
        <v>2018</v>
      </c>
      <c r="C617">
        <v>4</v>
      </c>
      <c r="D617">
        <v>12</v>
      </c>
      <c r="E617" t="s">
        <v>99</v>
      </c>
      <c r="F617" t="s">
        <v>84</v>
      </c>
      <c r="G617" t="s">
        <v>29</v>
      </c>
      <c r="H617" t="s">
        <v>5</v>
      </c>
      <c r="I617" t="s">
        <v>186</v>
      </c>
      <c r="J617">
        <v>186</v>
      </c>
    </row>
    <row r="618" spans="1:10" x14ac:dyDescent="0.25">
      <c r="A618" t="str">
        <f>I618&amp;B618&amp;C618&amp;D618</f>
        <v>GY 17 FAL2018412</v>
      </c>
      <c r="B618">
        <v>2018</v>
      </c>
      <c r="C618">
        <v>4</v>
      </c>
      <c r="D618">
        <v>12</v>
      </c>
      <c r="E618" t="s">
        <v>99</v>
      </c>
      <c r="F618" t="s">
        <v>84</v>
      </c>
      <c r="G618" t="s">
        <v>29</v>
      </c>
      <c r="H618" t="s">
        <v>54</v>
      </c>
      <c r="I618" t="s">
        <v>398</v>
      </c>
      <c r="J618">
        <v>1014</v>
      </c>
    </row>
    <row r="619" spans="1:10" x14ac:dyDescent="0.25">
      <c r="A619" t="str">
        <f>I619&amp;B619&amp;C619&amp;D619</f>
        <v>GY 17 FALL 12018412</v>
      </c>
      <c r="B619">
        <v>2018</v>
      </c>
      <c r="C619">
        <v>4</v>
      </c>
      <c r="D619">
        <v>12</v>
      </c>
      <c r="E619" t="s">
        <v>99</v>
      </c>
      <c r="F619" t="s">
        <v>84</v>
      </c>
      <c r="G619" t="s">
        <v>29</v>
      </c>
      <c r="H619" t="s">
        <v>54</v>
      </c>
      <c r="I619" t="s">
        <v>399</v>
      </c>
      <c r="J619">
        <v>1447</v>
      </c>
    </row>
    <row r="620" spans="1:10" x14ac:dyDescent="0.25">
      <c r="A620" t="str">
        <f>I620&amp;B620&amp;C620&amp;D620</f>
        <v>GY 17 FALL 22018412</v>
      </c>
      <c r="B620">
        <v>2018</v>
      </c>
      <c r="C620">
        <v>4</v>
      </c>
      <c r="D620">
        <v>12</v>
      </c>
      <c r="E620" t="s">
        <v>99</v>
      </c>
      <c r="F620" t="s">
        <v>84</v>
      </c>
      <c r="G620" t="s">
        <v>29</v>
      </c>
      <c r="H620" t="s">
        <v>54</v>
      </c>
      <c r="I620" t="s">
        <v>400</v>
      </c>
      <c r="J620">
        <v>1601</v>
      </c>
    </row>
    <row r="621" spans="1:10" x14ac:dyDescent="0.25">
      <c r="A621" t="str">
        <f>I621&amp;B621&amp;C621&amp;D621</f>
        <v>GY 17 FALL 32018412</v>
      </c>
      <c r="B621">
        <v>2018</v>
      </c>
      <c r="C621">
        <v>4</v>
      </c>
      <c r="D621">
        <v>12</v>
      </c>
      <c r="E621" t="s">
        <v>99</v>
      </c>
      <c r="F621" t="s">
        <v>84</v>
      </c>
      <c r="G621" t="s">
        <v>29</v>
      </c>
      <c r="H621" t="s">
        <v>54</v>
      </c>
      <c r="I621" t="s">
        <v>401</v>
      </c>
      <c r="J621">
        <v>2691</v>
      </c>
    </row>
    <row r="622" spans="1:10" x14ac:dyDescent="0.25">
      <c r="A622" t="str">
        <f>I622&amp;B622&amp;C622&amp;D622</f>
        <v>GY 17 FALL 42018412</v>
      </c>
      <c r="B622">
        <v>2018</v>
      </c>
      <c r="C622">
        <v>4</v>
      </c>
      <c r="D622">
        <v>12</v>
      </c>
      <c r="E622" t="s">
        <v>99</v>
      </c>
      <c r="F622" t="s">
        <v>84</v>
      </c>
      <c r="G622" t="s">
        <v>29</v>
      </c>
      <c r="H622" t="s">
        <v>54</v>
      </c>
      <c r="I622" t="s">
        <v>402</v>
      </c>
      <c r="J622">
        <v>1350</v>
      </c>
    </row>
    <row r="623" spans="1:10" x14ac:dyDescent="0.25">
      <c r="A623" t="str">
        <f>I623&amp;B623&amp;C623&amp;D623</f>
        <v>GY 17 FALL BASICS2018412</v>
      </c>
      <c r="B623">
        <v>2018</v>
      </c>
      <c r="C623">
        <v>4</v>
      </c>
      <c r="D623">
        <v>12</v>
      </c>
      <c r="E623" t="s">
        <v>99</v>
      </c>
      <c r="F623" t="s">
        <v>84</v>
      </c>
      <c r="G623" t="s">
        <v>29</v>
      </c>
      <c r="H623" t="s">
        <v>10</v>
      </c>
      <c r="I623" t="s">
        <v>176</v>
      </c>
      <c r="J623">
        <v>1194</v>
      </c>
    </row>
    <row r="624" spans="1:10" x14ac:dyDescent="0.25">
      <c r="A624" t="str">
        <f>I624&amp;B624&amp;C624&amp;D624</f>
        <v>GY 17 HO HO SHOP2018412</v>
      </c>
      <c r="B624">
        <v>2018</v>
      </c>
      <c r="C624">
        <v>4</v>
      </c>
      <c r="D624">
        <v>12</v>
      </c>
      <c r="E624" t="s">
        <v>99</v>
      </c>
      <c r="F624" t="s">
        <v>84</v>
      </c>
      <c r="G624" t="s">
        <v>29</v>
      </c>
      <c r="H624" t="s">
        <v>54</v>
      </c>
      <c r="I624" t="s">
        <v>405</v>
      </c>
      <c r="J624">
        <v>1549</v>
      </c>
    </row>
    <row r="625" spans="1:10" x14ac:dyDescent="0.25">
      <c r="A625" t="str">
        <f>I625&amp;B625&amp;C625&amp;D625</f>
        <v>GY 17 HOL2018412</v>
      </c>
      <c r="B625">
        <v>2018</v>
      </c>
      <c r="C625">
        <v>4</v>
      </c>
      <c r="D625">
        <v>12</v>
      </c>
      <c r="E625" t="s">
        <v>99</v>
      </c>
      <c r="F625" t="s">
        <v>84</v>
      </c>
      <c r="G625" t="s">
        <v>29</v>
      </c>
      <c r="H625" t="s">
        <v>8</v>
      </c>
      <c r="I625" t="s">
        <v>406</v>
      </c>
      <c r="J625">
        <v>0</v>
      </c>
    </row>
    <row r="626" spans="1:10" x14ac:dyDescent="0.25">
      <c r="A626" t="str">
        <f>I626&amp;B626&amp;C626&amp;D626</f>
        <v>GY 17 JAN CAP2018412</v>
      </c>
      <c r="B626">
        <v>2018</v>
      </c>
      <c r="C626">
        <v>4</v>
      </c>
      <c r="D626">
        <v>12</v>
      </c>
      <c r="E626" t="s">
        <v>99</v>
      </c>
      <c r="F626" t="s">
        <v>84</v>
      </c>
      <c r="G626" t="s">
        <v>29</v>
      </c>
      <c r="H626" t="s">
        <v>8</v>
      </c>
      <c r="I626" t="s">
        <v>407</v>
      </c>
      <c r="J626">
        <v>53</v>
      </c>
    </row>
    <row r="627" spans="1:10" x14ac:dyDescent="0.25">
      <c r="A627" t="str">
        <f>I627&amp;B627&amp;C627&amp;D627</f>
        <v>GY 17 SM22018412</v>
      </c>
      <c r="B627">
        <v>2018</v>
      </c>
      <c r="C627">
        <v>4</v>
      </c>
      <c r="D627">
        <v>12</v>
      </c>
      <c r="E627" t="s">
        <v>99</v>
      </c>
      <c r="F627" t="s">
        <v>84</v>
      </c>
      <c r="G627" t="s">
        <v>29</v>
      </c>
      <c r="H627" t="s">
        <v>6</v>
      </c>
      <c r="I627" t="s">
        <v>194</v>
      </c>
      <c r="J627">
        <v>0</v>
      </c>
    </row>
    <row r="628" spans="1:10" x14ac:dyDescent="0.25">
      <c r="A628" t="str">
        <f>I628&amp;B628&amp;C628&amp;D628</f>
        <v>GY 17 SM32018412</v>
      </c>
      <c r="B628">
        <v>2018</v>
      </c>
      <c r="C628">
        <v>4</v>
      </c>
      <c r="D628">
        <v>12</v>
      </c>
      <c r="E628" t="s">
        <v>99</v>
      </c>
      <c r="F628" t="s">
        <v>84</v>
      </c>
      <c r="G628" t="s">
        <v>29</v>
      </c>
      <c r="H628" t="s">
        <v>6</v>
      </c>
      <c r="I628" t="s">
        <v>196</v>
      </c>
      <c r="J628">
        <v>158</v>
      </c>
    </row>
    <row r="629" spans="1:10" x14ac:dyDescent="0.25">
      <c r="A629" t="str">
        <f>I629&amp;B629&amp;C629&amp;D629</f>
        <v>GY 17 SM42018412</v>
      </c>
      <c r="B629">
        <v>2018</v>
      </c>
      <c r="C629">
        <v>4</v>
      </c>
      <c r="D629">
        <v>12</v>
      </c>
      <c r="E629" t="s">
        <v>99</v>
      </c>
      <c r="F629" t="s">
        <v>84</v>
      </c>
      <c r="G629" t="s">
        <v>29</v>
      </c>
      <c r="H629" t="s">
        <v>6</v>
      </c>
      <c r="I629" t="s">
        <v>200</v>
      </c>
      <c r="J629">
        <v>65</v>
      </c>
    </row>
    <row r="630" spans="1:10" x14ac:dyDescent="0.25">
      <c r="A630" t="str">
        <f>I630&amp;B630&amp;C630&amp;D630</f>
        <v>GY 17 SMR2018412</v>
      </c>
      <c r="B630">
        <v>2018</v>
      </c>
      <c r="C630">
        <v>4</v>
      </c>
      <c r="D630">
        <v>12</v>
      </c>
      <c r="E630" t="s">
        <v>99</v>
      </c>
      <c r="F630" t="s">
        <v>84</v>
      </c>
      <c r="G630" t="s">
        <v>29</v>
      </c>
      <c r="H630" t="s">
        <v>6</v>
      </c>
      <c r="I630" t="s">
        <v>204</v>
      </c>
      <c r="J630">
        <v>482</v>
      </c>
    </row>
    <row r="631" spans="1:10" x14ac:dyDescent="0.25">
      <c r="A631" t="str">
        <f>I631&amp;B631&amp;C631&amp;D631</f>
        <v>GY 17 SPR2018412</v>
      </c>
      <c r="B631">
        <v>2018</v>
      </c>
      <c r="C631">
        <v>4</v>
      </c>
      <c r="D631">
        <v>12</v>
      </c>
      <c r="E631" t="s">
        <v>99</v>
      </c>
      <c r="F631" t="s">
        <v>84</v>
      </c>
      <c r="G631" t="s">
        <v>29</v>
      </c>
      <c r="H631" t="s">
        <v>5</v>
      </c>
      <c r="I631" t="s">
        <v>178</v>
      </c>
      <c r="J631">
        <v>132</v>
      </c>
    </row>
    <row r="632" spans="1:10" x14ac:dyDescent="0.25">
      <c r="A632" t="str">
        <f>I632&amp;B632&amp;C632&amp;D632</f>
        <v>GY 17 SPR 12018412</v>
      </c>
      <c r="B632">
        <v>2018</v>
      </c>
      <c r="C632">
        <v>4</v>
      </c>
      <c r="D632">
        <v>12</v>
      </c>
      <c r="E632" t="s">
        <v>99</v>
      </c>
      <c r="F632" t="s">
        <v>84</v>
      </c>
      <c r="G632" t="s">
        <v>29</v>
      </c>
      <c r="H632" t="s">
        <v>5</v>
      </c>
      <c r="I632" t="s">
        <v>180</v>
      </c>
      <c r="J632">
        <v>99</v>
      </c>
    </row>
    <row r="633" spans="1:10" x14ac:dyDescent="0.25">
      <c r="A633" t="str">
        <f>I633&amp;B633&amp;C633&amp;D633</f>
        <v>GY 17 SPR 22018412</v>
      </c>
      <c r="B633">
        <v>2018</v>
      </c>
      <c r="C633">
        <v>4</v>
      </c>
      <c r="D633">
        <v>12</v>
      </c>
      <c r="E633" t="s">
        <v>99</v>
      </c>
      <c r="F633" t="s">
        <v>84</v>
      </c>
      <c r="G633" t="s">
        <v>29</v>
      </c>
      <c r="H633" t="s">
        <v>5</v>
      </c>
      <c r="I633" t="s">
        <v>182</v>
      </c>
      <c r="J633">
        <v>14</v>
      </c>
    </row>
    <row r="634" spans="1:10" x14ac:dyDescent="0.25">
      <c r="A634" t="str">
        <f>I634&amp;B634&amp;C634&amp;D634</f>
        <v>GY 17 SPR TRANS2018412</v>
      </c>
      <c r="B634">
        <v>2018</v>
      </c>
      <c r="C634">
        <v>4</v>
      </c>
      <c r="D634">
        <v>12</v>
      </c>
      <c r="E634" t="s">
        <v>99</v>
      </c>
      <c r="F634" t="s">
        <v>84</v>
      </c>
      <c r="G634" t="s">
        <v>29</v>
      </c>
      <c r="H634" t="s">
        <v>8</v>
      </c>
      <c r="I634" t="s">
        <v>403</v>
      </c>
      <c r="J634">
        <v>849</v>
      </c>
    </row>
    <row r="635" spans="1:10" x14ac:dyDescent="0.25">
      <c r="A635" t="str">
        <f>I635&amp;B635&amp;C635&amp;D635</f>
        <v>GY 17 SPR VAC2018412</v>
      </c>
      <c r="B635">
        <v>2018</v>
      </c>
      <c r="C635">
        <v>4</v>
      </c>
      <c r="D635">
        <v>12</v>
      </c>
      <c r="E635" t="s">
        <v>99</v>
      </c>
      <c r="F635" t="s">
        <v>84</v>
      </c>
      <c r="G635" t="s">
        <v>29</v>
      </c>
      <c r="H635" t="s">
        <v>5</v>
      </c>
      <c r="I635" t="s">
        <v>188</v>
      </c>
      <c r="J635">
        <v>131</v>
      </c>
    </row>
    <row r="636" spans="1:10" x14ac:dyDescent="0.25">
      <c r="A636" t="str">
        <f>I636&amp;B636&amp;C636&amp;D636</f>
        <v>GY 17 SPRING BASICS2018412</v>
      </c>
      <c r="B636">
        <v>2018</v>
      </c>
      <c r="C636">
        <v>4</v>
      </c>
      <c r="D636">
        <v>12</v>
      </c>
      <c r="E636" t="s">
        <v>99</v>
      </c>
      <c r="F636" t="s">
        <v>84</v>
      </c>
      <c r="G636" t="s">
        <v>29</v>
      </c>
      <c r="H636" t="s">
        <v>10</v>
      </c>
      <c r="I636" t="s">
        <v>174</v>
      </c>
      <c r="J636">
        <v>407</v>
      </c>
    </row>
    <row r="637" spans="1:10" x14ac:dyDescent="0.25">
      <c r="A637" t="str">
        <f>I637&amp;B637&amp;C637&amp;D637</f>
        <v>GY 17 SUM 12018412</v>
      </c>
      <c r="B637">
        <v>2018</v>
      </c>
      <c r="C637">
        <v>4</v>
      </c>
      <c r="D637">
        <v>12</v>
      </c>
      <c r="E637" t="s">
        <v>99</v>
      </c>
      <c r="F637" t="s">
        <v>84</v>
      </c>
      <c r="G637" t="s">
        <v>29</v>
      </c>
      <c r="H637" t="s">
        <v>5</v>
      </c>
      <c r="I637" t="s">
        <v>190</v>
      </c>
      <c r="J637">
        <v>274</v>
      </c>
    </row>
    <row r="638" spans="1:10" x14ac:dyDescent="0.25">
      <c r="A638" t="str">
        <f>I638&amp;B638&amp;C638&amp;D638</f>
        <v>GY 17 SWIM 12018412</v>
      </c>
      <c r="B638">
        <v>2018</v>
      </c>
      <c r="C638">
        <v>4</v>
      </c>
      <c r="D638">
        <v>12</v>
      </c>
      <c r="E638" t="s">
        <v>99</v>
      </c>
      <c r="F638" t="s">
        <v>84</v>
      </c>
      <c r="G638" t="s">
        <v>29</v>
      </c>
      <c r="H638" t="s">
        <v>5</v>
      </c>
      <c r="I638" t="s">
        <v>184</v>
      </c>
      <c r="J638">
        <v>54</v>
      </c>
    </row>
    <row r="639" spans="1:10" x14ac:dyDescent="0.25">
      <c r="A639" t="str">
        <f>I639&amp;B639&amp;C639&amp;D639</f>
        <v>GY 17 SWIM 22018412</v>
      </c>
      <c r="B639">
        <v>2018</v>
      </c>
      <c r="C639">
        <v>4</v>
      </c>
      <c r="D639">
        <v>12</v>
      </c>
      <c r="E639" t="s">
        <v>99</v>
      </c>
      <c r="F639" t="s">
        <v>84</v>
      </c>
      <c r="G639" t="s">
        <v>29</v>
      </c>
      <c r="H639" t="s">
        <v>5</v>
      </c>
      <c r="I639" t="s">
        <v>192</v>
      </c>
      <c r="J639">
        <v>74</v>
      </c>
    </row>
    <row r="640" spans="1:10" x14ac:dyDescent="0.25">
      <c r="A640" t="str">
        <f>I640&amp;B640&amp;C640&amp;D640</f>
        <v>GY 17 SWIM 32018412</v>
      </c>
      <c r="B640">
        <v>2018</v>
      </c>
      <c r="C640">
        <v>4</v>
      </c>
      <c r="D640">
        <v>12</v>
      </c>
      <c r="E640" t="s">
        <v>99</v>
      </c>
      <c r="F640" t="s">
        <v>84</v>
      </c>
      <c r="G640" t="s">
        <v>29</v>
      </c>
      <c r="H640" t="s">
        <v>6</v>
      </c>
      <c r="I640" t="s">
        <v>198</v>
      </c>
      <c r="J640">
        <v>16</v>
      </c>
    </row>
    <row r="641" spans="1:10" x14ac:dyDescent="0.25">
      <c r="A641" t="str">
        <f>I641&amp;B641&amp;C641&amp;D641</f>
        <v>GY 17 TRANS2018412</v>
      </c>
      <c r="B641">
        <v>2018</v>
      </c>
      <c r="C641">
        <v>4</v>
      </c>
      <c r="D641">
        <v>12</v>
      </c>
      <c r="E641" t="s">
        <v>99</v>
      </c>
      <c r="F641" t="s">
        <v>84</v>
      </c>
      <c r="G641" t="s">
        <v>29</v>
      </c>
      <c r="H641" t="s">
        <v>6</v>
      </c>
      <c r="I641" t="s">
        <v>202</v>
      </c>
      <c r="J641">
        <v>427</v>
      </c>
    </row>
    <row r="642" spans="1:10" x14ac:dyDescent="0.25">
      <c r="A642" t="str">
        <f>I642&amp;B642&amp;C642&amp;D642</f>
        <v>GY 17 WINTER 12018412</v>
      </c>
      <c r="B642">
        <v>2018</v>
      </c>
      <c r="C642">
        <v>4</v>
      </c>
      <c r="D642">
        <v>12</v>
      </c>
      <c r="E642" t="s">
        <v>99</v>
      </c>
      <c r="F642" t="s">
        <v>84</v>
      </c>
      <c r="G642" t="s">
        <v>29</v>
      </c>
      <c r="H642" t="s">
        <v>8</v>
      </c>
      <c r="I642" t="s">
        <v>408</v>
      </c>
      <c r="J642">
        <v>948</v>
      </c>
    </row>
    <row r="643" spans="1:10" x14ac:dyDescent="0.25">
      <c r="A643" t="str">
        <f>I643&amp;B643&amp;C643&amp;D643</f>
        <v>GY 17 WINTER 22018412</v>
      </c>
      <c r="B643">
        <v>2018</v>
      </c>
      <c r="C643">
        <v>4</v>
      </c>
      <c r="D643">
        <v>12</v>
      </c>
      <c r="E643" t="s">
        <v>99</v>
      </c>
      <c r="F643" t="s">
        <v>84</v>
      </c>
      <c r="G643" t="s">
        <v>29</v>
      </c>
      <c r="H643" t="s">
        <v>8</v>
      </c>
      <c r="I643" t="s">
        <v>409</v>
      </c>
      <c r="J643">
        <v>1035</v>
      </c>
    </row>
    <row r="644" spans="1:10" x14ac:dyDescent="0.25">
      <c r="A644" t="str">
        <f>I644&amp;B644&amp;C644&amp;D644</f>
        <v>GY 17 WINTER 32018412</v>
      </c>
      <c r="B644">
        <v>2018</v>
      </c>
      <c r="C644">
        <v>4</v>
      </c>
      <c r="D644">
        <v>12</v>
      </c>
      <c r="E644" t="s">
        <v>99</v>
      </c>
      <c r="F644" t="s">
        <v>84</v>
      </c>
      <c r="G644" t="s">
        <v>29</v>
      </c>
      <c r="H644" t="s">
        <v>8</v>
      </c>
      <c r="I644" t="s">
        <v>410</v>
      </c>
      <c r="J644">
        <v>2646</v>
      </c>
    </row>
    <row r="645" spans="1:10" x14ac:dyDescent="0.25">
      <c r="A645" t="str">
        <f>I645&amp;B645&amp;C645&amp;D645</f>
        <v>GY 18 BTS2018412</v>
      </c>
      <c r="B645">
        <v>2018</v>
      </c>
      <c r="C645">
        <v>4</v>
      </c>
      <c r="D645">
        <v>12</v>
      </c>
      <c r="E645" t="s">
        <v>99</v>
      </c>
      <c r="F645" t="s">
        <v>84</v>
      </c>
      <c r="G645" t="s">
        <v>29</v>
      </c>
      <c r="H645" t="s">
        <v>54</v>
      </c>
      <c r="I645" t="s">
        <v>428</v>
      </c>
      <c r="J645">
        <v>318399</v>
      </c>
    </row>
    <row r="646" spans="1:10" x14ac:dyDescent="0.25">
      <c r="A646" t="str">
        <f>I646&amp;B646&amp;C646&amp;D646</f>
        <v>GY 18 DRESSY2018412</v>
      </c>
      <c r="B646">
        <v>2018</v>
      </c>
      <c r="C646">
        <v>4</v>
      </c>
      <c r="D646">
        <v>12</v>
      </c>
      <c r="E646" t="s">
        <v>99</v>
      </c>
      <c r="F646" t="s">
        <v>84</v>
      </c>
      <c r="G646" t="s">
        <v>29</v>
      </c>
      <c r="H646" t="s">
        <v>5</v>
      </c>
      <c r="I646" t="s">
        <v>185</v>
      </c>
      <c r="J646">
        <v>0</v>
      </c>
    </row>
    <row r="647" spans="1:10" x14ac:dyDescent="0.25">
      <c r="A647" t="str">
        <f>I647&amp;B647&amp;C647&amp;D647</f>
        <v>GY 18 FAL2018412</v>
      </c>
      <c r="B647">
        <v>2018</v>
      </c>
      <c r="C647">
        <v>4</v>
      </c>
      <c r="D647">
        <v>12</v>
      </c>
      <c r="E647" t="s">
        <v>99</v>
      </c>
      <c r="F647" t="s">
        <v>84</v>
      </c>
      <c r="G647" t="s">
        <v>29</v>
      </c>
      <c r="H647" t="s">
        <v>54</v>
      </c>
      <c r="I647" t="s">
        <v>427</v>
      </c>
      <c r="J647">
        <v>109703</v>
      </c>
    </row>
    <row r="648" spans="1:10" x14ac:dyDescent="0.25">
      <c r="A648" t="str">
        <f>I648&amp;B648&amp;C648&amp;D648</f>
        <v>GY 18 FALL 12018412</v>
      </c>
      <c r="B648">
        <v>2018</v>
      </c>
      <c r="C648">
        <v>4</v>
      </c>
      <c r="D648">
        <v>12</v>
      </c>
      <c r="E648" t="s">
        <v>99</v>
      </c>
      <c r="F648" t="s">
        <v>84</v>
      </c>
      <c r="G648" t="s">
        <v>29</v>
      </c>
      <c r="H648" t="s">
        <v>54</v>
      </c>
      <c r="I648" t="s">
        <v>429</v>
      </c>
      <c r="J648">
        <v>39915</v>
      </c>
    </row>
    <row r="649" spans="1:10" x14ac:dyDescent="0.25">
      <c r="A649" t="str">
        <f>I649&amp;B649&amp;C649&amp;D649</f>
        <v>GY 18 FALL 22018412</v>
      </c>
      <c r="B649">
        <v>2018</v>
      </c>
      <c r="C649">
        <v>4</v>
      </c>
      <c r="D649">
        <v>12</v>
      </c>
      <c r="E649" t="s">
        <v>99</v>
      </c>
      <c r="F649" t="s">
        <v>84</v>
      </c>
      <c r="G649" t="s">
        <v>29</v>
      </c>
      <c r="H649" t="s">
        <v>54</v>
      </c>
      <c r="I649" t="s">
        <v>430</v>
      </c>
      <c r="J649">
        <v>0</v>
      </c>
    </row>
    <row r="650" spans="1:10" x14ac:dyDescent="0.25">
      <c r="A650" t="str">
        <f>I650&amp;B650&amp;C650&amp;D650</f>
        <v>GY 18 FALL BASICS2018412</v>
      </c>
      <c r="B650">
        <v>2018</v>
      </c>
      <c r="C650">
        <v>4</v>
      </c>
      <c r="D650">
        <v>12</v>
      </c>
      <c r="E650" t="s">
        <v>99</v>
      </c>
      <c r="F650" t="s">
        <v>84</v>
      </c>
      <c r="G650" t="s">
        <v>29</v>
      </c>
      <c r="H650" t="s">
        <v>10</v>
      </c>
      <c r="I650" t="s">
        <v>175</v>
      </c>
      <c r="J650">
        <v>168400</v>
      </c>
    </row>
    <row r="651" spans="1:10" x14ac:dyDescent="0.25">
      <c r="A651" t="str">
        <f>I651&amp;B651&amp;C651&amp;D651</f>
        <v>GY 18 SM22018412</v>
      </c>
      <c r="B651">
        <v>2018</v>
      </c>
      <c r="C651">
        <v>4</v>
      </c>
      <c r="D651">
        <v>12</v>
      </c>
      <c r="E651" t="s">
        <v>99</v>
      </c>
      <c r="F651" t="s">
        <v>84</v>
      </c>
      <c r="G651" t="s">
        <v>29</v>
      </c>
      <c r="H651" t="s">
        <v>6</v>
      </c>
      <c r="I651" t="s">
        <v>193</v>
      </c>
      <c r="J651">
        <v>0</v>
      </c>
    </row>
    <row r="652" spans="1:10" x14ac:dyDescent="0.25">
      <c r="A652" t="str">
        <f>I652&amp;B652&amp;C652&amp;D652</f>
        <v>GY 18 SM32018412</v>
      </c>
      <c r="B652">
        <v>2018</v>
      </c>
      <c r="C652">
        <v>4</v>
      </c>
      <c r="D652">
        <v>12</v>
      </c>
      <c r="E652" t="s">
        <v>99</v>
      </c>
      <c r="F652" t="s">
        <v>84</v>
      </c>
      <c r="G652" t="s">
        <v>29</v>
      </c>
      <c r="H652" t="s">
        <v>6</v>
      </c>
      <c r="I652" t="s">
        <v>195</v>
      </c>
      <c r="J652">
        <v>4730</v>
      </c>
    </row>
    <row r="653" spans="1:10" x14ac:dyDescent="0.25">
      <c r="A653" t="str">
        <f>I653&amp;B653&amp;C653&amp;D653</f>
        <v>GY 18 SM42018412</v>
      </c>
      <c r="B653">
        <v>2018</v>
      </c>
      <c r="C653">
        <v>4</v>
      </c>
      <c r="D653">
        <v>12</v>
      </c>
      <c r="E653" t="s">
        <v>99</v>
      </c>
      <c r="F653" t="s">
        <v>84</v>
      </c>
      <c r="G653" t="s">
        <v>29</v>
      </c>
      <c r="H653" t="s">
        <v>6</v>
      </c>
      <c r="I653" t="s">
        <v>199</v>
      </c>
      <c r="J653">
        <v>108298</v>
      </c>
    </row>
    <row r="654" spans="1:10" x14ac:dyDescent="0.25">
      <c r="A654" t="str">
        <f>I654&amp;B654&amp;C654&amp;D654</f>
        <v>GY 18 SM52018412</v>
      </c>
      <c r="B654">
        <v>2018</v>
      </c>
      <c r="C654">
        <v>4</v>
      </c>
      <c r="D654">
        <v>12</v>
      </c>
      <c r="E654" t="s">
        <v>99</v>
      </c>
      <c r="F654" t="s">
        <v>84</v>
      </c>
      <c r="G654" t="s">
        <v>29</v>
      </c>
      <c r="H654" t="s">
        <v>6</v>
      </c>
      <c r="I654" t="s">
        <v>201</v>
      </c>
      <c r="J654">
        <v>156325</v>
      </c>
    </row>
    <row r="655" spans="1:10" x14ac:dyDescent="0.25">
      <c r="A655" t="str">
        <f>I655&amp;B655&amp;C655&amp;D655</f>
        <v>GY 18 SMR2018412</v>
      </c>
      <c r="B655">
        <v>2018</v>
      </c>
      <c r="C655">
        <v>4</v>
      </c>
      <c r="D655">
        <v>12</v>
      </c>
      <c r="E655" t="s">
        <v>99</v>
      </c>
      <c r="F655" t="s">
        <v>84</v>
      </c>
      <c r="G655" t="s">
        <v>29</v>
      </c>
      <c r="H655" t="s">
        <v>6</v>
      </c>
      <c r="I655" t="s">
        <v>203</v>
      </c>
      <c r="J655">
        <v>18608</v>
      </c>
    </row>
    <row r="656" spans="1:10" x14ac:dyDescent="0.25">
      <c r="A656" t="str">
        <f>I656&amp;B656&amp;C656&amp;D656</f>
        <v>GY 18 SPR2018412</v>
      </c>
      <c r="B656">
        <v>2018</v>
      </c>
      <c r="C656">
        <v>4</v>
      </c>
      <c r="D656">
        <v>12</v>
      </c>
      <c r="E656" t="s">
        <v>99</v>
      </c>
      <c r="F656" t="s">
        <v>84</v>
      </c>
      <c r="G656" t="s">
        <v>29</v>
      </c>
      <c r="H656" t="s">
        <v>5</v>
      </c>
      <c r="I656" t="s">
        <v>177</v>
      </c>
      <c r="J656">
        <v>0</v>
      </c>
    </row>
    <row r="657" spans="1:10" x14ac:dyDescent="0.25">
      <c r="A657" t="str">
        <f>I657&amp;B657&amp;C657&amp;D657</f>
        <v>GY 18 SPR 12018412</v>
      </c>
      <c r="B657">
        <v>2018</v>
      </c>
      <c r="C657">
        <v>4</v>
      </c>
      <c r="D657">
        <v>12</v>
      </c>
      <c r="E657" t="s">
        <v>99</v>
      </c>
      <c r="F657" t="s">
        <v>84</v>
      </c>
      <c r="G657" t="s">
        <v>29</v>
      </c>
      <c r="H657" t="s">
        <v>5</v>
      </c>
      <c r="I657" t="s">
        <v>179</v>
      </c>
      <c r="J657">
        <v>0</v>
      </c>
    </row>
    <row r="658" spans="1:10" x14ac:dyDescent="0.25">
      <c r="A658" t="str">
        <f>I658&amp;B658&amp;C658&amp;D658</f>
        <v>GY 18 SPR 22018412</v>
      </c>
      <c r="B658">
        <v>2018</v>
      </c>
      <c r="C658">
        <v>4</v>
      </c>
      <c r="D658">
        <v>12</v>
      </c>
      <c r="E658" t="s">
        <v>99</v>
      </c>
      <c r="F658" t="s">
        <v>84</v>
      </c>
      <c r="G658" t="s">
        <v>29</v>
      </c>
      <c r="H658" t="s">
        <v>5</v>
      </c>
      <c r="I658" t="s">
        <v>181</v>
      </c>
      <c r="J658">
        <v>0</v>
      </c>
    </row>
    <row r="659" spans="1:10" x14ac:dyDescent="0.25">
      <c r="A659" t="str">
        <f>I659&amp;B659&amp;C659&amp;D659</f>
        <v>GY 18 SPR VACA2018412</v>
      </c>
      <c r="B659">
        <v>2018</v>
      </c>
      <c r="C659">
        <v>4</v>
      </c>
      <c r="D659">
        <v>12</v>
      </c>
      <c r="E659" t="s">
        <v>99</v>
      </c>
      <c r="F659" t="s">
        <v>84</v>
      </c>
      <c r="G659" t="s">
        <v>29</v>
      </c>
      <c r="H659" t="s">
        <v>5</v>
      </c>
      <c r="I659" t="s">
        <v>187</v>
      </c>
      <c r="J659">
        <v>0</v>
      </c>
    </row>
    <row r="660" spans="1:10" x14ac:dyDescent="0.25">
      <c r="A660" t="str">
        <f>I660&amp;B660&amp;C660&amp;D660</f>
        <v>GY 18 SPRING BASICS2018412</v>
      </c>
      <c r="B660">
        <v>2018</v>
      </c>
      <c r="C660">
        <v>4</v>
      </c>
      <c r="D660">
        <v>12</v>
      </c>
      <c r="E660" t="s">
        <v>99</v>
      </c>
      <c r="F660" t="s">
        <v>84</v>
      </c>
      <c r="G660" t="s">
        <v>29</v>
      </c>
      <c r="H660" t="s">
        <v>10</v>
      </c>
      <c r="I660" t="s">
        <v>173</v>
      </c>
      <c r="J660">
        <v>99407</v>
      </c>
    </row>
    <row r="661" spans="1:10" x14ac:dyDescent="0.25">
      <c r="A661" t="str">
        <f>I661&amp;B661&amp;C661&amp;D661</f>
        <v>GY 18 SUM 12018412</v>
      </c>
      <c r="B661">
        <v>2018</v>
      </c>
      <c r="C661">
        <v>4</v>
      </c>
      <c r="D661">
        <v>12</v>
      </c>
      <c r="E661" t="s">
        <v>99</v>
      </c>
      <c r="F661" t="s">
        <v>84</v>
      </c>
      <c r="G661" t="s">
        <v>29</v>
      </c>
      <c r="H661" t="s">
        <v>5</v>
      </c>
      <c r="I661" t="s">
        <v>189</v>
      </c>
      <c r="J661">
        <v>-1</v>
      </c>
    </row>
    <row r="662" spans="1:10" x14ac:dyDescent="0.25">
      <c r="A662" t="str">
        <f>I662&amp;B662&amp;C662&amp;D662</f>
        <v>GY 18 SWIM 12018412</v>
      </c>
      <c r="B662">
        <v>2018</v>
      </c>
      <c r="C662">
        <v>4</v>
      </c>
      <c r="D662">
        <v>12</v>
      </c>
      <c r="E662" t="s">
        <v>99</v>
      </c>
      <c r="F662" t="s">
        <v>84</v>
      </c>
      <c r="G662" t="s">
        <v>29</v>
      </c>
      <c r="H662" t="s">
        <v>5</v>
      </c>
      <c r="I662" t="s">
        <v>183</v>
      </c>
      <c r="J662">
        <v>3891</v>
      </c>
    </row>
    <row r="663" spans="1:10" x14ac:dyDescent="0.25">
      <c r="A663" t="str">
        <f>I663&amp;B663&amp;C663&amp;D663</f>
        <v>GY 18 SWIM 22018412</v>
      </c>
      <c r="B663">
        <v>2018</v>
      </c>
      <c r="C663">
        <v>4</v>
      </c>
      <c r="D663">
        <v>12</v>
      </c>
      <c r="E663" t="s">
        <v>99</v>
      </c>
      <c r="F663" t="s">
        <v>84</v>
      </c>
      <c r="G663" t="s">
        <v>29</v>
      </c>
      <c r="H663" t="s">
        <v>5</v>
      </c>
      <c r="I663" t="s">
        <v>191</v>
      </c>
      <c r="J663">
        <v>39671</v>
      </c>
    </row>
    <row r="664" spans="1:10" x14ac:dyDescent="0.25">
      <c r="A664" t="str">
        <f>I664&amp;B664&amp;C664&amp;D664</f>
        <v>GY 18 SWIM 32018412</v>
      </c>
      <c r="B664">
        <v>2018</v>
      </c>
      <c r="C664">
        <v>4</v>
      </c>
      <c r="D664">
        <v>12</v>
      </c>
      <c r="E664" t="s">
        <v>99</v>
      </c>
      <c r="F664" t="s">
        <v>84</v>
      </c>
      <c r="G664" t="s">
        <v>29</v>
      </c>
      <c r="H664" t="s">
        <v>6</v>
      </c>
      <c r="I664" t="s">
        <v>197</v>
      </c>
      <c r="J664">
        <v>3256</v>
      </c>
    </row>
    <row r="665" spans="1:10" x14ac:dyDescent="0.25">
      <c r="A665" t="str">
        <f>I665&amp;B665&amp;C665&amp;D665</f>
        <v>GY 18 VDAY2018412</v>
      </c>
      <c r="B665">
        <v>2018</v>
      </c>
      <c r="C665">
        <v>4</v>
      </c>
      <c r="D665">
        <v>12</v>
      </c>
      <c r="E665" t="s">
        <v>99</v>
      </c>
      <c r="F665" t="s">
        <v>84</v>
      </c>
      <c r="G665" t="s">
        <v>29</v>
      </c>
      <c r="H665" t="s">
        <v>8</v>
      </c>
      <c r="I665" t="s">
        <v>396</v>
      </c>
      <c r="J665">
        <v>1659</v>
      </c>
    </row>
    <row r="666" spans="1:10" x14ac:dyDescent="0.25">
      <c r="A666" t="str">
        <f>I666&amp;B666&amp;C666&amp;D666</f>
        <v>GY YRLY BASICS2018412</v>
      </c>
      <c r="B666">
        <v>2018</v>
      </c>
      <c r="C666">
        <v>4</v>
      </c>
      <c r="D666">
        <v>12</v>
      </c>
      <c r="E666" t="s">
        <v>99</v>
      </c>
      <c r="F666" t="s">
        <v>84</v>
      </c>
      <c r="G666" t="s">
        <v>29</v>
      </c>
      <c r="H666" t="s">
        <v>10</v>
      </c>
      <c r="I666" t="s">
        <v>349</v>
      </c>
      <c r="J666">
        <v>741370</v>
      </c>
    </row>
    <row r="667" spans="1:10" x14ac:dyDescent="0.25">
      <c r="A667" t="str">
        <f>I667&amp;B667&amp;C667&amp;D667</f>
        <v>GY YRLY DENIM2018412</v>
      </c>
      <c r="B667">
        <v>2018</v>
      </c>
      <c r="C667">
        <v>4</v>
      </c>
      <c r="D667">
        <v>12</v>
      </c>
      <c r="E667" t="s">
        <v>99</v>
      </c>
      <c r="F667" t="s">
        <v>84</v>
      </c>
      <c r="G667" t="s">
        <v>29</v>
      </c>
      <c r="H667" t="s">
        <v>10</v>
      </c>
      <c r="I667" t="s">
        <v>350</v>
      </c>
      <c r="J667">
        <v>359811</v>
      </c>
    </row>
    <row r="668" spans="1:10" x14ac:dyDescent="0.25">
      <c r="A668" t="str">
        <f>I668&amp;B668&amp;C668&amp;D668</f>
        <v>GY YRLY UNIFORM2018412</v>
      </c>
      <c r="B668">
        <v>2018</v>
      </c>
      <c r="C668">
        <v>4</v>
      </c>
      <c r="D668">
        <v>12</v>
      </c>
      <c r="E668" t="s">
        <v>99</v>
      </c>
      <c r="F668" t="s">
        <v>84</v>
      </c>
      <c r="G668" t="s">
        <v>29</v>
      </c>
      <c r="H668" t="s">
        <v>10</v>
      </c>
      <c r="I668" t="s">
        <v>351</v>
      </c>
      <c r="J668">
        <v>31137</v>
      </c>
    </row>
    <row r="669" spans="1:10" x14ac:dyDescent="0.25">
      <c r="A669" t="str">
        <f>I669&amp;B669&amp;C669&amp;D669</f>
        <v>Old2018412</v>
      </c>
      <c r="B669">
        <v>2018</v>
      </c>
      <c r="C669">
        <v>4</v>
      </c>
      <c r="D669">
        <v>12</v>
      </c>
      <c r="E669" t="s">
        <v>99</v>
      </c>
      <c r="F669" t="s">
        <v>84</v>
      </c>
      <c r="G669" t="s">
        <v>29</v>
      </c>
      <c r="H669" t="s">
        <v>434</v>
      </c>
      <c r="I669" t="s">
        <v>434</v>
      </c>
      <c r="J669">
        <v>12677</v>
      </c>
    </row>
    <row r="670" spans="1:10" x14ac:dyDescent="0.25">
      <c r="A670" t="str">
        <f>I670&amp;B670&amp;C670&amp;D670</f>
        <v>Winter 172018412</v>
      </c>
      <c r="B670">
        <v>2018</v>
      </c>
      <c r="C670">
        <v>4</v>
      </c>
      <c r="D670">
        <v>12</v>
      </c>
      <c r="E670" t="s">
        <v>99</v>
      </c>
      <c r="F670" t="s">
        <v>84</v>
      </c>
      <c r="G670" t="s">
        <v>29</v>
      </c>
      <c r="H670" t="s">
        <v>435</v>
      </c>
      <c r="I670" t="s">
        <v>435</v>
      </c>
      <c r="J670">
        <v>7190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521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9" t="s">
        <v>422</v>
      </c>
      <c r="B1" s="189" t="s">
        <v>358</v>
      </c>
      <c r="C1" s="189" t="s">
        <v>393</v>
      </c>
      <c r="D1" s="189" t="s">
        <v>424</v>
      </c>
      <c r="E1" s="189" t="s">
        <v>359</v>
      </c>
      <c r="F1" s="189" t="s">
        <v>361</v>
      </c>
      <c r="G1" s="189" t="s">
        <v>360</v>
      </c>
      <c r="H1" s="189" t="s">
        <v>362</v>
      </c>
      <c r="I1" s="189" t="s">
        <v>363</v>
      </c>
      <c r="J1" s="189" t="s">
        <v>459</v>
      </c>
    </row>
    <row r="2" spans="1:13" x14ac:dyDescent="0.25">
      <c r="A2" t="str">
        <f>I2&amp;B2&amp;C2&amp;D2</f>
        <v>GY 17 SPRING BASICS201711</v>
      </c>
      <c r="B2">
        <v>2017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10</v>
      </c>
      <c r="I2" t="s">
        <v>174</v>
      </c>
      <c r="J2">
        <v>1073761</v>
      </c>
      <c r="M2" t="s">
        <v>460</v>
      </c>
    </row>
    <row r="3" spans="1:13" x14ac:dyDescent="0.25">
      <c r="A3" t="str">
        <f>I3&amp;B3&amp;C3&amp;D3</f>
        <v>GY YRLY BASICS201711</v>
      </c>
      <c r="B3">
        <v>2017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10</v>
      </c>
      <c r="I3" t="s">
        <v>349</v>
      </c>
      <c r="J3">
        <v>736339</v>
      </c>
    </row>
    <row r="4" spans="1:13" x14ac:dyDescent="0.25">
      <c r="A4" t="str">
        <f>I4&amp;B4&amp;C4&amp;D4</f>
        <v>GY YRLY DENIM201711</v>
      </c>
      <c r="B4">
        <v>2017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10</v>
      </c>
      <c r="I4" t="s">
        <v>350</v>
      </c>
      <c r="J4">
        <v>251759</v>
      </c>
    </row>
    <row r="5" spans="1:13" x14ac:dyDescent="0.25">
      <c r="A5" t="str">
        <f>I5&amp;B5&amp;C5&amp;D5</f>
        <v>GY YRLY UNIFORM201711</v>
      </c>
      <c r="B5">
        <v>2017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10</v>
      </c>
      <c r="I5" t="s">
        <v>351</v>
      </c>
      <c r="J5">
        <v>100772</v>
      </c>
    </row>
    <row r="6" spans="1:13" x14ac:dyDescent="0.25">
      <c r="A6" t="str">
        <f>I6&amp;B6&amp;C6&amp;D6</f>
        <v>Old201711</v>
      </c>
      <c r="B6">
        <v>2017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434</v>
      </c>
      <c r="I6" t="s">
        <v>434</v>
      </c>
      <c r="J6">
        <v>5605227</v>
      </c>
    </row>
    <row r="7" spans="1:13" x14ac:dyDescent="0.25">
      <c r="A7" t="str">
        <f>I7&amp;B7&amp;C7&amp;D7</f>
        <v>GY WEBSTORE SKU201711</v>
      </c>
      <c r="B7">
        <v>2017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462</v>
      </c>
      <c r="I7" t="s">
        <v>352</v>
      </c>
      <c r="J7">
        <v>18</v>
      </c>
    </row>
    <row r="8" spans="1:13" x14ac:dyDescent="0.25">
      <c r="A8" t="str">
        <f>I8&amp;B8&amp;C8&amp;D8</f>
        <v>GY 17 DRSY CAP201711</v>
      </c>
      <c r="B8">
        <v>2017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</v>
      </c>
      <c r="I8" t="s">
        <v>186</v>
      </c>
      <c r="J8">
        <v>742382</v>
      </c>
    </row>
    <row r="9" spans="1:13" x14ac:dyDescent="0.25">
      <c r="A9" t="str">
        <f>I9&amp;B9&amp;C9&amp;D9</f>
        <v>GY 17 SPR201711</v>
      </c>
      <c r="B9">
        <v>2017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</v>
      </c>
      <c r="I9" t="s">
        <v>178</v>
      </c>
      <c r="J9">
        <v>1032816</v>
      </c>
    </row>
    <row r="10" spans="1:13" x14ac:dyDescent="0.25">
      <c r="A10" t="str">
        <f>I10&amp;B10&amp;C10&amp;D10</f>
        <v>GY 17 SPR 1201711</v>
      </c>
      <c r="B10">
        <v>2017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5</v>
      </c>
      <c r="I10" t="s">
        <v>180</v>
      </c>
      <c r="J10">
        <v>696695</v>
      </c>
    </row>
    <row r="11" spans="1:13" x14ac:dyDescent="0.25">
      <c r="A11" t="str">
        <f>I11&amp;B11&amp;C11&amp;D11</f>
        <v>GY 17 SPR 2201711</v>
      </c>
      <c r="B11">
        <v>2017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</v>
      </c>
      <c r="I11" t="s">
        <v>182</v>
      </c>
      <c r="J11">
        <v>623269</v>
      </c>
    </row>
    <row r="12" spans="1:13" x14ac:dyDescent="0.25">
      <c r="A12" t="str">
        <f>I12&amp;B12&amp;C12&amp;D12</f>
        <v>GY 17 SPR VAC201711</v>
      </c>
      <c r="B12">
        <v>2017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5</v>
      </c>
      <c r="I12" t="s">
        <v>188</v>
      </c>
      <c r="J12">
        <v>1215009</v>
      </c>
    </row>
    <row r="13" spans="1:13" x14ac:dyDescent="0.25">
      <c r="A13" t="str">
        <f>I13&amp;B13&amp;C13&amp;D13</f>
        <v>GY 17 SUM 1201711</v>
      </c>
      <c r="B13">
        <v>2017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5</v>
      </c>
      <c r="I13" t="s">
        <v>190</v>
      </c>
      <c r="J13">
        <v>359320</v>
      </c>
    </row>
    <row r="14" spans="1:13" x14ac:dyDescent="0.25">
      <c r="A14" t="str">
        <f>I14&amp;B14&amp;C14&amp;D14</f>
        <v>GY 17 SWIM 1201711</v>
      </c>
      <c r="B14">
        <v>2017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5</v>
      </c>
      <c r="I14" t="s">
        <v>184</v>
      </c>
      <c r="J14">
        <v>94083</v>
      </c>
    </row>
    <row r="15" spans="1:13" x14ac:dyDescent="0.25">
      <c r="A15" t="str">
        <f>I15&amp;B15&amp;C15&amp;D15</f>
        <v>GY 17 SWIM 2201711</v>
      </c>
      <c r="B15">
        <v>2017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5</v>
      </c>
      <c r="I15" t="s">
        <v>192</v>
      </c>
      <c r="J15">
        <v>342467</v>
      </c>
    </row>
    <row r="16" spans="1:13" x14ac:dyDescent="0.25">
      <c r="A16" t="str">
        <f>I16&amp;B16&amp;C16&amp;D16</f>
        <v>GY 17 CAP201711</v>
      </c>
      <c r="B16">
        <v>2017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404</v>
      </c>
      <c r="J16">
        <v>-1</v>
      </c>
    </row>
    <row r="17" spans="1:10" x14ac:dyDescent="0.25">
      <c r="A17" t="str">
        <f>I17&amp;B17&amp;C17&amp;D17</f>
        <v>GY 17 SM2201711</v>
      </c>
      <c r="B17">
        <v>2017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194</v>
      </c>
      <c r="J17">
        <v>5566</v>
      </c>
    </row>
    <row r="18" spans="1:10" x14ac:dyDescent="0.25">
      <c r="A18" t="str">
        <f>I18&amp;B18&amp;C18&amp;D18</f>
        <v>GY 17 SM3201711</v>
      </c>
      <c r="B18">
        <v>2017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6</v>
      </c>
      <c r="I18" t="s">
        <v>196</v>
      </c>
      <c r="J18">
        <v>-1</v>
      </c>
    </row>
    <row r="19" spans="1:10" x14ac:dyDescent="0.25">
      <c r="A19" t="str">
        <f>I19&amp;B19&amp;C19&amp;D19</f>
        <v>GY 17 SM4201711</v>
      </c>
      <c r="B19">
        <v>2017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6</v>
      </c>
      <c r="I19" t="s">
        <v>200</v>
      </c>
      <c r="J19">
        <v>-2</v>
      </c>
    </row>
    <row r="20" spans="1:10" x14ac:dyDescent="0.25">
      <c r="A20" t="str">
        <f>I20&amp;B20&amp;C20&amp;D20</f>
        <v>GY 17 SMR201711</v>
      </c>
      <c r="B20">
        <v>2017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6</v>
      </c>
      <c r="I20" t="s">
        <v>204</v>
      </c>
      <c r="J20">
        <v>493624</v>
      </c>
    </row>
    <row r="21" spans="1:10" x14ac:dyDescent="0.25">
      <c r="A21" t="str">
        <f>I21&amp;B21&amp;C21&amp;D21</f>
        <v>GY 17 JAN CAP201711</v>
      </c>
      <c r="B21">
        <v>2017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407</v>
      </c>
      <c r="J21">
        <v>135677</v>
      </c>
    </row>
    <row r="22" spans="1:10" x14ac:dyDescent="0.25">
      <c r="A22" t="str">
        <f>I22&amp;B22&amp;C22&amp;D22</f>
        <v>Winter 17201711</v>
      </c>
      <c r="B22">
        <v>2017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435</v>
      </c>
      <c r="I22" t="s">
        <v>435</v>
      </c>
      <c r="J22">
        <v>135677</v>
      </c>
    </row>
    <row r="23" spans="1:10" x14ac:dyDescent="0.25">
      <c r="A23" t="str">
        <f>I23&amp;B23&amp;C23&amp;D23</f>
        <v>GY 17 SPRING BASICS201712</v>
      </c>
      <c r="B23">
        <v>2017</v>
      </c>
      <c r="C23">
        <v>1</v>
      </c>
      <c r="D23">
        <v>2</v>
      </c>
      <c r="E23" t="s">
        <v>99</v>
      </c>
      <c r="F23" t="s">
        <v>84</v>
      </c>
      <c r="G23" t="s">
        <v>29</v>
      </c>
      <c r="H23" t="s">
        <v>10</v>
      </c>
      <c r="I23" t="s">
        <v>174</v>
      </c>
      <c r="J23">
        <v>1213632</v>
      </c>
    </row>
    <row r="24" spans="1:10" x14ac:dyDescent="0.25">
      <c r="A24" t="str">
        <f>I24&amp;B24&amp;C24&amp;D24</f>
        <v>GY YRLY BASICS201712</v>
      </c>
      <c r="B24">
        <v>2017</v>
      </c>
      <c r="C24">
        <v>1</v>
      </c>
      <c r="D24">
        <v>2</v>
      </c>
      <c r="E24" t="s">
        <v>99</v>
      </c>
      <c r="F24" t="s">
        <v>84</v>
      </c>
      <c r="G24" t="s">
        <v>29</v>
      </c>
      <c r="H24" t="s">
        <v>10</v>
      </c>
      <c r="I24" t="s">
        <v>349</v>
      </c>
      <c r="J24">
        <v>653718</v>
      </c>
    </row>
    <row r="25" spans="1:10" x14ac:dyDescent="0.25">
      <c r="A25" t="str">
        <f>I25&amp;B25&amp;C25&amp;D25</f>
        <v>GY YRLY DENIM201712</v>
      </c>
      <c r="B25">
        <v>2017</v>
      </c>
      <c r="C25">
        <v>1</v>
      </c>
      <c r="D25">
        <v>2</v>
      </c>
      <c r="E25" t="s">
        <v>99</v>
      </c>
      <c r="F25" t="s">
        <v>84</v>
      </c>
      <c r="G25" t="s">
        <v>29</v>
      </c>
      <c r="H25" t="s">
        <v>10</v>
      </c>
      <c r="I25" t="s">
        <v>350</v>
      </c>
      <c r="J25">
        <v>225355</v>
      </c>
    </row>
    <row r="26" spans="1:10" x14ac:dyDescent="0.25">
      <c r="A26" t="str">
        <f>I26&amp;B26&amp;C26&amp;D26</f>
        <v>GY YRLY UNIFORM201712</v>
      </c>
      <c r="B26">
        <v>2017</v>
      </c>
      <c r="C26">
        <v>1</v>
      </c>
      <c r="D26">
        <v>2</v>
      </c>
      <c r="E26" t="s">
        <v>99</v>
      </c>
      <c r="F26" t="s">
        <v>84</v>
      </c>
      <c r="G26" t="s">
        <v>29</v>
      </c>
      <c r="H26" t="s">
        <v>10</v>
      </c>
      <c r="I26" t="s">
        <v>351</v>
      </c>
      <c r="J26">
        <v>39960</v>
      </c>
    </row>
    <row r="27" spans="1:10" x14ac:dyDescent="0.25">
      <c r="A27" t="str">
        <f>I27&amp;B27&amp;C27&amp;D27</f>
        <v>GY 17 FAL201712</v>
      </c>
      <c r="B27">
        <v>2017</v>
      </c>
      <c r="C27">
        <v>1</v>
      </c>
      <c r="D27">
        <v>2</v>
      </c>
      <c r="E27" t="s">
        <v>99</v>
      </c>
      <c r="F27" t="s">
        <v>84</v>
      </c>
      <c r="G27" t="s">
        <v>29</v>
      </c>
      <c r="H27" t="s">
        <v>54</v>
      </c>
      <c r="I27" t="s">
        <v>398</v>
      </c>
      <c r="J27">
        <v>-1</v>
      </c>
    </row>
    <row r="28" spans="1:10" x14ac:dyDescent="0.25">
      <c r="A28" t="str">
        <f>I28&amp;B28&amp;C28&amp;D28</f>
        <v>GY 17 FALL 2201712</v>
      </c>
      <c r="B28">
        <v>2017</v>
      </c>
      <c r="C28">
        <v>1</v>
      </c>
      <c r="D28">
        <v>2</v>
      </c>
      <c r="E28" t="s">
        <v>99</v>
      </c>
      <c r="F28" t="s">
        <v>84</v>
      </c>
      <c r="G28" t="s">
        <v>29</v>
      </c>
      <c r="H28" t="s">
        <v>54</v>
      </c>
      <c r="I28" t="s">
        <v>400</v>
      </c>
      <c r="J28">
        <v>-10</v>
      </c>
    </row>
    <row r="29" spans="1:10" x14ac:dyDescent="0.25">
      <c r="A29" t="str">
        <f>I29&amp;B29&amp;C29&amp;D29</f>
        <v>GY 17 FALL 3201712</v>
      </c>
      <c r="B29">
        <v>2017</v>
      </c>
      <c r="C29">
        <v>1</v>
      </c>
      <c r="D29">
        <v>2</v>
      </c>
      <c r="E29" t="s">
        <v>99</v>
      </c>
      <c r="F29" t="s">
        <v>84</v>
      </c>
      <c r="G29" t="s">
        <v>29</v>
      </c>
      <c r="H29" t="s">
        <v>54</v>
      </c>
      <c r="I29" t="s">
        <v>401</v>
      </c>
      <c r="J29">
        <v>-2</v>
      </c>
    </row>
    <row r="30" spans="1:10" x14ac:dyDescent="0.25">
      <c r="A30" t="str">
        <f>I30&amp;B30&amp;C30&amp;D30</f>
        <v>GY 17 FALL 4201712</v>
      </c>
      <c r="B30">
        <v>2017</v>
      </c>
      <c r="C30">
        <v>1</v>
      </c>
      <c r="D30">
        <v>2</v>
      </c>
      <c r="E30" t="s">
        <v>99</v>
      </c>
      <c r="F30" t="s">
        <v>84</v>
      </c>
      <c r="G30" t="s">
        <v>29</v>
      </c>
      <c r="H30" t="s">
        <v>54</v>
      </c>
      <c r="I30" t="s">
        <v>402</v>
      </c>
      <c r="J30">
        <v>-1</v>
      </c>
    </row>
    <row r="31" spans="1:10" x14ac:dyDescent="0.25">
      <c r="A31" t="str">
        <f>I31&amp;B31&amp;C31&amp;D31</f>
        <v>GY 17 HO HO SHOP201712</v>
      </c>
      <c r="B31">
        <v>2017</v>
      </c>
      <c r="C31">
        <v>1</v>
      </c>
      <c r="D31">
        <v>2</v>
      </c>
      <c r="E31" t="s">
        <v>99</v>
      </c>
      <c r="F31" t="s">
        <v>84</v>
      </c>
      <c r="G31" t="s">
        <v>29</v>
      </c>
      <c r="H31" t="s">
        <v>54</v>
      </c>
      <c r="I31" t="s">
        <v>405</v>
      </c>
      <c r="J31">
        <v>-2</v>
      </c>
    </row>
    <row r="32" spans="1:10" x14ac:dyDescent="0.25">
      <c r="A32" t="str">
        <f>I32&amp;B32&amp;C32&amp;D32</f>
        <v>Old201712</v>
      </c>
      <c r="B32">
        <v>2017</v>
      </c>
      <c r="C32">
        <v>1</v>
      </c>
      <c r="D32">
        <v>2</v>
      </c>
      <c r="E32" t="s">
        <v>99</v>
      </c>
      <c r="F32" t="s">
        <v>84</v>
      </c>
      <c r="G32" t="s">
        <v>29</v>
      </c>
      <c r="H32" t="s">
        <v>434</v>
      </c>
      <c r="I32" t="s">
        <v>434</v>
      </c>
      <c r="J32">
        <v>8886671</v>
      </c>
    </row>
    <row r="33" spans="1:10" x14ac:dyDescent="0.25">
      <c r="A33" t="str">
        <f>I33&amp;B33&amp;C33&amp;D33</f>
        <v>GY WEBSTORE SKU201712</v>
      </c>
      <c r="B33">
        <v>2017</v>
      </c>
      <c r="C33">
        <v>1</v>
      </c>
      <c r="D33">
        <v>2</v>
      </c>
      <c r="E33" t="s">
        <v>99</v>
      </c>
      <c r="F33" t="s">
        <v>84</v>
      </c>
      <c r="G33" t="s">
        <v>29</v>
      </c>
      <c r="H33" t="s">
        <v>462</v>
      </c>
      <c r="I33" t="s">
        <v>352</v>
      </c>
      <c r="J33">
        <v>16</v>
      </c>
    </row>
    <row r="34" spans="1:10" x14ac:dyDescent="0.25">
      <c r="A34" t="str">
        <f>I34&amp;B34&amp;C34&amp;D34</f>
        <v>GY 17 DRSY CAP201712</v>
      </c>
      <c r="B34">
        <v>2017</v>
      </c>
      <c r="C34">
        <v>1</v>
      </c>
      <c r="D34">
        <v>2</v>
      </c>
      <c r="E34" t="s">
        <v>99</v>
      </c>
      <c r="F34" t="s">
        <v>84</v>
      </c>
      <c r="G34" t="s">
        <v>29</v>
      </c>
      <c r="H34" t="s">
        <v>5</v>
      </c>
      <c r="I34" t="s">
        <v>186</v>
      </c>
      <c r="J34">
        <v>444813</v>
      </c>
    </row>
    <row r="35" spans="1:10" x14ac:dyDescent="0.25">
      <c r="A35" t="str">
        <f>I35&amp;B35&amp;C35&amp;D35</f>
        <v>GY 17 SPR201712</v>
      </c>
      <c r="B35">
        <v>2017</v>
      </c>
      <c r="C35">
        <v>1</v>
      </c>
      <c r="D35">
        <v>2</v>
      </c>
      <c r="E35" t="s">
        <v>99</v>
      </c>
      <c r="F35" t="s">
        <v>84</v>
      </c>
      <c r="G35" t="s">
        <v>29</v>
      </c>
      <c r="H35" t="s">
        <v>5</v>
      </c>
      <c r="I35" t="s">
        <v>178</v>
      </c>
      <c r="J35">
        <v>770047</v>
      </c>
    </row>
    <row r="36" spans="1:10" x14ac:dyDescent="0.25">
      <c r="A36" t="str">
        <f>I36&amp;B36&amp;C36&amp;D36</f>
        <v>GY 17 SPR 1201712</v>
      </c>
      <c r="B36">
        <v>2017</v>
      </c>
      <c r="C36">
        <v>1</v>
      </c>
      <c r="D36">
        <v>2</v>
      </c>
      <c r="E36" t="s">
        <v>99</v>
      </c>
      <c r="F36" t="s">
        <v>84</v>
      </c>
      <c r="G36" t="s">
        <v>29</v>
      </c>
      <c r="H36" t="s">
        <v>5</v>
      </c>
      <c r="I36" t="s">
        <v>180</v>
      </c>
      <c r="J36">
        <v>463433</v>
      </c>
    </row>
    <row r="37" spans="1:10" x14ac:dyDescent="0.25">
      <c r="A37" t="str">
        <f>I37&amp;B37&amp;C37&amp;D37</f>
        <v>GY 17 SPR 2201712</v>
      </c>
      <c r="B37">
        <v>2017</v>
      </c>
      <c r="C37">
        <v>1</v>
      </c>
      <c r="D37">
        <v>2</v>
      </c>
      <c r="E37" t="s">
        <v>99</v>
      </c>
      <c r="F37" t="s">
        <v>84</v>
      </c>
      <c r="G37" t="s">
        <v>29</v>
      </c>
      <c r="H37" t="s">
        <v>5</v>
      </c>
      <c r="I37" t="s">
        <v>182</v>
      </c>
      <c r="J37">
        <v>451309</v>
      </c>
    </row>
    <row r="38" spans="1:10" x14ac:dyDescent="0.25">
      <c r="A38" t="str">
        <f>I38&amp;B38&amp;C38&amp;D38</f>
        <v>GY 17 SPR VAC201712</v>
      </c>
      <c r="B38">
        <v>2017</v>
      </c>
      <c r="C38">
        <v>1</v>
      </c>
      <c r="D38">
        <v>2</v>
      </c>
      <c r="E38" t="s">
        <v>99</v>
      </c>
      <c r="F38" t="s">
        <v>84</v>
      </c>
      <c r="G38" t="s">
        <v>29</v>
      </c>
      <c r="H38" t="s">
        <v>5</v>
      </c>
      <c r="I38" t="s">
        <v>188</v>
      </c>
      <c r="J38">
        <v>759160</v>
      </c>
    </row>
    <row r="39" spans="1:10" x14ac:dyDescent="0.25">
      <c r="A39" t="str">
        <f>I39&amp;B39&amp;C39&amp;D39</f>
        <v>GY 17 SUM 1201712</v>
      </c>
      <c r="B39">
        <v>2017</v>
      </c>
      <c r="C39">
        <v>1</v>
      </c>
      <c r="D39">
        <v>2</v>
      </c>
      <c r="E39" t="s">
        <v>99</v>
      </c>
      <c r="F39" t="s">
        <v>84</v>
      </c>
      <c r="G39" t="s">
        <v>29</v>
      </c>
      <c r="H39" t="s">
        <v>5</v>
      </c>
      <c r="I39" t="s">
        <v>190</v>
      </c>
      <c r="J39">
        <v>503259</v>
      </c>
    </row>
    <row r="40" spans="1:10" x14ac:dyDescent="0.25">
      <c r="A40" t="str">
        <f>I40&amp;B40&amp;C40&amp;D40</f>
        <v>GY 17 SWIM 1201712</v>
      </c>
      <c r="B40">
        <v>2017</v>
      </c>
      <c r="C40">
        <v>1</v>
      </c>
      <c r="D40">
        <v>2</v>
      </c>
      <c r="E40" t="s">
        <v>99</v>
      </c>
      <c r="F40" t="s">
        <v>84</v>
      </c>
      <c r="G40" t="s">
        <v>29</v>
      </c>
      <c r="H40" t="s">
        <v>5</v>
      </c>
      <c r="I40" t="s">
        <v>184</v>
      </c>
      <c r="J40">
        <v>74527</v>
      </c>
    </row>
    <row r="41" spans="1:10" x14ac:dyDescent="0.25">
      <c r="A41" t="str">
        <f>I41&amp;B41&amp;C41&amp;D41</f>
        <v>GY 17 SWIM 2201712</v>
      </c>
      <c r="B41">
        <v>2017</v>
      </c>
      <c r="C41">
        <v>1</v>
      </c>
      <c r="D41">
        <v>2</v>
      </c>
      <c r="E41" t="s">
        <v>99</v>
      </c>
      <c r="F41" t="s">
        <v>84</v>
      </c>
      <c r="G41" t="s">
        <v>29</v>
      </c>
      <c r="H41" t="s">
        <v>5</v>
      </c>
      <c r="I41" t="s">
        <v>192</v>
      </c>
      <c r="J41">
        <v>205675</v>
      </c>
    </row>
    <row r="42" spans="1:10" x14ac:dyDescent="0.25">
      <c r="A42" t="str">
        <f>I42&amp;B42&amp;C42&amp;D42</f>
        <v>GY 17 CAP201712</v>
      </c>
      <c r="B42">
        <v>2017</v>
      </c>
      <c r="C42">
        <v>1</v>
      </c>
      <c r="D42">
        <v>2</v>
      </c>
      <c r="E42" t="s">
        <v>99</v>
      </c>
      <c r="F42" t="s">
        <v>84</v>
      </c>
      <c r="G42" t="s">
        <v>29</v>
      </c>
      <c r="H42" t="s">
        <v>6</v>
      </c>
      <c r="I42" t="s">
        <v>404</v>
      </c>
      <c r="J42">
        <v>-1</v>
      </c>
    </row>
    <row r="43" spans="1:10" x14ac:dyDescent="0.25">
      <c r="A43" t="str">
        <f>I43&amp;B43&amp;C43&amp;D43</f>
        <v>GY 17 SM2201712</v>
      </c>
      <c r="B43">
        <v>2017</v>
      </c>
      <c r="C43">
        <v>1</v>
      </c>
      <c r="D43">
        <v>2</v>
      </c>
      <c r="E43" t="s">
        <v>99</v>
      </c>
      <c r="F43" t="s">
        <v>84</v>
      </c>
      <c r="G43" t="s">
        <v>29</v>
      </c>
      <c r="H43" t="s">
        <v>6</v>
      </c>
      <c r="I43" t="s">
        <v>194</v>
      </c>
      <c r="J43">
        <v>1645344</v>
      </c>
    </row>
    <row r="44" spans="1:10" x14ac:dyDescent="0.25">
      <c r="A44" t="str">
        <f>I44&amp;B44&amp;C44&amp;D44</f>
        <v>GY 17 SM3201712</v>
      </c>
      <c r="B44">
        <v>2017</v>
      </c>
      <c r="C44">
        <v>1</v>
      </c>
      <c r="D44">
        <v>2</v>
      </c>
      <c r="E44" t="s">
        <v>99</v>
      </c>
      <c r="F44" t="s">
        <v>84</v>
      </c>
      <c r="G44" t="s">
        <v>29</v>
      </c>
      <c r="H44" t="s">
        <v>6</v>
      </c>
      <c r="I44" t="s">
        <v>196</v>
      </c>
      <c r="J44">
        <v>910439</v>
      </c>
    </row>
    <row r="45" spans="1:10" x14ac:dyDescent="0.25">
      <c r="A45" t="str">
        <f>I45&amp;B45&amp;C45&amp;D45</f>
        <v>GY 17 SM4201712</v>
      </c>
      <c r="B45">
        <v>2017</v>
      </c>
      <c r="C45">
        <v>1</v>
      </c>
      <c r="D45">
        <v>2</v>
      </c>
      <c r="E45" t="s">
        <v>99</v>
      </c>
      <c r="F45" t="s">
        <v>84</v>
      </c>
      <c r="G45" t="s">
        <v>29</v>
      </c>
      <c r="H45" t="s">
        <v>6</v>
      </c>
      <c r="I45" t="s">
        <v>200</v>
      </c>
      <c r="J45">
        <v>-2</v>
      </c>
    </row>
    <row r="46" spans="1:10" x14ac:dyDescent="0.25">
      <c r="A46" t="str">
        <f>I46&amp;B46&amp;C46&amp;D46</f>
        <v>GY 17 SMR201712</v>
      </c>
      <c r="B46">
        <v>2017</v>
      </c>
      <c r="C46">
        <v>1</v>
      </c>
      <c r="D46">
        <v>2</v>
      </c>
      <c r="E46" t="s">
        <v>99</v>
      </c>
      <c r="F46" t="s">
        <v>84</v>
      </c>
      <c r="G46" t="s">
        <v>29</v>
      </c>
      <c r="H46" t="s">
        <v>6</v>
      </c>
      <c r="I46" t="s">
        <v>204</v>
      </c>
      <c r="J46">
        <v>2271236</v>
      </c>
    </row>
    <row r="47" spans="1:10" x14ac:dyDescent="0.25">
      <c r="A47" t="str">
        <f>I47&amp;B47&amp;C47&amp;D47</f>
        <v>GY 17 SWIM 3201712</v>
      </c>
      <c r="B47">
        <v>2017</v>
      </c>
      <c r="C47">
        <v>1</v>
      </c>
      <c r="D47">
        <v>2</v>
      </c>
      <c r="E47" t="s">
        <v>99</v>
      </c>
      <c r="F47" t="s">
        <v>84</v>
      </c>
      <c r="G47" t="s">
        <v>29</v>
      </c>
      <c r="H47" t="s">
        <v>6</v>
      </c>
      <c r="I47" t="s">
        <v>198</v>
      </c>
      <c r="J47">
        <v>387448</v>
      </c>
    </row>
    <row r="48" spans="1:10" x14ac:dyDescent="0.25">
      <c r="A48" t="str">
        <f>I48&amp;B48&amp;C48&amp;D48</f>
        <v>GY 17 JAN CAP201712</v>
      </c>
      <c r="B48">
        <v>2017</v>
      </c>
      <c r="C48">
        <v>1</v>
      </c>
      <c r="D48">
        <v>2</v>
      </c>
      <c r="E48" t="s">
        <v>99</v>
      </c>
      <c r="F48" t="s">
        <v>84</v>
      </c>
      <c r="G48" t="s">
        <v>29</v>
      </c>
      <c r="H48" t="s">
        <v>8</v>
      </c>
      <c r="I48" t="s">
        <v>407</v>
      </c>
      <c r="J48">
        <v>105652</v>
      </c>
    </row>
    <row r="49" spans="1:10" x14ac:dyDescent="0.25">
      <c r="A49" t="str">
        <f>I49&amp;B49&amp;C49&amp;D49</f>
        <v>Winter 17201712</v>
      </c>
      <c r="B49">
        <v>2017</v>
      </c>
      <c r="C49">
        <v>1</v>
      </c>
      <c r="D49">
        <v>2</v>
      </c>
      <c r="E49" t="s">
        <v>99</v>
      </c>
      <c r="F49" t="s">
        <v>84</v>
      </c>
      <c r="G49" t="s">
        <v>29</v>
      </c>
      <c r="H49" t="s">
        <v>435</v>
      </c>
      <c r="I49" t="s">
        <v>435</v>
      </c>
      <c r="J49">
        <v>105652</v>
      </c>
    </row>
    <row r="50" spans="1:10" x14ac:dyDescent="0.25">
      <c r="A50" t="str">
        <f>I50&amp;B50&amp;C50&amp;D50</f>
        <v>GY 17 SPRING BASICS201713</v>
      </c>
      <c r="B50">
        <v>2017</v>
      </c>
      <c r="C50">
        <v>1</v>
      </c>
      <c r="D50">
        <v>3</v>
      </c>
      <c r="E50" t="s">
        <v>99</v>
      </c>
      <c r="F50" t="s">
        <v>84</v>
      </c>
      <c r="G50" t="s">
        <v>29</v>
      </c>
      <c r="H50" t="s">
        <v>10</v>
      </c>
      <c r="I50" t="s">
        <v>174</v>
      </c>
      <c r="J50">
        <v>934136</v>
      </c>
    </row>
    <row r="51" spans="1:10" x14ac:dyDescent="0.25">
      <c r="A51" t="str">
        <f>I51&amp;B51&amp;C51&amp;D51</f>
        <v>GY YRLY BASICS201713</v>
      </c>
      <c r="B51">
        <v>2017</v>
      </c>
      <c r="C51">
        <v>1</v>
      </c>
      <c r="D51">
        <v>3</v>
      </c>
      <c r="E51" t="s">
        <v>99</v>
      </c>
      <c r="F51" t="s">
        <v>84</v>
      </c>
      <c r="G51" t="s">
        <v>29</v>
      </c>
      <c r="H51" t="s">
        <v>10</v>
      </c>
      <c r="I51" t="s">
        <v>349</v>
      </c>
      <c r="J51">
        <v>627884</v>
      </c>
    </row>
    <row r="52" spans="1:10" x14ac:dyDescent="0.25">
      <c r="A52" t="str">
        <f>I52&amp;B52&amp;C52&amp;D52</f>
        <v>GY YRLY DENIM201713</v>
      </c>
      <c r="B52">
        <v>2017</v>
      </c>
      <c r="C52">
        <v>1</v>
      </c>
      <c r="D52">
        <v>3</v>
      </c>
      <c r="E52" t="s">
        <v>99</v>
      </c>
      <c r="F52" t="s">
        <v>84</v>
      </c>
      <c r="G52" t="s">
        <v>29</v>
      </c>
      <c r="H52" t="s">
        <v>10</v>
      </c>
      <c r="I52" t="s">
        <v>350</v>
      </c>
      <c r="J52">
        <v>208456</v>
      </c>
    </row>
    <row r="53" spans="1:10" x14ac:dyDescent="0.25">
      <c r="A53" t="str">
        <f>I53&amp;B53&amp;C53&amp;D53</f>
        <v>GY YRLY UNIFORM201713</v>
      </c>
      <c r="B53">
        <v>2017</v>
      </c>
      <c r="C53">
        <v>1</v>
      </c>
      <c r="D53">
        <v>3</v>
      </c>
      <c r="E53" t="s">
        <v>99</v>
      </c>
      <c r="F53" t="s">
        <v>84</v>
      </c>
      <c r="G53" t="s">
        <v>29</v>
      </c>
      <c r="H53" t="s">
        <v>10</v>
      </c>
      <c r="I53" t="s">
        <v>351</v>
      </c>
      <c r="J53">
        <v>36383</v>
      </c>
    </row>
    <row r="54" spans="1:10" x14ac:dyDescent="0.25">
      <c r="A54" t="str">
        <f>I54&amp;B54&amp;C54&amp;D54</f>
        <v>GY 17 FAL201713</v>
      </c>
      <c r="B54">
        <v>2017</v>
      </c>
      <c r="C54">
        <v>1</v>
      </c>
      <c r="D54">
        <v>3</v>
      </c>
      <c r="E54" t="s">
        <v>99</v>
      </c>
      <c r="F54" t="s">
        <v>84</v>
      </c>
      <c r="G54" t="s">
        <v>29</v>
      </c>
      <c r="H54" t="s">
        <v>54</v>
      </c>
      <c r="I54" t="s">
        <v>398</v>
      </c>
      <c r="J54">
        <v>-2</v>
      </c>
    </row>
    <row r="55" spans="1:10" x14ac:dyDescent="0.25">
      <c r="A55" t="str">
        <f>I55&amp;B55&amp;C55&amp;D55</f>
        <v>GY 17 FALL 2201713</v>
      </c>
      <c r="B55">
        <v>2017</v>
      </c>
      <c r="C55">
        <v>1</v>
      </c>
      <c r="D55">
        <v>3</v>
      </c>
      <c r="E55" t="s">
        <v>99</v>
      </c>
      <c r="F55" t="s">
        <v>84</v>
      </c>
      <c r="G55" t="s">
        <v>29</v>
      </c>
      <c r="H55" t="s">
        <v>54</v>
      </c>
      <c r="I55" t="s">
        <v>400</v>
      </c>
      <c r="J55">
        <v>-10</v>
      </c>
    </row>
    <row r="56" spans="1:10" x14ac:dyDescent="0.25">
      <c r="A56" t="str">
        <f>I56&amp;B56&amp;C56&amp;D56</f>
        <v>GY 17 FALL 3201713</v>
      </c>
      <c r="B56">
        <v>2017</v>
      </c>
      <c r="C56">
        <v>1</v>
      </c>
      <c r="D56">
        <v>3</v>
      </c>
      <c r="E56" t="s">
        <v>99</v>
      </c>
      <c r="F56" t="s">
        <v>84</v>
      </c>
      <c r="G56" t="s">
        <v>29</v>
      </c>
      <c r="H56" t="s">
        <v>54</v>
      </c>
      <c r="I56" t="s">
        <v>401</v>
      </c>
      <c r="J56">
        <v>-2</v>
      </c>
    </row>
    <row r="57" spans="1:10" x14ac:dyDescent="0.25">
      <c r="A57" t="str">
        <f>I57&amp;B57&amp;C57&amp;D57</f>
        <v>GY 17 FALL 4201713</v>
      </c>
      <c r="B57">
        <v>2017</v>
      </c>
      <c r="C57">
        <v>1</v>
      </c>
      <c r="D57">
        <v>3</v>
      </c>
      <c r="E57" t="s">
        <v>99</v>
      </c>
      <c r="F57" t="s">
        <v>84</v>
      </c>
      <c r="G57" t="s">
        <v>29</v>
      </c>
      <c r="H57" t="s">
        <v>54</v>
      </c>
      <c r="I57" t="s">
        <v>402</v>
      </c>
      <c r="J57">
        <v>-1</v>
      </c>
    </row>
    <row r="58" spans="1:10" x14ac:dyDescent="0.25">
      <c r="A58" t="str">
        <f>I58&amp;B58&amp;C58&amp;D58</f>
        <v>GY 17 HO HO SHOP201713</v>
      </c>
      <c r="B58">
        <v>2017</v>
      </c>
      <c r="C58">
        <v>1</v>
      </c>
      <c r="D58">
        <v>3</v>
      </c>
      <c r="E58" t="s">
        <v>99</v>
      </c>
      <c r="F58" t="s">
        <v>84</v>
      </c>
      <c r="G58" t="s">
        <v>29</v>
      </c>
      <c r="H58" t="s">
        <v>54</v>
      </c>
      <c r="I58" t="s">
        <v>405</v>
      </c>
      <c r="J58">
        <v>-2</v>
      </c>
    </row>
    <row r="59" spans="1:10" x14ac:dyDescent="0.25">
      <c r="A59" t="str">
        <f>I59&amp;B59&amp;C59&amp;D59</f>
        <v>Old201713</v>
      </c>
      <c r="B59">
        <v>2017</v>
      </c>
      <c r="C59">
        <v>1</v>
      </c>
      <c r="D59">
        <v>3</v>
      </c>
      <c r="E59" t="s">
        <v>99</v>
      </c>
      <c r="F59" t="s">
        <v>84</v>
      </c>
      <c r="G59" t="s">
        <v>29</v>
      </c>
      <c r="H59" t="s">
        <v>434</v>
      </c>
      <c r="I59" t="s">
        <v>434</v>
      </c>
      <c r="J59">
        <v>8317950</v>
      </c>
    </row>
    <row r="60" spans="1:10" x14ac:dyDescent="0.25">
      <c r="A60" t="str">
        <f>I60&amp;B60&amp;C60&amp;D60</f>
        <v>GY WEBSTORE SKU201713</v>
      </c>
      <c r="B60">
        <v>2017</v>
      </c>
      <c r="C60">
        <v>1</v>
      </c>
      <c r="D60">
        <v>3</v>
      </c>
      <c r="E60" t="s">
        <v>99</v>
      </c>
      <c r="F60" t="s">
        <v>84</v>
      </c>
      <c r="G60" t="s">
        <v>29</v>
      </c>
      <c r="H60" t="s">
        <v>462</v>
      </c>
      <c r="I60" t="s">
        <v>352</v>
      </c>
      <c r="J60">
        <v>15</v>
      </c>
    </row>
    <row r="61" spans="1:10" x14ac:dyDescent="0.25">
      <c r="A61" t="str">
        <f>I61&amp;B61&amp;C61&amp;D61</f>
        <v>GY 17 DRSY CAP201713</v>
      </c>
      <c r="B61">
        <v>2017</v>
      </c>
      <c r="C61">
        <v>1</v>
      </c>
      <c r="D61">
        <v>3</v>
      </c>
      <c r="E61" t="s">
        <v>99</v>
      </c>
      <c r="F61" t="s">
        <v>84</v>
      </c>
      <c r="G61" t="s">
        <v>29</v>
      </c>
      <c r="H61" t="s">
        <v>5</v>
      </c>
      <c r="I61" t="s">
        <v>186</v>
      </c>
      <c r="J61">
        <v>323480</v>
      </c>
    </row>
    <row r="62" spans="1:10" x14ac:dyDescent="0.25">
      <c r="A62" t="str">
        <f>I62&amp;B62&amp;C62&amp;D62</f>
        <v>GY 17 SPR201713</v>
      </c>
      <c r="B62">
        <v>2017</v>
      </c>
      <c r="C62">
        <v>1</v>
      </c>
      <c r="D62">
        <v>3</v>
      </c>
      <c r="E62" t="s">
        <v>99</v>
      </c>
      <c r="F62" t="s">
        <v>84</v>
      </c>
      <c r="G62" t="s">
        <v>29</v>
      </c>
      <c r="H62" t="s">
        <v>5</v>
      </c>
      <c r="I62" t="s">
        <v>178</v>
      </c>
      <c r="J62">
        <v>580361</v>
      </c>
    </row>
    <row r="63" spans="1:10" x14ac:dyDescent="0.25">
      <c r="A63" t="str">
        <f>I63&amp;B63&amp;C63&amp;D63</f>
        <v>GY 17 SPR 1201713</v>
      </c>
      <c r="B63">
        <v>2017</v>
      </c>
      <c r="C63">
        <v>1</v>
      </c>
      <c r="D63">
        <v>3</v>
      </c>
      <c r="E63" t="s">
        <v>99</v>
      </c>
      <c r="F63" t="s">
        <v>84</v>
      </c>
      <c r="G63" t="s">
        <v>29</v>
      </c>
      <c r="H63" t="s">
        <v>5</v>
      </c>
      <c r="I63" t="s">
        <v>180</v>
      </c>
      <c r="J63">
        <v>357594</v>
      </c>
    </row>
    <row r="64" spans="1:10" x14ac:dyDescent="0.25">
      <c r="A64" t="str">
        <f>I64&amp;B64&amp;C64&amp;D64</f>
        <v>GY 17 SPR 2201713</v>
      </c>
      <c r="B64">
        <v>2017</v>
      </c>
      <c r="C64">
        <v>1</v>
      </c>
      <c r="D64">
        <v>3</v>
      </c>
      <c r="E64" t="s">
        <v>99</v>
      </c>
      <c r="F64" t="s">
        <v>84</v>
      </c>
      <c r="G64" t="s">
        <v>29</v>
      </c>
      <c r="H64" t="s">
        <v>5</v>
      </c>
      <c r="I64" t="s">
        <v>182</v>
      </c>
      <c r="J64">
        <v>332225</v>
      </c>
    </row>
    <row r="65" spans="1:10" x14ac:dyDescent="0.25">
      <c r="A65" t="str">
        <f>I65&amp;B65&amp;C65&amp;D65</f>
        <v>GY 17 SPR VAC201713</v>
      </c>
      <c r="B65">
        <v>2017</v>
      </c>
      <c r="C65">
        <v>1</v>
      </c>
      <c r="D65">
        <v>3</v>
      </c>
      <c r="E65" t="s">
        <v>99</v>
      </c>
      <c r="F65" t="s">
        <v>84</v>
      </c>
      <c r="G65" t="s">
        <v>29</v>
      </c>
      <c r="H65" t="s">
        <v>5</v>
      </c>
      <c r="I65" t="s">
        <v>188</v>
      </c>
      <c r="J65">
        <v>558277</v>
      </c>
    </row>
    <row r="66" spans="1:10" x14ac:dyDescent="0.25">
      <c r="A66" t="str">
        <f>I66&amp;B66&amp;C66&amp;D66</f>
        <v>GY 17 SUM 1201713</v>
      </c>
      <c r="B66">
        <v>2017</v>
      </c>
      <c r="C66">
        <v>1</v>
      </c>
      <c r="D66">
        <v>3</v>
      </c>
      <c r="E66" t="s">
        <v>99</v>
      </c>
      <c r="F66" t="s">
        <v>84</v>
      </c>
      <c r="G66" t="s">
        <v>29</v>
      </c>
      <c r="H66" t="s">
        <v>5</v>
      </c>
      <c r="I66" t="s">
        <v>190</v>
      </c>
      <c r="J66">
        <v>365115</v>
      </c>
    </row>
    <row r="67" spans="1:10" x14ac:dyDescent="0.25">
      <c r="A67" t="str">
        <f>I67&amp;B67&amp;C67&amp;D67</f>
        <v>GY 17 SWIM 1201713</v>
      </c>
      <c r="B67">
        <v>2017</v>
      </c>
      <c r="C67">
        <v>1</v>
      </c>
      <c r="D67">
        <v>3</v>
      </c>
      <c r="E67" t="s">
        <v>99</v>
      </c>
      <c r="F67" t="s">
        <v>84</v>
      </c>
      <c r="G67" t="s">
        <v>29</v>
      </c>
      <c r="H67" t="s">
        <v>5</v>
      </c>
      <c r="I67" t="s">
        <v>184</v>
      </c>
      <c r="J67">
        <v>67503</v>
      </c>
    </row>
    <row r="68" spans="1:10" x14ac:dyDescent="0.25">
      <c r="A68" t="str">
        <f>I68&amp;B68&amp;C68&amp;D68</f>
        <v>GY 17 SWIM 2201713</v>
      </c>
      <c r="B68">
        <v>2017</v>
      </c>
      <c r="C68">
        <v>1</v>
      </c>
      <c r="D68">
        <v>3</v>
      </c>
      <c r="E68" t="s">
        <v>99</v>
      </c>
      <c r="F68" t="s">
        <v>84</v>
      </c>
      <c r="G68" t="s">
        <v>29</v>
      </c>
      <c r="H68" t="s">
        <v>5</v>
      </c>
      <c r="I68" t="s">
        <v>192</v>
      </c>
      <c r="J68">
        <v>170949</v>
      </c>
    </row>
    <row r="69" spans="1:10" x14ac:dyDescent="0.25">
      <c r="A69" t="str">
        <f>I69&amp;B69&amp;C69&amp;D69</f>
        <v>GY 17 CAP201713</v>
      </c>
      <c r="B69">
        <v>2017</v>
      </c>
      <c r="C69">
        <v>1</v>
      </c>
      <c r="D69">
        <v>3</v>
      </c>
      <c r="E69" t="s">
        <v>99</v>
      </c>
      <c r="F69" t="s">
        <v>84</v>
      </c>
      <c r="G69" t="s">
        <v>29</v>
      </c>
      <c r="H69" t="s">
        <v>6</v>
      </c>
      <c r="I69" t="s">
        <v>404</v>
      </c>
      <c r="J69">
        <v>-1</v>
      </c>
    </row>
    <row r="70" spans="1:10" x14ac:dyDescent="0.25">
      <c r="A70" t="str">
        <f>I70&amp;B70&amp;C70&amp;D70</f>
        <v>GY 17 SM2201713</v>
      </c>
      <c r="B70">
        <v>2017</v>
      </c>
      <c r="C70">
        <v>1</v>
      </c>
      <c r="D70">
        <v>3</v>
      </c>
      <c r="E70" t="s">
        <v>99</v>
      </c>
      <c r="F70" t="s">
        <v>84</v>
      </c>
      <c r="G70" t="s">
        <v>29</v>
      </c>
      <c r="H70" t="s">
        <v>6</v>
      </c>
      <c r="I70" t="s">
        <v>194</v>
      </c>
      <c r="J70">
        <v>964508</v>
      </c>
    </row>
    <row r="71" spans="1:10" x14ac:dyDescent="0.25">
      <c r="A71" t="str">
        <f>I71&amp;B71&amp;C71&amp;D71</f>
        <v>GY 17 SM3201713</v>
      </c>
      <c r="B71">
        <v>2017</v>
      </c>
      <c r="C71">
        <v>1</v>
      </c>
      <c r="D71">
        <v>3</v>
      </c>
      <c r="E71" t="s">
        <v>99</v>
      </c>
      <c r="F71" t="s">
        <v>84</v>
      </c>
      <c r="G71" t="s">
        <v>29</v>
      </c>
      <c r="H71" t="s">
        <v>6</v>
      </c>
      <c r="I71" t="s">
        <v>196</v>
      </c>
      <c r="J71">
        <v>1040094</v>
      </c>
    </row>
    <row r="72" spans="1:10" x14ac:dyDescent="0.25">
      <c r="A72" t="str">
        <f>I72&amp;B72&amp;C72&amp;D72</f>
        <v>GY 17 SM4201713</v>
      </c>
      <c r="B72">
        <v>2017</v>
      </c>
      <c r="C72">
        <v>1</v>
      </c>
      <c r="D72">
        <v>3</v>
      </c>
      <c r="E72" t="s">
        <v>99</v>
      </c>
      <c r="F72" t="s">
        <v>84</v>
      </c>
      <c r="G72" t="s">
        <v>29</v>
      </c>
      <c r="H72" t="s">
        <v>6</v>
      </c>
      <c r="I72" t="s">
        <v>200</v>
      </c>
      <c r="J72">
        <v>1112279</v>
      </c>
    </row>
    <row r="73" spans="1:10" x14ac:dyDescent="0.25">
      <c r="A73" t="str">
        <f>I73&amp;B73&amp;C73&amp;D73</f>
        <v>GY 17 SMR201713</v>
      </c>
      <c r="B73">
        <v>2017</v>
      </c>
      <c r="C73">
        <v>1</v>
      </c>
      <c r="D73">
        <v>3</v>
      </c>
      <c r="E73" t="s">
        <v>99</v>
      </c>
      <c r="F73" t="s">
        <v>84</v>
      </c>
      <c r="G73" t="s">
        <v>29</v>
      </c>
      <c r="H73" t="s">
        <v>6</v>
      </c>
      <c r="I73" t="s">
        <v>204</v>
      </c>
      <c r="J73">
        <v>2203934</v>
      </c>
    </row>
    <row r="74" spans="1:10" x14ac:dyDescent="0.25">
      <c r="A74" t="str">
        <f>I74&amp;B74&amp;C74&amp;D74</f>
        <v>GY 17 SWIM 3201713</v>
      </c>
      <c r="B74">
        <v>2017</v>
      </c>
      <c r="C74">
        <v>1</v>
      </c>
      <c r="D74">
        <v>3</v>
      </c>
      <c r="E74" t="s">
        <v>99</v>
      </c>
      <c r="F74" t="s">
        <v>84</v>
      </c>
      <c r="G74" t="s">
        <v>29</v>
      </c>
      <c r="H74" t="s">
        <v>6</v>
      </c>
      <c r="I74" t="s">
        <v>198</v>
      </c>
      <c r="J74">
        <v>241649</v>
      </c>
    </row>
    <row r="75" spans="1:10" x14ac:dyDescent="0.25">
      <c r="A75" t="str">
        <f>I75&amp;B75&amp;C75&amp;D75</f>
        <v>GY 17 JAN CAP201713</v>
      </c>
      <c r="B75">
        <v>2017</v>
      </c>
      <c r="C75">
        <v>1</v>
      </c>
      <c r="D75">
        <v>3</v>
      </c>
      <c r="E75" t="s">
        <v>99</v>
      </c>
      <c r="F75" t="s">
        <v>84</v>
      </c>
      <c r="G75" t="s">
        <v>29</v>
      </c>
      <c r="H75" t="s">
        <v>8</v>
      </c>
      <c r="I75" t="s">
        <v>407</v>
      </c>
      <c r="J75">
        <v>91708</v>
      </c>
    </row>
    <row r="76" spans="1:10" x14ac:dyDescent="0.25">
      <c r="A76" t="str">
        <f>I76&amp;B76&amp;C76&amp;D76</f>
        <v>Winter 17201713</v>
      </c>
      <c r="B76">
        <v>2017</v>
      </c>
      <c r="C76">
        <v>1</v>
      </c>
      <c r="D76">
        <v>3</v>
      </c>
      <c r="E76" t="s">
        <v>99</v>
      </c>
      <c r="F76" t="s">
        <v>84</v>
      </c>
      <c r="G76" t="s">
        <v>29</v>
      </c>
      <c r="H76" t="s">
        <v>435</v>
      </c>
      <c r="I76" t="s">
        <v>435</v>
      </c>
      <c r="J76">
        <v>91708</v>
      </c>
    </row>
    <row r="77" spans="1:10" x14ac:dyDescent="0.25">
      <c r="A77" t="str">
        <f>I77&amp;B77&amp;C77&amp;D77</f>
        <v>GY 17 SPRING BASICS201724</v>
      </c>
      <c r="B77">
        <v>2017</v>
      </c>
      <c r="C77">
        <v>2</v>
      </c>
      <c r="D77">
        <v>4</v>
      </c>
      <c r="E77" t="s">
        <v>99</v>
      </c>
      <c r="F77" t="s">
        <v>84</v>
      </c>
      <c r="G77" t="s">
        <v>29</v>
      </c>
      <c r="H77" t="s">
        <v>10</v>
      </c>
      <c r="I77" t="s">
        <v>174</v>
      </c>
      <c r="J77">
        <v>769327</v>
      </c>
    </row>
    <row r="78" spans="1:10" x14ac:dyDescent="0.25">
      <c r="A78" t="str">
        <f>I78&amp;B78&amp;C78&amp;D78</f>
        <v>GY YRLY BASICS201724</v>
      </c>
      <c r="B78">
        <v>2017</v>
      </c>
      <c r="C78">
        <v>2</v>
      </c>
      <c r="D78">
        <v>4</v>
      </c>
      <c r="E78" t="s">
        <v>99</v>
      </c>
      <c r="F78" t="s">
        <v>84</v>
      </c>
      <c r="G78" t="s">
        <v>29</v>
      </c>
      <c r="H78" t="s">
        <v>10</v>
      </c>
      <c r="I78" t="s">
        <v>349</v>
      </c>
      <c r="J78">
        <v>590555</v>
      </c>
    </row>
    <row r="79" spans="1:10" x14ac:dyDescent="0.25">
      <c r="A79" t="str">
        <f>I79&amp;B79&amp;C79&amp;D79</f>
        <v>GY YRLY DENIM201724</v>
      </c>
      <c r="B79">
        <v>2017</v>
      </c>
      <c r="C79">
        <v>2</v>
      </c>
      <c r="D79">
        <v>4</v>
      </c>
      <c r="E79" t="s">
        <v>99</v>
      </c>
      <c r="F79" t="s">
        <v>84</v>
      </c>
      <c r="G79" t="s">
        <v>29</v>
      </c>
      <c r="H79" t="s">
        <v>10</v>
      </c>
      <c r="I79" t="s">
        <v>350</v>
      </c>
      <c r="J79">
        <v>432726</v>
      </c>
    </row>
    <row r="80" spans="1:10" x14ac:dyDescent="0.25">
      <c r="A80" t="str">
        <f>I80&amp;B80&amp;C80&amp;D80</f>
        <v>GY YRLY UNIFORM201724</v>
      </c>
      <c r="B80">
        <v>2017</v>
      </c>
      <c r="C80">
        <v>2</v>
      </c>
      <c r="D80">
        <v>4</v>
      </c>
      <c r="E80" t="s">
        <v>99</v>
      </c>
      <c r="F80" t="s">
        <v>84</v>
      </c>
      <c r="G80" t="s">
        <v>29</v>
      </c>
      <c r="H80" t="s">
        <v>10</v>
      </c>
      <c r="I80" t="s">
        <v>351</v>
      </c>
      <c r="J80">
        <v>161865</v>
      </c>
    </row>
    <row r="81" spans="1:10" x14ac:dyDescent="0.25">
      <c r="A81" t="str">
        <f>I81&amp;B81&amp;C81&amp;D81</f>
        <v>GY 17 FAL201724</v>
      </c>
      <c r="B81">
        <v>2017</v>
      </c>
      <c r="C81">
        <v>2</v>
      </c>
      <c r="D81">
        <v>4</v>
      </c>
      <c r="E81" t="s">
        <v>99</v>
      </c>
      <c r="F81" t="s">
        <v>84</v>
      </c>
      <c r="G81" t="s">
        <v>29</v>
      </c>
      <c r="H81" t="s">
        <v>54</v>
      </c>
      <c r="I81" t="s">
        <v>398</v>
      </c>
      <c r="J81">
        <v>114452</v>
      </c>
    </row>
    <row r="82" spans="1:10" x14ac:dyDescent="0.25">
      <c r="A82" t="str">
        <f>I82&amp;B82&amp;C82&amp;D82</f>
        <v>GY 17 FALL 2201724</v>
      </c>
      <c r="B82">
        <v>2017</v>
      </c>
      <c r="C82">
        <v>2</v>
      </c>
      <c r="D82">
        <v>4</v>
      </c>
      <c r="E82" t="s">
        <v>99</v>
      </c>
      <c r="F82" t="s">
        <v>84</v>
      </c>
      <c r="G82" t="s">
        <v>29</v>
      </c>
      <c r="H82" t="s">
        <v>54</v>
      </c>
      <c r="I82" t="s">
        <v>400</v>
      </c>
      <c r="J82">
        <v>-10</v>
      </c>
    </row>
    <row r="83" spans="1:10" x14ac:dyDescent="0.25">
      <c r="A83" t="str">
        <f>I83&amp;B83&amp;C83&amp;D83</f>
        <v>GY 17 FALL 3201724</v>
      </c>
      <c r="B83">
        <v>2017</v>
      </c>
      <c r="C83">
        <v>2</v>
      </c>
      <c r="D83">
        <v>4</v>
      </c>
      <c r="E83" t="s">
        <v>99</v>
      </c>
      <c r="F83" t="s">
        <v>84</v>
      </c>
      <c r="G83" t="s">
        <v>29</v>
      </c>
      <c r="H83" t="s">
        <v>54</v>
      </c>
      <c r="I83" t="s">
        <v>401</v>
      </c>
      <c r="J83">
        <v>-3</v>
      </c>
    </row>
    <row r="84" spans="1:10" x14ac:dyDescent="0.25">
      <c r="A84" t="str">
        <f>I84&amp;B84&amp;C84&amp;D84</f>
        <v>GY 17 FALL 4201724</v>
      </c>
      <c r="B84">
        <v>2017</v>
      </c>
      <c r="C84">
        <v>2</v>
      </c>
      <c r="D84">
        <v>4</v>
      </c>
      <c r="E84" t="s">
        <v>99</v>
      </c>
      <c r="F84" t="s">
        <v>84</v>
      </c>
      <c r="G84" t="s">
        <v>29</v>
      </c>
      <c r="H84" t="s">
        <v>54</v>
      </c>
      <c r="I84" t="s">
        <v>402</v>
      </c>
      <c r="J84">
        <v>-1</v>
      </c>
    </row>
    <row r="85" spans="1:10" x14ac:dyDescent="0.25">
      <c r="A85" t="str">
        <f>I85&amp;B85&amp;C85&amp;D85</f>
        <v>GY 17 HO HO SHOP201724</v>
      </c>
      <c r="B85">
        <v>2017</v>
      </c>
      <c r="C85">
        <v>2</v>
      </c>
      <c r="D85">
        <v>4</v>
      </c>
      <c r="E85" t="s">
        <v>99</v>
      </c>
      <c r="F85" t="s">
        <v>84</v>
      </c>
      <c r="G85" t="s">
        <v>29</v>
      </c>
      <c r="H85" t="s">
        <v>54</v>
      </c>
      <c r="I85" t="s">
        <v>405</v>
      </c>
      <c r="J85">
        <v>-2</v>
      </c>
    </row>
    <row r="86" spans="1:10" x14ac:dyDescent="0.25">
      <c r="A86" t="str">
        <f>I86&amp;B86&amp;C86&amp;D86</f>
        <v>Old201724</v>
      </c>
      <c r="B86">
        <v>2017</v>
      </c>
      <c r="C86">
        <v>2</v>
      </c>
      <c r="D86">
        <v>4</v>
      </c>
      <c r="E86" t="s">
        <v>99</v>
      </c>
      <c r="F86" t="s">
        <v>84</v>
      </c>
      <c r="G86" t="s">
        <v>29</v>
      </c>
      <c r="H86" t="s">
        <v>434</v>
      </c>
      <c r="I86" t="s">
        <v>434</v>
      </c>
      <c r="J86">
        <v>7039008</v>
      </c>
    </row>
    <row r="87" spans="1:10" x14ac:dyDescent="0.25">
      <c r="A87" t="str">
        <f>I87&amp;B87&amp;C87&amp;D87</f>
        <v>GY WEBSTORE SKU201724</v>
      </c>
      <c r="B87">
        <v>2017</v>
      </c>
      <c r="C87">
        <v>2</v>
      </c>
      <c r="D87">
        <v>4</v>
      </c>
      <c r="E87" t="s">
        <v>99</v>
      </c>
      <c r="F87" t="s">
        <v>84</v>
      </c>
      <c r="G87" t="s">
        <v>29</v>
      </c>
      <c r="H87" t="s">
        <v>462</v>
      </c>
      <c r="I87" t="s">
        <v>352</v>
      </c>
      <c r="J87">
        <v>16</v>
      </c>
    </row>
    <row r="88" spans="1:10" x14ac:dyDescent="0.25">
      <c r="A88" t="str">
        <f>I88&amp;B88&amp;C88&amp;D88</f>
        <v>GY 17 DRSY CAP201724</v>
      </c>
      <c r="B88">
        <v>2017</v>
      </c>
      <c r="C88">
        <v>2</v>
      </c>
      <c r="D88">
        <v>4</v>
      </c>
      <c r="E88" t="s">
        <v>99</v>
      </c>
      <c r="F88" t="s">
        <v>84</v>
      </c>
      <c r="G88" t="s">
        <v>29</v>
      </c>
      <c r="H88" t="s">
        <v>5</v>
      </c>
      <c r="I88" t="s">
        <v>186</v>
      </c>
      <c r="J88">
        <v>252641</v>
      </c>
    </row>
    <row r="89" spans="1:10" x14ac:dyDescent="0.25">
      <c r="A89" t="str">
        <f>I89&amp;B89&amp;C89&amp;D89</f>
        <v>GY 17 SPR201724</v>
      </c>
      <c r="B89">
        <v>2017</v>
      </c>
      <c r="C89">
        <v>2</v>
      </c>
      <c r="D89">
        <v>4</v>
      </c>
      <c r="E89" t="s">
        <v>99</v>
      </c>
      <c r="F89" t="s">
        <v>84</v>
      </c>
      <c r="G89" t="s">
        <v>29</v>
      </c>
      <c r="H89" t="s">
        <v>5</v>
      </c>
      <c r="I89" t="s">
        <v>178</v>
      </c>
      <c r="J89">
        <v>467407</v>
      </c>
    </row>
    <row r="90" spans="1:10" x14ac:dyDescent="0.25">
      <c r="A90" t="str">
        <f>I90&amp;B90&amp;C90&amp;D90</f>
        <v>GY 17 SPR 1201724</v>
      </c>
      <c r="B90">
        <v>2017</v>
      </c>
      <c r="C90">
        <v>2</v>
      </c>
      <c r="D90">
        <v>4</v>
      </c>
      <c r="E90" t="s">
        <v>99</v>
      </c>
      <c r="F90" t="s">
        <v>84</v>
      </c>
      <c r="G90" t="s">
        <v>29</v>
      </c>
      <c r="H90" t="s">
        <v>5</v>
      </c>
      <c r="I90" t="s">
        <v>180</v>
      </c>
      <c r="J90">
        <v>284468</v>
      </c>
    </row>
    <row r="91" spans="1:10" x14ac:dyDescent="0.25">
      <c r="A91" t="str">
        <f>I91&amp;B91&amp;C91&amp;D91</f>
        <v>GY 17 SPR 2201724</v>
      </c>
      <c r="B91">
        <v>2017</v>
      </c>
      <c r="C91">
        <v>2</v>
      </c>
      <c r="D91">
        <v>4</v>
      </c>
      <c r="E91" t="s">
        <v>99</v>
      </c>
      <c r="F91" t="s">
        <v>84</v>
      </c>
      <c r="G91" t="s">
        <v>29</v>
      </c>
      <c r="H91" t="s">
        <v>5</v>
      </c>
      <c r="I91" t="s">
        <v>182</v>
      </c>
      <c r="J91">
        <v>234167</v>
      </c>
    </row>
    <row r="92" spans="1:10" x14ac:dyDescent="0.25">
      <c r="A92" t="str">
        <f>I92&amp;B92&amp;C92&amp;D92</f>
        <v>GY 17 SPR VAC201724</v>
      </c>
      <c r="B92">
        <v>2017</v>
      </c>
      <c r="C92">
        <v>2</v>
      </c>
      <c r="D92">
        <v>4</v>
      </c>
      <c r="E92" t="s">
        <v>99</v>
      </c>
      <c r="F92" t="s">
        <v>84</v>
      </c>
      <c r="G92" t="s">
        <v>29</v>
      </c>
      <c r="H92" t="s">
        <v>5</v>
      </c>
      <c r="I92" t="s">
        <v>188</v>
      </c>
      <c r="J92">
        <v>400262</v>
      </c>
    </row>
    <row r="93" spans="1:10" x14ac:dyDescent="0.25">
      <c r="A93" t="str">
        <f>I93&amp;B93&amp;C93&amp;D93</f>
        <v>GY 17 SUM 1201724</v>
      </c>
      <c r="B93">
        <v>2017</v>
      </c>
      <c r="C93">
        <v>2</v>
      </c>
      <c r="D93">
        <v>4</v>
      </c>
      <c r="E93" t="s">
        <v>99</v>
      </c>
      <c r="F93" t="s">
        <v>84</v>
      </c>
      <c r="G93" t="s">
        <v>29</v>
      </c>
      <c r="H93" t="s">
        <v>5</v>
      </c>
      <c r="I93" t="s">
        <v>190</v>
      </c>
      <c r="J93">
        <v>254738</v>
      </c>
    </row>
    <row r="94" spans="1:10" x14ac:dyDescent="0.25">
      <c r="A94" t="str">
        <f>I94&amp;B94&amp;C94&amp;D94</f>
        <v>GY 17 SWIM 1201724</v>
      </c>
      <c r="B94">
        <v>2017</v>
      </c>
      <c r="C94">
        <v>2</v>
      </c>
      <c r="D94">
        <v>4</v>
      </c>
      <c r="E94" t="s">
        <v>99</v>
      </c>
      <c r="F94" t="s">
        <v>84</v>
      </c>
      <c r="G94" t="s">
        <v>29</v>
      </c>
      <c r="H94" t="s">
        <v>5</v>
      </c>
      <c r="I94" t="s">
        <v>184</v>
      </c>
      <c r="J94">
        <v>53232</v>
      </c>
    </row>
    <row r="95" spans="1:10" x14ac:dyDescent="0.25">
      <c r="A95" t="str">
        <f>I95&amp;B95&amp;C95&amp;D95</f>
        <v>GY 17 SWIM 2201724</v>
      </c>
      <c r="B95">
        <v>2017</v>
      </c>
      <c r="C95">
        <v>2</v>
      </c>
      <c r="D95">
        <v>4</v>
      </c>
      <c r="E95" t="s">
        <v>99</v>
      </c>
      <c r="F95" t="s">
        <v>84</v>
      </c>
      <c r="G95" t="s">
        <v>29</v>
      </c>
      <c r="H95" t="s">
        <v>5</v>
      </c>
      <c r="I95" t="s">
        <v>192</v>
      </c>
      <c r="J95">
        <v>141367</v>
      </c>
    </row>
    <row r="96" spans="1:10" x14ac:dyDescent="0.25">
      <c r="A96" t="str">
        <f>I96&amp;B96&amp;C96&amp;D96</f>
        <v>GY 17 CAP201724</v>
      </c>
      <c r="B96">
        <v>2017</v>
      </c>
      <c r="C96">
        <v>2</v>
      </c>
      <c r="D96">
        <v>4</v>
      </c>
      <c r="E96" t="s">
        <v>99</v>
      </c>
      <c r="F96" t="s">
        <v>84</v>
      </c>
      <c r="G96" t="s">
        <v>29</v>
      </c>
      <c r="H96" t="s">
        <v>6</v>
      </c>
      <c r="I96" t="s">
        <v>404</v>
      </c>
      <c r="J96">
        <v>714509</v>
      </c>
    </row>
    <row r="97" spans="1:10" x14ac:dyDescent="0.25">
      <c r="A97" t="str">
        <f>I97&amp;B97&amp;C97&amp;D97</f>
        <v>GY 17 SM2201724</v>
      </c>
      <c r="B97">
        <v>2017</v>
      </c>
      <c r="C97">
        <v>2</v>
      </c>
      <c r="D97">
        <v>4</v>
      </c>
      <c r="E97" t="s">
        <v>99</v>
      </c>
      <c r="F97" t="s">
        <v>84</v>
      </c>
      <c r="G97" t="s">
        <v>29</v>
      </c>
      <c r="H97" t="s">
        <v>6</v>
      </c>
      <c r="I97" t="s">
        <v>194</v>
      </c>
      <c r="J97">
        <v>792228</v>
      </c>
    </row>
    <row r="98" spans="1:10" x14ac:dyDescent="0.25">
      <c r="A98" t="str">
        <f>I98&amp;B98&amp;C98&amp;D98</f>
        <v>GY 17 SM3201724</v>
      </c>
      <c r="B98">
        <v>2017</v>
      </c>
      <c r="C98">
        <v>2</v>
      </c>
      <c r="D98">
        <v>4</v>
      </c>
      <c r="E98" t="s">
        <v>99</v>
      </c>
      <c r="F98" t="s">
        <v>84</v>
      </c>
      <c r="G98" t="s">
        <v>29</v>
      </c>
      <c r="H98" t="s">
        <v>6</v>
      </c>
      <c r="I98" t="s">
        <v>196</v>
      </c>
      <c r="J98">
        <v>823155</v>
      </c>
    </row>
    <row r="99" spans="1:10" x14ac:dyDescent="0.25">
      <c r="A99" t="str">
        <f>I99&amp;B99&amp;C99&amp;D99</f>
        <v>GY 17 SM4201724</v>
      </c>
      <c r="B99">
        <v>2017</v>
      </c>
      <c r="C99">
        <v>2</v>
      </c>
      <c r="D99">
        <v>4</v>
      </c>
      <c r="E99" t="s">
        <v>99</v>
      </c>
      <c r="F99" t="s">
        <v>84</v>
      </c>
      <c r="G99" t="s">
        <v>29</v>
      </c>
      <c r="H99" t="s">
        <v>6</v>
      </c>
      <c r="I99" t="s">
        <v>200</v>
      </c>
      <c r="J99">
        <v>615010</v>
      </c>
    </row>
    <row r="100" spans="1:10" x14ac:dyDescent="0.25">
      <c r="A100" t="str">
        <f>I100&amp;B100&amp;C100&amp;D100</f>
        <v>GY 17 SMR201724</v>
      </c>
      <c r="B100">
        <v>2017</v>
      </c>
      <c r="C100">
        <v>2</v>
      </c>
      <c r="D100">
        <v>4</v>
      </c>
      <c r="E100" t="s">
        <v>99</v>
      </c>
      <c r="F100" t="s">
        <v>84</v>
      </c>
      <c r="G100" t="s">
        <v>29</v>
      </c>
      <c r="H100" t="s">
        <v>6</v>
      </c>
      <c r="I100" t="s">
        <v>204</v>
      </c>
      <c r="J100">
        <v>1682194</v>
      </c>
    </row>
    <row r="101" spans="1:10" x14ac:dyDescent="0.25">
      <c r="A101" t="str">
        <f>I101&amp;B101&amp;C101&amp;D101</f>
        <v>GY 17 SWIM 3201724</v>
      </c>
      <c r="B101">
        <v>2017</v>
      </c>
      <c r="C101">
        <v>2</v>
      </c>
      <c r="D101">
        <v>4</v>
      </c>
      <c r="E101" t="s">
        <v>99</v>
      </c>
      <c r="F101" t="s">
        <v>84</v>
      </c>
      <c r="G101" t="s">
        <v>29</v>
      </c>
      <c r="H101" t="s">
        <v>6</v>
      </c>
      <c r="I101" t="s">
        <v>198</v>
      </c>
      <c r="J101">
        <v>197602</v>
      </c>
    </row>
    <row r="102" spans="1:10" x14ac:dyDescent="0.25">
      <c r="A102" t="str">
        <f>I102&amp;B102&amp;C102&amp;D102</f>
        <v>GY 17 TRANS201724</v>
      </c>
      <c r="B102">
        <v>2017</v>
      </c>
      <c r="C102">
        <v>2</v>
      </c>
      <c r="D102">
        <v>4</v>
      </c>
      <c r="E102" t="s">
        <v>99</v>
      </c>
      <c r="F102" t="s">
        <v>84</v>
      </c>
      <c r="G102" t="s">
        <v>29</v>
      </c>
      <c r="H102" t="s">
        <v>6</v>
      </c>
      <c r="I102" t="s">
        <v>202</v>
      </c>
      <c r="J102">
        <v>11592</v>
      </c>
    </row>
    <row r="103" spans="1:10" x14ac:dyDescent="0.25">
      <c r="A103" t="str">
        <f>I103&amp;B103&amp;C103&amp;D103</f>
        <v>GY 17 JAN CAP201724</v>
      </c>
      <c r="B103">
        <v>2017</v>
      </c>
      <c r="C103">
        <v>2</v>
      </c>
      <c r="D103">
        <v>4</v>
      </c>
      <c r="E103" t="s">
        <v>99</v>
      </c>
      <c r="F103" t="s">
        <v>84</v>
      </c>
      <c r="G103" t="s">
        <v>29</v>
      </c>
      <c r="H103" t="s">
        <v>8</v>
      </c>
      <c r="I103" t="s">
        <v>407</v>
      </c>
      <c r="J103">
        <v>81800</v>
      </c>
    </row>
    <row r="104" spans="1:10" x14ac:dyDescent="0.25">
      <c r="A104" t="str">
        <f>I104&amp;B104&amp;C104&amp;D104</f>
        <v>Winter 17201724</v>
      </c>
      <c r="B104">
        <v>2017</v>
      </c>
      <c r="C104">
        <v>2</v>
      </c>
      <c r="D104">
        <v>4</v>
      </c>
      <c r="E104" t="s">
        <v>99</v>
      </c>
      <c r="F104" t="s">
        <v>84</v>
      </c>
      <c r="G104" t="s">
        <v>29</v>
      </c>
      <c r="H104" t="s">
        <v>435</v>
      </c>
      <c r="I104" t="s">
        <v>435</v>
      </c>
      <c r="J104">
        <v>81800</v>
      </c>
    </row>
    <row r="105" spans="1:10" x14ac:dyDescent="0.25">
      <c r="A105" t="str">
        <f>I105&amp;B105&amp;C105&amp;D105</f>
        <v>GY 17 FALL BASICS201725</v>
      </c>
      <c r="B105">
        <v>2017</v>
      </c>
      <c r="C105">
        <v>2</v>
      </c>
      <c r="D105">
        <v>5</v>
      </c>
      <c r="E105" t="s">
        <v>99</v>
      </c>
      <c r="F105" t="s">
        <v>84</v>
      </c>
      <c r="G105" t="s">
        <v>29</v>
      </c>
      <c r="H105" t="s">
        <v>10</v>
      </c>
      <c r="I105" t="s">
        <v>176</v>
      </c>
      <c r="J105">
        <v>1160844</v>
      </c>
    </row>
    <row r="106" spans="1:10" x14ac:dyDescent="0.25">
      <c r="A106" t="str">
        <f>I106&amp;B106&amp;C106&amp;D106</f>
        <v>GY 17 SPRING BASICS201725</v>
      </c>
      <c r="B106">
        <v>2017</v>
      </c>
      <c r="C106">
        <v>2</v>
      </c>
      <c r="D106">
        <v>5</v>
      </c>
      <c r="E106" t="s">
        <v>99</v>
      </c>
      <c r="F106" t="s">
        <v>84</v>
      </c>
      <c r="G106" t="s">
        <v>29</v>
      </c>
      <c r="H106" t="s">
        <v>10</v>
      </c>
      <c r="I106" t="s">
        <v>174</v>
      </c>
      <c r="J106">
        <v>581282</v>
      </c>
    </row>
    <row r="107" spans="1:10" x14ac:dyDescent="0.25">
      <c r="A107" t="str">
        <f>I107&amp;B107&amp;C107&amp;D107</f>
        <v>GY YRLY BASICS201725</v>
      </c>
      <c r="B107">
        <v>2017</v>
      </c>
      <c r="C107">
        <v>2</v>
      </c>
      <c r="D107">
        <v>5</v>
      </c>
      <c r="E107" t="s">
        <v>99</v>
      </c>
      <c r="F107" t="s">
        <v>84</v>
      </c>
      <c r="G107" t="s">
        <v>29</v>
      </c>
      <c r="H107" t="s">
        <v>10</v>
      </c>
      <c r="I107" t="s">
        <v>349</v>
      </c>
      <c r="J107">
        <v>1105066</v>
      </c>
    </row>
    <row r="108" spans="1:10" x14ac:dyDescent="0.25">
      <c r="A108" t="str">
        <f>I108&amp;B108&amp;C108&amp;D108</f>
        <v>GY YRLY DENIM201725</v>
      </c>
      <c r="B108">
        <v>2017</v>
      </c>
      <c r="C108">
        <v>2</v>
      </c>
      <c r="D108">
        <v>5</v>
      </c>
      <c r="E108" t="s">
        <v>99</v>
      </c>
      <c r="F108" t="s">
        <v>84</v>
      </c>
      <c r="G108" t="s">
        <v>29</v>
      </c>
      <c r="H108" t="s">
        <v>10</v>
      </c>
      <c r="I108" t="s">
        <v>350</v>
      </c>
      <c r="J108">
        <v>512714</v>
      </c>
    </row>
    <row r="109" spans="1:10" x14ac:dyDescent="0.25">
      <c r="A109" t="str">
        <f>I109&amp;B109&amp;C109&amp;D109</f>
        <v>GY YRLY UNIFORM201725</v>
      </c>
      <c r="B109">
        <v>2017</v>
      </c>
      <c r="C109">
        <v>2</v>
      </c>
      <c r="D109">
        <v>5</v>
      </c>
      <c r="E109" t="s">
        <v>99</v>
      </c>
      <c r="F109" t="s">
        <v>84</v>
      </c>
      <c r="G109" t="s">
        <v>29</v>
      </c>
      <c r="H109" t="s">
        <v>10</v>
      </c>
      <c r="I109" t="s">
        <v>351</v>
      </c>
      <c r="J109">
        <v>141106</v>
      </c>
    </row>
    <row r="110" spans="1:10" x14ac:dyDescent="0.25">
      <c r="A110" t="str">
        <f>I110&amp;B110&amp;C110&amp;D110</f>
        <v>GY 17 BTS201725</v>
      </c>
      <c r="B110">
        <v>2017</v>
      </c>
      <c r="C110">
        <v>2</v>
      </c>
      <c r="D110">
        <v>5</v>
      </c>
      <c r="E110" t="s">
        <v>99</v>
      </c>
      <c r="F110" t="s">
        <v>84</v>
      </c>
      <c r="G110" t="s">
        <v>29</v>
      </c>
      <c r="H110" t="s">
        <v>54</v>
      </c>
      <c r="I110" t="s">
        <v>397</v>
      </c>
      <c r="J110">
        <v>1035109</v>
      </c>
    </row>
    <row r="111" spans="1:10" x14ac:dyDescent="0.25">
      <c r="A111" t="str">
        <f>I111&amp;B111&amp;C111&amp;D111</f>
        <v>GY 17 FAL201725</v>
      </c>
      <c r="B111">
        <v>2017</v>
      </c>
      <c r="C111">
        <v>2</v>
      </c>
      <c r="D111">
        <v>5</v>
      </c>
      <c r="E111" t="s">
        <v>99</v>
      </c>
      <c r="F111" t="s">
        <v>84</v>
      </c>
      <c r="G111" t="s">
        <v>29</v>
      </c>
      <c r="H111" t="s">
        <v>54</v>
      </c>
      <c r="I111" t="s">
        <v>398</v>
      </c>
      <c r="J111">
        <v>1763953</v>
      </c>
    </row>
    <row r="112" spans="1:10" x14ac:dyDescent="0.25">
      <c r="A112" t="str">
        <f>I112&amp;B112&amp;C112&amp;D112</f>
        <v>GY 17 FALL 1201725</v>
      </c>
      <c r="B112">
        <v>2017</v>
      </c>
      <c r="C112">
        <v>2</v>
      </c>
      <c r="D112">
        <v>5</v>
      </c>
      <c r="E112" t="s">
        <v>99</v>
      </c>
      <c r="F112" t="s">
        <v>84</v>
      </c>
      <c r="G112" t="s">
        <v>29</v>
      </c>
      <c r="H112" t="s">
        <v>54</v>
      </c>
      <c r="I112" t="s">
        <v>399</v>
      </c>
      <c r="J112">
        <v>42209</v>
      </c>
    </row>
    <row r="113" spans="1:10" x14ac:dyDescent="0.25">
      <c r="A113" t="str">
        <f>I113&amp;B113&amp;C113&amp;D113</f>
        <v>GY 17 FALL 2201725</v>
      </c>
      <c r="B113">
        <v>2017</v>
      </c>
      <c r="C113">
        <v>2</v>
      </c>
      <c r="D113">
        <v>5</v>
      </c>
      <c r="E113" t="s">
        <v>99</v>
      </c>
      <c r="F113" t="s">
        <v>84</v>
      </c>
      <c r="G113" t="s">
        <v>29</v>
      </c>
      <c r="H113" t="s">
        <v>54</v>
      </c>
      <c r="I113" t="s">
        <v>400</v>
      </c>
      <c r="J113">
        <v>-11</v>
      </c>
    </row>
    <row r="114" spans="1:10" x14ac:dyDescent="0.25">
      <c r="A114" t="str">
        <f>I114&amp;B114&amp;C114&amp;D114</f>
        <v>GY 17 FALL 3201725</v>
      </c>
      <c r="B114">
        <v>2017</v>
      </c>
      <c r="C114">
        <v>2</v>
      </c>
      <c r="D114">
        <v>5</v>
      </c>
      <c r="E114" t="s">
        <v>99</v>
      </c>
      <c r="F114" t="s">
        <v>84</v>
      </c>
      <c r="G114" t="s">
        <v>29</v>
      </c>
      <c r="H114" t="s">
        <v>54</v>
      </c>
      <c r="I114" t="s">
        <v>401</v>
      </c>
      <c r="J114">
        <v>-3</v>
      </c>
    </row>
    <row r="115" spans="1:10" x14ac:dyDescent="0.25">
      <c r="A115" t="str">
        <f>I115&amp;B115&amp;C115&amp;D115</f>
        <v>GY 17 FALL 4201725</v>
      </c>
      <c r="B115">
        <v>2017</v>
      </c>
      <c r="C115">
        <v>2</v>
      </c>
      <c r="D115">
        <v>5</v>
      </c>
      <c r="E115" t="s">
        <v>99</v>
      </c>
      <c r="F115" t="s">
        <v>84</v>
      </c>
      <c r="G115" t="s">
        <v>29</v>
      </c>
      <c r="H115" t="s">
        <v>54</v>
      </c>
      <c r="I115" t="s">
        <v>402</v>
      </c>
      <c r="J115">
        <v>-1</v>
      </c>
    </row>
    <row r="116" spans="1:10" x14ac:dyDescent="0.25">
      <c r="A116" t="str">
        <f>I116&amp;B116&amp;C116&amp;D116</f>
        <v>GY 17 HO HO SHOP201725</v>
      </c>
      <c r="B116">
        <v>2017</v>
      </c>
      <c r="C116">
        <v>2</v>
      </c>
      <c r="D116">
        <v>5</v>
      </c>
      <c r="E116" t="s">
        <v>99</v>
      </c>
      <c r="F116" t="s">
        <v>84</v>
      </c>
      <c r="G116" t="s">
        <v>29</v>
      </c>
      <c r="H116" t="s">
        <v>54</v>
      </c>
      <c r="I116" t="s">
        <v>405</v>
      </c>
      <c r="J116">
        <v>-2</v>
      </c>
    </row>
    <row r="117" spans="1:10" x14ac:dyDescent="0.25">
      <c r="A117" t="str">
        <f>I117&amp;B117&amp;C117&amp;D117</f>
        <v>Old201725</v>
      </c>
      <c r="B117">
        <v>2017</v>
      </c>
      <c r="C117">
        <v>2</v>
      </c>
      <c r="D117">
        <v>5</v>
      </c>
      <c r="E117" t="s">
        <v>99</v>
      </c>
      <c r="F117" t="s">
        <v>84</v>
      </c>
      <c r="G117" t="s">
        <v>29</v>
      </c>
      <c r="H117" t="s">
        <v>434</v>
      </c>
      <c r="I117" t="s">
        <v>434</v>
      </c>
      <c r="J117">
        <v>8466558</v>
      </c>
    </row>
    <row r="118" spans="1:10" x14ac:dyDescent="0.25">
      <c r="A118" t="str">
        <f>I118&amp;B118&amp;C118&amp;D118</f>
        <v>GY WEBSTORE SKU201725</v>
      </c>
      <c r="B118">
        <v>2017</v>
      </c>
      <c r="C118">
        <v>2</v>
      </c>
      <c r="D118">
        <v>5</v>
      </c>
      <c r="E118" t="s">
        <v>99</v>
      </c>
      <c r="F118" t="s">
        <v>84</v>
      </c>
      <c r="G118" t="s">
        <v>29</v>
      </c>
      <c r="H118" t="s">
        <v>462</v>
      </c>
      <c r="I118" t="s">
        <v>352</v>
      </c>
      <c r="J118">
        <v>18</v>
      </c>
    </row>
    <row r="119" spans="1:10" x14ac:dyDescent="0.25">
      <c r="A119" t="str">
        <f>I119&amp;B119&amp;C119&amp;D119</f>
        <v>GY 17 DRSY CAP201725</v>
      </c>
      <c r="B119">
        <v>2017</v>
      </c>
      <c r="C119">
        <v>2</v>
      </c>
      <c r="D119">
        <v>5</v>
      </c>
      <c r="E119" t="s">
        <v>99</v>
      </c>
      <c r="F119" t="s">
        <v>84</v>
      </c>
      <c r="G119" t="s">
        <v>29</v>
      </c>
      <c r="H119" t="s">
        <v>5</v>
      </c>
      <c r="I119" t="s">
        <v>186</v>
      </c>
      <c r="J119">
        <v>186159</v>
      </c>
    </row>
    <row r="120" spans="1:10" x14ac:dyDescent="0.25">
      <c r="A120" t="str">
        <f>I120&amp;B120&amp;C120&amp;D120</f>
        <v>GY 17 SPR201725</v>
      </c>
      <c r="B120">
        <v>2017</v>
      </c>
      <c r="C120">
        <v>2</v>
      </c>
      <c r="D120">
        <v>5</v>
      </c>
      <c r="E120" t="s">
        <v>99</v>
      </c>
      <c r="F120" t="s">
        <v>84</v>
      </c>
      <c r="G120" t="s">
        <v>29</v>
      </c>
      <c r="H120" t="s">
        <v>5</v>
      </c>
      <c r="I120" t="s">
        <v>178</v>
      </c>
      <c r="J120">
        <v>355165</v>
      </c>
    </row>
    <row r="121" spans="1:10" x14ac:dyDescent="0.25">
      <c r="A121" t="str">
        <f>I121&amp;B121&amp;C121&amp;D121</f>
        <v>GY 17 SPR 1201725</v>
      </c>
      <c r="B121">
        <v>2017</v>
      </c>
      <c r="C121">
        <v>2</v>
      </c>
      <c r="D121">
        <v>5</v>
      </c>
      <c r="E121" t="s">
        <v>99</v>
      </c>
      <c r="F121" t="s">
        <v>84</v>
      </c>
      <c r="G121" t="s">
        <v>29</v>
      </c>
      <c r="H121" t="s">
        <v>5</v>
      </c>
      <c r="I121" t="s">
        <v>180</v>
      </c>
      <c r="J121">
        <v>211392</v>
      </c>
    </row>
    <row r="122" spans="1:10" x14ac:dyDescent="0.25">
      <c r="A122" t="str">
        <f>I122&amp;B122&amp;C122&amp;D122</f>
        <v>GY 17 SPR 2201725</v>
      </c>
      <c r="B122">
        <v>2017</v>
      </c>
      <c r="C122">
        <v>2</v>
      </c>
      <c r="D122">
        <v>5</v>
      </c>
      <c r="E122" t="s">
        <v>99</v>
      </c>
      <c r="F122" t="s">
        <v>84</v>
      </c>
      <c r="G122" t="s">
        <v>29</v>
      </c>
      <c r="H122" t="s">
        <v>5</v>
      </c>
      <c r="I122" t="s">
        <v>182</v>
      </c>
      <c r="J122">
        <v>152677</v>
      </c>
    </row>
    <row r="123" spans="1:10" x14ac:dyDescent="0.25">
      <c r="A123" t="str">
        <f>I123&amp;B123&amp;C123&amp;D123</f>
        <v>GY 17 SPR VAC201725</v>
      </c>
      <c r="B123">
        <v>2017</v>
      </c>
      <c r="C123">
        <v>2</v>
      </c>
      <c r="D123">
        <v>5</v>
      </c>
      <c r="E123" t="s">
        <v>99</v>
      </c>
      <c r="F123" t="s">
        <v>84</v>
      </c>
      <c r="G123" t="s">
        <v>29</v>
      </c>
      <c r="H123" t="s">
        <v>5</v>
      </c>
      <c r="I123" t="s">
        <v>188</v>
      </c>
      <c r="J123">
        <v>272244</v>
      </c>
    </row>
    <row r="124" spans="1:10" x14ac:dyDescent="0.25">
      <c r="A124" t="str">
        <f>I124&amp;B124&amp;C124&amp;D124</f>
        <v>GY 17 SUM 1201725</v>
      </c>
      <c r="B124">
        <v>2017</v>
      </c>
      <c r="C124">
        <v>2</v>
      </c>
      <c r="D124">
        <v>5</v>
      </c>
      <c r="E124" t="s">
        <v>99</v>
      </c>
      <c r="F124" t="s">
        <v>84</v>
      </c>
      <c r="G124" t="s">
        <v>29</v>
      </c>
      <c r="H124" t="s">
        <v>5</v>
      </c>
      <c r="I124" t="s">
        <v>190</v>
      </c>
      <c r="J124">
        <v>149387</v>
      </c>
    </row>
    <row r="125" spans="1:10" x14ac:dyDescent="0.25">
      <c r="A125" t="str">
        <f>I125&amp;B125&amp;C125&amp;D125</f>
        <v>GY 17 SWIM 1201725</v>
      </c>
      <c r="B125">
        <v>2017</v>
      </c>
      <c r="C125">
        <v>2</v>
      </c>
      <c r="D125">
        <v>5</v>
      </c>
      <c r="E125" t="s">
        <v>99</v>
      </c>
      <c r="F125" t="s">
        <v>84</v>
      </c>
      <c r="G125" t="s">
        <v>29</v>
      </c>
      <c r="H125" t="s">
        <v>5</v>
      </c>
      <c r="I125" t="s">
        <v>184</v>
      </c>
      <c r="J125">
        <v>36719</v>
      </c>
    </row>
    <row r="126" spans="1:10" x14ac:dyDescent="0.25">
      <c r="A126" t="str">
        <f>I126&amp;B126&amp;C126&amp;D126</f>
        <v>GY 17 SWIM 2201725</v>
      </c>
      <c r="B126">
        <v>2017</v>
      </c>
      <c r="C126">
        <v>2</v>
      </c>
      <c r="D126">
        <v>5</v>
      </c>
      <c r="E126" t="s">
        <v>99</v>
      </c>
      <c r="F126" t="s">
        <v>84</v>
      </c>
      <c r="G126" t="s">
        <v>29</v>
      </c>
      <c r="H126" t="s">
        <v>5</v>
      </c>
      <c r="I126" t="s">
        <v>192</v>
      </c>
      <c r="J126">
        <v>92016</v>
      </c>
    </row>
    <row r="127" spans="1:10" x14ac:dyDescent="0.25">
      <c r="A127" t="str">
        <f>I127&amp;B127&amp;C127&amp;D127</f>
        <v>GY 17 CAP201725</v>
      </c>
      <c r="B127">
        <v>2017</v>
      </c>
      <c r="C127">
        <v>2</v>
      </c>
      <c r="D127">
        <v>5</v>
      </c>
      <c r="E127" t="s">
        <v>99</v>
      </c>
      <c r="F127" t="s">
        <v>84</v>
      </c>
      <c r="G127" t="s">
        <v>29</v>
      </c>
      <c r="H127" t="s">
        <v>6</v>
      </c>
      <c r="I127" t="s">
        <v>404</v>
      </c>
      <c r="J127">
        <v>597623</v>
      </c>
    </row>
    <row r="128" spans="1:10" x14ac:dyDescent="0.25">
      <c r="A128" t="str">
        <f>I128&amp;B128&amp;C128&amp;D128</f>
        <v>GY 17 SM2201725</v>
      </c>
      <c r="B128">
        <v>2017</v>
      </c>
      <c r="C128">
        <v>2</v>
      </c>
      <c r="D128">
        <v>5</v>
      </c>
      <c r="E128" t="s">
        <v>99</v>
      </c>
      <c r="F128" t="s">
        <v>84</v>
      </c>
      <c r="G128" t="s">
        <v>29</v>
      </c>
      <c r="H128" t="s">
        <v>6</v>
      </c>
      <c r="I128" t="s">
        <v>194</v>
      </c>
      <c r="J128">
        <v>580392</v>
      </c>
    </row>
    <row r="129" spans="1:10" x14ac:dyDescent="0.25">
      <c r="A129" t="str">
        <f>I129&amp;B129&amp;C129&amp;D129</f>
        <v>GY 17 SM3201725</v>
      </c>
      <c r="B129">
        <v>2017</v>
      </c>
      <c r="C129">
        <v>2</v>
      </c>
      <c r="D129">
        <v>5</v>
      </c>
      <c r="E129" t="s">
        <v>99</v>
      </c>
      <c r="F129" t="s">
        <v>84</v>
      </c>
      <c r="G129" t="s">
        <v>29</v>
      </c>
      <c r="H129" t="s">
        <v>6</v>
      </c>
      <c r="I129" t="s">
        <v>196</v>
      </c>
      <c r="J129">
        <v>563561</v>
      </c>
    </row>
    <row r="130" spans="1:10" x14ac:dyDescent="0.25">
      <c r="A130" t="str">
        <f>I130&amp;B130&amp;C130&amp;D130</f>
        <v>GY 17 SM4201725</v>
      </c>
      <c r="B130">
        <v>2017</v>
      </c>
      <c r="C130">
        <v>2</v>
      </c>
      <c r="D130">
        <v>5</v>
      </c>
      <c r="E130" t="s">
        <v>99</v>
      </c>
      <c r="F130" t="s">
        <v>84</v>
      </c>
      <c r="G130" t="s">
        <v>29</v>
      </c>
      <c r="H130" t="s">
        <v>6</v>
      </c>
      <c r="I130" t="s">
        <v>200</v>
      </c>
      <c r="J130">
        <v>417906</v>
      </c>
    </row>
    <row r="131" spans="1:10" x14ac:dyDescent="0.25">
      <c r="A131" t="str">
        <f>I131&amp;B131&amp;C131&amp;D131</f>
        <v>GY 17 SMR201725</v>
      </c>
      <c r="B131">
        <v>2017</v>
      </c>
      <c r="C131">
        <v>2</v>
      </c>
      <c r="D131">
        <v>5</v>
      </c>
      <c r="E131" t="s">
        <v>99</v>
      </c>
      <c r="F131" t="s">
        <v>84</v>
      </c>
      <c r="G131" t="s">
        <v>29</v>
      </c>
      <c r="H131" t="s">
        <v>6</v>
      </c>
      <c r="I131" t="s">
        <v>204</v>
      </c>
      <c r="J131">
        <v>1199684</v>
      </c>
    </row>
    <row r="132" spans="1:10" x14ac:dyDescent="0.25">
      <c r="A132" t="str">
        <f>I132&amp;B132&amp;C132&amp;D132</f>
        <v>GY 17 SWIM 3201725</v>
      </c>
      <c r="B132">
        <v>2017</v>
      </c>
      <c r="C132">
        <v>2</v>
      </c>
      <c r="D132">
        <v>5</v>
      </c>
      <c r="E132" t="s">
        <v>99</v>
      </c>
      <c r="F132" t="s">
        <v>84</v>
      </c>
      <c r="G132" t="s">
        <v>29</v>
      </c>
      <c r="H132" t="s">
        <v>6</v>
      </c>
      <c r="I132" t="s">
        <v>198</v>
      </c>
      <c r="J132">
        <v>118916</v>
      </c>
    </row>
    <row r="133" spans="1:10" x14ac:dyDescent="0.25">
      <c r="A133" t="str">
        <f>I133&amp;B133&amp;C133&amp;D133</f>
        <v>GY 17 TRANS201725</v>
      </c>
      <c r="B133">
        <v>2017</v>
      </c>
      <c r="C133">
        <v>2</v>
      </c>
      <c r="D133">
        <v>5</v>
      </c>
      <c r="E133" t="s">
        <v>99</v>
      </c>
      <c r="F133" t="s">
        <v>84</v>
      </c>
      <c r="G133" t="s">
        <v>29</v>
      </c>
      <c r="H133" t="s">
        <v>6</v>
      </c>
      <c r="I133" t="s">
        <v>202</v>
      </c>
      <c r="J133">
        <v>691463</v>
      </c>
    </row>
    <row r="134" spans="1:10" x14ac:dyDescent="0.25">
      <c r="A134" t="str">
        <f>I134&amp;B134&amp;C134&amp;D134</f>
        <v>GY 17 JAN CAP201725</v>
      </c>
      <c r="B134">
        <v>2017</v>
      </c>
      <c r="C134">
        <v>2</v>
      </c>
      <c r="D134">
        <v>5</v>
      </c>
      <c r="E134" t="s">
        <v>99</v>
      </c>
      <c r="F134" t="s">
        <v>84</v>
      </c>
      <c r="G134" t="s">
        <v>29</v>
      </c>
      <c r="H134" t="s">
        <v>8</v>
      </c>
      <c r="I134" t="s">
        <v>407</v>
      </c>
      <c r="J134">
        <v>67704</v>
      </c>
    </row>
    <row r="135" spans="1:10" x14ac:dyDescent="0.25">
      <c r="A135" t="str">
        <f>I135&amp;B135&amp;C135&amp;D135</f>
        <v>Winter 17201725</v>
      </c>
      <c r="B135">
        <v>2017</v>
      </c>
      <c r="C135">
        <v>2</v>
      </c>
      <c r="D135">
        <v>5</v>
      </c>
      <c r="E135" t="s">
        <v>99</v>
      </c>
      <c r="F135" t="s">
        <v>84</v>
      </c>
      <c r="G135" t="s">
        <v>29</v>
      </c>
      <c r="H135" t="s">
        <v>435</v>
      </c>
      <c r="I135" t="s">
        <v>435</v>
      </c>
      <c r="J135">
        <v>67704</v>
      </c>
    </row>
    <row r="136" spans="1:10" x14ac:dyDescent="0.25">
      <c r="A136" t="str">
        <f>I136&amp;B136&amp;C136&amp;D136</f>
        <v>GY 17 FALL BASICS201726</v>
      </c>
      <c r="B136">
        <v>2017</v>
      </c>
      <c r="C136">
        <v>2</v>
      </c>
      <c r="D136">
        <v>6</v>
      </c>
      <c r="E136" t="s">
        <v>99</v>
      </c>
      <c r="F136" t="s">
        <v>84</v>
      </c>
      <c r="G136" t="s">
        <v>29</v>
      </c>
      <c r="H136" t="s">
        <v>10</v>
      </c>
      <c r="I136" t="s">
        <v>176</v>
      </c>
      <c r="J136">
        <v>913870</v>
      </c>
    </row>
    <row r="137" spans="1:10" x14ac:dyDescent="0.25">
      <c r="A137" t="str">
        <f>I137&amp;B137&amp;C137&amp;D137</f>
        <v>GY 17 SPRING BASICS201726</v>
      </c>
      <c r="B137">
        <v>2017</v>
      </c>
      <c r="C137">
        <v>2</v>
      </c>
      <c r="D137">
        <v>6</v>
      </c>
      <c r="E137" t="s">
        <v>99</v>
      </c>
      <c r="F137" t="s">
        <v>84</v>
      </c>
      <c r="G137" t="s">
        <v>29</v>
      </c>
      <c r="H137" t="s">
        <v>10</v>
      </c>
      <c r="I137" t="s">
        <v>174</v>
      </c>
      <c r="J137">
        <v>363929</v>
      </c>
    </row>
    <row r="138" spans="1:10" x14ac:dyDescent="0.25">
      <c r="A138" t="str">
        <f>I138&amp;B138&amp;C138&amp;D138</f>
        <v>GY YRLY BASICS201726</v>
      </c>
      <c r="B138">
        <v>2017</v>
      </c>
      <c r="C138">
        <v>2</v>
      </c>
      <c r="D138">
        <v>6</v>
      </c>
      <c r="E138" t="s">
        <v>99</v>
      </c>
      <c r="F138" t="s">
        <v>84</v>
      </c>
      <c r="G138" t="s">
        <v>29</v>
      </c>
      <c r="H138" t="s">
        <v>10</v>
      </c>
      <c r="I138" t="s">
        <v>349</v>
      </c>
      <c r="J138">
        <v>1182645</v>
      </c>
    </row>
    <row r="139" spans="1:10" x14ac:dyDescent="0.25">
      <c r="A139" t="str">
        <f>I139&amp;B139&amp;C139&amp;D139</f>
        <v>GY YRLY DENIM201726</v>
      </c>
      <c r="B139">
        <v>2017</v>
      </c>
      <c r="C139">
        <v>2</v>
      </c>
      <c r="D139">
        <v>6</v>
      </c>
      <c r="E139" t="s">
        <v>99</v>
      </c>
      <c r="F139" t="s">
        <v>84</v>
      </c>
      <c r="G139" t="s">
        <v>29</v>
      </c>
      <c r="H139" t="s">
        <v>10</v>
      </c>
      <c r="I139" t="s">
        <v>350</v>
      </c>
      <c r="J139">
        <v>559870</v>
      </c>
    </row>
    <row r="140" spans="1:10" x14ac:dyDescent="0.25">
      <c r="A140" t="str">
        <f>I140&amp;B140&amp;C140&amp;D140</f>
        <v>GY YRLY UNIFORM201726</v>
      </c>
      <c r="B140">
        <v>2017</v>
      </c>
      <c r="C140">
        <v>2</v>
      </c>
      <c r="D140">
        <v>6</v>
      </c>
      <c r="E140" t="s">
        <v>99</v>
      </c>
      <c r="F140" t="s">
        <v>84</v>
      </c>
      <c r="G140" t="s">
        <v>29</v>
      </c>
      <c r="H140" t="s">
        <v>10</v>
      </c>
      <c r="I140" t="s">
        <v>351</v>
      </c>
      <c r="J140">
        <v>126328</v>
      </c>
    </row>
    <row r="141" spans="1:10" x14ac:dyDescent="0.25">
      <c r="A141" t="str">
        <f>I141&amp;B141&amp;C141&amp;D141</f>
        <v>GY 17 BTS201726</v>
      </c>
      <c r="B141">
        <v>2017</v>
      </c>
      <c r="C141">
        <v>2</v>
      </c>
      <c r="D141">
        <v>6</v>
      </c>
      <c r="E141" t="s">
        <v>99</v>
      </c>
      <c r="F141" t="s">
        <v>84</v>
      </c>
      <c r="G141" t="s">
        <v>29</v>
      </c>
      <c r="H141" t="s">
        <v>54</v>
      </c>
      <c r="I141" t="s">
        <v>397</v>
      </c>
      <c r="J141">
        <v>678936</v>
      </c>
    </row>
    <row r="142" spans="1:10" x14ac:dyDescent="0.25">
      <c r="A142" t="str">
        <f>I142&amp;B142&amp;C142&amp;D142</f>
        <v>GY 17 FAL201726</v>
      </c>
      <c r="B142">
        <v>2017</v>
      </c>
      <c r="C142">
        <v>2</v>
      </c>
      <c r="D142">
        <v>6</v>
      </c>
      <c r="E142" t="s">
        <v>99</v>
      </c>
      <c r="F142" t="s">
        <v>84</v>
      </c>
      <c r="G142" t="s">
        <v>29</v>
      </c>
      <c r="H142" t="s">
        <v>54</v>
      </c>
      <c r="I142" t="s">
        <v>398</v>
      </c>
      <c r="J142">
        <v>1761530</v>
      </c>
    </row>
    <row r="143" spans="1:10" x14ac:dyDescent="0.25">
      <c r="A143" t="str">
        <f>I143&amp;B143&amp;C143&amp;D143</f>
        <v>GY 17 FALL 1201726</v>
      </c>
      <c r="B143">
        <v>2017</v>
      </c>
      <c r="C143">
        <v>2</v>
      </c>
      <c r="D143">
        <v>6</v>
      </c>
      <c r="E143" t="s">
        <v>99</v>
      </c>
      <c r="F143" t="s">
        <v>84</v>
      </c>
      <c r="G143" t="s">
        <v>29</v>
      </c>
      <c r="H143" t="s">
        <v>54</v>
      </c>
      <c r="I143" t="s">
        <v>399</v>
      </c>
      <c r="J143">
        <v>1143415</v>
      </c>
    </row>
    <row r="144" spans="1:10" x14ac:dyDescent="0.25">
      <c r="A144" t="str">
        <f>I144&amp;B144&amp;C144&amp;D144</f>
        <v>GY 17 FALL 2201726</v>
      </c>
      <c r="B144">
        <v>2017</v>
      </c>
      <c r="C144">
        <v>2</v>
      </c>
      <c r="D144">
        <v>6</v>
      </c>
      <c r="E144" t="s">
        <v>99</v>
      </c>
      <c r="F144" t="s">
        <v>84</v>
      </c>
      <c r="G144" t="s">
        <v>29</v>
      </c>
      <c r="H144" t="s">
        <v>54</v>
      </c>
      <c r="I144" t="s">
        <v>400</v>
      </c>
      <c r="J144">
        <v>1533399</v>
      </c>
    </row>
    <row r="145" spans="1:10" x14ac:dyDescent="0.25">
      <c r="A145" t="str">
        <f>I145&amp;B145&amp;C145&amp;D145</f>
        <v>GY 17 FALL 3201726</v>
      </c>
      <c r="B145">
        <v>2017</v>
      </c>
      <c r="C145">
        <v>2</v>
      </c>
      <c r="D145">
        <v>6</v>
      </c>
      <c r="E145" t="s">
        <v>99</v>
      </c>
      <c r="F145" t="s">
        <v>84</v>
      </c>
      <c r="G145" t="s">
        <v>29</v>
      </c>
      <c r="H145" t="s">
        <v>54</v>
      </c>
      <c r="I145" t="s">
        <v>401</v>
      </c>
      <c r="J145">
        <v>9960</v>
      </c>
    </row>
    <row r="146" spans="1:10" x14ac:dyDescent="0.25">
      <c r="A146" t="str">
        <f>I146&amp;B146&amp;C146&amp;D146</f>
        <v>GY 17 FALL 4201726</v>
      </c>
      <c r="B146">
        <v>2017</v>
      </c>
      <c r="C146">
        <v>2</v>
      </c>
      <c r="D146">
        <v>6</v>
      </c>
      <c r="E146" t="s">
        <v>99</v>
      </c>
      <c r="F146" t="s">
        <v>84</v>
      </c>
      <c r="G146" t="s">
        <v>29</v>
      </c>
      <c r="H146" t="s">
        <v>54</v>
      </c>
      <c r="I146" t="s">
        <v>402</v>
      </c>
      <c r="J146">
        <v>-2</v>
      </c>
    </row>
    <row r="147" spans="1:10" x14ac:dyDescent="0.25">
      <c r="A147" t="str">
        <f>I147&amp;B147&amp;C147&amp;D147</f>
        <v>GY 17 HO HO SHOP201726</v>
      </c>
      <c r="B147">
        <v>2017</v>
      </c>
      <c r="C147">
        <v>2</v>
      </c>
      <c r="D147">
        <v>6</v>
      </c>
      <c r="E147" t="s">
        <v>99</v>
      </c>
      <c r="F147" t="s">
        <v>84</v>
      </c>
      <c r="G147" t="s">
        <v>29</v>
      </c>
      <c r="H147" t="s">
        <v>54</v>
      </c>
      <c r="I147" t="s">
        <v>405</v>
      </c>
      <c r="J147">
        <v>82</v>
      </c>
    </row>
    <row r="148" spans="1:10" x14ac:dyDescent="0.25">
      <c r="A148" t="str">
        <f>I148&amp;B148&amp;C148&amp;D148</f>
        <v>Old201726</v>
      </c>
      <c r="B148">
        <v>2017</v>
      </c>
      <c r="C148">
        <v>2</v>
      </c>
      <c r="D148">
        <v>6</v>
      </c>
      <c r="E148" t="s">
        <v>99</v>
      </c>
      <c r="F148" t="s">
        <v>84</v>
      </c>
      <c r="G148" t="s">
        <v>29</v>
      </c>
      <c r="H148" t="s">
        <v>434</v>
      </c>
      <c r="I148" t="s">
        <v>434</v>
      </c>
      <c r="J148">
        <v>9327537</v>
      </c>
    </row>
    <row r="149" spans="1:10" x14ac:dyDescent="0.25">
      <c r="A149" t="str">
        <f>I149&amp;B149&amp;C149&amp;D149</f>
        <v>GY WEBSTORE SKU201726</v>
      </c>
      <c r="B149">
        <v>2017</v>
      </c>
      <c r="C149">
        <v>2</v>
      </c>
      <c r="D149">
        <v>6</v>
      </c>
      <c r="E149" t="s">
        <v>99</v>
      </c>
      <c r="F149" t="s">
        <v>84</v>
      </c>
      <c r="G149" t="s">
        <v>29</v>
      </c>
      <c r="H149" t="s">
        <v>462</v>
      </c>
      <c r="I149" t="s">
        <v>352</v>
      </c>
      <c r="J149">
        <v>12</v>
      </c>
    </row>
    <row r="150" spans="1:10" x14ac:dyDescent="0.25">
      <c r="A150" t="str">
        <f>I150&amp;B150&amp;C150&amp;D150</f>
        <v>GY 17 DRSY CAP201726</v>
      </c>
      <c r="B150">
        <v>2017</v>
      </c>
      <c r="C150">
        <v>2</v>
      </c>
      <c r="D150">
        <v>6</v>
      </c>
      <c r="E150" t="s">
        <v>99</v>
      </c>
      <c r="F150" t="s">
        <v>84</v>
      </c>
      <c r="G150" t="s">
        <v>29</v>
      </c>
      <c r="H150" t="s">
        <v>5</v>
      </c>
      <c r="I150" t="s">
        <v>186</v>
      </c>
      <c r="J150">
        <v>125249</v>
      </c>
    </row>
    <row r="151" spans="1:10" x14ac:dyDescent="0.25">
      <c r="A151" t="str">
        <f>I151&amp;B151&amp;C151&amp;D151</f>
        <v>GY 17 SPR201726</v>
      </c>
      <c r="B151">
        <v>2017</v>
      </c>
      <c r="C151">
        <v>2</v>
      </c>
      <c r="D151">
        <v>6</v>
      </c>
      <c r="E151" t="s">
        <v>99</v>
      </c>
      <c r="F151" t="s">
        <v>84</v>
      </c>
      <c r="G151" t="s">
        <v>29</v>
      </c>
      <c r="H151" t="s">
        <v>5</v>
      </c>
      <c r="I151" t="s">
        <v>178</v>
      </c>
      <c r="J151">
        <v>271169</v>
      </c>
    </row>
    <row r="152" spans="1:10" x14ac:dyDescent="0.25">
      <c r="A152" t="str">
        <f>I152&amp;B152&amp;C152&amp;D152</f>
        <v>GY 17 SPR 1201726</v>
      </c>
      <c r="B152">
        <v>2017</v>
      </c>
      <c r="C152">
        <v>2</v>
      </c>
      <c r="D152">
        <v>6</v>
      </c>
      <c r="E152" t="s">
        <v>99</v>
      </c>
      <c r="F152" t="s">
        <v>84</v>
      </c>
      <c r="G152" t="s">
        <v>29</v>
      </c>
      <c r="H152" t="s">
        <v>5</v>
      </c>
      <c r="I152" t="s">
        <v>180</v>
      </c>
      <c r="J152">
        <v>148180</v>
      </c>
    </row>
    <row r="153" spans="1:10" x14ac:dyDescent="0.25">
      <c r="A153" t="str">
        <f>I153&amp;B153&amp;C153&amp;D153</f>
        <v>GY 17 SPR 2201726</v>
      </c>
      <c r="B153">
        <v>2017</v>
      </c>
      <c r="C153">
        <v>2</v>
      </c>
      <c r="D153">
        <v>6</v>
      </c>
      <c r="E153" t="s">
        <v>99</v>
      </c>
      <c r="F153" t="s">
        <v>84</v>
      </c>
      <c r="G153" t="s">
        <v>29</v>
      </c>
      <c r="H153" t="s">
        <v>5</v>
      </c>
      <c r="I153" t="s">
        <v>182</v>
      </c>
      <c r="J153">
        <v>92620</v>
      </c>
    </row>
    <row r="154" spans="1:10" x14ac:dyDescent="0.25">
      <c r="A154" t="str">
        <f>I154&amp;B154&amp;C154&amp;D154</f>
        <v>GY 17 SPR VAC201726</v>
      </c>
      <c r="B154">
        <v>2017</v>
      </c>
      <c r="C154">
        <v>2</v>
      </c>
      <c r="D154">
        <v>6</v>
      </c>
      <c r="E154" t="s">
        <v>99</v>
      </c>
      <c r="F154" t="s">
        <v>84</v>
      </c>
      <c r="G154" t="s">
        <v>29</v>
      </c>
      <c r="H154" t="s">
        <v>5</v>
      </c>
      <c r="I154" t="s">
        <v>188</v>
      </c>
      <c r="J154">
        <v>116624</v>
      </c>
    </row>
    <row r="155" spans="1:10" x14ac:dyDescent="0.25">
      <c r="A155" t="str">
        <f>I155&amp;B155&amp;C155&amp;D155</f>
        <v>GY 17 SUM 1201726</v>
      </c>
      <c r="B155">
        <v>2017</v>
      </c>
      <c r="C155">
        <v>2</v>
      </c>
      <c r="D155">
        <v>6</v>
      </c>
      <c r="E155" t="s">
        <v>99</v>
      </c>
      <c r="F155" t="s">
        <v>84</v>
      </c>
      <c r="G155" t="s">
        <v>29</v>
      </c>
      <c r="H155" t="s">
        <v>5</v>
      </c>
      <c r="I155" t="s">
        <v>190</v>
      </c>
      <c r="J155">
        <v>93910</v>
      </c>
    </row>
    <row r="156" spans="1:10" x14ac:dyDescent="0.25">
      <c r="A156" t="str">
        <f>I156&amp;B156&amp;C156&amp;D156</f>
        <v>GY 17 SWIM 1201726</v>
      </c>
      <c r="B156">
        <v>2017</v>
      </c>
      <c r="C156">
        <v>2</v>
      </c>
      <c r="D156">
        <v>6</v>
      </c>
      <c r="E156" t="s">
        <v>99</v>
      </c>
      <c r="F156" t="s">
        <v>84</v>
      </c>
      <c r="G156" t="s">
        <v>29</v>
      </c>
      <c r="H156" t="s">
        <v>5</v>
      </c>
      <c r="I156" t="s">
        <v>184</v>
      </c>
      <c r="J156">
        <v>18717</v>
      </c>
    </row>
    <row r="157" spans="1:10" x14ac:dyDescent="0.25">
      <c r="A157" t="str">
        <f>I157&amp;B157&amp;C157&amp;D157</f>
        <v>GY 17 SWIM 2201726</v>
      </c>
      <c r="B157">
        <v>2017</v>
      </c>
      <c r="C157">
        <v>2</v>
      </c>
      <c r="D157">
        <v>6</v>
      </c>
      <c r="E157" t="s">
        <v>99</v>
      </c>
      <c r="F157" t="s">
        <v>84</v>
      </c>
      <c r="G157" t="s">
        <v>29</v>
      </c>
      <c r="H157" t="s">
        <v>5</v>
      </c>
      <c r="I157" t="s">
        <v>192</v>
      </c>
      <c r="J157">
        <v>47437</v>
      </c>
    </row>
    <row r="158" spans="1:10" x14ac:dyDescent="0.25">
      <c r="A158" t="str">
        <f>I158&amp;B158&amp;C158&amp;D158</f>
        <v>GY 18 SUM 1201726</v>
      </c>
      <c r="B158">
        <v>2017</v>
      </c>
      <c r="C158">
        <v>2</v>
      </c>
      <c r="D158">
        <v>6</v>
      </c>
      <c r="E158" t="s">
        <v>99</v>
      </c>
      <c r="F158" t="s">
        <v>84</v>
      </c>
      <c r="G158" t="s">
        <v>29</v>
      </c>
      <c r="H158" t="s">
        <v>5</v>
      </c>
      <c r="I158" t="s">
        <v>189</v>
      </c>
      <c r="J158">
        <v>-1</v>
      </c>
    </row>
    <row r="159" spans="1:10" x14ac:dyDescent="0.25">
      <c r="A159" t="str">
        <f>I159&amp;B159&amp;C159&amp;D159</f>
        <v>GY 17 CAP201726</v>
      </c>
      <c r="B159">
        <v>2017</v>
      </c>
      <c r="C159">
        <v>2</v>
      </c>
      <c r="D159">
        <v>6</v>
      </c>
      <c r="E159" t="s">
        <v>99</v>
      </c>
      <c r="F159" t="s">
        <v>84</v>
      </c>
      <c r="G159" t="s">
        <v>29</v>
      </c>
      <c r="H159" t="s">
        <v>6</v>
      </c>
      <c r="I159" t="s">
        <v>404</v>
      </c>
      <c r="J159">
        <v>768970</v>
      </c>
    </row>
    <row r="160" spans="1:10" x14ac:dyDescent="0.25">
      <c r="A160" t="str">
        <f>I160&amp;B160&amp;C160&amp;D160</f>
        <v>GY 17 SM2201726</v>
      </c>
      <c r="B160">
        <v>2017</v>
      </c>
      <c r="C160">
        <v>2</v>
      </c>
      <c r="D160">
        <v>6</v>
      </c>
      <c r="E160" t="s">
        <v>99</v>
      </c>
      <c r="F160" t="s">
        <v>84</v>
      </c>
      <c r="G160" t="s">
        <v>29</v>
      </c>
      <c r="H160" t="s">
        <v>6</v>
      </c>
      <c r="I160" t="s">
        <v>194</v>
      </c>
      <c r="J160">
        <v>429965</v>
      </c>
    </row>
    <row r="161" spans="1:10" x14ac:dyDescent="0.25">
      <c r="A161" t="str">
        <f>I161&amp;B161&amp;C161&amp;D161</f>
        <v>GY 17 SM3201726</v>
      </c>
      <c r="B161">
        <v>2017</v>
      </c>
      <c r="C161">
        <v>2</v>
      </c>
      <c r="D161">
        <v>6</v>
      </c>
      <c r="E161" t="s">
        <v>99</v>
      </c>
      <c r="F161" t="s">
        <v>84</v>
      </c>
      <c r="G161" t="s">
        <v>29</v>
      </c>
      <c r="H161" t="s">
        <v>6</v>
      </c>
      <c r="I161" t="s">
        <v>196</v>
      </c>
      <c r="J161">
        <v>343046</v>
      </c>
    </row>
    <row r="162" spans="1:10" x14ac:dyDescent="0.25">
      <c r="A162" t="str">
        <f>I162&amp;B162&amp;C162&amp;D162</f>
        <v>GY 17 SM4201726</v>
      </c>
      <c r="B162">
        <v>2017</v>
      </c>
      <c r="C162">
        <v>2</v>
      </c>
      <c r="D162">
        <v>6</v>
      </c>
      <c r="E162" t="s">
        <v>99</v>
      </c>
      <c r="F162" t="s">
        <v>84</v>
      </c>
      <c r="G162" t="s">
        <v>29</v>
      </c>
      <c r="H162" t="s">
        <v>6</v>
      </c>
      <c r="I162" t="s">
        <v>200</v>
      </c>
      <c r="J162">
        <v>318502</v>
      </c>
    </row>
    <row r="163" spans="1:10" x14ac:dyDescent="0.25">
      <c r="A163" t="str">
        <f>I163&amp;B163&amp;C163&amp;D163</f>
        <v>GY 17 SMR201726</v>
      </c>
      <c r="B163">
        <v>2017</v>
      </c>
      <c r="C163">
        <v>2</v>
      </c>
      <c r="D163">
        <v>6</v>
      </c>
      <c r="E163" t="s">
        <v>99</v>
      </c>
      <c r="F163" t="s">
        <v>84</v>
      </c>
      <c r="G163" t="s">
        <v>29</v>
      </c>
      <c r="H163" t="s">
        <v>6</v>
      </c>
      <c r="I163" t="s">
        <v>204</v>
      </c>
      <c r="J163">
        <v>820162</v>
      </c>
    </row>
    <row r="164" spans="1:10" x14ac:dyDescent="0.25">
      <c r="A164" t="str">
        <f>I164&amp;B164&amp;C164&amp;D164</f>
        <v>GY 17 SWIM 3201726</v>
      </c>
      <c r="B164">
        <v>2017</v>
      </c>
      <c r="C164">
        <v>2</v>
      </c>
      <c r="D164">
        <v>6</v>
      </c>
      <c r="E164" t="s">
        <v>99</v>
      </c>
      <c r="F164" t="s">
        <v>84</v>
      </c>
      <c r="G164" t="s">
        <v>29</v>
      </c>
      <c r="H164" t="s">
        <v>6</v>
      </c>
      <c r="I164" t="s">
        <v>198</v>
      </c>
      <c r="J164">
        <v>70869</v>
      </c>
    </row>
    <row r="165" spans="1:10" x14ac:dyDescent="0.25">
      <c r="A165" t="str">
        <f>I165&amp;B165&amp;C165&amp;D165</f>
        <v>GY 17 TRANS201726</v>
      </c>
      <c r="B165">
        <v>2017</v>
      </c>
      <c r="C165">
        <v>2</v>
      </c>
      <c r="D165">
        <v>6</v>
      </c>
      <c r="E165" t="s">
        <v>99</v>
      </c>
      <c r="F165" t="s">
        <v>84</v>
      </c>
      <c r="G165" t="s">
        <v>29</v>
      </c>
      <c r="H165" t="s">
        <v>6</v>
      </c>
      <c r="I165" t="s">
        <v>202</v>
      </c>
      <c r="J165">
        <v>534797</v>
      </c>
    </row>
    <row r="166" spans="1:10" x14ac:dyDescent="0.25">
      <c r="A166" t="str">
        <f>I166&amp;B166&amp;C166&amp;D166</f>
        <v>GY 17 HOL201726</v>
      </c>
      <c r="B166">
        <v>2017</v>
      </c>
      <c r="C166">
        <v>2</v>
      </c>
      <c r="D166">
        <v>6</v>
      </c>
      <c r="E166" t="s">
        <v>99</v>
      </c>
      <c r="F166" t="s">
        <v>84</v>
      </c>
      <c r="G166" t="s">
        <v>29</v>
      </c>
      <c r="H166" t="s">
        <v>8</v>
      </c>
      <c r="I166" t="s">
        <v>406</v>
      </c>
      <c r="J166">
        <v>-1</v>
      </c>
    </row>
    <row r="167" spans="1:10" x14ac:dyDescent="0.25">
      <c r="A167" t="str">
        <f>I167&amp;B167&amp;C167&amp;D167</f>
        <v>GY 17 JAN CAP201726</v>
      </c>
      <c r="B167">
        <v>2017</v>
      </c>
      <c r="C167">
        <v>2</v>
      </c>
      <c r="D167">
        <v>6</v>
      </c>
      <c r="E167" t="s">
        <v>99</v>
      </c>
      <c r="F167" t="s">
        <v>84</v>
      </c>
      <c r="G167" t="s">
        <v>29</v>
      </c>
      <c r="H167" t="s">
        <v>8</v>
      </c>
      <c r="I167" t="s">
        <v>407</v>
      </c>
      <c r="J167">
        <v>66261</v>
      </c>
    </row>
    <row r="168" spans="1:10" x14ac:dyDescent="0.25">
      <c r="A168" t="str">
        <f>I168&amp;B168&amp;C168&amp;D168</f>
        <v>GY 17 WINTER 1201726</v>
      </c>
      <c r="B168">
        <v>2017</v>
      </c>
      <c r="C168">
        <v>2</v>
      </c>
      <c r="D168">
        <v>6</v>
      </c>
      <c r="E168" t="s">
        <v>99</v>
      </c>
      <c r="F168" t="s">
        <v>84</v>
      </c>
      <c r="G168" t="s">
        <v>29</v>
      </c>
      <c r="H168" t="s">
        <v>8</v>
      </c>
      <c r="I168" t="s">
        <v>408</v>
      </c>
      <c r="J168">
        <v>-1</v>
      </c>
    </row>
    <row r="169" spans="1:10" x14ac:dyDescent="0.25">
      <c r="A169" t="str">
        <f>I169&amp;B169&amp;C169&amp;D169</f>
        <v>Winter 17201726</v>
      </c>
      <c r="B169">
        <v>2017</v>
      </c>
      <c r="C169">
        <v>2</v>
      </c>
      <c r="D169">
        <v>6</v>
      </c>
      <c r="E169" t="s">
        <v>99</v>
      </c>
      <c r="F169" t="s">
        <v>84</v>
      </c>
      <c r="G169" t="s">
        <v>29</v>
      </c>
      <c r="H169" t="s">
        <v>435</v>
      </c>
      <c r="I169" t="s">
        <v>435</v>
      </c>
      <c r="J169">
        <v>66259</v>
      </c>
    </row>
    <row r="170" spans="1:10" x14ac:dyDescent="0.25">
      <c r="A170" t="str">
        <f>I170&amp;B170&amp;C170&amp;D170</f>
        <v>GY 17 FALL BASICS201737</v>
      </c>
      <c r="B170">
        <v>2017</v>
      </c>
      <c r="C170">
        <v>3</v>
      </c>
      <c r="D170">
        <v>7</v>
      </c>
      <c r="E170" t="s">
        <v>99</v>
      </c>
      <c r="F170" t="s">
        <v>84</v>
      </c>
      <c r="G170" t="s">
        <v>29</v>
      </c>
      <c r="H170" t="s">
        <v>10</v>
      </c>
      <c r="I170" t="s">
        <v>176</v>
      </c>
      <c r="J170">
        <v>826805</v>
      </c>
    </row>
    <row r="171" spans="1:10" x14ac:dyDescent="0.25">
      <c r="A171" t="str">
        <f>I171&amp;B171&amp;C171&amp;D171</f>
        <v>GY 17 SPRING BASICS201737</v>
      </c>
      <c r="B171">
        <v>2017</v>
      </c>
      <c r="C171">
        <v>3</v>
      </c>
      <c r="D171">
        <v>7</v>
      </c>
      <c r="E171" t="s">
        <v>99</v>
      </c>
      <c r="F171" t="s">
        <v>84</v>
      </c>
      <c r="G171" t="s">
        <v>29</v>
      </c>
      <c r="H171" t="s">
        <v>10</v>
      </c>
      <c r="I171" t="s">
        <v>174</v>
      </c>
      <c r="J171">
        <v>235109</v>
      </c>
    </row>
    <row r="172" spans="1:10" x14ac:dyDescent="0.25">
      <c r="A172" t="str">
        <f>I172&amp;B172&amp;C172&amp;D172</f>
        <v>GY YRLY BASICS201737</v>
      </c>
      <c r="B172">
        <v>2017</v>
      </c>
      <c r="C172">
        <v>3</v>
      </c>
      <c r="D172">
        <v>7</v>
      </c>
      <c r="E172" t="s">
        <v>99</v>
      </c>
      <c r="F172" t="s">
        <v>84</v>
      </c>
      <c r="G172" t="s">
        <v>29</v>
      </c>
      <c r="H172" t="s">
        <v>10</v>
      </c>
      <c r="I172" t="s">
        <v>349</v>
      </c>
      <c r="J172">
        <v>1146533</v>
      </c>
    </row>
    <row r="173" spans="1:10" x14ac:dyDescent="0.25">
      <c r="A173" t="str">
        <f>I173&amp;B173&amp;C173&amp;D173</f>
        <v>GY YRLY DENIM201737</v>
      </c>
      <c r="B173">
        <v>2017</v>
      </c>
      <c r="C173">
        <v>3</v>
      </c>
      <c r="D173">
        <v>7</v>
      </c>
      <c r="E173" t="s">
        <v>99</v>
      </c>
      <c r="F173" t="s">
        <v>84</v>
      </c>
      <c r="G173" t="s">
        <v>29</v>
      </c>
      <c r="H173" t="s">
        <v>10</v>
      </c>
      <c r="I173" t="s">
        <v>350</v>
      </c>
      <c r="J173">
        <v>526733</v>
      </c>
    </row>
    <row r="174" spans="1:10" x14ac:dyDescent="0.25">
      <c r="A174" t="str">
        <f>I174&amp;B174&amp;C174&amp;D174</f>
        <v>GY YRLY UNIFORM201737</v>
      </c>
      <c r="B174">
        <v>2017</v>
      </c>
      <c r="C174">
        <v>3</v>
      </c>
      <c r="D174">
        <v>7</v>
      </c>
      <c r="E174" t="s">
        <v>99</v>
      </c>
      <c r="F174" t="s">
        <v>84</v>
      </c>
      <c r="G174" t="s">
        <v>29</v>
      </c>
      <c r="H174" t="s">
        <v>10</v>
      </c>
      <c r="I174" t="s">
        <v>351</v>
      </c>
      <c r="J174">
        <v>110600</v>
      </c>
    </row>
    <row r="175" spans="1:10" x14ac:dyDescent="0.25">
      <c r="A175" t="str">
        <f>I175&amp;B175&amp;C175&amp;D175</f>
        <v>GY 17 BTS201737</v>
      </c>
      <c r="B175">
        <v>2017</v>
      </c>
      <c r="C175">
        <v>3</v>
      </c>
      <c r="D175">
        <v>7</v>
      </c>
      <c r="E175" t="s">
        <v>99</v>
      </c>
      <c r="F175" t="s">
        <v>84</v>
      </c>
      <c r="G175" t="s">
        <v>29</v>
      </c>
      <c r="H175" t="s">
        <v>54</v>
      </c>
      <c r="I175" t="s">
        <v>397</v>
      </c>
      <c r="J175">
        <v>479465</v>
      </c>
    </row>
    <row r="176" spans="1:10" x14ac:dyDescent="0.25">
      <c r="A176" t="str">
        <f>I176&amp;B176&amp;C176&amp;D176</f>
        <v>GY 17 FAL201737</v>
      </c>
      <c r="B176">
        <v>2017</v>
      </c>
      <c r="C176">
        <v>3</v>
      </c>
      <c r="D176">
        <v>7</v>
      </c>
      <c r="E176" t="s">
        <v>99</v>
      </c>
      <c r="F176" t="s">
        <v>84</v>
      </c>
      <c r="G176" t="s">
        <v>29</v>
      </c>
      <c r="H176" t="s">
        <v>54</v>
      </c>
      <c r="I176" t="s">
        <v>398</v>
      </c>
      <c r="J176">
        <v>1829692</v>
      </c>
    </row>
    <row r="177" spans="1:10" x14ac:dyDescent="0.25">
      <c r="A177" t="str">
        <f>I177&amp;B177&amp;C177&amp;D177</f>
        <v>GY 17 FALL 1201737</v>
      </c>
      <c r="B177">
        <v>2017</v>
      </c>
      <c r="C177">
        <v>3</v>
      </c>
      <c r="D177">
        <v>7</v>
      </c>
      <c r="E177" t="s">
        <v>99</v>
      </c>
      <c r="F177" t="s">
        <v>84</v>
      </c>
      <c r="G177" t="s">
        <v>29</v>
      </c>
      <c r="H177" t="s">
        <v>54</v>
      </c>
      <c r="I177" t="s">
        <v>399</v>
      </c>
      <c r="J177">
        <v>794727</v>
      </c>
    </row>
    <row r="178" spans="1:10" x14ac:dyDescent="0.25">
      <c r="A178" t="str">
        <f>I178&amp;B178&amp;C178&amp;D178</f>
        <v>GY 17 FALL 2201737</v>
      </c>
      <c r="B178">
        <v>2017</v>
      </c>
      <c r="C178">
        <v>3</v>
      </c>
      <c r="D178">
        <v>7</v>
      </c>
      <c r="E178" t="s">
        <v>99</v>
      </c>
      <c r="F178" t="s">
        <v>84</v>
      </c>
      <c r="G178" t="s">
        <v>29</v>
      </c>
      <c r="H178" t="s">
        <v>54</v>
      </c>
      <c r="I178" t="s">
        <v>400</v>
      </c>
      <c r="J178">
        <v>1388690</v>
      </c>
    </row>
    <row r="179" spans="1:10" x14ac:dyDescent="0.25">
      <c r="A179" t="str">
        <f>I179&amp;B179&amp;C179&amp;D179</f>
        <v>GY 17 FALL 3201737</v>
      </c>
      <c r="B179">
        <v>2017</v>
      </c>
      <c r="C179">
        <v>3</v>
      </c>
      <c r="D179">
        <v>7</v>
      </c>
      <c r="E179" t="s">
        <v>99</v>
      </c>
      <c r="F179" t="s">
        <v>84</v>
      </c>
      <c r="G179" t="s">
        <v>29</v>
      </c>
      <c r="H179" t="s">
        <v>54</v>
      </c>
      <c r="I179" t="s">
        <v>401</v>
      </c>
      <c r="J179">
        <v>1910880</v>
      </c>
    </row>
    <row r="180" spans="1:10" x14ac:dyDescent="0.25">
      <c r="A180" t="str">
        <f>I180&amp;B180&amp;C180&amp;D180</f>
        <v>GY 17 FALL 4201737</v>
      </c>
      <c r="B180">
        <v>2017</v>
      </c>
      <c r="C180">
        <v>3</v>
      </c>
      <c r="D180">
        <v>7</v>
      </c>
      <c r="E180" t="s">
        <v>99</v>
      </c>
      <c r="F180" t="s">
        <v>84</v>
      </c>
      <c r="G180" t="s">
        <v>29</v>
      </c>
      <c r="H180" t="s">
        <v>54</v>
      </c>
      <c r="I180" t="s">
        <v>402</v>
      </c>
      <c r="J180">
        <v>28394</v>
      </c>
    </row>
    <row r="181" spans="1:10" x14ac:dyDescent="0.25">
      <c r="A181" t="str">
        <f>I181&amp;B181&amp;C181&amp;D181</f>
        <v>GY 17 HO HO SHOP201737</v>
      </c>
      <c r="B181">
        <v>2017</v>
      </c>
      <c r="C181">
        <v>3</v>
      </c>
      <c r="D181">
        <v>7</v>
      </c>
      <c r="E181" t="s">
        <v>99</v>
      </c>
      <c r="F181" t="s">
        <v>84</v>
      </c>
      <c r="G181" t="s">
        <v>29</v>
      </c>
      <c r="H181" t="s">
        <v>54</v>
      </c>
      <c r="I181" t="s">
        <v>405</v>
      </c>
      <c r="J181">
        <v>80</v>
      </c>
    </row>
    <row r="182" spans="1:10" x14ac:dyDescent="0.25">
      <c r="A182" t="str">
        <f>I182&amp;B182&amp;C182&amp;D182</f>
        <v>Old201737</v>
      </c>
      <c r="B182">
        <v>2017</v>
      </c>
      <c r="C182">
        <v>3</v>
      </c>
      <c r="D182">
        <v>7</v>
      </c>
      <c r="E182" t="s">
        <v>99</v>
      </c>
      <c r="F182" t="s">
        <v>84</v>
      </c>
      <c r="G182" t="s">
        <v>29</v>
      </c>
      <c r="H182" t="s">
        <v>434</v>
      </c>
      <c r="I182" t="s">
        <v>434</v>
      </c>
      <c r="J182">
        <v>9203217</v>
      </c>
    </row>
    <row r="183" spans="1:10" x14ac:dyDescent="0.25">
      <c r="A183" t="str">
        <f>I183&amp;B183&amp;C183&amp;D183</f>
        <v>GY WEBSTORE SKU201737</v>
      </c>
      <c r="B183">
        <v>2017</v>
      </c>
      <c r="C183">
        <v>3</v>
      </c>
      <c r="D183">
        <v>7</v>
      </c>
      <c r="E183" t="s">
        <v>99</v>
      </c>
      <c r="F183" t="s">
        <v>84</v>
      </c>
      <c r="G183" t="s">
        <v>29</v>
      </c>
      <c r="H183" t="s">
        <v>462</v>
      </c>
      <c r="I183" t="s">
        <v>352</v>
      </c>
      <c r="J183">
        <v>12</v>
      </c>
    </row>
    <row r="184" spans="1:10" x14ac:dyDescent="0.25">
      <c r="A184" t="str">
        <f>I184&amp;B184&amp;C184&amp;D184</f>
        <v>GY 17 DRSY CAP201737</v>
      </c>
      <c r="B184">
        <v>2017</v>
      </c>
      <c r="C184">
        <v>3</v>
      </c>
      <c r="D184">
        <v>7</v>
      </c>
      <c r="E184" t="s">
        <v>99</v>
      </c>
      <c r="F184" t="s">
        <v>84</v>
      </c>
      <c r="G184" t="s">
        <v>29</v>
      </c>
      <c r="H184" t="s">
        <v>5</v>
      </c>
      <c r="I184" t="s">
        <v>186</v>
      </c>
      <c r="J184">
        <v>71982</v>
      </c>
    </row>
    <row r="185" spans="1:10" x14ac:dyDescent="0.25">
      <c r="A185" t="str">
        <f>I185&amp;B185&amp;C185&amp;D185</f>
        <v>GY 17 SPR201737</v>
      </c>
      <c r="B185">
        <v>2017</v>
      </c>
      <c r="C185">
        <v>3</v>
      </c>
      <c r="D185">
        <v>7</v>
      </c>
      <c r="E185" t="s">
        <v>99</v>
      </c>
      <c r="F185" t="s">
        <v>84</v>
      </c>
      <c r="G185" t="s">
        <v>29</v>
      </c>
      <c r="H185" t="s">
        <v>5</v>
      </c>
      <c r="I185" t="s">
        <v>178</v>
      </c>
      <c r="J185">
        <v>205101</v>
      </c>
    </row>
    <row r="186" spans="1:10" x14ac:dyDescent="0.25">
      <c r="A186" t="str">
        <f>I186&amp;B186&amp;C186&amp;D186</f>
        <v>GY 17 SPR 1201737</v>
      </c>
      <c r="B186">
        <v>2017</v>
      </c>
      <c r="C186">
        <v>3</v>
      </c>
      <c r="D186">
        <v>7</v>
      </c>
      <c r="E186" t="s">
        <v>99</v>
      </c>
      <c r="F186" t="s">
        <v>84</v>
      </c>
      <c r="G186" t="s">
        <v>29</v>
      </c>
      <c r="H186" t="s">
        <v>5</v>
      </c>
      <c r="I186" t="s">
        <v>180</v>
      </c>
      <c r="J186">
        <v>95844</v>
      </c>
    </row>
    <row r="187" spans="1:10" x14ac:dyDescent="0.25">
      <c r="A187" t="str">
        <f>I187&amp;B187&amp;C187&amp;D187</f>
        <v>GY 17 SPR 2201737</v>
      </c>
      <c r="B187">
        <v>2017</v>
      </c>
      <c r="C187">
        <v>3</v>
      </c>
      <c r="D187">
        <v>7</v>
      </c>
      <c r="E187" t="s">
        <v>99</v>
      </c>
      <c r="F187" t="s">
        <v>84</v>
      </c>
      <c r="G187" t="s">
        <v>29</v>
      </c>
      <c r="H187" t="s">
        <v>5</v>
      </c>
      <c r="I187" t="s">
        <v>182</v>
      </c>
      <c r="J187">
        <v>48986</v>
      </c>
    </row>
    <row r="188" spans="1:10" x14ac:dyDescent="0.25">
      <c r="A188" t="str">
        <f>I188&amp;B188&amp;C188&amp;D188</f>
        <v>GY 17 SPR VAC201737</v>
      </c>
      <c r="B188">
        <v>2017</v>
      </c>
      <c r="C188">
        <v>3</v>
      </c>
      <c r="D188">
        <v>7</v>
      </c>
      <c r="E188" t="s">
        <v>99</v>
      </c>
      <c r="F188" t="s">
        <v>84</v>
      </c>
      <c r="G188" t="s">
        <v>29</v>
      </c>
      <c r="H188" t="s">
        <v>5</v>
      </c>
      <c r="I188" t="s">
        <v>188</v>
      </c>
      <c r="J188">
        <v>55670</v>
      </c>
    </row>
    <row r="189" spans="1:10" x14ac:dyDescent="0.25">
      <c r="A189" t="str">
        <f>I189&amp;B189&amp;C189&amp;D189</f>
        <v>GY 17 SUM 1201737</v>
      </c>
      <c r="B189">
        <v>2017</v>
      </c>
      <c r="C189">
        <v>3</v>
      </c>
      <c r="D189">
        <v>7</v>
      </c>
      <c r="E189" t="s">
        <v>99</v>
      </c>
      <c r="F189" t="s">
        <v>84</v>
      </c>
      <c r="G189" t="s">
        <v>29</v>
      </c>
      <c r="H189" t="s">
        <v>5</v>
      </c>
      <c r="I189" t="s">
        <v>190</v>
      </c>
      <c r="J189">
        <v>51041</v>
      </c>
    </row>
    <row r="190" spans="1:10" x14ac:dyDescent="0.25">
      <c r="A190" t="str">
        <f>I190&amp;B190&amp;C190&amp;D190</f>
        <v>GY 17 SWIM 1201737</v>
      </c>
      <c r="B190">
        <v>2017</v>
      </c>
      <c r="C190">
        <v>3</v>
      </c>
      <c r="D190">
        <v>7</v>
      </c>
      <c r="E190" t="s">
        <v>99</v>
      </c>
      <c r="F190" t="s">
        <v>84</v>
      </c>
      <c r="G190" t="s">
        <v>29</v>
      </c>
      <c r="H190" t="s">
        <v>5</v>
      </c>
      <c r="I190" t="s">
        <v>184</v>
      </c>
      <c r="J190">
        <v>6563</v>
      </c>
    </row>
    <row r="191" spans="1:10" x14ac:dyDescent="0.25">
      <c r="A191" t="str">
        <f>I191&amp;B191&amp;C191&amp;D191</f>
        <v>GY 17 SWIM 2201737</v>
      </c>
      <c r="B191">
        <v>2017</v>
      </c>
      <c r="C191">
        <v>3</v>
      </c>
      <c r="D191">
        <v>7</v>
      </c>
      <c r="E191" t="s">
        <v>99</v>
      </c>
      <c r="F191" t="s">
        <v>84</v>
      </c>
      <c r="G191" t="s">
        <v>29</v>
      </c>
      <c r="H191" t="s">
        <v>5</v>
      </c>
      <c r="I191" t="s">
        <v>192</v>
      </c>
      <c r="J191">
        <v>17914</v>
      </c>
    </row>
    <row r="192" spans="1:10" x14ac:dyDescent="0.25">
      <c r="A192" t="str">
        <f>I192&amp;B192&amp;C192&amp;D192</f>
        <v>GY 18 SPR 1201737</v>
      </c>
      <c r="B192">
        <v>2017</v>
      </c>
      <c r="C192">
        <v>3</v>
      </c>
      <c r="D192">
        <v>7</v>
      </c>
      <c r="E192" t="s">
        <v>99</v>
      </c>
      <c r="F192" t="s">
        <v>84</v>
      </c>
      <c r="G192" t="s">
        <v>29</v>
      </c>
      <c r="H192" t="s">
        <v>5</v>
      </c>
      <c r="I192" t="s">
        <v>179</v>
      </c>
      <c r="J192">
        <v>-1</v>
      </c>
    </row>
    <row r="193" spans="1:10" x14ac:dyDescent="0.25">
      <c r="A193" t="str">
        <f>I193&amp;B193&amp;C193&amp;D193</f>
        <v>GY 18 SPR 2201737</v>
      </c>
      <c r="B193">
        <v>2017</v>
      </c>
      <c r="C193">
        <v>3</v>
      </c>
      <c r="D193">
        <v>7</v>
      </c>
      <c r="E193" t="s">
        <v>99</v>
      </c>
      <c r="F193" t="s">
        <v>84</v>
      </c>
      <c r="G193" t="s">
        <v>29</v>
      </c>
      <c r="H193" t="s">
        <v>5</v>
      </c>
      <c r="I193" t="s">
        <v>181</v>
      </c>
      <c r="J193">
        <v>-2</v>
      </c>
    </row>
    <row r="194" spans="1:10" x14ac:dyDescent="0.25">
      <c r="A194" t="str">
        <f>I194&amp;B194&amp;C194&amp;D194</f>
        <v>GY 18 SUM 1201737</v>
      </c>
      <c r="B194">
        <v>2017</v>
      </c>
      <c r="C194">
        <v>3</v>
      </c>
      <c r="D194">
        <v>7</v>
      </c>
      <c r="E194" t="s">
        <v>99</v>
      </c>
      <c r="F194" t="s">
        <v>84</v>
      </c>
      <c r="G194" t="s">
        <v>29</v>
      </c>
      <c r="H194" t="s">
        <v>5</v>
      </c>
      <c r="I194" t="s">
        <v>189</v>
      </c>
      <c r="J194">
        <v>-1</v>
      </c>
    </row>
    <row r="195" spans="1:10" x14ac:dyDescent="0.25">
      <c r="A195" t="str">
        <f>I195&amp;B195&amp;C195&amp;D195</f>
        <v>GY 17 CAP201737</v>
      </c>
      <c r="B195">
        <v>2017</v>
      </c>
      <c r="C195">
        <v>3</v>
      </c>
      <c r="D195">
        <v>7</v>
      </c>
      <c r="E195" t="s">
        <v>99</v>
      </c>
      <c r="F195" t="s">
        <v>84</v>
      </c>
      <c r="G195" t="s">
        <v>29</v>
      </c>
      <c r="H195" t="s">
        <v>6</v>
      </c>
      <c r="I195" t="s">
        <v>404</v>
      </c>
      <c r="J195">
        <v>350299</v>
      </c>
    </row>
    <row r="196" spans="1:10" x14ac:dyDescent="0.25">
      <c r="A196" t="str">
        <f>I196&amp;B196&amp;C196&amp;D196</f>
        <v>GY 17 SM2201737</v>
      </c>
      <c r="B196">
        <v>2017</v>
      </c>
      <c r="C196">
        <v>3</v>
      </c>
      <c r="D196">
        <v>7</v>
      </c>
      <c r="E196" t="s">
        <v>99</v>
      </c>
      <c r="F196" t="s">
        <v>84</v>
      </c>
      <c r="G196" t="s">
        <v>29</v>
      </c>
      <c r="H196" t="s">
        <v>6</v>
      </c>
      <c r="I196" t="s">
        <v>194</v>
      </c>
      <c r="J196">
        <v>330515</v>
      </c>
    </row>
    <row r="197" spans="1:10" x14ac:dyDescent="0.25">
      <c r="A197" t="str">
        <f>I197&amp;B197&amp;C197&amp;D197</f>
        <v>GY 17 SM3201737</v>
      </c>
      <c r="B197">
        <v>2017</v>
      </c>
      <c r="C197">
        <v>3</v>
      </c>
      <c r="D197">
        <v>7</v>
      </c>
      <c r="E197" t="s">
        <v>99</v>
      </c>
      <c r="F197" t="s">
        <v>84</v>
      </c>
      <c r="G197" t="s">
        <v>29</v>
      </c>
      <c r="H197" t="s">
        <v>6</v>
      </c>
      <c r="I197" t="s">
        <v>196</v>
      </c>
      <c r="J197">
        <v>241531</v>
      </c>
    </row>
    <row r="198" spans="1:10" x14ac:dyDescent="0.25">
      <c r="A198" t="str">
        <f>I198&amp;B198&amp;C198&amp;D198</f>
        <v>GY 17 SM4201737</v>
      </c>
      <c r="B198">
        <v>2017</v>
      </c>
      <c r="C198">
        <v>3</v>
      </c>
      <c r="D198">
        <v>7</v>
      </c>
      <c r="E198" t="s">
        <v>99</v>
      </c>
      <c r="F198" t="s">
        <v>84</v>
      </c>
      <c r="G198" t="s">
        <v>29</v>
      </c>
      <c r="H198" t="s">
        <v>6</v>
      </c>
      <c r="I198" t="s">
        <v>200</v>
      </c>
      <c r="J198">
        <v>237299</v>
      </c>
    </row>
    <row r="199" spans="1:10" x14ac:dyDescent="0.25">
      <c r="A199" t="str">
        <f>I199&amp;B199&amp;C199&amp;D199</f>
        <v>GY 17 SMR201737</v>
      </c>
      <c r="B199">
        <v>2017</v>
      </c>
      <c r="C199">
        <v>3</v>
      </c>
      <c r="D199">
        <v>7</v>
      </c>
      <c r="E199" t="s">
        <v>99</v>
      </c>
      <c r="F199" t="s">
        <v>84</v>
      </c>
      <c r="G199" t="s">
        <v>29</v>
      </c>
      <c r="H199" t="s">
        <v>6</v>
      </c>
      <c r="I199" t="s">
        <v>204</v>
      </c>
      <c r="J199">
        <v>622581</v>
      </c>
    </row>
    <row r="200" spans="1:10" x14ac:dyDescent="0.25">
      <c r="A200" t="str">
        <f>I200&amp;B200&amp;C200&amp;D200</f>
        <v>GY 17 SWIM 3201737</v>
      </c>
      <c r="B200">
        <v>2017</v>
      </c>
      <c r="C200">
        <v>3</v>
      </c>
      <c r="D200">
        <v>7</v>
      </c>
      <c r="E200" t="s">
        <v>99</v>
      </c>
      <c r="F200" t="s">
        <v>84</v>
      </c>
      <c r="G200" t="s">
        <v>29</v>
      </c>
      <c r="H200" t="s">
        <v>6</v>
      </c>
      <c r="I200" t="s">
        <v>198</v>
      </c>
      <c r="J200">
        <v>51550</v>
      </c>
    </row>
    <row r="201" spans="1:10" x14ac:dyDescent="0.25">
      <c r="A201" t="str">
        <f>I201&amp;B201&amp;C201&amp;D201</f>
        <v>GY 17 TRANS201737</v>
      </c>
      <c r="B201">
        <v>2017</v>
      </c>
      <c r="C201">
        <v>3</v>
      </c>
      <c r="D201">
        <v>7</v>
      </c>
      <c r="E201" t="s">
        <v>99</v>
      </c>
      <c r="F201" t="s">
        <v>84</v>
      </c>
      <c r="G201" t="s">
        <v>29</v>
      </c>
      <c r="H201" t="s">
        <v>6</v>
      </c>
      <c r="I201" t="s">
        <v>202</v>
      </c>
      <c r="J201">
        <v>384413</v>
      </c>
    </row>
    <row r="202" spans="1:10" x14ac:dyDescent="0.25">
      <c r="A202" t="str">
        <f>I202&amp;B202&amp;C202&amp;D202</f>
        <v>GY 17 HOL201737</v>
      </c>
      <c r="B202">
        <v>2017</v>
      </c>
      <c r="C202">
        <v>3</v>
      </c>
      <c r="D202">
        <v>7</v>
      </c>
      <c r="E202" t="s">
        <v>99</v>
      </c>
      <c r="F202" t="s">
        <v>84</v>
      </c>
      <c r="G202" t="s">
        <v>29</v>
      </c>
      <c r="H202" t="s">
        <v>8</v>
      </c>
      <c r="I202" t="s">
        <v>406</v>
      </c>
      <c r="J202">
        <v>111556</v>
      </c>
    </row>
    <row r="203" spans="1:10" x14ac:dyDescent="0.25">
      <c r="A203" t="str">
        <f>I203&amp;B203&amp;C203&amp;D203</f>
        <v>GY 17 JAN CAP201737</v>
      </c>
      <c r="B203">
        <v>2017</v>
      </c>
      <c r="C203">
        <v>3</v>
      </c>
      <c r="D203">
        <v>7</v>
      </c>
      <c r="E203" t="s">
        <v>99</v>
      </c>
      <c r="F203" t="s">
        <v>84</v>
      </c>
      <c r="G203" t="s">
        <v>29</v>
      </c>
      <c r="H203" t="s">
        <v>8</v>
      </c>
      <c r="I203" t="s">
        <v>407</v>
      </c>
      <c r="J203">
        <v>53805</v>
      </c>
    </row>
    <row r="204" spans="1:10" x14ac:dyDescent="0.25">
      <c r="A204" t="str">
        <f>I204&amp;B204&amp;C204&amp;D204</f>
        <v>GY 17 WINTER 1201737</v>
      </c>
      <c r="B204">
        <v>2017</v>
      </c>
      <c r="C204">
        <v>3</v>
      </c>
      <c r="D204">
        <v>7</v>
      </c>
      <c r="E204" t="s">
        <v>99</v>
      </c>
      <c r="F204" t="s">
        <v>84</v>
      </c>
      <c r="G204" t="s">
        <v>29</v>
      </c>
      <c r="H204" t="s">
        <v>8</v>
      </c>
      <c r="I204" t="s">
        <v>408</v>
      </c>
      <c r="J204">
        <v>-3</v>
      </c>
    </row>
    <row r="205" spans="1:10" x14ac:dyDescent="0.25">
      <c r="A205" t="str">
        <f>I205&amp;B205&amp;C205&amp;D205</f>
        <v>GY 17 WINTER 2201737</v>
      </c>
      <c r="B205">
        <v>2017</v>
      </c>
      <c r="C205">
        <v>3</v>
      </c>
      <c r="D205">
        <v>7</v>
      </c>
      <c r="E205" t="s">
        <v>99</v>
      </c>
      <c r="F205" t="s">
        <v>84</v>
      </c>
      <c r="G205" t="s">
        <v>29</v>
      </c>
      <c r="H205" t="s">
        <v>8</v>
      </c>
      <c r="I205" t="s">
        <v>409</v>
      </c>
      <c r="J205">
        <v>-2</v>
      </c>
    </row>
    <row r="206" spans="1:10" x14ac:dyDescent="0.25">
      <c r="A206" t="str">
        <f>I206&amp;B206&amp;C206&amp;D206</f>
        <v>GY 18 VDAY201737</v>
      </c>
      <c r="B206">
        <v>2017</v>
      </c>
      <c r="C206">
        <v>3</v>
      </c>
      <c r="D206">
        <v>7</v>
      </c>
      <c r="E206" t="s">
        <v>99</v>
      </c>
      <c r="F206" t="s">
        <v>84</v>
      </c>
      <c r="G206" t="s">
        <v>29</v>
      </c>
      <c r="H206" t="s">
        <v>8</v>
      </c>
      <c r="I206" t="s">
        <v>396</v>
      </c>
      <c r="J206">
        <v>-1</v>
      </c>
    </row>
    <row r="207" spans="1:10" x14ac:dyDescent="0.25">
      <c r="A207" t="str">
        <f>I207&amp;B207&amp;C207&amp;D207</f>
        <v>Winter 17201737</v>
      </c>
      <c r="B207">
        <v>2017</v>
      </c>
      <c r="C207">
        <v>3</v>
      </c>
      <c r="D207">
        <v>7</v>
      </c>
      <c r="E207" t="s">
        <v>99</v>
      </c>
      <c r="F207" t="s">
        <v>84</v>
      </c>
      <c r="G207" t="s">
        <v>29</v>
      </c>
      <c r="H207" t="s">
        <v>435</v>
      </c>
      <c r="I207" t="s">
        <v>435</v>
      </c>
      <c r="J207">
        <v>165355</v>
      </c>
    </row>
    <row r="208" spans="1:10" x14ac:dyDescent="0.25">
      <c r="A208" t="str">
        <f>I208&amp;B208&amp;C208&amp;D208</f>
        <v>GY 17 FALL BASICS201738</v>
      </c>
      <c r="B208">
        <v>2017</v>
      </c>
      <c r="C208">
        <v>3</v>
      </c>
      <c r="D208">
        <v>8</v>
      </c>
      <c r="E208" t="s">
        <v>99</v>
      </c>
      <c r="F208" t="s">
        <v>84</v>
      </c>
      <c r="G208" t="s">
        <v>29</v>
      </c>
      <c r="H208" t="s">
        <v>10</v>
      </c>
      <c r="I208" t="s">
        <v>176</v>
      </c>
      <c r="J208">
        <v>723900</v>
      </c>
    </row>
    <row r="209" spans="1:10" x14ac:dyDescent="0.25">
      <c r="A209" t="str">
        <f>I209&amp;B209&amp;C209&amp;D209</f>
        <v>GY 17 SPRING BASICS201738</v>
      </c>
      <c r="B209">
        <v>2017</v>
      </c>
      <c r="C209">
        <v>3</v>
      </c>
      <c r="D209">
        <v>8</v>
      </c>
      <c r="E209" t="s">
        <v>99</v>
      </c>
      <c r="F209" t="s">
        <v>84</v>
      </c>
      <c r="G209" t="s">
        <v>29</v>
      </c>
      <c r="H209" t="s">
        <v>10</v>
      </c>
      <c r="I209" t="s">
        <v>174</v>
      </c>
      <c r="J209">
        <v>172005</v>
      </c>
    </row>
    <row r="210" spans="1:10" x14ac:dyDescent="0.25">
      <c r="A210" t="str">
        <f>I210&amp;B210&amp;C210&amp;D210</f>
        <v>GY 18 SPRING BASICS201738</v>
      </c>
      <c r="B210">
        <v>2017</v>
      </c>
      <c r="C210">
        <v>3</v>
      </c>
      <c r="D210">
        <v>8</v>
      </c>
      <c r="E210" t="s">
        <v>99</v>
      </c>
      <c r="F210" t="s">
        <v>84</v>
      </c>
      <c r="G210" t="s">
        <v>29</v>
      </c>
      <c r="H210" t="s">
        <v>10</v>
      </c>
      <c r="I210" t="s">
        <v>173</v>
      </c>
      <c r="J210">
        <v>0</v>
      </c>
    </row>
    <row r="211" spans="1:10" x14ac:dyDescent="0.25">
      <c r="A211" t="str">
        <f>I211&amp;B211&amp;C211&amp;D211</f>
        <v>GY YRLY BASICS201738</v>
      </c>
      <c r="B211">
        <v>2017</v>
      </c>
      <c r="C211">
        <v>3</v>
      </c>
      <c r="D211">
        <v>8</v>
      </c>
      <c r="E211" t="s">
        <v>99</v>
      </c>
      <c r="F211" t="s">
        <v>84</v>
      </c>
      <c r="G211" t="s">
        <v>29</v>
      </c>
      <c r="H211" t="s">
        <v>10</v>
      </c>
      <c r="I211" t="s">
        <v>349</v>
      </c>
      <c r="J211">
        <v>1040035</v>
      </c>
    </row>
    <row r="212" spans="1:10" x14ac:dyDescent="0.25">
      <c r="A212" t="str">
        <f>I212&amp;B212&amp;C212&amp;D212</f>
        <v>GY YRLY DENIM201738</v>
      </c>
      <c r="B212">
        <v>2017</v>
      </c>
      <c r="C212">
        <v>3</v>
      </c>
      <c r="D212">
        <v>8</v>
      </c>
      <c r="E212" t="s">
        <v>99</v>
      </c>
      <c r="F212" t="s">
        <v>84</v>
      </c>
      <c r="G212" t="s">
        <v>29</v>
      </c>
      <c r="H212" t="s">
        <v>10</v>
      </c>
      <c r="I212" t="s">
        <v>350</v>
      </c>
      <c r="J212">
        <v>476253</v>
      </c>
    </row>
    <row r="213" spans="1:10" x14ac:dyDescent="0.25">
      <c r="A213" t="str">
        <f>I213&amp;B213&amp;C213&amp;D213</f>
        <v>GY YRLY UNIFORM201738</v>
      </c>
      <c r="B213">
        <v>2017</v>
      </c>
      <c r="C213">
        <v>3</v>
      </c>
      <c r="D213">
        <v>8</v>
      </c>
      <c r="E213" t="s">
        <v>99</v>
      </c>
      <c r="F213" t="s">
        <v>84</v>
      </c>
      <c r="G213" t="s">
        <v>29</v>
      </c>
      <c r="H213" t="s">
        <v>10</v>
      </c>
      <c r="I213" t="s">
        <v>351</v>
      </c>
      <c r="J213">
        <v>91893</v>
      </c>
    </row>
    <row r="214" spans="1:10" x14ac:dyDescent="0.25">
      <c r="A214" t="str">
        <f>I214&amp;B214&amp;C214&amp;D214</f>
        <v>GY 17 BTS201738</v>
      </c>
      <c r="B214">
        <v>2017</v>
      </c>
      <c r="C214">
        <v>3</v>
      </c>
      <c r="D214">
        <v>8</v>
      </c>
      <c r="E214" t="s">
        <v>99</v>
      </c>
      <c r="F214" t="s">
        <v>84</v>
      </c>
      <c r="G214" t="s">
        <v>29</v>
      </c>
      <c r="H214" t="s">
        <v>54</v>
      </c>
      <c r="I214" t="s">
        <v>397</v>
      </c>
      <c r="J214">
        <v>238189</v>
      </c>
    </row>
    <row r="215" spans="1:10" x14ac:dyDescent="0.25">
      <c r="A215" t="str">
        <f>I215&amp;B215&amp;C215&amp;D215</f>
        <v>GY 17 FAL201738</v>
      </c>
      <c r="B215">
        <v>2017</v>
      </c>
      <c r="C215">
        <v>3</v>
      </c>
      <c r="D215">
        <v>8</v>
      </c>
      <c r="E215" t="s">
        <v>99</v>
      </c>
      <c r="F215" t="s">
        <v>84</v>
      </c>
      <c r="G215" t="s">
        <v>29</v>
      </c>
      <c r="H215" t="s">
        <v>54</v>
      </c>
      <c r="I215" t="s">
        <v>398</v>
      </c>
      <c r="J215">
        <v>1476190</v>
      </c>
    </row>
    <row r="216" spans="1:10" x14ac:dyDescent="0.25">
      <c r="A216" t="str">
        <f>I216&amp;B216&amp;C216&amp;D216</f>
        <v>GY 17 FALL 1201738</v>
      </c>
      <c r="B216">
        <v>2017</v>
      </c>
      <c r="C216">
        <v>3</v>
      </c>
      <c r="D216">
        <v>8</v>
      </c>
      <c r="E216" t="s">
        <v>99</v>
      </c>
      <c r="F216" t="s">
        <v>84</v>
      </c>
      <c r="G216" t="s">
        <v>29</v>
      </c>
      <c r="H216" t="s">
        <v>54</v>
      </c>
      <c r="I216" t="s">
        <v>399</v>
      </c>
      <c r="J216">
        <v>456617</v>
      </c>
    </row>
    <row r="217" spans="1:10" x14ac:dyDescent="0.25">
      <c r="A217" t="str">
        <f>I217&amp;B217&amp;C217&amp;D217</f>
        <v>GY 17 FALL 2201738</v>
      </c>
      <c r="B217">
        <v>2017</v>
      </c>
      <c r="C217">
        <v>3</v>
      </c>
      <c r="D217">
        <v>8</v>
      </c>
      <c r="E217" t="s">
        <v>99</v>
      </c>
      <c r="F217" t="s">
        <v>84</v>
      </c>
      <c r="G217" t="s">
        <v>29</v>
      </c>
      <c r="H217" t="s">
        <v>54</v>
      </c>
      <c r="I217" t="s">
        <v>400</v>
      </c>
      <c r="J217">
        <v>1112041</v>
      </c>
    </row>
    <row r="218" spans="1:10" x14ac:dyDescent="0.25">
      <c r="A218" t="str">
        <f>I218&amp;B218&amp;C218&amp;D218</f>
        <v>GY 17 FALL 3201738</v>
      </c>
      <c r="B218">
        <v>2017</v>
      </c>
      <c r="C218">
        <v>3</v>
      </c>
      <c r="D218">
        <v>8</v>
      </c>
      <c r="E218" t="s">
        <v>99</v>
      </c>
      <c r="F218" t="s">
        <v>84</v>
      </c>
      <c r="G218" t="s">
        <v>29</v>
      </c>
      <c r="H218" t="s">
        <v>54</v>
      </c>
      <c r="I218" t="s">
        <v>401</v>
      </c>
      <c r="J218">
        <v>1548170</v>
      </c>
    </row>
    <row r="219" spans="1:10" x14ac:dyDescent="0.25">
      <c r="A219" t="str">
        <f>I219&amp;B219&amp;C219&amp;D219</f>
        <v>GY 17 FALL 4201738</v>
      </c>
      <c r="B219">
        <v>2017</v>
      </c>
      <c r="C219">
        <v>3</v>
      </c>
      <c r="D219">
        <v>8</v>
      </c>
      <c r="E219" t="s">
        <v>99</v>
      </c>
      <c r="F219" t="s">
        <v>84</v>
      </c>
      <c r="G219" t="s">
        <v>29</v>
      </c>
      <c r="H219" t="s">
        <v>54</v>
      </c>
      <c r="I219" t="s">
        <v>402</v>
      </c>
      <c r="J219">
        <v>1164623</v>
      </c>
    </row>
    <row r="220" spans="1:10" x14ac:dyDescent="0.25">
      <c r="A220" t="str">
        <f>I220&amp;B220&amp;C220&amp;D220</f>
        <v>GY 17 HO HO SHOP201738</v>
      </c>
      <c r="B220">
        <v>2017</v>
      </c>
      <c r="C220">
        <v>3</v>
      </c>
      <c r="D220">
        <v>8</v>
      </c>
      <c r="E220" t="s">
        <v>99</v>
      </c>
      <c r="F220" t="s">
        <v>84</v>
      </c>
      <c r="G220" t="s">
        <v>29</v>
      </c>
      <c r="H220" t="s">
        <v>54</v>
      </c>
      <c r="I220" t="s">
        <v>405</v>
      </c>
      <c r="J220">
        <v>1411262</v>
      </c>
    </row>
    <row r="221" spans="1:10" x14ac:dyDescent="0.25">
      <c r="A221" t="str">
        <f>I221&amp;B221&amp;C221&amp;D221</f>
        <v>Old201738</v>
      </c>
      <c r="B221">
        <v>2017</v>
      </c>
      <c r="C221">
        <v>3</v>
      </c>
      <c r="D221">
        <v>8</v>
      </c>
      <c r="E221" t="s">
        <v>99</v>
      </c>
      <c r="F221" t="s">
        <v>84</v>
      </c>
      <c r="G221" t="s">
        <v>29</v>
      </c>
      <c r="H221" t="s">
        <v>434</v>
      </c>
      <c r="I221" t="s">
        <v>434</v>
      </c>
      <c r="J221">
        <v>8597459</v>
      </c>
    </row>
    <row r="222" spans="1:10" x14ac:dyDescent="0.25">
      <c r="A222" t="str">
        <f>I222&amp;B222&amp;C222&amp;D222</f>
        <v>GY WEBSTORE SKU201738</v>
      </c>
      <c r="B222">
        <v>2017</v>
      </c>
      <c r="C222">
        <v>3</v>
      </c>
      <c r="D222">
        <v>8</v>
      </c>
      <c r="E222" t="s">
        <v>99</v>
      </c>
      <c r="F222" t="s">
        <v>84</v>
      </c>
      <c r="G222" t="s">
        <v>29</v>
      </c>
      <c r="H222" t="s">
        <v>462</v>
      </c>
      <c r="I222" t="s">
        <v>352</v>
      </c>
      <c r="J222">
        <v>17</v>
      </c>
    </row>
    <row r="223" spans="1:10" x14ac:dyDescent="0.25">
      <c r="A223" t="str">
        <f>I223&amp;B223&amp;C223&amp;D223</f>
        <v>GY 17 DRSY CAP201738</v>
      </c>
      <c r="B223">
        <v>2017</v>
      </c>
      <c r="C223">
        <v>3</v>
      </c>
      <c r="D223">
        <v>8</v>
      </c>
      <c r="E223" t="s">
        <v>99</v>
      </c>
      <c r="F223" t="s">
        <v>84</v>
      </c>
      <c r="G223" t="s">
        <v>29</v>
      </c>
      <c r="H223" t="s">
        <v>5</v>
      </c>
      <c r="I223" t="s">
        <v>186</v>
      </c>
      <c r="J223">
        <v>54686</v>
      </c>
    </row>
    <row r="224" spans="1:10" x14ac:dyDescent="0.25">
      <c r="A224" t="str">
        <f>I224&amp;B224&amp;C224&amp;D224</f>
        <v>GY 17 SPR201738</v>
      </c>
      <c r="B224">
        <v>2017</v>
      </c>
      <c r="C224">
        <v>3</v>
      </c>
      <c r="D224">
        <v>8</v>
      </c>
      <c r="E224" t="s">
        <v>99</v>
      </c>
      <c r="F224" t="s">
        <v>84</v>
      </c>
      <c r="G224" t="s">
        <v>29</v>
      </c>
      <c r="H224" t="s">
        <v>5</v>
      </c>
      <c r="I224" t="s">
        <v>178</v>
      </c>
      <c r="J224">
        <v>162865</v>
      </c>
    </row>
    <row r="225" spans="1:10" x14ac:dyDescent="0.25">
      <c r="A225" t="str">
        <f>I225&amp;B225&amp;C225&amp;D225</f>
        <v>GY 17 SPR 1201738</v>
      </c>
      <c r="B225">
        <v>2017</v>
      </c>
      <c r="C225">
        <v>3</v>
      </c>
      <c r="D225">
        <v>8</v>
      </c>
      <c r="E225" t="s">
        <v>99</v>
      </c>
      <c r="F225" t="s">
        <v>84</v>
      </c>
      <c r="G225" t="s">
        <v>29</v>
      </c>
      <c r="H225" t="s">
        <v>5</v>
      </c>
      <c r="I225" t="s">
        <v>180</v>
      </c>
      <c r="J225">
        <v>74485</v>
      </c>
    </row>
    <row r="226" spans="1:10" x14ac:dyDescent="0.25">
      <c r="A226" t="str">
        <f>I226&amp;B226&amp;C226&amp;D226</f>
        <v>GY 17 SPR 2201738</v>
      </c>
      <c r="B226">
        <v>2017</v>
      </c>
      <c r="C226">
        <v>3</v>
      </c>
      <c r="D226">
        <v>8</v>
      </c>
      <c r="E226" t="s">
        <v>99</v>
      </c>
      <c r="F226" t="s">
        <v>84</v>
      </c>
      <c r="G226" t="s">
        <v>29</v>
      </c>
      <c r="H226" t="s">
        <v>5</v>
      </c>
      <c r="I226" t="s">
        <v>182</v>
      </c>
      <c r="J226">
        <v>33174</v>
      </c>
    </row>
    <row r="227" spans="1:10" x14ac:dyDescent="0.25">
      <c r="A227" t="str">
        <f>I227&amp;B227&amp;C227&amp;D227</f>
        <v>GY 17 SPR VAC201738</v>
      </c>
      <c r="B227">
        <v>2017</v>
      </c>
      <c r="C227">
        <v>3</v>
      </c>
      <c r="D227">
        <v>8</v>
      </c>
      <c r="E227" t="s">
        <v>99</v>
      </c>
      <c r="F227" t="s">
        <v>84</v>
      </c>
      <c r="G227" t="s">
        <v>29</v>
      </c>
      <c r="H227" t="s">
        <v>5</v>
      </c>
      <c r="I227" t="s">
        <v>188</v>
      </c>
      <c r="J227">
        <v>32780</v>
      </c>
    </row>
    <row r="228" spans="1:10" x14ac:dyDescent="0.25">
      <c r="A228" t="str">
        <f>I228&amp;B228&amp;C228&amp;D228</f>
        <v>GY 17 SUM 1201738</v>
      </c>
      <c r="B228">
        <v>2017</v>
      </c>
      <c r="C228">
        <v>3</v>
      </c>
      <c r="D228">
        <v>8</v>
      </c>
      <c r="E228" t="s">
        <v>99</v>
      </c>
      <c r="F228" t="s">
        <v>84</v>
      </c>
      <c r="G228" t="s">
        <v>29</v>
      </c>
      <c r="H228" t="s">
        <v>5</v>
      </c>
      <c r="I228" t="s">
        <v>190</v>
      </c>
      <c r="J228">
        <v>36324</v>
      </c>
    </row>
    <row r="229" spans="1:10" x14ac:dyDescent="0.25">
      <c r="A229" t="str">
        <f>I229&amp;B229&amp;C229&amp;D229</f>
        <v>GY 17 SWIM 1201738</v>
      </c>
      <c r="B229">
        <v>2017</v>
      </c>
      <c r="C229">
        <v>3</v>
      </c>
      <c r="D229">
        <v>8</v>
      </c>
      <c r="E229" t="s">
        <v>99</v>
      </c>
      <c r="F229" t="s">
        <v>84</v>
      </c>
      <c r="G229" t="s">
        <v>29</v>
      </c>
      <c r="H229" t="s">
        <v>5</v>
      </c>
      <c r="I229" t="s">
        <v>184</v>
      </c>
      <c r="J229">
        <v>1974</v>
      </c>
    </row>
    <row r="230" spans="1:10" x14ac:dyDescent="0.25">
      <c r="A230" t="str">
        <f>I230&amp;B230&amp;C230&amp;D230</f>
        <v>GY 17 SWIM 2201738</v>
      </c>
      <c r="B230">
        <v>2017</v>
      </c>
      <c r="C230">
        <v>3</v>
      </c>
      <c r="D230">
        <v>8</v>
      </c>
      <c r="E230" t="s">
        <v>99</v>
      </c>
      <c r="F230" t="s">
        <v>84</v>
      </c>
      <c r="G230" t="s">
        <v>29</v>
      </c>
      <c r="H230" t="s">
        <v>5</v>
      </c>
      <c r="I230" t="s">
        <v>192</v>
      </c>
      <c r="J230">
        <v>6669</v>
      </c>
    </row>
    <row r="231" spans="1:10" x14ac:dyDescent="0.25">
      <c r="A231" t="str">
        <f>I231&amp;B231&amp;C231&amp;D231</f>
        <v>GY 18 SPR 1201738</v>
      </c>
      <c r="B231">
        <v>2017</v>
      </c>
      <c r="C231">
        <v>3</v>
      </c>
      <c r="D231">
        <v>8</v>
      </c>
      <c r="E231" t="s">
        <v>99</v>
      </c>
      <c r="F231" t="s">
        <v>84</v>
      </c>
      <c r="G231" t="s">
        <v>29</v>
      </c>
      <c r="H231" t="s">
        <v>5</v>
      </c>
      <c r="I231" t="s">
        <v>179</v>
      </c>
      <c r="J231">
        <v>-2</v>
      </c>
    </row>
    <row r="232" spans="1:10" x14ac:dyDescent="0.25">
      <c r="A232" t="str">
        <f>I232&amp;B232&amp;C232&amp;D232</f>
        <v>GY 18 SPR 2201738</v>
      </c>
      <c r="B232">
        <v>2017</v>
      </c>
      <c r="C232">
        <v>3</v>
      </c>
      <c r="D232">
        <v>8</v>
      </c>
      <c r="E232" t="s">
        <v>99</v>
      </c>
      <c r="F232" t="s">
        <v>84</v>
      </c>
      <c r="G232" t="s">
        <v>29</v>
      </c>
      <c r="H232" t="s">
        <v>5</v>
      </c>
      <c r="I232" t="s">
        <v>181</v>
      </c>
      <c r="J232">
        <v>-3</v>
      </c>
    </row>
    <row r="233" spans="1:10" x14ac:dyDescent="0.25">
      <c r="A233" t="str">
        <f>I233&amp;B233&amp;C233&amp;D233</f>
        <v>GY 18 SPR VACA201738</v>
      </c>
      <c r="B233">
        <v>2017</v>
      </c>
      <c r="C233">
        <v>3</v>
      </c>
      <c r="D233">
        <v>8</v>
      </c>
      <c r="E233" t="s">
        <v>99</v>
      </c>
      <c r="F233" t="s">
        <v>84</v>
      </c>
      <c r="G233" t="s">
        <v>29</v>
      </c>
      <c r="H233" t="s">
        <v>5</v>
      </c>
      <c r="I233" t="s">
        <v>187</v>
      </c>
      <c r="J233">
        <v>0</v>
      </c>
    </row>
    <row r="234" spans="1:10" x14ac:dyDescent="0.25">
      <c r="A234" t="str">
        <f>I234&amp;B234&amp;C234&amp;D234</f>
        <v>GY 18 SUM 1201738</v>
      </c>
      <c r="B234">
        <v>2017</v>
      </c>
      <c r="C234">
        <v>3</v>
      </c>
      <c r="D234">
        <v>8</v>
      </c>
      <c r="E234" t="s">
        <v>99</v>
      </c>
      <c r="F234" t="s">
        <v>84</v>
      </c>
      <c r="G234" t="s">
        <v>29</v>
      </c>
      <c r="H234" t="s">
        <v>5</v>
      </c>
      <c r="I234" t="s">
        <v>189</v>
      </c>
      <c r="J234">
        <v>-1</v>
      </c>
    </row>
    <row r="235" spans="1:10" x14ac:dyDescent="0.25">
      <c r="A235" t="str">
        <f>I235&amp;B235&amp;C235&amp;D235</f>
        <v>GY 17 CAP201738</v>
      </c>
      <c r="B235">
        <v>2017</v>
      </c>
      <c r="C235">
        <v>3</v>
      </c>
      <c r="D235">
        <v>8</v>
      </c>
      <c r="E235" t="s">
        <v>99</v>
      </c>
      <c r="F235" t="s">
        <v>84</v>
      </c>
      <c r="G235" t="s">
        <v>29</v>
      </c>
      <c r="H235" t="s">
        <v>6</v>
      </c>
      <c r="I235" t="s">
        <v>404</v>
      </c>
      <c r="J235">
        <v>41942</v>
      </c>
    </row>
    <row r="236" spans="1:10" x14ac:dyDescent="0.25">
      <c r="A236" t="str">
        <f>I236&amp;B236&amp;C236&amp;D236</f>
        <v>GY 17 SM2201738</v>
      </c>
      <c r="B236">
        <v>2017</v>
      </c>
      <c r="C236">
        <v>3</v>
      </c>
      <c r="D236">
        <v>8</v>
      </c>
      <c r="E236" t="s">
        <v>99</v>
      </c>
      <c r="F236" t="s">
        <v>84</v>
      </c>
      <c r="G236" t="s">
        <v>29</v>
      </c>
      <c r="H236" t="s">
        <v>6</v>
      </c>
      <c r="I236" t="s">
        <v>194</v>
      </c>
      <c r="J236">
        <v>82627</v>
      </c>
    </row>
    <row r="237" spans="1:10" x14ac:dyDescent="0.25">
      <c r="A237" t="str">
        <f>I237&amp;B237&amp;C237&amp;D237</f>
        <v>GY 17 SM3201738</v>
      </c>
      <c r="B237">
        <v>2017</v>
      </c>
      <c r="C237">
        <v>3</v>
      </c>
      <c r="D237">
        <v>8</v>
      </c>
      <c r="E237" t="s">
        <v>99</v>
      </c>
      <c r="F237" t="s">
        <v>84</v>
      </c>
      <c r="G237" t="s">
        <v>29</v>
      </c>
      <c r="H237" t="s">
        <v>6</v>
      </c>
      <c r="I237" t="s">
        <v>196</v>
      </c>
      <c r="J237">
        <v>82031</v>
      </c>
    </row>
    <row r="238" spans="1:10" x14ac:dyDescent="0.25">
      <c r="A238" t="str">
        <f>I238&amp;B238&amp;C238&amp;D238</f>
        <v>GY 17 SM4201738</v>
      </c>
      <c r="B238">
        <v>2017</v>
      </c>
      <c r="C238">
        <v>3</v>
      </c>
      <c r="D238">
        <v>8</v>
      </c>
      <c r="E238" t="s">
        <v>99</v>
      </c>
      <c r="F238" t="s">
        <v>84</v>
      </c>
      <c r="G238" t="s">
        <v>29</v>
      </c>
      <c r="H238" t="s">
        <v>6</v>
      </c>
      <c r="I238" t="s">
        <v>200</v>
      </c>
      <c r="J238">
        <v>79905</v>
      </c>
    </row>
    <row r="239" spans="1:10" x14ac:dyDescent="0.25">
      <c r="A239" t="str">
        <f>I239&amp;B239&amp;C239&amp;D239</f>
        <v>GY 17 SMR201738</v>
      </c>
      <c r="B239">
        <v>2017</v>
      </c>
      <c r="C239">
        <v>3</v>
      </c>
      <c r="D239">
        <v>8</v>
      </c>
      <c r="E239" t="s">
        <v>99</v>
      </c>
      <c r="F239" t="s">
        <v>84</v>
      </c>
      <c r="G239" t="s">
        <v>29</v>
      </c>
      <c r="H239" t="s">
        <v>6</v>
      </c>
      <c r="I239" t="s">
        <v>204</v>
      </c>
      <c r="J239">
        <v>218930</v>
      </c>
    </row>
    <row r="240" spans="1:10" x14ac:dyDescent="0.25">
      <c r="A240" t="str">
        <f>I240&amp;B240&amp;C240&amp;D240</f>
        <v>GY 17 SWIM 3201738</v>
      </c>
      <c r="B240">
        <v>2017</v>
      </c>
      <c r="C240">
        <v>3</v>
      </c>
      <c r="D240">
        <v>8</v>
      </c>
      <c r="E240" t="s">
        <v>99</v>
      </c>
      <c r="F240" t="s">
        <v>84</v>
      </c>
      <c r="G240" t="s">
        <v>29</v>
      </c>
      <c r="H240" t="s">
        <v>6</v>
      </c>
      <c r="I240" t="s">
        <v>198</v>
      </c>
      <c r="J240">
        <v>11536</v>
      </c>
    </row>
    <row r="241" spans="1:10" x14ac:dyDescent="0.25">
      <c r="A241" t="str">
        <f>I241&amp;B241&amp;C241&amp;D241</f>
        <v>GY 17 TRANS201738</v>
      </c>
      <c r="B241">
        <v>2017</v>
      </c>
      <c r="C241">
        <v>3</v>
      </c>
      <c r="D241">
        <v>8</v>
      </c>
      <c r="E241" t="s">
        <v>99</v>
      </c>
      <c r="F241" t="s">
        <v>84</v>
      </c>
      <c r="G241" t="s">
        <v>29</v>
      </c>
      <c r="H241" t="s">
        <v>6</v>
      </c>
      <c r="I241" t="s">
        <v>202</v>
      </c>
      <c r="J241">
        <v>270439</v>
      </c>
    </row>
    <row r="242" spans="1:10" x14ac:dyDescent="0.25">
      <c r="A242" t="str">
        <f>I242&amp;B242&amp;C242&amp;D242</f>
        <v>GY 17 HOL201738</v>
      </c>
      <c r="B242">
        <v>2017</v>
      </c>
      <c r="C242">
        <v>3</v>
      </c>
      <c r="D242">
        <v>8</v>
      </c>
      <c r="E242" t="s">
        <v>99</v>
      </c>
      <c r="F242" t="s">
        <v>84</v>
      </c>
      <c r="G242" t="s">
        <v>29</v>
      </c>
      <c r="H242" t="s">
        <v>8</v>
      </c>
      <c r="I242" t="s">
        <v>406</v>
      </c>
      <c r="J242">
        <v>724412</v>
      </c>
    </row>
    <row r="243" spans="1:10" x14ac:dyDescent="0.25">
      <c r="A243" t="str">
        <f>I243&amp;B243&amp;C243&amp;D243</f>
        <v>GY 17 JAN CAP201738</v>
      </c>
      <c r="B243">
        <v>2017</v>
      </c>
      <c r="C243">
        <v>3</v>
      </c>
      <c r="D243">
        <v>8</v>
      </c>
      <c r="E243" t="s">
        <v>99</v>
      </c>
      <c r="F243" t="s">
        <v>84</v>
      </c>
      <c r="G243" t="s">
        <v>29</v>
      </c>
      <c r="H243" t="s">
        <v>8</v>
      </c>
      <c r="I243" t="s">
        <v>407</v>
      </c>
      <c r="J243">
        <v>21386</v>
      </c>
    </row>
    <row r="244" spans="1:10" x14ac:dyDescent="0.25">
      <c r="A244" t="str">
        <f>I244&amp;B244&amp;C244&amp;D244</f>
        <v>GY 17 WINTER 1201738</v>
      </c>
      <c r="B244">
        <v>2017</v>
      </c>
      <c r="C244">
        <v>3</v>
      </c>
      <c r="D244">
        <v>8</v>
      </c>
      <c r="E244" t="s">
        <v>99</v>
      </c>
      <c r="F244" t="s">
        <v>84</v>
      </c>
      <c r="G244" t="s">
        <v>29</v>
      </c>
      <c r="H244" t="s">
        <v>8</v>
      </c>
      <c r="I244" t="s">
        <v>408</v>
      </c>
      <c r="J244">
        <v>782768</v>
      </c>
    </row>
    <row r="245" spans="1:10" x14ac:dyDescent="0.25">
      <c r="A245" t="str">
        <f>I245&amp;B245&amp;C245&amp;D245</f>
        <v>GY 17 WINTER 2201738</v>
      </c>
      <c r="B245">
        <v>2017</v>
      </c>
      <c r="C245">
        <v>3</v>
      </c>
      <c r="D245">
        <v>8</v>
      </c>
      <c r="E245" t="s">
        <v>99</v>
      </c>
      <c r="F245" t="s">
        <v>84</v>
      </c>
      <c r="G245" t="s">
        <v>29</v>
      </c>
      <c r="H245" t="s">
        <v>8</v>
      </c>
      <c r="I245" t="s">
        <v>409</v>
      </c>
      <c r="J245">
        <v>89076</v>
      </c>
    </row>
    <row r="246" spans="1:10" x14ac:dyDescent="0.25">
      <c r="A246" t="str">
        <f>I246&amp;B246&amp;C246&amp;D246</f>
        <v>GY 18 VDAY201738</v>
      </c>
      <c r="B246">
        <v>2017</v>
      </c>
      <c r="C246">
        <v>3</v>
      </c>
      <c r="D246">
        <v>8</v>
      </c>
      <c r="E246" t="s">
        <v>99</v>
      </c>
      <c r="F246" t="s">
        <v>84</v>
      </c>
      <c r="G246" t="s">
        <v>29</v>
      </c>
      <c r="H246" t="s">
        <v>8</v>
      </c>
      <c r="I246" t="s">
        <v>396</v>
      </c>
      <c r="J246">
        <v>-1</v>
      </c>
    </row>
    <row r="247" spans="1:10" x14ac:dyDescent="0.25">
      <c r="A247" t="str">
        <f>I247&amp;B247&amp;C247&amp;D247</f>
        <v>Winter 17201738</v>
      </c>
      <c r="B247">
        <v>2017</v>
      </c>
      <c r="C247">
        <v>3</v>
      </c>
      <c r="D247">
        <v>8</v>
      </c>
      <c r="E247" t="s">
        <v>99</v>
      </c>
      <c r="F247" t="s">
        <v>84</v>
      </c>
      <c r="G247" t="s">
        <v>29</v>
      </c>
      <c r="H247" t="s">
        <v>435</v>
      </c>
      <c r="I247" t="s">
        <v>435</v>
      </c>
      <c r="J247">
        <v>1617641</v>
      </c>
    </row>
    <row r="248" spans="1:10" x14ac:dyDescent="0.25">
      <c r="A248" t="str">
        <f>I248&amp;B248&amp;C248&amp;D248</f>
        <v>GY 17 FALL BASICS201739</v>
      </c>
      <c r="B248">
        <v>2017</v>
      </c>
      <c r="C248">
        <v>3</v>
      </c>
      <c r="D248">
        <v>9</v>
      </c>
      <c r="E248" t="s">
        <v>99</v>
      </c>
      <c r="F248" t="s">
        <v>84</v>
      </c>
      <c r="G248" t="s">
        <v>29</v>
      </c>
      <c r="H248" t="s">
        <v>10</v>
      </c>
      <c r="I248" t="s">
        <v>176</v>
      </c>
      <c r="J248">
        <v>504991</v>
      </c>
    </row>
    <row r="249" spans="1:10" x14ac:dyDescent="0.25">
      <c r="A249" t="str">
        <f>I249&amp;B249&amp;C249&amp;D249</f>
        <v>GY 17 SPRING BASICS201739</v>
      </c>
      <c r="B249">
        <v>2017</v>
      </c>
      <c r="C249">
        <v>3</v>
      </c>
      <c r="D249">
        <v>9</v>
      </c>
      <c r="E249" t="s">
        <v>99</v>
      </c>
      <c r="F249" t="s">
        <v>84</v>
      </c>
      <c r="G249" t="s">
        <v>29</v>
      </c>
      <c r="H249" t="s">
        <v>10</v>
      </c>
      <c r="I249" t="s">
        <v>174</v>
      </c>
      <c r="J249">
        <v>139603</v>
      </c>
    </row>
    <row r="250" spans="1:10" x14ac:dyDescent="0.25">
      <c r="A250" t="str">
        <f>I250&amp;B250&amp;C250&amp;D250</f>
        <v>GY 18 SPRING BASICS201739</v>
      </c>
      <c r="B250">
        <v>2017</v>
      </c>
      <c r="C250">
        <v>3</v>
      </c>
      <c r="D250">
        <v>9</v>
      </c>
      <c r="E250" t="s">
        <v>99</v>
      </c>
      <c r="F250" t="s">
        <v>84</v>
      </c>
      <c r="G250" t="s">
        <v>29</v>
      </c>
      <c r="H250" t="s">
        <v>10</v>
      </c>
      <c r="I250" t="s">
        <v>173</v>
      </c>
      <c r="J250">
        <v>8724</v>
      </c>
    </row>
    <row r="251" spans="1:10" x14ac:dyDescent="0.25">
      <c r="A251" t="str">
        <f>I251&amp;B251&amp;C251&amp;D251</f>
        <v>GY YRLY BASICS201739</v>
      </c>
      <c r="B251">
        <v>2017</v>
      </c>
      <c r="C251">
        <v>3</v>
      </c>
      <c r="D251">
        <v>9</v>
      </c>
      <c r="E251" t="s">
        <v>99</v>
      </c>
      <c r="F251" t="s">
        <v>84</v>
      </c>
      <c r="G251" t="s">
        <v>29</v>
      </c>
      <c r="H251" t="s">
        <v>10</v>
      </c>
      <c r="I251" t="s">
        <v>349</v>
      </c>
      <c r="J251">
        <v>925364</v>
      </c>
    </row>
    <row r="252" spans="1:10" x14ac:dyDescent="0.25">
      <c r="A252" t="str">
        <f>I252&amp;B252&amp;C252&amp;D252</f>
        <v>GY YRLY DENIM201739</v>
      </c>
      <c r="B252">
        <v>2017</v>
      </c>
      <c r="C252">
        <v>3</v>
      </c>
      <c r="D252">
        <v>9</v>
      </c>
      <c r="E252" t="s">
        <v>99</v>
      </c>
      <c r="F252" t="s">
        <v>84</v>
      </c>
      <c r="G252" t="s">
        <v>29</v>
      </c>
      <c r="H252" t="s">
        <v>10</v>
      </c>
      <c r="I252" t="s">
        <v>350</v>
      </c>
      <c r="J252">
        <v>450909</v>
      </c>
    </row>
    <row r="253" spans="1:10" x14ac:dyDescent="0.25">
      <c r="A253" t="str">
        <f>I253&amp;B253&amp;C253&amp;D253</f>
        <v>GY YRLY UNIFORM201739</v>
      </c>
      <c r="B253">
        <v>2017</v>
      </c>
      <c r="C253">
        <v>3</v>
      </c>
      <c r="D253">
        <v>9</v>
      </c>
      <c r="E253" t="s">
        <v>99</v>
      </c>
      <c r="F253" t="s">
        <v>84</v>
      </c>
      <c r="G253" t="s">
        <v>29</v>
      </c>
      <c r="H253" t="s">
        <v>10</v>
      </c>
      <c r="I253" t="s">
        <v>351</v>
      </c>
      <c r="J253">
        <v>65650</v>
      </c>
    </row>
    <row r="254" spans="1:10" x14ac:dyDescent="0.25">
      <c r="A254" t="str">
        <f>I254&amp;B254&amp;C254&amp;D254</f>
        <v>GY 17 BTS201739</v>
      </c>
      <c r="B254">
        <v>2017</v>
      </c>
      <c r="C254">
        <v>3</v>
      </c>
      <c r="D254">
        <v>9</v>
      </c>
      <c r="E254" t="s">
        <v>99</v>
      </c>
      <c r="F254" t="s">
        <v>84</v>
      </c>
      <c r="G254" t="s">
        <v>29</v>
      </c>
      <c r="H254" t="s">
        <v>54</v>
      </c>
      <c r="I254" t="s">
        <v>397</v>
      </c>
      <c r="J254">
        <v>150444</v>
      </c>
    </row>
    <row r="255" spans="1:10" x14ac:dyDescent="0.25">
      <c r="A255" t="str">
        <f>I255&amp;B255&amp;C255&amp;D255</f>
        <v>GY 17 FAL201739</v>
      </c>
      <c r="B255">
        <v>2017</v>
      </c>
      <c r="C255">
        <v>3</v>
      </c>
      <c r="D255">
        <v>9</v>
      </c>
      <c r="E255" t="s">
        <v>99</v>
      </c>
      <c r="F255" t="s">
        <v>84</v>
      </c>
      <c r="G255" t="s">
        <v>29</v>
      </c>
      <c r="H255" t="s">
        <v>54</v>
      </c>
      <c r="I255" t="s">
        <v>398</v>
      </c>
      <c r="J255">
        <v>962402</v>
      </c>
    </row>
    <row r="256" spans="1:10" x14ac:dyDescent="0.25">
      <c r="A256" t="str">
        <f>I256&amp;B256&amp;C256&amp;D256</f>
        <v>GY 17 FALL 1201739</v>
      </c>
      <c r="B256">
        <v>2017</v>
      </c>
      <c r="C256">
        <v>3</v>
      </c>
      <c r="D256">
        <v>9</v>
      </c>
      <c r="E256" t="s">
        <v>99</v>
      </c>
      <c r="F256" t="s">
        <v>84</v>
      </c>
      <c r="G256" t="s">
        <v>29</v>
      </c>
      <c r="H256" t="s">
        <v>54</v>
      </c>
      <c r="I256" t="s">
        <v>399</v>
      </c>
      <c r="J256">
        <v>240524</v>
      </c>
    </row>
    <row r="257" spans="1:10" x14ac:dyDescent="0.25">
      <c r="A257" t="str">
        <f>I257&amp;B257&amp;C257&amp;D257</f>
        <v>GY 17 FALL 2201739</v>
      </c>
      <c r="B257">
        <v>2017</v>
      </c>
      <c r="C257">
        <v>3</v>
      </c>
      <c r="D257">
        <v>9</v>
      </c>
      <c r="E257" t="s">
        <v>99</v>
      </c>
      <c r="F257" t="s">
        <v>84</v>
      </c>
      <c r="G257" t="s">
        <v>29</v>
      </c>
      <c r="H257" t="s">
        <v>54</v>
      </c>
      <c r="I257" t="s">
        <v>400</v>
      </c>
      <c r="J257">
        <v>717083</v>
      </c>
    </row>
    <row r="258" spans="1:10" x14ac:dyDescent="0.25">
      <c r="A258" t="str">
        <f>I258&amp;B258&amp;C258&amp;D258</f>
        <v>GY 17 FALL 3201739</v>
      </c>
      <c r="B258">
        <v>2017</v>
      </c>
      <c r="C258">
        <v>3</v>
      </c>
      <c r="D258">
        <v>9</v>
      </c>
      <c r="E258" t="s">
        <v>99</v>
      </c>
      <c r="F258" t="s">
        <v>84</v>
      </c>
      <c r="G258" t="s">
        <v>29</v>
      </c>
      <c r="H258" t="s">
        <v>54</v>
      </c>
      <c r="I258" t="s">
        <v>401</v>
      </c>
      <c r="J258">
        <v>1072403</v>
      </c>
    </row>
    <row r="259" spans="1:10" x14ac:dyDescent="0.25">
      <c r="A259" t="str">
        <f>I259&amp;B259&amp;C259&amp;D259</f>
        <v>GY 17 FALL 4201739</v>
      </c>
      <c r="B259">
        <v>2017</v>
      </c>
      <c r="C259">
        <v>3</v>
      </c>
      <c r="D259">
        <v>9</v>
      </c>
      <c r="E259" t="s">
        <v>99</v>
      </c>
      <c r="F259" t="s">
        <v>84</v>
      </c>
      <c r="G259" t="s">
        <v>29</v>
      </c>
      <c r="H259" t="s">
        <v>54</v>
      </c>
      <c r="I259" t="s">
        <v>402</v>
      </c>
      <c r="J259">
        <v>817317</v>
      </c>
    </row>
    <row r="260" spans="1:10" x14ac:dyDescent="0.25">
      <c r="A260" t="str">
        <f>I260&amp;B260&amp;C260&amp;D260</f>
        <v>GY 17 HO HO SHOP201739</v>
      </c>
      <c r="B260">
        <v>2017</v>
      </c>
      <c r="C260">
        <v>3</v>
      </c>
      <c r="D260">
        <v>9</v>
      </c>
      <c r="E260" t="s">
        <v>99</v>
      </c>
      <c r="F260" t="s">
        <v>84</v>
      </c>
      <c r="G260" t="s">
        <v>29</v>
      </c>
      <c r="H260" t="s">
        <v>54</v>
      </c>
      <c r="I260" t="s">
        <v>405</v>
      </c>
      <c r="J260">
        <v>1232229</v>
      </c>
    </row>
    <row r="261" spans="1:10" x14ac:dyDescent="0.25">
      <c r="A261" t="str">
        <f>I261&amp;B261&amp;C261&amp;D261</f>
        <v>Old201739</v>
      </c>
      <c r="B261">
        <v>2017</v>
      </c>
      <c r="C261">
        <v>3</v>
      </c>
      <c r="D261">
        <v>9</v>
      </c>
      <c r="E261" t="s">
        <v>99</v>
      </c>
      <c r="F261" t="s">
        <v>84</v>
      </c>
      <c r="G261" t="s">
        <v>29</v>
      </c>
      <c r="H261" t="s">
        <v>434</v>
      </c>
      <c r="I261" t="s">
        <v>434</v>
      </c>
      <c r="J261">
        <v>5862304</v>
      </c>
    </row>
    <row r="262" spans="1:10" x14ac:dyDescent="0.25">
      <c r="A262" t="str">
        <f>I262&amp;B262&amp;C262&amp;D262</f>
        <v>GY WEBSTORE SKU201739</v>
      </c>
      <c r="B262">
        <v>2017</v>
      </c>
      <c r="C262">
        <v>3</v>
      </c>
      <c r="D262">
        <v>9</v>
      </c>
      <c r="E262" t="s">
        <v>99</v>
      </c>
      <c r="F262" t="s">
        <v>84</v>
      </c>
      <c r="G262" t="s">
        <v>29</v>
      </c>
      <c r="H262" t="s">
        <v>462</v>
      </c>
      <c r="I262" t="s">
        <v>352</v>
      </c>
      <c r="J262">
        <v>14</v>
      </c>
    </row>
    <row r="263" spans="1:10" x14ac:dyDescent="0.25">
      <c r="A263" t="str">
        <f>I263&amp;B263&amp;C263&amp;D263</f>
        <v>GY 17 DRSY CAP201739</v>
      </c>
      <c r="B263">
        <v>2017</v>
      </c>
      <c r="C263">
        <v>3</v>
      </c>
      <c r="D263">
        <v>9</v>
      </c>
      <c r="E263" t="s">
        <v>99</v>
      </c>
      <c r="F263" t="s">
        <v>84</v>
      </c>
      <c r="G263" t="s">
        <v>29</v>
      </c>
      <c r="H263" t="s">
        <v>5</v>
      </c>
      <c r="I263" t="s">
        <v>186</v>
      </c>
      <c r="J263">
        <v>46814</v>
      </c>
    </row>
    <row r="264" spans="1:10" x14ac:dyDescent="0.25">
      <c r="A264" t="str">
        <f>I264&amp;B264&amp;C264&amp;D264</f>
        <v>GY 17 SPR201739</v>
      </c>
      <c r="B264">
        <v>2017</v>
      </c>
      <c r="C264">
        <v>3</v>
      </c>
      <c r="D264">
        <v>9</v>
      </c>
      <c r="E264" t="s">
        <v>99</v>
      </c>
      <c r="F264" t="s">
        <v>84</v>
      </c>
      <c r="G264" t="s">
        <v>29</v>
      </c>
      <c r="H264" t="s">
        <v>5</v>
      </c>
      <c r="I264" t="s">
        <v>178</v>
      </c>
      <c r="J264">
        <v>110104</v>
      </c>
    </row>
    <row r="265" spans="1:10" x14ac:dyDescent="0.25">
      <c r="A265" t="str">
        <f>I265&amp;B265&amp;C265&amp;D265</f>
        <v>GY 17 SPR 1201739</v>
      </c>
      <c r="B265">
        <v>2017</v>
      </c>
      <c r="C265">
        <v>3</v>
      </c>
      <c r="D265">
        <v>9</v>
      </c>
      <c r="E265" t="s">
        <v>99</v>
      </c>
      <c r="F265" t="s">
        <v>84</v>
      </c>
      <c r="G265" t="s">
        <v>29</v>
      </c>
      <c r="H265" t="s">
        <v>5</v>
      </c>
      <c r="I265" t="s">
        <v>180</v>
      </c>
      <c r="J265">
        <v>57393</v>
      </c>
    </row>
    <row r="266" spans="1:10" x14ac:dyDescent="0.25">
      <c r="A266" t="str">
        <f>I266&amp;B266&amp;C266&amp;D266</f>
        <v>GY 17 SPR 2201739</v>
      </c>
      <c r="B266">
        <v>2017</v>
      </c>
      <c r="C266">
        <v>3</v>
      </c>
      <c r="D266">
        <v>9</v>
      </c>
      <c r="E266" t="s">
        <v>99</v>
      </c>
      <c r="F266" t="s">
        <v>84</v>
      </c>
      <c r="G266" t="s">
        <v>29</v>
      </c>
      <c r="H266" t="s">
        <v>5</v>
      </c>
      <c r="I266" t="s">
        <v>182</v>
      </c>
      <c r="J266">
        <v>28934</v>
      </c>
    </row>
    <row r="267" spans="1:10" x14ac:dyDescent="0.25">
      <c r="A267" t="str">
        <f>I267&amp;B267&amp;C267&amp;D267</f>
        <v>GY 17 SPR VAC201739</v>
      </c>
      <c r="B267">
        <v>2017</v>
      </c>
      <c r="C267">
        <v>3</v>
      </c>
      <c r="D267">
        <v>9</v>
      </c>
      <c r="E267" t="s">
        <v>99</v>
      </c>
      <c r="F267" t="s">
        <v>84</v>
      </c>
      <c r="G267" t="s">
        <v>29</v>
      </c>
      <c r="H267" t="s">
        <v>5</v>
      </c>
      <c r="I267" t="s">
        <v>188</v>
      </c>
      <c r="J267">
        <v>28041</v>
      </c>
    </row>
    <row r="268" spans="1:10" x14ac:dyDescent="0.25">
      <c r="A268" t="str">
        <f>I268&amp;B268&amp;C268&amp;D268</f>
        <v>GY 17 SUM 1201739</v>
      </c>
      <c r="B268">
        <v>2017</v>
      </c>
      <c r="C268">
        <v>3</v>
      </c>
      <c r="D268">
        <v>9</v>
      </c>
      <c r="E268" t="s">
        <v>99</v>
      </c>
      <c r="F268" t="s">
        <v>84</v>
      </c>
      <c r="G268" t="s">
        <v>29</v>
      </c>
      <c r="H268" t="s">
        <v>5</v>
      </c>
      <c r="I268" t="s">
        <v>190</v>
      </c>
      <c r="J268">
        <v>31456</v>
      </c>
    </row>
    <row r="269" spans="1:10" x14ac:dyDescent="0.25">
      <c r="A269" t="str">
        <f>I269&amp;B269&amp;C269&amp;D269</f>
        <v>GY 17 SWIM 1201739</v>
      </c>
      <c r="B269">
        <v>2017</v>
      </c>
      <c r="C269">
        <v>3</v>
      </c>
      <c r="D269">
        <v>9</v>
      </c>
      <c r="E269" t="s">
        <v>99</v>
      </c>
      <c r="F269" t="s">
        <v>84</v>
      </c>
      <c r="G269" t="s">
        <v>29</v>
      </c>
      <c r="H269" t="s">
        <v>5</v>
      </c>
      <c r="I269" t="s">
        <v>184</v>
      </c>
      <c r="J269">
        <v>1318</v>
      </c>
    </row>
    <row r="270" spans="1:10" x14ac:dyDescent="0.25">
      <c r="A270" t="str">
        <f>I270&amp;B270&amp;C270&amp;D270</f>
        <v>GY 17 SWIM 2201739</v>
      </c>
      <c r="B270">
        <v>2017</v>
      </c>
      <c r="C270">
        <v>3</v>
      </c>
      <c r="D270">
        <v>9</v>
      </c>
      <c r="E270" t="s">
        <v>99</v>
      </c>
      <c r="F270" t="s">
        <v>84</v>
      </c>
      <c r="G270" t="s">
        <v>29</v>
      </c>
      <c r="H270" t="s">
        <v>5</v>
      </c>
      <c r="I270" t="s">
        <v>192</v>
      </c>
      <c r="J270">
        <v>5260</v>
      </c>
    </row>
    <row r="271" spans="1:10" x14ac:dyDescent="0.25">
      <c r="A271" t="str">
        <f>I271&amp;B271&amp;C271&amp;D271</f>
        <v>GY 18 SPR 1201739</v>
      </c>
      <c r="B271">
        <v>2017</v>
      </c>
      <c r="C271">
        <v>3</v>
      </c>
      <c r="D271">
        <v>9</v>
      </c>
      <c r="E271" t="s">
        <v>99</v>
      </c>
      <c r="F271" t="s">
        <v>84</v>
      </c>
      <c r="G271" t="s">
        <v>29</v>
      </c>
      <c r="H271" t="s">
        <v>5</v>
      </c>
      <c r="I271" t="s">
        <v>179</v>
      </c>
      <c r="J271">
        <v>-2</v>
      </c>
    </row>
    <row r="272" spans="1:10" x14ac:dyDescent="0.25">
      <c r="A272" t="str">
        <f>I272&amp;B272&amp;C272&amp;D272</f>
        <v>GY 18 SPR 2201739</v>
      </c>
      <c r="B272">
        <v>2017</v>
      </c>
      <c r="C272">
        <v>3</v>
      </c>
      <c r="D272">
        <v>9</v>
      </c>
      <c r="E272" t="s">
        <v>99</v>
      </c>
      <c r="F272" t="s">
        <v>84</v>
      </c>
      <c r="G272" t="s">
        <v>29</v>
      </c>
      <c r="H272" t="s">
        <v>5</v>
      </c>
      <c r="I272" t="s">
        <v>181</v>
      </c>
      <c r="J272">
        <v>-3</v>
      </c>
    </row>
    <row r="273" spans="1:10" x14ac:dyDescent="0.25">
      <c r="A273" t="str">
        <f>I273&amp;B273&amp;C273&amp;D273</f>
        <v>GY 18 SPR VACA201739</v>
      </c>
      <c r="B273">
        <v>2017</v>
      </c>
      <c r="C273">
        <v>3</v>
      </c>
      <c r="D273">
        <v>9</v>
      </c>
      <c r="E273" t="s">
        <v>99</v>
      </c>
      <c r="F273" t="s">
        <v>84</v>
      </c>
      <c r="G273" t="s">
        <v>29</v>
      </c>
      <c r="H273" t="s">
        <v>5</v>
      </c>
      <c r="I273" t="s">
        <v>187</v>
      </c>
      <c r="J273">
        <v>0</v>
      </c>
    </row>
    <row r="274" spans="1:10" x14ac:dyDescent="0.25">
      <c r="A274" t="str">
        <f>I274&amp;B274&amp;C274&amp;D274</f>
        <v>GY 18 SUM 1201739</v>
      </c>
      <c r="B274">
        <v>2017</v>
      </c>
      <c r="C274">
        <v>3</v>
      </c>
      <c r="D274">
        <v>9</v>
      </c>
      <c r="E274" t="s">
        <v>99</v>
      </c>
      <c r="F274" t="s">
        <v>84</v>
      </c>
      <c r="G274" t="s">
        <v>29</v>
      </c>
      <c r="H274" t="s">
        <v>5</v>
      </c>
      <c r="I274" t="s">
        <v>189</v>
      </c>
      <c r="J274">
        <v>-1</v>
      </c>
    </row>
    <row r="275" spans="1:10" x14ac:dyDescent="0.25">
      <c r="A275" t="str">
        <f>I275&amp;B275&amp;C275&amp;D275</f>
        <v>GY 17 CAP201739</v>
      </c>
      <c r="B275">
        <v>2017</v>
      </c>
      <c r="C275">
        <v>3</v>
      </c>
      <c r="D275">
        <v>9</v>
      </c>
      <c r="E275" t="s">
        <v>99</v>
      </c>
      <c r="F275" t="s">
        <v>84</v>
      </c>
      <c r="G275" t="s">
        <v>29</v>
      </c>
      <c r="H275" t="s">
        <v>6</v>
      </c>
      <c r="I275" t="s">
        <v>404</v>
      </c>
      <c r="J275">
        <v>28968</v>
      </c>
    </row>
    <row r="276" spans="1:10" x14ac:dyDescent="0.25">
      <c r="A276" t="str">
        <f>I276&amp;B276&amp;C276&amp;D276</f>
        <v>GY 17 SM2201739</v>
      </c>
      <c r="B276">
        <v>2017</v>
      </c>
      <c r="C276">
        <v>3</v>
      </c>
      <c r="D276">
        <v>9</v>
      </c>
      <c r="E276" t="s">
        <v>99</v>
      </c>
      <c r="F276" t="s">
        <v>84</v>
      </c>
      <c r="G276" t="s">
        <v>29</v>
      </c>
      <c r="H276" t="s">
        <v>6</v>
      </c>
      <c r="I276" t="s">
        <v>194</v>
      </c>
      <c r="J276">
        <v>41204</v>
      </c>
    </row>
    <row r="277" spans="1:10" x14ac:dyDescent="0.25">
      <c r="A277" t="str">
        <f>I277&amp;B277&amp;C277&amp;D277</f>
        <v>GY 17 SM3201739</v>
      </c>
      <c r="B277">
        <v>2017</v>
      </c>
      <c r="C277">
        <v>3</v>
      </c>
      <c r="D277">
        <v>9</v>
      </c>
      <c r="E277" t="s">
        <v>99</v>
      </c>
      <c r="F277" t="s">
        <v>84</v>
      </c>
      <c r="G277" t="s">
        <v>29</v>
      </c>
      <c r="H277" t="s">
        <v>6</v>
      </c>
      <c r="I277" t="s">
        <v>196</v>
      </c>
      <c r="J277">
        <v>36822</v>
      </c>
    </row>
    <row r="278" spans="1:10" x14ac:dyDescent="0.25">
      <c r="A278" t="str">
        <f>I278&amp;B278&amp;C278&amp;D278</f>
        <v>GY 17 SM4201739</v>
      </c>
      <c r="B278">
        <v>2017</v>
      </c>
      <c r="C278">
        <v>3</v>
      </c>
      <c r="D278">
        <v>9</v>
      </c>
      <c r="E278" t="s">
        <v>99</v>
      </c>
      <c r="F278" t="s">
        <v>84</v>
      </c>
      <c r="G278" t="s">
        <v>29</v>
      </c>
      <c r="H278" t="s">
        <v>6</v>
      </c>
      <c r="I278" t="s">
        <v>200</v>
      </c>
      <c r="J278">
        <v>33014</v>
      </c>
    </row>
    <row r="279" spans="1:10" x14ac:dyDescent="0.25">
      <c r="A279" t="str">
        <f>I279&amp;B279&amp;C279&amp;D279</f>
        <v>GY 17 SMR201739</v>
      </c>
      <c r="B279">
        <v>2017</v>
      </c>
      <c r="C279">
        <v>3</v>
      </c>
      <c r="D279">
        <v>9</v>
      </c>
      <c r="E279" t="s">
        <v>99</v>
      </c>
      <c r="F279" t="s">
        <v>84</v>
      </c>
      <c r="G279" t="s">
        <v>29</v>
      </c>
      <c r="H279" t="s">
        <v>6</v>
      </c>
      <c r="I279" t="s">
        <v>204</v>
      </c>
      <c r="J279">
        <v>99956</v>
      </c>
    </row>
    <row r="280" spans="1:10" x14ac:dyDescent="0.25">
      <c r="A280" t="str">
        <f>I280&amp;B280&amp;C280&amp;D280</f>
        <v>GY 17 SWIM 3201739</v>
      </c>
      <c r="B280">
        <v>2017</v>
      </c>
      <c r="C280">
        <v>3</v>
      </c>
      <c r="D280">
        <v>9</v>
      </c>
      <c r="E280" t="s">
        <v>99</v>
      </c>
      <c r="F280" t="s">
        <v>84</v>
      </c>
      <c r="G280" t="s">
        <v>29</v>
      </c>
      <c r="H280" t="s">
        <v>6</v>
      </c>
      <c r="I280" t="s">
        <v>198</v>
      </c>
      <c r="J280">
        <v>5704</v>
      </c>
    </row>
    <row r="281" spans="1:10" x14ac:dyDescent="0.25">
      <c r="A281" t="str">
        <f>I281&amp;B281&amp;C281&amp;D281</f>
        <v>GY 17 TRANS201739</v>
      </c>
      <c r="B281">
        <v>2017</v>
      </c>
      <c r="C281">
        <v>3</v>
      </c>
      <c r="D281">
        <v>9</v>
      </c>
      <c r="E281" t="s">
        <v>99</v>
      </c>
      <c r="F281" t="s">
        <v>84</v>
      </c>
      <c r="G281" t="s">
        <v>29</v>
      </c>
      <c r="H281" t="s">
        <v>6</v>
      </c>
      <c r="I281" t="s">
        <v>202</v>
      </c>
      <c r="J281">
        <v>114914</v>
      </c>
    </row>
    <row r="282" spans="1:10" x14ac:dyDescent="0.25">
      <c r="A282" t="str">
        <f>I282&amp;B282&amp;C282&amp;D282</f>
        <v>GY 18 SM2201739</v>
      </c>
      <c r="B282">
        <v>2017</v>
      </c>
      <c r="C282">
        <v>3</v>
      </c>
      <c r="D282">
        <v>9</v>
      </c>
      <c r="E282" t="s">
        <v>99</v>
      </c>
      <c r="F282" t="s">
        <v>84</v>
      </c>
      <c r="G282" t="s">
        <v>29</v>
      </c>
      <c r="H282" t="s">
        <v>6</v>
      </c>
      <c r="I282" t="s">
        <v>193</v>
      </c>
      <c r="J282">
        <v>-1</v>
      </c>
    </row>
    <row r="283" spans="1:10" x14ac:dyDescent="0.25">
      <c r="A283" t="str">
        <f>I283&amp;B283&amp;C283&amp;D283</f>
        <v>GY 17 HOL201739</v>
      </c>
      <c r="B283">
        <v>2017</v>
      </c>
      <c r="C283">
        <v>3</v>
      </c>
      <c r="D283">
        <v>9</v>
      </c>
      <c r="E283" t="s">
        <v>99</v>
      </c>
      <c r="F283" t="s">
        <v>84</v>
      </c>
      <c r="G283" t="s">
        <v>29</v>
      </c>
      <c r="H283" t="s">
        <v>8</v>
      </c>
      <c r="I283" t="s">
        <v>406</v>
      </c>
      <c r="J283">
        <v>901601</v>
      </c>
    </row>
    <row r="284" spans="1:10" x14ac:dyDescent="0.25">
      <c r="A284" t="str">
        <f>I284&amp;B284&amp;C284&amp;D284</f>
        <v>GY 17 JAN CAP201739</v>
      </c>
      <c r="B284">
        <v>2017</v>
      </c>
      <c r="C284">
        <v>3</v>
      </c>
      <c r="D284">
        <v>9</v>
      </c>
      <c r="E284" t="s">
        <v>99</v>
      </c>
      <c r="F284" t="s">
        <v>84</v>
      </c>
      <c r="G284" t="s">
        <v>29</v>
      </c>
      <c r="H284" t="s">
        <v>8</v>
      </c>
      <c r="I284" t="s">
        <v>407</v>
      </c>
      <c r="J284">
        <v>19320</v>
      </c>
    </row>
    <row r="285" spans="1:10" x14ac:dyDescent="0.25">
      <c r="A285" t="str">
        <f>I285&amp;B285&amp;C285&amp;D285</f>
        <v>GY 17 SPR TRANS201739</v>
      </c>
      <c r="B285">
        <v>2017</v>
      </c>
      <c r="C285">
        <v>3</v>
      </c>
      <c r="D285">
        <v>9</v>
      </c>
      <c r="E285" t="s">
        <v>99</v>
      </c>
      <c r="F285" t="s">
        <v>84</v>
      </c>
      <c r="G285" t="s">
        <v>29</v>
      </c>
      <c r="H285" t="s">
        <v>8</v>
      </c>
      <c r="I285" t="s">
        <v>403</v>
      </c>
      <c r="J285">
        <v>-2</v>
      </c>
    </row>
    <row r="286" spans="1:10" x14ac:dyDescent="0.25">
      <c r="A286" t="str">
        <f>I286&amp;B286&amp;C286&amp;D286</f>
        <v>GY 17 WINTER 1201739</v>
      </c>
      <c r="B286">
        <v>2017</v>
      </c>
      <c r="C286">
        <v>3</v>
      </c>
      <c r="D286">
        <v>9</v>
      </c>
      <c r="E286" t="s">
        <v>99</v>
      </c>
      <c r="F286" t="s">
        <v>84</v>
      </c>
      <c r="G286" t="s">
        <v>29</v>
      </c>
      <c r="H286" t="s">
        <v>8</v>
      </c>
      <c r="I286" t="s">
        <v>408</v>
      </c>
      <c r="J286">
        <v>1201265</v>
      </c>
    </row>
    <row r="287" spans="1:10" x14ac:dyDescent="0.25">
      <c r="A287" t="str">
        <f>I287&amp;B287&amp;C287&amp;D287</f>
        <v>GY 17 WINTER 2201739</v>
      </c>
      <c r="B287">
        <v>2017</v>
      </c>
      <c r="C287">
        <v>3</v>
      </c>
      <c r="D287">
        <v>9</v>
      </c>
      <c r="E287" t="s">
        <v>99</v>
      </c>
      <c r="F287" t="s">
        <v>84</v>
      </c>
      <c r="G287" t="s">
        <v>29</v>
      </c>
      <c r="H287" t="s">
        <v>8</v>
      </c>
      <c r="I287" t="s">
        <v>409</v>
      </c>
      <c r="J287">
        <v>1084600</v>
      </c>
    </row>
    <row r="288" spans="1:10" x14ac:dyDescent="0.25">
      <c r="A288" t="str">
        <f>I288&amp;B288&amp;C288&amp;D288</f>
        <v>GY 17 WINTER 3201739</v>
      </c>
      <c r="B288">
        <v>2017</v>
      </c>
      <c r="C288">
        <v>3</v>
      </c>
      <c r="D288">
        <v>9</v>
      </c>
      <c r="E288" t="s">
        <v>99</v>
      </c>
      <c r="F288" t="s">
        <v>84</v>
      </c>
      <c r="G288" t="s">
        <v>29</v>
      </c>
      <c r="H288" t="s">
        <v>8</v>
      </c>
      <c r="I288" t="s">
        <v>410</v>
      </c>
      <c r="J288">
        <v>133086</v>
      </c>
    </row>
    <row r="289" spans="1:10" x14ac:dyDescent="0.25">
      <c r="A289" t="str">
        <f>I289&amp;B289&amp;C289&amp;D289</f>
        <v>GY 18 VDAY201739</v>
      </c>
      <c r="B289">
        <v>2017</v>
      </c>
      <c r="C289">
        <v>3</v>
      </c>
      <c r="D289">
        <v>9</v>
      </c>
      <c r="E289" t="s">
        <v>99</v>
      </c>
      <c r="F289" t="s">
        <v>84</v>
      </c>
      <c r="G289" t="s">
        <v>29</v>
      </c>
      <c r="H289" t="s">
        <v>8</v>
      </c>
      <c r="I289" t="s">
        <v>396</v>
      </c>
      <c r="J289">
        <v>-2</v>
      </c>
    </row>
    <row r="290" spans="1:10" x14ac:dyDescent="0.25">
      <c r="A290" t="str">
        <f>I290&amp;B290&amp;C290&amp;D290</f>
        <v>Winter 17201739</v>
      </c>
      <c r="B290">
        <v>2017</v>
      </c>
      <c r="C290">
        <v>3</v>
      </c>
      <c r="D290">
        <v>9</v>
      </c>
      <c r="E290" t="s">
        <v>99</v>
      </c>
      <c r="F290" t="s">
        <v>84</v>
      </c>
      <c r="G290" t="s">
        <v>29</v>
      </c>
      <c r="H290" t="s">
        <v>435</v>
      </c>
      <c r="I290" t="s">
        <v>435</v>
      </c>
      <c r="J290">
        <v>3339868</v>
      </c>
    </row>
    <row r="291" spans="1:10" x14ac:dyDescent="0.25">
      <c r="A291" t="str">
        <f>I291&amp;B291&amp;C291&amp;D291</f>
        <v>GY 17 FALL BASICS2017410</v>
      </c>
      <c r="B291">
        <v>2017</v>
      </c>
      <c r="C291">
        <v>4</v>
      </c>
      <c r="D291">
        <v>10</v>
      </c>
      <c r="E291" t="s">
        <v>99</v>
      </c>
      <c r="F291" t="s">
        <v>84</v>
      </c>
      <c r="G291" t="s">
        <v>29</v>
      </c>
      <c r="H291" t="s">
        <v>10</v>
      </c>
      <c r="I291" t="s">
        <v>176</v>
      </c>
      <c r="J291">
        <v>292982</v>
      </c>
    </row>
    <row r="292" spans="1:10" x14ac:dyDescent="0.25">
      <c r="A292" t="str">
        <f>I292&amp;B292&amp;C292&amp;D292</f>
        <v>GY 17 SPRING BASICS2017410</v>
      </c>
      <c r="B292">
        <v>2017</v>
      </c>
      <c r="C292">
        <v>4</v>
      </c>
      <c r="D292">
        <v>10</v>
      </c>
      <c r="E292" t="s">
        <v>99</v>
      </c>
      <c r="F292" t="s">
        <v>84</v>
      </c>
      <c r="G292" t="s">
        <v>29</v>
      </c>
      <c r="H292" t="s">
        <v>10</v>
      </c>
      <c r="I292" t="s">
        <v>174</v>
      </c>
      <c r="J292">
        <v>101733</v>
      </c>
    </row>
    <row r="293" spans="1:10" x14ac:dyDescent="0.25">
      <c r="A293" t="str">
        <f>I293&amp;B293&amp;C293&amp;D293</f>
        <v>GY 18 SPRING BASICS2017410</v>
      </c>
      <c r="B293">
        <v>2017</v>
      </c>
      <c r="C293">
        <v>4</v>
      </c>
      <c r="D293">
        <v>10</v>
      </c>
      <c r="E293" t="s">
        <v>99</v>
      </c>
      <c r="F293" t="s">
        <v>84</v>
      </c>
      <c r="G293" t="s">
        <v>29</v>
      </c>
      <c r="H293" t="s">
        <v>10</v>
      </c>
      <c r="I293" t="s">
        <v>173</v>
      </c>
      <c r="J293">
        <v>7540</v>
      </c>
    </row>
    <row r="294" spans="1:10" x14ac:dyDescent="0.25">
      <c r="A294" t="str">
        <f>I294&amp;B294&amp;C294&amp;D294</f>
        <v>GY YRLY BASICS2017410</v>
      </c>
      <c r="B294">
        <v>2017</v>
      </c>
      <c r="C294">
        <v>4</v>
      </c>
      <c r="D294">
        <v>10</v>
      </c>
      <c r="E294" t="s">
        <v>99</v>
      </c>
      <c r="F294" t="s">
        <v>84</v>
      </c>
      <c r="G294" t="s">
        <v>29</v>
      </c>
      <c r="H294" t="s">
        <v>10</v>
      </c>
      <c r="I294" t="s">
        <v>349</v>
      </c>
      <c r="J294">
        <v>818577</v>
      </c>
    </row>
    <row r="295" spans="1:10" x14ac:dyDescent="0.25">
      <c r="A295" t="str">
        <f>I295&amp;B295&amp;C295&amp;D295</f>
        <v>GY YRLY DENIM2017410</v>
      </c>
      <c r="B295">
        <v>2017</v>
      </c>
      <c r="C295">
        <v>4</v>
      </c>
      <c r="D295">
        <v>10</v>
      </c>
      <c r="E295" t="s">
        <v>99</v>
      </c>
      <c r="F295" t="s">
        <v>84</v>
      </c>
      <c r="G295" t="s">
        <v>29</v>
      </c>
      <c r="H295" t="s">
        <v>10</v>
      </c>
      <c r="I295" t="s">
        <v>350</v>
      </c>
      <c r="J295">
        <v>286835</v>
      </c>
    </row>
    <row r="296" spans="1:10" x14ac:dyDescent="0.25">
      <c r="A296" t="str">
        <f>I296&amp;B296&amp;C296&amp;D296</f>
        <v>GY YRLY UNIFORM2017410</v>
      </c>
      <c r="B296">
        <v>2017</v>
      </c>
      <c r="C296">
        <v>4</v>
      </c>
      <c r="D296">
        <v>10</v>
      </c>
      <c r="E296" t="s">
        <v>99</v>
      </c>
      <c r="F296" t="s">
        <v>84</v>
      </c>
      <c r="G296" t="s">
        <v>29</v>
      </c>
      <c r="H296" t="s">
        <v>10</v>
      </c>
      <c r="I296" t="s">
        <v>351</v>
      </c>
      <c r="J296">
        <v>47311</v>
      </c>
    </row>
    <row r="297" spans="1:10" x14ac:dyDescent="0.25">
      <c r="A297" t="str">
        <f>I297&amp;B297&amp;C297&amp;D297</f>
        <v>GY 17 BTS2017410</v>
      </c>
      <c r="B297">
        <v>2017</v>
      </c>
      <c r="C297">
        <v>4</v>
      </c>
      <c r="D297">
        <v>10</v>
      </c>
      <c r="E297" t="s">
        <v>99</v>
      </c>
      <c r="F297" t="s">
        <v>84</v>
      </c>
      <c r="G297" t="s">
        <v>29</v>
      </c>
      <c r="H297" t="s">
        <v>54</v>
      </c>
      <c r="I297" t="s">
        <v>397</v>
      </c>
      <c r="J297">
        <v>102914</v>
      </c>
    </row>
    <row r="298" spans="1:10" x14ac:dyDescent="0.25">
      <c r="A298" t="str">
        <f>I298&amp;B298&amp;C298&amp;D298</f>
        <v>GY 17 FAL2017410</v>
      </c>
      <c r="B298">
        <v>2017</v>
      </c>
      <c r="C298">
        <v>4</v>
      </c>
      <c r="D298">
        <v>10</v>
      </c>
      <c r="E298" t="s">
        <v>99</v>
      </c>
      <c r="F298" t="s">
        <v>84</v>
      </c>
      <c r="G298" t="s">
        <v>29</v>
      </c>
      <c r="H298" t="s">
        <v>54</v>
      </c>
      <c r="I298" t="s">
        <v>398</v>
      </c>
      <c r="J298">
        <v>618373</v>
      </c>
    </row>
    <row r="299" spans="1:10" x14ac:dyDescent="0.25">
      <c r="A299" t="str">
        <f>I299&amp;B299&amp;C299&amp;D299</f>
        <v>GY 17 FALL 12017410</v>
      </c>
      <c r="B299">
        <v>2017</v>
      </c>
      <c r="C299">
        <v>4</v>
      </c>
      <c r="D299">
        <v>10</v>
      </c>
      <c r="E299" t="s">
        <v>99</v>
      </c>
      <c r="F299" t="s">
        <v>84</v>
      </c>
      <c r="G299" t="s">
        <v>29</v>
      </c>
      <c r="H299" t="s">
        <v>54</v>
      </c>
      <c r="I299" t="s">
        <v>399</v>
      </c>
      <c r="J299">
        <v>158902</v>
      </c>
    </row>
    <row r="300" spans="1:10" x14ac:dyDescent="0.25">
      <c r="A300" t="str">
        <f>I300&amp;B300&amp;C300&amp;D300</f>
        <v>GY 17 FALL 22017410</v>
      </c>
      <c r="B300">
        <v>2017</v>
      </c>
      <c r="C300">
        <v>4</v>
      </c>
      <c r="D300">
        <v>10</v>
      </c>
      <c r="E300" t="s">
        <v>99</v>
      </c>
      <c r="F300" t="s">
        <v>84</v>
      </c>
      <c r="G300" t="s">
        <v>29</v>
      </c>
      <c r="H300" t="s">
        <v>54</v>
      </c>
      <c r="I300" t="s">
        <v>400</v>
      </c>
      <c r="J300">
        <v>488331</v>
      </c>
    </row>
    <row r="301" spans="1:10" x14ac:dyDescent="0.25">
      <c r="A301" t="str">
        <f>I301&amp;B301&amp;C301&amp;D301</f>
        <v>GY 17 FALL 32017410</v>
      </c>
      <c r="B301">
        <v>2017</v>
      </c>
      <c r="C301">
        <v>4</v>
      </c>
      <c r="D301">
        <v>10</v>
      </c>
      <c r="E301" t="s">
        <v>99</v>
      </c>
      <c r="F301" t="s">
        <v>84</v>
      </c>
      <c r="G301" t="s">
        <v>29</v>
      </c>
      <c r="H301" t="s">
        <v>54</v>
      </c>
      <c r="I301" t="s">
        <v>401</v>
      </c>
      <c r="J301">
        <v>626488</v>
      </c>
    </row>
    <row r="302" spans="1:10" x14ac:dyDescent="0.25">
      <c r="A302" t="str">
        <f>I302&amp;B302&amp;C302&amp;D302</f>
        <v>GY 17 FALL 42017410</v>
      </c>
      <c r="B302">
        <v>2017</v>
      </c>
      <c r="C302">
        <v>4</v>
      </c>
      <c r="D302">
        <v>10</v>
      </c>
      <c r="E302" t="s">
        <v>99</v>
      </c>
      <c r="F302" t="s">
        <v>84</v>
      </c>
      <c r="G302" t="s">
        <v>29</v>
      </c>
      <c r="H302" t="s">
        <v>54</v>
      </c>
      <c r="I302" t="s">
        <v>402</v>
      </c>
      <c r="J302">
        <v>521619</v>
      </c>
    </row>
    <row r="303" spans="1:10" x14ac:dyDescent="0.25">
      <c r="A303" t="str">
        <f>I303&amp;B303&amp;C303&amp;D303</f>
        <v>GY 17 HO HO SHOP2017410</v>
      </c>
      <c r="B303">
        <v>2017</v>
      </c>
      <c r="C303">
        <v>4</v>
      </c>
      <c r="D303">
        <v>10</v>
      </c>
      <c r="E303" t="s">
        <v>99</v>
      </c>
      <c r="F303" t="s">
        <v>84</v>
      </c>
      <c r="G303" t="s">
        <v>29</v>
      </c>
      <c r="H303" t="s">
        <v>54</v>
      </c>
      <c r="I303" t="s">
        <v>405</v>
      </c>
      <c r="J303">
        <v>727186</v>
      </c>
    </row>
    <row r="304" spans="1:10" x14ac:dyDescent="0.25">
      <c r="A304" t="str">
        <f>I304&amp;B304&amp;C304&amp;D304</f>
        <v>Old2017410</v>
      </c>
      <c r="B304">
        <v>2017</v>
      </c>
      <c r="C304">
        <v>4</v>
      </c>
      <c r="D304">
        <v>10</v>
      </c>
      <c r="E304" t="s">
        <v>99</v>
      </c>
      <c r="F304" t="s">
        <v>84</v>
      </c>
      <c r="G304" t="s">
        <v>29</v>
      </c>
      <c r="H304" t="s">
        <v>434</v>
      </c>
      <c r="I304" t="s">
        <v>434</v>
      </c>
      <c r="J304">
        <v>3803318</v>
      </c>
    </row>
    <row r="305" spans="1:10" x14ac:dyDescent="0.25">
      <c r="A305" t="str">
        <f>I305&amp;B305&amp;C305&amp;D305</f>
        <v>GY WEBSTORE SKU2017410</v>
      </c>
      <c r="B305">
        <v>2017</v>
      </c>
      <c r="C305">
        <v>4</v>
      </c>
      <c r="D305">
        <v>10</v>
      </c>
      <c r="E305" t="s">
        <v>99</v>
      </c>
      <c r="F305" t="s">
        <v>84</v>
      </c>
      <c r="G305" t="s">
        <v>29</v>
      </c>
      <c r="H305" t="s">
        <v>462</v>
      </c>
      <c r="I305" t="s">
        <v>352</v>
      </c>
      <c r="J305">
        <v>17</v>
      </c>
    </row>
    <row r="306" spans="1:10" x14ac:dyDescent="0.25">
      <c r="A306" t="str">
        <f>I306&amp;B306&amp;C306&amp;D306</f>
        <v>GY 17 DRSY CAP2017410</v>
      </c>
      <c r="B306">
        <v>2017</v>
      </c>
      <c r="C306">
        <v>4</v>
      </c>
      <c r="D306">
        <v>10</v>
      </c>
      <c r="E306" t="s">
        <v>99</v>
      </c>
      <c r="F306" t="s">
        <v>84</v>
      </c>
      <c r="G306" t="s">
        <v>29</v>
      </c>
      <c r="H306" t="s">
        <v>5</v>
      </c>
      <c r="I306" t="s">
        <v>186</v>
      </c>
      <c r="J306">
        <v>45083</v>
      </c>
    </row>
    <row r="307" spans="1:10" x14ac:dyDescent="0.25">
      <c r="A307" t="str">
        <f>I307&amp;B307&amp;C307&amp;D307</f>
        <v>GY 17 SPR2017410</v>
      </c>
      <c r="B307">
        <v>2017</v>
      </c>
      <c r="C307">
        <v>4</v>
      </c>
      <c r="D307">
        <v>10</v>
      </c>
      <c r="E307" t="s">
        <v>99</v>
      </c>
      <c r="F307" t="s">
        <v>84</v>
      </c>
      <c r="G307" t="s">
        <v>29</v>
      </c>
      <c r="H307" t="s">
        <v>5</v>
      </c>
      <c r="I307" t="s">
        <v>178</v>
      </c>
      <c r="J307">
        <v>100831</v>
      </c>
    </row>
    <row r="308" spans="1:10" x14ac:dyDescent="0.25">
      <c r="A308" t="str">
        <f>I308&amp;B308&amp;C308&amp;D308</f>
        <v>GY 17 SPR 12017410</v>
      </c>
      <c r="B308">
        <v>2017</v>
      </c>
      <c r="C308">
        <v>4</v>
      </c>
      <c r="D308">
        <v>10</v>
      </c>
      <c r="E308" t="s">
        <v>99</v>
      </c>
      <c r="F308" t="s">
        <v>84</v>
      </c>
      <c r="G308" t="s">
        <v>29</v>
      </c>
      <c r="H308" t="s">
        <v>5</v>
      </c>
      <c r="I308" t="s">
        <v>180</v>
      </c>
      <c r="J308">
        <v>54869</v>
      </c>
    </row>
    <row r="309" spans="1:10" x14ac:dyDescent="0.25">
      <c r="A309" t="str">
        <f>I309&amp;B309&amp;C309&amp;D309</f>
        <v>GY 17 SPR 22017410</v>
      </c>
      <c r="B309">
        <v>2017</v>
      </c>
      <c r="C309">
        <v>4</v>
      </c>
      <c r="D309">
        <v>10</v>
      </c>
      <c r="E309" t="s">
        <v>99</v>
      </c>
      <c r="F309" t="s">
        <v>84</v>
      </c>
      <c r="G309" t="s">
        <v>29</v>
      </c>
      <c r="H309" t="s">
        <v>5</v>
      </c>
      <c r="I309" t="s">
        <v>182</v>
      </c>
      <c r="J309">
        <v>27838</v>
      </c>
    </row>
    <row r="310" spans="1:10" x14ac:dyDescent="0.25">
      <c r="A310" t="str">
        <f>I310&amp;B310&amp;C310&amp;D310</f>
        <v>GY 17 SPR VAC2017410</v>
      </c>
      <c r="B310">
        <v>2017</v>
      </c>
      <c r="C310">
        <v>4</v>
      </c>
      <c r="D310">
        <v>10</v>
      </c>
      <c r="E310" t="s">
        <v>99</v>
      </c>
      <c r="F310" t="s">
        <v>84</v>
      </c>
      <c r="G310" t="s">
        <v>29</v>
      </c>
      <c r="H310" t="s">
        <v>5</v>
      </c>
      <c r="I310" t="s">
        <v>188</v>
      </c>
      <c r="J310">
        <v>26115</v>
      </c>
    </row>
    <row r="311" spans="1:10" x14ac:dyDescent="0.25">
      <c r="A311" t="str">
        <f>I311&amp;B311&amp;C311&amp;D311</f>
        <v>GY 17 SUM 12017410</v>
      </c>
      <c r="B311">
        <v>2017</v>
      </c>
      <c r="C311">
        <v>4</v>
      </c>
      <c r="D311">
        <v>10</v>
      </c>
      <c r="E311" t="s">
        <v>99</v>
      </c>
      <c r="F311" t="s">
        <v>84</v>
      </c>
      <c r="G311" t="s">
        <v>29</v>
      </c>
      <c r="H311" t="s">
        <v>5</v>
      </c>
      <c r="I311" t="s">
        <v>190</v>
      </c>
      <c r="J311">
        <v>30332</v>
      </c>
    </row>
    <row r="312" spans="1:10" x14ac:dyDescent="0.25">
      <c r="A312" t="str">
        <f>I312&amp;B312&amp;C312&amp;D312</f>
        <v>GY 17 SWIM 12017410</v>
      </c>
      <c r="B312">
        <v>2017</v>
      </c>
      <c r="C312">
        <v>4</v>
      </c>
      <c r="D312">
        <v>10</v>
      </c>
      <c r="E312" t="s">
        <v>99</v>
      </c>
      <c r="F312" t="s">
        <v>84</v>
      </c>
      <c r="G312" t="s">
        <v>29</v>
      </c>
      <c r="H312" t="s">
        <v>5</v>
      </c>
      <c r="I312" t="s">
        <v>184</v>
      </c>
      <c r="J312">
        <v>1140</v>
      </c>
    </row>
    <row r="313" spans="1:10" x14ac:dyDescent="0.25">
      <c r="A313" t="str">
        <f>I313&amp;B313&amp;C313&amp;D313</f>
        <v>GY 17 SWIM 22017410</v>
      </c>
      <c r="B313">
        <v>2017</v>
      </c>
      <c r="C313">
        <v>4</v>
      </c>
      <c r="D313">
        <v>10</v>
      </c>
      <c r="E313" t="s">
        <v>99</v>
      </c>
      <c r="F313" t="s">
        <v>84</v>
      </c>
      <c r="G313" t="s">
        <v>29</v>
      </c>
      <c r="H313" t="s">
        <v>5</v>
      </c>
      <c r="I313" t="s">
        <v>192</v>
      </c>
      <c r="J313">
        <v>4805</v>
      </c>
    </row>
    <row r="314" spans="1:10" x14ac:dyDescent="0.25">
      <c r="A314" t="str">
        <f>I314&amp;B314&amp;C314&amp;D314</f>
        <v>GY 18 DRESSY2017410</v>
      </c>
      <c r="B314">
        <v>2017</v>
      </c>
      <c r="C314">
        <v>4</v>
      </c>
      <c r="D314">
        <v>10</v>
      </c>
      <c r="E314" t="s">
        <v>99</v>
      </c>
      <c r="F314" t="s">
        <v>84</v>
      </c>
      <c r="G314" t="s">
        <v>29</v>
      </c>
      <c r="H314" t="s">
        <v>5</v>
      </c>
      <c r="I314" t="s">
        <v>185</v>
      </c>
      <c r="J314">
        <v>-1</v>
      </c>
    </row>
    <row r="315" spans="1:10" x14ac:dyDescent="0.25">
      <c r="A315" t="str">
        <f>I315&amp;B315&amp;C315&amp;D315</f>
        <v>GY 18 SPR2017410</v>
      </c>
      <c r="B315">
        <v>2017</v>
      </c>
      <c r="C315">
        <v>4</v>
      </c>
      <c r="D315">
        <v>10</v>
      </c>
      <c r="E315" t="s">
        <v>99</v>
      </c>
      <c r="F315" t="s">
        <v>84</v>
      </c>
      <c r="G315" t="s">
        <v>29</v>
      </c>
      <c r="H315" t="s">
        <v>5</v>
      </c>
      <c r="I315" t="s">
        <v>177</v>
      </c>
      <c r="J315">
        <v>43223</v>
      </c>
    </row>
    <row r="316" spans="1:10" x14ac:dyDescent="0.25">
      <c r="A316" t="str">
        <f>I316&amp;B316&amp;C316&amp;D316</f>
        <v>GY 18 SPR 12017410</v>
      </c>
      <c r="B316">
        <v>2017</v>
      </c>
      <c r="C316">
        <v>4</v>
      </c>
      <c r="D316">
        <v>10</v>
      </c>
      <c r="E316" t="s">
        <v>99</v>
      </c>
      <c r="F316" t="s">
        <v>84</v>
      </c>
      <c r="G316" t="s">
        <v>29</v>
      </c>
      <c r="H316" t="s">
        <v>5</v>
      </c>
      <c r="I316" t="s">
        <v>179</v>
      </c>
      <c r="J316">
        <v>-3</v>
      </c>
    </row>
    <row r="317" spans="1:10" x14ac:dyDescent="0.25">
      <c r="A317" t="str">
        <f>I317&amp;B317&amp;C317&amp;D317</f>
        <v>GY 18 SPR 22017410</v>
      </c>
      <c r="B317">
        <v>2017</v>
      </c>
      <c r="C317">
        <v>4</v>
      </c>
      <c r="D317">
        <v>10</v>
      </c>
      <c r="E317" t="s">
        <v>99</v>
      </c>
      <c r="F317" t="s">
        <v>84</v>
      </c>
      <c r="G317" t="s">
        <v>29</v>
      </c>
      <c r="H317" t="s">
        <v>5</v>
      </c>
      <c r="I317" t="s">
        <v>181</v>
      </c>
      <c r="J317">
        <v>-3</v>
      </c>
    </row>
    <row r="318" spans="1:10" x14ac:dyDescent="0.25">
      <c r="A318" t="str">
        <f>I318&amp;B318&amp;C318&amp;D318</f>
        <v>GY 18 SPR VACA2017410</v>
      </c>
      <c r="B318">
        <v>2017</v>
      </c>
      <c r="C318">
        <v>4</v>
      </c>
      <c r="D318">
        <v>10</v>
      </c>
      <c r="E318" t="s">
        <v>99</v>
      </c>
      <c r="F318" t="s">
        <v>84</v>
      </c>
      <c r="G318" t="s">
        <v>29</v>
      </c>
      <c r="H318" t="s">
        <v>5</v>
      </c>
      <c r="I318" t="s">
        <v>187</v>
      </c>
      <c r="J318">
        <v>-1</v>
      </c>
    </row>
    <row r="319" spans="1:10" x14ac:dyDescent="0.25">
      <c r="A319" t="str">
        <f>I319&amp;B319&amp;C319&amp;D319</f>
        <v>GY 18 SUM 12017410</v>
      </c>
      <c r="B319">
        <v>2017</v>
      </c>
      <c r="C319">
        <v>4</v>
      </c>
      <c r="D319">
        <v>10</v>
      </c>
      <c r="E319" t="s">
        <v>99</v>
      </c>
      <c r="F319" t="s">
        <v>84</v>
      </c>
      <c r="G319" t="s">
        <v>29</v>
      </c>
      <c r="H319" t="s">
        <v>5</v>
      </c>
      <c r="I319" t="s">
        <v>189</v>
      </c>
      <c r="J319">
        <v>-1</v>
      </c>
    </row>
    <row r="320" spans="1:10" x14ac:dyDescent="0.25">
      <c r="A320" t="str">
        <f>I320&amp;B320&amp;C320&amp;D320</f>
        <v>GY 17 CAP2017410</v>
      </c>
      <c r="B320">
        <v>2017</v>
      </c>
      <c r="C320">
        <v>4</v>
      </c>
      <c r="D320">
        <v>10</v>
      </c>
      <c r="E320" t="s">
        <v>99</v>
      </c>
      <c r="F320" t="s">
        <v>84</v>
      </c>
      <c r="G320" t="s">
        <v>29</v>
      </c>
      <c r="H320" t="s">
        <v>6</v>
      </c>
      <c r="I320" t="s">
        <v>404</v>
      </c>
      <c r="J320">
        <v>22539</v>
      </c>
    </row>
    <row r="321" spans="1:10" x14ac:dyDescent="0.25">
      <c r="A321" t="str">
        <f>I321&amp;B321&amp;C321&amp;D321</f>
        <v>GY 17 SM22017410</v>
      </c>
      <c r="B321">
        <v>2017</v>
      </c>
      <c r="C321">
        <v>4</v>
      </c>
      <c r="D321">
        <v>10</v>
      </c>
      <c r="E321" t="s">
        <v>99</v>
      </c>
      <c r="F321" t="s">
        <v>84</v>
      </c>
      <c r="G321" t="s">
        <v>29</v>
      </c>
      <c r="H321" t="s">
        <v>6</v>
      </c>
      <c r="I321" t="s">
        <v>194</v>
      </c>
      <c r="J321">
        <v>32962</v>
      </c>
    </row>
    <row r="322" spans="1:10" x14ac:dyDescent="0.25">
      <c r="A322" t="str">
        <f>I322&amp;B322&amp;C322&amp;D322</f>
        <v>GY 17 SM32017410</v>
      </c>
      <c r="B322">
        <v>2017</v>
      </c>
      <c r="C322">
        <v>4</v>
      </c>
      <c r="D322">
        <v>10</v>
      </c>
      <c r="E322" t="s">
        <v>99</v>
      </c>
      <c r="F322" t="s">
        <v>84</v>
      </c>
      <c r="G322" t="s">
        <v>29</v>
      </c>
      <c r="H322" t="s">
        <v>6</v>
      </c>
      <c r="I322" t="s">
        <v>196</v>
      </c>
      <c r="J322">
        <v>28952</v>
      </c>
    </row>
    <row r="323" spans="1:10" x14ac:dyDescent="0.25">
      <c r="A323" t="str">
        <f>I323&amp;B323&amp;C323&amp;D323</f>
        <v>GY 17 SM42017410</v>
      </c>
      <c r="B323">
        <v>2017</v>
      </c>
      <c r="C323">
        <v>4</v>
      </c>
      <c r="D323">
        <v>10</v>
      </c>
      <c r="E323" t="s">
        <v>99</v>
      </c>
      <c r="F323" t="s">
        <v>84</v>
      </c>
      <c r="G323" t="s">
        <v>29</v>
      </c>
      <c r="H323" t="s">
        <v>6</v>
      </c>
      <c r="I323" t="s">
        <v>200</v>
      </c>
      <c r="J323">
        <v>26533</v>
      </c>
    </row>
    <row r="324" spans="1:10" x14ac:dyDescent="0.25">
      <c r="A324" t="str">
        <f>I324&amp;B324&amp;C324&amp;D324</f>
        <v>GY 17 SMR2017410</v>
      </c>
      <c r="B324">
        <v>2017</v>
      </c>
      <c r="C324">
        <v>4</v>
      </c>
      <c r="D324">
        <v>10</v>
      </c>
      <c r="E324" t="s">
        <v>99</v>
      </c>
      <c r="F324" t="s">
        <v>84</v>
      </c>
      <c r="G324" t="s">
        <v>29</v>
      </c>
      <c r="H324" t="s">
        <v>6</v>
      </c>
      <c r="I324" t="s">
        <v>204</v>
      </c>
      <c r="J324">
        <v>78269</v>
      </c>
    </row>
    <row r="325" spans="1:10" x14ac:dyDescent="0.25">
      <c r="A325" t="str">
        <f>I325&amp;B325&amp;C325&amp;D325</f>
        <v>GY 17 SWIM 32017410</v>
      </c>
      <c r="B325">
        <v>2017</v>
      </c>
      <c r="C325">
        <v>4</v>
      </c>
      <c r="D325">
        <v>10</v>
      </c>
      <c r="E325" t="s">
        <v>99</v>
      </c>
      <c r="F325" t="s">
        <v>84</v>
      </c>
      <c r="G325" t="s">
        <v>29</v>
      </c>
      <c r="H325" t="s">
        <v>6</v>
      </c>
      <c r="I325" t="s">
        <v>198</v>
      </c>
      <c r="J325">
        <v>4227</v>
      </c>
    </row>
    <row r="326" spans="1:10" x14ac:dyDescent="0.25">
      <c r="A326" t="str">
        <f>I326&amp;B326&amp;C326&amp;D326</f>
        <v>GY 17 TRANS2017410</v>
      </c>
      <c r="B326">
        <v>2017</v>
      </c>
      <c r="C326">
        <v>4</v>
      </c>
      <c r="D326">
        <v>10</v>
      </c>
      <c r="E326" t="s">
        <v>99</v>
      </c>
      <c r="F326" t="s">
        <v>84</v>
      </c>
      <c r="G326" t="s">
        <v>29</v>
      </c>
      <c r="H326" t="s">
        <v>6</v>
      </c>
      <c r="I326" t="s">
        <v>202</v>
      </c>
      <c r="J326">
        <v>75010</v>
      </c>
    </row>
    <row r="327" spans="1:10" x14ac:dyDescent="0.25">
      <c r="A327" t="str">
        <f>I327&amp;B327&amp;C327&amp;D327</f>
        <v>GY 18 SM22017410</v>
      </c>
      <c r="B327">
        <v>2017</v>
      </c>
      <c r="C327">
        <v>4</v>
      </c>
      <c r="D327">
        <v>10</v>
      </c>
      <c r="E327" t="s">
        <v>99</v>
      </c>
      <c r="F327" t="s">
        <v>84</v>
      </c>
      <c r="G327" t="s">
        <v>29</v>
      </c>
      <c r="H327" t="s">
        <v>6</v>
      </c>
      <c r="I327" t="s">
        <v>193</v>
      </c>
      <c r="J327">
        <v>-1</v>
      </c>
    </row>
    <row r="328" spans="1:10" x14ac:dyDescent="0.25">
      <c r="A328" t="str">
        <f>I328&amp;B328&amp;C328&amp;D328</f>
        <v>GY 17 HOL2017410</v>
      </c>
      <c r="B328">
        <v>2017</v>
      </c>
      <c r="C328">
        <v>4</v>
      </c>
      <c r="D328">
        <v>10</v>
      </c>
      <c r="E328" t="s">
        <v>99</v>
      </c>
      <c r="F328" t="s">
        <v>84</v>
      </c>
      <c r="G328" t="s">
        <v>29</v>
      </c>
      <c r="H328" t="s">
        <v>8</v>
      </c>
      <c r="I328" t="s">
        <v>406</v>
      </c>
      <c r="J328">
        <v>560191</v>
      </c>
    </row>
    <row r="329" spans="1:10" x14ac:dyDescent="0.25">
      <c r="A329" t="str">
        <f>I329&amp;B329&amp;C329&amp;D329</f>
        <v>GY 17 JAN CAP2017410</v>
      </c>
      <c r="B329">
        <v>2017</v>
      </c>
      <c r="C329">
        <v>4</v>
      </c>
      <c r="D329">
        <v>10</v>
      </c>
      <c r="E329" t="s">
        <v>99</v>
      </c>
      <c r="F329" t="s">
        <v>84</v>
      </c>
      <c r="G329" t="s">
        <v>29</v>
      </c>
      <c r="H329" t="s">
        <v>8</v>
      </c>
      <c r="I329" t="s">
        <v>407</v>
      </c>
      <c r="J329">
        <v>18269</v>
      </c>
    </row>
    <row r="330" spans="1:10" x14ac:dyDescent="0.25">
      <c r="A330" t="str">
        <f>I330&amp;B330&amp;C330&amp;D330</f>
        <v>GY 17 SPR TRANS2017410</v>
      </c>
      <c r="B330">
        <v>2017</v>
      </c>
      <c r="C330">
        <v>4</v>
      </c>
      <c r="D330">
        <v>10</v>
      </c>
      <c r="E330" t="s">
        <v>99</v>
      </c>
      <c r="F330" t="s">
        <v>84</v>
      </c>
      <c r="G330" t="s">
        <v>29</v>
      </c>
      <c r="H330" t="s">
        <v>8</v>
      </c>
      <c r="I330" t="s">
        <v>403</v>
      </c>
      <c r="J330">
        <v>799432</v>
      </c>
    </row>
    <row r="331" spans="1:10" x14ac:dyDescent="0.25">
      <c r="A331" t="str">
        <f>I331&amp;B331&amp;C331&amp;D331</f>
        <v>GY 17 WINTER 12017410</v>
      </c>
      <c r="B331">
        <v>2017</v>
      </c>
      <c r="C331">
        <v>4</v>
      </c>
      <c r="D331">
        <v>10</v>
      </c>
      <c r="E331" t="s">
        <v>99</v>
      </c>
      <c r="F331" t="s">
        <v>84</v>
      </c>
      <c r="G331" t="s">
        <v>29</v>
      </c>
      <c r="H331" t="s">
        <v>8</v>
      </c>
      <c r="I331" t="s">
        <v>408</v>
      </c>
      <c r="J331">
        <v>699494</v>
      </c>
    </row>
    <row r="332" spans="1:10" x14ac:dyDescent="0.25">
      <c r="A332" t="str">
        <f>I332&amp;B332&amp;C332&amp;D332</f>
        <v>GY 17 WINTER 22017410</v>
      </c>
      <c r="B332">
        <v>2017</v>
      </c>
      <c r="C332">
        <v>4</v>
      </c>
      <c r="D332">
        <v>10</v>
      </c>
      <c r="E332" t="s">
        <v>99</v>
      </c>
      <c r="F332" t="s">
        <v>84</v>
      </c>
      <c r="G332" t="s">
        <v>29</v>
      </c>
      <c r="H332" t="s">
        <v>8</v>
      </c>
      <c r="I332" t="s">
        <v>409</v>
      </c>
      <c r="J332">
        <v>661741</v>
      </c>
    </row>
    <row r="333" spans="1:10" x14ac:dyDescent="0.25">
      <c r="A333" t="str">
        <f>I333&amp;B333&amp;C333&amp;D333</f>
        <v>GY 17 WINTER 32017410</v>
      </c>
      <c r="B333">
        <v>2017</v>
      </c>
      <c r="C333">
        <v>4</v>
      </c>
      <c r="D333">
        <v>10</v>
      </c>
      <c r="E333" t="s">
        <v>99</v>
      </c>
      <c r="F333" t="s">
        <v>84</v>
      </c>
      <c r="G333" t="s">
        <v>29</v>
      </c>
      <c r="H333" t="s">
        <v>8</v>
      </c>
      <c r="I333" t="s">
        <v>410</v>
      </c>
      <c r="J333">
        <v>656883</v>
      </c>
    </row>
    <row r="334" spans="1:10" x14ac:dyDescent="0.25">
      <c r="A334" t="str">
        <f>I334&amp;B334&amp;C334&amp;D334</f>
        <v>GY 18 VDAY2017410</v>
      </c>
      <c r="B334">
        <v>2017</v>
      </c>
      <c r="C334">
        <v>4</v>
      </c>
      <c r="D334">
        <v>10</v>
      </c>
      <c r="E334" t="s">
        <v>99</v>
      </c>
      <c r="F334" t="s">
        <v>84</v>
      </c>
      <c r="G334" t="s">
        <v>29</v>
      </c>
      <c r="H334" t="s">
        <v>8</v>
      </c>
      <c r="I334" t="s">
        <v>396</v>
      </c>
      <c r="J334">
        <v>199942</v>
      </c>
    </row>
    <row r="335" spans="1:10" x14ac:dyDescent="0.25">
      <c r="A335" t="str">
        <f>I335&amp;B335&amp;C335&amp;D335</f>
        <v>Winter 172017410</v>
      </c>
      <c r="B335">
        <v>2017</v>
      </c>
      <c r="C335">
        <v>4</v>
      </c>
      <c r="D335">
        <v>10</v>
      </c>
      <c r="E335" t="s">
        <v>99</v>
      </c>
      <c r="F335" t="s">
        <v>84</v>
      </c>
      <c r="G335" t="s">
        <v>29</v>
      </c>
      <c r="H335" t="s">
        <v>435</v>
      </c>
      <c r="I335" t="s">
        <v>435</v>
      </c>
      <c r="J335">
        <v>3595952</v>
      </c>
    </row>
    <row r="336" spans="1:10" x14ac:dyDescent="0.25">
      <c r="A336" t="str">
        <f>I336&amp;B336&amp;C336&amp;D336</f>
        <v>GY 17 FALL BASICS2017411</v>
      </c>
      <c r="B336">
        <v>2017</v>
      </c>
      <c r="C336">
        <v>4</v>
      </c>
      <c r="D336">
        <v>11</v>
      </c>
      <c r="E336" t="s">
        <v>99</v>
      </c>
      <c r="F336" t="s">
        <v>84</v>
      </c>
      <c r="G336" t="s">
        <v>29</v>
      </c>
      <c r="H336" t="s">
        <v>10</v>
      </c>
      <c r="I336" t="s">
        <v>176</v>
      </c>
      <c r="J336">
        <v>185091</v>
      </c>
    </row>
    <row r="337" spans="1:10" x14ac:dyDescent="0.25">
      <c r="A337" t="str">
        <f>I337&amp;B337&amp;C337&amp;D337</f>
        <v>GY 17 SPRING BASICS2017411</v>
      </c>
      <c r="B337">
        <v>2017</v>
      </c>
      <c r="C337">
        <v>4</v>
      </c>
      <c r="D337">
        <v>11</v>
      </c>
      <c r="E337" t="s">
        <v>99</v>
      </c>
      <c r="F337" t="s">
        <v>84</v>
      </c>
      <c r="G337" t="s">
        <v>29</v>
      </c>
      <c r="H337" t="s">
        <v>10</v>
      </c>
      <c r="I337" t="s">
        <v>174</v>
      </c>
      <c r="J337">
        <v>47178</v>
      </c>
    </row>
    <row r="338" spans="1:10" x14ac:dyDescent="0.25">
      <c r="A338" t="str">
        <f>I338&amp;B338&amp;C338&amp;D338</f>
        <v>GY 18 SPRING BASICS2017411</v>
      </c>
      <c r="B338">
        <v>2017</v>
      </c>
      <c r="C338">
        <v>4</v>
      </c>
      <c r="D338">
        <v>11</v>
      </c>
      <c r="E338" t="s">
        <v>99</v>
      </c>
      <c r="F338" t="s">
        <v>84</v>
      </c>
      <c r="G338" t="s">
        <v>29</v>
      </c>
      <c r="H338" t="s">
        <v>10</v>
      </c>
      <c r="I338" t="s">
        <v>173</v>
      </c>
      <c r="J338">
        <v>1088160</v>
      </c>
    </row>
    <row r="339" spans="1:10" x14ac:dyDescent="0.25">
      <c r="A339" t="str">
        <f>I339&amp;B339&amp;C339&amp;D339</f>
        <v>GY YRLY BASICS2017411</v>
      </c>
      <c r="B339">
        <v>2017</v>
      </c>
      <c r="C339">
        <v>4</v>
      </c>
      <c r="D339">
        <v>11</v>
      </c>
      <c r="E339" t="s">
        <v>99</v>
      </c>
      <c r="F339" t="s">
        <v>84</v>
      </c>
      <c r="G339" t="s">
        <v>29</v>
      </c>
      <c r="H339" t="s">
        <v>10</v>
      </c>
      <c r="I339" t="s">
        <v>349</v>
      </c>
      <c r="J339">
        <v>1019876</v>
      </c>
    </row>
    <row r="340" spans="1:10" x14ac:dyDescent="0.25">
      <c r="A340" t="str">
        <f>I340&amp;B340&amp;C340&amp;D340</f>
        <v>GY YRLY DENIM2017411</v>
      </c>
      <c r="B340">
        <v>2017</v>
      </c>
      <c r="C340">
        <v>4</v>
      </c>
      <c r="D340">
        <v>11</v>
      </c>
      <c r="E340" t="s">
        <v>99</v>
      </c>
      <c r="F340" t="s">
        <v>84</v>
      </c>
      <c r="G340" t="s">
        <v>29</v>
      </c>
      <c r="H340" t="s">
        <v>10</v>
      </c>
      <c r="I340" t="s">
        <v>350</v>
      </c>
      <c r="J340">
        <v>200578</v>
      </c>
    </row>
    <row r="341" spans="1:10" x14ac:dyDescent="0.25">
      <c r="A341" t="str">
        <f>I341&amp;B341&amp;C341&amp;D341</f>
        <v>GY YRLY UNIFORM2017411</v>
      </c>
      <c r="B341">
        <v>2017</v>
      </c>
      <c r="C341">
        <v>4</v>
      </c>
      <c r="D341">
        <v>11</v>
      </c>
      <c r="E341" t="s">
        <v>99</v>
      </c>
      <c r="F341" t="s">
        <v>84</v>
      </c>
      <c r="G341" t="s">
        <v>29</v>
      </c>
      <c r="H341" t="s">
        <v>10</v>
      </c>
      <c r="I341" t="s">
        <v>351</v>
      </c>
      <c r="J341">
        <v>40011</v>
      </c>
    </row>
    <row r="342" spans="1:10" x14ac:dyDescent="0.25">
      <c r="A342" t="str">
        <f>I342&amp;B342&amp;C342&amp;D342</f>
        <v>GY 17 BTS2017411</v>
      </c>
      <c r="B342">
        <v>2017</v>
      </c>
      <c r="C342">
        <v>4</v>
      </c>
      <c r="D342">
        <v>11</v>
      </c>
      <c r="E342" t="s">
        <v>99</v>
      </c>
      <c r="F342" t="s">
        <v>84</v>
      </c>
      <c r="G342" t="s">
        <v>29</v>
      </c>
      <c r="H342" t="s">
        <v>54</v>
      </c>
      <c r="I342" t="s">
        <v>397</v>
      </c>
      <c r="J342">
        <v>71336</v>
      </c>
    </row>
    <row r="343" spans="1:10" x14ac:dyDescent="0.25">
      <c r="A343" t="str">
        <f>I343&amp;B343&amp;C343&amp;D343</f>
        <v>GY 17 FAL2017411</v>
      </c>
      <c r="B343">
        <v>2017</v>
      </c>
      <c r="C343">
        <v>4</v>
      </c>
      <c r="D343">
        <v>11</v>
      </c>
      <c r="E343" t="s">
        <v>99</v>
      </c>
      <c r="F343" t="s">
        <v>84</v>
      </c>
      <c r="G343" t="s">
        <v>29</v>
      </c>
      <c r="H343" t="s">
        <v>54</v>
      </c>
      <c r="I343" t="s">
        <v>398</v>
      </c>
      <c r="J343">
        <v>359656</v>
      </c>
    </row>
    <row r="344" spans="1:10" x14ac:dyDescent="0.25">
      <c r="A344" t="str">
        <f>I344&amp;B344&amp;C344&amp;D344</f>
        <v>GY 17 FALL 12017411</v>
      </c>
      <c r="B344">
        <v>2017</v>
      </c>
      <c r="C344">
        <v>4</v>
      </c>
      <c r="D344">
        <v>11</v>
      </c>
      <c r="E344" t="s">
        <v>99</v>
      </c>
      <c r="F344" t="s">
        <v>84</v>
      </c>
      <c r="G344" t="s">
        <v>29</v>
      </c>
      <c r="H344" t="s">
        <v>54</v>
      </c>
      <c r="I344" t="s">
        <v>399</v>
      </c>
      <c r="J344">
        <v>109090</v>
      </c>
    </row>
    <row r="345" spans="1:10" x14ac:dyDescent="0.25">
      <c r="A345" t="str">
        <f>I345&amp;B345&amp;C345&amp;D345</f>
        <v>GY 17 FALL 22017411</v>
      </c>
      <c r="B345">
        <v>2017</v>
      </c>
      <c r="C345">
        <v>4</v>
      </c>
      <c r="D345">
        <v>11</v>
      </c>
      <c r="E345" t="s">
        <v>99</v>
      </c>
      <c r="F345" t="s">
        <v>84</v>
      </c>
      <c r="G345" t="s">
        <v>29</v>
      </c>
      <c r="H345" t="s">
        <v>54</v>
      </c>
      <c r="I345" t="s">
        <v>400</v>
      </c>
      <c r="J345">
        <v>314467</v>
      </c>
    </row>
    <row r="346" spans="1:10" x14ac:dyDescent="0.25">
      <c r="A346" t="str">
        <f>I346&amp;B346&amp;C346&amp;D346</f>
        <v>GY 17 FALL 32017411</v>
      </c>
      <c r="B346">
        <v>2017</v>
      </c>
      <c r="C346">
        <v>4</v>
      </c>
      <c r="D346">
        <v>11</v>
      </c>
      <c r="E346" t="s">
        <v>99</v>
      </c>
      <c r="F346" t="s">
        <v>84</v>
      </c>
      <c r="G346" t="s">
        <v>29</v>
      </c>
      <c r="H346" t="s">
        <v>54</v>
      </c>
      <c r="I346" t="s">
        <v>401</v>
      </c>
      <c r="J346">
        <v>404631</v>
      </c>
    </row>
    <row r="347" spans="1:10" x14ac:dyDescent="0.25">
      <c r="A347" t="str">
        <f>I347&amp;B347&amp;C347&amp;D347</f>
        <v>GY 17 FALL 42017411</v>
      </c>
      <c r="B347">
        <v>2017</v>
      </c>
      <c r="C347">
        <v>4</v>
      </c>
      <c r="D347">
        <v>11</v>
      </c>
      <c r="E347" t="s">
        <v>99</v>
      </c>
      <c r="F347" t="s">
        <v>84</v>
      </c>
      <c r="G347" t="s">
        <v>29</v>
      </c>
      <c r="H347" t="s">
        <v>54</v>
      </c>
      <c r="I347" t="s">
        <v>402</v>
      </c>
      <c r="J347">
        <v>285519</v>
      </c>
    </row>
    <row r="348" spans="1:10" x14ac:dyDescent="0.25">
      <c r="A348" t="str">
        <f>I348&amp;B348&amp;C348&amp;D348</f>
        <v>GY 17 HO HO SHOP2017411</v>
      </c>
      <c r="B348">
        <v>2017</v>
      </c>
      <c r="C348">
        <v>4</v>
      </c>
      <c r="D348">
        <v>11</v>
      </c>
      <c r="E348" t="s">
        <v>99</v>
      </c>
      <c r="F348" t="s">
        <v>84</v>
      </c>
      <c r="G348" t="s">
        <v>29</v>
      </c>
      <c r="H348" t="s">
        <v>54</v>
      </c>
      <c r="I348" t="s">
        <v>405</v>
      </c>
      <c r="J348">
        <v>434251</v>
      </c>
    </row>
    <row r="349" spans="1:10" x14ac:dyDescent="0.25">
      <c r="A349" t="str">
        <f>I349&amp;B349&amp;C349&amp;D349</f>
        <v>Old2017411</v>
      </c>
      <c r="B349">
        <v>2017</v>
      </c>
      <c r="C349">
        <v>4</v>
      </c>
      <c r="D349">
        <v>11</v>
      </c>
      <c r="E349" t="s">
        <v>99</v>
      </c>
      <c r="F349" t="s">
        <v>84</v>
      </c>
      <c r="G349" t="s">
        <v>29</v>
      </c>
      <c r="H349" t="s">
        <v>434</v>
      </c>
      <c r="I349" t="s">
        <v>434</v>
      </c>
      <c r="J349">
        <v>2299005</v>
      </c>
    </row>
    <row r="350" spans="1:10" x14ac:dyDescent="0.25">
      <c r="A350" t="str">
        <f>I350&amp;B350&amp;C350&amp;D350</f>
        <v>GY WEBSTORE SKU2017411</v>
      </c>
      <c r="B350">
        <v>2017</v>
      </c>
      <c r="C350">
        <v>4</v>
      </c>
      <c r="D350">
        <v>11</v>
      </c>
      <c r="E350" t="s">
        <v>99</v>
      </c>
      <c r="F350" t="s">
        <v>84</v>
      </c>
      <c r="G350" t="s">
        <v>29</v>
      </c>
      <c r="H350" t="s">
        <v>462</v>
      </c>
      <c r="I350" t="s">
        <v>352</v>
      </c>
      <c r="J350">
        <v>17</v>
      </c>
    </row>
    <row r="351" spans="1:10" x14ac:dyDescent="0.25">
      <c r="A351" t="str">
        <f>I351&amp;B351&amp;C351&amp;D351</f>
        <v>GY 17 DRSY CAP2017411</v>
      </c>
      <c r="B351">
        <v>2017</v>
      </c>
      <c r="C351">
        <v>4</v>
      </c>
      <c r="D351">
        <v>11</v>
      </c>
      <c r="E351" t="s">
        <v>99</v>
      </c>
      <c r="F351" t="s">
        <v>84</v>
      </c>
      <c r="G351" t="s">
        <v>29</v>
      </c>
      <c r="H351" t="s">
        <v>5</v>
      </c>
      <c r="I351" t="s">
        <v>186</v>
      </c>
      <c r="J351">
        <v>19151</v>
      </c>
    </row>
    <row r="352" spans="1:10" x14ac:dyDescent="0.25">
      <c r="A352" t="str">
        <f>I352&amp;B352&amp;C352&amp;D352</f>
        <v>GY 17 SPR2017411</v>
      </c>
      <c r="B352">
        <v>2017</v>
      </c>
      <c r="C352">
        <v>4</v>
      </c>
      <c r="D352">
        <v>11</v>
      </c>
      <c r="E352" t="s">
        <v>99</v>
      </c>
      <c r="F352" t="s">
        <v>84</v>
      </c>
      <c r="G352" t="s">
        <v>29</v>
      </c>
      <c r="H352" t="s">
        <v>5</v>
      </c>
      <c r="I352" t="s">
        <v>178</v>
      </c>
      <c r="J352">
        <v>29360</v>
      </c>
    </row>
    <row r="353" spans="1:10" x14ac:dyDescent="0.25">
      <c r="A353" t="str">
        <f>I353&amp;B353&amp;C353&amp;D353</f>
        <v>GY 17 SPR 12017411</v>
      </c>
      <c r="B353">
        <v>2017</v>
      </c>
      <c r="C353">
        <v>4</v>
      </c>
      <c r="D353">
        <v>11</v>
      </c>
      <c r="E353" t="s">
        <v>99</v>
      </c>
      <c r="F353" t="s">
        <v>84</v>
      </c>
      <c r="G353" t="s">
        <v>29</v>
      </c>
      <c r="H353" t="s">
        <v>5</v>
      </c>
      <c r="I353" t="s">
        <v>180</v>
      </c>
      <c r="J353">
        <v>21282</v>
      </c>
    </row>
    <row r="354" spans="1:10" x14ac:dyDescent="0.25">
      <c r="A354" t="str">
        <f>I354&amp;B354&amp;C354&amp;D354</f>
        <v>GY 17 SPR 22017411</v>
      </c>
      <c r="B354">
        <v>2017</v>
      </c>
      <c r="C354">
        <v>4</v>
      </c>
      <c r="D354">
        <v>11</v>
      </c>
      <c r="E354" t="s">
        <v>99</v>
      </c>
      <c r="F354" t="s">
        <v>84</v>
      </c>
      <c r="G354" t="s">
        <v>29</v>
      </c>
      <c r="H354" t="s">
        <v>5</v>
      </c>
      <c r="I354" t="s">
        <v>182</v>
      </c>
      <c r="J354">
        <v>17995</v>
      </c>
    </row>
    <row r="355" spans="1:10" x14ac:dyDescent="0.25">
      <c r="A355" t="str">
        <f>I355&amp;B355&amp;C355&amp;D355</f>
        <v>GY 17 SPR VAC2017411</v>
      </c>
      <c r="B355">
        <v>2017</v>
      </c>
      <c r="C355">
        <v>4</v>
      </c>
      <c r="D355">
        <v>11</v>
      </c>
      <c r="E355" t="s">
        <v>99</v>
      </c>
      <c r="F355" t="s">
        <v>84</v>
      </c>
      <c r="G355" t="s">
        <v>29</v>
      </c>
      <c r="H355" t="s">
        <v>5</v>
      </c>
      <c r="I355" t="s">
        <v>188</v>
      </c>
      <c r="J355">
        <v>22697</v>
      </c>
    </row>
    <row r="356" spans="1:10" x14ac:dyDescent="0.25">
      <c r="A356" t="str">
        <f>I356&amp;B356&amp;C356&amp;D356</f>
        <v>GY 17 SUM 12017411</v>
      </c>
      <c r="B356">
        <v>2017</v>
      </c>
      <c r="C356">
        <v>4</v>
      </c>
      <c r="D356">
        <v>11</v>
      </c>
      <c r="E356" t="s">
        <v>99</v>
      </c>
      <c r="F356" t="s">
        <v>84</v>
      </c>
      <c r="G356" t="s">
        <v>29</v>
      </c>
      <c r="H356" t="s">
        <v>5</v>
      </c>
      <c r="I356" t="s">
        <v>190</v>
      </c>
      <c r="J356">
        <v>15235</v>
      </c>
    </row>
    <row r="357" spans="1:10" x14ac:dyDescent="0.25">
      <c r="A357" t="str">
        <f>I357&amp;B357&amp;C357&amp;D357</f>
        <v>GY 17 SWIM 12017411</v>
      </c>
      <c r="B357">
        <v>2017</v>
      </c>
      <c r="C357">
        <v>4</v>
      </c>
      <c r="D357">
        <v>11</v>
      </c>
      <c r="E357" t="s">
        <v>99</v>
      </c>
      <c r="F357" t="s">
        <v>84</v>
      </c>
      <c r="G357" t="s">
        <v>29</v>
      </c>
      <c r="H357" t="s">
        <v>5</v>
      </c>
      <c r="I357" t="s">
        <v>184</v>
      </c>
      <c r="J357">
        <v>919</v>
      </c>
    </row>
    <row r="358" spans="1:10" x14ac:dyDescent="0.25">
      <c r="A358" t="str">
        <f>I358&amp;B358&amp;C358&amp;D358</f>
        <v>GY 17 SWIM 22017411</v>
      </c>
      <c r="B358">
        <v>2017</v>
      </c>
      <c r="C358">
        <v>4</v>
      </c>
      <c r="D358">
        <v>11</v>
      </c>
      <c r="E358" t="s">
        <v>99</v>
      </c>
      <c r="F358" t="s">
        <v>84</v>
      </c>
      <c r="G358" t="s">
        <v>29</v>
      </c>
      <c r="H358" t="s">
        <v>5</v>
      </c>
      <c r="I358" t="s">
        <v>192</v>
      </c>
      <c r="J358">
        <v>3945</v>
      </c>
    </row>
    <row r="359" spans="1:10" x14ac:dyDescent="0.25">
      <c r="A359" t="str">
        <f>I359&amp;B359&amp;C359&amp;D359</f>
        <v>GY 18 DRESSY2017411</v>
      </c>
      <c r="B359">
        <v>2017</v>
      </c>
      <c r="C359">
        <v>4</v>
      </c>
      <c r="D359">
        <v>11</v>
      </c>
      <c r="E359" t="s">
        <v>99</v>
      </c>
      <c r="F359" t="s">
        <v>84</v>
      </c>
      <c r="G359" t="s">
        <v>29</v>
      </c>
      <c r="H359" t="s">
        <v>5</v>
      </c>
      <c r="I359" t="s">
        <v>185</v>
      </c>
      <c r="J359">
        <v>14126</v>
      </c>
    </row>
    <row r="360" spans="1:10" x14ac:dyDescent="0.25">
      <c r="A360" t="str">
        <f>I360&amp;B360&amp;C360&amp;D360</f>
        <v>GY 18 SPR2017411</v>
      </c>
      <c r="B360">
        <v>2017</v>
      </c>
      <c r="C360">
        <v>4</v>
      </c>
      <c r="D360">
        <v>11</v>
      </c>
      <c r="E360" t="s">
        <v>99</v>
      </c>
      <c r="F360" t="s">
        <v>84</v>
      </c>
      <c r="G360" t="s">
        <v>29</v>
      </c>
      <c r="H360" t="s">
        <v>5</v>
      </c>
      <c r="I360" t="s">
        <v>177</v>
      </c>
      <c r="J360">
        <v>986351</v>
      </c>
    </row>
    <row r="361" spans="1:10" x14ac:dyDescent="0.25">
      <c r="A361" t="str">
        <f>I361&amp;B361&amp;C361&amp;D361</f>
        <v>GY 18 SPR 12017411</v>
      </c>
      <c r="B361">
        <v>2017</v>
      </c>
      <c r="C361">
        <v>4</v>
      </c>
      <c r="D361">
        <v>11</v>
      </c>
      <c r="E361" t="s">
        <v>99</v>
      </c>
      <c r="F361" t="s">
        <v>84</v>
      </c>
      <c r="G361" t="s">
        <v>29</v>
      </c>
      <c r="H361" t="s">
        <v>5</v>
      </c>
      <c r="I361" t="s">
        <v>179</v>
      </c>
      <c r="J361">
        <v>896135</v>
      </c>
    </row>
    <row r="362" spans="1:10" x14ac:dyDescent="0.25">
      <c r="A362" t="str">
        <f>I362&amp;B362&amp;C362&amp;D362</f>
        <v>GY 18 SPR 22017411</v>
      </c>
      <c r="B362">
        <v>2017</v>
      </c>
      <c r="C362">
        <v>4</v>
      </c>
      <c r="D362">
        <v>11</v>
      </c>
      <c r="E362" t="s">
        <v>99</v>
      </c>
      <c r="F362" t="s">
        <v>84</v>
      </c>
      <c r="G362" t="s">
        <v>29</v>
      </c>
      <c r="H362" t="s">
        <v>5</v>
      </c>
      <c r="I362" t="s">
        <v>181</v>
      </c>
      <c r="J362">
        <v>24936</v>
      </c>
    </row>
    <row r="363" spans="1:10" x14ac:dyDescent="0.25">
      <c r="A363" t="str">
        <f>I363&amp;B363&amp;C363&amp;D363</f>
        <v>GY 18 SPR VACA2017411</v>
      </c>
      <c r="B363">
        <v>2017</v>
      </c>
      <c r="C363">
        <v>4</v>
      </c>
      <c r="D363">
        <v>11</v>
      </c>
      <c r="E363" t="s">
        <v>99</v>
      </c>
      <c r="F363" t="s">
        <v>84</v>
      </c>
      <c r="G363" t="s">
        <v>29</v>
      </c>
      <c r="H363" t="s">
        <v>5</v>
      </c>
      <c r="I363" t="s">
        <v>187</v>
      </c>
      <c r="J363">
        <v>-1</v>
      </c>
    </row>
    <row r="364" spans="1:10" x14ac:dyDescent="0.25">
      <c r="A364" t="str">
        <f>I364&amp;B364&amp;C364&amp;D364</f>
        <v>GY 18 SUM 12017411</v>
      </c>
      <c r="B364">
        <v>2017</v>
      </c>
      <c r="C364">
        <v>4</v>
      </c>
      <c r="D364">
        <v>11</v>
      </c>
      <c r="E364" t="s">
        <v>99</v>
      </c>
      <c r="F364" t="s">
        <v>84</v>
      </c>
      <c r="G364" t="s">
        <v>29</v>
      </c>
      <c r="H364" t="s">
        <v>5</v>
      </c>
      <c r="I364" t="s">
        <v>189</v>
      </c>
      <c r="J364">
        <v>-1</v>
      </c>
    </row>
    <row r="365" spans="1:10" x14ac:dyDescent="0.25">
      <c r="A365" t="str">
        <f>I365&amp;B365&amp;C365&amp;D365</f>
        <v>GY 18 SWIM 12017411</v>
      </c>
      <c r="B365">
        <v>2017</v>
      </c>
      <c r="C365">
        <v>4</v>
      </c>
      <c r="D365">
        <v>11</v>
      </c>
      <c r="E365" t="s">
        <v>99</v>
      </c>
      <c r="F365" t="s">
        <v>84</v>
      </c>
      <c r="G365" t="s">
        <v>29</v>
      </c>
      <c r="H365" t="s">
        <v>5</v>
      </c>
      <c r="I365" t="s">
        <v>183</v>
      </c>
      <c r="J365">
        <v>6716</v>
      </c>
    </row>
    <row r="366" spans="1:10" x14ac:dyDescent="0.25">
      <c r="A366" t="str">
        <f>I366&amp;B366&amp;C366&amp;D366</f>
        <v>GY 17 CAP2017411</v>
      </c>
      <c r="B366">
        <v>2017</v>
      </c>
      <c r="C366">
        <v>4</v>
      </c>
      <c r="D366">
        <v>11</v>
      </c>
      <c r="E366" t="s">
        <v>99</v>
      </c>
      <c r="F366" t="s">
        <v>84</v>
      </c>
      <c r="G366" t="s">
        <v>29</v>
      </c>
      <c r="H366" t="s">
        <v>6</v>
      </c>
      <c r="I366" t="s">
        <v>404</v>
      </c>
      <c r="J366">
        <v>9445</v>
      </c>
    </row>
    <row r="367" spans="1:10" x14ac:dyDescent="0.25">
      <c r="A367" t="str">
        <f>I367&amp;B367&amp;C367&amp;D367</f>
        <v>GY 17 SM22017411</v>
      </c>
      <c r="B367">
        <v>2017</v>
      </c>
      <c r="C367">
        <v>4</v>
      </c>
      <c r="D367">
        <v>11</v>
      </c>
      <c r="E367" t="s">
        <v>99</v>
      </c>
      <c r="F367" t="s">
        <v>84</v>
      </c>
      <c r="G367" t="s">
        <v>29</v>
      </c>
      <c r="H367" t="s">
        <v>6</v>
      </c>
      <c r="I367" t="s">
        <v>194</v>
      </c>
      <c r="J367">
        <v>24078</v>
      </c>
    </row>
    <row r="368" spans="1:10" x14ac:dyDescent="0.25">
      <c r="A368" t="str">
        <f>I368&amp;B368&amp;C368&amp;D368</f>
        <v>GY 17 SM32017411</v>
      </c>
      <c r="B368">
        <v>2017</v>
      </c>
      <c r="C368">
        <v>4</v>
      </c>
      <c r="D368">
        <v>11</v>
      </c>
      <c r="E368" t="s">
        <v>99</v>
      </c>
      <c r="F368" t="s">
        <v>84</v>
      </c>
      <c r="G368" t="s">
        <v>29</v>
      </c>
      <c r="H368" t="s">
        <v>6</v>
      </c>
      <c r="I368" t="s">
        <v>196</v>
      </c>
      <c r="J368">
        <v>20801</v>
      </c>
    </row>
    <row r="369" spans="1:10" x14ac:dyDescent="0.25">
      <c r="A369" t="str">
        <f>I369&amp;B369&amp;C369&amp;D369</f>
        <v>GY 17 SM42017411</v>
      </c>
      <c r="B369">
        <v>2017</v>
      </c>
      <c r="C369">
        <v>4</v>
      </c>
      <c r="D369">
        <v>11</v>
      </c>
      <c r="E369" t="s">
        <v>99</v>
      </c>
      <c r="F369" t="s">
        <v>84</v>
      </c>
      <c r="G369" t="s">
        <v>29</v>
      </c>
      <c r="H369" t="s">
        <v>6</v>
      </c>
      <c r="I369" t="s">
        <v>200</v>
      </c>
      <c r="J369">
        <v>18473</v>
      </c>
    </row>
    <row r="370" spans="1:10" x14ac:dyDescent="0.25">
      <c r="A370" t="str">
        <f>I370&amp;B370&amp;C370&amp;D370</f>
        <v>GY 17 SMR2017411</v>
      </c>
      <c r="B370">
        <v>2017</v>
      </c>
      <c r="C370">
        <v>4</v>
      </c>
      <c r="D370">
        <v>11</v>
      </c>
      <c r="E370" t="s">
        <v>99</v>
      </c>
      <c r="F370" t="s">
        <v>84</v>
      </c>
      <c r="G370" t="s">
        <v>29</v>
      </c>
      <c r="H370" t="s">
        <v>6</v>
      </c>
      <c r="I370" t="s">
        <v>204</v>
      </c>
      <c r="J370">
        <v>55549</v>
      </c>
    </row>
    <row r="371" spans="1:10" x14ac:dyDescent="0.25">
      <c r="A371" t="str">
        <f>I371&amp;B371&amp;C371&amp;D371</f>
        <v>GY 17 SWIM 32017411</v>
      </c>
      <c r="B371">
        <v>2017</v>
      </c>
      <c r="C371">
        <v>4</v>
      </c>
      <c r="D371">
        <v>11</v>
      </c>
      <c r="E371" t="s">
        <v>99</v>
      </c>
      <c r="F371" t="s">
        <v>84</v>
      </c>
      <c r="G371" t="s">
        <v>29</v>
      </c>
      <c r="H371" t="s">
        <v>6</v>
      </c>
      <c r="I371" t="s">
        <v>198</v>
      </c>
      <c r="J371">
        <v>2734</v>
      </c>
    </row>
    <row r="372" spans="1:10" x14ac:dyDescent="0.25">
      <c r="A372" t="str">
        <f>I372&amp;B372&amp;C372&amp;D372</f>
        <v>GY 17 TRANS2017411</v>
      </c>
      <c r="B372">
        <v>2017</v>
      </c>
      <c r="C372">
        <v>4</v>
      </c>
      <c r="D372">
        <v>11</v>
      </c>
      <c r="E372" t="s">
        <v>99</v>
      </c>
      <c r="F372" t="s">
        <v>84</v>
      </c>
      <c r="G372" t="s">
        <v>29</v>
      </c>
      <c r="H372" t="s">
        <v>6</v>
      </c>
      <c r="I372" t="s">
        <v>202</v>
      </c>
      <c r="J372">
        <v>58391</v>
      </c>
    </row>
    <row r="373" spans="1:10" x14ac:dyDescent="0.25">
      <c r="A373" t="str">
        <f>I373&amp;B373&amp;C373&amp;D373</f>
        <v>GY 18 SM22017411</v>
      </c>
      <c r="B373">
        <v>2017</v>
      </c>
      <c r="C373">
        <v>4</v>
      </c>
      <c r="D373">
        <v>11</v>
      </c>
      <c r="E373" t="s">
        <v>99</v>
      </c>
      <c r="F373" t="s">
        <v>84</v>
      </c>
      <c r="G373" t="s">
        <v>29</v>
      </c>
      <c r="H373" t="s">
        <v>6</v>
      </c>
      <c r="I373" t="s">
        <v>193</v>
      </c>
      <c r="J373">
        <v>-1</v>
      </c>
    </row>
    <row r="374" spans="1:10" x14ac:dyDescent="0.25">
      <c r="A374" t="str">
        <f>I374&amp;B374&amp;C374&amp;D374</f>
        <v>GY 18 SM32017411</v>
      </c>
      <c r="B374">
        <v>2017</v>
      </c>
      <c r="C374">
        <v>4</v>
      </c>
      <c r="D374">
        <v>11</v>
      </c>
      <c r="E374" t="s">
        <v>99</v>
      </c>
      <c r="F374" t="s">
        <v>84</v>
      </c>
      <c r="G374" t="s">
        <v>29</v>
      </c>
      <c r="H374" t="s">
        <v>6</v>
      </c>
      <c r="I374" t="s">
        <v>195</v>
      </c>
      <c r="J374">
        <v>-3</v>
      </c>
    </row>
    <row r="375" spans="1:10" x14ac:dyDescent="0.25">
      <c r="A375" t="str">
        <f>I375&amp;B375&amp;C375&amp;D375</f>
        <v>GY 18 SMR2017411</v>
      </c>
      <c r="B375">
        <v>2017</v>
      </c>
      <c r="C375">
        <v>4</v>
      </c>
      <c r="D375">
        <v>11</v>
      </c>
      <c r="E375" t="s">
        <v>99</v>
      </c>
      <c r="F375" t="s">
        <v>84</v>
      </c>
      <c r="G375" t="s">
        <v>29</v>
      </c>
      <c r="H375" t="s">
        <v>6</v>
      </c>
      <c r="I375" t="s">
        <v>203</v>
      </c>
      <c r="J375">
        <v>-1</v>
      </c>
    </row>
    <row r="376" spans="1:10" x14ac:dyDescent="0.25">
      <c r="A376" t="str">
        <f>I376&amp;B376&amp;C376&amp;D376</f>
        <v>GY 17 HOL2017411</v>
      </c>
      <c r="B376">
        <v>2017</v>
      </c>
      <c r="C376">
        <v>4</v>
      </c>
      <c r="D376">
        <v>11</v>
      </c>
      <c r="E376" t="s">
        <v>99</v>
      </c>
      <c r="F376" t="s">
        <v>84</v>
      </c>
      <c r="G376" t="s">
        <v>29</v>
      </c>
      <c r="H376" t="s">
        <v>8</v>
      </c>
      <c r="I376" t="s">
        <v>406</v>
      </c>
      <c r="J376">
        <v>246395</v>
      </c>
    </row>
    <row r="377" spans="1:10" x14ac:dyDescent="0.25">
      <c r="A377" t="str">
        <f>I377&amp;B377&amp;C377&amp;D377</f>
        <v>GY 17 JAN CAP2017411</v>
      </c>
      <c r="B377">
        <v>2017</v>
      </c>
      <c r="C377">
        <v>4</v>
      </c>
      <c r="D377">
        <v>11</v>
      </c>
      <c r="E377" t="s">
        <v>99</v>
      </c>
      <c r="F377" t="s">
        <v>84</v>
      </c>
      <c r="G377" t="s">
        <v>29</v>
      </c>
      <c r="H377" t="s">
        <v>8</v>
      </c>
      <c r="I377" t="s">
        <v>407</v>
      </c>
      <c r="J377">
        <v>8529</v>
      </c>
    </row>
    <row r="378" spans="1:10" x14ac:dyDescent="0.25">
      <c r="A378" t="str">
        <f>I378&amp;B378&amp;C378&amp;D378</f>
        <v>GY 17 SPR TRANS2017411</v>
      </c>
      <c r="B378">
        <v>2017</v>
      </c>
      <c r="C378">
        <v>4</v>
      </c>
      <c r="D378">
        <v>11</v>
      </c>
      <c r="E378" t="s">
        <v>99</v>
      </c>
      <c r="F378" t="s">
        <v>84</v>
      </c>
      <c r="G378" t="s">
        <v>29</v>
      </c>
      <c r="H378" t="s">
        <v>8</v>
      </c>
      <c r="I378" t="s">
        <v>403</v>
      </c>
      <c r="J378">
        <v>365498</v>
      </c>
    </row>
    <row r="379" spans="1:10" x14ac:dyDescent="0.25">
      <c r="A379" t="str">
        <f>I379&amp;B379&amp;C379&amp;D379</f>
        <v>GY 17 WINTER 12017411</v>
      </c>
      <c r="B379">
        <v>2017</v>
      </c>
      <c r="C379">
        <v>4</v>
      </c>
      <c r="D379">
        <v>11</v>
      </c>
      <c r="E379" t="s">
        <v>99</v>
      </c>
      <c r="F379" t="s">
        <v>84</v>
      </c>
      <c r="G379" t="s">
        <v>29</v>
      </c>
      <c r="H379" t="s">
        <v>8</v>
      </c>
      <c r="I379" t="s">
        <v>408</v>
      </c>
      <c r="J379">
        <v>205260</v>
      </c>
    </row>
    <row r="380" spans="1:10" x14ac:dyDescent="0.25">
      <c r="A380" t="str">
        <f>I380&amp;B380&amp;C380&amp;D380</f>
        <v>GY 17 WINTER 22017411</v>
      </c>
      <c r="B380">
        <v>2017</v>
      </c>
      <c r="C380">
        <v>4</v>
      </c>
      <c r="D380">
        <v>11</v>
      </c>
      <c r="E380" t="s">
        <v>99</v>
      </c>
      <c r="F380" t="s">
        <v>84</v>
      </c>
      <c r="G380" t="s">
        <v>29</v>
      </c>
      <c r="H380" t="s">
        <v>8</v>
      </c>
      <c r="I380" t="s">
        <v>409</v>
      </c>
      <c r="J380">
        <v>292823</v>
      </c>
    </row>
    <row r="381" spans="1:10" x14ac:dyDescent="0.25">
      <c r="A381" t="str">
        <f>I381&amp;B381&amp;C381&amp;D381</f>
        <v>GY 17 WINTER 32017411</v>
      </c>
      <c r="B381">
        <v>2017</v>
      </c>
      <c r="C381">
        <v>4</v>
      </c>
      <c r="D381">
        <v>11</v>
      </c>
      <c r="E381" t="s">
        <v>99</v>
      </c>
      <c r="F381" t="s">
        <v>84</v>
      </c>
      <c r="G381" t="s">
        <v>29</v>
      </c>
      <c r="H381" t="s">
        <v>8</v>
      </c>
      <c r="I381" t="s">
        <v>410</v>
      </c>
      <c r="J381">
        <v>274902</v>
      </c>
    </row>
    <row r="382" spans="1:10" x14ac:dyDescent="0.25">
      <c r="A382" t="str">
        <f>I382&amp;B382&amp;C382&amp;D382</f>
        <v>GY 18 VDAY2017411</v>
      </c>
      <c r="B382">
        <v>2017</v>
      </c>
      <c r="C382">
        <v>4</v>
      </c>
      <c r="D382">
        <v>11</v>
      </c>
      <c r="E382" t="s">
        <v>99</v>
      </c>
      <c r="F382" t="s">
        <v>84</v>
      </c>
      <c r="G382" t="s">
        <v>29</v>
      </c>
      <c r="H382" t="s">
        <v>8</v>
      </c>
      <c r="I382" t="s">
        <v>396</v>
      </c>
      <c r="J382">
        <v>206256</v>
      </c>
    </row>
    <row r="383" spans="1:10" x14ac:dyDescent="0.25">
      <c r="A383" t="str">
        <f>I383&amp;B383&amp;C383&amp;D383</f>
        <v>Winter 172017411</v>
      </c>
      <c r="B383">
        <v>2017</v>
      </c>
      <c r="C383">
        <v>4</v>
      </c>
      <c r="D383">
        <v>11</v>
      </c>
      <c r="E383" t="s">
        <v>99</v>
      </c>
      <c r="F383" t="s">
        <v>84</v>
      </c>
      <c r="G383" t="s">
        <v>29</v>
      </c>
      <c r="H383" t="s">
        <v>435</v>
      </c>
      <c r="I383" t="s">
        <v>435</v>
      </c>
      <c r="J383">
        <v>1599663</v>
      </c>
    </row>
    <row r="384" spans="1:10" x14ac:dyDescent="0.25">
      <c r="A384" t="str">
        <f>I384&amp;B384&amp;C384&amp;D384</f>
        <v>GY 17 FALL BASICS2017412</v>
      </c>
      <c r="B384">
        <v>2017</v>
      </c>
      <c r="C384">
        <v>4</v>
      </c>
      <c r="D384">
        <v>12</v>
      </c>
      <c r="E384" t="s">
        <v>99</v>
      </c>
      <c r="F384" t="s">
        <v>84</v>
      </c>
      <c r="G384" t="s">
        <v>29</v>
      </c>
      <c r="H384" t="s">
        <v>10</v>
      </c>
      <c r="I384" t="s">
        <v>176</v>
      </c>
      <c r="J384">
        <v>149723</v>
      </c>
    </row>
    <row r="385" spans="1:10" x14ac:dyDescent="0.25">
      <c r="A385" t="str">
        <f>I385&amp;B385&amp;C385&amp;D385</f>
        <v>GY 17 SPRING BASICS2017412</v>
      </c>
      <c r="B385">
        <v>2017</v>
      </c>
      <c r="C385">
        <v>4</v>
      </c>
      <c r="D385">
        <v>12</v>
      </c>
      <c r="E385" t="s">
        <v>99</v>
      </c>
      <c r="F385" t="s">
        <v>84</v>
      </c>
      <c r="G385" t="s">
        <v>29</v>
      </c>
      <c r="H385" t="s">
        <v>10</v>
      </c>
      <c r="I385" t="s">
        <v>174</v>
      </c>
      <c r="J385">
        <v>24417</v>
      </c>
    </row>
    <row r="386" spans="1:10" x14ac:dyDescent="0.25">
      <c r="A386" t="str">
        <f>I386&amp;B386&amp;C386&amp;D386</f>
        <v>GY 18 SPRING BASICS2017412</v>
      </c>
      <c r="B386">
        <v>2017</v>
      </c>
      <c r="C386">
        <v>4</v>
      </c>
      <c r="D386">
        <v>12</v>
      </c>
      <c r="E386" t="s">
        <v>99</v>
      </c>
      <c r="F386" t="s">
        <v>84</v>
      </c>
      <c r="G386" t="s">
        <v>29</v>
      </c>
      <c r="H386" t="s">
        <v>10</v>
      </c>
      <c r="I386" t="s">
        <v>173</v>
      </c>
      <c r="J386">
        <v>919550</v>
      </c>
    </row>
    <row r="387" spans="1:10" x14ac:dyDescent="0.25">
      <c r="A387" t="str">
        <f>I387&amp;B387&amp;C387&amp;D387</f>
        <v>GY YRLY BASICS2017412</v>
      </c>
      <c r="B387">
        <v>2017</v>
      </c>
      <c r="C387">
        <v>4</v>
      </c>
      <c r="D387">
        <v>12</v>
      </c>
      <c r="E387" t="s">
        <v>99</v>
      </c>
      <c r="F387" t="s">
        <v>84</v>
      </c>
      <c r="G387" t="s">
        <v>29</v>
      </c>
      <c r="H387" t="s">
        <v>10</v>
      </c>
      <c r="I387" t="s">
        <v>349</v>
      </c>
      <c r="J387">
        <v>916707</v>
      </c>
    </row>
    <row r="388" spans="1:10" x14ac:dyDescent="0.25">
      <c r="A388" t="str">
        <f>I388&amp;B388&amp;C388&amp;D388</f>
        <v>GY YRLY DENIM2017412</v>
      </c>
      <c r="B388">
        <v>2017</v>
      </c>
      <c r="C388">
        <v>4</v>
      </c>
      <c r="D388">
        <v>12</v>
      </c>
      <c r="E388" t="s">
        <v>99</v>
      </c>
      <c r="F388" t="s">
        <v>84</v>
      </c>
      <c r="G388" t="s">
        <v>29</v>
      </c>
      <c r="H388" t="s">
        <v>10</v>
      </c>
      <c r="I388" t="s">
        <v>350</v>
      </c>
      <c r="J388">
        <v>153918</v>
      </c>
    </row>
    <row r="389" spans="1:10" x14ac:dyDescent="0.25">
      <c r="A389" t="str">
        <f>I389&amp;B389&amp;C389&amp;D389</f>
        <v>GY YRLY UNIFORM2017412</v>
      </c>
      <c r="B389">
        <v>2017</v>
      </c>
      <c r="C389">
        <v>4</v>
      </c>
      <c r="D389">
        <v>12</v>
      </c>
      <c r="E389" t="s">
        <v>99</v>
      </c>
      <c r="F389" t="s">
        <v>84</v>
      </c>
      <c r="G389" t="s">
        <v>29</v>
      </c>
      <c r="H389" t="s">
        <v>10</v>
      </c>
      <c r="I389" t="s">
        <v>351</v>
      </c>
      <c r="J389">
        <v>38990</v>
      </c>
    </row>
    <row r="390" spans="1:10" x14ac:dyDescent="0.25">
      <c r="A390" t="str">
        <f>I390&amp;B390&amp;C390&amp;D390</f>
        <v>GY 17 BTS2017412</v>
      </c>
      <c r="B390">
        <v>2017</v>
      </c>
      <c r="C390">
        <v>4</v>
      </c>
      <c r="D390">
        <v>12</v>
      </c>
      <c r="E390" t="s">
        <v>99</v>
      </c>
      <c r="F390" t="s">
        <v>84</v>
      </c>
      <c r="G390" t="s">
        <v>29</v>
      </c>
      <c r="H390" t="s">
        <v>54</v>
      </c>
      <c r="I390" t="s">
        <v>397</v>
      </c>
      <c r="J390">
        <v>43647</v>
      </c>
    </row>
    <row r="391" spans="1:10" x14ac:dyDescent="0.25">
      <c r="A391" t="str">
        <f>I391&amp;B391&amp;C391&amp;D391</f>
        <v>GY 17 FAL2017412</v>
      </c>
      <c r="B391">
        <v>2017</v>
      </c>
      <c r="C391">
        <v>4</v>
      </c>
      <c r="D391">
        <v>12</v>
      </c>
      <c r="E391" t="s">
        <v>99</v>
      </c>
      <c r="F391" t="s">
        <v>84</v>
      </c>
      <c r="G391" t="s">
        <v>29</v>
      </c>
      <c r="H391" t="s">
        <v>54</v>
      </c>
      <c r="I391" t="s">
        <v>398</v>
      </c>
      <c r="J391">
        <v>204480</v>
      </c>
    </row>
    <row r="392" spans="1:10" x14ac:dyDescent="0.25">
      <c r="A392" t="str">
        <f>I392&amp;B392&amp;C392&amp;D392</f>
        <v>GY 17 FALL 12017412</v>
      </c>
      <c r="B392">
        <v>2017</v>
      </c>
      <c r="C392">
        <v>4</v>
      </c>
      <c r="D392">
        <v>12</v>
      </c>
      <c r="E392" t="s">
        <v>99</v>
      </c>
      <c r="F392" t="s">
        <v>84</v>
      </c>
      <c r="G392" t="s">
        <v>29</v>
      </c>
      <c r="H392" t="s">
        <v>54</v>
      </c>
      <c r="I392" t="s">
        <v>399</v>
      </c>
      <c r="J392">
        <v>75626</v>
      </c>
    </row>
    <row r="393" spans="1:10" x14ac:dyDescent="0.25">
      <c r="A393" t="str">
        <f>I393&amp;B393&amp;C393&amp;D393</f>
        <v>GY 17 FALL 22017412</v>
      </c>
      <c r="B393">
        <v>2017</v>
      </c>
      <c r="C393">
        <v>4</v>
      </c>
      <c r="D393">
        <v>12</v>
      </c>
      <c r="E393" t="s">
        <v>99</v>
      </c>
      <c r="F393" t="s">
        <v>84</v>
      </c>
      <c r="G393" t="s">
        <v>29</v>
      </c>
      <c r="H393" t="s">
        <v>54</v>
      </c>
      <c r="I393" t="s">
        <v>400</v>
      </c>
      <c r="J393">
        <v>221680</v>
      </c>
    </row>
    <row r="394" spans="1:10" x14ac:dyDescent="0.25">
      <c r="A394" t="str">
        <f>I394&amp;B394&amp;C394&amp;D394</f>
        <v>GY 17 FALL 32017412</v>
      </c>
      <c r="B394">
        <v>2017</v>
      </c>
      <c r="C394">
        <v>4</v>
      </c>
      <c r="D394">
        <v>12</v>
      </c>
      <c r="E394" t="s">
        <v>99</v>
      </c>
      <c r="F394" t="s">
        <v>84</v>
      </c>
      <c r="G394" t="s">
        <v>29</v>
      </c>
      <c r="H394" t="s">
        <v>54</v>
      </c>
      <c r="I394" t="s">
        <v>401</v>
      </c>
      <c r="J394">
        <v>313836</v>
      </c>
    </row>
    <row r="395" spans="1:10" x14ac:dyDescent="0.25">
      <c r="A395" t="str">
        <f>I395&amp;B395&amp;C395&amp;D395</f>
        <v>GY 17 FALL 42017412</v>
      </c>
      <c r="B395">
        <v>2017</v>
      </c>
      <c r="C395">
        <v>4</v>
      </c>
      <c r="D395">
        <v>12</v>
      </c>
      <c r="E395" t="s">
        <v>99</v>
      </c>
      <c r="F395" t="s">
        <v>84</v>
      </c>
      <c r="G395" t="s">
        <v>29</v>
      </c>
      <c r="H395" t="s">
        <v>54</v>
      </c>
      <c r="I395" t="s">
        <v>402</v>
      </c>
      <c r="J395">
        <v>214964</v>
      </c>
    </row>
    <row r="396" spans="1:10" x14ac:dyDescent="0.25">
      <c r="A396" t="str">
        <f>I396&amp;B396&amp;C396&amp;D396</f>
        <v>GY 17 HO HO SHOP2017412</v>
      </c>
      <c r="B396">
        <v>2017</v>
      </c>
      <c r="C396">
        <v>4</v>
      </c>
      <c r="D396">
        <v>12</v>
      </c>
      <c r="E396" t="s">
        <v>99</v>
      </c>
      <c r="F396" t="s">
        <v>84</v>
      </c>
      <c r="G396" t="s">
        <v>29</v>
      </c>
      <c r="H396" t="s">
        <v>54</v>
      </c>
      <c r="I396" t="s">
        <v>405</v>
      </c>
      <c r="J396">
        <v>384252</v>
      </c>
    </row>
    <row r="397" spans="1:10" x14ac:dyDescent="0.25">
      <c r="A397" t="str">
        <f>I397&amp;B397&amp;C397&amp;D397</f>
        <v>Old2017412</v>
      </c>
      <c r="B397">
        <v>2017</v>
      </c>
      <c r="C397">
        <v>4</v>
      </c>
      <c r="D397">
        <v>12</v>
      </c>
      <c r="E397" t="s">
        <v>99</v>
      </c>
      <c r="F397" t="s">
        <v>84</v>
      </c>
      <c r="G397" t="s">
        <v>29</v>
      </c>
      <c r="H397" t="s">
        <v>434</v>
      </c>
      <c r="I397" t="s">
        <v>434</v>
      </c>
      <c r="J397">
        <v>1542185</v>
      </c>
    </row>
    <row r="398" spans="1:10" x14ac:dyDescent="0.25">
      <c r="A398" t="str">
        <f>I398&amp;B398&amp;C398&amp;D398</f>
        <v>GY WEBSTORE SKU2017412</v>
      </c>
      <c r="B398">
        <v>2017</v>
      </c>
      <c r="C398">
        <v>4</v>
      </c>
      <c r="D398">
        <v>12</v>
      </c>
      <c r="E398" t="s">
        <v>99</v>
      </c>
      <c r="F398" t="s">
        <v>84</v>
      </c>
      <c r="G398" t="s">
        <v>29</v>
      </c>
      <c r="H398" t="s">
        <v>462</v>
      </c>
      <c r="I398" t="s">
        <v>352</v>
      </c>
      <c r="J398">
        <v>5</v>
      </c>
    </row>
    <row r="399" spans="1:10" x14ac:dyDescent="0.25">
      <c r="A399" t="str">
        <f>I399&amp;B399&amp;C399&amp;D399</f>
        <v>GY 17 DRSY CAP2017412</v>
      </c>
      <c r="B399">
        <v>2017</v>
      </c>
      <c r="C399">
        <v>4</v>
      </c>
      <c r="D399">
        <v>12</v>
      </c>
      <c r="E399" t="s">
        <v>99</v>
      </c>
      <c r="F399" t="s">
        <v>84</v>
      </c>
      <c r="G399" t="s">
        <v>29</v>
      </c>
      <c r="H399" t="s">
        <v>5</v>
      </c>
      <c r="I399" t="s">
        <v>186</v>
      </c>
      <c r="J399">
        <v>6548</v>
      </c>
    </row>
    <row r="400" spans="1:10" x14ac:dyDescent="0.25">
      <c r="A400" t="str">
        <f>I400&amp;B400&amp;C400&amp;D400</f>
        <v>GY 17 SPR2017412</v>
      </c>
      <c r="B400">
        <v>2017</v>
      </c>
      <c r="C400">
        <v>4</v>
      </c>
      <c r="D400">
        <v>12</v>
      </c>
      <c r="E400" t="s">
        <v>99</v>
      </c>
      <c r="F400" t="s">
        <v>84</v>
      </c>
      <c r="G400" t="s">
        <v>29</v>
      </c>
      <c r="H400" t="s">
        <v>5</v>
      </c>
      <c r="I400" t="s">
        <v>178</v>
      </c>
      <c r="J400">
        <v>4565</v>
      </c>
    </row>
    <row r="401" spans="1:10" x14ac:dyDescent="0.25">
      <c r="A401" t="str">
        <f>I401&amp;B401&amp;C401&amp;D401</f>
        <v>GY 17 SPR 12017412</v>
      </c>
      <c r="B401">
        <v>2017</v>
      </c>
      <c r="C401">
        <v>4</v>
      </c>
      <c r="D401">
        <v>12</v>
      </c>
      <c r="E401" t="s">
        <v>99</v>
      </c>
      <c r="F401" t="s">
        <v>84</v>
      </c>
      <c r="G401" t="s">
        <v>29</v>
      </c>
      <c r="H401" t="s">
        <v>5</v>
      </c>
      <c r="I401" t="s">
        <v>180</v>
      </c>
      <c r="J401">
        <v>3207</v>
      </c>
    </row>
    <row r="402" spans="1:10" x14ac:dyDescent="0.25">
      <c r="A402" t="str">
        <f>I402&amp;B402&amp;C402&amp;D402</f>
        <v>GY 17 SPR 22017412</v>
      </c>
      <c r="B402">
        <v>2017</v>
      </c>
      <c r="C402">
        <v>4</v>
      </c>
      <c r="D402">
        <v>12</v>
      </c>
      <c r="E402" t="s">
        <v>99</v>
      </c>
      <c r="F402" t="s">
        <v>84</v>
      </c>
      <c r="G402" t="s">
        <v>29</v>
      </c>
      <c r="H402" t="s">
        <v>5</v>
      </c>
      <c r="I402" t="s">
        <v>182</v>
      </c>
      <c r="J402">
        <v>1903</v>
      </c>
    </row>
    <row r="403" spans="1:10" x14ac:dyDescent="0.25">
      <c r="A403" t="str">
        <f>I403&amp;B403&amp;C403&amp;D403</f>
        <v>GY 17 SPR VAC2017412</v>
      </c>
      <c r="B403">
        <v>2017</v>
      </c>
      <c r="C403">
        <v>4</v>
      </c>
      <c r="D403">
        <v>12</v>
      </c>
      <c r="E403" t="s">
        <v>99</v>
      </c>
      <c r="F403" t="s">
        <v>84</v>
      </c>
      <c r="G403" t="s">
        <v>29</v>
      </c>
      <c r="H403" t="s">
        <v>5</v>
      </c>
      <c r="I403" t="s">
        <v>188</v>
      </c>
      <c r="J403">
        <v>2306</v>
      </c>
    </row>
    <row r="404" spans="1:10" x14ac:dyDescent="0.25">
      <c r="A404" t="str">
        <f>I404&amp;B404&amp;C404&amp;D404</f>
        <v>GY 17 SUM 12017412</v>
      </c>
      <c r="B404">
        <v>2017</v>
      </c>
      <c r="C404">
        <v>4</v>
      </c>
      <c r="D404">
        <v>12</v>
      </c>
      <c r="E404" t="s">
        <v>99</v>
      </c>
      <c r="F404" t="s">
        <v>84</v>
      </c>
      <c r="G404" t="s">
        <v>29</v>
      </c>
      <c r="H404" t="s">
        <v>5</v>
      </c>
      <c r="I404" t="s">
        <v>190</v>
      </c>
      <c r="J404">
        <v>3340</v>
      </c>
    </row>
    <row r="405" spans="1:10" x14ac:dyDescent="0.25">
      <c r="A405" t="str">
        <f>I405&amp;B405&amp;C405&amp;D405</f>
        <v>GY 17 SWIM 12017412</v>
      </c>
      <c r="B405">
        <v>2017</v>
      </c>
      <c r="C405">
        <v>4</v>
      </c>
      <c r="D405">
        <v>12</v>
      </c>
      <c r="E405" t="s">
        <v>99</v>
      </c>
      <c r="F405" t="s">
        <v>84</v>
      </c>
      <c r="G405" t="s">
        <v>29</v>
      </c>
      <c r="H405" t="s">
        <v>5</v>
      </c>
      <c r="I405" t="s">
        <v>184</v>
      </c>
      <c r="J405">
        <v>427</v>
      </c>
    </row>
    <row r="406" spans="1:10" x14ac:dyDescent="0.25">
      <c r="A406" t="str">
        <f>I406&amp;B406&amp;C406&amp;D406</f>
        <v>GY 17 SWIM 22017412</v>
      </c>
      <c r="B406">
        <v>2017</v>
      </c>
      <c r="C406">
        <v>4</v>
      </c>
      <c r="D406">
        <v>12</v>
      </c>
      <c r="E406" t="s">
        <v>99</v>
      </c>
      <c r="F406" t="s">
        <v>84</v>
      </c>
      <c r="G406" t="s">
        <v>29</v>
      </c>
      <c r="H406" t="s">
        <v>5</v>
      </c>
      <c r="I406" t="s">
        <v>192</v>
      </c>
      <c r="J406">
        <v>1249</v>
      </c>
    </row>
    <row r="407" spans="1:10" x14ac:dyDescent="0.25">
      <c r="A407" t="str">
        <f>I407&amp;B407&amp;C407&amp;D407</f>
        <v>GY 18 DRESSY2017412</v>
      </c>
      <c r="B407">
        <v>2017</v>
      </c>
      <c r="C407">
        <v>4</v>
      </c>
      <c r="D407">
        <v>12</v>
      </c>
      <c r="E407" t="s">
        <v>99</v>
      </c>
      <c r="F407" t="s">
        <v>84</v>
      </c>
      <c r="G407" t="s">
        <v>29</v>
      </c>
      <c r="H407" t="s">
        <v>5</v>
      </c>
      <c r="I407" t="s">
        <v>185</v>
      </c>
      <c r="J407">
        <v>687529</v>
      </c>
    </row>
    <row r="408" spans="1:10" x14ac:dyDescent="0.25">
      <c r="A408" t="str">
        <f>I408&amp;B408&amp;C408&amp;D408</f>
        <v>GY 18 SPR2017412</v>
      </c>
      <c r="B408">
        <v>2017</v>
      </c>
      <c r="C408">
        <v>4</v>
      </c>
      <c r="D408">
        <v>12</v>
      </c>
      <c r="E408" t="s">
        <v>99</v>
      </c>
      <c r="F408" t="s">
        <v>84</v>
      </c>
      <c r="G408" t="s">
        <v>29</v>
      </c>
      <c r="H408" t="s">
        <v>5</v>
      </c>
      <c r="I408" t="s">
        <v>177</v>
      </c>
      <c r="J408">
        <v>684363</v>
      </c>
    </row>
    <row r="409" spans="1:10" x14ac:dyDescent="0.25">
      <c r="A409" t="str">
        <f>I409&amp;B409&amp;C409&amp;D409</f>
        <v>GY 18 SPR 12017412</v>
      </c>
      <c r="B409">
        <v>2017</v>
      </c>
      <c r="C409">
        <v>4</v>
      </c>
      <c r="D409">
        <v>12</v>
      </c>
      <c r="E409" t="s">
        <v>99</v>
      </c>
      <c r="F409" t="s">
        <v>84</v>
      </c>
      <c r="G409" t="s">
        <v>29</v>
      </c>
      <c r="H409" t="s">
        <v>5</v>
      </c>
      <c r="I409" t="s">
        <v>179</v>
      </c>
      <c r="J409">
        <v>588939</v>
      </c>
    </row>
    <row r="410" spans="1:10" x14ac:dyDescent="0.25">
      <c r="A410" t="str">
        <f>I410&amp;B410&amp;C410&amp;D410</f>
        <v>GY 18 SPR 22017412</v>
      </c>
      <c r="B410">
        <v>2017</v>
      </c>
      <c r="C410">
        <v>4</v>
      </c>
      <c r="D410">
        <v>12</v>
      </c>
      <c r="E410" t="s">
        <v>99</v>
      </c>
      <c r="F410" t="s">
        <v>84</v>
      </c>
      <c r="G410" t="s">
        <v>29</v>
      </c>
      <c r="H410" t="s">
        <v>5</v>
      </c>
      <c r="I410" t="s">
        <v>181</v>
      </c>
      <c r="J410">
        <v>549570</v>
      </c>
    </row>
    <row r="411" spans="1:10" x14ac:dyDescent="0.25">
      <c r="A411" t="str">
        <f>I411&amp;B411&amp;C411&amp;D411</f>
        <v>GY 18 SPR VACA2017412</v>
      </c>
      <c r="B411">
        <v>2017</v>
      </c>
      <c r="C411">
        <v>4</v>
      </c>
      <c r="D411">
        <v>12</v>
      </c>
      <c r="E411" t="s">
        <v>99</v>
      </c>
      <c r="F411" t="s">
        <v>84</v>
      </c>
      <c r="G411" t="s">
        <v>29</v>
      </c>
      <c r="H411" t="s">
        <v>5</v>
      </c>
      <c r="I411" t="s">
        <v>187</v>
      </c>
      <c r="J411">
        <v>1</v>
      </c>
    </row>
    <row r="412" spans="1:10" x14ac:dyDescent="0.25">
      <c r="A412" t="str">
        <f>I412&amp;B412&amp;C412&amp;D412</f>
        <v>GY 18 SUM 12017412</v>
      </c>
      <c r="B412">
        <v>2017</v>
      </c>
      <c r="C412">
        <v>4</v>
      </c>
      <c r="D412">
        <v>12</v>
      </c>
      <c r="E412" t="s">
        <v>99</v>
      </c>
      <c r="F412" t="s">
        <v>84</v>
      </c>
      <c r="G412" t="s">
        <v>29</v>
      </c>
      <c r="H412" t="s">
        <v>5</v>
      </c>
      <c r="I412" t="s">
        <v>189</v>
      </c>
      <c r="J412">
        <v>1</v>
      </c>
    </row>
    <row r="413" spans="1:10" x14ac:dyDescent="0.25">
      <c r="A413" t="str">
        <f>I413&amp;B413&amp;C413&amp;D413</f>
        <v>GY 18 SWIM 12017412</v>
      </c>
      <c r="B413">
        <v>2017</v>
      </c>
      <c r="C413">
        <v>4</v>
      </c>
      <c r="D413">
        <v>12</v>
      </c>
      <c r="E413" t="s">
        <v>99</v>
      </c>
      <c r="F413" t="s">
        <v>84</v>
      </c>
      <c r="G413" t="s">
        <v>29</v>
      </c>
      <c r="H413" t="s">
        <v>5</v>
      </c>
      <c r="I413" t="s">
        <v>183</v>
      </c>
      <c r="J413">
        <v>61714</v>
      </c>
    </row>
    <row r="414" spans="1:10" x14ac:dyDescent="0.25">
      <c r="A414" t="str">
        <f>I414&amp;B414&amp;C414&amp;D414</f>
        <v>GY 18 SWIM 22017412</v>
      </c>
      <c r="B414">
        <v>2017</v>
      </c>
      <c r="C414">
        <v>4</v>
      </c>
      <c r="D414">
        <v>12</v>
      </c>
      <c r="E414" t="s">
        <v>99</v>
      </c>
      <c r="F414" t="s">
        <v>84</v>
      </c>
      <c r="G414" t="s">
        <v>29</v>
      </c>
      <c r="H414" t="s">
        <v>5</v>
      </c>
      <c r="I414" t="s">
        <v>191</v>
      </c>
      <c r="J414">
        <v>76089</v>
      </c>
    </row>
    <row r="415" spans="1:10" x14ac:dyDescent="0.25">
      <c r="A415" t="str">
        <f>I415&amp;B415&amp;C415&amp;D415</f>
        <v>GY 17 CAP2017412</v>
      </c>
      <c r="B415">
        <v>2017</v>
      </c>
      <c r="C415">
        <v>4</v>
      </c>
      <c r="D415">
        <v>12</v>
      </c>
      <c r="E415" t="s">
        <v>99</v>
      </c>
      <c r="F415" t="s">
        <v>84</v>
      </c>
      <c r="G415" t="s">
        <v>29</v>
      </c>
      <c r="H415" t="s">
        <v>6</v>
      </c>
      <c r="I415" t="s">
        <v>404</v>
      </c>
      <c r="J415">
        <v>2180</v>
      </c>
    </row>
    <row r="416" spans="1:10" x14ac:dyDescent="0.25">
      <c r="A416" t="str">
        <f>I416&amp;B416&amp;C416&amp;D416</f>
        <v>GY 17 SM22017412</v>
      </c>
      <c r="B416">
        <v>2017</v>
      </c>
      <c r="C416">
        <v>4</v>
      </c>
      <c r="D416">
        <v>12</v>
      </c>
      <c r="E416" t="s">
        <v>99</v>
      </c>
      <c r="F416" t="s">
        <v>84</v>
      </c>
      <c r="G416" t="s">
        <v>29</v>
      </c>
      <c r="H416" t="s">
        <v>6</v>
      </c>
      <c r="I416" t="s">
        <v>194</v>
      </c>
      <c r="J416">
        <v>5103</v>
      </c>
    </row>
    <row r="417" spans="1:10" x14ac:dyDescent="0.25">
      <c r="A417" t="str">
        <f>I417&amp;B417&amp;C417&amp;D417</f>
        <v>GY 17 SM32017412</v>
      </c>
      <c r="B417">
        <v>2017</v>
      </c>
      <c r="C417">
        <v>4</v>
      </c>
      <c r="D417">
        <v>12</v>
      </c>
      <c r="E417" t="s">
        <v>99</v>
      </c>
      <c r="F417" t="s">
        <v>84</v>
      </c>
      <c r="G417" t="s">
        <v>29</v>
      </c>
      <c r="H417" t="s">
        <v>6</v>
      </c>
      <c r="I417" t="s">
        <v>196</v>
      </c>
      <c r="J417">
        <v>6087</v>
      </c>
    </row>
    <row r="418" spans="1:10" x14ac:dyDescent="0.25">
      <c r="A418" t="str">
        <f>I418&amp;B418&amp;C418&amp;D418</f>
        <v>GY 17 SM42017412</v>
      </c>
      <c r="B418">
        <v>2017</v>
      </c>
      <c r="C418">
        <v>4</v>
      </c>
      <c r="D418">
        <v>12</v>
      </c>
      <c r="E418" t="s">
        <v>99</v>
      </c>
      <c r="F418" t="s">
        <v>84</v>
      </c>
      <c r="G418" t="s">
        <v>29</v>
      </c>
      <c r="H418" t="s">
        <v>6</v>
      </c>
      <c r="I418" t="s">
        <v>200</v>
      </c>
      <c r="J418">
        <v>6455</v>
      </c>
    </row>
    <row r="419" spans="1:10" x14ac:dyDescent="0.25">
      <c r="A419" t="str">
        <f>I419&amp;B419&amp;C419&amp;D419</f>
        <v>GY 17 SMR2017412</v>
      </c>
      <c r="B419">
        <v>2017</v>
      </c>
      <c r="C419">
        <v>4</v>
      </c>
      <c r="D419">
        <v>12</v>
      </c>
      <c r="E419" t="s">
        <v>99</v>
      </c>
      <c r="F419" t="s">
        <v>84</v>
      </c>
      <c r="G419" t="s">
        <v>29</v>
      </c>
      <c r="H419" t="s">
        <v>6</v>
      </c>
      <c r="I419" t="s">
        <v>204</v>
      </c>
      <c r="J419">
        <v>17481</v>
      </c>
    </row>
    <row r="420" spans="1:10" x14ac:dyDescent="0.25">
      <c r="A420" t="str">
        <f>I420&amp;B420&amp;C420&amp;D420</f>
        <v>GY 17 SWIM 32017412</v>
      </c>
      <c r="B420">
        <v>2017</v>
      </c>
      <c r="C420">
        <v>4</v>
      </c>
      <c r="D420">
        <v>12</v>
      </c>
      <c r="E420" t="s">
        <v>99</v>
      </c>
      <c r="F420" t="s">
        <v>84</v>
      </c>
      <c r="G420" t="s">
        <v>29</v>
      </c>
      <c r="H420" t="s">
        <v>6</v>
      </c>
      <c r="I420" t="s">
        <v>198</v>
      </c>
      <c r="J420">
        <v>982</v>
      </c>
    </row>
    <row r="421" spans="1:10" x14ac:dyDescent="0.25">
      <c r="A421" t="str">
        <f>I421&amp;B421&amp;C421&amp;D421</f>
        <v>GY 17 TRANS2017412</v>
      </c>
      <c r="B421">
        <v>2017</v>
      </c>
      <c r="C421">
        <v>4</v>
      </c>
      <c r="D421">
        <v>12</v>
      </c>
      <c r="E421" t="s">
        <v>99</v>
      </c>
      <c r="F421" t="s">
        <v>84</v>
      </c>
      <c r="G421" t="s">
        <v>29</v>
      </c>
      <c r="H421" t="s">
        <v>6</v>
      </c>
      <c r="I421" t="s">
        <v>202</v>
      </c>
      <c r="J421">
        <v>21867</v>
      </c>
    </row>
    <row r="422" spans="1:10" x14ac:dyDescent="0.25">
      <c r="A422" t="str">
        <f>I422&amp;B422&amp;C422&amp;D422</f>
        <v>GY 18 SM52017412</v>
      </c>
      <c r="B422">
        <v>2017</v>
      </c>
      <c r="C422">
        <v>4</v>
      </c>
      <c r="D422">
        <v>12</v>
      </c>
      <c r="E422" t="s">
        <v>99</v>
      </c>
      <c r="F422" t="s">
        <v>84</v>
      </c>
      <c r="G422" t="s">
        <v>29</v>
      </c>
      <c r="H422" t="s">
        <v>6</v>
      </c>
      <c r="I422" t="s">
        <v>201</v>
      </c>
      <c r="J422">
        <v>1</v>
      </c>
    </row>
    <row r="423" spans="1:10" x14ac:dyDescent="0.25">
      <c r="A423" t="str">
        <f>I423&amp;B423&amp;C423&amp;D423</f>
        <v>GY 18 SMR2017412</v>
      </c>
      <c r="B423">
        <v>2017</v>
      </c>
      <c r="C423">
        <v>4</v>
      </c>
      <c r="D423">
        <v>12</v>
      </c>
      <c r="E423" t="s">
        <v>99</v>
      </c>
      <c r="F423" t="s">
        <v>84</v>
      </c>
      <c r="G423" t="s">
        <v>29</v>
      </c>
      <c r="H423" t="s">
        <v>6</v>
      </c>
      <c r="I423" t="s">
        <v>203</v>
      </c>
      <c r="J423">
        <v>1</v>
      </c>
    </row>
    <row r="424" spans="1:10" x14ac:dyDescent="0.25">
      <c r="A424" t="str">
        <f>I424&amp;B424&amp;C424&amp;D424</f>
        <v>GY 17 HOL2017412</v>
      </c>
      <c r="B424">
        <v>2017</v>
      </c>
      <c r="C424">
        <v>4</v>
      </c>
      <c r="D424">
        <v>12</v>
      </c>
      <c r="E424" t="s">
        <v>99</v>
      </c>
      <c r="F424" t="s">
        <v>84</v>
      </c>
      <c r="G424" t="s">
        <v>29</v>
      </c>
      <c r="H424" t="s">
        <v>8</v>
      </c>
      <c r="I424" t="s">
        <v>406</v>
      </c>
      <c r="J424">
        <v>183727</v>
      </c>
    </row>
    <row r="425" spans="1:10" x14ac:dyDescent="0.25">
      <c r="A425" t="str">
        <f>I425&amp;B425&amp;C425&amp;D425</f>
        <v>GY 17 JAN CAP2017412</v>
      </c>
      <c r="B425">
        <v>2017</v>
      </c>
      <c r="C425">
        <v>4</v>
      </c>
      <c r="D425">
        <v>12</v>
      </c>
      <c r="E425" t="s">
        <v>99</v>
      </c>
      <c r="F425" t="s">
        <v>84</v>
      </c>
      <c r="G425" t="s">
        <v>29</v>
      </c>
      <c r="H425" t="s">
        <v>8</v>
      </c>
      <c r="I425" t="s">
        <v>407</v>
      </c>
      <c r="J425">
        <v>2716</v>
      </c>
    </row>
    <row r="426" spans="1:10" x14ac:dyDescent="0.25">
      <c r="A426" t="str">
        <f>I426&amp;B426&amp;C426&amp;D426</f>
        <v>GY 17 SPR TRANS2017412</v>
      </c>
      <c r="B426">
        <v>2017</v>
      </c>
      <c r="C426">
        <v>4</v>
      </c>
      <c r="D426">
        <v>12</v>
      </c>
      <c r="E426" t="s">
        <v>99</v>
      </c>
      <c r="F426" t="s">
        <v>84</v>
      </c>
      <c r="G426" t="s">
        <v>29</v>
      </c>
      <c r="H426" t="s">
        <v>8</v>
      </c>
      <c r="I426" t="s">
        <v>403</v>
      </c>
      <c r="J426">
        <v>249645</v>
      </c>
    </row>
    <row r="427" spans="1:10" x14ac:dyDescent="0.25">
      <c r="A427" t="str">
        <f>I427&amp;B427&amp;C427&amp;D427</f>
        <v>GY 17 WINTER 12017412</v>
      </c>
      <c r="B427">
        <v>2017</v>
      </c>
      <c r="C427">
        <v>4</v>
      </c>
      <c r="D427">
        <v>12</v>
      </c>
      <c r="E427" t="s">
        <v>99</v>
      </c>
      <c r="F427" t="s">
        <v>84</v>
      </c>
      <c r="G427" t="s">
        <v>29</v>
      </c>
      <c r="H427" t="s">
        <v>8</v>
      </c>
      <c r="I427" t="s">
        <v>408</v>
      </c>
      <c r="J427">
        <v>128953</v>
      </c>
    </row>
    <row r="428" spans="1:10" x14ac:dyDescent="0.25">
      <c r="A428" t="str">
        <f>I428&amp;B428&amp;C428&amp;D428</f>
        <v>GY 17 WINTER 22017412</v>
      </c>
      <c r="B428">
        <v>2017</v>
      </c>
      <c r="C428">
        <v>4</v>
      </c>
      <c r="D428">
        <v>12</v>
      </c>
      <c r="E428" t="s">
        <v>99</v>
      </c>
      <c r="F428" t="s">
        <v>84</v>
      </c>
      <c r="G428" t="s">
        <v>29</v>
      </c>
      <c r="H428" t="s">
        <v>8</v>
      </c>
      <c r="I428" t="s">
        <v>409</v>
      </c>
      <c r="J428">
        <v>209560</v>
      </c>
    </row>
    <row r="429" spans="1:10" x14ac:dyDescent="0.25">
      <c r="A429" t="str">
        <f>I429&amp;B429&amp;C429&amp;D429</f>
        <v>GY 17 WINTER 32017412</v>
      </c>
      <c r="B429">
        <v>2017</v>
      </c>
      <c r="C429">
        <v>4</v>
      </c>
      <c r="D429">
        <v>12</v>
      </c>
      <c r="E429" t="s">
        <v>99</v>
      </c>
      <c r="F429" t="s">
        <v>84</v>
      </c>
      <c r="G429" t="s">
        <v>29</v>
      </c>
      <c r="H429" t="s">
        <v>8</v>
      </c>
      <c r="I429" t="s">
        <v>410</v>
      </c>
      <c r="J429">
        <v>180945</v>
      </c>
    </row>
    <row r="430" spans="1:10" x14ac:dyDescent="0.25">
      <c r="A430" t="str">
        <f>I430&amp;B430&amp;C430&amp;D430</f>
        <v>GY 18 VDAY2017412</v>
      </c>
      <c r="B430">
        <v>2017</v>
      </c>
      <c r="C430">
        <v>4</v>
      </c>
      <c r="D430">
        <v>12</v>
      </c>
      <c r="E430" t="s">
        <v>99</v>
      </c>
      <c r="F430" t="s">
        <v>84</v>
      </c>
      <c r="G430" t="s">
        <v>29</v>
      </c>
      <c r="H430" t="s">
        <v>8</v>
      </c>
      <c r="I430" t="s">
        <v>396</v>
      </c>
      <c r="J430">
        <v>114646</v>
      </c>
    </row>
    <row r="431" spans="1:10" x14ac:dyDescent="0.25">
      <c r="A431" t="str">
        <f>I431&amp;B431&amp;C431&amp;D431</f>
        <v>Winter 172017412</v>
      </c>
      <c r="B431">
        <v>2017</v>
      </c>
      <c r="C431">
        <v>4</v>
      </c>
      <c r="D431">
        <v>12</v>
      </c>
      <c r="E431" t="s">
        <v>99</v>
      </c>
      <c r="F431" t="s">
        <v>84</v>
      </c>
      <c r="G431" t="s">
        <v>29</v>
      </c>
      <c r="H431" t="s">
        <v>435</v>
      </c>
      <c r="I431" t="s">
        <v>435</v>
      </c>
      <c r="J431">
        <v>1070192</v>
      </c>
    </row>
    <row r="432" spans="1:10" x14ac:dyDescent="0.25">
      <c r="A432" t="str">
        <f>I432&amp;B432&amp;C432&amp;D432</f>
        <v>GY 18 SPRING BASICS201811</v>
      </c>
      <c r="B432">
        <v>2018</v>
      </c>
      <c r="C432">
        <v>1</v>
      </c>
      <c r="D432">
        <v>1</v>
      </c>
      <c r="E432" t="s">
        <v>99</v>
      </c>
      <c r="F432" t="s">
        <v>84</v>
      </c>
      <c r="G432" t="s">
        <v>29</v>
      </c>
      <c r="H432" t="s">
        <v>10</v>
      </c>
      <c r="I432" t="s">
        <v>173</v>
      </c>
      <c r="J432">
        <v>911992</v>
      </c>
    </row>
    <row r="433" spans="1:10" x14ac:dyDescent="0.25">
      <c r="A433" t="str">
        <f>I433&amp;B433&amp;C433&amp;D433</f>
        <v>GY YRLY BASICS201811</v>
      </c>
      <c r="B433">
        <v>2018</v>
      </c>
      <c r="C433">
        <v>1</v>
      </c>
      <c r="D433">
        <v>1</v>
      </c>
      <c r="E433" t="s">
        <v>99</v>
      </c>
      <c r="F433" t="s">
        <v>84</v>
      </c>
      <c r="G433" t="s">
        <v>29</v>
      </c>
      <c r="H433" t="s">
        <v>10</v>
      </c>
      <c r="I433" t="s">
        <v>349</v>
      </c>
      <c r="J433">
        <v>834784</v>
      </c>
    </row>
    <row r="434" spans="1:10" x14ac:dyDescent="0.25">
      <c r="A434" t="str">
        <f>I434&amp;B434&amp;C434&amp;D434</f>
        <v>GY YRLY DENIM201811</v>
      </c>
      <c r="B434">
        <v>2018</v>
      </c>
      <c r="C434">
        <v>1</v>
      </c>
      <c r="D434">
        <v>1</v>
      </c>
      <c r="E434" t="s">
        <v>99</v>
      </c>
      <c r="F434" t="s">
        <v>84</v>
      </c>
      <c r="G434" t="s">
        <v>29</v>
      </c>
      <c r="H434" t="s">
        <v>10</v>
      </c>
      <c r="I434" t="s">
        <v>350</v>
      </c>
      <c r="J434">
        <v>115435</v>
      </c>
    </row>
    <row r="435" spans="1:10" x14ac:dyDescent="0.25">
      <c r="A435" t="str">
        <f>I435&amp;B435&amp;C435&amp;D435</f>
        <v>GY YRLY UNIFORM201811</v>
      </c>
      <c r="B435">
        <v>2018</v>
      </c>
      <c r="C435">
        <v>1</v>
      </c>
      <c r="D435">
        <v>1</v>
      </c>
      <c r="E435" t="s">
        <v>99</v>
      </c>
      <c r="F435" t="s">
        <v>84</v>
      </c>
      <c r="G435" t="s">
        <v>29</v>
      </c>
      <c r="H435" t="s">
        <v>10</v>
      </c>
      <c r="I435" t="s">
        <v>351</v>
      </c>
      <c r="J435">
        <v>38342</v>
      </c>
    </row>
    <row r="436" spans="1:10" x14ac:dyDescent="0.25">
      <c r="A436" t="str">
        <f>I436&amp;B436&amp;C436&amp;D436</f>
        <v>GY 18 FALL 1201811</v>
      </c>
      <c r="B436">
        <v>2018</v>
      </c>
      <c r="C436">
        <v>1</v>
      </c>
      <c r="D436">
        <v>1</v>
      </c>
      <c r="E436" t="s">
        <v>99</v>
      </c>
      <c r="F436" t="s">
        <v>84</v>
      </c>
      <c r="G436" t="s">
        <v>29</v>
      </c>
      <c r="H436" t="s">
        <v>54</v>
      </c>
      <c r="I436" t="s">
        <v>429</v>
      </c>
      <c r="J436">
        <v>-2</v>
      </c>
    </row>
    <row r="437" spans="1:10" x14ac:dyDescent="0.25">
      <c r="A437" t="str">
        <f>I437&amp;B437&amp;C437&amp;D437</f>
        <v>Old201811</v>
      </c>
      <c r="B437">
        <v>2018</v>
      </c>
      <c r="C437">
        <v>1</v>
      </c>
      <c r="D437">
        <v>1</v>
      </c>
      <c r="E437" t="s">
        <v>99</v>
      </c>
      <c r="F437" t="s">
        <v>84</v>
      </c>
      <c r="G437" t="s">
        <v>29</v>
      </c>
      <c r="H437" t="s">
        <v>434</v>
      </c>
      <c r="I437" t="s">
        <v>434</v>
      </c>
      <c r="J437">
        <v>1365085</v>
      </c>
    </row>
    <row r="438" spans="1:10" x14ac:dyDescent="0.25">
      <c r="A438" t="str">
        <f>I438&amp;B438&amp;C438&amp;D438</f>
        <v>GY WEBSTORE SKU201811</v>
      </c>
      <c r="B438">
        <v>2018</v>
      </c>
      <c r="C438">
        <v>1</v>
      </c>
      <c r="D438">
        <v>1</v>
      </c>
      <c r="E438" t="s">
        <v>99</v>
      </c>
      <c r="F438" t="s">
        <v>84</v>
      </c>
      <c r="G438" t="s">
        <v>29</v>
      </c>
      <c r="H438" t="s">
        <v>462</v>
      </c>
      <c r="I438" t="s">
        <v>352</v>
      </c>
      <c r="J438">
        <v>5</v>
      </c>
    </row>
    <row r="439" spans="1:10" x14ac:dyDescent="0.25">
      <c r="A439" t="str">
        <f>I439&amp;B439&amp;C439&amp;D439</f>
        <v>GY 18 DRESSY201811</v>
      </c>
      <c r="B439">
        <v>2018</v>
      </c>
      <c r="C439">
        <v>1</v>
      </c>
      <c r="D439">
        <v>1</v>
      </c>
      <c r="E439" t="s">
        <v>99</v>
      </c>
      <c r="F439" t="s">
        <v>84</v>
      </c>
      <c r="G439" t="s">
        <v>29</v>
      </c>
      <c r="H439" t="s">
        <v>5</v>
      </c>
      <c r="I439" t="s">
        <v>185</v>
      </c>
      <c r="J439">
        <v>481289</v>
      </c>
    </row>
    <row r="440" spans="1:10" x14ac:dyDescent="0.25">
      <c r="A440" t="str">
        <f>I440&amp;B440&amp;C440&amp;D440</f>
        <v>GY 18 SPR201811</v>
      </c>
      <c r="B440">
        <v>2018</v>
      </c>
      <c r="C440">
        <v>1</v>
      </c>
      <c r="D440">
        <v>1</v>
      </c>
      <c r="E440" t="s">
        <v>99</v>
      </c>
      <c r="F440" t="s">
        <v>84</v>
      </c>
      <c r="G440" t="s">
        <v>29</v>
      </c>
      <c r="H440" t="s">
        <v>5</v>
      </c>
      <c r="I440" t="s">
        <v>177</v>
      </c>
      <c r="J440">
        <v>676306</v>
      </c>
    </row>
    <row r="441" spans="1:10" x14ac:dyDescent="0.25">
      <c r="A441" t="str">
        <f>I441&amp;B441&amp;C441&amp;D441</f>
        <v>GY 18 SPR 1201811</v>
      </c>
      <c r="B441">
        <v>2018</v>
      </c>
      <c r="C441">
        <v>1</v>
      </c>
      <c r="D441">
        <v>1</v>
      </c>
      <c r="E441" t="s">
        <v>99</v>
      </c>
      <c r="F441" t="s">
        <v>84</v>
      </c>
      <c r="G441" t="s">
        <v>29</v>
      </c>
      <c r="H441" t="s">
        <v>5</v>
      </c>
      <c r="I441" t="s">
        <v>179</v>
      </c>
      <c r="J441">
        <v>402379</v>
      </c>
    </row>
    <row r="442" spans="1:10" x14ac:dyDescent="0.25">
      <c r="A442" t="str">
        <f>I442&amp;B442&amp;C442&amp;D442</f>
        <v>GY 18 SPR 2201811</v>
      </c>
      <c r="B442">
        <v>2018</v>
      </c>
      <c r="C442">
        <v>1</v>
      </c>
      <c r="D442">
        <v>1</v>
      </c>
      <c r="E442" t="s">
        <v>99</v>
      </c>
      <c r="F442" t="s">
        <v>84</v>
      </c>
      <c r="G442" t="s">
        <v>29</v>
      </c>
      <c r="H442" t="s">
        <v>5</v>
      </c>
      <c r="I442" t="s">
        <v>181</v>
      </c>
      <c r="J442">
        <v>359904</v>
      </c>
    </row>
    <row r="443" spans="1:10" x14ac:dyDescent="0.25">
      <c r="A443" t="str">
        <f>I443&amp;B443&amp;C443&amp;D443</f>
        <v>GY 18 SPR VACA201811</v>
      </c>
      <c r="B443">
        <v>2018</v>
      </c>
      <c r="C443">
        <v>1</v>
      </c>
      <c r="D443">
        <v>1</v>
      </c>
      <c r="E443" t="s">
        <v>99</v>
      </c>
      <c r="F443" t="s">
        <v>84</v>
      </c>
      <c r="G443" t="s">
        <v>29</v>
      </c>
      <c r="H443" t="s">
        <v>5</v>
      </c>
      <c r="I443" t="s">
        <v>187</v>
      </c>
      <c r="J443">
        <v>945473</v>
      </c>
    </row>
    <row r="444" spans="1:10" x14ac:dyDescent="0.25">
      <c r="A444" t="str">
        <f>I444&amp;B444&amp;C444&amp;D444</f>
        <v>GY 18 SUM 1201811</v>
      </c>
      <c r="B444">
        <v>2018</v>
      </c>
      <c r="C444">
        <v>1</v>
      </c>
      <c r="D444">
        <v>1</v>
      </c>
      <c r="E444" t="s">
        <v>99</v>
      </c>
      <c r="F444" t="s">
        <v>84</v>
      </c>
      <c r="G444" t="s">
        <v>29</v>
      </c>
      <c r="H444" t="s">
        <v>5</v>
      </c>
      <c r="I444" t="s">
        <v>189</v>
      </c>
      <c r="J444">
        <v>596453</v>
      </c>
    </row>
    <row r="445" spans="1:10" x14ac:dyDescent="0.25">
      <c r="A445" t="str">
        <f>I445&amp;B445&amp;C445&amp;D445</f>
        <v>GY 18 SWIM 1201811</v>
      </c>
      <c r="B445">
        <v>2018</v>
      </c>
      <c r="C445">
        <v>1</v>
      </c>
      <c r="D445">
        <v>1</v>
      </c>
      <c r="E445" t="s">
        <v>99</v>
      </c>
      <c r="F445" t="s">
        <v>84</v>
      </c>
      <c r="G445" t="s">
        <v>29</v>
      </c>
      <c r="H445" t="s">
        <v>5</v>
      </c>
      <c r="I445" t="s">
        <v>183</v>
      </c>
      <c r="J445">
        <v>44892</v>
      </c>
    </row>
    <row r="446" spans="1:10" x14ac:dyDescent="0.25">
      <c r="A446" t="str">
        <f>I446&amp;B446&amp;C446&amp;D446</f>
        <v>GY 18 SWIM 2201811</v>
      </c>
      <c r="B446">
        <v>2018</v>
      </c>
      <c r="C446">
        <v>1</v>
      </c>
      <c r="D446">
        <v>1</v>
      </c>
      <c r="E446" t="s">
        <v>99</v>
      </c>
      <c r="F446" t="s">
        <v>84</v>
      </c>
      <c r="G446" t="s">
        <v>29</v>
      </c>
      <c r="H446" t="s">
        <v>5</v>
      </c>
      <c r="I446" t="s">
        <v>191</v>
      </c>
      <c r="J446">
        <v>226931</v>
      </c>
    </row>
    <row r="447" spans="1:10" x14ac:dyDescent="0.25">
      <c r="A447" t="str">
        <f>I447&amp;B447&amp;C447&amp;D447</f>
        <v>GY 18 SM2201811</v>
      </c>
      <c r="B447">
        <v>2018</v>
      </c>
      <c r="C447">
        <v>1</v>
      </c>
      <c r="D447">
        <v>1</v>
      </c>
      <c r="E447" t="s">
        <v>99</v>
      </c>
      <c r="F447" t="s">
        <v>84</v>
      </c>
      <c r="G447" t="s">
        <v>29</v>
      </c>
      <c r="H447" t="s">
        <v>6</v>
      </c>
      <c r="I447" t="s">
        <v>193</v>
      </c>
      <c r="J447">
        <v>114474</v>
      </c>
    </row>
    <row r="448" spans="1:10" x14ac:dyDescent="0.25">
      <c r="A448" t="str">
        <f>I448&amp;B448&amp;C448&amp;D448</f>
        <v>GY 18 SM3201811</v>
      </c>
      <c r="B448">
        <v>2018</v>
      </c>
      <c r="C448">
        <v>1</v>
      </c>
      <c r="D448">
        <v>1</v>
      </c>
      <c r="E448" t="s">
        <v>99</v>
      </c>
      <c r="F448" t="s">
        <v>84</v>
      </c>
      <c r="G448" t="s">
        <v>29</v>
      </c>
      <c r="H448" t="s">
        <v>6</v>
      </c>
      <c r="I448" t="s">
        <v>195</v>
      </c>
      <c r="J448">
        <v>-1</v>
      </c>
    </row>
    <row r="449" spans="1:10" x14ac:dyDescent="0.25">
      <c r="A449" t="str">
        <f>I449&amp;B449&amp;C449&amp;D449</f>
        <v>GY 18 SM5201811</v>
      </c>
      <c r="B449">
        <v>2018</v>
      </c>
      <c r="C449">
        <v>1</v>
      </c>
      <c r="D449">
        <v>1</v>
      </c>
      <c r="E449" t="s">
        <v>99</v>
      </c>
      <c r="F449" t="s">
        <v>84</v>
      </c>
      <c r="G449" t="s">
        <v>29</v>
      </c>
      <c r="H449" t="s">
        <v>6</v>
      </c>
      <c r="I449" t="s">
        <v>201</v>
      </c>
      <c r="J449">
        <v>1</v>
      </c>
    </row>
    <row r="450" spans="1:10" x14ac:dyDescent="0.25">
      <c r="A450" t="str">
        <f>I450&amp;B450&amp;C450&amp;D450</f>
        <v>GY 18 SMR201811</v>
      </c>
      <c r="B450">
        <v>2018</v>
      </c>
      <c r="C450">
        <v>1</v>
      </c>
      <c r="D450">
        <v>1</v>
      </c>
      <c r="E450" t="s">
        <v>99</v>
      </c>
      <c r="F450" t="s">
        <v>84</v>
      </c>
      <c r="G450" t="s">
        <v>29</v>
      </c>
      <c r="H450" t="s">
        <v>6</v>
      </c>
      <c r="I450" t="s">
        <v>203</v>
      </c>
      <c r="J450">
        <v>862280</v>
      </c>
    </row>
    <row r="451" spans="1:10" x14ac:dyDescent="0.25">
      <c r="A451" t="str">
        <f>I451&amp;B451&amp;C451&amp;D451</f>
        <v>GY 18 SWIM 3201811</v>
      </c>
      <c r="B451">
        <v>2018</v>
      </c>
      <c r="C451">
        <v>1</v>
      </c>
      <c r="D451">
        <v>1</v>
      </c>
      <c r="E451" t="s">
        <v>99</v>
      </c>
      <c r="F451" t="s">
        <v>84</v>
      </c>
      <c r="G451" t="s">
        <v>29</v>
      </c>
      <c r="H451" t="s">
        <v>6</v>
      </c>
      <c r="I451" t="s">
        <v>197</v>
      </c>
      <c r="J451">
        <v>18730</v>
      </c>
    </row>
    <row r="452" spans="1:10" x14ac:dyDescent="0.25">
      <c r="A452" t="str">
        <f>I452&amp;B452&amp;C452&amp;D452</f>
        <v>Winter 17201811</v>
      </c>
      <c r="B452">
        <v>2018</v>
      </c>
      <c r="C452">
        <v>1</v>
      </c>
      <c r="D452">
        <v>1</v>
      </c>
      <c r="E452" t="s">
        <v>99</v>
      </c>
      <c r="F452" t="s">
        <v>84</v>
      </c>
      <c r="G452" t="s">
        <v>29</v>
      </c>
      <c r="H452" t="s">
        <v>435</v>
      </c>
      <c r="I452" t="s">
        <v>435</v>
      </c>
      <c r="J452">
        <v>721510</v>
      </c>
    </row>
    <row r="453" spans="1:10" x14ac:dyDescent="0.25">
      <c r="A453" t="str">
        <f>I453&amp;B453&amp;C453&amp;D453</f>
        <v>GY 18 SPRING BASICS201812</v>
      </c>
      <c r="B453">
        <v>2018</v>
      </c>
      <c r="C453">
        <v>1</v>
      </c>
      <c r="D453">
        <v>2</v>
      </c>
      <c r="E453" t="s">
        <v>99</v>
      </c>
      <c r="F453" t="s">
        <v>84</v>
      </c>
      <c r="G453" t="s">
        <v>29</v>
      </c>
      <c r="H453" t="s">
        <v>10</v>
      </c>
      <c r="I453" t="s">
        <v>173</v>
      </c>
      <c r="J453">
        <v>711937</v>
      </c>
    </row>
    <row r="454" spans="1:10" x14ac:dyDescent="0.25">
      <c r="A454" t="str">
        <f>I454&amp;B454&amp;C454&amp;D454</f>
        <v>GY YRLY BASICS201812</v>
      </c>
      <c r="B454">
        <v>2018</v>
      </c>
      <c r="C454">
        <v>1</v>
      </c>
      <c r="D454">
        <v>2</v>
      </c>
      <c r="E454" t="s">
        <v>99</v>
      </c>
      <c r="F454" t="s">
        <v>84</v>
      </c>
      <c r="G454" t="s">
        <v>29</v>
      </c>
      <c r="H454" t="s">
        <v>10</v>
      </c>
      <c r="I454" t="s">
        <v>349</v>
      </c>
      <c r="J454">
        <v>738209</v>
      </c>
    </row>
    <row r="455" spans="1:10" x14ac:dyDescent="0.25">
      <c r="A455" t="str">
        <f>I455&amp;B455&amp;C455&amp;D455</f>
        <v>GY YRLY DENIM201812</v>
      </c>
      <c r="B455">
        <v>2018</v>
      </c>
      <c r="C455">
        <v>1</v>
      </c>
      <c r="D455">
        <v>2</v>
      </c>
      <c r="E455" t="s">
        <v>99</v>
      </c>
      <c r="F455" t="s">
        <v>84</v>
      </c>
      <c r="G455" t="s">
        <v>29</v>
      </c>
      <c r="H455" t="s">
        <v>10</v>
      </c>
      <c r="I455" t="s">
        <v>350</v>
      </c>
      <c r="J455">
        <v>97236</v>
      </c>
    </row>
    <row r="456" spans="1:10" x14ac:dyDescent="0.25">
      <c r="A456" t="str">
        <f>I456&amp;B456&amp;C456&amp;D456</f>
        <v>GY YRLY UNIFORM201812</v>
      </c>
      <c r="B456">
        <v>2018</v>
      </c>
      <c r="C456">
        <v>1</v>
      </c>
      <c r="D456">
        <v>2</v>
      </c>
      <c r="E456" t="s">
        <v>99</v>
      </c>
      <c r="F456" t="s">
        <v>84</v>
      </c>
      <c r="G456" t="s">
        <v>29</v>
      </c>
      <c r="H456" t="s">
        <v>10</v>
      </c>
      <c r="I456" t="s">
        <v>351</v>
      </c>
      <c r="J456">
        <v>37737</v>
      </c>
    </row>
    <row r="457" spans="1:10" x14ac:dyDescent="0.25">
      <c r="A457" t="str">
        <f>I457&amp;B457&amp;C457&amp;D457</f>
        <v>GY 18 FALL 1201812</v>
      </c>
      <c r="B457">
        <v>2018</v>
      </c>
      <c r="C457">
        <v>1</v>
      </c>
      <c r="D457">
        <v>2</v>
      </c>
      <c r="E457" t="s">
        <v>99</v>
      </c>
      <c r="F457" t="s">
        <v>84</v>
      </c>
      <c r="G457" t="s">
        <v>29</v>
      </c>
      <c r="H457" t="s">
        <v>54</v>
      </c>
      <c r="I457" t="s">
        <v>429</v>
      </c>
      <c r="J457">
        <v>-3</v>
      </c>
    </row>
    <row r="458" spans="1:10" x14ac:dyDescent="0.25">
      <c r="A458" t="str">
        <f>I458&amp;B458&amp;C458&amp;D458</f>
        <v>Old201812</v>
      </c>
      <c r="B458">
        <v>2018</v>
      </c>
      <c r="C458">
        <v>1</v>
      </c>
      <c r="D458">
        <v>2</v>
      </c>
      <c r="E458" t="s">
        <v>99</v>
      </c>
      <c r="F458" t="s">
        <v>84</v>
      </c>
      <c r="G458" t="s">
        <v>29</v>
      </c>
      <c r="H458" t="s">
        <v>434</v>
      </c>
      <c r="I458" t="s">
        <v>434</v>
      </c>
      <c r="J458">
        <v>1142991</v>
      </c>
    </row>
    <row r="459" spans="1:10" x14ac:dyDescent="0.25">
      <c r="A459" t="str">
        <f>I459&amp;B459&amp;C459&amp;D459</f>
        <v>GY WEBSTORE SKU201812</v>
      </c>
      <c r="B459">
        <v>2018</v>
      </c>
      <c r="C459">
        <v>1</v>
      </c>
      <c r="D459">
        <v>2</v>
      </c>
      <c r="E459" t="s">
        <v>99</v>
      </c>
      <c r="F459" t="s">
        <v>84</v>
      </c>
      <c r="G459" t="s">
        <v>29</v>
      </c>
      <c r="H459" t="s">
        <v>462</v>
      </c>
      <c r="I459" t="s">
        <v>352</v>
      </c>
      <c r="J459">
        <v>0</v>
      </c>
    </row>
    <row r="460" spans="1:10" x14ac:dyDescent="0.25">
      <c r="A460" t="str">
        <f>I460&amp;B460&amp;C460&amp;D460</f>
        <v>GY 18 DRESSY201812</v>
      </c>
      <c r="B460">
        <v>2018</v>
      </c>
      <c r="C460">
        <v>1</v>
      </c>
      <c r="D460">
        <v>2</v>
      </c>
      <c r="E460" t="s">
        <v>99</v>
      </c>
      <c r="F460" t="s">
        <v>84</v>
      </c>
      <c r="G460" t="s">
        <v>29</v>
      </c>
      <c r="H460" t="s">
        <v>5</v>
      </c>
      <c r="I460" t="s">
        <v>185</v>
      </c>
      <c r="J460">
        <v>240466</v>
      </c>
    </row>
    <row r="461" spans="1:10" x14ac:dyDescent="0.25">
      <c r="A461" t="str">
        <f>I461&amp;B461&amp;C461&amp;D461</f>
        <v>GY 18 SPR201812</v>
      </c>
      <c r="B461">
        <v>2018</v>
      </c>
      <c r="C461">
        <v>1</v>
      </c>
      <c r="D461">
        <v>2</v>
      </c>
      <c r="E461" t="s">
        <v>99</v>
      </c>
      <c r="F461" t="s">
        <v>84</v>
      </c>
      <c r="G461" t="s">
        <v>29</v>
      </c>
      <c r="H461" t="s">
        <v>5</v>
      </c>
      <c r="I461" t="s">
        <v>177</v>
      </c>
      <c r="J461">
        <v>502921</v>
      </c>
    </row>
    <row r="462" spans="1:10" x14ac:dyDescent="0.25">
      <c r="A462" t="str">
        <f>I462&amp;B462&amp;C462&amp;D462</f>
        <v>GY 18 SPR 1201812</v>
      </c>
      <c r="B462">
        <v>2018</v>
      </c>
      <c r="C462">
        <v>1</v>
      </c>
      <c r="D462">
        <v>2</v>
      </c>
      <c r="E462" t="s">
        <v>99</v>
      </c>
      <c r="F462" t="s">
        <v>84</v>
      </c>
      <c r="G462" t="s">
        <v>29</v>
      </c>
      <c r="H462" t="s">
        <v>5</v>
      </c>
      <c r="I462" t="s">
        <v>179</v>
      </c>
      <c r="J462">
        <v>296212</v>
      </c>
    </row>
    <row r="463" spans="1:10" x14ac:dyDescent="0.25">
      <c r="A463" t="str">
        <f>I463&amp;B463&amp;C463&amp;D463</f>
        <v>GY 18 SPR 2201812</v>
      </c>
      <c r="B463">
        <v>2018</v>
      </c>
      <c r="C463">
        <v>1</v>
      </c>
      <c r="D463">
        <v>2</v>
      </c>
      <c r="E463" t="s">
        <v>99</v>
      </c>
      <c r="F463" t="s">
        <v>84</v>
      </c>
      <c r="G463" t="s">
        <v>29</v>
      </c>
      <c r="H463" t="s">
        <v>5</v>
      </c>
      <c r="I463" t="s">
        <v>181</v>
      </c>
      <c r="J463">
        <v>233178</v>
      </c>
    </row>
    <row r="464" spans="1:10" x14ac:dyDescent="0.25">
      <c r="A464" t="str">
        <f>I464&amp;B464&amp;C464&amp;D464</f>
        <v>GY 18 SPR VACA201812</v>
      </c>
      <c r="B464">
        <v>2018</v>
      </c>
      <c r="C464">
        <v>1</v>
      </c>
      <c r="D464">
        <v>2</v>
      </c>
      <c r="E464" t="s">
        <v>99</v>
      </c>
      <c r="F464" t="s">
        <v>84</v>
      </c>
      <c r="G464" t="s">
        <v>29</v>
      </c>
      <c r="H464" t="s">
        <v>5</v>
      </c>
      <c r="I464" t="s">
        <v>187</v>
      </c>
      <c r="J464">
        <v>544982</v>
      </c>
    </row>
    <row r="465" spans="1:10" x14ac:dyDescent="0.25">
      <c r="A465" t="str">
        <f>I465&amp;B465&amp;C465&amp;D465</f>
        <v>GY 18 SUM 1201812</v>
      </c>
      <c r="B465">
        <v>2018</v>
      </c>
      <c r="C465">
        <v>1</v>
      </c>
      <c r="D465">
        <v>2</v>
      </c>
      <c r="E465" t="s">
        <v>99</v>
      </c>
      <c r="F465" t="s">
        <v>84</v>
      </c>
      <c r="G465" t="s">
        <v>29</v>
      </c>
      <c r="H465" t="s">
        <v>5</v>
      </c>
      <c r="I465" t="s">
        <v>189</v>
      </c>
      <c r="J465">
        <v>429784</v>
      </c>
    </row>
    <row r="466" spans="1:10" x14ac:dyDescent="0.25">
      <c r="A466" t="str">
        <f>I466&amp;B466&amp;C466&amp;D466</f>
        <v>GY 18 SWIM 1201812</v>
      </c>
      <c r="B466">
        <v>2018</v>
      </c>
      <c r="C466">
        <v>1</v>
      </c>
      <c r="D466">
        <v>2</v>
      </c>
      <c r="E466" t="s">
        <v>99</v>
      </c>
      <c r="F466" t="s">
        <v>84</v>
      </c>
      <c r="G466" t="s">
        <v>29</v>
      </c>
      <c r="H466" t="s">
        <v>5</v>
      </c>
      <c r="I466" t="s">
        <v>183</v>
      </c>
      <c r="J466">
        <v>31113</v>
      </c>
    </row>
    <row r="467" spans="1:10" x14ac:dyDescent="0.25">
      <c r="A467" t="str">
        <f>I467&amp;B467&amp;C467&amp;D467</f>
        <v>GY 18 SWIM 2201812</v>
      </c>
      <c r="B467">
        <v>2018</v>
      </c>
      <c r="C467">
        <v>1</v>
      </c>
      <c r="D467">
        <v>2</v>
      </c>
      <c r="E467" t="s">
        <v>99</v>
      </c>
      <c r="F467" t="s">
        <v>84</v>
      </c>
      <c r="G467" t="s">
        <v>29</v>
      </c>
      <c r="H467" t="s">
        <v>5</v>
      </c>
      <c r="I467" t="s">
        <v>191</v>
      </c>
      <c r="J467">
        <v>146488</v>
      </c>
    </row>
    <row r="468" spans="1:10" x14ac:dyDescent="0.25">
      <c r="A468" t="str">
        <f>I468&amp;B468&amp;C468&amp;D468</f>
        <v>GY 18 SM2201812</v>
      </c>
      <c r="B468">
        <v>2018</v>
      </c>
      <c r="C468">
        <v>1</v>
      </c>
      <c r="D468">
        <v>2</v>
      </c>
      <c r="E468" t="s">
        <v>99</v>
      </c>
      <c r="F468" t="s">
        <v>84</v>
      </c>
      <c r="G468" t="s">
        <v>29</v>
      </c>
      <c r="H468" t="s">
        <v>6</v>
      </c>
      <c r="I468" t="s">
        <v>193</v>
      </c>
      <c r="J468">
        <v>1069016</v>
      </c>
    </row>
    <row r="469" spans="1:10" x14ac:dyDescent="0.25">
      <c r="A469" t="str">
        <f>I469&amp;B469&amp;C469&amp;D469</f>
        <v>GY 18 SM3201812</v>
      </c>
      <c r="B469">
        <v>2018</v>
      </c>
      <c r="C469">
        <v>1</v>
      </c>
      <c r="D469">
        <v>2</v>
      </c>
      <c r="E469" t="s">
        <v>99</v>
      </c>
      <c r="F469" t="s">
        <v>84</v>
      </c>
      <c r="G469" t="s">
        <v>29</v>
      </c>
      <c r="H469" t="s">
        <v>6</v>
      </c>
      <c r="I469" t="s">
        <v>195</v>
      </c>
      <c r="J469">
        <v>45076</v>
      </c>
    </row>
    <row r="470" spans="1:10" x14ac:dyDescent="0.25">
      <c r="A470" t="str">
        <f>I470&amp;B470&amp;C470&amp;D470</f>
        <v>GY 18 SM4201812</v>
      </c>
      <c r="B470">
        <v>2018</v>
      </c>
      <c r="C470">
        <v>1</v>
      </c>
      <c r="D470">
        <v>2</v>
      </c>
      <c r="E470" t="s">
        <v>99</v>
      </c>
      <c r="F470" t="s">
        <v>84</v>
      </c>
      <c r="G470" t="s">
        <v>29</v>
      </c>
      <c r="H470" t="s">
        <v>6</v>
      </c>
      <c r="I470" t="s">
        <v>199</v>
      </c>
      <c r="J470">
        <v>-1</v>
      </c>
    </row>
    <row r="471" spans="1:10" x14ac:dyDescent="0.25">
      <c r="A471" t="str">
        <f>I471&amp;B471&amp;C471&amp;D471</f>
        <v>GY 18 SM5201812</v>
      </c>
      <c r="B471">
        <v>2018</v>
      </c>
      <c r="C471">
        <v>1</v>
      </c>
      <c r="D471">
        <v>2</v>
      </c>
      <c r="E471" t="s">
        <v>99</v>
      </c>
      <c r="F471" t="s">
        <v>84</v>
      </c>
      <c r="G471" t="s">
        <v>29</v>
      </c>
      <c r="H471" t="s">
        <v>6</v>
      </c>
      <c r="I471" t="s">
        <v>201</v>
      </c>
      <c r="J471">
        <v>0</v>
      </c>
    </row>
    <row r="472" spans="1:10" x14ac:dyDescent="0.25">
      <c r="A472" t="str">
        <f>I472&amp;B472&amp;C472&amp;D472</f>
        <v>GY 18 SMR201812</v>
      </c>
      <c r="B472">
        <v>2018</v>
      </c>
      <c r="C472">
        <v>1</v>
      </c>
      <c r="D472">
        <v>2</v>
      </c>
      <c r="E472" t="s">
        <v>99</v>
      </c>
      <c r="F472" t="s">
        <v>84</v>
      </c>
      <c r="G472" t="s">
        <v>29</v>
      </c>
      <c r="H472" t="s">
        <v>6</v>
      </c>
      <c r="I472" t="s">
        <v>203</v>
      </c>
      <c r="J472">
        <v>1673109</v>
      </c>
    </row>
    <row r="473" spans="1:10" x14ac:dyDescent="0.25">
      <c r="A473" t="str">
        <f>I473&amp;B473&amp;C473&amp;D473</f>
        <v>GY 18 SWIM 3201812</v>
      </c>
      <c r="B473">
        <v>2018</v>
      </c>
      <c r="C473">
        <v>1</v>
      </c>
      <c r="D473">
        <v>2</v>
      </c>
      <c r="E473" t="s">
        <v>99</v>
      </c>
      <c r="F473" t="s">
        <v>84</v>
      </c>
      <c r="G473" t="s">
        <v>29</v>
      </c>
      <c r="H473" t="s">
        <v>6</v>
      </c>
      <c r="I473" t="s">
        <v>197</v>
      </c>
      <c r="J473">
        <v>200628</v>
      </c>
    </row>
    <row r="474" spans="1:10" x14ac:dyDescent="0.25">
      <c r="A474" t="str">
        <f>I474&amp;B474&amp;C474&amp;D474</f>
        <v>Winter 17201812</v>
      </c>
      <c r="B474">
        <v>2018</v>
      </c>
      <c r="C474">
        <v>1</v>
      </c>
      <c r="D474">
        <v>2</v>
      </c>
      <c r="E474" t="s">
        <v>99</v>
      </c>
      <c r="F474" t="s">
        <v>84</v>
      </c>
      <c r="G474" t="s">
        <v>29</v>
      </c>
      <c r="H474" t="s">
        <v>435</v>
      </c>
      <c r="I474" t="s">
        <v>435</v>
      </c>
      <c r="J474">
        <v>449308</v>
      </c>
    </row>
    <row r="475" spans="1:10" x14ac:dyDescent="0.25">
      <c r="A475" t="str">
        <f>I475&amp;B475&amp;C475&amp;D475</f>
        <v>GY 18 SPRING BASICS201813</v>
      </c>
      <c r="B475">
        <v>2018</v>
      </c>
      <c r="C475">
        <v>1</v>
      </c>
      <c r="D475">
        <v>3</v>
      </c>
      <c r="E475" t="s">
        <v>99</v>
      </c>
      <c r="F475" t="s">
        <v>84</v>
      </c>
      <c r="G475" t="s">
        <v>29</v>
      </c>
      <c r="H475" t="s">
        <v>10</v>
      </c>
      <c r="I475" t="s">
        <v>173</v>
      </c>
      <c r="J475">
        <v>593709</v>
      </c>
    </row>
    <row r="476" spans="1:10" x14ac:dyDescent="0.25">
      <c r="A476" t="str">
        <f>I476&amp;B476&amp;C476&amp;D476</f>
        <v>GY YRLY BASICS201813</v>
      </c>
      <c r="B476">
        <v>2018</v>
      </c>
      <c r="C476">
        <v>1</v>
      </c>
      <c r="D476">
        <v>3</v>
      </c>
      <c r="E476" t="s">
        <v>99</v>
      </c>
      <c r="F476" t="s">
        <v>84</v>
      </c>
      <c r="G476" t="s">
        <v>29</v>
      </c>
      <c r="H476" t="s">
        <v>10</v>
      </c>
      <c r="I476" t="s">
        <v>349</v>
      </c>
      <c r="J476">
        <v>632182</v>
      </c>
    </row>
    <row r="477" spans="1:10" x14ac:dyDescent="0.25">
      <c r="A477" t="str">
        <f>I477&amp;B477&amp;C477&amp;D477</f>
        <v>GY YRLY DENIM201813</v>
      </c>
      <c r="B477">
        <v>2018</v>
      </c>
      <c r="C477">
        <v>1</v>
      </c>
      <c r="D477">
        <v>3</v>
      </c>
      <c r="E477" t="s">
        <v>99</v>
      </c>
      <c r="F477" t="s">
        <v>84</v>
      </c>
      <c r="G477" t="s">
        <v>29</v>
      </c>
      <c r="H477" t="s">
        <v>10</v>
      </c>
      <c r="I477" t="s">
        <v>350</v>
      </c>
      <c r="J477">
        <v>31224</v>
      </c>
    </row>
    <row r="478" spans="1:10" x14ac:dyDescent="0.25">
      <c r="A478" t="str">
        <f>I478&amp;B478&amp;C478&amp;D478</f>
        <v>GY YRLY UNIFORM201813</v>
      </c>
      <c r="B478">
        <v>2018</v>
      </c>
      <c r="C478">
        <v>1</v>
      </c>
      <c r="D478">
        <v>3</v>
      </c>
      <c r="E478" t="s">
        <v>99</v>
      </c>
      <c r="F478" t="s">
        <v>84</v>
      </c>
      <c r="G478" t="s">
        <v>29</v>
      </c>
      <c r="H478" t="s">
        <v>10</v>
      </c>
      <c r="I478" t="s">
        <v>351</v>
      </c>
      <c r="J478">
        <v>37016</v>
      </c>
    </row>
    <row r="479" spans="1:10" x14ac:dyDescent="0.25">
      <c r="A479" t="str">
        <f>I479&amp;B479&amp;C479&amp;D479</f>
        <v>GY 18 FAL201813</v>
      </c>
      <c r="B479">
        <v>2018</v>
      </c>
      <c r="C479">
        <v>1</v>
      </c>
      <c r="D479">
        <v>3</v>
      </c>
      <c r="E479" t="s">
        <v>99</v>
      </c>
      <c r="F479" t="s">
        <v>84</v>
      </c>
      <c r="G479" t="s">
        <v>29</v>
      </c>
      <c r="H479" t="s">
        <v>54</v>
      </c>
      <c r="I479" t="s">
        <v>427</v>
      </c>
      <c r="J479">
        <v>-1</v>
      </c>
    </row>
    <row r="480" spans="1:10" x14ac:dyDescent="0.25">
      <c r="A480" t="str">
        <f>I480&amp;B480&amp;C480&amp;D480</f>
        <v>GY 18 FALL 1201813</v>
      </c>
      <c r="B480">
        <v>2018</v>
      </c>
      <c r="C480">
        <v>1</v>
      </c>
      <c r="D480">
        <v>3</v>
      </c>
      <c r="E480" t="s">
        <v>99</v>
      </c>
      <c r="F480" t="s">
        <v>84</v>
      </c>
      <c r="G480" t="s">
        <v>29</v>
      </c>
      <c r="H480" t="s">
        <v>54</v>
      </c>
      <c r="I480" t="s">
        <v>429</v>
      </c>
      <c r="J480">
        <v>-3</v>
      </c>
    </row>
    <row r="481" spans="1:10" x14ac:dyDescent="0.25">
      <c r="A481" t="str">
        <f>I481&amp;B481&amp;C481&amp;D481</f>
        <v>Old201813</v>
      </c>
      <c r="B481">
        <v>2018</v>
      </c>
      <c r="C481">
        <v>1</v>
      </c>
      <c r="D481">
        <v>3</v>
      </c>
      <c r="E481" t="s">
        <v>99</v>
      </c>
      <c r="F481" t="s">
        <v>84</v>
      </c>
      <c r="G481" t="s">
        <v>29</v>
      </c>
      <c r="H481" t="s">
        <v>434</v>
      </c>
      <c r="I481" t="s">
        <v>434</v>
      </c>
      <c r="J481">
        <v>1026364</v>
      </c>
    </row>
    <row r="482" spans="1:10" x14ac:dyDescent="0.25">
      <c r="A482" t="str">
        <f>I482&amp;B482&amp;C482&amp;D482</f>
        <v>GY WEBSTORE SKU201813</v>
      </c>
      <c r="B482">
        <v>2018</v>
      </c>
      <c r="C482">
        <v>1</v>
      </c>
      <c r="D482">
        <v>3</v>
      </c>
      <c r="E482" t="s">
        <v>99</v>
      </c>
      <c r="F482" t="s">
        <v>84</v>
      </c>
      <c r="G482" t="s">
        <v>29</v>
      </c>
      <c r="H482" t="s">
        <v>462</v>
      </c>
      <c r="I482" t="s">
        <v>352</v>
      </c>
      <c r="J482">
        <v>0</v>
      </c>
    </row>
    <row r="483" spans="1:10" x14ac:dyDescent="0.25">
      <c r="A483" t="str">
        <f>I483&amp;B483&amp;C483&amp;D483</f>
        <v>GY 18 DRESSY201813</v>
      </c>
      <c r="B483">
        <v>2018</v>
      </c>
      <c r="C483">
        <v>1</v>
      </c>
      <c r="D483">
        <v>3</v>
      </c>
      <c r="E483" t="s">
        <v>99</v>
      </c>
      <c r="F483" t="s">
        <v>84</v>
      </c>
      <c r="G483" t="s">
        <v>29</v>
      </c>
      <c r="H483" t="s">
        <v>5</v>
      </c>
      <c r="I483" t="s">
        <v>185</v>
      </c>
      <c r="J483">
        <v>172160</v>
      </c>
    </row>
    <row r="484" spans="1:10" x14ac:dyDescent="0.25">
      <c r="A484" t="str">
        <f>I484&amp;B484&amp;C484&amp;D484</f>
        <v>GY 18 SPR201813</v>
      </c>
      <c r="B484">
        <v>2018</v>
      </c>
      <c r="C484">
        <v>1</v>
      </c>
      <c r="D484">
        <v>3</v>
      </c>
      <c r="E484" t="s">
        <v>99</v>
      </c>
      <c r="F484" t="s">
        <v>84</v>
      </c>
      <c r="G484" t="s">
        <v>29</v>
      </c>
      <c r="H484" t="s">
        <v>5</v>
      </c>
      <c r="I484" t="s">
        <v>177</v>
      </c>
      <c r="J484">
        <v>408867</v>
      </c>
    </row>
    <row r="485" spans="1:10" x14ac:dyDescent="0.25">
      <c r="A485" t="str">
        <f>I485&amp;B485&amp;C485&amp;D485</f>
        <v>GY 18 SPR 1201813</v>
      </c>
      <c r="B485">
        <v>2018</v>
      </c>
      <c r="C485">
        <v>1</v>
      </c>
      <c r="D485">
        <v>3</v>
      </c>
      <c r="E485" t="s">
        <v>99</v>
      </c>
      <c r="F485" t="s">
        <v>84</v>
      </c>
      <c r="G485" t="s">
        <v>29</v>
      </c>
      <c r="H485" t="s">
        <v>5</v>
      </c>
      <c r="I485" t="s">
        <v>179</v>
      </c>
      <c r="J485">
        <v>239999</v>
      </c>
    </row>
    <row r="486" spans="1:10" x14ac:dyDescent="0.25">
      <c r="A486" t="str">
        <f>I486&amp;B486&amp;C486&amp;D486</f>
        <v>GY 18 SPR 2201813</v>
      </c>
      <c r="B486">
        <v>2018</v>
      </c>
      <c r="C486">
        <v>1</v>
      </c>
      <c r="D486">
        <v>3</v>
      </c>
      <c r="E486" t="s">
        <v>99</v>
      </c>
      <c r="F486" t="s">
        <v>84</v>
      </c>
      <c r="G486" t="s">
        <v>29</v>
      </c>
      <c r="H486" t="s">
        <v>5</v>
      </c>
      <c r="I486" t="s">
        <v>181</v>
      </c>
      <c r="J486">
        <v>177751</v>
      </c>
    </row>
    <row r="487" spans="1:10" x14ac:dyDescent="0.25">
      <c r="A487" t="str">
        <f>I487&amp;B487&amp;C487&amp;D487</f>
        <v>GY 18 SPR VACA201813</v>
      </c>
      <c r="B487">
        <v>2018</v>
      </c>
      <c r="C487">
        <v>1</v>
      </c>
      <c r="D487">
        <v>3</v>
      </c>
      <c r="E487" t="s">
        <v>99</v>
      </c>
      <c r="F487" t="s">
        <v>84</v>
      </c>
      <c r="G487" t="s">
        <v>29</v>
      </c>
      <c r="H487" t="s">
        <v>5</v>
      </c>
      <c r="I487" t="s">
        <v>187</v>
      </c>
      <c r="J487">
        <v>381197</v>
      </c>
    </row>
    <row r="488" spans="1:10" x14ac:dyDescent="0.25">
      <c r="A488" t="str">
        <f>I488&amp;B488&amp;C488&amp;D488</f>
        <v>GY 18 SUM 1201813</v>
      </c>
      <c r="B488">
        <v>2018</v>
      </c>
      <c r="C488">
        <v>1</v>
      </c>
      <c r="D488">
        <v>3</v>
      </c>
      <c r="E488" t="s">
        <v>99</v>
      </c>
      <c r="F488" t="s">
        <v>84</v>
      </c>
      <c r="G488" t="s">
        <v>29</v>
      </c>
      <c r="H488" t="s">
        <v>5</v>
      </c>
      <c r="I488" t="s">
        <v>189</v>
      </c>
      <c r="J488">
        <v>337987</v>
      </c>
    </row>
    <row r="489" spans="1:10" x14ac:dyDescent="0.25">
      <c r="A489" t="str">
        <f>I489&amp;B489&amp;C489&amp;D489</f>
        <v>GY 18 SWIM 1201813</v>
      </c>
      <c r="B489">
        <v>2018</v>
      </c>
      <c r="C489">
        <v>1</v>
      </c>
      <c r="D489">
        <v>3</v>
      </c>
      <c r="E489" t="s">
        <v>99</v>
      </c>
      <c r="F489" t="s">
        <v>84</v>
      </c>
      <c r="G489" t="s">
        <v>29</v>
      </c>
      <c r="H489" t="s">
        <v>5</v>
      </c>
      <c r="I489" t="s">
        <v>183</v>
      </c>
      <c r="J489">
        <v>25809</v>
      </c>
    </row>
    <row r="490" spans="1:10" x14ac:dyDescent="0.25">
      <c r="A490" t="str">
        <f>I490&amp;B490&amp;C490&amp;D490</f>
        <v>GY 18 SWIM 2201813</v>
      </c>
      <c r="B490">
        <v>2018</v>
      </c>
      <c r="C490">
        <v>1</v>
      </c>
      <c r="D490">
        <v>3</v>
      </c>
      <c r="E490" t="s">
        <v>99</v>
      </c>
      <c r="F490" t="s">
        <v>84</v>
      </c>
      <c r="G490" t="s">
        <v>29</v>
      </c>
      <c r="H490" t="s">
        <v>5</v>
      </c>
      <c r="I490" t="s">
        <v>191</v>
      </c>
      <c r="J490">
        <v>122065</v>
      </c>
    </row>
    <row r="491" spans="1:10" x14ac:dyDescent="0.25">
      <c r="A491" t="str">
        <f>I491&amp;B491&amp;C491&amp;D491</f>
        <v>GY 18 SM2201813</v>
      </c>
      <c r="B491">
        <v>2018</v>
      </c>
      <c r="C491">
        <v>1</v>
      </c>
      <c r="D491">
        <v>3</v>
      </c>
      <c r="E491" t="s">
        <v>99</v>
      </c>
      <c r="F491" t="s">
        <v>84</v>
      </c>
      <c r="G491" t="s">
        <v>29</v>
      </c>
      <c r="H491" t="s">
        <v>6</v>
      </c>
      <c r="I491" t="s">
        <v>193</v>
      </c>
      <c r="J491">
        <v>757874</v>
      </c>
    </row>
    <row r="492" spans="1:10" x14ac:dyDescent="0.25">
      <c r="A492" t="str">
        <f>I492&amp;B492&amp;C492&amp;D492</f>
        <v>GY 18 SM3201813</v>
      </c>
      <c r="B492">
        <v>2018</v>
      </c>
      <c r="C492">
        <v>1</v>
      </c>
      <c r="D492">
        <v>3</v>
      </c>
      <c r="E492" t="s">
        <v>99</v>
      </c>
      <c r="F492" t="s">
        <v>84</v>
      </c>
      <c r="G492" t="s">
        <v>29</v>
      </c>
      <c r="H492" t="s">
        <v>6</v>
      </c>
      <c r="I492" t="s">
        <v>195</v>
      </c>
      <c r="J492">
        <v>765213</v>
      </c>
    </row>
    <row r="493" spans="1:10" x14ac:dyDescent="0.25">
      <c r="A493" t="str">
        <f>I493&amp;B493&amp;C493&amp;D493</f>
        <v>GY 18 SM4201813</v>
      </c>
      <c r="B493">
        <v>2018</v>
      </c>
      <c r="C493">
        <v>1</v>
      </c>
      <c r="D493">
        <v>3</v>
      </c>
      <c r="E493" t="s">
        <v>99</v>
      </c>
      <c r="F493" t="s">
        <v>84</v>
      </c>
      <c r="G493" t="s">
        <v>29</v>
      </c>
      <c r="H493" t="s">
        <v>6</v>
      </c>
      <c r="I493" t="s">
        <v>199</v>
      </c>
      <c r="J493">
        <v>525557</v>
      </c>
    </row>
    <row r="494" spans="1:10" x14ac:dyDescent="0.25">
      <c r="A494" t="str">
        <f>I494&amp;B494&amp;C494&amp;D494</f>
        <v>GY 18 SM5201813</v>
      </c>
      <c r="B494">
        <v>2018</v>
      </c>
      <c r="C494">
        <v>1</v>
      </c>
      <c r="D494">
        <v>3</v>
      </c>
      <c r="E494" t="s">
        <v>99</v>
      </c>
      <c r="F494" t="s">
        <v>84</v>
      </c>
      <c r="G494" t="s">
        <v>29</v>
      </c>
      <c r="H494" t="s">
        <v>6</v>
      </c>
      <c r="I494" t="s">
        <v>201</v>
      </c>
      <c r="J494">
        <v>-1</v>
      </c>
    </row>
    <row r="495" spans="1:10" x14ac:dyDescent="0.25">
      <c r="A495" t="str">
        <f>I495&amp;B495&amp;C495&amp;D495</f>
        <v>GY 18 SMR201813</v>
      </c>
      <c r="B495">
        <v>2018</v>
      </c>
      <c r="C495">
        <v>1</v>
      </c>
      <c r="D495">
        <v>3</v>
      </c>
      <c r="E495" t="s">
        <v>99</v>
      </c>
      <c r="F495" t="s">
        <v>84</v>
      </c>
      <c r="G495" t="s">
        <v>29</v>
      </c>
      <c r="H495" t="s">
        <v>6</v>
      </c>
      <c r="I495" t="s">
        <v>203</v>
      </c>
      <c r="J495">
        <v>1351543</v>
      </c>
    </row>
    <row r="496" spans="1:10" x14ac:dyDescent="0.25">
      <c r="A496" t="str">
        <f>I496&amp;B496&amp;C496&amp;D496</f>
        <v>GY 18 SWIM 3201813</v>
      </c>
      <c r="B496">
        <v>2018</v>
      </c>
      <c r="C496">
        <v>1</v>
      </c>
      <c r="D496">
        <v>3</v>
      </c>
      <c r="E496" t="s">
        <v>99</v>
      </c>
      <c r="F496" t="s">
        <v>84</v>
      </c>
      <c r="G496" t="s">
        <v>29</v>
      </c>
      <c r="H496" t="s">
        <v>6</v>
      </c>
      <c r="I496" t="s">
        <v>197</v>
      </c>
      <c r="J496">
        <v>181324</v>
      </c>
    </row>
    <row r="497" spans="1:10" x14ac:dyDescent="0.25">
      <c r="A497" t="str">
        <f>I497&amp;B497&amp;C497&amp;D497</f>
        <v>Winter 17201813</v>
      </c>
      <c r="B497">
        <v>2018</v>
      </c>
      <c r="C497">
        <v>1</v>
      </c>
      <c r="D497">
        <v>3</v>
      </c>
      <c r="E497" t="s">
        <v>99</v>
      </c>
      <c r="F497" t="s">
        <v>84</v>
      </c>
      <c r="G497" t="s">
        <v>29</v>
      </c>
      <c r="H497" t="s">
        <v>435</v>
      </c>
      <c r="I497" t="s">
        <v>435</v>
      </c>
      <c r="J497">
        <v>246568</v>
      </c>
    </row>
    <row r="498" spans="1:10" x14ac:dyDescent="0.25">
      <c r="A498" t="str">
        <f>I498&amp;B498&amp;C498&amp;D498</f>
        <v>GY 18 SPRING BASICS201824</v>
      </c>
      <c r="B498">
        <v>2018</v>
      </c>
      <c r="C498">
        <v>2</v>
      </c>
      <c r="D498">
        <v>4</v>
      </c>
      <c r="E498" t="s">
        <v>99</v>
      </c>
      <c r="F498" t="s">
        <v>84</v>
      </c>
      <c r="G498" t="s">
        <v>29</v>
      </c>
      <c r="H498" t="s">
        <v>10</v>
      </c>
      <c r="I498" t="s">
        <v>173</v>
      </c>
      <c r="J498">
        <v>485636</v>
      </c>
    </row>
    <row r="499" spans="1:10" x14ac:dyDescent="0.25">
      <c r="A499" t="str">
        <f>I499&amp;B499&amp;C499&amp;D499</f>
        <v>GY YRLY BASICS201824</v>
      </c>
      <c r="B499">
        <v>2018</v>
      </c>
      <c r="C499">
        <v>2</v>
      </c>
      <c r="D499">
        <v>4</v>
      </c>
      <c r="E499" t="s">
        <v>99</v>
      </c>
      <c r="F499" t="s">
        <v>84</v>
      </c>
      <c r="G499" t="s">
        <v>29</v>
      </c>
      <c r="H499" t="s">
        <v>10</v>
      </c>
      <c r="I499" t="s">
        <v>349</v>
      </c>
      <c r="J499">
        <v>492085</v>
      </c>
    </row>
    <row r="500" spans="1:10" x14ac:dyDescent="0.25">
      <c r="A500" t="str">
        <f>I500&amp;B500&amp;C500&amp;D500</f>
        <v>GY YRLY DENIM201824</v>
      </c>
      <c r="B500">
        <v>2018</v>
      </c>
      <c r="C500">
        <v>2</v>
      </c>
      <c r="D500">
        <v>4</v>
      </c>
      <c r="E500" t="s">
        <v>99</v>
      </c>
      <c r="F500" t="s">
        <v>84</v>
      </c>
      <c r="G500" t="s">
        <v>29</v>
      </c>
      <c r="H500" t="s">
        <v>10</v>
      </c>
      <c r="I500" t="s">
        <v>350</v>
      </c>
      <c r="J500">
        <v>23541</v>
      </c>
    </row>
    <row r="501" spans="1:10" x14ac:dyDescent="0.25">
      <c r="A501" t="str">
        <f>I501&amp;B501&amp;C501&amp;D501</f>
        <v>GY YRLY UNIFORM201824</v>
      </c>
      <c r="B501">
        <v>2018</v>
      </c>
      <c r="C501">
        <v>2</v>
      </c>
      <c r="D501">
        <v>4</v>
      </c>
      <c r="E501" t="s">
        <v>99</v>
      </c>
      <c r="F501" t="s">
        <v>84</v>
      </c>
      <c r="G501" t="s">
        <v>29</v>
      </c>
      <c r="H501" t="s">
        <v>10</v>
      </c>
      <c r="I501" t="s">
        <v>351</v>
      </c>
      <c r="J501">
        <v>37741</v>
      </c>
    </row>
    <row r="502" spans="1:10" x14ac:dyDescent="0.25">
      <c r="A502" t="str">
        <f>I502&amp;B502&amp;C502&amp;D502</f>
        <v>GY 18 BTS201824</v>
      </c>
      <c r="B502">
        <v>2018</v>
      </c>
      <c r="C502">
        <v>2</v>
      </c>
      <c r="D502">
        <v>4</v>
      </c>
      <c r="E502" t="s">
        <v>99</v>
      </c>
      <c r="F502" t="s">
        <v>84</v>
      </c>
      <c r="G502" t="s">
        <v>29</v>
      </c>
      <c r="H502" t="s">
        <v>54</v>
      </c>
      <c r="I502" t="s">
        <v>428</v>
      </c>
      <c r="J502">
        <v>18102</v>
      </c>
    </row>
    <row r="503" spans="1:10" x14ac:dyDescent="0.25">
      <c r="A503" t="str">
        <f>I503&amp;B503&amp;C503&amp;D503</f>
        <v>GY 18 FAL201824</v>
      </c>
      <c r="B503">
        <v>2018</v>
      </c>
      <c r="C503">
        <v>2</v>
      </c>
      <c r="D503">
        <v>4</v>
      </c>
      <c r="E503" t="s">
        <v>99</v>
      </c>
      <c r="F503" t="s">
        <v>84</v>
      </c>
      <c r="G503" t="s">
        <v>29</v>
      </c>
      <c r="H503" t="s">
        <v>54</v>
      </c>
      <c r="I503" t="s">
        <v>427</v>
      </c>
      <c r="J503">
        <v>6598</v>
      </c>
    </row>
    <row r="504" spans="1:10" x14ac:dyDescent="0.25">
      <c r="A504" t="str">
        <f>I504&amp;B504&amp;C504&amp;D504</f>
        <v>GY 18 FALL 1201824</v>
      </c>
      <c r="B504">
        <v>2018</v>
      </c>
      <c r="C504">
        <v>2</v>
      </c>
      <c r="D504">
        <v>4</v>
      </c>
      <c r="E504" t="s">
        <v>99</v>
      </c>
      <c r="F504" t="s">
        <v>84</v>
      </c>
      <c r="G504" t="s">
        <v>29</v>
      </c>
      <c r="H504" t="s">
        <v>54</v>
      </c>
      <c r="I504" t="s">
        <v>429</v>
      </c>
      <c r="J504">
        <v>10818</v>
      </c>
    </row>
    <row r="505" spans="1:10" x14ac:dyDescent="0.25">
      <c r="A505" t="str">
        <f>I505&amp;B505&amp;C505&amp;D505</f>
        <v>Old201824</v>
      </c>
      <c r="B505">
        <v>2018</v>
      </c>
      <c r="C505">
        <v>2</v>
      </c>
      <c r="D505">
        <v>4</v>
      </c>
      <c r="E505" t="s">
        <v>99</v>
      </c>
      <c r="F505" t="s">
        <v>84</v>
      </c>
      <c r="G505" t="s">
        <v>29</v>
      </c>
      <c r="H505" t="s">
        <v>434</v>
      </c>
      <c r="I505" t="s">
        <v>434</v>
      </c>
      <c r="J505">
        <v>911128</v>
      </c>
    </row>
    <row r="506" spans="1:10" x14ac:dyDescent="0.25">
      <c r="A506" t="str">
        <f>I506&amp;B506&amp;C506&amp;D506</f>
        <v>GY WEBSTORE SKU201824</v>
      </c>
      <c r="B506">
        <v>2018</v>
      </c>
      <c r="C506">
        <v>2</v>
      </c>
      <c r="D506">
        <v>4</v>
      </c>
      <c r="E506" t="s">
        <v>99</v>
      </c>
      <c r="F506" t="s">
        <v>84</v>
      </c>
      <c r="G506" t="s">
        <v>29</v>
      </c>
      <c r="H506" t="s">
        <v>462</v>
      </c>
      <c r="I506" t="s">
        <v>352</v>
      </c>
      <c r="J506">
        <v>-1</v>
      </c>
    </row>
    <row r="507" spans="1:10" x14ac:dyDescent="0.25">
      <c r="A507" t="str">
        <f>I507&amp;B507&amp;C507&amp;D507</f>
        <v>GY 18 DRESSY201824</v>
      </c>
      <c r="B507">
        <v>2018</v>
      </c>
      <c r="C507">
        <v>2</v>
      </c>
      <c r="D507">
        <v>4</v>
      </c>
      <c r="E507" t="s">
        <v>99</v>
      </c>
      <c r="F507" t="s">
        <v>84</v>
      </c>
      <c r="G507" t="s">
        <v>29</v>
      </c>
      <c r="H507" t="s">
        <v>5</v>
      </c>
      <c r="I507" t="s">
        <v>185</v>
      </c>
      <c r="J507">
        <v>92106</v>
      </c>
    </row>
    <row r="508" spans="1:10" x14ac:dyDescent="0.25">
      <c r="A508" t="str">
        <f>I508&amp;B508&amp;C508&amp;D508</f>
        <v>GY 18 SPR201824</v>
      </c>
      <c r="B508">
        <v>2018</v>
      </c>
      <c r="C508">
        <v>2</v>
      </c>
      <c r="D508">
        <v>4</v>
      </c>
      <c r="E508" t="s">
        <v>99</v>
      </c>
      <c r="F508" t="s">
        <v>84</v>
      </c>
      <c r="G508" t="s">
        <v>29</v>
      </c>
      <c r="H508" t="s">
        <v>5</v>
      </c>
      <c r="I508" t="s">
        <v>177</v>
      </c>
      <c r="J508">
        <v>294849</v>
      </c>
    </row>
    <row r="509" spans="1:10" x14ac:dyDescent="0.25">
      <c r="A509" t="str">
        <f>I509&amp;B509&amp;C509&amp;D509</f>
        <v>GY 18 SPR 1201824</v>
      </c>
      <c r="B509">
        <v>2018</v>
      </c>
      <c r="C509">
        <v>2</v>
      </c>
      <c r="D509">
        <v>4</v>
      </c>
      <c r="E509" t="s">
        <v>99</v>
      </c>
      <c r="F509" t="s">
        <v>84</v>
      </c>
      <c r="G509" t="s">
        <v>29</v>
      </c>
      <c r="H509" t="s">
        <v>5</v>
      </c>
      <c r="I509" t="s">
        <v>179</v>
      </c>
      <c r="J509">
        <v>167131</v>
      </c>
    </row>
    <row r="510" spans="1:10" x14ac:dyDescent="0.25">
      <c r="A510" t="str">
        <f>I510&amp;B510&amp;C510&amp;D510</f>
        <v>GY 18 SPR 2201824</v>
      </c>
      <c r="B510">
        <v>2018</v>
      </c>
      <c r="C510">
        <v>2</v>
      </c>
      <c r="D510">
        <v>4</v>
      </c>
      <c r="E510" t="s">
        <v>99</v>
      </c>
      <c r="F510" t="s">
        <v>84</v>
      </c>
      <c r="G510" t="s">
        <v>29</v>
      </c>
      <c r="H510" t="s">
        <v>5</v>
      </c>
      <c r="I510" t="s">
        <v>181</v>
      </c>
      <c r="J510">
        <v>126014</v>
      </c>
    </row>
    <row r="511" spans="1:10" x14ac:dyDescent="0.25">
      <c r="A511" t="str">
        <f>I511&amp;B511&amp;C511&amp;D511</f>
        <v>GY 18 SPR VACA201824</v>
      </c>
      <c r="B511">
        <v>2018</v>
      </c>
      <c r="C511">
        <v>2</v>
      </c>
      <c r="D511">
        <v>4</v>
      </c>
      <c r="E511" t="s">
        <v>99</v>
      </c>
      <c r="F511" t="s">
        <v>84</v>
      </c>
      <c r="G511" t="s">
        <v>29</v>
      </c>
      <c r="H511" t="s">
        <v>5</v>
      </c>
      <c r="I511" t="s">
        <v>187</v>
      </c>
      <c r="J511">
        <v>250959</v>
      </c>
    </row>
    <row r="512" spans="1:10" x14ac:dyDescent="0.25">
      <c r="A512" t="str">
        <f>I512&amp;B512&amp;C512&amp;D512</f>
        <v>GY 18 SUM 1201824</v>
      </c>
      <c r="B512">
        <v>2018</v>
      </c>
      <c r="C512">
        <v>2</v>
      </c>
      <c r="D512">
        <v>4</v>
      </c>
      <c r="E512" t="s">
        <v>99</v>
      </c>
      <c r="F512" t="s">
        <v>84</v>
      </c>
      <c r="G512" t="s">
        <v>29</v>
      </c>
      <c r="H512" t="s">
        <v>5</v>
      </c>
      <c r="I512" t="s">
        <v>189</v>
      </c>
      <c r="J512">
        <v>268723</v>
      </c>
    </row>
    <row r="513" spans="1:10" x14ac:dyDescent="0.25">
      <c r="A513" t="str">
        <f>I513&amp;B513&amp;C513&amp;D513</f>
        <v>GY 18 SWIM 1201824</v>
      </c>
      <c r="B513">
        <v>2018</v>
      </c>
      <c r="C513">
        <v>2</v>
      </c>
      <c r="D513">
        <v>4</v>
      </c>
      <c r="E513" t="s">
        <v>99</v>
      </c>
      <c r="F513" t="s">
        <v>84</v>
      </c>
      <c r="G513" t="s">
        <v>29</v>
      </c>
      <c r="H513" t="s">
        <v>5</v>
      </c>
      <c r="I513" t="s">
        <v>183</v>
      </c>
      <c r="J513">
        <v>19332</v>
      </c>
    </row>
    <row r="514" spans="1:10" x14ac:dyDescent="0.25">
      <c r="A514" t="str">
        <f>I514&amp;B514&amp;C514&amp;D514</f>
        <v>GY 18 SWIM 2201824</v>
      </c>
      <c r="B514">
        <v>2018</v>
      </c>
      <c r="C514">
        <v>2</v>
      </c>
      <c r="D514">
        <v>4</v>
      </c>
      <c r="E514" t="s">
        <v>99</v>
      </c>
      <c r="F514" t="s">
        <v>84</v>
      </c>
      <c r="G514" t="s">
        <v>29</v>
      </c>
      <c r="H514" t="s">
        <v>5</v>
      </c>
      <c r="I514" t="s">
        <v>191</v>
      </c>
      <c r="J514">
        <v>98897</v>
      </c>
    </row>
    <row r="515" spans="1:10" x14ac:dyDescent="0.25">
      <c r="A515" t="str">
        <f>I515&amp;B515&amp;C515&amp;D515</f>
        <v>GY 18 SM2201824</v>
      </c>
      <c r="B515">
        <v>2018</v>
      </c>
      <c r="C515">
        <v>2</v>
      </c>
      <c r="D515">
        <v>4</v>
      </c>
      <c r="E515" t="s">
        <v>99</v>
      </c>
      <c r="F515" t="s">
        <v>84</v>
      </c>
      <c r="G515" t="s">
        <v>29</v>
      </c>
      <c r="H515" t="s">
        <v>6</v>
      </c>
      <c r="I515" t="s">
        <v>193</v>
      </c>
      <c r="J515">
        <v>600995</v>
      </c>
    </row>
    <row r="516" spans="1:10" x14ac:dyDescent="0.25">
      <c r="A516" t="str">
        <f>I516&amp;B516&amp;C516&amp;D516</f>
        <v>GY 18 SM3201824</v>
      </c>
      <c r="B516">
        <v>2018</v>
      </c>
      <c r="C516">
        <v>2</v>
      </c>
      <c r="D516">
        <v>4</v>
      </c>
      <c r="E516" t="s">
        <v>99</v>
      </c>
      <c r="F516" t="s">
        <v>84</v>
      </c>
      <c r="G516" t="s">
        <v>29</v>
      </c>
      <c r="H516" t="s">
        <v>6</v>
      </c>
      <c r="I516" t="s">
        <v>195</v>
      </c>
      <c r="J516">
        <v>574018</v>
      </c>
    </row>
    <row r="517" spans="1:10" x14ac:dyDescent="0.25">
      <c r="A517" t="str">
        <f>I517&amp;B517&amp;C517&amp;D517</f>
        <v>GY 18 SM4201824</v>
      </c>
      <c r="B517">
        <v>2018</v>
      </c>
      <c r="C517">
        <v>2</v>
      </c>
      <c r="D517">
        <v>4</v>
      </c>
      <c r="E517" t="s">
        <v>99</v>
      </c>
      <c r="F517" t="s">
        <v>84</v>
      </c>
      <c r="G517" t="s">
        <v>29</v>
      </c>
      <c r="H517" t="s">
        <v>6</v>
      </c>
      <c r="I517" t="s">
        <v>199</v>
      </c>
      <c r="J517">
        <v>736049</v>
      </c>
    </row>
    <row r="518" spans="1:10" x14ac:dyDescent="0.25">
      <c r="A518" t="str">
        <f>I518&amp;B518&amp;C518&amp;D518</f>
        <v>GY 18 SM5201824</v>
      </c>
      <c r="B518">
        <v>2018</v>
      </c>
      <c r="C518">
        <v>2</v>
      </c>
      <c r="D518">
        <v>4</v>
      </c>
      <c r="E518" t="s">
        <v>99</v>
      </c>
      <c r="F518" t="s">
        <v>84</v>
      </c>
      <c r="G518" t="s">
        <v>29</v>
      </c>
      <c r="H518" t="s">
        <v>6</v>
      </c>
      <c r="I518" t="s">
        <v>201</v>
      </c>
      <c r="J518">
        <v>281095</v>
      </c>
    </row>
    <row r="519" spans="1:10" x14ac:dyDescent="0.25">
      <c r="A519" t="str">
        <f>I519&amp;B519&amp;C519&amp;D519</f>
        <v>GY 18 SMR201824</v>
      </c>
      <c r="B519">
        <v>2018</v>
      </c>
      <c r="C519">
        <v>2</v>
      </c>
      <c r="D519">
        <v>4</v>
      </c>
      <c r="E519" t="s">
        <v>99</v>
      </c>
      <c r="F519" t="s">
        <v>84</v>
      </c>
      <c r="G519" t="s">
        <v>29</v>
      </c>
      <c r="H519" t="s">
        <v>6</v>
      </c>
      <c r="I519" t="s">
        <v>203</v>
      </c>
      <c r="J519">
        <v>1096413</v>
      </c>
    </row>
    <row r="520" spans="1:10" x14ac:dyDescent="0.25">
      <c r="A520" t="str">
        <f>I520&amp;B520&amp;C520&amp;D520</f>
        <v>GY 18 SWIM 3201824</v>
      </c>
      <c r="B520">
        <v>2018</v>
      </c>
      <c r="C520">
        <v>2</v>
      </c>
      <c r="D520">
        <v>4</v>
      </c>
      <c r="E520" t="s">
        <v>99</v>
      </c>
      <c r="F520" t="s">
        <v>84</v>
      </c>
      <c r="G520" t="s">
        <v>29</v>
      </c>
      <c r="H520" t="s">
        <v>6</v>
      </c>
      <c r="I520" t="s">
        <v>197</v>
      </c>
      <c r="J520">
        <v>146278</v>
      </c>
    </row>
    <row r="521" spans="1:10" x14ac:dyDescent="0.25">
      <c r="A521" t="str">
        <f>I521&amp;B521&amp;C521&amp;D521</f>
        <v>Winter 17201824</v>
      </c>
      <c r="B521">
        <v>2018</v>
      </c>
      <c r="C521">
        <v>2</v>
      </c>
      <c r="D521">
        <v>4</v>
      </c>
      <c r="E521" t="s">
        <v>99</v>
      </c>
      <c r="F521" t="s">
        <v>84</v>
      </c>
      <c r="G521" t="s">
        <v>29</v>
      </c>
      <c r="H521" t="s">
        <v>435</v>
      </c>
      <c r="I521" t="s">
        <v>435</v>
      </c>
      <c r="J521">
        <v>93623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38</vt:i4>
      </vt:variant>
    </vt:vector>
  </HeadingPairs>
  <TitlesOfParts>
    <vt:vector size="47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2018-06-20T22:45:29Z</dcterms:modified>
</cp:coreProperties>
</file>