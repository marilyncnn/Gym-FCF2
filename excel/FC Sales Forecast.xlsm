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100" windowWidth="19215" windowHeight="2325" tabRatio="500"/>
  </bookViews>
  <sheets>
    <sheet name="Admin" sheetId="2" r:id="rId1"/>
    <sheet name="Forecast" sheetId="3" r:id="rId2"/>
    <sheet name="Formulas" sheetId="5" state="hidden" r:id="rId3"/>
    <sheet name="Source Data" sheetId="6" r:id="rId4"/>
    <sheet name="Settings" sheetId="8" state="hidden" r:id="rId5"/>
  </sheets>
  <functionGroups builtInGroupCount="17"/>
  <definedNames>
    <definedName name="_xlnm._FilterDatabase" localSheetId="1" hidden="1">Forecast!$BL$10:$BO$79</definedName>
    <definedName name="_xlnm._FilterDatabase" localSheetId="4" hidden="1">Settings!$Q$1:$W$324</definedName>
    <definedName name="Brand">Admin!$B$8</definedName>
    <definedName name="Channel">Admin!$B$12</definedName>
    <definedName name="ColumnLookup">Formulas!$C$2:$BK$2</definedName>
    <definedName name="CompareVer">Admin!$B$22</definedName>
    <definedName name="Country">Admin!$B$10</definedName>
    <definedName name="DataPlan">'Source Data'!$A$1:$O$1</definedName>
    <definedName name="Display">Forecast!$C$11:$BO$79</definedName>
    <definedName name="Environ">Settings!$C$13</definedName>
    <definedName name="ExportData">Forecast!$B$11:$AN$78</definedName>
    <definedName name="ExportFields">Formulas!$C$1:$BK$1</definedName>
    <definedName name="FC">Admin!$B$18</definedName>
    <definedName name="FCLY">Settings!$C$10</definedName>
    <definedName name="FiscalYr">Admin!$B$14</definedName>
    <definedName name="ForecastVer">Admin!$B$20</definedName>
    <definedName name="Formulas">Formulas!$C$10:$BO$78</definedName>
    <definedName name="Host">Settings!$C$14</definedName>
    <definedName name="ListBrand">Settings!$A$2:$A$5</definedName>
    <definedName name="ListChannel">Settings!$C$2:$C$4</definedName>
    <definedName name="ListSeason">Settings!$G$2:$G$8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Admin!$B$20</definedName>
    <definedName name="Plan_txt">Forecast!$B$8</definedName>
    <definedName name="Season">Admin!$B$16</definedName>
    <definedName name="Status">Admin!$B$26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Data'!$A$6:$O$192</definedName>
    <definedName name="tblLYFC">Settings!$Q$2:$W$324</definedName>
  </definedNames>
  <calcPr calcId="145621"/>
</workbook>
</file>

<file path=xl/calcChain.xml><?xml version="1.0" encoding="utf-8"?>
<calcChain xmlns="http://schemas.openxmlformats.org/spreadsheetml/2006/main">
  <c r="Q140" i="8" l="1"/>
  <c r="R140" i="8"/>
  <c r="Q141" i="8"/>
  <c r="R141" i="8"/>
  <c r="Q142" i="8"/>
  <c r="R142" i="8"/>
  <c r="Q143" i="8"/>
  <c r="R143" i="8"/>
  <c r="Q144" i="8"/>
  <c r="R144" i="8"/>
  <c r="Q145" i="8"/>
  <c r="R145" i="8"/>
  <c r="Q98" i="8"/>
  <c r="R98" i="8"/>
  <c r="Q99" i="8"/>
  <c r="R99" i="8"/>
  <c r="Q100" i="8"/>
  <c r="R100" i="8"/>
  <c r="Q101" i="8"/>
  <c r="R101" i="8"/>
  <c r="Q95" i="8" l="1"/>
  <c r="R95" i="8"/>
  <c r="Q96" i="8"/>
  <c r="R96" i="8"/>
  <c r="Q97" i="8"/>
  <c r="R97" i="8"/>
  <c r="AY79" i="3" l="1"/>
  <c r="AF79" i="3"/>
  <c r="BA78" i="3"/>
  <c r="AZ78" i="3"/>
  <c r="BB78" i="3" s="1"/>
  <c r="AY78" i="3"/>
  <c r="AF78" i="3"/>
  <c r="AC78" i="3" s="1"/>
  <c r="BB77" i="3"/>
  <c r="AY77" i="3"/>
  <c r="AH77" i="3"/>
  <c r="AG77" i="3"/>
  <c r="AF77" i="3"/>
  <c r="AC77" i="3"/>
  <c r="BB76" i="3"/>
  <c r="AY76" i="3"/>
  <c r="BB75" i="3"/>
  <c r="AY75" i="3"/>
  <c r="BB74" i="3"/>
  <c r="AY74" i="3"/>
  <c r="BB73" i="3"/>
  <c r="AY73" i="3"/>
  <c r="BB72" i="3"/>
  <c r="AY72" i="3"/>
  <c r="BB71" i="3"/>
  <c r="AY71" i="3"/>
  <c r="BB70" i="3"/>
  <c r="AY70" i="3"/>
  <c r="BB69" i="3"/>
  <c r="AY69" i="3"/>
  <c r="BB68" i="3"/>
  <c r="AY68" i="3"/>
  <c r="BB67" i="3"/>
  <c r="AY67" i="3"/>
  <c r="BB66" i="3"/>
  <c r="AY66" i="3"/>
  <c r="BB65" i="3"/>
  <c r="AY65" i="3"/>
  <c r="BB64" i="3"/>
  <c r="AY64" i="3"/>
  <c r="BB63" i="3"/>
  <c r="AY63" i="3"/>
  <c r="BB62" i="3"/>
  <c r="AY62" i="3"/>
  <c r="AZ61" i="3"/>
  <c r="BB61" i="3" s="1"/>
  <c r="AY61" i="3"/>
  <c r="BB60" i="3"/>
  <c r="BA60" i="3"/>
  <c r="BA61" i="3" s="1"/>
  <c r="AZ60" i="3"/>
  <c r="AY60" i="3"/>
  <c r="BB59" i="3"/>
  <c r="AY59" i="3"/>
  <c r="BB58" i="3"/>
  <c r="AY58" i="3"/>
  <c r="BB57" i="3"/>
  <c r="AY57" i="3"/>
  <c r="BB56" i="3"/>
  <c r="AY56" i="3"/>
  <c r="BB55" i="3"/>
  <c r="AY55" i="3"/>
  <c r="BB54" i="3"/>
  <c r="AY54" i="3"/>
  <c r="BB53" i="3"/>
  <c r="AY53" i="3"/>
  <c r="BB52" i="3"/>
  <c r="AY52" i="3"/>
  <c r="BB51" i="3"/>
  <c r="AY51" i="3"/>
  <c r="BB50" i="3"/>
  <c r="AY50" i="3"/>
  <c r="BB49" i="3"/>
  <c r="AY49" i="3"/>
  <c r="BB48" i="3"/>
  <c r="AY48" i="3"/>
  <c r="BB47" i="3"/>
  <c r="AY47" i="3"/>
  <c r="BB46" i="3"/>
  <c r="AY46" i="3"/>
  <c r="BB45" i="3"/>
  <c r="AY45" i="3"/>
  <c r="BA44" i="3"/>
  <c r="AZ44" i="3"/>
  <c r="BB44" i="3" s="1"/>
  <c r="AY44" i="3"/>
  <c r="BB43" i="3"/>
  <c r="BA43" i="3"/>
  <c r="AZ43" i="3"/>
  <c r="AY43" i="3"/>
  <c r="BB42" i="3"/>
  <c r="AY42" i="3"/>
  <c r="BB41" i="3"/>
  <c r="AY41" i="3"/>
  <c r="BB40" i="3"/>
  <c r="AY40" i="3"/>
  <c r="BB39" i="3"/>
  <c r="AY39" i="3"/>
  <c r="BB38" i="3"/>
  <c r="AY38" i="3"/>
  <c r="BB37" i="3"/>
  <c r="AY37" i="3"/>
  <c r="BB36" i="3"/>
  <c r="AY36" i="3"/>
  <c r="BB35" i="3"/>
  <c r="AY35" i="3"/>
  <c r="BB34" i="3"/>
  <c r="AY34" i="3"/>
  <c r="BB33" i="3"/>
  <c r="AY33" i="3"/>
  <c r="BB32" i="3"/>
  <c r="AY32" i="3"/>
  <c r="BB31" i="3"/>
  <c r="AY31" i="3"/>
  <c r="BB30" i="3"/>
  <c r="AY30" i="3"/>
  <c r="BB29" i="3"/>
  <c r="AY29" i="3"/>
  <c r="BB28" i="3"/>
  <c r="AY28" i="3"/>
  <c r="AY27" i="3"/>
  <c r="BA26" i="3"/>
  <c r="AZ26" i="3"/>
  <c r="BB26" i="3" s="1"/>
  <c r="AY26" i="3"/>
  <c r="BB25" i="3"/>
  <c r="AY25" i="3"/>
  <c r="BB24" i="3"/>
  <c r="AY24" i="3"/>
  <c r="BB23" i="3"/>
  <c r="AY23" i="3"/>
  <c r="BB22" i="3"/>
  <c r="AY22" i="3"/>
  <c r="BB21" i="3"/>
  <c r="BA21" i="3"/>
  <c r="AZ21" i="3"/>
  <c r="AY21" i="3"/>
  <c r="BB20" i="3"/>
  <c r="AY20" i="3"/>
  <c r="BB19" i="3"/>
  <c r="AY19" i="3"/>
  <c r="BB18" i="3"/>
  <c r="AY18" i="3"/>
  <c r="BB17" i="3"/>
  <c r="AY17" i="3"/>
  <c r="BB16" i="3"/>
  <c r="AY16" i="3"/>
  <c r="BA15" i="3"/>
  <c r="BA27" i="3" s="1"/>
  <c r="BA79" i="3" s="1"/>
  <c r="AZ15" i="3"/>
  <c r="AY15" i="3"/>
  <c r="BB14" i="3"/>
  <c r="AY14" i="3"/>
  <c r="BB13" i="3"/>
  <c r="AY13" i="3"/>
  <c r="BB12" i="3"/>
  <c r="AY12" i="3"/>
  <c r="BB11" i="3"/>
  <c r="AY11" i="3"/>
  <c r="I11" i="3"/>
  <c r="G57" i="3"/>
  <c r="AK4" i="5"/>
  <c r="J58" i="3" l="1"/>
  <c r="X12" i="3"/>
  <c r="AJ13" i="3"/>
  <c r="U14" i="3"/>
  <c r="X17" i="3"/>
  <c r="AJ18" i="3"/>
  <c r="AF19" i="3"/>
  <c r="Q20" i="3"/>
  <c r="AK28" i="3"/>
  <c r="U30" i="3"/>
  <c r="AJ33" i="3"/>
  <c r="U41" i="3"/>
  <c r="AT56" i="3"/>
  <c r="BC11" i="3"/>
  <c r="AO13" i="3"/>
  <c r="BC18" i="3"/>
  <c r="AL28" i="3"/>
  <c r="AO12" i="3"/>
  <c r="AT16" i="3"/>
  <c r="AI20" i="3"/>
  <c r="AT12" i="3"/>
  <c r="BF14" i="3"/>
  <c r="G19" i="3"/>
  <c r="AJ20" i="3"/>
  <c r="BC22" i="3"/>
  <c r="AL34" i="3"/>
  <c r="AJ53" i="3"/>
  <c r="BF11" i="3"/>
  <c r="F12" i="3"/>
  <c r="Q12" i="3"/>
  <c r="AF16" i="3"/>
  <c r="AF17" i="3"/>
  <c r="BF18" i="3"/>
  <c r="X19" i="3"/>
  <c r="AN19" i="3"/>
  <c r="AO20" i="3"/>
  <c r="T22" i="3"/>
  <c r="AJ22" i="3"/>
  <c r="U23" i="3"/>
  <c r="AK23" i="3"/>
  <c r="R24" i="3"/>
  <c r="R25" i="3"/>
  <c r="F28" i="3"/>
  <c r="BC29" i="3"/>
  <c r="AL30" i="3"/>
  <c r="AO31" i="3"/>
  <c r="R33" i="3"/>
  <c r="AN35" i="3"/>
  <c r="R40" i="3"/>
  <c r="BC51" i="3"/>
  <c r="X16" i="3"/>
  <c r="AG20" i="3"/>
  <c r="AJ29" i="3"/>
  <c r="G52" i="3"/>
  <c r="AL11" i="3"/>
  <c r="AN12" i="3"/>
  <c r="AP12" i="3" s="1"/>
  <c r="F14" i="3"/>
  <c r="AK18" i="3"/>
  <c r="AM18" i="3" s="1"/>
  <c r="R20" i="3"/>
  <c r="AT23" i="3"/>
  <c r="AG35" i="3"/>
  <c r="W14" i="3"/>
  <c r="F18" i="3"/>
  <c r="F19" i="3"/>
  <c r="AF24" i="3"/>
  <c r="AN33" i="3"/>
  <c r="W19" i="3"/>
  <c r="T20" i="3"/>
  <c r="AJ23" i="3"/>
  <c r="Q24" i="3"/>
  <c r="T28" i="3"/>
  <c r="V28" i="3" s="1"/>
  <c r="T11" i="3"/>
  <c r="V11" i="3" s="1"/>
  <c r="AG11" i="3"/>
  <c r="AD11" i="3" s="1"/>
  <c r="G12" i="3"/>
  <c r="T12" i="3"/>
  <c r="AF12" i="3"/>
  <c r="Q13" i="3"/>
  <c r="AG13" i="3"/>
  <c r="AD13" i="3" s="1"/>
  <c r="AT14" i="3"/>
  <c r="U16" i="3"/>
  <c r="AK16" i="3"/>
  <c r="Q17" i="3"/>
  <c r="AG17" i="3"/>
  <c r="AD17" i="3" s="1"/>
  <c r="AO19" i="3"/>
  <c r="AO22" i="3"/>
  <c r="F23" i="3"/>
  <c r="AL23" i="3"/>
  <c r="G24" i="3"/>
  <c r="W24" i="3"/>
  <c r="AI25" i="3"/>
  <c r="G28" i="3"/>
  <c r="X29" i="3"/>
  <c r="X36" i="3"/>
  <c r="BC37" i="3"/>
  <c r="R42" i="3"/>
  <c r="U45" i="3"/>
  <c r="AG46" i="3"/>
  <c r="T13" i="3"/>
  <c r="AK14" i="3"/>
  <c r="BF16" i="3"/>
  <c r="T18" i="3"/>
  <c r="X57" i="3"/>
  <c r="U18" i="3"/>
  <c r="Q19" i="3"/>
  <c r="AG22" i="3"/>
  <c r="AD22" i="3" s="1"/>
  <c r="X31" i="3"/>
  <c r="AI54" i="3"/>
  <c r="G14" i="3"/>
  <c r="AL18" i="3"/>
  <c r="BC20" i="3"/>
  <c r="T23" i="3"/>
  <c r="V23" i="3" s="1"/>
  <c r="AG24" i="3"/>
  <c r="AD24" i="3" s="1"/>
  <c r="R29" i="3"/>
  <c r="G34" i="3"/>
  <c r="U11" i="3"/>
  <c r="AI11" i="3"/>
  <c r="AT11" i="3"/>
  <c r="AG12" i="3"/>
  <c r="AD12" i="3" s="1"/>
  <c r="R13" i="3"/>
  <c r="F16" i="3"/>
  <c r="AL16" i="3"/>
  <c r="R17" i="3"/>
  <c r="AT18" i="3"/>
  <c r="AT19" i="3"/>
  <c r="G23" i="3"/>
  <c r="W23" i="3"/>
  <c r="X24" i="3"/>
  <c r="AN24" i="3"/>
  <c r="T25" i="3"/>
  <c r="AJ25" i="3"/>
  <c r="BC25" i="3"/>
  <c r="BF29" i="3"/>
  <c r="U31" i="3"/>
  <c r="R34" i="3"/>
  <c r="BC34" i="3"/>
  <c r="G48" i="3"/>
  <c r="BF53" i="3"/>
  <c r="U76" i="3"/>
  <c r="R75" i="3"/>
  <c r="G74" i="3"/>
  <c r="AJ73" i="3"/>
  <c r="R71" i="3"/>
  <c r="AJ76" i="3"/>
  <c r="AO75" i="3"/>
  <c r="AG75" i="3"/>
  <c r="AD75" i="3" s="1"/>
  <c r="BF74" i="3"/>
  <c r="AT74" i="3"/>
  <c r="AL74" i="3"/>
  <c r="BC76" i="3"/>
  <c r="AI76" i="3"/>
  <c r="AN75" i="3"/>
  <c r="X75" i="3"/>
  <c r="U74" i="3"/>
  <c r="R73" i="3"/>
  <c r="AN71" i="3"/>
  <c r="X71" i="3"/>
  <c r="U70" i="3"/>
  <c r="R69" i="3"/>
  <c r="R76" i="3"/>
  <c r="G75" i="3"/>
  <c r="AJ74" i="3"/>
  <c r="AO73" i="3"/>
  <c r="AG73" i="3"/>
  <c r="AD73" i="3" s="1"/>
  <c r="AG76" i="3"/>
  <c r="BC75" i="3"/>
  <c r="U75" i="3"/>
  <c r="AO74" i="3"/>
  <c r="AL71" i="3"/>
  <c r="BF69" i="3"/>
  <c r="AT69" i="3"/>
  <c r="AI68" i="3"/>
  <c r="BF67" i="3"/>
  <c r="AT67" i="3"/>
  <c r="AL67" i="3"/>
  <c r="AJ65" i="3"/>
  <c r="AO64" i="3"/>
  <c r="AG64" i="3"/>
  <c r="AJ75" i="3"/>
  <c r="AN74" i="3"/>
  <c r="BC73" i="3"/>
  <c r="AN73" i="3"/>
  <c r="AL70" i="3"/>
  <c r="AJ69" i="3"/>
  <c r="U67" i="3"/>
  <c r="BC65" i="3"/>
  <c r="AI65" i="3"/>
  <c r="AN64" i="3"/>
  <c r="X64" i="3"/>
  <c r="U63" i="3"/>
  <c r="AI75" i="3"/>
  <c r="AK75" i="3" s="1"/>
  <c r="BC74" i="3"/>
  <c r="AI74" i="3"/>
  <c r="X74" i="3"/>
  <c r="AT71" i="3"/>
  <c r="AJ71" i="3"/>
  <c r="AT70" i="3"/>
  <c r="AJ70" i="3"/>
  <c r="R70" i="3"/>
  <c r="AI69" i="3"/>
  <c r="G69" i="3"/>
  <c r="BC68" i="3"/>
  <c r="AG68" i="3"/>
  <c r="AD68" i="3" s="1"/>
  <c r="X68" i="3"/>
  <c r="G68" i="3"/>
  <c r="AJ67" i="3"/>
  <c r="R65" i="3"/>
  <c r="G64" i="3"/>
  <c r="AT76" i="3"/>
  <c r="AT75" i="3"/>
  <c r="AL73" i="3"/>
  <c r="X73" i="3"/>
  <c r="AI71" i="3"/>
  <c r="BF70" i="3"/>
  <c r="AI70" i="3"/>
  <c r="AK70" i="3" s="1"/>
  <c r="AM70" i="3" s="1"/>
  <c r="BC69" i="3"/>
  <c r="AG69" i="3"/>
  <c r="X69" i="3"/>
  <c r="AO68" i="3"/>
  <c r="BC67" i="3"/>
  <c r="AI67" i="3"/>
  <c r="AO65" i="3"/>
  <c r="AG65" i="3"/>
  <c r="BF64" i="3"/>
  <c r="AT64" i="3"/>
  <c r="AL64" i="3"/>
  <c r="BC63" i="3"/>
  <c r="AI63" i="3"/>
  <c r="BF73" i="3"/>
  <c r="AI73" i="3"/>
  <c r="AK73" i="3" s="1"/>
  <c r="U71" i="3"/>
  <c r="X70" i="3"/>
  <c r="G70" i="3"/>
  <c r="AN69" i="3"/>
  <c r="AL68" i="3"/>
  <c r="AN67" i="3"/>
  <c r="X67" i="3"/>
  <c r="U65" i="3"/>
  <c r="AN63" i="3"/>
  <c r="AO62" i="3"/>
  <c r="AG62" i="3"/>
  <c r="G73" i="3"/>
  <c r="BF71" i="3"/>
  <c r="AO71" i="3"/>
  <c r="AO70" i="3"/>
  <c r="U69" i="3"/>
  <c r="BF68" i="3"/>
  <c r="G67" i="3"/>
  <c r="BC64" i="3"/>
  <c r="AJ64" i="3"/>
  <c r="AN62" i="3"/>
  <c r="X62" i="3"/>
  <c r="BC59" i="3"/>
  <c r="AI59" i="3"/>
  <c r="AN58" i="3"/>
  <c r="X58" i="3"/>
  <c r="AO76" i="3"/>
  <c r="BF75" i="3"/>
  <c r="AL75" i="3"/>
  <c r="AN70" i="3"/>
  <c r="AL69" i="3"/>
  <c r="AJ68" i="3"/>
  <c r="R68" i="3"/>
  <c r="R67" i="3"/>
  <c r="AI64" i="3"/>
  <c r="U64" i="3"/>
  <c r="AL63" i="3"/>
  <c r="R63" i="3"/>
  <c r="G62" i="3"/>
  <c r="BF76" i="3"/>
  <c r="X76" i="3"/>
  <c r="AO69" i="3"/>
  <c r="AN68" i="3"/>
  <c r="AP68" i="3" s="1"/>
  <c r="U68" i="3"/>
  <c r="AO67" i="3"/>
  <c r="AL65" i="3"/>
  <c r="AO63" i="3"/>
  <c r="R62" i="3"/>
  <c r="AN76" i="3"/>
  <c r="R74" i="3"/>
  <c r="U73" i="3"/>
  <c r="AT65" i="3"/>
  <c r="G63" i="3"/>
  <c r="AL59" i="3"/>
  <c r="AI58" i="3"/>
  <c r="U57" i="3"/>
  <c r="R56" i="3"/>
  <c r="AN54" i="3"/>
  <c r="AP54" i="3" s="1"/>
  <c r="X54" i="3"/>
  <c r="U53" i="3"/>
  <c r="AJ63" i="3"/>
  <c r="AL62" i="3"/>
  <c r="AT59" i="3"/>
  <c r="R59" i="3"/>
  <c r="G58" i="3"/>
  <c r="AJ57" i="3"/>
  <c r="AO56" i="3"/>
  <c r="AG56" i="3"/>
  <c r="AD56" i="3" s="1"/>
  <c r="AL76" i="3"/>
  <c r="BC71" i="3"/>
  <c r="BC70" i="3"/>
  <c r="AN65" i="3"/>
  <c r="BF63" i="3"/>
  <c r="BC62" i="3"/>
  <c r="U62" i="3"/>
  <c r="BF59" i="3"/>
  <c r="AJ59" i="3"/>
  <c r="BC58" i="3"/>
  <c r="AG58" i="3"/>
  <c r="BC57" i="3"/>
  <c r="AI57" i="3"/>
  <c r="AN56" i="3"/>
  <c r="X56" i="3"/>
  <c r="G65" i="3"/>
  <c r="AG63" i="3"/>
  <c r="AJ62" i="3"/>
  <c r="G59" i="3"/>
  <c r="AO58" i="3"/>
  <c r="R57" i="3"/>
  <c r="D57" i="3" s="1"/>
  <c r="G56" i="3"/>
  <c r="U54" i="3"/>
  <c r="R53" i="3"/>
  <c r="AG70" i="3"/>
  <c r="AD70" i="3" s="1"/>
  <c r="AT62" i="3"/>
  <c r="AO59" i="3"/>
  <c r="BF58" i="3"/>
  <c r="AL57" i="3"/>
  <c r="AL56" i="3"/>
  <c r="AL60" i="3" s="1"/>
  <c r="BF54" i="3"/>
  <c r="AG54" i="3"/>
  <c r="BC53" i="3"/>
  <c r="AO53" i="3"/>
  <c r="BF52" i="3"/>
  <c r="U52" i="3"/>
  <c r="R51" i="3"/>
  <c r="G50" i="3"/>
  <c r="U48" i="3"/>
  <c r="R47" i="3"/>
  <c r="G46" i="3"/>
  <c r="AJ45" i="3"/>
  <c r="G42" i="3"/>
  <c r="AJ41" i="3"/>
  <c r="AO40" i="3"/>
  <c r="AG40" i="3"/>
  <c r="AD40" i="3" s="1"/>
  <c r="G71" i="3"/>
  <c r="X63" i="3"/>
  <c r="AN59" i="3"/>
  <c r="AJ58" i="3"/>
  <c r="AG57" i="3"/>
  <c r="AD57" i="3" s="1"/>
  <c r="BC56" i="3"/>
  <c r="U56" i="3"/>
  <c r="AN53" i="3"/>
  <c r="AP53" i="3" s="1"/>
  <c r="AJ52" i="3"/>
  <c r="AO51" i="3"/>
  <c r="AG51" i="3"/>
  <c r="BF50" i="3"/>
  <c r="AT50" i="3"/>
  <c r="AL50" i="3"/>
  <c r="AJ48" i="3"/>
  <c r="AO47" i="3"/>
  <c r="AG47" i="3"/>
  <c r="BF46" i="3"/>
  <c r="AT46" i="3"/>
  <c r="AL46" i="3"/>
  <c r="BC45" i="3"/>
  <c r="AI45" i="3"/>
  <c r="BF42" i="3"/>
  <c r="AT42" i="3"/>
  <c r="AL42" i="3"/>
  <c r="G76" i="3"/>
  <c r="U59" i="3"/>
  <c r="R58" i="3"/>
  <c r="AJ56" i="3"/>
  <c r="BC54" i="3"/>
  <c r="AO54" i="3"/>
  <c r="AI52" i="3"/>
  <c r="AK52" i="3" s="1"/>
  <c r="AM52" i="3" s="1"/>
  <c r="AN51" i="3"/>
  <c r="AP51" i="3" s="1"/>
  <c r="X51" i="3"/>
  <c r="U50" i="3"/>
  <c r="BC48" i="3"/>
  <c r="AI48" i="3"/>
  <c r="AN47" i="3"/>
  <c r="X47" i="3"/>
  <c r="U46" i="3"/>
  <c r="R45" i="3"/>
  <c r="U42" i="3"/>
  <c r="R41" i="3"/>
  <c r="G40" i="3"/>
  <c r="AJ39" i="3"/>
  <c r="R37" i="3"/>
  <c r="G36" i="3"/>
  <c r="AJ35" i="3"/>
  <c r="AG74" i="3"/>
  <c r="AT68" i="3"/>
  <c r="X65" i="3"/>
  <c r="R64" i="3"/>
  <c r="AI62" i="3"/>
  <c r="AG59" i="3"/>
  <c r="AI56" i="3"/>
  <c r="R54" i="3"/>
  <c r="G54" i="3"/>
  <c r="AL53" i="3"/>
  <c r="G53" i="3"/>
  <c r="BC52" i="3"/>
  <c r="R52" i="3"/>
  <c r="G51" i="3"/>
  <c r="AJ50" i="3"/>
  <c r="R48" i="3"/>
  <c r="G47" i="3"/>
  <c r="AJ46" i="3"/>
  <c r="AO45" i="3"/>
  <c r="AG45" i="3"/>
  <c r="AJ42" i="3"/>
  <c r="AO41" i="3"/>
  <c r="AG41" i="3"/>
  <c r="AD41" i="3" s="1"/>
  <c r="BF40" i="3"/>
  <c r="AT40" i="3"/>
  <c r="AL40" i="3"/>
  <c r="AT54" i="3"/>
  <c r="AI53" i="3"/>
  <c r="AJ51" i="3"/>
  <c r="AN50" i="3"/>
  <c r="X50" i="3"/>
  <c r="AG48" i="3"/>
  <c r="BC47" i="3"/>
  <c r="U47" i="3"/>
  <c r="AO46" i="3"/>
  <c r="AT45" i="3"/>
  <c r="BF41" i="3"/>
  <c r="X40" i="3"/>
  <c r="AN39" i="3"/>
  <c r="AN37" i="3"/>
  <c r="AL36" i="3"/>
  <c r="AT35" i="3"/>
  <c r="AO34" i="3"/>
  <c r="AG34" i="3"/>
  <c r="AD34" i="3" s="1"/>
  <c r="BF33" i="3"/>
  <c r="AT33" i="3"/>
  <c r="AL33" i="3"/>
  <c r="AT63" i="3"/>
  <c r="AT57" i="3"/>
  <c r="BF56" i="3"/>
  <c r="AG53" i="3"/>
  <c r="AD53" i="3" s="1"/>
  <c r="AT52" i="3"/>
  <c r="AI51" i="3"/>
  <c r="AK51" i="3" s="1"/>
  <c r="BC50" i="3"/>
  <c r="AI50" i="3"/>
  <c r="AJ47" i="3"/>
  <c r="AN46" i="3"/>
  <c r="AP46" i="3" s="1"/>
  <c r="X46" i="3"/>
  <c r="AO42" i="3"/>
  <c r="U39" i="3"/>
  <c r="U37" i="3"/>
  <c r="AT36" i="3"/>
  <c r="BF35" i="3"/>
  <c r="AI35" i="3"/>
  <c r="AK35" i="3" s="1"/>
  <c r="AM35" i="3" s="1"/>
  <c r="AN34" i="3"/>
  <c r="X34" i="3"/>
  <c r="U33" i="3"/>
  <c r="BC31" i="3"/>
  <c r="AI31" i="3"/>
  <c r="AK31" i="3" s="1"/>
  <c r="AM31" i="3" s="1"/>
  <c r="AN30" i="3"/>
  <c r="X30" i="3"/>
  <c r="U29" i="3"/>
  <c r="R28" i="3"/>
  <c r="AG67" i="3"/>
  <c r="BF65" i="3"/>
  <c r="U58" i="3"/>
  <c r="AO57" i="3"/>
  <c r="AL54" i="3"/>
  <c r="AO52" i="3"/>
  <c r="AT51" i="3"/>
  <c r="AI47" i="3"/>
  <c r="BC46" i="3"/>
  <c r="AI46" i="3"/>
  <c r="AK46" i="3" s="1"/>
  <c r="BF45" i="3"/>
  <c r="AN45" i="3"/>
  <c r="X45" i="3"/>
  <c r="AN42" i="3"/>
  <c r="AP42" i="3" s="1"/>
  <c r="BC41" i="3"/>
  <c r="AN41" i="3"/>
  <c r="U40" i="3"/>
  <c r="AL39" i="3"/>
  <c r="AL37" i="3"/>
  <c r="BF36" i="3"/>
  <c r="AJ36" i="3"/>
  <c r="R36" i="3"/>
  <c r="R35" i="3"/>
  <c r="AG71" i="3"/>
  <c r="AT58" i="3"/>
  <c r="AN57" i="3"/>
  <c r="AJ54" i="3"/>
  <c r="AN52" i="3"/>
  <c r="X52" i="3"/>
  <c r="AG50" i="3"/>
  <c r="R50" i="3"/>
  <c r="AT48" i="3"/>
  <c r="AT47" i="3"/>
  <c r="G45" i="3"/>
  <c r="BC42" i="3"/>
  <c r="AI42" i="3"/>
  <c r="X42" i="3"/>
  <c r="AT39" i="3"/>
  <c r="R39" i="3"/>
  <c r="BF37" i="3"/>
  <c r="AT37" i="3"/>
  <c r="AI36" i="3"/>
  <c r="BF62" i="3"/>
  <c r="AT53" i="3"/>
  <c r="BF51" i="3"/>
  <c r="AL51" i="3"/>
  <c r="X39" i="3"/>
  <c r="X37" i="3"/>
  <c r="U36" i="3"/>
  <c r="G35" i="3"/>
  <c r="AI34" i="3"/>
  <c r="AG33" i="3"/>
  <c r="AT31" i="3"/>
  <c r="R31" i="3"/>
  <c r="AN29" i="3"/>
  <c r="AP29" i="3" s="1"/>
  <c r="AL58" i="3"/>
  <c r="X41" i="3"/>
  <c r="G41" i="3"/>
  <c r="BF39" i="3"/>
  <c r="AO39" i="3"/>
  <c r="AO37" i="3"/>
  <c r="BC36" i="3"/>
  <c r="AG36" i="3"/>
  <c r="AD36" i="3" s="1"/>
  <c r="BF34" i="3"/>
  <c r="AJ31" i="3"/>
  <c r="BC30" i="3"/>
  <c r="AG30" i="3"/>
  <c r="AD30" i="3" s="1"/>
  <c r="AO48" i="3"/>
  <c r="BF47" i="3"/>
  <c r="AL47" i="3"/>
  <c r="AI39" i="3"/>
  <c r="AJ37" i="3"/>
  <c r="AO35" i="3"/>
  <c r="U34" i="3"/>
  <c r="BC33" i="3"/>
  <c r="AO33" i="3"/>
  <c r="BF31" i="3"/>
  <c r="G31" i="3"/>
  <c r="AO30" i="3"/>
  <c r="AL29" i="3"/>
  <c r="AJ28" i="3"/>
  <c r="AJ32" i="3" s="1"/>
  <c r="Q28" i="3"/>
  <c r="AT73" i="3"/>
  <c r="BF48" i="3"/>
  <c r="X48" i="3"/>
  <c r="AL45" i="3"/>
  <c r="AI41" i="3"/>
  <c r="AK41" i="3" s="1"/>
  <c r="AM41" i="3" s="1"/>
  <c r="BC40" i="3"/>
  <c r="G39" i="3"/>
  <c r="G37" i="3"/>
  <c r="AN36" i="3"/>
  <c r="U35" i="3"/>
  <c r="AT34" i="3"/>
  <c r="AJ34" i="3"/>
  <c r="X33" i="3"/>
  <c r="AL31" i="3"/>
  <c r="AI30" i="3"/>
  <c r="G30" i="3"/>
  <c r="AO29" i="3"/>
  <c r="X53" i="3"/>
  <c r="R46" i="3"/>
  <c r="AI37" i="3"/>
  <c r="AG31" i="3"/>
  <c r="AJ30" i="3"/>
  <c r="AG29" i="3"/>
  <c r="AT28" i="3"/>
  <c r="AI28" i="3"/>
  <c r="X28" i="3"/>
  <c r="AO25" i="3"/>
  <c r="AG25" i="3"/>
  <c r="Q25" i="3"/>
  <c r="BF24" i="3"/>
  <c r="AT24" i="3"/>
  <c r="AL24" i="3"/>
  <c r="F24" i="3"/>
  <c r="BC23" i="3"/>
  <c r="AI23" i="3"/>
  <c r="AN22" i="3"/>
  <c r="AF22" i="3"/>
  <c r="X22" i="3"/>
  <c r="AN20" i="3"/>
  <c r="AP20" i="3" s="1"/>
  <c r="AF20" i="3"/>
  <c r="X20" i="3"/>
  <c r="AK19" i="3"/>
  <c r="U19" i="3"/>
  <c r="R18" i="3"/>
  <c r="W17" i="3"/>
  <c r="Y17" i="3" s="1"/>
  <c r="G17" i="3"/>
  <c r="AJ16" i="3"/>
  <c r="T16" i="3"/>
  <c r="BC14" i="3"/>
  <c r="AI14" i="3"/>
  <c r="AN13" i="3"/>
  <c r="AF13" i="3"/>
  <c r="X13" i="3"/>
  <c r="AK12" i="3"/>
  <c r="U12" i="3"/>
  <c r="R11" i="3"/>
  <c r="BF57" i="3"/>
  <c r="AL52" i="3"/>
  <c r="AN48" i="3"/>
  <c r="AP48" i="3" s="1"/>
  <c r="AN40" i="3"/>
  <c r="AP40" i="3" s="1"/>
  <c r="AG37" i="3"/>
  <c r="AO36" i="3"/>
  <c r="BC35" i="3"/>
  <c r="X35" i="3"/>
  <c r="R30" i="3"/>
  <c r="AT29" i="3"/>
  <c r="BF28" i="3"/>
  <c r="AG28" i="3"/>
  <c r="AD28" i="3" s="1"/>
  <c r="W28" i="3"/>
  <c r="AN25" i="3"/>
  <c r="AF25" i="3"/>
  <c r="X25" i="3"/>
  <c r="AK24" i="3"/>
  <c r="U24" i="3"/>
  <c r="R23" i="3"/>
  <c r="W22" i="3"/>
  <c r="G22" i="3"/>
  <c r="W20" i="3"/>
  <c r="G20" i="3"/>
  <c r="AJ19" i="3"/>
  <c r="T19" i="3"/>
  <c r="AO18" i="3"/>
  <c r="AG18" i="3"/>
  <c r="AD18" i="3" s="1"/>
  <c r="Q18" i="3"/>
  <c r="BF17" i="3"/>
  <c r="AT17" i="3"/>
  <c r="AL17" i="3"/>
  <c r="F17" i="3"/>
  <c r="BC16" i="3"/>
  <c r="AI16" i="3"/>
  <c r="R14" i="3"/>
  <c r="W13" i="3"/>
  <c r="G13" i="3"/>
  <c r="AJ12" i="3"/>
  <c r="AG52" i="3"/>
  <c r="AD52" i="3" s="1"/>
  <c r="U51" i="3"/>
  <c r="AT41" i="3"/>
  <c r="W25" i="3"/>
  <c r="Y25" i="3" s="1"/>
  <c r="G25" i="3"/>
  <c r="AJ24" i="3"/>
  <c r="T24" i="3"/>
  <c r="V24" i="3" s="1"/>
  <c r="AO23" i="3"/>
  <c r="AG23" i="3"/>
  <c r="AD23" i="3" s="1"/>
  <c r="Q23" i="3"/>
  <c r="BF22" i="3"/>
  <c r="AT22" i="3"/>
  <c r="AL22" i="3"/>
  <c r="F22" i="3"/>
  <c r="BF20" i="3"/>
  <c r="AT20" i="3"/>
  <c r="AL20" i="3"/>
  <c r="F20" i="3"/>
  <c r="BC19" i="3"/>
  <c r="AI19" i="3"/>
  <c r="AN18" i="3"/>
  <c r="AP18" i="3" s="1"/>
  <c r="AF18" i="3"/>
  <c r="X18" i="3"/>
  <c r="AK17" i="3"/>
  <c r="U17" i="3"/>
  <c r="R16" i="3"/>
  <c r="AO14" i="3"/>
  <c r="AG14" i="3"/>
  <c r="Q14" i="3"/>
  <c r="BF13" i="3"/>
  <c r="AT13" i="3"/>
  <c r="AL13" i="3"/>
  <c r="F13" i="3"/>
  <c r="BC12" i="3"/>
  <c r="AI12" i="3"/>
  <c r="AN11" i="3"/>
  <c r="AF11" i="3"/>
  <c r="X11" i="3"/>
  <c r="G11" i="3"/>
  <c r="AL48" i="3"/>
  <c r="AG42" i="3"/>
  <c r="AL41" i="3"/>
  <c r="AJ40" i="3"/>
  <c r="AG39" i="3"/>
  <c r="AD39" i="3" s="1"/>
  <c r="G33" i="3"/>
  <c r="AT30" i="3"/>
  <c r="BC28" i="3"/>
  <c r="AO28" i="3"/>
  <c r="U28" i="3"/>
  <c r="BF25" i="3"/>
  <c r="AT25" i="3"/>
  <c r="AL25" i="3"/>
  <c r="F25" i="3"/>
  <c r="BC24" i="3"/>
  <c r="AI24" i="3"/>
  <c r="AN23" i="3"/>
  <c r="AF23" i="3"/>
  <c r="X23" i="3"/>
  <c r="AK22" i="3"/>
  <c r="U22" i="3"/>
  <c r="AK20" i="3"/>
  <c r="U20" i="3"/>
  <c r="R19" i="3"/>
  <c r="W18" i="3"/>
  <c r="G18" i="3"/>
  <c r="AJ17" i="3"/>
  <c r="T17" i="3"/>
  <c r="AO16" i="3"/>
  <c r="AG16" i="3"/>
  <c r="AD16" i="3" s="1"/>
  <c r="Q16" i="3"/>
  <c r="AN14" i="3"/>
  <c r="AP14" i="3" s="1"/>
  <c r="AF14" i="3"/>
  <c r="X14" i="3"/>
  <c r="AK13" i="3"/>
  <c r="AM13" i="3" s="1"/>
  <c r="U13" i="3"/>
  <c r="R12" i="3"/>
  <c r="W11" i="3"/>
  <c r="F11" i="3"/>
  <c r="AK11" i="3"/>
  <c r="BF12" i="3"/>
  <c r="AN16" i="3"/>
  <c r="AN17" i="3"/>
  <c r="G29" i="3"/>
  <c r="AO50" i="3"/>
  <c r="AL14" i="3"/>
  <c r="AO17" i="3"/>
  <c r="AG19" i="3"/>
  <c r="AD19" i="3" s="1"/>
  <c r="Q22" i="3"/>
  <c r="BF30" i="3"/>
  <c r="X59" i="3"/>
  <c r="AO11" i="3"/>
  <c r="AL19" i="3"/>
  <c r="R22" i="3"/>
  <c r="AL35" i="3"/>
  <c r="Q11" i="3"/>
  <c r="BF19" i="3"/>
  <c r="AI22" i="3"/>
  <c r="AN28" i="3"/>
  <c r="AN31" i="3"/>
  <c r="AP31" i="3" s="1"/>
  <c r="AJ11" i="3"/>
  <c r="W12" i="3"/>
  <c r="AL12" i="3"/>
  <c r="AI13" i="3"/>
  <c r="BC13" i="3"/>
  <c r="T14" i="3"/>
  <c r="V14" i="3" s="1"/>
  <c r="AJ14" i="3"/>
  <c r="BB15" i="3"/>
  <c r="G16" i="3"/>
  <c r="W16" i="3"/>
  <c r="AI17" i="3"/>
  <c r="BC17" i="3"/>
  <c r="AI18" i="3"/>
  <c r="BF23" i="3"/>
  <c r="AO24" i="3"/>
  <c r="U25" i="3"/>
  <c r="AK25" i="3"/>
  <c r="AM25" i="3" s="1"/>
  <c r="AZ27" i="3"/>
  <c r="AI29" i="3"/>
  <c r="AI33" i="3"/>
  <c r="BC39" i="3"/>
  <c r="AI40" i="3"/>
  <c r="AK40" i="3" s="1"/>
  <c r="AM40" i="3" s="1"/>
  <c r="AC79" i="3"/>
  <c r="AD77" i="3"/>
  <c r="AE77" i="3" s="1"/>
  <c r="AG78" i="3"/>
  <c r="AH78" i="3"/>
  <c r="AK27" i="5"/>
  <c r="AK21" i="5"/>
  <c r="AK24" i="5"/>
  <c r="AK17" i="5"/>
  <c r="AK22" i="5"/>
  <c r="AK23" i="5"/>
  <c r="AK11" i="5"/>
  <c r="AK12" i="5"/>
  <c r="AK18" i="5"/>
  <c r="AK10" i="5"/>
  <c r="AK19" i="5"/>
  <c r="AK13" i="5"/>
  <c r="AK15" i="5"/>
  <c r="AK16" i="5"/>
  <c r="AM19" i="3" l="1"/>
  <c r="V17" i="3"/>
  <c r="V19" i="3"/>
  <c r="AI32" i="3"/>
  <c r="AK53" i="3"/>
  <c r="AM53" i="3" s="1"/>
  <c r="AK63" i="3"/>
  <c r="AM63" i="3" s="1"/>
  <c r="Y23" i="3"/>
  <c r="AP30" i="3"/>
  <c r="AO21" i="3"/>
  <c r="AP17" i="3"/>
  <c r="AK36" i="3"/>
  <c r="AM36" i="3" s="1"/>
  <c r="AL43" i="3"/>
  <c r="AP59" i="3"/>
  <c r="AJ26" i="3"/>
  <c r="AK57" i="3"/>
  <c r="AM57" i="3" s="1"/>
  <c r="AK48" i="3"/>
  <c r="AJ21" i="3"/>
  <c r="V22" i="3"/>
  <c r="AP47" i="3"/>
  <c r="AM17" i="3"/>
  <c r="AP25" i="3"/>
  <c r="AM12" i="3"/>
  <c r="AM14" i="3"/>
  <c r="Y19" i="3"/>
  <c r="AA19" i="3"/>
  <c r="O19" i="3"/>
  <c r="AG43" i="3"/>
  <c r="AD42" i="3"/>
  <c r="O46" i="3"/>
  <c r="AA46" i="3"/>
  <c r="AD54" i="3"/>
  <c r="AG55" i="3"/>
  <c r="AP62" i="3"/>
  <c r="AN66" i="3"/>
  <c r="AM73" i="3"/>
  <c r="AA34" i="3"/>
  <c r="O34" i="3"/>
  <c r="AN38" i="3"/>
  <c r="AP38" i="3" s="1"/>
  <c r="AP33" i="3"/>
  <c r="Z11" i="3"/>
  <c r="N11" i="3"/>
  <c r="S11" i="3"/>
  <c r="AG38" i="3"/>
  <c r="AD37" i="3"/>
  <c r="AG72" i="3"/>
  <c r="AD72" i="3" s="1"/>
  <c r="AD71" i="3"/>
  <c r="AA45" i="3"/>
  <c r="O45" i="3"/>
  <c r="J65" i="3"/>
  <c r="D64" i="3"/>
  <c r="AR64" i="3"/>
  <c r="AM28" i="3"/>
  <c r="N22" i="3"/>
  <c r="P22" i="3" s="1"/>
  <c r="Z22" i="3"/>
  <c r="AB22" i="3" s="1"/>
  <c r="S22" i="3"/>
  <c r="J18" i="3"/>
  <c r="AR17" i="3"/>
  <c r="D17" i="3"/>
  <c r="BJ17" i="3"/>
  <c r="AD50" i="3"/>
  <c r="AL55" i="3"/>
  <c r="AO72" i="3"/>
  <c r="AN72" i="3"/>
  <c r="AP67" i="3"/>
  <c r="AT15" i="3"/>
  <c r="S19" i="3"/>
  <c r="Z19" i="3"/>
  <c r="N19" i="3"/>
  <c r="P19" i="3" s="1"/>
  <c r="O20" i="3"/>
  <c r="AA20" i="3"/>
  <c r="N20" i="3"/>
  <c r="Z20" i="3"/>
  <c r="S20" i="3"/>
  <c r="Y12" i="3"/>
  <c r="AR33" i="3"/>
  <c r="G38" i="3"/>
  <c r="BJ33" i="3"/>
  <c r="J34" i="3"/>
  <c r="D33" i="3"/>
  <c r="Y13" i="3"/>
  <c r="BF32" i="3"/>
  <c r="AC13" i="3"/>
  <c r="AE13" i="3" s="1"/>
  <c r="AH13" i="3"/>
  <c r="AT55" i="3"/>
  <c r="O51" i="3"/>
  <c r="AA51" i="3"/>
  <c r="AJ66" i="3"/>
  <c r="AK71" i="3"/>
  <c r="AM71" i="3" s="1"/>
  <c r="AP64" i="3"/>
  <c r="AA69" i="3"/>
  <c r="O69" i="3"/>
  <c r="N24" i="3"/>
  <c r="S24" i="3"/>
  <c r="Z24" i="3"/>
  <c r="AP35" i="3"/>
  <c r="AQ28" i="3"/>
  <c r="C28" i="3"/>
  <c r="I29" i="3"/>
  <c r="H28" i="3"/>
  <c r="BI28" i="3"/>
  <c r="AC19" i="3"/>
  <c r="AE19" i="3" s="1"/>
  <c r="AH19" i="3"/>
  <c r="AI26" i="3"/>
  <c r="BJ29" i="3"/>
  <c r="AR29" i="3"/>
  <c r="D29" i="3"/>
  <c r="J30" i="3"/>
  <c r="AP23" i="3"/>
  <c r="BF26" i="3"/>
  <c r="AI21" i="3"/>
  <c r="J23" i="3"/>
  <c r="G26" i="3"/>
  <c r="BJ22" i="3"/>
  <c r="D22" i="3"/>
  <c r="AR22" i="3"/>
  <c r="AF26" i="3"/>
  <c r="AC25" i="3"/>
  <c r="AH25" i="3"/>
  <c r="O11" i="3"/>
  <c r="AA11" i="3"/>
  <c r="V16" i="3"/>
  <c r="AK37" i="3"/>
  <c r="AM37" i="3" s="1"/>
  <c r="Z28" i="3"/>
  <c r="N28" i="3"/>
  <c r="S28" i="3"/>
  <c r="BC38" i="3"/>
  <c r="AK34" i="3"/>
  <c r="AM34" i="3" s="1"/>
  <c r="AA39" i="3"/>
  <c r="O39" i="3"/>
  <c r="AP57" i="3"/>
  <c r="AA28" i="3"/>
  <c r="O28" i="3"/>
  <c r="AP34" i="3"/>
  <c r="BF60" i="3"/>
  <c r="J52" i="3"/>
  <c r="D51" i="3"/>
  <c r="AR51" i="3"/>
  <c r="AA54" i="3"/>
  <c r="O54" i="3"/>
  <c r="O64" i="3"/>
  <c r="AA64" i="3"/>
  <c r="O41" i="3"/>
  <c r="AA41" i="3"/>
  <c r="AJ60" i="3"/>
  <c r="AT66" i="3"/>
  <c r="AA59" i="3"/>
  <c r="O59" i="3"/>
  <c r="AK64" i="3"/>
  <c r="AM64" i="3" s="1"/>
  <c r="AD69" i="3"/>
  <c r="J69" i="3"/>
  <c r="AR68" i="3"/>
  <c r="D68" i="3"/>
  <c r="AM75" i="3"/>
  <c r="AD64" i="3"/>
  <c r="AK68" i="3"/>
  <c r="AM68" i="3" s="1"/>
  <c r="O73" i="3"/>
  <c r="AA73" i="3"/>
  <c r="AK54" i="3"/>
  <c r="AM54" i="3" s="1"/>
  <c r="V18" i="3"/>
  <c r="AR24" i="3"/>
  <c r="D24" i="3"/>
  <c r="L24" i="3" s="1"/>
  <c r="BJ24" i="3"/>
  <c r="J25" i="3"/>
  <c r="AM16" i="3"/>
  <c r="AK21" i="3"/>
  <c r="J53" i="3"/>
  <c r="AR52" i="3"/>
  <c r="D52" i="3"/>
  <c r="BF15" i="3"/>
  <c r="AL32" i="3"/>
  <c r="AJ38" i="3"/>
  <c r="BC43" i="3"/>
  <c r="BC32" i="3"/>
  <c r="BC21" i="3"/>
  <c r="AT43" i="3"/>
  <c r="AK45" i="3"/>
  <c r="AI49" i="3"/>
  <c r="AG66" i="3"/>
  <c r="AD65" i="3"/>
  <c r="BF21" i="3"/>
  <c r="AD35" i="3"/>
  <c r="I18" i="3"/>
  <c r="C17" i="3"/>
  <c r="H17" i="3"/>
  <c r="AQ17" i="3"/>
  <c r="BI17" i="3"/>
  <c r="I25" i="3"/>
  <c r="AQ24" i="3"/>
  <c r="C24" i="3"/>
  <c r="BI24" i="3"/>
  <c r="H24" i="3"/>
  <c r="O50" i="3"/>
  <c r="AA50" i="3"/>
  <c r="D63" i="3"/>
  <c r="J64" i="3"/>
  <c r="AR63" i="3"/>
  <c r="BF77" i="3"/>
  <c r="AH16" i="3"/>
  <c r="AC16" i="3"/>
  <c r="AE16" i="3" s="1"/>
  <c r="J14" i="3"/>
  <c r="D13" i="3"/>
  <c r="AR13" i="3"/>
  <c r="BJ13" i="3"/>
  <c r="AT32" i="3"/>
  <c r="AA52" i="3"/>
  <c r="O52" i="3"/>
  <c r="AJ43" i="3"/>
  <c r="O68" i="3"/>
  <c r="AA68" i="3"/>
  <c r="O40" i="3"/>
  <c r="AA40" i="3"/>
  <c r="Y16" i="3"/>
  <c r="AK15" i="3"/>
  <c r="AM11" i="3"/>
  <c r="BJ11" i="3"/>
  <c r="J12" i="3"/>
  <c r="D11" i="3"/>
  <c r="G15" i="3"/>
  <c r="AR11" i="3"/>
  <c r="AA23" i="3"/>
  <c r="O23" i="3"/>
  <c r="BC55" i="3"/>
  <c r="AG60" i="3"/>
  <c r="AD59" i="3"/>
  <c r="AR76" i="3"/>
  <c r="D76" i="3"/>
  <c r="AR67" i="3"/>
  <c r="D67" i="3"/>
  <c r="G72" i="3"/>
  <c r="X72" i="3" s="1"/>
  <c r="J68" i="3"/>
  <c r="AI72" i="3"/>
  <c r="AK67" i="3"/>
  <c r="G32" i="3"/>
  <c r="BJ28" i="3"/>
  <c r="J29" i="3"/>
  <c r="AR28" i="3"/>
  <c r="D28" i="3"/>
  <c r="N13" i="3"/>
  <c r="S13" i="3"/>
  <c r="Z13" i="3"/>
  <c r="AB13" i="3" s="1"/>
  <c r="BI18" i="3"/>
  <c r="H18" i="3"/>
  <c r="C18" i="3"/>
  <c r="AQ18" i="3"/>
  <c r="I19" i="3"/>
  <c r="AR16" i="3"/>
  <c r="D16" i="3"/>
  <c r="BJ16" i="3"/>
  <c r="J17" i="3"/>
  <c r="G21" i="3"/>
  <c r="AJ15" i="3"/>
  <c r="AJ27" i="3" s="1"/>
  <c r="F15" i="3"/>
  <c r="I12" i="3"/>
  <c r="BI11" i="3"/>
  <c r="H11" i="3"/>
  <c r="AQ11" i="3"/>
  <c r="AS11" i="3" s="1"/>
  <c r="C11" i="3"/>
  <c r="AH14" i="3"/>
  <c r="AF15" i="3"/>
  <c r="AC14" i="3"/>
  <c r="BJ18" i="3"/>
  <c r="J19" i="3"/>
  <c r="D18" i="3"/>
  <c r="AR18" i="3"/>
  <c r="AM22" i="3"/>
  <c r="AK26" i="3"/>
  <c r="X15" i="3"/>
  <c r="AH18" i="3"/>
  <c r="AC18" i="3"/>
  <c r="AE18" i="3" s="1"/>
  <c r="H22" i="3"/>
  <c r="I23" i="3"/>
  <c r="AQ22" i="3"/>
  <c r="BI22" i="3"/>
  <c r="C22" i="3"/>
  <c r="F26" i="3"/>
  <c r="W26" i="3" s="1"/>
  <c r="Y26" i="3" s="1"/>
  <c r="Y20" i="3"/>
  <c r="AP13" i="3"/>
  <c r="X26" i="3"/>
  <c r="AD29" i="3"/>
  <c r="D30" i="3"/>
  <c r="J31" i="3"/>
  <c r="AR30" i="3"/>
  <c r="BJ30" i="3"/>
  <c r="AP36" i="3"/>
  <c r="J33" i="3"/>
  <c r="AR31" i="3"/>
  <c r="BJ31" i="3"/>
  <c r="D31" i="3"/>
  <c r="AI43" i="3"/>
  <c r="AK39" i="3"/>
  <c r="BF43" i="3"/>
  <c r="AK42" i="3"/>
  <c r="AM42" i="3" s="1"/>
  <c r="AP52" i="3"/>
  <c r="AA35" i="3"/>
  <c r="O35" i="3"/>
  <c r="AM46" i="3"/>
  <c r="AM51" i="3"/>
  <c r="AL38" i="3"/>
  <c r="AP37" i="3"/>
  <c r="AG49" i="3"/>
  <c r="AD48" i="3"/>
  <c r="AA48" i="3"/>
  <c r="O48" i="3"/>
  <c r="J54" i="3"/>
  <c r="AR53" i="3"/>
  <c r="D53" i="3"/>
  <c r="J41" i="3"/>
  <c r="AR40" i="3"/>
  <c r="D40" i="3"/>
  <c r="BF55" i="3"/>
  <c r="AD63" i="3"/>
  <c r="AD58" i="3"/>
  <c r="O74" i="3"/>
  <c r="AA74" i="3"/>
  <c r="AA63" i="3"/>
  <c r="O63" i="3"/>
  <c r="AK59" i="3"/>
  <c r="AM59" i="3" s="1"/>
  <c r="AD62" i="3"/>
  <c r="AP69" i="3"/>
  <c r="BC72" i="3"/>
  <c r="AA65" i="3"/>
  <c r="O65" i="3"/>
  <c r="AK69" i="3"/>
  <c r="AM69" i="3" s="1"/>
  <c r="AK65" i="3"/>
  <c r="AM65" i="3" s="1"/>
  <c r="BC77" i="3"/>
  <c r="AL72" i="3"/>
  <c r="O75" i="3"/>
  <c r="AA75" i="3"/>
  <c r="O17" i="3"/>
  <c r="AA17" i="3"/>
  <c r="AD46" i="3"/>
  <c r="AC12" i="3"/>
  <c r="AE12" i="3" s="1"/>
  <c r="AH12" i="3"/>
  <c r="Y14" i="3"/>
  <c r="AQ14" i="3"/>
  <c r="C14" i="3"/>
  <c r="BI14" i="3"/>
  <c r="I16" i="3"/>
  <c r="H14" i="3"/>
  <c r="AG21" i="3"/>
  <c r="AD21" i="3" s="1"/>
  <c r="AD20" i="3"/>
  <c r="O25" i="3"/>
  <c r="AA25" i="3"/>
  <c r="AT21" i="3"/>
  <c r="BC15" i="3"/>
  <c r="AA12" i="3"/>
  <c r="O12" i="3"/>
  <c r="AA16" i="3"/>
  <c r="O16" i="3"/>
  <c r="S23" i="3"/>
  <c r="Z23" i="3"/>
  <c r="AB23" i="3" s="1"/>
  <c r="N23" i="3"/>
  <c r="P23" i="3" s="1"/>
  <c r="Y22" i="3"/>
  <c r="AT49" i="3"/>
  <c r="O58" i="3"/>
  <c r="AA58" i="3"/>
  <c r="J51" i="3"/>
  <c r="AR50" i="3"/>
  <c r="D50" i="3"/>
  <c r="G55" i="3"/>
  <c r="AA57" i="3"/>
  <c r="O57" i="3"/>
  <c r="L57" i="3" s="1"/>
  <c r="AP16" i="3"/>
  <c r="AN21" i="3"/>
  <c r="H13" i="3"/>
  <c r="I14" i="3"/>
  <c r="C13" i="3"/>
  <c r="AQ13" i="3"/>
  <c r="BI13" i="3"/>
  <c r="Y28" i="3"/>
  <c r="AA37" i="3"/>
  <c r="O37" i="3"/>
  <c r="AJ49" i="3"/>
  <c r="BC66" i="3"/>
  <c r="G66" i="3"/>
  <c r="J63" i="3"/>
  <c r="D62" i="3"/>
  <c r="AR62" i="3"/>
  <c r="J75" i="3"/>
  <c r="AR74" i="3"/>
  <c r="D74" i="3"/>
  <c r="AC24" i="3"/>
  <c r="AE24" i="3" s="1"/>
  <c r="AH24" i="3"/>
  <c r="BC26" i="3"/>
  <c r="AK33" i="3"/>
  <c r="AI38" i="3"/>
  <c r="BI25" i="3"/>
  <c r="H25" i="3"/>
  <c r="I28" i="3"/>
  <c r="AQ25" i="3"/>
  <c r="C25" i="3"/>
  <c r="AF21" i="3"/>
  <c r="AC20" i="3"/>
  <c r="AH20" i="3"/>
  <c r="BF66" i="3"/>
  <c r="J62" i="3"/>
  <c r="AR59" i="3"/>
  <c r="D59" i="3"/>
  <c r="AP75" i="3"/>
  <c r="V13" i="3"/>
  <c r="AQ23" i="3"/>
  <c r="AS23" i="3" s="1"/>
  <c r="C23" i="3"/>
  <c r="BI23" i="3"/>
  <c r="H23" i="3"/>
  <c r="I24" i="3"/>
  <c r="O22" i="3"/>
  <c r="AA22" i="3"/>
  <c r="AA31" i="3"/>
  <c r="O31" i="3"/>
  <c r="AD74" i="3"/>
  <c r="BC60" i="3"/>
  <c r="AP65" i="3"/>
  <c r="O56" i="3"/>
  <c r="AA56" i="3"/>
  <c r="J70" i="3"/>
  <c r="AR69" i="3"/>
  <c r="D69" i="3"/>
  <c r="AN77" i="3"/>
  <c r="AP73" i="3"/>
  <c r="AJ77" i="3"/>
  <c r="AI15" i="3"/>
  <c r="AR19" i="3"/>
  <c r="D19" i="3"/>
  <c r="L19" i="3" s="1"/>
  <c r="BJ19" i="3"/>
  <c r="J20" i="3"/>
  <c r="AD78" i="3"/>
  <c r="AE78" i="3" s="1"/>
  <c r="AG79" i="3"/>
  <c r="W15" i="3"/>
  <c r="Y11" i="3"/>
  <c r="Y18" i="3"/>
  <c r="AH11" i="3"/>
  <c r="AC11" i="3"/>
  <c r="AE11" i="3" s="1"/>
  <c r="S14" i="3"/>
  <c r="Z14" i="3"/>
  <c r="AB14" i="3" s="1"/>
  <c r="N14" i="3"/>
  <c r="AL26" i="3"/>
  <c r="Z18" i="3"/>
  <c r="S18" i="3"/>
  <c r="N18" i="3"/>
  <c r="AM24" i="3"/>
  <c r="O30" i="3"/>
  <c r="AA30" i="3"/>
  <c r="AC22" i="3"/>
  <c r="AE22" i="3" s="1"/>
  <c r="AH22" i="3"/>
  <c r="N25" i="3"/>
  <c r="P25" i="3" s="1"/>
  <c r="Z25" i="3"/>
  <c r="AB25" i="3" s="1"/>
  <c r="S25" i="3"/>
  <c r="AK30" i="3"/>
  <c r="AM30" i="3" s="1"/>
  <c r="D37" i="3"/>
  <c r="J39" i="3"/>
  <c r="AR37" i="3"/>
  <c r="AR41" i="3"/>
  <c r="D41" i="3"/>
  <c r="J42" i="3"/>
  <c r="AD33" i="3"/>
  <c r="O36" i="3"/>
  <c r="AA36" i="3"/>
  <c r="AT38" i="3"/>
  <c r="AN43" i="3"/>
  <c r="AP39" i="3"/>
  <c r="AD45" i="3"/>
  <c r="AJ55" i="3"/>
  <c r="AK62" i="3"/>
  <c r="AI66" i="3"/>
  <c r="AI78" i="3" s="1"/>
  <c r="AM48" i="3"/>
  <c r="AD47" i="3"/>
  <c r="AD51" i="3"/>
  <c r="J57" i="3"/>
  <c r="G60" i="3"/>
  <c r="D56" i="3"/>
  <c r="AR56" i="3"/>
  <c r="AR65" i="3"/>
  <c r="D65" i="3"/>
  <c r="J67" i="3"/>
  <c r="J59" i="3"/>
  <c r="AR58" i="3"/>
  <c r="D58" i="3"/>
  <c r="AK58" i="3"/>
  <c r="AM58" i="3" s="1"/>
  <c r="AP76" i="3"/>
  <c r="J71" i="3"/>
  <c r="AR70" i="3"/>
  <c r="D70" i="3"/>
  <c r="AL77" i="3"/>
  <c r="AJ72" i="3"/>
  <c r="AK74" i="3"/>
  <c r="AM74" i="3" s="1"/>
  <c r="AI77" i="3"/>
  <c r="AP74" i="3"/>
  <c r="AT72" i="3"/>
  <c r="J76" i="3"/>
  <c r="D75" i="3"/>
  <c r="AR75" i="3"/>
  <c r="AR48" i="3"/>
  <c r="D48" i="3"/>
  <c r="J50" i="3"/>
  <c r="V25" i="3"/>
  <c r="AL21" i="3"/>
  <c r="J35" i="3"/>
  <c r="BJ34" i="3"/>
  <c r="AR34" i="3"/>
  <c r="D34" i="3"/>
  <c r="V12" i="3"/>
  <c r="V20" i="3"/>
  <c r="AA33" i="3"/>
  <c r="O33" i="3"/>
  <c r="AA24" i="3"/>
  <c r="O24" i="3"/>
  <c r="AP19" i="3"/>
  <c r="S12" i="3"/>
  <c r="Z12" i="3"/>
  <c r="AB12" i="3" s="1"/>
  <c r="N12" i="3"/>
  <c r="AT60" i="3"/>
  <c r="AR57" i="3"/>
  <c r="H20" i="3"/>
  <c r="AQ20" i="3"/>
  <c r="I22" i="3"/>
  <c r="C20" i="3"/>
  <c r="BI20" i="3"/>
  <c r="AR35" i="3"/>
  <c r="D35" i="3"/>
  <c r="L35" i="3" s="1"/>
  <c r="J36" i="3"/>
  <c r="AK56" i="3"/>
  <c r="AI60" i="3"/>
  <c r="J73" i="3"/>
  <c r="D71" i="3"/>
  <c r="AR71" i="3"/>
  <c r="AA76" i="3"/>
  <c r="O76" i="3"/>
  <c r="O13" i="3"/>
  <c r="AA13" i="3"/>
  <c r="AC17" i="3"/>
  <c r="AE17" i="3" s="1"/>
  <c r="AH17" i="3"/>
  <c r="AI44" i="3"/>
  <c r="J48" i="3"/>
  <c r="D47" i="3"/>
  <c r="AR47" i="3"/>
  <c r="BC49" i="3"/>
  <c r="AP56" i="3"/>
  <c r="AN60" i="3"/>
  <c r="AA67" i="3"/>
  <c r="O67" i="3"/>
  <c r="BJ23" i="3"/>
  <c r="AR23" i="3"/>
  <c r="D23" i="3"/>
  <c r="J24" i="3"/>
  <c r="AM20" i="3"/>
  <c r="AL49" i="3"/>
  <c r="AN49" i="3"/>
  <c r="AP45" i="3"/>
  <c r="AI55" i="3"/>
  <c r="AK50" i="3"/>
  <c r="AL66" i="3"/>
  <c r="AR73" i="3"/>
  <c r="D73" i="3"/>
  <c r="G77" i="3"/>
  <c r="X77" i="3" s="1"/>
  <c r="J74" i="3"/>
  <c r="AQ19" i="3"/>
  <c r="AS19" i="3" s="1"/>
  <c r="C19" i="3"/>
  <c r="BI19" i="3"/>
  <c r="I20" i="3"/>
  <c r="H19" i="3"/>
  <c r="AR20" i="3"/>
  <c r="D20" i="3"/>
  <c r="J22" i="3"/>
  <c r="BJ20" i="3"/>
  <c r="BF49" i="3"/>
  <c r="J47" i="3"/>
  <c r="AR46" i="3"/>
  <c r="D46" i="3"/>
  <c r="AA53" i="3"/>
  <c r="O53" i="3"/>
  <c r="AP58" i="3"/>
  <c r="AK76" i="3"/>
  <c r="AM76" i="3" s="1"/>
  <c r="AK29" i="3"/>
  <c r="AM29" i="3" s="1"/>
  <c r="AZ79" i="3"/>
  <c r="BB79" i="3" s="1"/>
  <c r="BB27" i="3"/>
  <c r="AP28" i="3"/>
  <c r="AN32" i="3"/>
  <c r="AO55" i="3"/>
  <c r="S16" i="3"/>
  <c r="Z16" i="3"/>
  <c r="AB16" i="3" s="1"/>
  <c r="N16" i="3"/>
  <c r="P16" i="3" s="1"/>
  <c r="AH23" i="3"/>
  <c r="AC23" i="3"/>
  <c r="AE23" i="3" s="1"/>
  <c r="AP11" i="3"/>
  <c r="AN15" i="3"/>
  <c r="AG15" i="3"/>
  <c r="AD15" i="3" s="1"/>
  <c r="AD14" i="3"/>
  <c r="AT26" i="3"/>
  <c r="J28" i="3"/>
  <c r="D25" i="3"/>
  <c r="L25" i="3" s="1"/>
  <c r="AR25" i="3"/>
  <c r="BJ25" i="3"/>
  <c r="AA14" i="3"/>
  <c r="O14" i="3"/>
  <c r="O18" i="3"/>
  <c r="AA18" i="3"/>
  <c r="AN26" i="3"/>
  <c r="AP22" i="3"/>
  <c r="AD25" i="3"/>
  <c r="AG26" i="3"/>
  <c r="AD31" i="3"/>
  <c r="AG32" i="3"/>
  <c r="AR39" i="3"/>
  <c r="D39" i="3"/>
  <c r="G43" i="3"/>
  <c r="J40" i="3"/>
  <c r="AT77" i="3"/>
  <c r="AO38" i="3"/>
  <c r="X43" i="3"/>
  <c r="AR45" i="3"/>
  <c r="D45" i="3"/>
  <c r="G49" i="3"/>
  <c r="X49" i="3" s="1"/>
  <c r="J46" i="3"/>
  <c r="AP41" i="3"/>
  <c r="AK47" i="3"/>
  <c r="AM47" i="3" s="1"/>
  <c r="AD67" i="3"/>
  <c r="BF38" i="3"/>
  <c r="AN55" i="3"/>
  <c r="AP55" i="3" s="1"/>
  <c r="AP50" i="3"/>
  <c r="J56" i="3"/>
  <c r="D54" i="3"/>
  <c r="AR54" i="3"/>
  <c r="J37" i="3"/>
  <c r="AR36" i="3"/>
  <c r="D36" i="3"/>
  <c r="J45" i="3"/>
  <c r="AR42" i="3"/>
  <c r="D42" i="3"/>
  <c r="O47" i="3"/>
  <c r="AA47" i="3"/>
  <c r="O62" i="3"/>
  <c r="AA62" i="3"/>
  <c r="AP70" i="3"/>
  <c r="AP63" i="3"/>
  <c r="AA70" i="3"/>
  <c r="O70" i="3"/>
  <c r="BF72" i="3"/>
  <c r="AD76" i="3"/>
  <c r="AP71" i="3"/>
  <c r="AA71" i="3"/>
  <c r="O71" i="3"/>
  <c r="AP24" i="3"/>
  <c r="AQ16" i="3"/>
  <c r="C16" i="3"/>
  <c r="BI16" i="3"/>
  <c r="F21" i="3"/>
  <c r="I17" i="3"/>
  <c r="H16" i="3"/>
  <c r="AA29" i="3"/>
  <c r="O29" i="3"/>
  <c r="BJ14" i="3"/>
  <c r="J16" i="3"/>
  <c r="D14" i="3"/>
  <c r="AR14" i="3"/>
  <c r="O42" i="3"/>
  <c r="AA42" i="3"/>
  <c r="Y24" i="3"/>
  <c r="N17" i="3"/>
  <c r="S17" i="3"/>
  <c r="Z17" i="3"/>
  <c r="AB17" i="3" s="1"/>
  <c r="AR12" i="3"/>
  <c r="BJ12" i="3"/>
  <c r="D12" i="3"/>
  <c r="J13" i="3"/>
  <c r="AL15" i="3"/>
  <c r="AM23" i="3"/>
  <c r="AQ12" i="3"/>
  <c r="C12" i="3"/>
  <c r="BI12" i="3"/>
  <c r="H12" i="3"/>
  <c r="I13" i="3"/>
  <c r="L74" i="3" l="1"/>
  <c r="L52" i="3"/>
  <c r="L69" i="3"/>
  <c r="BK17" i="3"/>
  <c r="L40" i="3"/>
  <c r="L29" i="3"/>
  <c r="L64" i="3"/>
  <c r="L37" i="3"/>
  <c r="BK16" i="3"/>
  <c r="BK19" i="3"/>
  <c r="BK13" i="3"/>
  <c r="AJ44" i="3"/>
  <c r="AJ79" i="3" s="1"/>
  <c r="AE25" i="3"/>
  <c r="AS28" i="3"/>
  <c r="AB20" i="3"/>
  <c r="L14" i="3"/>
  <c r="L54" i="3"/>
  <c r="AS20" i="3"/>
  <c r="P12" i="3"/>
  <c r="AS13" i="3"/>
  <c r="AS17" i="3"/>
  <c r="AL44" i="3"/>
  <c r="P28" i="3"/>
  <c r="AS16" i="3"/>
  <c r="AL61" i="3"/>
  <c r="AB28" i="3"/>
  <c r="L36" i="3"/>
  <c r="AP21" i="3"/>
  <c r="AS22" i="3"/>
  <c r="L68" i="3"/>
  <c r="AB19" i="3"/>
  <c r="P17" i="3"/>
  <c r="L23" i="3"/>
  <c r="L12" i="3"/>
  <c r="L65" i="3"/>
  <c r="P14" i="3"/>
  <c r="BK25" i="3"/>
  <c r="BK18" i="3"/>
  <c r="BK22" i="3"/>
  <c r="BK12" i="3"/>
  <c r="L39" i="3"/>
  <c r="D43" i="3"/>
  <c r="J26" i="3"/>
  <c r="AR21" i="3"/>
  <c r="BJ21" i="3"/>
  <c r="G44" i="3"/>
  <c r="J38" i="3"/>
  <c r="BJ32" i="3"/>
  <c r="AR32" i="3"/>
  <c r="E13" i="3"/>
  <c r="K13" i="3"/>
  <c r="M13" i="3" s="1"/>
  <c r="BC27" i="3"/>
  <c r="C15" i="3"/>
  <c r="K11" i="3"/>
  <c r="E11" i="3"/>
  <c r="AT44" i="3"/>
  <c r="J55" i="3"/>
  <c r="G61" i="3"/>
  <c r="AR49" i="3"/>
  <c r="L20" i="3"/>
  <c r="L76" i="3"/>
  <c r="AB24" i="3"/>
  <c r="C21" i="3"/>
  <c r="K16" i="3"/>
  <c r="E16" i="3"/>
  <c r="L45" i="3"/>
  <c r="D49" i="3"/>
  <c r="AD26" i="3"/>
  <c r="AG27" i="3"/>
  <c r="AD27" i="3" s="1"/>
  <c r="AM50" i="3"/>
  <c r="AK55" i="3"/>
  <c r="AM55" i="3" s="1"/>
  <c r="X32" i="3"/>
  <c r="L41" i="3"/>
  <c r="AE20" i="3"/>
  <c r="AK38" i="3"/>
  <c r="AM38" i="3" s="1"/>
  <c r="AM33" i="3"/>
  <c r="BK14" i="3"/>
  <c r="L18" i="3"/>
  <c r="L16" i="3"/>
  <c r="L21" i="3" s="1"/>
  <c r="D21" i="3"/>
  <c r="P13" i="3"/>
  <c r="BK24" i="3"/>
  <c r="AD66" i="3"/>
  <c r="BC44" i="3"/>
  <c r="BF27" i="3"/>
  <c r="BK28" i="3"/>
  <c r="AJ78" i="3"/>
  <c r="BF44" i="3"/>
  <c r="AK77" i="3"/>
  <c r="AM77" i="3" s="1"/>
  <c r="AG44" i="3"/>
  <c r="AD43" i="3"/>
  <c r="J66" i="3"/>
  <c r="AR60" i="3"/>
  <c r="G78" i="3"/>
  <c r="J72" i="3"/>
  <c r="AR66" i="3"/>
  <c r="BC61" i="3"/>
  <c r="AM26" i="3"/>
  <c r="J43" i="3"/>
  <c r="AR38" i="3"/>
  <c r="L75" i="3"/>
  <c r="AK27" i="3"/>
  <c r="AM15" i="3"/>
  <c r="AS12" i="3"/>
  <c r="AL78" i="3"/>
  <c r="L71" i="3"/>
  <c r="X21" i="3"/>
  <c r="X27" i="3" s="1"/>
  <c r="AJ61" i="3"/>
  <c r="AK43" i="3"/>
  <c r="AM43" i="3" s="1"/>
  <c r="AM39" i="3"/>
  <c r="AK72" i="3"/>
  <c r="AM72" i="3" s="1"/>
  <c r="AM67" i="3"/>
  <c r="E17" i="3"/>
  <c r="K17" i="3"/>
  <c r="AC26" i="3"/>
  <c r="AE26" i="3" s="1"/>
  <c r="AF27" i="3"/>
  <c r="AH26" i="3"/>
  <c r="AL27" i="3"/>
  <c r="AL79" i="3" s="1"/>
  <c r="L47" i="3"/>
  <c r="BK20" i="3"/>
  <c r="P18" i="3"/>
  <c r="AI27" i="3"/>
  <c r="L59" i="3"/>
  <c r="AH21" i="3"/>
  <c r="AC21" i="3"/>
  <c r="AE21" i="3" s="1"/>
  <c r="D66" i="3"/>
  <c r="L62" i="3"/>
  <c r="D55" i="3"/>
  <c r="L50" i="3"/>
  <c r="K14" i="3"/>
  <c r="E14" i="3"/>
  <c r="AD49" i="3"/>
  <c r="L31" i="3"/>
  <c r="BK11" i="3"/>
  <c r="D32" i="3"/>
  <c r="L28" i="3"/>
  <c r="G27" i="3"/>
  <c r="J21" i="3"/>
  <c r="BJ15" i="3"/>
  <c r="AR15" i="3"/>
  <c r="E24" i="3"/>
  <c r="K24" i="3"/>
  <c r="M24" i="3" s="1"/>
  <c r="X60" i="3"/>
  <c r="AT78" i="3"/>
  <c r="D26" i="3"/>
  <c r="L22" i="3"/>
  <c r="L26" i="3" s="1"/>
  <c r="P24" i="3"/>
  <c r="AT27" i="3"/>
  <c r="P11" i="3"/>
  <c r="AN78" i="3"/>
  <c r="L73" i="3"/>
  <c r="D77" i="3"/>
  <c r="Y15" i="3"/>
  <c r="BI21" i="3"/>
  <c r="AQ21" i="3"/>
  <c r="AS21" i="3" s="1"/>
  <c r="I26" i="3"/>
  <c r="H21" i="3"/>
  <c r="AK66" i="3"/>
  <c r="AM62" i="3"/>
  <c r="L42" i="3"/>
  <c r="L46" i="3"/>
  <c r="J60" i="3"/>
  <c r="AR55" i="3"/>
  <c r="W21" i="3"/>
  <c r="Y21" i="3" s="1"/>
  <c r="AN27" i="3"/>
  <c r="E20" i="3"/>
  <c r="K20" i="3"/>
  <c r="M20" i="3" s="1"/>
  <c r="L70" i="3"/>
  <c r="X55" i="3"/>
  <c r="AD79" i="3"/>
  <c r="AE79" i="3" s="1"/>
  <c r="AH79" i="3"/>
  <c r="BK23" i="3"/>
  <c r="E25" i="3"/>
  <c r="K25" i="3"/>
  <c r="M25" i="3" s="1"/>
  <c r="X38" i="3"/>
  <c r="AS14" i="3"/>
  <c r="L53" i="3"/>
  <c r="L30" i="3"/>
  <c r="I32" i="3"/>
  <c r="AQ26" i="3"/>
  <c r="BI26" i="3"/>
  <c r="H26" i="3"/>
  <c r="AS18" i="3"/>
  <c r="AD60" i="3"/>
  <c r="AG61" i="3"/>
  <c r="AD61" i="3" s="1"/>
  <c r="D15" i="3"/>
  <c r="L11" i="3"/>
  <c r="L13" i="3"/>
  <c r="AS24" i="3"/>
  <c r="AI61" i="3"/>
  <c r="AM21" i="3"/>
  <c r="X66" i="3"/>
  <c r="X78" i="3" s="1"/>
  <c r="D38" i="3"/>
  <c r="L33" i="3"/>
  <c r="P20" i="3"/>
  <c r="L17" i="3"/>
  <c r="AB11" i="3"/>
  <c r="AR77" i="3"/>
  <c r="I15" i="3"/>
  <c r="AC15" i="3"/>
  <c r="AE15" i="3" s="1"/>
  <c r="AH15" i="3"/>
  <c r="L67" i="3"/>
  <c r="D72" i="3"/>
  <c r="E12" i="3"/>
  <c r="K12" i="3"/>
  <c r="M12" i="3" s="1"/>
  <c r="AD32" i="3"/>
  <c r="E19" i="3"/>
  <c r="K19" i="3"/>
  <c r="M19" i="3" s="1"/>
  <c r="BF78" i="3"/>
  <c r="BC78" i="3"/>
  <c r="AT61" i="3"/>
  <c r="AD38" i="3"/>
  <c r="J49" i="3"/>
  <c r="AR43" i="3"/>
  <c r="AN44" i="3"/>
  <c r="BF61" i="3"/>
  <c r="AN61" i="3"/>
  <c r="AK60" i="3"/>
  <c r="AM60" i="3" s="1"/>
  <c r="AM56" i="3"/>
  <c r="L34" i="3"/>
  <c r="L48" i="3"/>
  <c r="L58" i="3"/>
  <c r="D60" i="3"/>
  <c r="L56" i="3"/>
  <c r="AB18" i="3"/>
  <c r="K23" i="3"/>
  <c r="M23" i="3" s="1"/>
  <c r="E23" i="3"/>
  <c r="AS25" i="3"/>
  <c r="C26" i="3"/>
  <c r="E22" i="3"/>
  <c r="K22" i="3"/>
  <c r="AE14" i="3"/>
  <c r="F27" i="3"/>
  <c r="I21" i="3"/>
  <c r="BI15" i="3"/>
  <c r="AQ15" i="3"/>
  <c r="H15" i="3"/>
  <c r="E18" i="3"/>
  <c r="K18" i="3"/>
  <c r="AR72" i="3"/>
  <c r="L63" i="3"/>
  <c r="AK49" i="3"/>
  <c r="AM45" i="3"/>
  <c r="L51" i="3"/>
  <c r="J32" i="3"/>
  <c r="AR26" i="3"/>
  <c r="BJ26" i="3"/>
  <c r="E28" i="3"/>
  <c r="K28" i="3"/>
  <c r="AP72" i="3"/>
  <c r="AK32" i="3"/>
  <c r="AD55" i="3"/>
  <c r="L77" i="3" l="1"/>
  <c r="O77" i="3" s="1"/>
  <c r="U77" i="3" s="1"/>
  <c r="L15" i="3"/>
  <c r="L27" i="3" s="1"/>
  <c r="X61" i="3"/>
  <c r="M14" i="3"/>
  <c r="AI79" i="3"/>
  <c r="AS15" i="3"/>
  <c r="L32" i="3"/>
  <c r="O32" i="3" s="1"/>
  <c r="U32" i="3" s="1"/>
  <c r="BK15" i="3"/>
  <c r="E26" i="3"/>
  <c r="Q26" i="3"/>
  <c r="R21" i="3"/>
  <c r="AA21" i="3" s="1"/>
  <c r="J61" i="3"/>
  <c r="AR44" i="3"/>
  <c r="L55" i="3"/>
  <c r="O55" i="3" s="1"/>
  <c r="U55" i="3" s="1"/>
  <c r="BC79" i="3"/>
  <c r="AC27" i="3"/>
  <c r="AE27" i="3" s="1"/>
  <c r="AF28" i="3"/>
  <c r="AH27" i="3"/>
  <c r="D44" i="3"/>
  <c r="R32" i="3"/>
  <c r="AA32" i="3" s="1"/>
  <c r="R60" i="3"/>
  <c r="AA60" i="3" s="1"/>
  <c r="R38" i="3"/>
  <c r="AA38" i="3" s="1"/>
  <c r="D27" i="3"/>
  <c r="R15" i="3"/>
  <c r="AA15" i="3" s="1"/>
  <c r="AK78" i="3"/>
  <c r="AM78" i="3" s="1"/>
  <c r="AM66" i="3"/>
  <c r="R77" i="3"/>
  <c r="AA77" i="3" s="1"/>
  <c r="O26" i="3"/>
  <c r="U26" i="3" s="1"/>
  <c r="L49" i="3"/>
  <c r="E15" i="3"/>
  <c r="Q15" i="3"/>
  <c r="C27" i="3"/>
  <c r="M28" i="3"/>
  <c r="R26" i="3"/>
  <c r="AA26" i="3" s="1"/>
  <c r="AK79" i="3"/>
  <c r="AM79" i="3" s="1"/>
  <c r="AM27" i="3"/>
  <c r="AR61" i="3"/>
  <c r="J77" i="3"/>
  <c r="J78" i="3"/>
  <c r="Q21" i="3"/>
  <c r="E21" i="3"/>
  <c r="I44" i="3"/>
  <c r="H27" i="3"/>
  <c r="AQ27" i="3"/>
  <c r="BI27" i="3"/>
  <c r="R72" i="3"/>
  <c r="AA72" i="3" s="1"/>
  <c r="BK26" i="3"/>
  <c r="L66" i="3"/>
  <c r="M17" i="3"/>
  <c r="G79" i="3"/>
  <c r="J44" i="3"/>
  <c r="AR27" i="3"/>
  <c r="BJ27" i="3"/>
  <c r="O21" i="3"/>
  <c r="U21" i="3" s="1"/>
  <c r="K21" i="3"/>
  <c r="M16" i="3"/>
  <c r="R55" i="3"/>
  <c r="AA55" i="3" s="1"/>
  <c r="BK21" i="3"/>
  <c r="AD44" i="3"/>
  <c r="M18" i="3"/>
  <c r="L72" i="3"/>
  <c r="O72" i="3" s="1"/>
  <c r="U72" i="3" s="1"/>
  <c r="AS26" i="3"/>
  <c r="AT79" i="3"/>
  <c r="D78" i="3"/>
  <c r="R66" i="3"/>
  <c r="AA66" i="3" s="1"/>
  <c r="AR78" i="3"/>
  <c r="I27" i="3"/>
  <c r="R43" i="3"/>
  <c r="AA43" i="3" s="1"/>
  <c r="AK61" i="3"/>
  <c r="AM61" i="3" s="1"/>
  <c r="AM49" i="3"/>
  <c r="X44" i="3"/>
  <c r="X79" i="3" s="1"/>
  <c r="BF79" i="3"/>
  <c r="AK44" i="3"/>
  <c r="AM44" i="3" s="1"/>
  <c r="AM32" i="3"/>
  <c r="K26" i="3"/>
  <c r="M22" i="3"/>
  <c r="L60" i="3"/>
  <c r="O60" i="3" s="1"/>
  <c r="U60" i="3" s="1"/>
  <c r="L38" i="3"/>
  <c r="O38" i="3" s="1"/>
  <c r="U38" i="3" s="1"/>
  <c r="O15" i="3"/>
  <c r="U15" i="3" s="1"/>
  <c r="AN79" i="3"/>
  <c r="W27" i="3"/>
  <c r="D61" i="3"/>
  <c r="R49" i="3"/>
  <c r="AA49" i="3" s="1"/>
  <c r="K15" i="3"/>
  <c r="M11" i="3"/>
  <c r="L43" i="3"/>
  <c r="O43" i="3" s="1"/>
  <c r="U43" i="3" s="1"/>
  <c r="BK27" i="3" l="1"/>
  <c r="AS27" i="3"/>
  <c r="S26" i="3"/>
  <c r="Z26" i="3"/>
  <c r="AB26" i="3" s="1"/>
  <c r="R44" i="3"/>
  <c r="AA44" i="3" s="1"/>
  <c r="L78" i="3"/>
  <c r="O78" i="3" s="1"/>
  <c r="U78" i="3" s="1"/>
  <c r="O66" i="3"/>
  <c r="U66" i="3" s="1"/>
  <c r="Q27" i="3"/>
  <c r="E27" i="3"/>
  <c r="S21" i="3"/>
  <c r="Z21" i="3"/>
  <c r="AB21" i="3" s="1"/>
  <c r="D79" i="3"/>
  <c r="R27" i="3"/>
  <c r="AA27" i="3" s="1"/>
  <c r="R61" i="3"/>
  <c r="AA61" i="3" s="1"/>
  <c r="L44" i="3"/>
  <c r="O44" i="3" s="1"/>
  <c r="U44" i="3" s="1"/>
  <c r="R78" i="3"/>
  <c r="AA78" i="3" s="1"/>
  <c r="M26" i="3"/>
  <c r="N26" i="3"/>
  <c r="M21" i="3"/>
  <c r="N21" i="3"/>
  <c r="Z15" i="3"/>
  <c r="AB15" i="3" s="1"/>
  <c r="S15" i="3"/>
  <c r="L61" i="3"/>
  <c r="O61" i="3" s="1"/>
  <c r="U61" i="3" s="1"/>
  <c r="O49" i="3"/>
  <c r="U49" i="3" s="1"/>
  <c r="AH28" i="3"/>
  <c r="F29" i="3"/>
  <c r="AF29" i="3" s="1"/>
  <c r="AC28" i="3"/>
  <c r="AE28" i="3" s="1"/>
  <c r="AR79" i="3"/>
  <c r="Y27" i="3"/>
  <c r="N15" i="3"/>
  <c r="M15" i="3"/>
  <c r="K27" i="3"/>
  <c r="O27" i="3"/>
  <c r="U27" i="3" s="1"/>
  <c r="B5" i="3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BN74" i="3" l="1"/>
  <c r="W74" i="3" s="1"/>
  <c r="Y74" i="3" s="1"/>
  <c r="BO70" i="3"/>
  <c r="T70" i="3" s="1"/>
  <c r="V70" i="3" s="1"/>
  <c r="BN67" i="3"/>
  <c r="W67" i="3" s="1"/>
  <c r="Y67" i="3" s="1"/>
  <c r="BO63" i="3"/>
  <c r="T63" i="3" s="1"/>
  <c r="V63" i="3" s="1"/>
  <c r="BO59" i="3"/>
  <c r="T59" i="3" s="1"/>
  <c r="V59" i="3" s="1"/>
  <c r="BN56" i="3"/>
  <c r="W56" i="3" s="1"/>
  <c r="Y56" i="3" s="1"/>
  <c r="BO52" i="3"/>
  <c r="T52" i="3" s="1"/>
  <c r="V52" i="3" s="1"/>
  <c r="BN40" i="3"/>
  <c r="W40" i="3" s="1"/>
  <c r="Y40" i="3" s="1"/>
  <c r="BO36" i="3"/>
  <c r="T36" i="3" s="1"/>
  <c r="V36" i="3" s="1"/>
  <c r="BO33" i="3"/>
  <c r="T33" i="3" s="1"/>
  <c r="V33" i="3" s="1"/>
  <c r="BN31" i="3"/>
  <c r="W31" i="3" s="1"/>
  <c r="Y31" i="3" s="1"/>
  <c r="BN25" i="3"/>
  <c r="BN20" i="3"/>
  <c r="BO13" i="3"/>
  <c r="BO71" i="3"/>
  <c r="T71" i="3" s="1"/>
  <c r="V71" i="3" s="1"/>
  <c r="BN68" i="3"/>
  <c r="W68" i="3" s="1"/>
  <c r="Y68" i="3" s="1"/>
  <c r="BO53" i="3"/>
  <c r="T53" i="3" s="1"/>
  <c r="V53" i="3" s="1"/>
  <c r="BN41" i="3"/>
  <c r="W41" i="3" s="1"/>
  <c r="Y41" i="3" s="1"/>
  <c r="BO16" i="3"/>
  <c r="BN62" i="3"/>
  <c r="W62" i="3" s="1"/>
  <c r="Y62" i="3" s="1"/>
  <c r="BO22" i="3"/>
  <c r="BO67" i="3"/>
  <c r="T67" i="3" s="1"/>
  <c r="V67" i="3" s="1"/>
  <c r="BN47" i="3"/>
  <c r="W47" i="3" s="1"/>
  <c r="Y47" i="3" s="1"/>
  <c r="BN28" i="3"/>
  <c r="BN17" i="3"/>
  <c r="BO75" i="3"/>
  <c r="T75" i="3" s="1"/>
  <c r="V75" i="3" s="1"/>
  <c r="BN70" i="3"/>
  <c r="W70" i="3" s="1"/>
  <c r="Y70" i="3" s="1"/>
  <c r="BN63" i="3"/>
  <c r="W63" i="3" s="1"/>
  <c r="Y63" i="3" s="1"/>
  <c r="BN59" i="3"/>
  <c r="BN52" i="3"/>
  <c r="W52" i="3" s="1"/>
  <c r="Y52" i="3" s="1"/>
  <c r="BO48" i="3"/>
  <c r="T48" i="3" s="1"/>
  <c r="V48" i="3" s="1"/>
  <c r="BO45" i="3"/>
  <c r="T45" i="3" s="1"/>
  <c r="V45" i="3" s="1"/>
  <c r="BN36" i="3"/>
  <c r="W36" i="3" s="1"/>
  <c r="Y36" i="3" s="1"/>
  <c r="BN33" i="3"/>
  <c r="W33" i="3" s="1"/>
  <c r="Y33" i="3" s="1"/>
  <c r="BO29" i="3"/>
  <c r="T29" i="3" s="1"/>
  <c r="V29" i="3" s="1"/>
  <c r="BO23" i="3"/>
  <c r="BO18" i="3"/>
  <c r="BN13" i="3"/>
  <c r="BN57" i="3"/>
  <c r="W57" i="3" s="1"/>
  <c r="Y57" i="3" s="1"/>
  <c r="BO37" i="3"/>
  <c r="T37" i="3" s="1"/>
  <c r="V37" i="3" s="1"/>
  <c r="BO14" i="3"/>
  <c r="BN24" i="3"/>
  <c r="BO65" i="3"/>
  <c r="T65" i="3" s="1"/>
  <c r="V65" i="3" s="1"/>
  <c r="BN51" i="3"/>
  <c r="W51" i="3" s="1"/>
  <c r="Y51" i="3" s="1"/>
  <c r="BO74" i="3"/>
  <c r="T74" i="3" s="1"/>
  <c r="V74" i="3" s="1"/>
  <c r="BO56" i="3"/>
  <c r="T56" i="3" s="1"/>
  <c r="V56" i="3" s="1"/>
  <c r="BO40" i="3"/>
  <c r="T40" i="3" s="1"/>
  <c r="V40" i="3" s="1"/>
  <c r="BO25" i="3"/>
  <c r="BN75" i="3"/>
  <c r="W75" i="3" s="1"/>
  <c r="Y75" i="3" s="1"/>
  <c r="BO68" i="3"/>
  <c r="T68" i="3" s="1"/>
  <c r="V68" i="3" s="1"/>
  <c r="BO57" i="3"/>
  <c r="T57" i="3" s="1"/>
  <c r="V57" i="3" s="1"/>
  <c r="BO50" i="3"/>
  <c r="T50" i="3" s="1"/>
  <c r="V50" i="3" s="1"/>
  <c r="BN48" i="3"/>
  <c r="W48" i="3" s="1"/>
  <c r="Y48" i="3" s="1"/>
  <c r="BN45" i="3"/>
  <c r="W45" i="3" s="1"/>
  <c r="Y45" i="3" s="1"/>
  <c r="BO41" i="3"/>
  <c r="T41" i="3" s="1"/>
  <c r="V41" i="3" s="1"/>
  <c r="BN29" i="3"/>
  <c r="W29" i="3" s="1"/>
  <c r="Y29" i="3" s="1"/>
  <c r="BN23" i="3"/>
  <c r="BN18" i="3"/>
  <c r="BO11" i="3"/>
  <c r="BO64" i="3"/>
  <c r="T64" i="3" s="1"/>
  <c r="V64" i="3" s="1"/>
  <c r="BN50" i="3"/>
  <c r="W50" i="3" s="1"/>
  <c r="Y50" i="3" s="1"/>
  <c r="BO34" i="3"/>
  <c r="T34" i="3" s="1"/>
  <c r="V34" i="3" s="1"/>
  <c r="BN11" i="3"/>
  <c r="BN30" i="3"/>
  <c r="W30" i="3" s="1"/>
  <c r="Y30" i="3" s="1"/>
  <c r="BO12" i="3"/>
  <c r="BN69" i="3"/>
  <c r="W69" i="3" s="1"/>
  <c r="Y69" i="3" s="1"/>
  <c r="BO54" i="3"/>
  <c r="T54" i="3" s="1"/>
  <c r="V54" i="3" s="1"/>
  <c r="BN35" i="3"/>
  <c r="W35" i="3" s="1"/>
  <c r="Y35" i="3" s="1"/>
  <c r="BN12" i="3"/>
  <c r="BN65" i="3"/>
  <c r="W65" i="3" s="1"/>
  <c r="Y65" i="3" s="1"/>
  <c r="BN22" i="3"/>
  <c r="BO76" i="3"/>
  <c r="T76" i="3" s="1"/>
  <c r="V76" i="3" s="1"/>
  <c r="BO73" i="3"/>
  <c r="T73" i="3" s="1"/>
  <c r="V73" i="3" s="1"/>
  <c r="BN71" i="3"/>
  <c r="W71" i="3" s="1"/>
  <c r="Y71" i="3" s="1"/>
  <c r="BN64" i="3"/>
  <c r="W64" i="3" s="1"/>
  <c r="Y64" i="3" s="1"/>
  <c r="BN53" i="3"/>
  <c r="W53" i="3" s="1"/>
  <c r="Y53" i="3" s="1"/>
  <c r="BO46" i="3"/>
  <c r="T46" i="3" s="1"/>
  <c r="V46" i="3" s="1"/>
  <c r="BO39" i="3"/>
  <c r="T39" i="3" s="1"/>
  <c r="V39" i="3" s="1"/>
  <c r="BN37" i="3"/>
  <c r="W37" i="3" s="1"/>
  <c r="Y37" i="3" s="1"/>
  <c r="BN34" i="3"/>
  <c r="W34" i="3" s="1"/>
  <c r="Y34" i="3" s="1"/>
  <c r="BO30" i="3"/>
  <c r="T30" i="3" s="1"/>
  <c r="V30" i="3" s="1"/>
  <c r="BO24" i="3"/>
  <c r="BO19" i="3"/>
  <c r="BN16" i="3"/>
  <c r="BN14" i="3"/>
  <c r="BN76" i="3"/>
  <c r="W76" i="3" s="1"/>
  <c r="Y76" i="3" s="1"/>
  <c r="BN73" i="3"/>
  <c r="W73" i="3" s="1"/>
  <c r="Y73" i="3" s="1"/>
  <c r="BO69" i="3"/>
  <c r="T69" i="3" s="1"/>
  <c r="V69" i="3" s="1"/>
  <c r="BO62" i="3"/>
  <c r="T62" i="3" s="1"/>
  <c r="V62" i="3" s="1"/>
  <c r="BO58" i="3"/>
  <c r="T58" i="3" s="1"/>
  <c r="V58" i="3" s="1"/>
  <c r="BO51" i="3"/>
  <c r="T51" i="3" s="1"/>
  <c r="V51" i="3" s="1"/>
  <c r="BN46" i="3"/>
  <c r="W46" i="3" s="1"/>
  <c r="Y46" i="3" s="1"/>
  <c r="BO42" i="3"/>
  <c r="T42" i="3" s="1"/>
  <c r="V42" i="3" s="1"/>
  <c r="BN39" i="3"/>
  <c r="W39" i="3" s="1"/>
  <c r="Y39" i="3" s="1"/>
  <c r="BO35" i="3"/>
  <c r="T35" i="3" s="1"/>
  <c r="V35" i="3" s="1"/>
  <c r="BN19" i="3"/>
  <c r="BN58" i="3"/>
  <c r="W58" i="3" s="1"/>
  <c r="Y58" i="3" s="1"/>
  <c r="BO47" i="3"/>
  <c r="T47" i="3" s="1"/>
  <c r="V47" i="3" s="1"/>
  <c r="BN42" i="3"/>
  <c r="W42" i="3" s="1"/>
  <c r="Y42" i="3" s="1"/>
  <c r="BO28" i="3"/>
  <c r="BO17" i="3"/>
  <c r="BN54" i="3"/>
  <c r="W54" i="3" s="1"/>
  <c r="Y54" i="3" s="1"/>
  <c r="BO31" i="3"/>
  <c r="T31" i="3" s="1"/>
  <c r="V31" i="3" s="1"/>
  <c r="BO20" i="3"/>
  <c r="P15" i="3"/>
  <c r="T15" i="3"/>
  <c r="V15" i="3" s="1"/>
  <c r="P26" i="3"/>
  <c r="T26" i="3"/>
  <c r="V26" i="3" s="1"/>
  <c r="R79" i="3"/>
  <c r="AA79" i="3" s="1"/>
  <c r="L79" i="3"/>
  <c r="O79" i="3" s="1"/>
  <c r="U79" i="3" s="1"/>
  <c r="AC29" i="3"/>
  <c r="AE29" i="3" s="1"/>
  <c r="F30" i="3"/>
  <c r="AF30" i="3" s="1"/>
  <c r="AH29" i="3"/>
  <c r="M27" i="3"/>
  <c r="N27" i="3"/>
  <c r="P21" i="3"/>
  <c r="T21" i="3"/>
  <c r="V21" i="3" s="1"/>
  <c r="Z27" i="3"/>
  <c r="AB27" i="3" s="1"/>
  <c r="S27" i="3"/>
  <c r="BI29" i="3"/>
  <c r="BK29" i="3" s="1"/>
  <c r="AQ29" i="3"/>
  <c r="AS29" i="3" s="1"/>
  <c r="I30" i="3"/>
  <c r="H29" i="3"/>
  <c r="BO44" i="5"/>
  <c r="BO55" i="5"/>
  <c r="BO22" i="5"/>
  <c r="BO23" i="5"/>
  <c r="BO45" i="5"/>
  <c r="BO28" i="5"/>
  <c r="BO29" i="5"/>
  <c r="BO50" i="5"/>
  <c r="BN12" i="5"/>
  <c r="BO33" i="5"/>
  <c r="BO61" i="5"/>
  <c r="BN11" i="5"/>
  <c r="BO34" i="5"/>
  <c r="BO66" i="5"/>
  <c r="BO17" i="5"/>
  <c r="BO38" i="5"/>
  <c r="BO70" i="5"/>
  <c r="BO18" i="5"/>
  <c r="BO39" i="5"/>
  <c r="BO75" i="5"/>
  <c r="BO49" i="5"/>
  <c r="BO53" i="5"/>
  <c r="BO58" i="5"/>
  <c r="BO64" i="5"/>
  <c r="BO69" i="5"/>
  <c r="BO74" i="5"/>
  <c r="BO11" i="5"/>
  <c r="BN18" i="5"/>
  <c r="BN23" i="5"/>
  <c r="BN29" i="5"/>
  <c r="BN34" i="5"/>
  <c r="BN39" i="5"/>
  <c r="BN45" i="5"/>
  <c r="BN50" i="5"/>
  <c r="BN55" i="5"/>
  <c r="BN61" i="5"/>
  <c r="BN66" i="5"/>
  <c r="BN70" i="5"/>
  <c r="BN75" i="5"/>
  <c r="BN15" i="5"/>
  <c r="BN30" i="5"/>
  <c r="BN46" i="5"/>
  <c r="BN62" i="5"/>
  <c r="BO10" i="5"/>
  <c r="BO15" i="5"/>
  <c r="BO19" i="5"/>
  <c r="BO24" i="5"/>
  <c r="BO30" i="5"/>
  <c r="BO35" i="5"/>
  <c r="BO40" i="5"/>
  <c r="BO46" i="5"/>
  <c r="BO51" i="5"/>
  <c r="BO56" i="5"/>
  <c r="BO62" i="5"/>
  <c r="BO67" i="5"/>
  <c r="BO72" i="5"/>
  <c r="BN19" i="5"/>
  <c r="BN35" i="5"/>
  <c r="BN51" i="5"/>
  <c r="BN67" i="5"/>
  <c r="BN16" i="5"/>
  <c r="BN27" i="5"/>
  <c r="BN36" i="5"/>
  <c r="BN47" i="5"/>
  <c r="BN57" i="5"/>
  <c r="BN68" i="5"/>
  <c r="BN13" i="5"/>
  <c r="BO16" i="5"/>
  <c r="BO21" i="5"/>
  <c r="BO27" i="5"/>
  <c r="BO32" i="5"/>
  <c r="BO36" i="5"/>
  <c r="BO41" i="5"/>
  <c r="BO47" i="5"/>
  <c r="BO52" i="5"/>
  <c r="BO57" i="5"/>
  <c r="BO63" i="5"/>
  <c r="BO68" i="5"/>
  <c r="BO73" i="5"/>
  <c r="BN10" i="5"/>
  <c r="BN24" i="5"/>
  <c r="BN40" i="5"/>
  <c r="BN56" i="5"/>
  <c r="BN72" i="5"/>
  <c r="BO13" i="5"/>
  <c r="BN21" i="5"/>
  <c r="BN32" i="5"/>
  <c r="BN41" i="5"/>
  <c r="BN52" i="5"/>
  <c r="BN63" i="5"/>
  <c r="BN73" i="5"/>
  <c r="BO12" i="5"/>
  <c r="BN17" i="5"/>
  <c r="BN22" i="5"/>
  <c r="BN28" i="5"/>
  <c r="BN33" i="5"/>
  <c r="BN38" i="5"/>
  <c r="BN44" i="5"/>
  <c r="BN49" i="5"/>
  <c r="BN53" i="5"/>
  <c r="BN58" i="5"/>
  <c r="BN64" i="5"/>
  <c r="BN69" i="5"/>
  <c r="BN74" i="5"/>
  <c r="C14" i="8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Q157" i="8"/>
  <c r="R157" i="8"/>
  <c r="Q158" i="8"/>
  <c r="R158" i="8"/>
  <c r="Q163" i="8"/>
  <c r="R163" i="8"/>
  <c r="Q164" i="8"/>
  <c r="R164" i="8"/>
  <c r="Q166" i="8"/>
  <c r="R166" i="8"/>
  <c r="Q167" i="8"/>
  <c r="R167" i="8"/>
  <c r="Q169" i="8"/>
  <c r="R169" i="8"/>
  <c r="Q174" i="8"/>
  <c r="R174" i="8"/>
  <c r="Q176" i="8"/>
  <c r="R176" i="8"/>
  <c r="Q165" i="8"/>
  <c r="R165" i="8"/>
  <c r="Q168" i="8"/>
  <c r="R168" i="8"/>
  <c r="Q170" i="8"/>
  <c r="R170" i="8"/>
  <c r="Q171" i="8"/>
  <c r="R171" i="8"/>
  <c r="Q172" i="8"/>
  <c r="R172" i="8"/>
  <c r="Q173" i="8"/>
  <c r="R173" i="8"/>
  <c r="Q175" i="8"/>
  <c r="R175" i="8"/>
  <c r="Q177" i="8"/>
  <c r="R177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159" i="8"/>
  <c r="R159" i="8"/>
  <c r="Q160" i="8"/>
  <c r="R160" i="8"/>
  <c r="Q161" i="8"/>
  <c r="R161" i="8"/>
  <c r="Q162" i="8"/>
  <c r="R162" i="8"/>
  <c r="Q178" i="8"/>
  <c r="R178" i="8"/>
  <c r="Q179" i="8"/>
  <c r="R179" i="8"/>
  <c r="Q182" i="8"/>
  <c r="R182" i="8"/>
  <c r="Q184" i="8"/>
  <c r="R184" i="8"/>
  <c r="Q185" i="8"/>
  <c r="R185" i="8"/>
  <c r="Q186" i="8"/>
  <c r="R186" i="8"/>
  <c r="Q187" i="8"/>
  <c r="R187" i="8"/>
  <c r="Q188" i="8"/>
  <c r="R188" i="8"/>
  <c r="Q180" i="8"/>
  <c r="R180" i="8"/>
  <c r="Q181" i="8"/>
  <c r="R181" i="8"/>
  <c r="Q183" i="8"/>
  <c r="R183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37" i="8"/>
  <c r="R237" i="8"/>
  <c r="Q147" i="8"/>
  <c r="R147" i="8"/>
  <c r="Q148" i="8"/>
  <c r="R148" i="8"/>
  <c r="Q149" i="8"/>
  <c r="R149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56" i="8"/>
  <c r="R256" i="8"/>
  <c r="Q257" i="8"/>
  <c r="R257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8" i="8"/>
  <c r="R258" i="8"/>
  <c r="Q259" i="8"/>
  <c r="R259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302" i="8"/>
  <c r="R302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3" i="8"/>
  <c r="R303" i="8"/>
  <c r="Q319" i="8"/>
  <c r="R319" i="8"/>
  <c r="Q320" i="8"/>
  <c r="R320" i="8"/>
  <c r="Q321" i="8"/>
  <c r="R321" i="8"/>
  <c r="Q322" i="8"/>
  <c r="R322" i="8"/>
  <c r="Q323" i="8"/>
  <c r="R323" i="8"/>
  <c r="Q324" i="8"/>
  <c r="R324" i="8"/>
  <c r="Q318" i="8"/>
  <c r="R318" i="8"/>
  <c r="Q282" i="8"/>
  <c r="R282" i="8"/>
  <c r="Q238" i="8"/>
  <c r="R238" i="8"/>
  <c r="R19" i="8"/>
  <c r="R35" i="8"/>
  <c r="R40" i="8"/>
  <c r="R41" i="8"/>
  <c r="R42" i="8"/>
  <c r="R43" i="8"/>
  <c r="R32" i="8"/>
  <c r="R33" i="8"/>
  <c r="R34" i="8"/>
  <c r="R36" i="8"/>
  <c r="R37" i="8"/>
  <c r="R38" i="8"/>
  <c r="R39" i="8"/>
  <c r="R56" i="8"/>
  <c r="R57" i="8"/>
  <c r="R58" i="8"/>
  <c r="R59" i="8"/>
  <c r="R60" i="8"/>
  <c r="R61" i="8"/>
  <c r="R62" i="8"/>
  <c r="R63" i="8"/>
  <c r="R64" i="8"/>
  <c r="R74" i="8"/>
  <c r="R75" i="8"/>
  <c r="R76" i="8"/>
  <c r="R77" i="8"/>
  <c r="R78" i="8"/>
  <c r="R79" i="8"/>
  <c r="R80" i="8"/>
  <c r="R5" i="8"/>
  <c r="R6" i="8"/>
  <c r="R7" i="8"/>
  <c r="R20" i="8"/>
  <c r="R21" i="8"/>
  <c r="R22" i="8"/>
  <c r="R23" i="8"/>
  <c r="R24" i="8"/>
  <c r="R25" i="8"/>
  <c r="R26" i="8"/>
  <c r="R27" i="8"/>
  <c r="R28" i="8"/>
  <c r="R29" i="8"/>
  <c r="R48" i="8"/>
  <c r="R52" i="8"/>
  <c r="R53" i="8"/>
  <c r="R54" i="8"/>
  <c r="R44" i="8"/>
  <c r="R45" i="8"/>
  <c r="R46" i="8"/>
  <c r="R47" i="8"/>
  <c r="R49" i="8"/>
  <c r="R50" i="8"/>
  <c r="R51" i="8"/>
  <c r="R55" i="8"/>
  <c r="R70" i="8"/>
  <c r="R65" i="8"/>
  <c r="R66" i="8"/>
  <c r="R67" i="8"/>
  <c r="R68" i="8"/>
  <c r="R69" i="8"/>
  <c r="R71" i="8"/>
  <c r="R72" i="8"/>
  <c r="R73" i="8"/>
  <c r="R8" i="8"/>
  <c r="R9" i="8"/>
  <c r="R30" i="8"/>
  <c r="R31" i="8"/>
  <c r="R82" i="8"/>
  <c r="R81" i="8"/>
  <c r="R88" i="8"/>
  <c r="R89" i="8"/>
  <c r="R90" i="8"/>
  <c r="R91" i="8"/>
  <c r="R92" i="8"/>
  <c r="R93" i="8"/>
  <c r="R94" i="8"/>
  <c r="R104" i="8"/>
  <c r="R105" i="8"/>
  <c r="R106" i="8"/>
  <c r="R107" i="8"/>
  <c r="R108" i="8"/>
  <c r="R109" i="8"/>
  <c r="R110" i="8"/>
  <c r="R111" i="8"/>
  <c r="R120" i="8"/>
  <c r="R121" i="8"/>
  <c r="R122" i="8"/>
  <c r="R123" i="8"/>
  <c r="R124" i="8"/>
  <c r="R125" i="8"/>
  <c r="R126" i="8"/>
  <c r="R134" i="8"/>
  <c r="R133" i="8"/>
  <c r="R135" i="8"/>
  <c r="R136" i="8"/>
  <c r="R137" i="8"/>
  <c r="R138" i="8"/>
  <c r="R139" i="8"/>
  <c r="R83" i="8"/>
  <c r="R87" i="8"/>
  <c r="R112" i="8"/>
  <c r="R113" i="8"/>
  <c r="R114" i="8"/>
  <c r="R115" i="8"/>
  <c r="R116" i="8"/>
  <c r="R117" i="8"/>
  <c r="R118" i="8"/>
  <c r="R119" i="8"/>
  <c r="R127" i="8"/>
  <c r="R128" i="8"/>
  <c r="R129" i="8"/>
  <c r="R130" i="8"/>
  <c r="R131" i="8"/>
  <c r="R132" i="8"/>
  <c r="R84" i="8"/>
  <c r="R85" i="8"/>
  <c r="R86" i="8"/>
  <c r="R102" i="8"/>
  <c r="R103" i="8"/>
  <c r="R146" i="8"/>
  <c r="R150" i="8"/>
  <c r="R151" i="8"/>
  <c r="R152" i="8"/>
  <c r="R153" i="8"/>
  <c r="R154" i="8"/>
  <c r="R155" i="8"/>
  <c r="R156" i="8"/>
  <c r="W59" i="3" l="1"/>
  <c r="BL65" i="3"/>
  <c r="BM65" i="3" s="1"/>
  <c r="Q65" i="3" s="1"/>
  <c r="BL54" i="3"/>
  <c r="BM54" i="3" s="1"/>
  <c r="Q54" i="3" s="1"/>
  <c r="BL47" i="3"/>
  <c r="BM47" i="3" s="1"/>
  <c r="Q47" i="3" s="1"/>
  <c r="BL28" i="3"/>
  <c r="BM28" i="3" s="1"/>
  <c r="BL22" i="3"/>
  <c r="BM22" i="3" s="1"/>
  <c r="BL17" i="3"/>
  <c r="BM17" i="3" s="1"/>
  <c r="BL29" i="3"/>
  <c r="BM29" i="3" s="1"/>
  <c r="Q29" i="3" s="1"/>
  <c r="BL34" i="3"/>
  <c r="BM34" i="3" s="1"/>
  <c r="Q34" i="3" s="1"/>
  <c r="BL16" i="3"/>
  <c r="BM16" i="3" s="1"/>
  <c r="BL76" i="3"/>
  <c r="BM76" i="3" s="1"/>
  <c r="Q76" i="3" s="1"/>
  <c r="BL46" i="3"/>
  <c r="BM46" i="3" s="1"/>
  <c r="Q46" i="3" s="1"/>
  <c r="BL30" i="3"/>
  <c r="BM30" i="3" s="1"/>
  <c r="Q30" i="3" s="1"/>
  <c r="BL58" i="3"/>
  <c r="BM58" i="3" s="1"/>
  <c r="Q58" i="3" s="1"/>
  <c r="BL74" i="3"/>
  <c r="BM74" i="3" s="1"/>
  <c r="Q74" i="3" s="1"/>
  <c r="BL67" i="3"/>
  <c r="BM67" i="3" s="1"/>
  <c r="Q67" i="3" s="1"/>
  <c r="BL56" i="3"/>
  <c r="BM56" i="3" s="1"/>
  <c r="Q56" i="3" s="1"/>
  <c r="BL40" i="3"/>
  <c r="BM40" i="3" s="1"/>
  <c r="Q40" i="3" s="1"/>
  <c r="BL31" i="3"/>
  <c r="BM31" i="3" s="1"/>
  <c r="Q31" i="3" s="1"/>
  <c r="BL25" i="3"/>
  <c r="BM25" i="3" s="1"/>
  <c r="BL20" i="3"/>
  <c r="BM20" i="3" s="1"/>
  <c r="BL75" i="3"/>
  <c r="BM75" i="3" s="1"/>
  <c r="Q75" i="3" s="1"/>
  <c r="BL48" i="3"/>
  <c r="BM48" i="3" s="1"/>
  <c r="Q48" i="3" s="1"/>
  <c r="BL23" i="3"/>
  <c r="BM23" i="3" s="1"/>
  <c r="BL39" i="3"/>
  <c r="BM39" i="3" s="1"/>
  <c r="Q39" i="3" s="1"/>
  <c r="BL19" i="3"/>
  <c r="BM19" i="3" s="1"/>
  <c r="BL70" i="3"/>
  <c r="BM70" i="3" s="1"/>
  <c r="Q70" i="3" s="1"/>
  <c r="BL63" i="3"/>
  <c r="BM63" i="3" s="1"/>
  <c r="Q63" i="3" s="1"/>
  <c r="BL59" i="3"/>
  <c r="BM59" i="3" s="1"/>
  <c r="Q59" i="3" s="1"/>
  <c r="BL52" i="3"/>
  <c r="BM52" i="3" s="1"/>
  <c r="Q52" i="3" s="1"/>
  <c r="BL36" i="3"/>
  <c r="BM36" i="3" s="1"/>
  <c r="Q36" i="3" s="1"/>
  <c r="BL33" i="3"/>
  <c r="BM33" i="3" s="1"/>
  <c r="Q33" i="3" s="1"/>
  <c r="BL13" i="3"/>
  <c r="BM13" i="3" s="1"/>
  <c r="BL45" i="3"/>
  <c r="BM45" i="3" s="1"/>
  <c r="Q45" i="3" s="1"/>
  <c r="BL18" i="3"/>
  <c r="BM18" i="3" s="1"/>
  <c r="BL24" i="3"/>
  <c r="BM24" i="3" s="1"/>
  <c r="BL51" i="3"/>
  <c r="BM51" i="3" s="1"/>
  <c r="Q51" i="3" s="1"/>
  <c r="BL35" i="3"/>
  <c r="BM35" i="3" s="1"/>
  <c r="Q35" i="3" s="1"/>
  <c r="BL68" i="3"/>
  <c r="BM68" i="3" s="1"/>
  <c r="Q68" i="3" s="1"/>
  <c r="BL57" i="3"/>
  <c r="BM57" i="3" s="1"/>
  <c r="Q57" i="3" s="1"/>
  <c r="BL50" i="3"/>
  <c r="BM50" i="3" s="1"/>
  <c r="Q50" i="3" s="1"/>
  <c r="BL41" i="3"/>
  <c r="BM41" i="3" s="1"/>
  <c r="Q41" i="3" s="1"/>
  <c r="BL11" i="3"/>
  <c r="BM11" i="3" s="1"/>
  <c r="BL71" i="3"/>
  <c r="BM71" i="3" s="1"/>
  <c r="Q71" i="3" s="1"/>
  <c r="BL64" i="3"/>
  <c r="BM64" i="3" s="1"/>
  <c r="Q64" i="3" s="1"/>
  <c r="BL53" i="3"/>
  <c r="BM53" i="3" s="1"/>
  <c r="Q53" i="3" s="1"/>
  <c r="BL37" i="3"/>
  <c r="BM37" i="3" s="1"/>
  <c r="Q37" i="3" s="1"/>
  <c r="BL14" i="3"/>
  <c r="BM14" i="3" s="1"/>
  <c r="BL73" i="3"/>
  <c r="BM73" i="3" s="1"/>
  <c r="Q73" i="3" s="1"/>
  <c r="BL69" i="3"/>
  <c r="BM69" i="3" s="1"/>
  <c r="Q69" i="3" s="1"/>
  <c r="BL62" i="3"/>
  <c r="BM62" i="3" s="1"/>
  <c r="Q62" i="3" s="1"/>
  <c r="BL42" i="3"/>
  <c r="BM42" i="3" s="1"/>
  <c r="Q42" i="3" s="1"/>
  <c r="BL12" i="3"/>
  <c r="BM12" i="3" s="1"/>
  <c r="AH30" i="3"/>
  <c r="AC30" i="3"/>
  <c r="AE30" i="3" s="1"/>
  <c r="F31" i="3"/>
  <c r="P27" i="3"/>
  <c r="T27" i="3"/>
  <c r="V27" i="3" s="1"/>
  <c r="H30" i="3"/>
  <c r="I31" i="3"/>
  <c r="AQ30" i="3"/>
  <c r="AS30" i="3" s="1"/>
  <c r="BI30" i="3"/>
  <c r="BK30" i="3" s="1"/>
  <c r="BL44" i="5"/>
  <c r="BL74" i="5"/>
  <c r="BL16" i="5"/>
  <c r="BL47" i="5"/>
  <c r="BL57" i="5"/>
  <c r="BL19" i="5"/>
  <c r="BL33" i="5"/>
  <c r="BL21" i="5"/>
  <c r="BL27" i="5"/>
  <c r="BL68" i="5"/>
  <c r="BL64" i="5"/>
  <c r="BL55" i="5"/>
  <c r="BL30" i="5"/>
  <c r="BL12" i="5"/>
  <c r="BL66" i="5"/>
  <c r="BL45" i="5"/>
  <c r="BL18" i="5"/>
  <c r="BL72" i="5"/>
  <c r="BL75" i="5"/>
  <c r="BL34" i="5"/>
  <c r="BL23" i="5"/>
  <c r="BL10" i="5"/>
  <c r="BL62" i="5"/>
  <c r="BL51" i="5"/>
  <c r="BL40" i="5"/>
  <c r="BL36" i="5"/>
  <c r="BL53" i="5"/>
  <c r="BL13" i="5"/>
  <c r="BL24" i="5"/>
  <c r="BL29" i="5"/>
  <c r="BL39" i="5"/>
  <c r="BL50" i="5"/>
  <c r="BL61" i="5"/>
  <c r="BL70" i="5"/>
  <c r="BL15" i="5"/>
  <c r="BL28" i="5"/>
  <c r="BL38" i="5"/>
  <c r="BL49" i="5"/>
  <c r="BL58" i="5"/>
  <c r="BL69" i="5"/>
  <c r="BL11" i="5"/>
  <c r="BL22" i="5"/>
  <c r="BL32" i="5"/>
  <c r="BL41" i="5"/>
  <c r="BL52" i="5"/>
  <c r="BL63" i="5"/>
  <c r="BL73" i="5"/>
  <c r="BL17" i="5"/>
  <c r="BL35" i="5"/>
  <c r="BL46" i="5"/>
  <c r="BL56" i="5"/>
  <c r="BL67" i="5"/>
  <c r="S59" i="3" l="1"/>
  <c r="N59" i="3"/>
  <c r="P59" i="3" s="1"/>
  <c r="Z36" i="3"/>
  <c r="AB36" i="3" s="1"/>
  <c r="N36" i="3"/>
  <c r="P36" i="3" s="1"/>
  <c r="S36" i="3"/>
  <c r="Z52" i="3"/>
  <c r="AB52" i="3" s="1"/>
  <c r="S52" i="3"/>
  <c r="N52" i="3"/>
  <c r="P52" i="3" s="1"/>
  <c r="Z64" i="3"/>
  <c r="AB64" i="3" s="1"/>
  <c r="S64" i="3"/>
  <c r="N64" i="3"/>
  <c r="P64" i="3" s="1"/>
  <c r="N51" i="3"/>
  <c r="P51" i="3" s="1"/>
  <c r="Z51" i="3"/>
  <c r="AB51" i="3" s="1"/>
  <c r="S51" i="3"/>
  <c r="Z30" i="3"/>
  <c r="AB30" i="3" s="1"/>
  <c r="N30" i="3"/>
  <c r="P30" i="3" s="1"/>
  <c r="S30" i="3"/>
  <c r="Z42" i="3"/>
  <c r="AB42" i="3" s="1"/>
  <c r="N42" i="3"/>
  <c r="P42" i="3" s="1"/>
  <c r="S42" i="3"/>
  <c r="Z71" i="3"/>
  <c r="AB71" i="3" s="1"/>
  <c r="N71" i="3"/>
  <c r="P71" i="3" s="1"/>
  <c r="S71" i="3"/>
  <c r="N63" i="3"/>
  <c r="P63" i="3" s="1"/>
  <c r="Z63" i="3"/>
  <c r="AB63" i="3" s="1"/>
  <c r="S63" i="3"/>
  <c r="N46" i="3"/>
  <c r="P46" i="3" s="1"/>
  <c r="S46" i="3"/>
  <c r="Z46" i="3"/>
  <c r="AB46" i="3" s="1"/>
  <c r="Z47" i="3"/>
  <c r="AB47" i="3" s="1"/>
  <c r="S47" i="3"/>
  <c r="N47" i="3"/>
  <c r="P47" i="3" s="1"/>
  <c r="N48" i="3"/>
  <c r="P48" i="3" s="1"/>
  <c r="Z48" i="3"/>
  <c r="AB48" i="3" s="1"/>
  <c r="S48" i="3"/>
  <c r="N35" i="3"/>
  <c r="P35" i="3" s="1"/>
  <c r="Z35" i="3"/>
  <c r="AB35" i="3" s="1"/>
  <c r="S35" i="3"/>
  <c r="S76" i="3"/>
  <c r="Z76" i="3"/>
  <c r="AB76" i="3" s="1"/>
  <c r="N76" i="3"/>
  <c r="P76" i="3" s="1"/>
  <c r="Z69" i="3"/>
  <c r="AB69" i="3" s="1"/>
  <c r="S69" i="3"/>
  <c r="N69" i="3"/>
  <c r="P69" i="3" s="1"/>
  <c r="N41" i="3"/>
  <c r="P41" i="3" s="1"/>
  <c r="Z41" i="3"/>
  <c r="AB41" i="3" s="1"/>
  <c r="S41" i="3"/>
  <c r="N45" i="3"/>
  <c r="P45" i="3" s="1"/>
  <c r="S45" i="3"/>
  <c r="Z45" i="3"/>
  <c r="AB45" i="3" s="1"/>
  <c r="N40" i="3"/>
  <c r="P40" i="3" s="1"/>
  <c r="S40" i="3"/>
  <c r="Z40" i="3"/>
  <c r="AB40" i="3" s="1"/>
  <c r="N65" i="3"/>
  <c r="P65" i="3" s="1"/>
  <c r="S65" i="3"/>
  <c r="Z65" i="3"/>
  <c r="AB65" i="3" s="1"/>
  <c r="Z68" i="3"/>
  <c r="AB68" i="3" s="1"/>
  <c r="N68" i="3"/>
  <c r="P68" i="3" s="1"/>
  <c r="S68" i="3"/>
  <c r="Z75" i="3"/>
  <c r="AB75" i="3" s="1"/>
  <c r="S75" i="3"/>
  <c r="N75" i="3"/>
  <c r="P75" i="3" s="1"/>
  <c r="N31" i="3"/>
  <c r="P31" i="3" s="1"/>
  <c r="Z31" i="3"/>
  <c r="AB31" i="3" s="1"/>
  <c r="S31" i="3"/>
  <c r="C30" i="3"/>
  <c r="E30" i="3" s="1"/>
  <c r="Z73" i="3"/>
  <c r="AB73" i="3" s="1"/>
  <c r="S73" i="3"/>
  <c r="N73" i="3"/>
  <c r="P73" i="3" s="1"/>
  <c r="Z50" i="3"/>
  <c r="AB50" i="3" s="1"/>
  <c r="N50" i="3"/>
  <c r="P50" i="3" s="1"/>
  <c r="S50" i="3"/>
  <c r="Z39" i="3"/>
  <c r="AB39" i="3" s="1"/>
  <c r="S39" i="3"/>
  <c r="N39" i="3"/>
  <c r="P39" i="3" s="1"/>
  <c r="N56" i="3"/>
  <c r="P56" i="3" s="1"/>
  <c r="Z56" i="3"/>
  <c r="AB56" i="3" s="1"/>
  <c r="S56" i="3"/>
  <c r="Z34" i="3"/>
  <c r="AB34" i="3" s="1"/>
  <c r="N34" i="3"/>
  <c r="P34" i="3" s="1"/>
  <c r="S34" i="3"/>
  <c r="Z59" i="3"/>
  <c r="AB59" i="3" s="1"/>
  <c r="Y59" i="3"/>
  <c r="Z37" i="3"/>
  <c r="AB37" i="3" s="1"/>
  <c r="S37" i="3"/>
  <c r="N37" i="3"/>
  <c r="P37" i="3" s="1"/>
  <c r="Z74" i="3"/>
  <c r="AB74" i="3" s="1"/>
  <c r="S74" i="3"/>
  <c r="N74" i="3"/>
  <c r="P74" i="3" s="1"/>
  <c r="Z53" i="3"/>
  <c r="AB53" i="3" s="1"/>
  <c r="N53" i="3"/>
  <c r="P53" i="3" s="1"/>
  <c r="S53" i="3"/>
  <c r="N58" i="3"/>
  <c r="P58" i="3" s="1"/>
  <c r="S58" i="3"/>
  <c r="Z58" i="3"/>
  <c r="AB58" i="3" s="1"/>
  <c r="Z62" i="3"/>
  <c r="AB62" i="3" s="1"/>
  <c r="N62" i="3"/>
  <c r="P62" i="3" s="1"/>
  <c r="S62" i="3"/>
  <c r="N70" i="3"/>
  <c r="P70" i="3" s="1"/>
  <c r="S70" i="3"/>
  <c r="Z70" i="3"/>
  <c r="AB70" i="3" s="1"/>
  <c r="Z54" i="3"/>
  <c r="AB54" i="3" s="1"/>
  <c r="N54" i="3"/>
  <c r="P54" i="3" s="1"/>
  <c r="S54" i="3"/>
  <c r="N57" i="3"/>
  <c r="P57" i="3" s="1"/>
  <c r="S57" i="3"/>
  <c r="Z57" i="3"/>
  <c r="AB57" i="3" s="1"/>
  <c r="N33" i="3"/>
  <c r="P33" i="3" s="1"/>
  <c r="Z33" i="3"/>
  <c r="AB33" i="3" s="1"/>
  <c r="S33" i="3"/>
  <c r="Z67" i="3"/>
  <c r="AB67" i="3" s="1"/>
  <c r="S67" i="3"/>
  <c r="N67" i="3"/>
  <c r="P67" i="3" s="1"/>
  <c r="S29" i="3"/>
  <c r="Z29" i="3"/>
  <c r="AB29" i="3" s="1"/>
  <c r="N29" i="3"/>
  <c r="P29" i="3" s="1"/>
  <c r="C29" i="3"/>
  <c r="AQ31" i="3"/>
  <c r="AS31" i="3" s="1"/>
  <c r="C31" i="3"/>
  <c r="H31" i="3"/>
  <c r="I33" i="3"/>
  <c r="BI31" i="3"/>
  <c r="BK31" i="3" s="1"/>
  <c r="F32" i="3"/>
  <c r="AF31" i="3"/>
  <c r="BM19" i="5"/>
  <c r="BM62" i="5"/>
  <c r="BM61" i="5"/>
  <c r="BM64" i="5"/>
  <c r="BM10" i="5"/>
  <c r="BM23" i="5"/>
  <c r="BM32" i="5"/>
  <c r="BM34" i="5"/>
  <c r="BM21" i="5"/>
  <c r="BM12" i="5"/>
  <c r="BM56" i="5"/>
  <c r="BM70" i="5"/>
  <c r="BM36" i="5"/>
  <c r="BM33" i="5"/>
  <c r="BM41" i="5"/>
  <c r="BM38" i="5"/>
  <c r="BM55" i="5"/>
  <c r="BM27" i="5"/>
  <c r="BM44" i="5"/>
  <c r="BM67" i="5"/>
  <c r="BM53" i="5"/>
  <c r="BM57" i="5"/>
  <c r="BM47" i="5"/>
  <c r="BM52" i="5"/>
  <c r="BM49" i="5"/>
  <c r="BM15" i="5"/>
  <c r="BM29" i="5"/>
  <c r="BM75" i="5"/>
  <c r="BM74" i="5"/>
  <c r="BM30" i="5"/>
  <c r="BM16" i="5"/>
  <c r="BM51" i="5"/>
  <c r="BM24" i="5"/>
  <c r="BM73" i="5"/>
  <c r="BM17" i="5"/>
  <c r="BM63" i="5"/>
  <c r="BM58" i="5"/>
  <c r="BM13" i="5"/>
  <c r="BM45" i="5"/>
  <c r="BM28" i="5"/>
  <c r="BM72" i="5"/>
  <c r="BM11" i="5"/>
  <c r="BM69" i="5"/>
  <c r="BM66" i="5"/>
  <c r="BM50" i="5"/>
  <c r="BM68" i="5"/>
  <c r="BM46" i="5"/>
  <c r="BM39" i="5"/>
  <c r="BM40" i="5"/>
  <c r="BM35" i="5"/>
  <c r="BM22" i="5"/>
  <c r="BM18" i="5"/>
  <c r="K30" i="3" l="1"/>
  <c r="M30" i="3" s="1"/>
  <c r="E29" i="3"/>
  <c r="K29" i="3"/>
  <c r="M29" i="3" s="1"/>
  <c r="K31" i="3"/>
  <c r="M31" i="3" s="1"/>
  <c r="E31" i="3"/>
  <c r="C32" i="3"/>
  <c r="I38" i="3"/>
  <c r="BI32" i="3"/>
  <c r="BK32" i="3" s="1"/>
  <c r="H32" i="3"/>
  <c r="AQ32" i="3"/>
  <c r="AS32" i="3" s="1"/>
  <c r="W32" i="3"/>
  <c r="AH31" i="3"/>
  <c r="AC31" i="3"/>
  <c r="AE31" i="3" s="1"/>
  <c r="AF32" i="3"/>
  <c r="F4" i="3"/>
  <c r="G4" i="3"/>
  <c r="Q4" i="3"/>
  <c r="R4" i="3"/>
  <c r="T4" i="3"/>
  <c r="U4" i="3"/>
  <c r="W4" i="3"/>
  <c r="X4" i="3"/>
  <c r="AF4" i="3"/>
  <c r="AG4" i="3"/>
  <c r="AI4" i="3"/>
  <c r="AJ4" i="3"/>
  <c r="AL4" i="3"/>
  <c r="AN4" i="3"/>
  <c r="AO4" i="3"/>
  <c r="B6" i="3"/>
  <c r="B7" i="3"/>
  <c r="C7" i="3"/>
  <c r="C10" i="3"/>
  <c r="D10" i="3"/>
  <c r="F10" i="3"/>
  <c r="G10" i="3"/>
  <c r="I10" i="3"/>
  <c r="J10" i="3"/>
  <c r="K10" i="3"/>
  <c r="L10" i="3"/>
  <c r="N10" i="3"/>
  <c r="O10" i="3"/>
  <c r="Q10" i="3"/>
  <c r="R10" i="3"/>
  <c r="T10" i="3"/>
  <c r="U10" i="3"/>
  <c r="W10" i="3"/>
  <c r="X10" i="3"/>
  <c r="Z10" i="3"/>
  <c r="AA10" i="3"/>
  <c r="AC10" i="3"/>
  <c r="AD10" i="3"/>
  <c r="AF10" i="3"/>
  <c r="AG10" i="3"/>
  <c r="AK10" i="3"/>
  <c r="AL10" i="3"/>
  <c r="AN10" i="3"/>
  <c r="AO10" i="3"/>
  <c r="AQ10" i="3"/>
  <c r="AR10" i="3"/>
  <c r="Q4" i="8"/>
  <c r="Q3" i="8"/>
  <c r="Q10" i="8"/>
  <c r="Q11" i="8"/>
  <c r="Q12" i="8"/>
  <c r="Q13" i="8"/>
  <c r="Q14" i="8"/>
  <c r="Q15" i="8"/>
  <c r="Q16" i="8"/>
  <c r="Q17" i="8"/>
  <c r="Q18" i="8"/>
  <c r="Q19" i="8"/>
  <c r="Q35" i="8"/>
  <c r="Q40" i="8"/>
  <c r="Q41" i="8"/>
  <c r="Q42" i="8"/>
  <c r="Q43" i="8"/>
  <c r="Q32" i="8"/>
  <c r="Q33" i="8"/>
  <c r="Q34" i="8"/>
  <c r="Q36" i="8"/>
  <c r="Q37" i="8"/>
  <c r="Q38" i="8"/>
  <c r="Q39" i="8"/>
  <c r="Q56" i="8"/>
  <c r="Q57" i="8"/>
  <c r="Q58" i="8"/>
  <c r="Q59" i="8"/>
  <c r="Q60" i="8"/>
  <c r="Q61" i="8"/>
  <c r="Q62" i="8"/>
  <c r="Q63" i="8"/>
  <c r="Q64" i="8"/>
  <c r="Q74" i="8"/>
  <c r="Q75" i="8"/>
  <c r="Q76" i="8"/>
  <c r="Q77" i="8"/>
  <c r="Q78" i="8"/>
  <c r="Q79" i="8"/>
  <c r="Q80" i="8"/>
  <c r="Q5" i="8"/>
  <c r="Q6" i="8"/>
  <c r="Q7" i="8"/>
  <c r="Q20" i="8"/>
  <c r="Q21" i="8"/>
  <c r="Q22" i="8"/>
  <c r="Q23" i="8"/>
  <c r="Q24" i="8"/>
  <c r="Q25" i="8"/>
  <c r="Q26" i="8"/>
  <c r="Q27" i="8"/>
  <c r="Q28" i="8"/>
  <c r="Q29" i="8"/>
  <c r="Q48" i="8"/>
  <c r="Q52" i="8"/>
  <c r="Q53" i="8"/>
  <c r="Q54" i="8"/>
  <c r="Q44" i="8"/>
  <c r="Q45" i="8"/>
  <c r="Q46" i="8"/>
  <c r="Q47" i="8"/>
  <c r="Q49" i="8"/>
  <c r="Q50" i="8"/>
  <c r="Q51" i="8"/>
  <c r="Q55" i="8"/>
  <c r="Q70" i="8"/>
  <c r="Q65" i="8"/>
  <c r="Q66" i="8"/>
  <c r="Q67" i="8"/>
  <c r="Q68" i="8"/>
  <c r="Q69" i="8"/>
  <c r="Q71" i="8"/>
  <c r="Q72" i="8"/>
  <c r="Q73" i="8"/>
  <c r="Q8" i="8"/>
  <c r="Q9" i="8"/>
  <c r="Q30" i="8"/>
  <c r="Q31" i="8"/>
  <c r="Q82" i="8"/>
  <c r="Q81" i="8"/>
  <c r="Q88" i="8"/>
  <c r="Q89" i="8"/>
  <c r="Q90" i="8"/>
  <c r="Q91" i="8"/>
  <c r="Q92" i="8"/>
  <c r="Q93" i="8"/>
  <c r="Q94" i="8"/>
  <c r="Q104" i="8"/>
  <c r="Q105" i="8"/>
  <c r="Q106" i="8"/>
  <c r="Q107" i="8"/>
  <c r="Q108" i="8"/>
  <c r="Q109" i="8"/>
  <c r="Q110" i="8"/>
  <c r="Q111" i="8"/>
  <c r="Q120" i="8"/>
  <c r="Q121" i="8"/>
  <c r="Q122" i="8"/>
  <c r="Q123" i="8"/>
  <c r="Q124" i="8"/>
  <c r="Q125" i="8"/>
  <c r="Q126" i="8"/>
  <c r="Q134" i="8"/>
  <c r="Q133" i="8"/>
  <c r="Q135" i="8"/>
  <c r="Q136" i="8"/>
  <c r="Q137" i="8"/>
  <c r="Q138" i="8"/>
  <c r="Q139" i="8"/>
  <c r="Q83" i="8"/>
  <c r="Q87" i="8"/>
  <c r="Q112" i="8"/>
  <c r="Q113" i="8"/>
  <c r="Q114" i="8"/>
  <c r="Q115" i="8"/>
  <c r="Q116" i="8"/>
  <c r="Q117" i="8"/>
  <c r="Q118" i="8"/>
  <c r="Q119" i="8"/>
  <c r="Q127" i="8"/>
  <c r="Q128" i="8"/>
  <c r="Q129" i="8"/>
  <c r="Q130" i="8"/>
  <c r="Q131" i="8"/>
  <c r="Q132" i="8"/>
  <c r="Q84" i="8"/>
  <c r="Q85" i="8"/>
  <c r="Q86" i="8"/>
  <c r="Q102" i="8"/>
  <c r="Q103" i="8"/>
  <c r="Q146" i="8"/>
  <c r="Q150" i="8"/>
  <c r="Q151" i="8"/>
  <c r="Q152" i="8"/>
  <c r="Q153" i="8"/>
  <c r="Q154" i="8"/>
  <c r="Q155" i="8"/>
  <c r="Q156" i="8"/>
  <c r="Q2" i="8"/>
  <c r="C8" i="8"/>
  <c r="AO4" i="5"/>
  <c r="AN4" i="5"/>
  <c r="AL4" i="5"/>
  <c r="AJ4" i="5"/>
  <c r="AI4" i="5"/>
  <c r="AG4" i="5"/>
  <c r="AF4" i="5"/>
  <c r="X4" i="5"/>
  <c r="W4" i="5"/>
  <c r="U4" i="5"/>
  <c r="T4" i="5"/>
  <c r="R4" i="5"/>
  <c r="Q4" i="5"/>
  <c r="G4" i="5"/>
  <c r="F4" i="5"/>
  <c r="K32" i="3" l="1"/>
  <c r="M32" i="3" s="1"/>
  <c r="F33" i="3"/>
  <c r="AF33" i="3" s="1"/>
  <c r="AH32" i="3"/>
  <c r="AC32" i="3"/>
  <c r="AE32" i="3" s="1"/>
  <c r="Q32" i="3"/>
  <c r="E32" i="3"/>
  <c r="Y32" i="3"/>
  <c r="AG50" i="5"/>
  <c r="AG51" i="5"/>
  <c r="AG47" i="5"/>
  <c r="AG69" i="5"/>
  <c r="AG64" i="5"/>
  <c r="AG46" i="5"/>
  <c r="AG53" i="5"/>
  <c r="AG29" i="5"/>
  <c r="AG72" i="5"/>
  <c r="AG30" i="5"/>
  <c r="AG13" i="5"/>
  <c r="AG35" i="5"/>
  <c r="AG73" i="5"/>
  <c r="AG32" i="5"/>
  <c r="AG38" i="5"/>
  <c r="AG34" i="5"/>
  <c r="AG75" i="5"/>
  <c r="AG33" i="5"/>
  <c r="AG39" i="5"/>
  <c r="AG41" i="5"/>
  <c r="AG66" i="5"/>
  <c r="AG22" i="5"/>
  <c r="AG70" i="5"/>
  <c r="AG62" i="5"/>
  <c r="AG19" i="5"/>
  <c r="AG57" i="5"/>
  <c r="AG16" i="5"/>
  <c r="AG58" i="5"/>
  <c r="AG45" i="5"/>
  <c r="AG68" i="5"/>
  <c r="AG27" i="5"/>
  <c r="AG12" i="5"/>
  <c r="AG28" i="5"/>
  <c r="AG56" i="5"/>
  <c r="AG15" i="5"/>
  <c r="AG52" i="5"/>
  <c r="AG74" i="5"/>
  <c r="AG61" i="5"/>
  <c r="AG40" i="5"/>
  <c r="AG36" i="5"/>
  <c r="AG49" i="5"/>
  <c r="AG55" i="5"/>
  <c r="AG23" i="5"/>
  <c r="AG44" i="5"/>
  <c r="AG18" i="5"/>
  <c r="AG67" i="5"/>
  <c r="AG10" i="5"/>
  <c r="AG63" i="5"/>
  <c r="AG24" i="5"/>
  <c r="AG11" i="5"/>
  <c r="AG21" i="5"/>
  <c r="AG17" i="5"/>
  <c r="R68" i="5"/>
  <c r="Q68" i="5" s="1"/>
  <c r="R12" i="5"/>
  <c r="R53" i="5"/>
  <c r="Q53" i="5" s="1"/>
  <c r="R10" i="5"/>
  <c r="R50" i="5"/>
  <c r="Q50" i="5" s="1"/>
  <c r="R75" i="5"/>
  <c r="R62" i="5"/>
  <c r="Q62" i="5" s="1"/>
  <c r="R19" i="5"/>
  <c r="R63" i="5"/>
  <c r="Q63" i="5" s="1"/>
  <c r="R45" i="5"/>
  <c r="Q45" i="5" s="1"/>
  <c r="R56" i="5"/>
  <c r="Q56" i="5" s="1"/>
  <c r="R15" i="5"/>
  <c r="R70" i="5"/>
  <c r="Q70" i="5" s="1"/>
  <c r="R29" i="5"/>
  <c r="Q29" i="5" s="1"/>
  <c r="R40" i="5"/>
  <c r="Q40" i="5" s="1"/>
  <c r="R36" i="5"/>
  <c r="Q36" i="5" s="1"/>
  <c r="R74" i="5"/>
  <c r="Q74" i="5" s="1"/>
  <c r="R22" i="5"/>
  <c r="R16" i="5"/>
  <c r="R34" i="5"/>
  <c r="Q34" i="5" s="1"/>
  <c r="R46" i="5"/>
  <c r="Q46" i="5" s="1"/>
  <c r="R32" i="5"/>
  <c r="Q32" i="5" s="1"/>
  <c r="R49" i="5"/>
  <c r="Q49" i="5" s="1"/>
  <c r="R52" i="5"/>
  <c r="Q52" i="5" s="1"/>
  <c r="R69" i="5"/>
  <c r="Q69" i="5" s="1"/>
  <c r="R21" i="5"/>
  <c r="R38" i="5"/>
  <c r="Q38" i="5" s="1"/>
  <c r="R61" i="5"/>
  <c r="Q61" i="5" s="1"/>
  <c r="R18" i="5"/>
  <c r="R72" i="5"/>
  <c r="Q72" i="5" s="1"/>
  <c r="R30" i="5"/>
  <c r="Q30" i="5" s="1"/>
  <c r="R17" i="5"/>
  <c r="R64" i="5"/>
  <c r="Q64" i="5" s="1"/>
  <c r="R57" i="5"/>
  <c r="Q57" i="5" s="1"/>
  <c r="R55" i="5"/>
  <c r="Q55" i="5" s="1"/>
  <c r="R13" i="5"/>
  <c r="R67" i="5"/>
  <c r="Q67" i="5" s="1"/>
  <c r="R24" i="5"/>
  <c r="R11" i="5"/>
  <c r="R73" i="5"/>
  <c r="Q73" i="5" s="1"/>
  <c r="R47" i="5"/>
  <c r="Q47" i="5" s="1"/>
  <c r="R27" i="5"/>
  <c r="R33" i="5"/>
  <c r="Q33" i="5" s="1"/>
  <c r="S33" i="5" s="1"/>
  <c r="R39" i="5"/>
  <c r="Q39" i="5" s="1"/>
  <c r="R51" i="5"/>
  <c r="Q51" i="5" s="1"/>
  <c r="R41" i="5"/>
  <c r="Q41" i="5" s="1"/>
  <c r="R58" i="5"/>
  <c r="Q58" i="5" s="1"/>
  <c r="R44" i="5"/>
  <c r="Q44" i="5" s="1"/>
  <c r="R35" i="5"/>
  <c r="Q35" i="5" s="1"/>
  <c r="R28" i="5"/>
  <c r="Q28" i="5" s="1"/>
  <c r="R66" i="5"/>
  <c r="Q66" i="5" s="1"/>
  <c r="R23" i="5"/>
  <c r="U66" i="5"/>
  <c r="T66" i="5" s="1"/>
  <c r="U23" i="5"/>
  <c r="U62" i="5"/>
  <c r="T62" i="5" s="1"/>
  <c r="U19" i="5"/>
  <c r="U41" i="5"/>
  <c r="T41" i="5" s="1"/>
  <c r="U69" i="5"/>
  <c r="T69" i="5" s="1"/>
  <c r="U36" i="5"/>
  <c r="T36" i="5" s="1"/>
  <c r="U18" i="5"/>
  <c r="U38" i="5"/>
  <c r="T38" i="5" s="1"/>
  <c r="U10" i="5"/>
  <c r="U50" i="5"/>
  <c r="T50" i="5" s="1"/>
  <c r="U75" i="5"/>
  <c r="T75" i="5" s="1"/>
  <c r="U46" i="5"/>
  <c r="T46" i="5" s="1"/>
  <c r="U58" i="5"/>
  <c r="T58" i="5" s="1"/>
  <c r="U61" i="5"/>
  <c r="T61" i="5" s="1"/>
  <c r="U32" i="5"/>
  <c r="T32" i="5" s="1"/>
  <c r="U27" i="5"/>
  <c r="U45" i="5"/>
  <c r="T45" i="5" s="1"/>
  <c r="U40" i="5"/>
  <c r="T40" i="5" s="1"/>
  <c r="U33" i="5"/>
  <c r="T33" i="5" s="1"/>
  <c r="U44" i="5"/>
  <c r="T44" i="5" s="1"/>
  <c r="U53" i="5"/>
  <c r="T53" i="5" s="1"/>
  <c r="U34" i="5"/>
  <c r="T34" i="5" s="1"/>
  <c r="U72" i="5"/>
  <c r="T72" i="5" s="1"/>
  <c r="U30" i="5"/>
  <c r="T30" i="5" s="1"/>
  <c r="U63" i="5"/>
  <c r="T63" i="5" s="1"/>
  <c r="V63" i="5" s="1"/>
  <c r="U28" i="5"/>
  <c r="T28" i="5" s="1"/>
  <c r="U57" i="5"/>
  <c r="T57" i="5" s="1"/>
  <c r="U56" i="5"/>
  <c r="T56" i="5" s="1"/>
  <c r="V56" i="5" s="1"/>
  <c r="U15" i="5"/>
  <c r="U12" i="5"/>
  <c r="U74" i="5"/>
  <c r="T74" i="5" s="1"/>
  <c r="U22" i="5"/>
  <c r="U70" i="5"/>
  <c r="T70" i="5" s="1"/>
  <c r="U29" i="5"/>
  <c r="T29" i="5" s="1"/>
  <c r="U67" i="5"/>
  <c r="T67" i="5" s="1"/>
  <c r="U24" i="5"/>
  <c r="U11" i="5"/>
  <c r="U52" i="5"/>
  <c r="T52" i="5" s="1"/>
  <c r="U47" i="5"/>
  <c r="T47" i="5" s="1"/>
  <c r="U64" i="5"/>
  <c r="T64" i="5" s="1"/>
  <c r="U55" i="5"/>
  <c r="T55" i="5" s="1"/>
  <c r="U13" i="5"/>
  <c r="U51" i="5"/>
  <c r="T51" i="5" s="1"/>
  <c r="U21" i="5"/>
  <c r="U16" i="5"/>
  <c r="U39" i="5"/>
  <c r="T39" i="5" s="1"/>
  <c r="U17" i="5"/>
  <c r="U73" i="5"/>
  <c r="T73" i="5" s="1"/>
  <c r="U35" i="5"/>
  <c r="T35" i="5" s="1"/>
  <c r="U68" i="5"/>
  <c r="T68" i="5" s="1"/>
  <c r="U49" i="5"/>
  <c r="T49" i="5" s="1"/>
  <c r="G36" i="5"/>
  <c r="G38" i="5"/>
  <c r="G34" i="5"/>
  <c r="G15" i="5"/>
  <c r="G41" i="5"/>
  <c r="G11" i="5"/>
  <c r="G70" i="5"/>
  <c r="G29" i="5"/>
  <c r="G73" i="5"/>
  <c r="G55" i="5"/>
  <c r="G56" i="5"/>
  <c r="G64" i="5"/>
  <c r="G22" i="5"/>
  <c r="G61" i="5"/>
  <c r="G18" i="5"/>
  <c r="G67" i="5"/>
  <c r="G62" i="5"/>
  <c r="G47" i="5"/>
  <c r="G49" i="5"/>
  <c r="G45" i="5"/>
  <c r="G35" i="5"/>
  <c r="G52" i="5"/>
  <c r="G30" i="5"/>
  <c r="G27" i="5"/>
  <c r="G74" i="5"/>
  <c r="G33" i="5"/>
  <c r="G21" i="5"/>
  <c r="G58" i="5"/>
  <c r="G17" i="5"/>
  <c r="G51" i="5"/>
  <c r="G44" i="5"/>
  <c r="G39" i="5"/>
  <c r="G24" i="5"/>
  <c r="G63" i="5"/>
  <c r="G32" i="5"/>
  <c r="G19" i="5"/>
  <c r="G68" i="5"/>
  <c r="G69" i="5"/>
  <c r="G28" i="5"/>
  <c r="G66" i="5"/>
  <c r="G23" i="5"/>
  <c r="G13" i="5"/>
  <c r="G12" i="5"/>
  <c r="G72" i="5"/>
  <c r="G57" i="5"/>
  <c r="G16" i="5"/>
  <c r="G10" i="5"/>
  <c r="G53" i="5"/>
  <c r="G50" i="5"/>
  <c r="G46" i="5"/>
  <c r="G75" i="5"/>
  <c r="G40" i="5"/>
  <c r="AL67" i="5"/>
  <c r="AL63" i="5"/>
  <c r="AL21" i="5"/>
  <c r="AL74" i="5"/>
  <c r="AL33" i="5"/>
  <c r="AL34" i="5"/>
  <c r="AL51" i="5"/>
  <c r="AL18" i="5"/>
  <c r="AL46" i="5"/>
  <c r="AL23" i="5"/>
  <c r="AL40" i="5"/>
  <c r="AL50" i="5"/>
  <c r="AL12" i="5"/>
  <c r="AL39" i="5"/>
  <c r="AL47" i="5"/>
  <c r="AL58" i="5"/>
  <c r="AL17" i="5"/>
  <c r="AL10" i="5"/>
  <c r="AL19" i="5"/>
  <c r="AL35" i="5"/>
  <c r="AL16" i="5"/>
  <c r="AL69" i="5"/>
  <c r="AL28" i="5"/>
  <c r="AL11" i="5"/>
  <c r="AL29" i="5"/>
  <c r="AL73" i="5"/>
  <c r="AL32" i="5"/>
  <c r="AL44" i="5"/>
  <c r="AL75" i="5"/>
  <c r="AL55" i="5"/>
  <c r="AL72" i="5"/>
  <c r="AL15" i="5"/>
  <c r="AL56" i="5"/>
  <c r="AL57" i="5"/>
  <c r="AL41" i="5"/>
  <c r="AL53" i="5"/>
  <c r="AL61" i="5"/>
  <c r="AL70" i="5"/>
  <c r="AL68" i="5"/>
  <c r="AL27" i="5"/>
  <c r="AL38" i="5"/>
  <c r="AL45" i="5"/>
  <c r="AL62" i="5"/>
  <c r="AL24" i="5"/>
  <c r="AL52" i="5"/>
  <c r="AL64" i="5"/>
  <c r="AL22" i="5"/>
  <c r="AL13" i="5"/>
  <c r="AL30" i="5"/>
  <c r="AL36" i="5"/>
  <c r="AL49" i="5"/>
  <c r="AL66" i="5"/>
  <c r="X29" i="5"/>
  <c r="X35" i="5"/>
  <c r="X47" i="5"/>
  <c r="X10" i="5"/>
  <c r="X23" i="5"/>
  <c r="X50" i="5"/>
  <c r="X22" i="5"/>
  <c r="X33" i="5"/>
  <c r="X74" i="5"/>
  <c r="X61" i="5"/>
  <c r="X62" i="5"/>
  <c r="X19" i="5"/>
  <c r="X73" i="5"/>
  <c r="X32" i="5"/>
  <c r="X58" i="5"/>
  <c r="X72" i="5"/>
  <c r="X56" i="5"/>
  <c r="X15" i="5"/>
  <c r="X68" i="5"/>
  <c r="X27" i="5"/>
  <c r="X75" i="5"/>
  <c r="X46" i="5"/>
  <c r="X57" i="5"/>
  <c r="X16" i="5"/>
  <c r="X28" i="5"/>
  <c r="X45" i="5"/>
  <c r="X30" i="5"/>
  <c r="X41" i="5"/>
  <c r="X13" i="5"/>
  <c r="X64" i="5"/>
  <c r="X44" i="5"/>
  <c r="X49" i="5"/>
  <c r="X66" i="5"/>
  <c r="X70" i="5"/>
  <c r="X18" i="5"/>
  <c r="X39" i="5"/>
  <c r="X40" i="5"/>
  <c r="X52" i="5"/>
  <c r="X17" i="5"/>
  <c r="X34" i="5"/>
  <c r="X67" i="5"/>
  <c r="X24" i="5"/>
  <c r="X11" i="5"/>
  <c r="X36" i="5"/>
  <c r="X69" i="5"/>
  <c r="X53" i="5"/>
  <c r="X38" i="5"/>
  <c r="X21" i="5"/>
  <c r="X55" i="5"/>
  <c r="X12" i="5"/>
  <c r="X51" i="5"/>
  <c r="X63" i="5"/>
  <c r="Q75" i="5"/>
  <c r="C10" i="8"/>
  <c r="W68" i="5"/>
  <c r="W47" i="5"/>
  <c r="W28" i="5"/>
  <c r="W70" i="5"/>
  <c r="W72" i="5"/>
  <c r="W36" i="5"/>
  <c r="W57" i="5"/>
  <c r="W67" i="5"/>
  <c r="W56" i="5"/>
  <c r="W46" i="5"/>
  <c r="W35" i="5"/>
  <c r="W75" i="5"/>
  <c r="W66" i="5"/>
  <c r="W55" i="5"/>
  <c r="W45" i="5"/>
  <c r="W34" i="5"/>
  <c r="W74" i="5"/>
  <c r="W64" i="5"/>
  <c r="W53" i="5"/>
  <c r="W44" i="5"/>
  <c r="W33" i="5"/>
  <c r="W73" i="5"/>
  <c r="W63" i="5"/>
  <c r="W52" i="5"/>
  <c r="W41" i="5"/>
  <c r="W32" i="5"/>
  <c r="W58" i="5"/>
  <c r="W49" i="5"/>
  <c r="W29" i="5"/>
  <c r="W30" i="5"/>
  <c r="W38" i="5"/>
  <c r="W39" i="5"/>
  <c r="W61" i="5"/>
  <c r="W69" i="5"/>
  <c r="W50" i="5"/>
  <c r="W51" i="5"/>
  <c r="W40" i="5"/>
  <c r="W62" i="5"/>
  <c r="Z38" i="5" l="1"/>
  <c r="N32" i="3"/>
  <c r="P32" i="3" s="1"/>
  <c r="Z57" i="5"/>
  <c r="Z63" i="5"/>
  <c r="Z74" i="5"/>
  <c r="Z64" i="5"/>
  <c r="S64" i="5"/>
  <c r="AU75" i="3"/>
  <c r="AV75" i="3" s="1"/>
  <c r="BD67" i="3"/>
  <c r="BE67" i="3" s="1"/>
  <c r="BD60" i="3"/>
  <c r="BE60" i="3" s="1"/>
  <c r="BG73" i="3"/>
  <c r="BD70" i="3"/>
  <c r="BE70" i="3" s="1"/>
  <c r="BD58" i="3"/>
  <c r="BE58" i="3" s="1"/>
  <c r="BG65" i="3"/>
  <c r="AU56" i="3"/>
  <c r="AV56" i="3" s="1"/>
  <c r="BD55" i="3"/>
  <c r="BE55" i="3" s="1"/>
  <c r="BG40" i="3"/>
  <c r="AU63" i="3"/>
  <c r="AV63" i="3" s="1"/>
  <c r="BD50" i="3"/>
  <c r="BE50" i="3" s="1"/>
  <c r="BG45" i="3"/>
  <c r="BG33" i="3"/>
  <c r="BD33" i="3"/>
  <c r="BE33" i="3" s="1"/>
  <c r="BG20" i="3"/>
  <c r="BH20" i="3" s="1"/>
  <c r="AU18" i="3"/>
  <c r="AV18" i="3" s="1"/>
  <c r="AU11" i="3"/>
  <c r="BG14" i="3"/>
  <c r="BH14" i="3" s="1"/>
  <c r="BD38" i="3"/>
  <c r="BE38" i="3" s="1"/>
  <c r="BD76" i="3"/>
  <c r="BE76" i="3" s="1"/>
  <c r="AU72" i="3"/>
  <c r="AV72" i="3" s="1"/>
  <c r="BG62" i="3"/>
  <c r="BD56" i="3"/>
  <c r="BE56" i="3" s="1"/>
  <c r="BD39" i="3"/>
  <c r="BE39" i="3" s="1"/>
  <c r="AU55" i="3"/>
  <c r="AV55" i="3" s="1"/>
  <c r="BG34" i="3"/>
  <c r="BH34" i="3" s="1"/>
  <c r="BG28" i="3"/>
  <c r="BG12" i="3"/>
  <c r="BH12" i="3" s="1"/>
  <c r="BD65" i="3"/>
  <c r="BE65" i="3" s="1"/>
  <c r="BD66" i="3"/>
  <c r="BG50" i="3"/>
  <c r="AU58" i="3"/>
  <c r="AV58" i="3" s="1"/>
  <c r="BD31" i="3"/>
  <c r="BE31" i="3" s="1"/>
  <c r="BD40" i="3"/>
  <c r="BE40" i="3" s="1"/>
  <c r="BG57" i="3"/>
  <c r="BD28" i="3"/>
  <c r="BE28" i="3" s="1"/>
  <c r="AU12" i="3"/>
  <c r="AV12" i="3" s="1"/>
  <c r="BG19" i="3"/>
  <c r="BH19" i="3" s="1"/>
  <c r="BG23" i="3"/>
  <c r="BH23" i="3" s="1"/>
  <c r="AO32" i="3"/>
  <c r="BD29" i="3"/>
  <c r="BE29" i="3" s="1"/>
  <c r="AU14" i="3"/>
  <c r="AV14" i="3" s="1"/>
  <c r="BG70" i="3"/>
  <c r="BD69" i="3"/>
  <c r="BE69" i="3" s="1"/>
  <c r="BG69" i="3"/>
  <c r="BG63" i="3"/>
  <c r="BG46" i="3"/>
  <c r="BD41" i="3"/>
  <c r="BE41" i="3" s="1"/>
  <c r="AU40" i="3"/>
  <c r="AV40" i="3" s="1"/>
  <c r="BD35" i="3"/>
  <c r="BE35" i="3" s="1"/>
  <c r="AU53" i="3"/>
  <c r="AV53" i="3" s="1"/>
  <c r="AU38" i="3"/>
  <c r="AV38" i="3" s="1"/>
  <c r="BG31" i="3"/>
  <c r="BH31" i="3" s="1"/>
  <c r="AO49" i="3"/>
  <c r="BG17" i="3"/>
  <c r="BH17" i="3" s="1"/>
  <c r="AU20" i="3"/>
  <c r="AV20" i="3" s="1"/>
  <c r="BG13" i="3"/>
  <c r="BH13" i="3" s="1"/>
  <c r="AU45" i="3"/>
  <c r="AV45" i="3" s="1"/>
  <c r="BD24" i="3"/>
  <c r="BE24" i="3" s="1"/>
  <c r="AO15" i="3"/>
  <c r="BD21" i="3"/>
  <c r="BE21" i="3" s="1"/>
  <c r="BD43" i="3"/>
  <c r="BE43" i="3" s="1"/>
  <c r="AU66" i="3"/>
  <c r="BG64" i="3"/>
  <c r="BD62" i="3"/>
  <c r="BE62" i="3" s="1"/>
  <c r="BD42" i="3"/>
  <c r="BE42" i="3" s="1"/>
  <c r="BD36" i="3"/>
  <c r="BE36" i="3" s="1"/>
  <c r="BD37" i="3"/>
  <c r="BE37" i="3" s="1"/>
  <c r="AU30" i="3"/>
  <c r="AV30" i="3" s="1"/>
  <c r="BG48" i="3"/>
  <c r="AU74" i="3"/>
  <c r="AV74" i="3" s="1"/>
  <c r="AU64" i="3"/>
  <c r="AV64" i="3" s="1"/>
  <c r="BG52" i="3"/>
  <c r="AU69" i="3"/>
  <c r="AV69" i="3" s="1"/>
  <c r="BG35" i="3"/>
  <c r="BG37" i="3"/>
  <c r="BD30" i="3"/>
  <c r="BE30" i="3" s="1"/>
  <c r="BD19" i="3"/>
  <c r="BE19" i="3" s="1"/>
  <c r="BD34" i="3"/>
  <c r="BE34" i="3" s="1"/>
  <c r="BD47" i="3"/>
  <c r="BE47" i="3" s="1"/>
  <c r="BD23" i="3"/>
  <c r="BE23" i="3" s="1"/>
  <c r="AU77" i="3"/>
  <c r="AV77" i="3" s="1"/>
  <c r="BD74" i="3"/>
  <c r="BE74" i="3" s="1"/>
  <c r="BG67" i="3"/>
  <c r="BD57" i="3"/>
  <c r="BE57" i="3" s="1"/>
  <c r="AU67" i="3"/>
  <c r="AV67" i="3" s="1"/>
  <c r="AU46" i="3"/>
  <c r="AV46" i="3" s="1"/>
  <c r="BD59" i="3"/>
  <c r="BE59" i="3" s="1"/>
  <c r="AU43" i="3"/>
  <c r="AV43" i="3" s="1"/>
  <c r="BG58" i="3"/>
  <c r="AU39" i="3"/>
  <c r="AV39" i="3" s="1"/>
  <c r="AU17" i="3"/>
  <c r="AV17" i="3" s="1"/>
  <c r="AU13" i="3"/>
  <c r="AV13" i="3" s="1"/>
  <c r="AU33" i="3"/>
  <c r="AV33" i="3" s="1"/>
  <c r="BD32" i="3"/>
  <c r="AU28" i="3"/>
  <c r="AV28" i="3" s="1"/>
  <c r="AU16" i="3"/>
  <c r="BG74" i="3"/>
  <c r="AU60" i="3"/>
  <c r="AV60" i="3" s="1"/>
  <c r="BD52" i="3"/>
  <c r="BE52" i="3" s="1"/>
  <c r="BG47" i="3"/>
  <c r="AU32" i="3"/>
  <c r="BD75" i="3"/>
  <c r="BE75" i="3" s="1"/>
  <c r="AU41" i="3"/>
  <c r="AV41" i="3" s="1"/>
  <c r="BD17" i="3"/>
  <c r="BE17" i="3" s="1"/>
  <c r="BG68" i="3"/>
  <c r="AU70" i="3"/>
  <c r="AV70" i="3" s="1"/>
  <c r="BD77" i="3"/>
  <c r="BE77" i="3" s="1"/>
  <c r="AU62" i="3"/>
  <c r="AV62" i="3" s="1"/>
  <c r="BD45" i="3"/>
  <c r="BE45" i="3" s="1"/>
  <c r="AU47" i="3"/>
  <c r="AV47" i="3" s="1"/>
  <c r="AU34" i="3"/>
  <c r="AV34" i="3" s="1"/>
  <c r="AU29" i="3"/>
  <c r="AV29" i="3" s="1"/>
  <c r="BG22" i="3"/>
  <c r="BG53" i="3"/>
  <c r="BD18" i="3"/>
  <c r="BE18" i="3" s="1"/>
  <c r="BD22" i="3"/>
  <c r="BD11" i="3"/>
  <c r="BG24" i="3"/>
  <c r="BH24" i="3" s="1"/>
  <c r="BG30" i="3"/>
  <c r="BH30" i="3" s="1"/>
  <c r="AU68" i="3"/>
  <c r="AV68" i="3" s="1"/>
  <c r="BG59" i="3"/>
  <c r="AU52" i="3"/>
  <c r="AV52" i="3" s="1"/>
  <c r="AU50" i="3"/>
  <c r="AV50" i="3" s="1"/>
  <c r="BD72" i="3"/>
  <c r="BE72" i="3" s="1"/>
  <c r="BD54" i="3"/>
  <c r="BE54" i="3" s="1"/>
  <c r="AU49" i="3"/>
  <c r="AO66" i="3"/>
  <c r="AU57" i="3"/>
  <c r="AV57" i="3" s="1"/>
  <c r="BG51" i="3"/>
  <c r="BD53" i="3"/>
  <c r="BE53" i="3" s="1"/>
  <c r="AU37" i="3"/>
  <c r="AV37" i="3" s="1"/>
  <c r="BG39" i="3"/>
  <c r="AU35" i="3"/>
  <c r="AV35" i="3" s="1"/>
  <c r="BD51" i="3"/>
  <c r="BE51" i="3" s="1"/>
  <c r="BG41" i="3"/>
  <c r="BD16" i="3"/>
  <c r="BE16" i="3" s="1"/>
  <c r="AU22" i="3"/>
  <c r="BD12" i="3"/>
  <c r="BE12" i="3" s="1"/>
  <c r="BG25" i="3"/>
  <c r="BH25" i="3" s="1"/>
  <c r="BG29" i="3"/>
  <c r="BH29" i="3" s="1"/>
  <c r="AU24" i="3"/>
  <c r="AV24" i="3" s="1"/>
  <c r="BD14" i="3"/>
  <c r="BE14" i="3" s="1"/>
  <c r="BD13" i="3"/>
  <c r="BE13" i="3" s="1"/>
  <c r="AU54" i="3"/>
  <c r="AV54" i="3" s="1"/>
  <c r="BD73" i="3"/>
  <c r="BE73" i="3" s="1"/>
  <c r="BG71" i="3"/>
  <c r="AU76" i="3"/>
  <c r="AV76" i="3" s="1"/>
  <c r="AO77" i="3"/>
  <c r="AP77" i="3" s="1"/>
  <c r="AU65" i="3"/>
  <c r="AV65" i="3" s="1"/>
  <c r="BD63" i="3"/>
  <c r="BE63" i="3" s="1"/>
  <c r="AO60" i="3"/>
  <c r="AP60" i="3" s="1"/>
  <c r="BG54" i="3"/>
  <c r="BG42" i="3"/>
  <c r="BD48" i="3"/>
  <c r="BE48" i="3" s="1"/>
  <c r="BG36" i="3"/>
  <c r="AU51" i="3"/>
  <c r="AV51" i="3" s="1"/>
  <c r="BD46" i="3"/>
  <c r="BE46" i="3" s="1"/>
  <c r="BG76" i="3"/>
  <c r="BD49" i="3"/>
  <c r="AU25" i="3"/>
  <c r="AV25" i="3" s="1"/>
  <c r="BD25" i="3"/>
  <c r="BE25" i="3" s="1"/>
  <c r="BG16" i="3"/>
  <c r="AU23" i="3"/>
  <c r="AV23" i="3" s="1"/>
  <c r="BD20" i="3"/>
  <c r="BE20" i="3" s="1"/>
  <c r="BG75" i="3"/>
  <c r="AU71" i="3"/>
  <c r="AV71" i="3" s="1"/>
  <c r="BD68" i="3"/>
  <c r="BE68" i="3" s="1"/>
  <c r="BD64" i="3"/>
  <c r="BE64" i="3" s="1"/>
  <c r="AU59" i="3"/>
  <c r="AV59" i="3" s="1"/>
  <c r="BD71" i="3"/>
  <c r="BE71" i="3" s="1"/>
  <c r="BG11" i="3"/>
  <c r="BG18" i="3"/>
  <c r="BH18" i="3" s="1"/>
  <c r="BG56" i="3"/>
  <c r="AU48" i="3"/>
  <c r="AV48" i="3" s="1"/>
  <c r="AU42" i="3"/>
  <c r="AV42" i="3" s="1"/>
  <c r="AU31" i="3"/>
  <c r="AV31" i="3" s="1"/>
  <c r="AO26" i="3"/>
  <c r="AP26" i="3" s="1"/>
  <c r="AU73" i="3"/>
  <c r="AV73" i="3" s="1"/>
  <c r="AO43" i="3"/>
  <c r="AP43" i="3" s="1"/>
  <c r="AU36" i="3"/>
  <c r="AV36" i="3" s="1"/>
  <c r="AU19" i="3"/>
  <c r="AV19" i="3" s="1"/>
  <c r="AC33" i="3"/>
  <c r="AE33" i="3" s="1"/>
  <c r="AH33" i="3"/>
  <c r="F34" i="3"/>
  <c r="Z32" i="3"/>
  <c r="AB32" i="3" s="1"/>
  <c r="S32" i="3"/>
  <c r="Z55" i="5"/>
  <c r="Z41" i="5"/>
  <c r="Z58" i="5"/>
  <c r="S63" i="5"/>
  <c r="S52" i="5"/>
  <c r="I34" i="3"/>
  <c r="AQ33" i="3"/>
  <c r="AS33" i="3" s="1"/>
  <c r="H33" i="3"/>
  <c r="C33" i="3"/>
  <c r="BI33" i="3"/>
  <c r="BK33" i="3" s="1"/>
  <c r="Z28" i="5"/>
  <c r="Z72" i="5"/>
  <c r="S36" i="5"/>
  <c r="Z49" i="5"/>
  <c r="S55" i="5"/>
  <c r="S56" i="5"/>
  <c r="S69" i="5"/>
  <c r="Z44" i="5"/>
  <c r="Z62" i="5"/>
  <c r="S35" i="5"/>
  <c r="Z45" i="5"/>
  <c r="S39" i="5"/>
  <c r="Z32" i="5"/>
  <c r="Z56" i="5"/>
  <c r="S70" i="5"/>
  <c r="S68" i="5"/>
  <c r="Z68" i="5"/>
  <c r="Z35" i="5"/>
  <c r="Z30" i="5"/>
  <c r="S46" i="5"/>
  <c r="Z66" i="5"/>
  <c r="Z51" i="5"/>
  <c r="Z34" i="5"/>
  <c r="V69" i="5"/>
  <c r="V41" i="5"/>
  <c r="V53" i="5"/>
  <c r="AA58" i="5"/>
  <c r="S50" i="5"/>
  <c r="AA53" i="5"/>
  <c r="Z69" i="5"/>
  <c r="Z46" i="5"/>
  <c r="Z47" i="5"/>
  <c r="Z39" i="5"/>
  <c r="Z67" i="5"/>
  <c r="V74" i="5"/>
  <c r="AA11" i="5"/>
  <c r="AA30" i="5"/>
  <c r="AA49" i="5"/>
  <c r="AA40" i="5"/>
  <c r="AA62" i="5"/>
  <c r="V57" i="5"/>
  <c r="Z61" i="5"/>
  <c r="Z52" i="5"/>
  <c r="S73" i="5"/>
  <c r="S38" i="5"/>
  <c r="V44" i="5"/>
  <c r="V28" i="5"/>
  <c r="V64" i="5"/>
  <c r="V35" i="5"/>
  <c r="V75" i="5"/>
  <c r="AA41" i="5"/>
  <c r="AA24" i="5"/>
  <c r="AA32" i="5"/>
  <c r="AA75" i="5"/>
  <c r="S57" i="5"/>
  <c r="Z75" i="5"/>
  <c r="Z36" i="5"/>
  <c r="S53" i="5"/>
  <c r="S34" i="5"/>
  <c r="V55" i="5"/>
  <c r="V49" i="5"/>
  <c r="V38" i="5"/>
  <c r="V66" i="5"/>
  <c r="AA18" i="5"/>
  <c r="AA46" i="5"/>
  <c r="AA70" i="5"/>
  <c r="AA50" i="5"/>
  <c r="S45" i="5"/>
  <c r="AA29" i="5"/>
  <c r="Z73" i="5"/>
  <c r="V39" i="5"/>
  <c r="AA51" i="5"/>
  <c r="S51" i="5"/>
  <c r="AA67" i="5"/>
  <c r="Z40" i="5"/>
  <c r="Z29" i="5"/>
  <c r="Z33" i="5"/>
  <c r="S75" i="5"/>
  <c r="V47" i="5"/>
  <c r="V32" i="5"/>
  <c r="V45" i="5"/>
  <c r="V36" i="5"/>
  <c r="AA23" i="5"/>
  <c r="AA39" i="5"/>
  <c r="AA13" i="5"/>
  <c r="AA61" i="5"/>
  <c r="AA34" i="5"/>
  <c r="AA15" i="5"/>
  <c r="AA10" i="5"/>
  <c r="S61" i="5"/>
  <c r="S40" i="5"/>
  <c r="S67" i="5"/>
  <c r="V46" i="5"/>
  <c r="AA33" i="5"/>
  <c r="AA16" i="5"/>
  <c r="S30" i="5"/>
  <c r="S32" i="5"/>
  <c r="Z50" i="5"/>
  <c r="Z53" i="5"/>
  <c r="V33" i="5"/>
  <c r="V67" i="5"/>
  <c r="V62" i="5"/>
  <c r="V68" i="5"/>
  <c r="AA28" i="5"/>
  <c r="AA27" i="5"/>
  <c r="AA57" i="5"/>
  <c r="AA21" i="5"/>
  <c r="AA22" i="5"/>
  <c r="AA45" i="5"/>
  <c r="AA12" i="5"/>
  <c r="S58" i="5"/>
  <c r="Z70" i="5"/>
  <c r="V40" i="5"/>
  <c r="V50" i="5"/>
  <c r="AA55" i="5"/>
  <c r="AA56" i="5"/>
  <c r="S49" i="5"/>
  <c r="V30" i="5"/>
  <c r="V29" i="5"/>
  <c r="V58" i="5"/>
  <c r="V73" i="5"/>
  <c r="AA35" i="5"/>
  <c r="AA47" i="5"/>
  <c r="S47" i="5"/>
  <c r="AA64" i="5"/>
  <c r="AA69" i="5"/>
  <c r="AA74" i="5"/>
  <c r="AA63" i="5"/>
  <c r="AA68" i="5"/>
  <c r="S74" i="5"/>
  <c r="S62" i="5"/>
  <c r="V34" i="5"/>
  <c r="AA72" i="5"/>
  <c r="S29" i="5"/>
  <c r="AA66" i="5"/>
  <c r="AA38" i="5"/>
  <c r="S72" i="5"/>
  <c r="V72" i="5"/>
  <c r="V51" i="5"/>
  <c r="V70" i="5"/>
  <c r="V61" i="5"/>
  <c r="V52" i="5"/>
  <c r="AA44" i="5"/>
  <c r="S44" i="5"/>
  <c r="AA73" i="5"/>
  <c r="AA17" i="5"/>
  <c r="AA52" i="5"/>
  <c r="AA36" i="5"/>
  <c r="AA19" i="5"/>
  <c r="S28" i="5"/>
  <c r="S66" i="5"/>
  <c r="S41" i="5"/>
  <c r="O61" i="5"/>
  <c r="T32" i="3" l="1"/>
  <c r="V32" i="3" s="1"/>
  <c r="BJ56" i="3"/>
  <c r="BH56" i="3"/>
  <c r="BG60" i="3"/>
  <c r="BJ75" i="3"/>
  <c r="BH75" i="3"/>
  <c r="BE11" i="3"/>
  <c r="BD15" i="3"/>
  <c r="AU44" i="3"/>
  <c r="AV44" i="3" s="1"/>
  <c r="AV32" i="3"/>
  <c r="BH48" i="3"/>
  <c r="BJ48" i="3"/>
  <c r="AO61" i="3"/>
  <c r="AP61" i="3" s="1"/>
  <c r="AP49" i="3"/>
  <c r="BH63" i="3"/>
  <c r="BJ63" i="3"/>
  <c r="BD78" i="3"/>
  <c r="BE78" i="3" s="1"/>
  <c r="BE66" i="3"/>
  <c r="BG66" i="3"/>
  <c r="BH62" i="3"/>
  <c r="BJ62" i="3"/>
  <c r="BH65" i="3"/>
  <c r="BJ65" i="3"/>
  <c r="BH39" i="3"/>
  <c r="BJ39" i="3"/>
  <c r="BG43" i="3"/>
  <c r="BE22" i="3"/>
  <c r="BD26" i="3"/>
  <c r="BE26" i="3" s="1"/>
  <c r="BJ47" i="3"/>
  <c r="BH47" i="3"/>
  <c r="BJ69" i="3"/>
  <c r="BH69" i="3"/>
  <c r="BG38" i="3"/>
  <c r="BH33" i="3"/>
  <c r="BG15" i="3"/>
  <c r="BH11" i="3"/>
  <c r="BJ36" i="3"/>
  <c r="BH36" i="3"/>
  <c r="BG72" i="3"/>
  <c r="BJ67" i="3"/>
  <c r="BH67" i="3"/>
  <c r="BJ37" i="3"/>
  <c r="BH37" i="3"/>
  <c r="AO27" i="3"/>
  <c r="AP15" i="3"/>
  <c r="BJ45" i="3"/>
  <c r="BG49" i="3"/>
  <c r="BH45" i="3"/>
  <c r="BH71" i="3"/>
  <c r="BJ71" i="3"/>
  <c r="BH35" i="3"/>
  <c r="BJ35" i="3"/>
  <c r="BG32" i="3"/>
  <c r="BH28" i="3"/>
  <c r="BH59" i="3"/>
  <c r="BJ59" i="3"/>
  <c r="BH74" i="3"/>
  <c r="BJ74" i="3"/>
  <c r="BH54" i="3"/>
  <c r="BJ54" i="3"/>
  <c r="AV16" i="3"/>
  <c r="AU21" i="3"/>
  <c r="AV21" i="3" s="1"/>
  <c r="BJ52" i="3"/>
  <c r="BH52" i="3"/>
  <c r="AU15" i="3"/>
  <c r="AV15" i="3" s="1"/>
  <c r="AV11" i="3"/>
  <c r="BH40" i="3"/>
  <c r="BJ40" i="3"/>
  <c r="BJ53" i="3"/>
  <c r="BH53" i="3"/>
  <c r="BJ57" i="3"/>
  <c r="BH57" i="3"/>
  <c r="BJ73" i="3"/>
  <c r="BG77" i="3"/>
  <c r="BH73" i="3"/>
  <c r="BJ42" i="3"/>
  <c r="BH42" i="3"/>
  <c r="BH51" i="3"/>
  <c r="BJ51" i="3"/>
  <c r="BH68" i="3"/>
  <c r="BJ68" i="3"/>
  <c r="BD61" i="3"/>
  <c r="BE61" i="3" s="1"/>
  <c r="BE49" i="3"/>
  <c r="BJ41" i="3"/>
  <c r="BH41" i="3"/>
  <c r="AP66" i="3"/>
  <c r="AO78" i="3"/>
  <c r="AP78" i="3" s="1"/>
  <c r="BJ64" i="3"/>
  <c r="BH64" i="3"/>
  <c r="AO44" i="3"/>
  <c r="AP44" i="3" s="1"/>
  <c r="AP32" i="3"/>
  <c r="BG21" i="3"/>
  <c r="BH21" i="3" s="1"/>
  <c r="BH16" i="3"/>
  <c r="BJ70" i="3"/>
  <c r="BH70" i="3"/>
  <c r="AU26" i="3"/>
  <c r="AV22" i="3"/>
  <c r="BH22" i="3"/>
  <c r="BG26" i="3"/>
  <c r="BH26" i="3" s="1"/>
  <c r="BJ58" i="3"/>
  <c r="BH58" i="3"/>
  <c r="BJ76" i="3"/>
  <c r="BH76" i="3"/>
  <c r="AU61" i="3"/>
  <c r="AV61" i="3" s="1"/>
  <c r="AV49" i="3"/>
  <c r="BD44" i="3"/>
  <c r="BE44" i="3" s="1"/>
  <c r="BE32" i="3"/>
  <c r="AU78" i="3"/>
  <c r="AV78" i="3" s="1"/>
  <c r="AV66" i="3"/>
  <c r="BH46" i="3"/>
  <c r="BJ46" i="3"/>
  <c r="BG55" i="3"/>
  <c r="BH50" i="3"/>
  <c r="BJ50" i="3"/>
  <c r="E33" i="3"/>
  <c r="K33" i="3"/>
  <c r="BI34" i="3"/>
  <c r="BK34" i="3" s="1"/>
  <c r="H34" i="3"/>
  <c r="C34" i="3"/>
  <c r="AQ34" i="3"/>
  <c r="AS34" i="3" s="1"/>
  <c r="I35" i="3"/>
  <c r="AF34" i="3"/>
  <c r="R2" i="8"/>
  <c r="R4" i="8"/>
  <c r="R3" i="8"/>
  <c r="R10" i="8"/>
  <c r="R11" i="8"/>
  <c r="R12" i="8"/>
  <c r="R13" i="8"/>
  <c r="R14" i="8"/>
  <c r="R15" i="8"/>
  <c r="R16" i="8"/>
  <c r="R17" i="8"/>
  <c r="R18" i="8"/>
  <c r="BG10" i="5"/>
  <c r="BG11" i="5"/>
  <c r="BG12" i="5"/>
  <c r="BG13" i="5"/>
  <c r="BG15" i="5"/>
  <c r="BG16" i="5"/>
  <c r="BG17" i="5"/>
  <c r="BG18" i="5"/>
  <c r="BG19" i="5"/>
  <c r="BG21" i="5"/>
  <c r="BG22" i="5"/>
  <c r="BG23" i="5"/>
  <c r="BG24" i="5"/>
  <c r="BG27" i="5"/>
  <c r="BG28" i="5"/>
  <c r="BG29" i="5"/>
  <c r="BG30" i="5"/>
  <c r="BG32" i="5"/>
  <c r="BG33" i="5"/>
  <c r="BG34" i="5"/>
  <c r="BG35" i="5"/>
  <c r="BG36" i="5"/>
  <c r="BG38" i="5"/>
  <c r="BG39" i="5"/>
  <c r="BG40" i="5"/>
  <c r="BG41" i="5"/>
  <c r="BG44" i="5"/>
  <c r="BG45" i="5"/>
  <c r="BG46" i="5"/>
  <c r="BG47" i="5"/>
  <c r="BG49" i="5"/>
  <c r="BG50" i="5"/>
  <c r="BG51" i="5"/>
  <c r="BG52" i="5"/>
  <c r="BG53" i="5"/>
  <c r="BG55" i="5"/>
  <c r="BG56" i="5"/>
  <c r="BG57" i="5"/>
  <c r="BG58" i="5"/>
  <c r="BG61" i="5"/>
  <c r="BG62" i="5"/>
  <c r="BG63" i="5"/>
  <c r="BG64" i="5"/>
  <c r="BG66" i="5"/>
  <c r="BG67" i="5"/>
  <c r="BG68" i="5"/>
  <c r="BG69" i="5"/>
  <c r="BG70" i="5"/>
  <c r="BG72" i="5"/>
  <c r="BG73" i="5"/>
  <c r="BG74" i="5"/>
  <c r="BG75" i="5"/>
  <c r="BD10" i="5"/>
  <c r="BD11" i="5"/>
  <c r="BD12" i="5"/>
  <c r="BD13" i="5"/>
  <c r="BD20" i="5"/>
  <c r="BD21" i="5"/>
  <c r="BD22" i="5"/>
  <c r="BD23" i="5"/>
  <c r="BD24" i="5"/>
  <c r="BD31" i="5"/>
  <c r="BD37" i="5"/>
  <c r="BD42" i="5"/>
  <c r="BD48" i="5"/>
  <c r="BD54" i="5"/>
  <c r="BD59" i="5"/>
  <c r="BD65" i="5"/>
  <c r="BD71" i="5"/>
  <c r="BD76" i="5"/>
  <c r="AZ14" i="5"/>
  <c r="AZ20" i="5"/>
  <c r="AZ25" i="5"/>
  <c r="AZ42" i="5"/>
  <c r="AZ43" i="5" s="1"/>
  <c r="AZ59" i="5"/>
  <c r="AZ60" i="5"/>
  <c r="AZ77" i="5"/>
  <c r="BA14" i="5"/>
  <c r="BA20" i="5"/>
  <c r="BA25" i="5"/>
  <c r="BA42" i="5"/>
  <c r="BA43" i="5" s="1"/>
  <c r="BA59" i="5"/>
  <c r="BA60" i="5"/>
  <c r="BB60" i="5" s="1"/>
  <c r="BA77" i="5"/>
  <c r="AY78" i="5"/>
  <c r="AU10" i="5"/>
  <c r="AU11" i="5"/>
  <c r="AU12" i="5"/>
  <c r="AU13" i="5"/>
  <c r="AU15" i="5"/>
  <c r="AU16" i="5"/>
  <c r="AU17" i="5"/>
  <c r="AU18" i="5"/>
  <c r="AU19" i="5"/>
  <c r="AU21" i="5"/>
  <c r="AU22" i="5"/>
  <c r="AU23" i="5"/>
  <c r="AU24" i="5"/>
  <c r="AU31" i="5"/>
  <c r="AU37" i="5"/>
  <c r="AU42" i="5"/>
  <c r="AU48" i="5"/>
  <c r="AU54" i="5"/>
  <c r="AU59" i="5"/>
  <c r="AU65" i="5"/>
  <c r="AU71" i="5"/>
  <c r="AU76" i="5"/>
  <c r="AO14" i="5"/>
  <c r="AO25" i="5"/>
  <c r="AO31" i="5"/>
  <c r="AO42" i="5"/>
  <c r="AO48" i="5"/>
  <c r="AO59" i="5"/>
  <c r="AO65" i="5"/>
  <c r="AO76" i="5"/>
  <c r="AY77" i="5"/>
  <c r="BB76" i="5"/>
  <c r="AY76" i="5"/>
  <c r="BD75" i="5"/>
  <c r="BB75" i="5"/>
  <c r="AY75" i="5"/>
  <c r="AU75" i="5"/>
  <c r="BD74" i="5"/>
  <c r="BB74" i="5"/>
  <c r="AY74" i="5"/>
  <c r="AU74" i="5"/>
  <c r="BD73" i="5"/>
  <c r="BB73" i="5"/>
  <c r="AY73" i="5"/>
  <c r="AU73" i="5"/>
  <c r="BD72" i="5"/>
  <c r="BB72" i="5"/>
  <c r="AY72" i="5"/>
  <c r="AU72" i="5"/>
  <c r="BB71" i="5"/>
  <c r="AY71" i="5"/>
  <c r="BD70" i="5"/>
  <c r="BB70" i="5"/>
  <c r="AY70" i="5"/>
  <c r="AU70" i="5"/>
  <c r="BD69" i="5"/>
  <c r="BB69" i="5"/>
  <c r="AY69" i="5"/>
  <c r="AU69" i="5"/>
  <c r="BD68" i="5"/>
  <c r="BB68" i="5"/>
  <c r="AY68" i="5"/>
  <c r="AU68" i="5"/>
  <c r="BD67" i="5"/>
  <c r="BB67" i="5"/>
  <c r="AY67" i="5"/>
  <c r="AU67" i="5"/>
  <c r="BD66" i="5"/>
  <c r="BB66" i="5"/>
  <c r="AY66" i="5"/>
  <c r="AU66" i="5"/>
  <c r="BB65" i="5"/>
  <c r="AY65" i="5"/>
  <c r="BD64" i="5"/>
  <c r="BB64" i="5"/>
  <c r="AY64" i="5"/>
  <c r="AU64" i="5"/>
  <c r="BD63" i="5"/>
  <c r="BB63" i="5"/>
  <c r="AY63" i="5"/>
  <c r="AU63" i="5"/>
  <c r="BD62" i="5"/>
  <c r="BB62" i="5"/>
  <c r="AY62" i="5"/>
  <c r="AU62" i="5"/>
  <c r="BD61" i="5"/>
  <c r="BB61" i="5"/>
  <c r="AY61" i="5"/>
  <c r="AU61" i="5"/>
  <c r="AY60" i="5"/>
  <c r="AY59" i="5"/>
  <c r="BD58" i="5"/>
  <c r="BB58" i="5"/>
  <c r="AY58" i="5"/>
  <c r="AU58" i="5"/>
  <c r="BD57" i="5"/>
  <c r="BB57" i="5"/>
  <c r="AY57" i="5"/>
  <c r="AU57" i="5"/>
  <c r="BD56" i="5"/>
  <c r="BB56" i="5"/>
  <c r="AY56" i="5"/>
  <c r="AU56" i="5"/>
  <c r="BD55" i="5"/>
  <c r="BB55" i="5"/>
  <c r="AY55" i="5"/>
  <c r="AU55" i="5"/>
  <c r="BB54" i="5"/>
  <c r="AY54" i="5"/>
  <c r="BD53" i="5"/>
  <c r="BB53" i="5"/>
  <c r="AY53" i="5"/>
  <c r="AU53" i="5"/>
  <c r="BD52" i="5"/>
  <c r="BB52" i="5"/>
  <c r="AY52" i="5"/>
  <c r="AU52" i="5"/>
  <c r="BD51" i="5"/>
  <c r="BB51" i="5"/>
  <c r="AY51" i="5"/>
  <c r="AU51" i="5"/>
  <c r="BD50" i="5"/>
  <c r="BB50" i="5"/>
  <c r="AY50" i="5"/>
  <c r="AU50" i="5"/>
  <c r="BD49" i="5"/>
  <c r="BB49" i="5"/>
  <c r="AY49" i="5"/>
  <c r="AU49" i="5"/>
  <c r="BB48" i="5"/>
  <c r="AY48" i="5"/>
  <c r="BD47" i="5"/>
  <c r="BB47" i="5"/>
  <c r="AY47" i="5"/>
  <c r="AU47" i="5"/>
  <c r="BD46" i="5"/>
  <c r="BB46" i="5"/>
  <c r="AY46" i="5"/>
  <c r="AU46" i="5"/>
  <c r="BD45" i="5"/>
  <c r="BB45" i="5"/>
  <c r="AY45" i="5"/>
  <c r="AU45" i="5"/>
  <c r="BD44" i="5"/>
  <c r="BB44" i="5"/>
  <c r="AY44" i="5"/>
  <c r="AU44" i="5"/>
  <c r="AY43" i="5"/>
  <c r="AY42" i="5"/>
  <c r="BD41" i="5"/>
  <c r="BB41" i="5"/>
  <c r="AY41" i="5"/>
  <c r="AU41" i="5"/>
  <c r="BD40" i="5"/>
  <c r="BB40" i="5"/>
  <c r="AY40" i="5"/>
  <c r="AU40" i="5"/>
  <c r="BD39" i="5"/>
  <c r="BB39" i="5"/>
  <c r="AY39" i="5"/>
  <c r="AU39" i="5"/>
  <c r="BD38" i="5"/>
  <c r="BB38" i="5"/>
  <c r="AY38" i="5"/>
  <c r="AU38" i="5"/>
  <c r="BB37" i="5"/>
  <c r="AY37" i="5"/>
  <c r="BD36" i="5"/>
  <c r="BB36" i="5"/>
  <c r="AY36" i="5"/>
  <c r="AU36" i="5"/>
  <c r="BD35" i="5"/>
  <c r="BB35" i="5"/>
  <c r="AY35" i="5"/>
  <c r="AU35" i="5"/>
  <c r="BD34" i="5"/>
  <c r="BB34" i="5"/>
  <c r="AY34" i="5"/>
  <c r="AU34" i="5"/>
  <c r="BD33" i="5"/>
  <c r="BB33" i="5"/>
  <c r="AY33" i="5"/>
  <c r="AU33" i="5"/>
  <c r="BD32" i="5"/>
  <c r="BB32" i="5"/>
  <c r="AY32" i="5"/>
  <c r="AU32" i="5"/>
  <c r="BB31" i="5"/>
  <c r="AY31" i="5"/>
  <c r="BD30" i="5"/>
  <c r="BB30" i="5"/>
  <c r="AY30" i="5"/>
  <c r="AU30" i="5"/>
  <c r="BD29" i="5"/>
  <c r="BB29" i="5"/>
  <c r="AY29" i="5"/>
  <c r="AU29" i="5"/>
  <c r="BD28" i="5"/>
  <c r="BB28" i="5"/>
  <c r="AY28" i="5"/>
  <c r="AU28" i="5"/>
  <c r="BD27" i="5"/>
  <c r="BB27" i="5"/>
  <c r="AY27" i="5"/>
  <c r="AU27" i="5"/>
  <c r="AY26" i="5"/>
  <c r="BB25" i="5"/>
  <c r="AY25" i="5"/>
  <c r="BB24" i="5"/>
  <c r="AY24" i="5"/>
  <c r="BB23" i="5"/>
  <c r="AY23" i="5"/>
  <c r="BB22" i="5"/>
  <c r="AY22" i="5"/>
  <c r="BB21" i="5"/>
  <c r="AY21" i="5"/>
  <c r="AY20" i="5"/>
  <c r="BD19" i="5"/>
  <c r="BB19" i="5"/>
  <c r="AY19" i="5"/>
  <c r="BD18" i="5"/>
  <c r="BB18" i="5"/>
  <c r="AY18" i="5"/>
  <c r="BD17" i="5"/>
  <c r="BB17" i="5"/>
  <c r="AY17" i="5"/>
  <c r="BD16" i="5"/>
  <c r="BB16" i="5"/>
  <c r="AY16" i="5"/>
  <c r="BD15" i="5"/>
  <c r="BB15" i="5"/>
  <c r="AY15" i="5"/>
  <c r="AY14" i="5"/>
  <c r="BB13" i="5"/>
  <c r="AY13" i="5"/>
  <c r="BB12" i="5"/>
  <c r="AY12" i="5"/>
  <c r="BB11" i="5"/>
  <c r="AY11" i="5"/>
  <c r="BB10" i="5"/>
  <c r="AY10" i="5"/>
  <c r="E2" i="6"/>
  <c r="F2" i="6" s="1"/>
  <c r="G2" i="6" s="1"/>
  <c r="H2" i="6" s="1"/>
  <c r="I2" i="6" s="1"/>
  <c r="J2" i="6" s="1"/>
  <c r="K2" i="6" s="1"/>
  <c r="L2" i="6" s="1"/>
  <c r="M2" i="6" s="1"/>
  <c r="N2" i="6" s="1"/>
  <c r="O2" i="6" s="1"/>
  <c r="AB4" i="8"/>
  <c r="AA4" i="8"/>
  <c r="Z4" i="8"/>
  <c r="AB3" i="8"/>
  <c r="AA3" i="8"/>
  <c r="Z3" i="8"/>
  <c r="BJ38" i="3" l="1"/>
  <c r="BH38" i="3"/>
  <c r="BJ55" i="3"/>
  <c r="BH55" i="3"/>
  <c r="AU27" i="3"/>
  <c r="AV26" i="3"/>
  <c r="BD27" i="3"/>
  <c r="BE15" i="3"/>
  <c r="BH49" i="3"/>
  <c r="BG61" i="3"/>
  <c r="BJ49" i="3"/>
  <c r="BH72" i="3"/>
  <c r="BJ72" i="3"/>
  <c r="AO79" i="3"/>
  <c r="AP79" i="3" s="1"/>
  <c r="AP27" i="3"/>
  <c r="BH60" i="3"/>
  <c r="BJ60" i="3"/>
  <c r="BG44" i="3"/>
  <c r="BH32" i="3"/>
  <c r="BH15" i="3"/>
  <c r="BG27" i="3"/>
  <c r="BG78" i="3"/>
  <c r="BH66" i="3"/>
  <c r="BJ66" i="3"/>
  <c r="BH77" i="3"/>
  <c r="BJ77" i="3"/>
  <c r="BJ43" i="3"/>
  <c r="BH43" i="3"/>
  <c r="K34" i="3"/>
  <c r="M34" i="3" s="1"/>
  <c r="E34" i="3"/>
  <c r="M33" i="3"/>
  <c r="F35" i="3"/>
  <c r="AH34" i="3"/>
  <c r="AC34" i="3"/>
  <c r="AE34" i="3" s="1"/>
  <c r="BB43" i="5"/>
  <c r="BA26" i="5"/>
  <c r="BA78" i="5" s="1"/>
  <c r="AZ26" i="5"/>
  <c r="AZ78" i="5" s="1"/>
  <c r="BB78" i="5" s="1"/>
  <c r="BB42" i="5"/>
  <c r="BB59" i="5"/>
  <c r="BB77" i="5"/>
  <c r="BB20" i="5"/>
  <c r="BB26" i="5"/>
  <c r="BB14" i="5"/>
  <c r="Z2" i="8"/>
  <c r="AA2" i="8"/>
  <c r="AB2" i="8"/>
  <c r="BG76" i="5"/>
  <c r="AU60" i="5"/>
  <c r="BD43" i="5"/>
  <c r="BD60" i="5"/>
  <c r="AU77" i="5"/>
  <c r="AU25" i="5"/>
  <c r="BG37" i="5"/>
  <c r="BG14" i="5"/>
  <c r="BD14" i="5"/>
  <c r="AU43" i="5"/>
  <c r="BG31" i="5"/>
  <c r="BG59" i="5"/>
  <c r="BG48" i="5"/>
  <c r="BD77" i="5"/>
  <c r="AU20" i="5"/>
  <c r="BG65" i="5"/>
  <c r="BD25" i="5"/>
  <c r="BG20" i="5"/>
  <c r="BG54" i="5"/>
  <c r="BG71" i="5"/>
  <c r="BG25" i="5"/>
  <c r="BG42" i="5"/>
  <c r="AU14" i="5"/>
  <c r="BJ78" i="3" l="1"/>
  <c r="BH78" i="3"/>
  <c r="BG79" i="3"/>
  <c r="BH27" i="3"/>
  <c r="AU79" i="3"/>
  <c r="AV79" i="3" s="1"/>
  <c r="AV27" i="3"/>
  <c r="BD79" i="3"/>
  <c r="BE79" i="3" s="1"/>
  <c r="BE27" i="3"/>
  <c r="BJ44" i="3"/>
  <c r="BH44" i="3"/>
  <c r="BJ61" i="3"/>
  <c r="BH61" i="3"/>
  <c r="C35" i="3"/>
  <c r="I36" i="3"/>
  <c r="AQ35" i="3"/>
  <c r="AS35" i="3" s="1"/>
  <c r="BI35" i="3"/>
  <c r="BK35" i="3" s="1"/>
  <c r="H35" i="3"/>
  <c r="AF35" i="3"/>
  <c r="BG26" i="5"/>
  <c r="BG43" i="5"/>
  <c r="BD26" i="5"/>
  <c r="BD78" i="5" s="1"/>
  <c r="AU26" i="5"/>
  <c r="AU78" i="5" s="1"/>
  <c r="BG60" i="5"/>
  <c r="BG77" i="5"/>
  <c r="BJ79" i="3" l="1"/>
  <c r="BH79" i="3"/>
  <c r="AH35" i="3"/>
  <c r="F36" i="3"/>
  <c r="AF36" i="3" s="1"/>
  <c r="AC35" i="3"/>
  <c r="AE35" i="3" s="1"/>
  <c r="K35" i="3"/>
  <c r="E35" i="3"/>
  <c r="BG78" i="5"/>
  <c r="M35" i="3" l="1"/>
  <c r="AC36" i="3"/>
  <c r="AE36" i="3" s="1"/>
  <c r="F37" i="3"/>
  <c r="I37" i="3" s="1"/>
  <c r="AH36" i="3"/>
  <c r="BI36" i="3"/>
  <c r="BK36" i="3" s="1"/>
  <c r="H36" i="3"/>
  <c r="C36" i="3"/>
  <c r="AQ36" i="3"/>
  <c r="AS36" i="3" s="1"/>
  <c r="AJ53" i="5"/>
  <c r="AJ50" i="5"/>
  <c r="AO35" i="5"/>
  <c r="AO17" i="5"/>
  <c r="AO50" i="5"/>
  <c r="AJ56" i="5"/>
  <c r="AJ22" i="5"/>
  <c r="AO52" i="5"/>
  <c r="AJ33" i="5"/>
  <c r="AJ67" i="5"/>
  <c r="AJ34" i="5"/>
  <c r="AO74" i="5"/>
  <c r="AO30" i="5"/>
  <c r="AO58" i="5"/>
  <c r="AO13" i="5"/>
  <c r="AO12" i="5"/>
  <c r="AO45" i="5"/>
  <c r="AJ64" i="5"/>
  <c r="AO53" i="5"/>
  <c r="AO11" i="5"/>
  <c r="AO39" i="5"/>
  <c r="AO18" i="5"/>
  <c r="AJ35" i="5"/>
  <c r="AO47" i="5"/>
  <c r="AJ28" i="5"/>
  <c r="AO72" i="5"/>
  <c r="AO63" i="5"/>
  <c r="AJ45" i="5"/>
  <c r="AJ29" i="5"/>
  <c r="AO44" i="5"/>
  <c r="AO64" i="5"/>
  <c r="AO34" i="5"/>
  <c r="AO10" i="5"/>
  <c r="AJ51" i="5"/>
  <c r="AO75" i="5"/>
  <c r="AO61" i="5"/>
  <c r="AO27" i="5"/>
  <c r="AO69" i="5"/>
  <c r="AO56" i="5"/>
  <c r="AO38" i="5"/>
  <c r="AO73" i="5"/>
  <c r="AO24" i="5"/>
  <c r="AO68" i="5"/>
  <c r="AO36" i="5"/>
  <c r="AJ13" i="5"/>
  <c r="AJ12" i="5"/>
  <c r="AO40" i="5"/>
  <c r="AJ19" i="5"/>
  <c r="AJ18" i="5"/>
  <c r="AJ69" i="5"/>
  <c r="AJ30" i="5"/>
  <c r="AO70" i="5"/>
  <c r="AJ46" i="5"/>
  <c r="AO67" i="5"/>
  <c r="AO16" i="5"/>
  <c r="AJ36" i="5"/>
  <c r="AJ58" i="5"/>
  <c r="AO23" i="5"/>
  <c r="AO51" i="5"/>
  <c r="AJ74" i="5"/>
  <c r="AJ47" i="5"/>
  <c r="AO57" i="5"/>
  <c r="AO46" i="5"/>
  <c r="AO22" i="5"/>
  <c r="AJ62" i="5"/>
  <c r="AJ11" i="5"/>
  <c r="AJ68" i="5"/>
  <c r="AO41" i="5"/>
  <c r="AJ70" i="5"/>
  <c r="AO55" i="5"/>
  <c r="AO33" i="5"/>
  <c r="AO29" i="5"/>
  <c r="AO21" i="5"/>
  <c r="AJ41" i="5"/>
  <c r="AJ75" i="5"/>
  <c r="AJ63" i="5"/>
  <c r="AJ23" i="5"/>
  <c r="AJ17" i="5"/>
  <c r="AJ39" i="5"/>
  <c r="AO28" i="5"/>
  <c r="AJ16" i="5"/>
  <c r="AJ72" i="5"/>
  <c r="AJ40" i="5"/>
  <c r="AO19" i="5"/>
  <c r="AJ57" i="5"/>
  <c r="AJ24" i="5"/>
  <c r="AO62" i="5"/>
  <c r="AJ52" i="5"/>
  <c r="BC35" i="5"/>
  <c r="BE35" i="5" s="1"/>
  <c r="BC17" i="5"/>
  <c r="BE17" i="5" s="1"/>
  <c r="AI57" i="5"/>
  <c r="AT62" i="5"/>
  <c r="AV62" i="5" s="1"/>
  <c r="AT64" i="5"/>
  <c r="AV64" i="5" s="1"/>
  <c r="W12" i="5"/>
  <c r="AJ49" i="5"/>
  <c r="AT70" i="5"/>
  <c r="AV70" i="5" s="1"/>
  <c r="O29" i="5"/>
  <c r="BF64" i="5"/>
  <c r="BH64" i="5" s="1"/>
  <c r="AD75" i="5"/>
  <c r="BC19" i="5"/>
  <c r="BE19" i="5" s="1"/>
  <c r="AD34" i="5"/>
  <c r="AD28" i="5"/>
  <c r="AN18" i="5"/>
  <c r="AN51" i="5"/>
  <c r="BC55" i="5"/>
  <c r="BF46" i="5"/>
  <c r="BH46" i="5" s="1"/>
  <c r="AN53" i="5"/>
  <c r="AN21" i="5"/>
  <c r="AT66" i="5"/>
  <c r="AV66" i="5" s="1"/>
  <c r="AI12" i="5"/>
  <c r="BC34" i="5"/>
  <c r="BE34" i="5" s="1"/>
  <c r="T18" i="5"/>
  <c r="O44" i="5"/>
  <c r="O45" i="5"/>
  <c r="AT58" i="5"/>
  <c r="AV58" i="5" s="1"/>
  <c r="W16" i="5"/>
  <c r="BC53" i="5"/>
  <c r="BE53" i="5" s="1"/>
  <c r="O32" i="5"/>
  <c r="AN55" i="5"/>
  <c r="AT12" i="5"/>
  <c r="AV12" i="5" s="1"/>
  <c r="AN45" i="5"/>
  <c r="AN29" i="5"/>
  <c r="BC11" i="5"/>
  <c r="BE11" i="5" s="1"/>
  <c r="BC36" i="5"/>
  <c r="BE36" i="5" s="1"/>
  <c r="AI68" i="5"/>
  <c r="AT32" i="5"/>
  <c r="AV32" i="5" s="1"/>
  <c r="AN50" i="5"/>
  <c r="O57" i="5"/>
  <c r="T24" i="5"/>
  <c r="W21" i="5"/>
  <c r="AN68" i="5"/>
  <c r="O50" i="5"/>
  <c r="T11" i="5"/>
  <c r="BF24" i="5"/>
  <c r="BH24" i="5" s="1"/>
  <c r="AT29" i="5"/>
  <c r="AV29" i="5" s="1"/>
  <c r="AN24" i="5"/>
  <c r="O33" i="5"/>
  <c r="W27" i="5"/>
  <c r="W15" i="5"/>
  <c r="AN52" i="5"/>
  <c r="AN35" i="5"/>
  <c r="BF23" i="5"/>
  <c r="BH23" i="5" s="1"/>
  <c r="AD44" i="5"/>
  <c r="AT74" i="5"/>
  <c r="AV74" i="5" s="1"/>
  <c r="AN70" i="5"/>
  <c r="AI52" i="5"/>
  <c r="BC23" i="5"/>
  <c r="BE23" i="5" s="1"/>
  <c r="AI45" i="5"/>
  <c r="BF69" i="5"/>
  <c r="BH69" i="5" s="1"/>
  <c r="AD40" i="5"/>
  <c r="BF58" i="5"/>
  <c r="BH58" i="5" s="1"/>
  <c r="O55" i="5"/>
  <c r="AN56" i="5"/>
  <c r="BC22" i="5"/>
  <c r="BE22" i="5" s="1"/>
  <c r="BF28" i="5"/>
  <c r="AD68" i="5"/>
  <c r="AT11" i="5"/>
  <c r="AV11" i="5" s="1"/>
  <c r="AT34" i="5"/>
  <c r="AV34" i="5" s="1"/>
  <c r="T21" i="5"/>
  <c r="AT13" i="5"/>
  <c r="AV13" i="5" s="1"/>
  <c r="AI41" i="5"/>
  <c r="BC50" i="5"/>
  <c r="BE50" i="5" s="1"/>
  <c r="AI28" i="5"/>
  <c r="AI16" i="5"/>
  <c r="BF22" i="5"/>
  <c r="BH22" i="5" s="1"/>
  <c r="AI64" i="5"/>
  <c r="W18" i="5"/>
  <c r="AD57" i="5"/>
  <c r="BF13" i="5"/>
  <c r="BH13" i="5" s="1"/>
  <c r="BC51" i="5"/>
  <c r="BE51" i="5" s="1"/>
  <c r="AI39" i="5"/>
  <c r="AN22" i="5"/>
  <c r="AI40" i="5"/>
  <c r="BC74" i="5"/>
  <c r="BE74" i="5" s="1"/>
  <c r="AT53" i="5"/>
  <c r="AV53" i="5" s="1"/>
  <c r="AT38" i="5"/>
  <c r="AV38" i="5" s="1"/>
  <c r="AN19" i="5"/>
  <c r="AT72" i="5"/>
  <c r="T19" i="5"/>
  <c r="AT19" i="5"/>
  <c r="AV19" i="5" s="1"/>
  <c r="AT55" i="5"/>
  <c r="AV55" i="5" s="1"/>
  <c r="AT33" i="5"/>
  <c r="AV33" i="5" s="1"/>
  <c r="AN46" i="5"/>
  <c r="BC38" i="5"/>
  <c r="BE38" i="5" s="1"/>
  <c r="AI11" i="5"/>
  <c r="AD33" i="5"/>
  <c r="T27" i="5"/>
  <c r="AI17" i="5"/>
  <c r="AN28" i="5"/>
  <c r="AT17" i="5"/>
  <c r="AV17" i="5" s="1"/>
  <c r="AN38" i="5"/>
  <c r="AD63" i="5"/>
  <c r="AD74" i="5"/>
  <c r="AI74" i="5"/>
  <c r="BC62" i="5"/>
  <c r="BE62" i="5" s="1"/>
  <c r="AN73" i="5"/>
  <c r="O56" i="5"/>
  <c r="BC41" i="5"/>
  <c r="BE41" i="5" s="1"/>
  <c r="BC24" i="5"/>
  <c r="BE24" i="5" s="1"/>
  <c r="AT56" i="5"/>
  <c r="AV56" i="5" s="1"/>
  <c r="BF75" i="5"/>
  <c r="BH75" i="5" s="1"/>
  <c r="AN63" i="5"/>
  <c r="AN47" i="5"/>
  <c r="BF35" i="5"/>
  <c r="BH35" i="5" s="1"/>
  <c r="BF17" i="5"/>
  <c r="BH17" i="5" s="1"/>
  <c r="BC45" i="5"/>
  <c r="BE45" i="5" s="1"/>
  <c r="AI34" i="5"/>
  <c r="BF51" i="5"/>
  <c r="BH51" i="5" s="1"/>
  <c r="O35" i="5"/>
  <c r="AI24" i="5"/>
  <c r="BF40" i="5"/>
  <c r="BH40" i="5" s="1"/>
  <c r="BC68" i="5"/>
  <c r="BE68" i="5" s="1"/>
  <c r="AT49" i="5"/>
  <c r="AN41" i="5"/>
  <c r="AI53" i="5"/>
  <c r="BF53" i="5"/>
  <c r="BH53" i="5" s="1"/>
  <c r="BF16" i="5"/>
  <c r="BH16" i="5" s="1"/>
  <c r="AN74" i="5"/>
  <c r="AD32" i="5"/>
  <c r="AT30" i="5"/>
  <c r="AV30" i="5" s="1"/>
  <c r="T13" i="5"/>
  <c r="AT73" i="5"/>
  <c r="AV73" i="5" s="1"/>
  <c r="AN57" i="5"/>
  <c r="BC39" i="5"/>
  <c r="AN34" i="5"/>
  <c r="AD39" i="5"/>
  <c r="BC12" i="5"/>
  <c r="BE12" i="5" s="1"/>
  <c r="BF34" i="5"/>
  <c r="BH34" i="5" s="1"/>
  <c r="AT40" i="5"/>
  <c r="AV40" i="5" s="1"/>
  <c r="AT68" i="5"/>
  <c r="AV68" i="5" s="1"/>
  <c r="AT50" i="5"/>
  <c r="AV50" i="5" s="1"/>
  <c r="BC64" i="5"/>
  <c r="BE64" i="5" s="1"/>
  <c r="AD38" i="5"/>
  <c r="T17" i="5"/>
  <c r="O58" i="5"/>
  <c r="BF63" i="5"/>
  <c r="BH63" i="5" s="1"/>
  <c r="O63" i="5"/>
  <c r="AN30" i="5"/>
  <c r="AI47" i="5"/>
  <c r="AI30" i="5"/>
  <c r="AI73" i="5"/>
  <c r="AI69" i="5"/>
  <c r="AN75" i="5"/>
  <c r="AI62" i="5"/>
  <c r="AT51" i="5"/>
  <c r="AV51" i="5" s="1"/>
  <c r="BC32" i="5"/>
  <c r="BE32" i="5" s="1"/>
  <c r="W19" i="5"/>
  <c r="AD61" i="5"/>
  <c r="AI18" i="5"/>
  <c r="AN72" i="5"/>
  <c r="AN33" i="5"/>
  <c r="BC63" i="5"/>
  <c r="BE63" i="5" s="1"/>
  <c r="BC40" i="5"/>
  <c r="BE40" i="5" s="1"/>
  <c r="AD29" i="5"/>
  <c r="AD56" i="5"/>
  <c r="AJ66" i="5"/>
  <c r="AD49" i="5"/>
  <c r="AN11" i="5"/>
  <c r="AN69" i="5"/>
  <c r="AJ73" i="5"/>
  <c r="AF11" i="5"/>
  <c r="BC46" i="5"/>
  <c r="BE46" i="5" s="1"/>
  <c r="AI23" i="5"/>
  <c r="BF74" i="5"/>
  <c r="BH74" i="5" s="1"/>
  <c r="BC58" i="5"/>
  <c r="BE58" i="5" s="1"/>
  <c r="W11" i="5"/>
  <c r="W23" i="5"/>
  <c r="BF73" i="5"/>
  <c r="BH73" i="5" s="1"/>
  <c r="AD72" i="5"/>
  <c r="AI75" i="5"/>
  <c r="BC15" i="5"/>
  <c r="BE15" i="5" s="1"/>
  <c r="AD66" i="5"/>
  <c r="T15" i="5"/>
  <c r="T12" i="5"/>
  <c r="BC69" i="5"/>
  <c r="BE69" i="5" s="1"/>
  <c r="BC18" i="5"/>
  <c r="BE18" i="5" s="1"/>
  <c r="W24" i="5"/>
  <c r="AF15" i="5"/>
  <c r="T16" i="5"/>
  <c r="AN67" i="5"/>
  <c r="BF30" i="5"/>
  <c r="BH30" i="5" s="1"/>
  <c r="BC57" i="5"/>
  <c r="BE57" i="5" s="1"/>
  <c r="AJ15" i="5"/>
  <c r="BC70" i="5"/>
  <c r="BE70" i="5" s="1"/>
  <c r="AT36" i="5"/>
  <c r="AV36" i="5" s="1"/>
  <c r="AD73" i="5"/>
  <c r="AT23" i="5"/>
  <c r="AV23" i="5" s="1"/>
  <c r="O74" i="5"/>
  <c r="BF41" i="5"/>
  <c r="BH41" i="5" s="1"/>
  <c r="O73" i="5"/>
  <c r="BC56" i="5"/>
  <c r="BE56" i="5" s="1"/>
  <c r="BF68" i="5"/>
  <c r="BH68" i="5" s="1"/>
  <c r="BF11" i="5"/>
  <c r="BH11" i="5" s="1"/>
  <c r="AD50" i="5"/>
  <c r="W22" i="5"/>
  <c r="AT69" i="5"/>
  <c r="AV69" i="5" s="1"/>
  <c r="BF50" i="5"/>
  <c r="BH50" i="5" s="1"/>
  <c r="T23" i="5"/>
  <c r="AI56" i="5"/>
  <c r="AD62" i="5"/>
  <c r="AT22" i="5"/>
  <c r="AI36" i="5"/>
  <c r="AT75" i="5"/>
  <c r="AV75" i="5" s="1"/>
  <c r="AI33" i="5"/>
  <c r="BF56" i="5"/>
  <c r="BH56" i="5" s="1"/>
  <c r="AT67" i="5"/>
  <c r="AV67" i="5" s="1"/>
  <c r="BF62" i="5"/>
  <c r="BH62" i="5" s="1"/>
  <c r="BF29" i="5"/>
  <c r="BH29" i="5" s="1"/>
  <c r="AN23" i="5"/>
  <c r="W13" i="5"/>
  <c r="AT63" i="5"/>
  <c r="AV63" i="5" s="1"/>
  <c r="BC29" i="5"/>
  <c r="BE29" i="5" s="1"/>
  <c r="BF67" i="5"/>
  <c r="BH67" i="5" s="1"/>
  <c r="BF45" i="5"/>
  <c r="BH45" i="5" s="1"/>
  <c r="BJ16" i="5"/>
  <c r="AN36" i="5"/>
  <c r="AI19" i="5"/>
  <c r="AD69" i="5"/>
  <c r="AN12" i="5"/>
  <c r="AD55" i="5"/>
  <c r="AI58" i="5"/>
  <c r="AJ38" i="5"/>
  <c r="BC33" i="5"/>
  <c r="BE33" i="5" s="1"/>
  <c r="O51" i="5"/>
  <c r="BC66" i="5"/>
  <c r="AN58" i="5"/>
  <c r="O30" i="5"/>
  <c r="W10" i="5"/>
  <c r="AJ55" i="5"/>
  <c r="AT24" i="5"/>
  <c r="AV24" i="5" s="1"/>
  <c r="BF47" i="5"/>
  <c r="BH47" i="5" s="1"/>
  <c r="AN40" i="5"/>
  <c r="AN64" i="5"/>
  <c r="BC47" i="5"/>
  <c r="BE47" i="5" s="1"/>
  <c r="AD67" i="5"/>
  <c r="T10" i="5"/>
  <c r="AG14" i="5"/>
  <c r="AF23" i="5"/>
  <c r="BF55" i="5"/>
  <c r="BH55" i="5" s="1"/>
  <c r="AN17" i="5"/>
  <c r="AI51" i="5"/>
  <c r="BF36" i="5"/>
  <c r="BH36" i="5" s="1"/>
  <c r="BC13" i="5"/>
  <c r="BE13" i="5" s="1"/>
  <c r="AI63" i="5"/>
  <c r="BF57" i="5"/>
  <c r="BH57" i="5" s="1"/>
  <c r="T22" i="5"/>
  <c r="AF18" i="5"/>
  <c r="AT44" i="5"/>
  <c r="BF39" i="5"/>
  <c r="BH39" i="5" s="1"/>
  <c r="AD52" i="5"/>
  <c r="BC75" i="5"/>
  <c r="BE75" i="5" s="1"/>
  <c r="AO49" i="5"/>
  <c r="AT28" i="5"/>
  <c r="AV28" i="5" s="1"/>
  <c r="AD51" i="5"/>
  <c r="BC61" i="5"/>
  <c r="AG37" i="5"/>
  <c r="BF21" i="5"/>
  <c r="BH21" i="5" s="1"/>
  <c r="J63" i="5"/>
  <c r="AF16" i="5"/>
  <c r="AI13" i="5"/>
  <c r="AT46" i="5"/>
  <c r="AV46" i="5" s="1"/>
  <c r="BC72" i="5"/>
  <c r="AI29" i="5"/>
  <c r="BC30" i="5"/>
  <c r="BE30" i="5" s="1"/>
  <c r="AD35" i="5"/>
  <c r="AN32" i="5"/>
  <c r="BF15" i="5"/>
  <c r="BH15" i="5" s="1"/>
  <c r="AN61" i="5"/>
  <c r="BF19" i="5"/>
  <c r="BH19" i="5" s="1"/>
  <c r="AT57" i="5"/>
  <c r="AV57" i="5" s="1"/>
  <c r="AD45" i="5"/>
  <c r="AT41" i="5"/>
  <c r="AV41" i="5" s="1"/>
  <c r="AN62" i="5"/>
  <c r="AI70" i="5"/>
  <c r="AK70" i="5" s="1"/>
  <c r="AN39" i="5"/>
  <c r="AT27" i="5"/>
  <c r="AV27" i="5" s="1"/>
  <c r="AF22" i="5"/>
  <c r="Q22" i="5"/>
  <c r="BJ75" i="5"/>
  <c r="AT18" i="5"/>
  <c r="AV18" i="5" s="1"/>
  <c r="BF33" i="5"/>
  <c r="BH33" i="5" s="1"/>
  <c r="BF70" i="5"/>
  <c r="BH70" i="5" s="1"/>
  <c r="BC49" i="5"/>
  <c r="BE49" i="5" s="1"/>
  <c r="AO66" i="5"/>
  <c r="AN15" i="5"/>
  <c r="BF66" i="5"/>
  <c r="BH66" i="5" s="1"/>
  <c r="AN27" i="5"/>
  <c r="BC21" i="5"/>
  <c r="BE21" i="5" s="1"/>
  <c r="AI46" i="5"/>
  <c r="AK46" i="5" s="1"/>
  <c r="BC73" i="5"/>
  <c r="BE73" i="5" s="1"/>
  <c r="AT52" i="5"/>
  <c r="AV52" i="5" s="1"/>
  <c r="BC67" i="5"/>
  <c r="BE67" i="5" s="1"/>
  <c r="AN13" i="5"/>
  <c r="BF12" i="5"/>
  <c r="BH12" i="5" s="1"/>
  <c r="AI35" i="5"/>
  <c r="AD46" i="5"/>
  <c r="AF19" i="5"/>
  <c r="AF17" i="5"/>
  <c r="J52" i="5"/>
  <c r="AR74" i="5"/>
  <c r="Q19" i="5"/>
  <c r="Q27" i="5"/>
  <c r="BF32" i="5"/>
  <c r="BH32" i="5" s="1"/>
  <c r="AJ44" i="5"/>
  <c r="Q13" i="5"/>
  <c r="AT35" i="5"/>
  <c r="AV35" i="5" s="1"/>
  <c r="BF52" i="5"/>
  <c r="BH52" i="5" s="1"/>
  <c r="AO15" i="5"/>
  <c r="AD53" i="5"/>
  <c r="AJ61" i="5"/>
  <c r="AF10" i="5"/>
  <c r="AI32" i="5"/>
  <c r="AI50" i="5"/>
  <c r="BC52" i="5"/>
  <c r="BE52" i="5" s="1"/>
  <c r="AT15" i="5"/>
  <c r="AI22" i="5"/>
  <c r="AI66" i="5"/>
  <c r="AJ27" i="5"/>
  <c r="F24" i="5"/>
  <c r="BC16" i="5"/>
  <c r="BE16" i="5" s="1"/>
  <c r="AO32" i="5"/>
  <c r="Q16" i="5"/>
  <c r="AI55" i="5"/>
  <c r="Q10" i="5"/>
  <c r="Z10" i="5" s="1"/>
  <c r="AT61" i="5"/>
  <c r="Q15" i="5"/>
  <c r="BJ64" i="5"/>
  <c r="AI49" i="5"/>
  <c r="BF44" i="5"/>
  <c r="F18" i="5"/>
  <c r="BF27" i="5"/>
  <c r="BH27" i="5" s="1"/>
  <c r="AD58" i="5"/>
  <c r="BC28" i="5"/>
  <c r="BE28" i="5" s="1"/>
  <c r="AT45" i="5"/>
  <c r="AV45" i="5" s="1"/>
  <c r="AJ21" i="5"/>
  <c r="W17" i="5"/>
  <c r="BC27" i="5"/>
  <c r="BE27" i="5" s="1"/>
  <c r="AI72" i="5"/>
  <c r="Q23" i="5"/>
  <c r="BF18" i="5"/>
  <c r="BH18" i="5" s="1"/>
  <c r="AN16" i="5"/>
  <c r="AD64" i="5"/>
  <c r="AN44" i="5"/>
  <c r="AI21" i="5"/>
  <c r="Q11" i="5"/>
  <c r="BF38" i="5"/>
  <c r="BH38" i="5" s="1"/>
  <c r="AT10" i="5"/>
  <c r="AT39" i="5"/>
  <c r="AF21" i="5"/>
  <c r="AT21" i="5"/>
  <c r="AV21" i="5" s="1"/>
  <c r="AF12" i="5"/>
  <c r="BC10" i="5"/>
  <c r="BE10" i="5" s="1"/>
  <c r="BJ35" i="5"/>
  <c r="Q21" i="5"/>
  <c r="BJ32" i="5"/>
  <c r="F13" i="5"/>
  <c r="AT16" i="5"/>
  <c r="AV16" i="5" s="1"/>
  <c r="BC44" i="5"/>
  <c r="BE44" i="5" s="1"/>
  <c r="Q12" i="5"/>
  <c r="F23" i="5"/>
  <c r="AI44" i="5"/>
  <c r="AN10" i="5"/>
  <c r="F21" i="5"/>
  <c r="F16" i="5"/>
  <c r="BF49" i="5"/>
  <c r="BH49" i="5" s="1"/>
  <c r="AF13" i="5"/>
  <c r="AI61" i="5"/>
  <c r="AI27" i="5"/>
  <c r="AJ10" i="5"/>
  <c r="AN66" i="5"/>
  <c r="AN49" i="5"/>
  <c r="AI38" i="5"/>
  <c r="Q17" i="5"/>
  <c r="BF10" i="5"/>
  <c r="BH10" i="5" s="1"/>
  <c r="AT47" i="5"/>
  <c r="AV47" i="5" s="1"/>
  <c r="AD41" i="5"/>
  <c r="Q18" i="5"/>
  <c r="F19" i="5"/>
  <c r="F12" i="5"/>
  <c r="F17" i="5"/>
  <c r="AJ32" i="5"/>
  <c r="AI15" i="5"/>
  <c r="AI10" i="5"/>
  <c r="AI67" i="5"/>
  <c r="BF61" i="5"/>
  <c r="BF72" i="5"/>
  <c r="BH72" i="5" s="1"/>
  <c r="F22" i="5"/>
  <c r="Q24" i="5"/>
  <c r="F10" i="5"/>
  <c r="F11" i="5"/>
  <c r="F15" i="5"/>
  <c r="AD30" i="5"/>
  <c r="F27" i="5"/>
  <c r="AF24" i="5"/>
  <c r="AF25" i="5" s="1"/>
  <c r="AF26" i="5" s="1"/>
  <c r="AF37" i="3" l="1"/>
  <c r="AC37" i="3" s="1"/>
  <c r="AE37" i="3" s="1"/>
  <c r="F38" i="3"/>
  <c r="H38" i="3" s="1"/>
  <c r="BI37" i="3"/>
  <c r="BK37" i="3" s="1"/>
  <c r="C37" i="3"/>
  <c r="AQ37" i="3"/>
  <c r="AS37" i="3" s="1"/>
  <c r="H37" i="3"/>
  <c r="K36" i="3"/>
  <c r="E36" i="3"/>
  <c r="AK67" i="5"/>
  <c r="AM67" i="5" s="1"/>
  <c r="Z18" i="5"/>
  <c r="AK61" i="5"/>
  <c r="AK35" i="5"/>
  <c r="AM35" i="5" s="1"/>
  <c r="AK47" i="5"/>
  <c r="AM47" i="5" s="1"/>
  <c r="Z12" i="5"/>
  <c r="AK29" i="5"/>
  <c r="AK56" i="5"/>
  <c r="AM56" i="5" s="1"/>
  <c r="AK57" i="5"/>
  <c r="AM57" i="5" s="1"/>
  <c r="Z13" i="5"/>
  <c r="AK52" i="5"/>
  <c r="AM52" i="5" s="1"/>
  <c r="AK63" i="5"/>
  <c r="AM63" i="5" s="1"/>
  <c r="AK33" i="5"/>
  <c r="AM33" i="5" s="1"/>
  <c r="Z15" i="5"/>
  <c r="AK73" i="5"/>
  <c r="AM73" i="5" s="1"/>
  <c r="AK38" i="5"/>
  <c r="AM38" i="5" s="1"/>
  <c r="Z23" i="5"/>
  <c r="AK55" i="5"/>
  <c r="AK74" i="5"/>
  <c r="AM74" i="5" s="1"/>
  <c r="AK41" i="5"/>
  <c r="AM41" i="5" s="1"/>
  <c r="AK72" i="5"/>
  <c r="AM72" i="5" s="1"/>
  <c r="Z16" i="5"/>
  <c r="AK64" i="5"/>
  <c r="AM64" i="5" s="1"/>
  <c r="Z11" i="5"/>
  <c r="AK50" i="5"/>
  <c r="AK49" i="5"/>
  <c r="AM49" i="5" s="1"/>
  <c r="AK32" i="5"/>
  <c r="Z22" i="5"/>
  <c r="AK62" i="5"/>
  <c r="AM62" i="5" s="1"/>
  <c r="Z19" i="5"/>
  <c r="AK58" i="5"/>
  <c r="AM58" i="5" s="1"/>
  <c r="Z21" i="5"/>
  <c r="AK30" i="5"/>
  <c r="AM30" i="5" s="1"/>
  <c r="AK44" i="5"/>
  <c r="AM44" i="5" s="1"/>
  <c r="AK51" i="5"/>
  <c r="AM51" i="5" s="1"/>
  <c r="AK36" i="5"/>
  <c r="AM36" i="5" s="1"/>
  <c r="AK53" i="5"/>
  <c r="AM53" i="5" s="1"/>
  <c r="AK34" i="5"/>
  <c r="AM34" i="5" s="1"/>
  <c r="AK75" i="5"/>
  <c r="AM75" i="5" s="1"/>
  <c r="Z17" i="5"/>
  <c r="Z27" i="5"/>
  <c r="AK68" i="5"/>
  <c r="AM68" i="5" s="1"/>
  <c r="AK39" i="5"/>
  <c r="AM39" i="5" s="1"/>
  <c r="AK45" i="5"/>
  <c r="AM45" i="5" s="1"/>
  <c r="AK40" i="5"/>
  <c r="AM40" i="5" s="1"/>
  <c r="Z24" i="5"/>
  <c r="AK66" i="5"/>
  <c r="AM66" i="5" s="1"/>
  <c r="AK69" i="5"/>
  <c r="AM69" i="5" s="1"/>
  <c r="AK28" i="5"/>
  <c r="AM28" i="5" s="1"/>
  <c r="AC23" i="5"/>
  <c r="AP45" i="5"/>
  <c r="N47" i="5"/>
  <c r="AP35" i="5"/>
  <c r="Y49" i="5"/>
  <c r="D36" i="5"/>
  <c r="D33" i="5"/>
  <c r="L33" i="5" s="1"/>
  <c r="N18" i="5"/>
  <c r="AP74" i="5"/>
  <c r="Y44" i="5"/>
  <c r="AP18" i="5"/>
  <c r="AP57" i="5"/>
  <c r="AP64" i="5"/>
  <c r="V12" i="5"/>
  <c r="D55" i="5"/>
  <c r="L55" i="5" s="1"/>
  <c r="N39" i="5"/>
  <c r="AH23" i="5"/>
  <c r="AP40" i="5"/>
  <c r="Y57" i="5"/>
  <c r="Y10" i="5"/>
  <c r="AG65" i="5"/>
  <c r="Y72" i="5"/>
  <c r="AP72" i="5"/>
  <c r="AP39" i="5"/>
  <c r="D52" i="5"/>
  <c r="Y15" i="5"/>
  <c r="AP12" i="5"/>
  <c r="O17" i="5"/>
  <c r="N11" i="5"/>
  <c r="BI24" i="5"/>
  <c r="AP68" i="5"/>
  <c r="N12" i="5"/>
  <c r="Y64" i="5"/>
  <c r="AD11" i="5"/>
  <c r="N55" i="5"/>
  <c r="P55" i="5" s="1"/>
  <c r="AM23" i="5"/>
  <c r="Y18" i="5"/>
  <c r="AP16" i="5"/>
  <c r="Y35" i="5"/>
  <c r="D23" i="5"/>
  <c r="AH16" i="5"/>
  <c r="D10" i="5"/>
  <c r="D18" i="5"/>
  <c r="AM10" i="5"/>
  <c r="BI11" i="5"/>
  <c r="C19" i="5"/>
  <c r="O24" i="5"/>
  <c r="V16" i="5"/>
  <c r="Y68" i="5"/>
  <c r="V23" i="5"/>
  <c r="N72" i="5"/>
  <c r="AM22" i="5"/>
  <c r="AP17" i="5"/>
  <c r="D47" i="5"/>
  <c r="AO20" i="5"/>
  <c r="AO26" i="5" s="1"/>
  <c r="Y32" i="5"/>
  <c r="Y66" i="5"/>
  <c r="AM17" i="5"/>
  <c r="AL59" i="5"/>
  <c r="Y16" i="5"/>
  <c r="Y36" i="5"/>
  <c r="AL25" i="5"/>
  <c r="Y56" i="5"/>
  <c r="AC13" i="5"/>
  <c r="D45" i="5"/>
  <c r="L45" i="5" s="1"/>
  <c r="Y47" i="5"/>
  <c r="Y33" i="5"/>
  <c r="AP13" i="5"/>
  <c r="Y24" i="5"/>
  <c r="N70" i="5"/>
  <c r="C15" i="5"/>
  <c r="D74" i="5"/>
  <c r="L74" i="5" s="1"/>
  <c r="AC17" i="5"/>
  <c r="N45" i="5"/>
  <c r="P45" i="5" s="1"/>
  <c r="AD15" i="5"/>
  <c r="Y52" i="5"/>
  <c r="D12" i="5"/>
  <c r="AD36" i="5"/>
  <c r="Y34" i="5"/>
  <c r="AP63" i="5"/>
  <c r="Y21" i="5"/>
  <c r="Y40" i="5"/>
  <c r="Y11" i="5"/>
  <c r="D15" i="5"/>
  <c r="AP44" i="5"/>
  <c r="C23" i="5"/>
  <c r="D56" i="5"/>
  <c r="L56" i="5" s="1"/>
  <c r="AN14" i="5"/>
  <c r="AP14" i="5" s="1"/>
  <c r="N44" i="5"/>
  <c r="P44" i="5" s="1"/>
  <c r="AQ24" i="5"/>
  <c r="AL54" i="5"/>
  <c r="Y73" i="5"/>
  <c r="AP41" i="5"/>
  <c r="N53" i="5"/>
  <c r="S15" i="5"/>
  <c r="O19" i="5"/>
  <c r="AP73" i="5"/>
  <c r="Y70" i="5"/>
  <c r="V10" i="5"/>
  <c r="AP11" i="5"/>
  <c r="AP50" i="5"/>
  <c r="N41" i="5"/>
  <c r="AI31" i="5"/>
  <c r="N33" i="5"/>
  <c r="P33" i="5" s="1"/>
  <c r="N35" i="5"/>
  <c r="P35" i="5" s="1"/>
  <c r="N58" i="5"/>
  <c r="P58" i="5" s="1"/>
  <c r="N66" i="5"/>
  <c r="Y41" i="5"/>
  <c r="Y75" i="5"/>
  <c r="AJ20" i="5"/>
  <c r="AM13" i="5"/>
  <c r="AL14" i="5"/>
  <c r="C21" i="5"/>
  <c r="AM46" i="5"/>
  <c r="D38" i="5"/>
  <c r="C12" i="5"/>
  <c r="AH21" i="5"/>
  <c r="BC25" i="5"/>
  <c r="BE25" i="5" s="1"/>
  <c r="AM18" i="5"/>
  <c r="Y55" i="5"/>
  <c r="AP19" i="5"/>
  <c r="AM16" i="5"/>
  <c r="AP55" i="5"/>
  <c r="N16" i="5"/>
  <c r="Y30" i="5"/>
  <c r="AD22" i="5"/>
  <c r="AD27" i="5"/>
  <c r="O69" i="5"/>
  <c r="O21" i="5"/>
  <c r="D28" i="5"/>
  <c r="O28" i="5"/>
  <c r="AC10" i="5"/>
  <c r="C10" i="5"/>
  <c r="AV22" i="5"/>
  <c r="AT25" i="5"/>
  <c r="AV25" i="5" s="1"/>
  <c r="AP49" i="5"/>
  <c r="AN54" i="5"/>
  <c r="AP53" i="5"/>
  <c r="D57" i="5"/>
  <c r="L57" i="5" s="1"/>
  <c r="D68" i="5"/>
  <c r="D53" i="5"/>
  <c r="N75" i="5"/>
  <c r="AD19" i="5"/>
  <c r="AD18" i="5"/>
  <c r="D70" i="5"/>
  <c r="O10" i="5"/>
  <c r="BJ62" i="5"/>
  <c r="Y45" i="5"/>
  <c r="AD17" i="5"/>
  <c r="Y23" i="5"/>
  <c r="AJ71" i="5"/>
  <c r="AJ14" i="5"/>
  <c r="AP47" i="5"/>
  <c r="AL48" i="5"/>
  <c r="D21" i="5"/>
  <c r="AD23" i="5"/>
  <c r="D69" i="5"/>
  <c r="AD24" i="5"/>
  <c r="O12" i="5"/>
  <c r="O64" i="5"/>
  <c r="O11" i="5"/>
  <c r="AI59" i="5"/>
  <c r="AH10" i="5"/>
  <c r="AH17" i="5"/>
  <c r="O22" i="5"/>
  <c r="O15" i="5"/>
  <c r="AC19" i="5"/>
  <c r="AP34" i="5"/>
  <c r="C17" i="5"/>
  <c r="N13" i="5"/>
  <c r="N27" i="5"/>
  <c r="D63" i="5"/>
  <c r="L63" i="5" s="1"/>
  <c r="AH22" i="5"/>
  <c r="J13" i="5"/>
  <c r="AC18" i="5"/>
  <c r="AD16" i="5"/>
  <c r="O27" i="5"/>
  <c r="AD21" i="5"/>
  <c r="AH18" i="5"/>
  <c r="AP21" i="5"/>
  <c r="AD13" i="5"/>
  <c r="N50" i="5"/>
  <c r="P50" i="5" s="1"/>
  <c r="C16" i="5"/>
  <c r="AT14" i="5"/>
  <c r="AV14" i="5" s="1"/>
  <c r="N34" i="5"/>
  <c r="D19" i="5"/>
  <c r="AF20" i="5"/>
  <c r="AC16" i="5"/>
  <c r="AJ59" i="5"/>
  <c r="AP28" i="5"/>
  <c r="AP46" i="5"/>
  <c r="AD10" i="5"/>
  <c r="AD12" i="5"/>
  <c r="D61" i="5"/>
  <c r="L61" i="5" s="1"/>
  <c r="G65" i="5"/>
  <c r="Y13" i="5"/>
  <c r="Y69" i="5"/>
  <c r="AP56" i="5"/>
  <c r="AR53" i="5"/>
  <c r="N49" i="5"/>
  <c r="AM24" i="5"/>
  <c r="AI48" i="5"/>
  <c r="O13" i="5"/>
  <c r="AT42" i="5"/>
  <c r="AV42" i="5" s="1"/>
  <c r="AV39" i="5"/>
  <c r="O46" i="5"/>
  <c r="AP66" i="5"/>
  <c r="N63" i="5"/>
  <c r="P63" i="5" s="1"/>
  <c r="AV10" i="5"/>
  <c r="AT31" i="5"/>
  <c r="AV31" i="5" s="1"/>
  <c r="Y50" i="5"/>
  <c r="O72" i="5"/>
  <c r="AL65" i="5"/>
  <c r="D35" i="5"/>
  <c r="L35" i="5" s="1"/>
  <c r="N23" i="5"/>
  <c r="D46" i="5"/>
  <c r="AI76" i="5"/>
  <c r="O41" i="5"/>
  <c r="AL42" i="5"/>
  <c r="D40" i="5"/>
  <c r="O40" i="5"/>
  <c r="N29" i="5"/>
  <c r="P29" i="5" s="1"/>
  <c r="AI20" i="5"/>
  <c r="AM15" i="5"/>
  <c r="D32" i="5"/>
  <c r="L32" i="5" s="1"/>
  <c r="BJ11" i="5"/>
  <c r="D11" i="5"/>
  <c r="AT65" i="5"/>
  <c r="AV65" i="5" s="1"/>
  <c r="D24" i="5"/>
  <c r="V13" i="5"/>
  <c r="Y61" i="5"/>
  <c r="BF76" i="5"/>
  <c r="BH76" i="5" s="1"/>
  <c r="AI42" i="5"/>
  <c r="AM27" i="5"/>
  <c r="AC21" i="5"/>
  <c r="N38" i="5"/>
  <c r="AN20" i="5"/>
  <c r="N28" i="5"/>
  <c r="D67" i="5"/>
  <c r="N30" i="5"/>
  <c r="P30" i="5" s="1"/>
  <c r="AQ19" i="5"/>
  <c r="AV61" i="5"/>
  <c r="AM11" i="5"/>
  <c r="AR75" i="5"/>
  <c r="D29" i="5"/>
  <c r="L29" i="5" s="1"/>
  <c r="AH19" i="5"/>
  <c r="AP36" i="5"/>
  <c r="Y39" i="5"/>
  <c r="AP30" i="5"/>
  <c r="AP52" i="5"/>
  <c r="O39" i="5"/>
  <c r="O36" i="5"/>
  <c r="BF20" i="5"/>
  <c r="BH20" i="5" s="1"/>
  <c r="D30" i="5"/>
  <c r="L30" i="5" s="1"/>
  <c r="AN31" i="5"/>
  <c r="AP31" i="5" s="1"/>
  <c r="AM70" i="5"/>
  <c r="AP61" i="5"/>
  <c r="BF59" i="5"/>
  <c r="BH59" i="5" s="1"/>
  <c r="V15" i="5"/>
  <c r="O18" i="5"/>
  <c r="O16" i="5"/>
  <c r="V17" i="5"/>
  <c r="BJ67" i="5"/>
  <c r="Y74" i="5"/>
  <c r="Y17" i="5"/>
  <c r="Y27" i="5"/>
  <c r="AO37" i="5"/>
  <c r="AO43" i="5" s="1"/>
  <c r="AP33" i="5"/>
  <c r="AB72" i="5"/>
  <c r="AR72" i="5"/>
  <c r="BJ72" i="5"/>
  <c r="G76" i="5"/>
  <c r="J73" i="5"/>
  <c r="D72" i="5"/>
  <c r="BJ17" i="5"/>
  <c r="J18" i="5"/>
  <c r="AR17" i="5"/>
  <c r="D17" i="5"/>
  <c r="V11" i="5"/>
  <c r="H27" i="5"/>
  <c r="BI27" i="5"/>
  <c r="C27" i="5"/>
  <c r="S24" i="5"/>
  <c r="N24" i="5"/>
  <c r="S22" i="5"/>
  <c r="N22" i="5"/>
  <c r="AJ65" i="5"/>
  <c r="Y38" i="5"/>
  <c r="AO71" i="5"/>
  <c r="AO77" i="5" s="1"/>
  <c r="BJ66" i="5"/>
  <c r="AR66" i="5"/>
  <c r="J67" i="5"/>
  <c r="G71" i="5"/>
  <c r="D66" i="5"/>
  <c r="AL31" i="5"/>
  <c r="AJ37" i="5"/>
  <c r="I19" i="5"/>
  <c r="BI18" i="5"/>
  <c r="AQ18" i="5"/>
  <c r="H18" i="5"/>
  <c r="C18" i="5"/>
  <c r="BF54" i="5"/>
  <c r="BH54" i="5" s="1"/>
  <c r="N36" i="5"/>
  <c r="AH24" i="5"/>
  <c r="AC24" i="5"/>
  <c r="BH61" i="5"/>
  <c r="BF65" i="5"/>
  <c r="BJ28" i="5"/>
  <c r="AR28" i="5"/>
  <c r="J29" i="5"/>
  <c r="BC48" i="5"/>
  <c r="BJ58" i="5"/>
  <c r="J61" i="5"/>
  <c r="AR58" i="5"/>
  <c r="D58" i="5"/>
  <c r="L58" i="5" s="1"/>
  <c r="AG71" i="5"/>
  <c r="AD70" i="5"/>
  <c r="J74" i="5"/>
  <c r="AR73" i="5"/>
  <c r="BJ73" i="5"/>
  <c r="D73" i="5"/>
  <c r="L73" i="5" s="1"/>
  <c r="AG31" i="5"/>
  <c r="BJ49" i="5"/>
  <c r="J50" i="5"/>
  <c r="AR49" i="5"/>
  <c r="G54" i="5"/>
  <c r="D49" i="5"/>
  <c r="H13" i="5"/>
  <c r="I15" i="5"/>
  <c r="BI13" i="5"/>
  <c r="AQ13" i="5"/>
  <c r="C13" i="5"/>
  <c r="H15" i="5"/>
  <c r="BI15" i="5"/>
  <c r="I16" i="5"/>
  <c r="AQ15" i="5"/>
  <c r="F20" i="5"/>
  <c r="W20" i="5" s="1"/>
  <c r="N69" i="5"/>
  <c r="I11" i="5"/>
  <c r="H10" i="5"/>
  <c r="BI10" i="5"/>
  <c r="AQ10" i="5"/>
  <c r="F14" i="5"/>
  <c r="W14" i="5" s="1"/>
  <c r="J35" i="5"/>
  <c r="BJ34" i="5"/>
  <c r="AR34" i="5"/>
  <c r="D34" i="5"/>
  <c r="AI65" i="5"/>
  <c r="J40" i="5"/>
  <c r="BJ39" i="5"/>
  <c r="AR39" i="5"/>
  <c r="D39" i="5"/>
  <c r="AJ31" i="5"/>
  <c r="I10" i="5"/>
  <c r="J19" i="5"/>
  <c r="BJ18" i="5"/>
  <c r="AR18" i="5"/>
  <c r="C22" i="5"/>
  <c r="S10" i="5"/>
  <c r="N10" i="5"/>
  <c r="I12" i="5"/>
  <c r="H11" i="5"/>
  <c r="AQ11" i="5"/>
  <c r="C11" i="5"/>
  <c r="J28" i="5"/>
  <c r="AR27" i="5"/>
  <c r="BJ27" i="5"/>
  <c r="G31" i="5"/>
  <c r="D27" i="5"/>
  <c r="AI14" i="5"/>
  <c r="I18" i="5"/>
  <c r="H17" i="5"/>
  <c r="BI17" i="5"/>
  <c r="AQ17" i="5"/>
  <c r="AR44" i="5"/>
  <c r="J45" i="5"/>
  <c r="BJ44" i="5"/>
  <c r="G48" i="5"/>
  <c r="X48" i="5" s="1"/>
  <c r="D44" i="5"/>
  <c r="N64" i="5"/>
  <c r="N32" i="5"/>
  <c r="P32" i="5" s="1"/>
  <c r="AH13" i="5"/>
  <c r="AF14" i="5"/>
  <c r="I24" i="5"/>
  <c r="H23" i="5"/>
  <c r="AQ23" i="5"/>
  <c r="BI23" i="5"/>
  <c r="BJ40" i="5"/>
  <c r="AR40" i="5"/>
  <c r="J41" i="5"/>
  <c r="N56" i="5"/>
  <c r="P56" i="5" s="1"/>
  <c r="AP24" i="5"/>
  <c r="O66" i="5"/>
  <c r="AR38" i="5"/>
  <c r="BJ38" i="5"/>
  <c r="G42" i="5"/>
  <c r="J39" i="5"/>
  <c r="H19" i="5"/>
  <c r="I21" i="5"/>
  <c r="BI19" i="5"/>
  <c r="I17" i="5"/>
  <c r="H16" i="5"/>
  <c r="AQ16" i="5"/>
  <c r="BI16" i="5"/>
  <c r="BK16" i="5" s="1"/>
  <c r="I22" i="5"/>
  <c r="BI21" i="5"/>
  <c r="H21" i="5"/>
  <c r="AQ21" i="5"/>
  <c r="N21" i="5"/>
  <c r="S21" i="5"/>
  <c r="AI25" i="5"/>
  <c r="BE72" i="5"/>
  <c r="BC76" i="5"/>
  <c r="BE76" i="5" s="1"/>
  <c r="O34" i="5"/>
  <c r="AR10" i="5"/>
  <c r="BJ10" i="5"/>
  <c r="G14" i="5"/>
  <c r="X14" i="5" s="1"/>
  <c r="J11" i="5"/>
  <c r="BF14" i="5"/>
  <c r="S17" i="5"/>
  <c r="N17" i="5"/>
  <c r="AG76" i="5"/>
  <c r="F25" i="5"/>
  <c r="AC25" i="5" s="1"/>
  <c r="AH12" i="5"/>
  <c r="AC12" i="5"/>
  <c r="Y46" i="5"/>
  <c r="I23" i="5"/>
  <c r="H22" i="5"/>
  <c r="AQ22" i="5"/>
  <c r="BI22" i="5"/>
  <c r="N62" i="5"/>
  <c r="AJ25" i="5"/>
  <c r="AP27" i="5"/>
  <c r="AJ76" i="5"/>
  <c r="BJ61" i="5"/>
  <c r="J62" i="5"/>
  <c r="AR61" i="5"/>
  <c r="I13" i="5"/>
  <c r="H12" i="5"/>
  <c r="BI12" i="5"/>
  <c r="AQ12" i="5"/>
  <c r="AR21" i="5"/>
  <c r="J22" i="5"/>
  <c r="BJ21" i="5"/>
  <c r="G25" i="5"/>
  <c r="X25" i="5" s="1"/>
  <c r="AG42" i="5"/>
  <c r="AN71" i="5"/>
  <c r="BF42" i="5"/>
  <c r="BH42" i="5" s="1"/>
  <c r="BH44" i="5"/>
  <c r="BF48" i="5"/>
  <c r="BJ22" i="5"/>
  <c r="AR22" i="5"/>
  <c r="J23" i="5"/>
  <c r="D22" i="5"/>
  <c r="J51" i="5"/>
  <c r="AR50" i="5"/>
  <c r="D50" i="5"/>
  <c r="L50" i="5" s="1"/>
  <c r="BJ50" i="5"/>
  <c r="AL71" i="5"/>
  <c r="AP69" i="5"/>
  <c r="O62" i="5"/>
  <c r="D62" i="5"/>
  <c r="AR15" i="5"/>
  <c r="J16" i="5"/>
  <c r="BJ15" i="5"/>
  <c r="G20" i="5"/>
  <c r="N68" i="5"/>
  <c r="BJ69" i="5"/>
  <c r="J70" i="5"/>
  <c r="AR69" i="5"/>
  <c r="N52" i="5"/>
  <c r="N61" i="5"/>
  <c r="P61" i="5" s="1"/>
  <c r="BJ57" i="5"/>
  <c r="J58" i="5"/>
  <c r="AR57" i="5"/>
  <c r="N40" i="5"/>
  <c r="S11" i="5"/>
  <c r="AR30" i="5"/>
  <c r="J32" i="5"/>
  <c r="BJ30" i="5"/>
  <c r="S13" i="5"/>
  <c r="AP62" i="5"/>
  <c r="S18" i="5"/>
  <c r="AP10" i="5"/>
  <c r="S12" i="5"/>
  <c r="N67" i="5"/>
  <c r="BJ63" i="5"/>
  <c r="J64" i="5"/>
  <c r="AR63" i="5"/>
  <c r="BJ70" i="5"/>
  <c r="AR70" i="5"/>
  <c r="J72" i="5"/>
  <c r="AR32" i="5"/>
  <c r="J33" i="5"/>
  <c r="G37" i="5"/>
  <c r="AD37" i="5" s="1"/>
  <c r="BJ68" i="5"/>
  <c r="AR68" i="5"/>
  <c r="N46" i="5"/>
  <c r="BC31" i="5"/>
  <c r="AG59" i="5"/>
  <c r="N15" i="5"/>
  <c r="AI71" i="5"/>
  <c r="AI37" i="5"/>
  <c r="AG54" i="5"/>
  <c r="BH28" i="5"/>
  <c r="BF31" i="5"/>
  <c r="Y58" i="5"/>
  <c r="AR36" i="5"/>
  <c r="J38" i="5"/>
  <c r="BJ36" i="5"/>
  <c r="AC15" i="5"/>
  <c r="AH15" i="5"/>
  <c r="S16" i="5"/>
  <c r="C24" i="5"/>
  <c r="AJ48" i="5"/>
  <c r="S19" i="5"/>
  <c r="N19" i="5"/>
  <c r="BE61" i="5"/>
  <c r="BC65" i="5"/>
  <c r="Y22" i="5"/>
  <c r="AP75" i="5"/>
  <c r="AN76" i="5"/>
  <c r="AP76" i="5" s="1"/>
  <c r="AM12" i="5"/>
  <c r="BJ33" i="5"/>
  <c r="AR33" i="5"/>
  <c r="J34" i="5"/>
  <c r="J46" i="5"/>
  <c r="BJ45" i="5"/>
  <c r="AR45" i="5"/>
  <c r="J53" i="5"/>
  <c r="BJ52" i="5"/>
  <c r="AR52" i="5"/>
  <c r="J69" i="5"/>
  <c r="S23" i="5"/>
  <c r="AT20" i="5"/>
  <c r="N51" i="5"/>
  <c r="P51" i="5" s="1"/>
  <c r="AG48" i="5"/>
  <c r="AD47" i="5"/>
  <c r="AP58" i="5"/>
  <c r="Y63" i="5"/>
  <c r="BE39" i="5"/>
  <c r="BC42" i="5"/>
  <c r="BE42" i="5" s="1"/>
  <c r="V18" i="5"/>
  <c r="J12" i="5"/>
  <c r="J36" i="5"/>
  <c r="AR35" i="5"/>
  <c r="BC14" i="5"/>
  <c r="AN48" i="5"/>
  <c r="J24" i="5"/>
  <c r="BJ23" i="5"/>
  <c r="AR23" i="5"/>
  <c r="AI54" i="5"/>
  <c r="AV44" i="5"/>
  <c r="AT48" i="5"/>
  <c r="AV15" i="5"/>
  <c r="O68" i="5"/>
  <c r="O47" i="5"/>
  <c r="O49" i="5"/>
  <c r="AR11" i="5"/>
  <c r="J56" i="5"/>
  <c r="BJ55" i="5"/>
  <c r="AR55" i="5"/>
  <c r="G59" i="5"/>
  <c r="X59" i="5" s="1"/>
  <c r="D64" i="5"/>
  <c r="BJ29" i="5"/>
  <c r="AR29" i="5"/>
  <c r="J30" i="5"/>
  <c r="N74" i="5"/>
  <c r="P74" i="5" s="1"/>
  <c r="AG25" i="5"/>
  <c r="S27" i="5"/>
  <c r="AR67" i="5"/>
  <c r="J68" i="5"/>
  <c r="BC54" i="5"/>
  <c r="BE54" i="5" s="1"/>
  <c r="AR24" i="5"/>
  <c r="J27" i="5"/>
  <c r="BJ24" i="5"/>
  <c r="AO54" i="5"/>
  <c r="AO60" i="5" s="1"/>
  <c r="Y62" i="5"/>
  <c r="AV49" i="5"/>
  <c r="AT54" i="5"/>
  <c r="AV54" i="5" s="1"/>
  <c r="V19" i="5"/>
  <c r="AL20" i="5"/>
  <c r="AR64" i="5"/>
  <c r="J66" i="5"/>
  <c r="J55" i="5"/>
  <c r="BJ53" i="5"/>
  <c r="I27" i="5"/>
  <c r="H24" i="5"/>
  <c r="J49" i="5"/>
  <c r="BJ47" i="5"/>
  <c r="AR47" i="5"/>
  <c r="AR51" i="5"/>
  <c r="BJ51" i="5"/>
  <c r="D51" i="5"/>
  <c r="L51" i="5" s="1"/>
  <c r="BF71" i="5"/>
  <c r="BH71" i="5" s="1"/>
  <c r="N57" i="5"/>
  <c r="P57" i="5" s="1"/>
  <c r="V22" i="5"/>
  <c r="AP23" i="5"/>
  <c r="AP67" i="5"/>
  <c r="AT76" i="5"/>
  <c r="AV76" i="5" s="1"/>
  <c r="AV72" i="5"/>
  <c r="AL37" i="5"/>
  <c r="BF37" i="5"/>
  <c r="BH37" i="5" s="1"/>
  <c r="BJ74" i="5"/>
  <c r="J75" i="5"/>
  <c r="J57" i="5"/>
  <c r="AR56" i="5"/>
  <c r="N73" i="5"/>
  <c r="P73" i="5" s="1"/>
  <c r="D75" i="5"/>
  <c r="AC22" i="5"/>
  <c r="AG20" i="5"/>
  <c r="AN65" i="5"/>
  <c r="BJ12" i="5"/>
  <c r="AR12" i="5"/>
  <c r="BF25" i="5"/>
  <c r="BH25" i="5" s="1"/>
  <c r="Y53" i="5"/>
  <c r="BC71" i="5"/>
  <c r="BE71" i="5" s="1"/>
  <c r="AM19" i="5"/>
  <c r="Y67" i="5"/>
  <c r="Y19" i="5"/>
  <c r="O75" i="5"/>
  <c r="BJ46" i="5"/>
  <c r="J47" i="5"/>
  <c r="AR46" i="5"/>
  <c r="J44" i="5"/>
  <c r="BJ41" i="5"/>
  <c r="D41" i="5"/>
  <c r="AR41" i="5"/>
  <c r="AH11" i="5"/>
  <c r="AT71" i="5"/>
  <c r="AV71" i="5" s="1"/>
  <c r="J21" i="5"/>
  <c r="AR19" i="5"/>
  <c r="BJ19" i="5"/>
  <c r="AP32" i="5"/>
  <c r="AN37" i="5"/>
  <c r="AR13" i="5"/>
  <c r="J15" i="5"/>
  <c r="D13" i="5"/>
  <c r="BJ13" i="5"/>
  <c r="AJ42" i="5"/>
  <c r="D16" i="5"/>
  <c r="O38" i="5"/>
  <c r="BC20" i="5"/>
  <c r="BE20" i="5" s="1"/>
  <c r="Y29" i="5"/>
  <c r="BC37" i="5"/>
  <c r="BE37" i="5" s="1"/>
  <c r="Y51" i="5"/>
  <c r="AP22" i="5"/>
  <c r="BJ56" i="5"/>
  <c r="AP51" i="5"/>
  <c r="AP15" i="5"/>
  <c r="V21" i="5"/>
  <c r="AT37" i="5"/>
  <c r="AV37" i="5" s="1"/>
  <c r="O52" i="5"/>
  <c r="Y12" i="5"/>
  <c r="BE66" i="5"/>
  <c r="AC11" i="5"/>
  <c r="O67" i="5"/>
  <c r="AT59" i="5"/>
  <c r="AV59" i="5" s="1"/>
  <c r="AP70" i="5"/>
  <c r="V24" i="5"/>
  <c r="AR62" i="5"/>
  <c r="AL76" i="5"/>
  <c r="AR16" i="5"/>
  <c r="J17" i="5"/>
  <c r="AN42" i="5"/>
  <c r="AP42" i="5" s="1"/>
  <c r="AP38" i="5"/>
  <c r="V27" i="5"/>
  <c r="AN25" i="5"/>
  <c r="AP25" i="5" s="1"/>
  <c r="BE55" i="5"/>
  <c r="BC59" i="5"/>
  <c r="BE59" i="5" s="1"/>
  <c r="AJ54" i="5"/>
  <c r="O53" i="5"/>
  <c r="O70" i="5"/>
  <c r="AP29" i="5"/>
  <c r="Y28" i="5"/>
  <c r="O23" i="5"/>
  <c r="AN59" i="5"/>
  <c r="AP59" i="5" s="1"/>
  <c r="AQ38" i="3" l="1"/>
  <c r="AS38" i="3" s="1"/>
  <c r="AF38" i="3"/>
  <c r="AC38" i="3" s="1"/>
  <c r="AE38" i="3" s="1"/>
  <c r="W38" i="3"/>
  <c r="Y38" i="3" s="1"/>
  <c r="BI38" i="3"/>
  <c r="BK38" i="3" s="1"/>
  <c r="AH37" i="3"/>
  <c r="K37" i="3"/>
  <c r="M37" i="3" s="1"/>
  <c r="E37" i="3"/>
  <c r="C38" i="3"/>
  <c r="M36" i="3"/>
  <c r="L52" i="5"/>
  <c r="AE12" i="5"/>
  <c r="AE11" i="5"/>
  <c r="AD31" i="5"/>
  <c r="AE19" i="5"/>
  <c r="AE17" i="5"/>
  <c r="AE21" i="5"/>
  <c r="AD71" i="5"/>
  <c r="AE16" i="5"/>
  <c r="AE18" i="5"/>
  <c r="AD48" i="5"/>
  <c r="AE15" i="5"/>
  <c r="AD54" i="5"/>
  <c r="AE24" i="5"/>
  <c r="AE23" i="5"/>
  <c r="AE13" i="5"/>
  <c r="AE22" i="5"/>
  <c r="AE10" i="5"/>
  <c r="AD65" i="5"/>
  <c r="J71" i="5"/>
  <c r="L36" i="5"/>
  <c r="P39" i="5"/>
  <c r="AB69" i="5"/>
  <c r="AB46" i="5"/>
  <c r="AB44" i="5"/>
  <c r="L17" i="5"/>
  <c r="P16" i="5"/>
  <c r="P66" i="5"/>
  <c r="E15" i="5"/>
  <c r="AB13" i="5"/>
  <c r="AB29" i="5"/>
  <c r="K23" i="5"/>
  <c r="AB17" i="5"/>
  <c r="L41" i="5"/>
  <c r="P18" i="5"/>
  <c r="AB32" i="5"/>
  <c r="AB55" i="5"/>
  <c r="L47" i="5"/>
  <c r="L10" i="5"/>
  <c r="L15" i="5"/>
  <c r="AB35" i="5"/>
  <c r="AB19" i="5"/>
  <c r="BK24" i="5"/>
  <c r="BK11" i="5"/>
  <c r="L23" i="5"/>
  <c r="AS24" i="5"/>
  <c r="P34" i="5"/>
  <c r="AB10" i="5"/>
  <c r="E10" i="5"/>
  <c r="E23" i="5"/>
  <c r="AP20" i="5"/>
  <c r="P11" i="5"/>
  <c r="K12" i="5"/>
  <c r="P38" i="5"/>
  <c r="AD20" i="5"/>
  <c r="P12" i="5"/>
  <c r="AB67" i="5"/>
  <c r="AB16" i="5"/>
  <c r="AB18" i="5"/>
  <c r="AB11" i="5"/>
  <c r="AB30" i="5"/>
  <c r="AB39" i="5"/>
  <c r="AB64" i="5"/>
  <c r="E21" i="5"/>
  <c r="L12" i="5"/>
  <c r="P17" i="5"/>
  <c r="L59" i="5"/>
  <c r="L69" i="5"/>
  <c r="L70" i="5"/>
  <c r="P41" i="5"/>
  <c r="E12" i="5"/>
  <c r="L19" i="5"/>
  <c r="AB15" i="5"/>
  <c r="P69" i="5"/>
  <c r="P27" i="5"/>
  <c r="AL60" i="5"/>
  <c r="P46" i="5"/>
  <c r="L24" i="5"/>
  <c r="L68" i="5"/>
  <c r="AB12" i="5"/>
  <c r="P24" i="5"/>
  <c r="P72" i="5"/>
  <c r="AS19" i="5"/>
  <c r="AJ60" i="5"/>
  <c r="D59" i="5"/>
  <c r="R59" i="5" s="1"/>
  <c r="AA59" i="5" s="1"/>
  <c r="AB40" i="5"/>
  <c r="L64" i="5"/>
  <c r="P64" i="5"/>
  <c r="P36" i="5"/>
  <c r="AL26" i="5"/>
  <c r="E17" i="5"/>
  <c r="AB36" i="5"/>
  <c r="AB45" i="5"/>
  <c r="E19" i="5"/>
  <c r="P13" i="5"/>
  <c r="P53" i="5"/>
  <c r="L67" i="5"/>
  <c r="K16" i="5"/>
  <c r="P40" i="5"/>
  <c r="AJ26" i="5"/>
  <c r="AB41" i="5"/>
  <c r="AB33" i="5"/>
  <c r="AB50" i="5"/>
  <c r="AF27" i="5"/>
  <c r="AB28" i="5"/>
  <c r="AI60" i="5"/>
  <c r="AB56" i="5"/>
  <c r="AK42" i="5"/>
  <c r="AM42" i="5" s="1"/>
  <c r="AB68" i="5"/>
  <c r="AB49" i="5"/>
  <c r="L28" i="5"/>
  <c r="AN43" i="5"/>
  <c r="AP43" i="5" s="1"/>
  <c r="AB70" i="5"/>
  <c r="P15" i="5"/>
  <c r="AB63" i="5"/>
  <c r="AB73" i="5"/>
  <c r="BJ65" i="5"/>
  <c r="P22" i="5"/>
  <c r="AI43" i="5"/>
  <c r="BK17" i="5"/>
  <c r="C20" i="5"/>
  <c r="Q20" i="5" s="1"/>
  <c r="Z20" i="5" s="1"/>
  <c r="AB21" i="5"/>
  <c r="AC20" i="5"/>
  <c r="L21" i="5"/>
  <c r="L22" i="5"/>
  <c r="AS15" i="5"/>
  <c r="X65" i="5"/>
  <c r="G77" i="5"/>
  <c r="L11" i="5"/>
  <c r="P75" i="5"/>
  <c r="AB74" i="5"/>
  <c r="AR65" i="5"/>
  <c r="L18" i="5"/>
  <c r="AD14" i="5"/>
  <c r="P28" i="5"/>
  <c r="L53" i="5"/>
  <c r="L13" i="5"/>
  <c r="P49" i="5"/>
  <c r="P68" i="5"/>
  <c r="AP71" i="5"/>
  <c r="BK12" i="5"/>
  <c r="P70" i="5"/>
  <c r="L46" i="5"/>
  <c r="AS10" i="5"/>
  <c r="L40" i="5"/>
  <c r="AB51" i="5"/>
  <c r="AB34" i="5"/>
  <c r="AL77" i="5"/>
  <c r="P62" i="5"/>
  <c r="AK76" i="5"/>
  <c r="AM76" i="5" s="1"/>
  <c r="AB38" i="5"/>
  <c r="P47" i="5"/>
  <c r="AO78" i="5"/>
  <c r="BK21" i="5"/>
  <c r="BK19" i="5"/>
  <c r="AK71" i="5"/>
  <c r="AM71" i="5" s="1"/>
  <c r="D25" i="5"/>
  <c r="R25" i="5" s="1"/>
  <c r="AA25" i="5" s="1"/>
  <c r="AL43" i="5"/>
  <c r="AB22" i="5"/>
  <c r="D14" i="5"/>
  <c r="R14" i="5" s="1"/>
  <c r="AA14" i="5" s="1"/>
  <c r="AM29" i="5"/>
  <c r="AK31" i="5"/>
  <c r="BJ37" i="5"/>
  <c r="J42" i="5"/>
  <c r="AR37" i="5"/>
  <c r="BH31" i="5"/>
  <c r="BF43" i="5"/>
  <c r="BH43" i="5" s="1"/>
  <c r="AI77" i="5"/>
  <c r="AB75" i="5"/>
  <c r="BF60" i="5"/>
  <c r="BH60" i="5" s="1"/>
  <c r="BH48" i="5"/>
  <c r="L44" i="5"/>
  <c r="D48" i="5"/>
  <c r="D37" i="5"/>
  <c r="L34" i="5"/>
  <c r="AB47" i="5"/>
  <c r="K27" i="5"/>
  <c r="E27" i="5"/>
  <c r="L75" i="5"/>
  <c r="AB23" i="5"/>
  <c r="E24" i="5"/>
  <c r="K24" i="5"/>
  <c r="AH20" i="5"/>
  <c r="BH14" i="5"/>
  <c r="BF26" i="5"/>
  <c r="AS21" i="5"/>
  <c r="BJ42" i="5"/>
  <c r="J48" i="5"/>
  <c r="AR42" i="5"/>
  <c r="L39" i="5"/>
  <c r="D42" i="5"/>
  <c r="X37" i="5"/>
  <c r="BK10" i="5"/>
  <c r="AS13" i="5"/>
  <c r="L49" i="5"/>
  <c r="D54" i="5"/>
  <c r="AS18" i="5"/>
  <c r="AQ25" i="5"/>
  <c r="H25" i="5"/>
  <c r="BI25" i="5"/>
  <c r="AM61" i="5"/>
  <c r="AK65" i="5"/>
  <c r="BJ76" i="5"/>
  <c r="AR76" i="5"/>
  <c r="I14" i="5"/>
  <c r="L16" i="5"/>
  <c r="D20" i="5"/>
  <c r="AP65" i="5"/>
  <c r="AN77" i="5"/>
  <c r="AP77" i="5" s="1"/>
  <c r="BE14" i="5"/>
  <c r="BC26" i="5"/>
  <c r="AG77" i="5"/>
  <c r="AD76" i="5"/>
  <c r="AS17" i="5"/>
  <c r="AS16" i="5"/>
  <c r="AM50" i="5"/>
  <c r="AK54" i="5"/>
  <c r="AM54" i="5" s="1"/>
  <c r="P52" i="5"/>
  <c r="AB58" i="5"/>
  <c r="AB57" i="5"/>
  <c r="AT43" i="5"/>
  <c r="AV43" i="5" s="1"/>
  <c r="BC77" i="5"/>
  <c r="BE77" i="5" s="1"/>
  <c r="BE65" i="5"/>
  <c r="AP54" i="5"/>
  <c r="J54" i="5"/>
  <c r="G60" i="5"/>
  <c r="AR48" i="5"/>
  <c r="BJ48" i="5"/>
  <c r="C25" i="5"/>
  <c r="D31" i="5"/>
  <c r="L27" i="5"/>
  <c r="BK13" i="5"/>
  <c r="BJ54" i="5"/>
  <c r="AR54" i="5"/>
  <c r="J59" i="5"/>
  <c r="BK18" i="5"/>
  <c r="AJ77" i="5"/>
  <c r="BK27" i="5"/>
  <c r="D76" i="5"/>
  <c r="L72" i="5"/>
  <c r="P19" i="5"/>
  <c r="K19" i="5"/>
  <c r="P10" i="5"/>
  <c r="K10" i="5"/>
  <c r="L38" i="5"/>
  <c r="AV20" i="5"/>
  <c r="AT26" i="5"/>
  <c r="AD59" i="5"/>
  <c r="AG60" i="5"/>
  <c r="BJ20" i="5"/>
  <c r="AR20" i="5"/>
  <c r="J25" i="5"/>
  <c r="AD42" i="5"/>
  <c r="AG43" i="5"/>
  <c r="AH14" i="5"/>
  <c r="AC14" i="5"/>
  <c r="I20" i="5"/>
  <c r="H14" i="5"/>
  <c r="F26" i="5"/>
  <c r="AC26" i="5" s="1"/>
  <c r="BI14" i="5"/>
  <c r="AQ14" i="5"/>
  <c r="I25" i="5"/>
  <c r="H20" i="5"/>
  <c r="BI20" i="5"/>
  <c r="AQ20" i="5"/>
  <c r="X20" i="5"/>
  <c r="J31" i="5"/>
  <c r="AR25" i="5"/>
  <c r="BJ25" i="5"/>
  <c r="AR14" i="5"/>
  <c r="J20" i="5"/>
  <c r="BJ14" i="5"/>
  <c r="G26" i="5"/>
  <c r="AK20" i="5"/>
  <c r="AM20" i="5" s="1"/>
  <c r="AB27" i="5"/>
  <c r="AB66" i="5"/>
  <c r="AM32" i="5"/>
  <c r="AK37" i="5"/>
  <c r="AM37" i="5" s="1"/>
  <c r="P67" i="5"/>
  <c r="AB61" i="5"/>
  <c r="L62" i="5"/>
  <c r="D65" i="5"/>
  <c r="BK22" i="5"/>
  <c r="AM21" i="5"/>
  <c r="AK25" i="5"/>
  <c r="AM25" i="5" s="1"/>
  <c r="W25" i="5"/>
  <c r="Y25" i="5" s="1"/>
  <c r="BK23" i="5"/>
  <c r="J37" i="5"/>
  <c r="BJ31" i="5"/>
  <c r="G43" i="5"/>
  <c r="AR31" i="5"/>
  <c r="E11" i="5"/>
  <c r="K11" i="5"/>
  <c r="P23" i="5"/>
  <c r="BK15" i="5"/>
  <c r="C14" i="5"/>
  <c r="BH65" i="5"/>
  <c r="BF77" i="5"/>
  <c r="BH77" i="5" s="1"/>
  <c r="X54" i="5"/>
  <c r="X76" i="5"/>
  <c r="AN60" i="5"/>
  <c r="AP60" i="5" s="1"/>
  <c r="AP48" i="5"/>
  <c r="AR71" i="5"/>
  <c r="BJ71" i="5"/>
  <c r="AR59" i="5"/>
  <c r="BJ59" i="5"/>
  <c r="J65" i="5"/>
  <c r="P21" i="5"/>
  <c r="K21" i="5"/>
  <c r="Y14" i="5"/>
  <c r="AG26" i="5"/>
  <c r="AD25" i="5"/>
  <c r="AE25" i="5" s="1"/>
  <c r="AB52" i="5"/>
  <c r="E18" i="5"/>
  <c r="K18" i="5"/>
  <c r="BC43" i="5"/>
  <c r="BE43" i="5" s="1"/>
  <c r="BE31" i="5"/>
  <c r="AB62" i="5"/>
  <c r="E16" i="5"/>
  <c r="AJ43" i="5"/>
  <c r="E13" i="5"/>
  <c r="K13" i="5"/>
  <c r="AK48" i="5"/>
  <c r="AP37" i="5"/>
  <c r="AM55" i="5"/>
  <c r="AK59" i="5"/>
  <c r="AM59" i="5" s="1"/>
  <c r="AT60" i="5"/>
  <c r="AV60" i="5" s="1"/>
  <c r="AV48" i="5"/>
  <c r="AT77" i="5"/>
  <c r="AV77" i="5" s="1"/>
  <c r="AB53" i="5"/>
  <c r="AN26" i="5"/>
  <c r="AS12" i="5"/>
  <c r="AS22" i="5"/>
  <c r="AK14" i="5"/>
  <c r="AS23" i="5"/>
  <c r="AI26" i="5"/>
  <c r="AS11" i="5"/>
  <c r="E22" i="5"/>
  <c r="K22" i="5"/>
  <c r="BE48" i="5"/>
  <c r="BC60" i="5"/>
  <c r="BE60" i="5" s="1"/>
  <c r="K15" i="5"/>
  <c r="K17" i="5"/>
  <c r="AH25" i="5"/>
  <c r="X71" i="5"/>
  <c r="D71" i="5"/>
  <c r="L66" i="5"/>
  <c r="X42" i="5"/>
  <c r="AB24" i="5"/>
  <c r="X31" i="5"/>
  <c r="AH38" i="3" l="1"/>
  <c r="F39" i="3"/>
  <c r="AF39" i="3" s="1"/>
  <c r="F40" i="3" s="1"/>
  <c r="K38" i="3"/>
  <c r="N38" i="3" s="1"/>
  <c r="P38" i="3" s="1"/>
  <c r="E38" i="3"/>
  <c r="Q38" i="3"/>
  <c r="I39" i="3"/>
  <c r="AQ27" i="5"/>
  <c r="AS27" i="5" s="1"/>
  <c r="F28" i="5"/>
  <c r="I28" i="5" s="1"/>
  <c r="L37" i="5"/>
  <c r="O37" i="5" s="1"/>
  <c r="U37" i="5" s="1"/>
  <c r="AE14" i="5"/>
  <c r="AD43" i="5"/>
  <c r="AE20" i="5"/>
  <c r="I26" i="5"/>
  <c r="AD60" i="5"/>
  <c r="M17" i="5"/>
  <c r="M23" i="5"/>
  <c r="M12" i="5"/>
  <c r="O59" i="5"/>
  <c r="U59" i="5" s="1"/>
  <c r="M18" i="5"/>
  <c r="M24" i="5"/>
  <c r="M19" i="5"/>
  <c r="L48" i="5"/>
  <c r="L65" i="5"/>
  <c r="O65" i="5" s="1"/>
  <c r="U65" i="5" s="1"/>
  <c r="L31" i="5"/>
  <c r="O31" i="5" s="1"/>
  <c r="U31" i="5" s="1"/>
  <c r="W26" i="5"/>
  <c r="X77" i="5"/>
  <c r="AC27" i="5"/>
  <c r="AE27" i="5" s="1"/>
  <c r="L54" i="5"/>
  <c r="O54" i="5" s="1"/>
  <c r="U54" i="5" s="1"/>
  <c r="AL78" i="5"/>
  <c r="L25" i="5"/>
  <c r="O25" i="5" s="1"/>
  <c r="U25" i="5" s="1"/>
  <c r="X60" i="5"/>
  <c r="E20" i="5"/>
  <c r="BJ77" i="5"/>
  <c r="L71" i="5"/>
  <c r="O71" i="5" s="1"/>
  <c r="U71" i="5" s="1"/>
  <c r="L42" i="5"/>
  <c r="O42" i="5" s="1"/>
  <c r="U42" i="5" s="1"/>
  <c r="AR77" i="5"/>
  <c r="M13" i="5"/>
  <c r="AH27" i="5"/>
  <c r="M11" i="5"/>
  <c r="L14" i="5"/>
  <c r="O14" i="5" s="1"/>
  <c r="U14" i="5" s="1"/>
  <c r="M22" i="5"/>
  <c r="AJ78" i="5"/>
  <c r="X26" i="5"/>
  <c r="AS14" i="5"/>
  <c r="AS20" i="5"/>
  <c r="D26" i="5"/>
  <c r="R26" i="5" s="1"/>
  <c r="E14" i="5"/>
  <c r="Q14" i="5"/>
  <c r="Z14" i="5" s="1"/>
  <c r="C26" i="5"/>
  <c r="E25" i="5"/>
  <c r="Q25" i="5"/>
  <c r="Z25" i="5" s="1"/>
  <c r="R48" i="5"/>
  <c r="AA48" i="5" s="1"/>
  <c r="D60" i="5"/>
  <c r="M21" i="5"/>
  <c r="K25" i="5"/>
  <c r="BK14" i="5"/>
  <c r="M16" i="5"/>
  <c r="L20" i="5"/>
  <c r="BK25" i="5"/>
  <c r="AN78" i="5"/>
  <c r="AP78" i="5" s="1"/>
  <c r="AP26" i="5"/>
  <c r="AD26" i="5"/>
  <c r="AE26" i="5" s="1"/>
  <c r="AH26" i="5"/>
  <c r="H26" i="5"/>
  <c r="AQ26" i="5"/>
  <c r="BI26" i="5"/>
  <c r="J77" i="5"/>
  <c r="J76" i="5"/>
  <c r="BJ60" i="5"/>
  <c r="AR60" i="5"/>
  <c r="R42" i="5"/>
  <c r="AA42" i="5" s="1"/>
  <c r="BF78" i="5"/>
  <c r="BH78" i="5" s="1"/>
  <c r="BH26" i="5"/>
  <c r="AK60" i="5"/>
  <c r="AM60" i="5" s="1"/>
  <c r="AM48" i="5"/>
  <c r="AV26" i="5"/>
  <c r="AT78" i="5"/>
  <c r="AV78" i="5" s="1"/>
  <c r="R37" i="5"/>
  <c r="AA37" i="5" s="1"/>
  <c r="BJ26" i="5"/>
  <c r="J43" i="5"/>
  <c r="G78" i="5"/>
  <c r="AR26" i="5"/>
  <c r="R71" i="5"/>
  <c r="AA71" i="5" s="1"/>
  <c r="AD77" i="5"/>
  <c r="AG78" i="5"/>
  <c r="AS25" i="5"/>
  <c r="M10" i="5"/>
  <c r="K14" i="5"/>
  <c r="AM14" i="5"/>
  <c r="AK26" i="5"/>
  <c r="R20" i="5"/>
  <c r="AA20" i="5" s="1"/>
  <c r="L76" i="5"/>
  <c r="O76" i="5" s="1"/>
  <c r="U76" i="5" s="1"/>
  <c r="BC78" i="5"/>
  <c r="BE78" i="5" s="1"/>
  <c r="BE26" i="5"/>
  <c r="AM31" i="5"/>
  <c r="AK43" i="5"/>
  <c r="AM43" i="5" s="1"/>
  <c r="R31" i="5"/>
  <c r="AA31" i="5" s="1"/>
  <c r="D43" i="5"/>
  <c r="M15" i="5"/>
  <c r="K20" i="5"/>
  <c r="AM65" i="5"/>
  <c r="AK77" i="5"/>
  <c r="AM77" i="5" s="1"/>
  <c r="M27" i="5"/>
  <c r="Y20" i="5"/>
  <c r="X43" i="5"/>
  <c r="AI78" i="5"/>
  <c r="BJ43" i="5"/>
  <c r="AR43" i="5"/>
  <c r="J60" i="5"/>
  <c r="R65" i="5"/>
  <c r="AA65" i="5" s="1"/>
  <c r="D77" i="5"/>
  <c r="BK20" i="5"/>
  <c r="R76" i="5"/>
  <c r="AA76" i="5" s="1"/>
  <c r="R54" i="5"/>
  <c r="AA54" i="5" s="1"/>
  <c r="AQ39" i="3" l="1"/>
  <c r="AS39" i="3" s="1"/>
  <c r="AC39" i="3"/>
  <c r="AE39" i="3" s="1"/>
  <c r="I40" i="3"/>
  <c r="BI39" i="3"/>
  <c r="BK39" i="3" s="1"/>
  <c r="AH39" i="3"/>
  <c r="H39" i="3"/>
  <c r="C39" i="3"/>
  <c r="K39" i="3" s="1"/>
  <c r="M38" i="3"/>
  <c r="BI40" i="3"/>
  <c r="BK40" i="3" s="1"/>
  <c r="I41" i="3"/>
  <c r="AQ40" i="3"/>
  <c r="AS40" i="3" s="1"/>
  <c r="C40" i="3"/>
  <c r="H40" i="3"/>
  <c r="Z38" i="3"/>
  <c r="AB38" i="3" s="1"/>
  <c r="S38" i="3"/>
  <c r="T38" i="3"/>
  <c r="V38" i="3" s="1"/>
  <c r="AF40" i="3"/>
  <c r="AA26" i="5"/>
  <c r="AD78" i="5"/>
  <c r="L60" i="5"/>
  <c r="O60" i="5" s="1"/>
  <c r="U60" i="5" s="1"/>
  <c r="AF28" i="5"/>
  <c r="AC28" i="5" s="1"/>
  <c r="AE28" i="5" s="1"/>
  <c r="BI28" i="5"/>
  <c r="BK28" i="5" s="1"/>
  <c r="H28" i="5"/>
  <c r="O48" i="5"/>
  <c r="U48" i="5" s="1"/>
  <c r="C28" i="5"/>
  <c r="E28" i="5" s="1"/>
  <c r="Y26" i="5"/>
  <c r="L43" i="5"/>
  <c r="O43" i="5" s="1"/>
  <c r="U43" i="5" s="1"/>
  <c r="BK26" i="5"/>
  <c r="X78" i="5"/>
  <c r="R60" i="5"/>
  <c r="AA60" i="5" s="1"/>
  <c r="AK78" i="5"/>
  <c r="AM78" i="5" s="1"/>
  <c r="AM26" i="5"/>
  <c r="BJ78" i="5"/>
  <c r="AR78" i="5"/>
  <c r="AB25" i="5"/>
  <c r="S25" i="5"/>
  <c r="M14" i="5"/>
  <c r="K26" i="5"/>
  <c r="N14" i="5"/>
  <c r="L77" i="5"/>
  <c r="O77" i="5" s="1"/>
  <c r="U77" i="5" s="1"/>
  <c r="AS26" i="5"/>
  <c r="R77" i="5"/>
  <c r="AA77" i="5" s="1"/>
  <c r="R43" i="5"/>
  <c r="AA43" i="5" s="1"/>
  <c r="S20" i="5"/>
  <c r="M25" i="5"/>
  <c r="N25" i="5"/>
  <c r="Q26" i="5"/>
  <c r="Z26" i="5" s="1"/>
  <c r="E26" i="5"/>
  <c r="AB20" i="5"/>
  <c r="O20" i="5"/>
  <c r="U20" i="5" s="1"/>
  <c r="L26" i="5"/>
  <c r="N20" i="5"/>
  <c r="M20" i="5"/>
  <c r="S14" i="5"/>
  <c r="AB14" i="5"/>
  <c r="D78" i="5"/>
  <c r="E39" i="3" l="1"/>
  <c r="E40" i="3"/>
  <c r="K40" i="3"/>
  <c r="M40" i="3" s="1"/>
  <c r="F41" i="3"/>
  <c r="AF41" i="3" s="1"/>
  <c r="AH40" i="3"/>
  <c r="AC40" i="3"/>
  <c r="AE40" i="3" s="1"/>
  <c r="M39" i="3"/>
  <c r="AQ28" i="5"/>
  <c r="AS28" i="5" s="1"/>
  <c r="K28" i="5"/>
  <c r="M28" i="5" s="1"/>
  <c r="F29" i="5"/>
  <c r="AH28" i="5"/>
  <c r="P20" i="5"/>
  <c r="T20" i="5"/>
  <c r="V20" i="5" s="1"/>
  <c r="AB26" i="5"/>
  <c r="S26" i="5"/>
  <c r="O26" i="5"/>
  <c r="U26" i="5" s="1"/>
  <c r="L78" i="5"/>
  <c r="O78" i="5" s="1"/>
  <c r="U78" i="5" s="1"/>
  <c r="P25" i="5"/>
  <c r="T25" i="5"/>
  <c r="V25" i="5" s="1"/>
  <c r="P14" i="5"/>
  <c r="T14" i="5"/>
  <c r="V14" i="5" s="1"/>
  <c r="M26" i="5"/>
  <c r="N26" i="5"/>
  <c r="R78" i="5"/>
  <c r="AA78" i="5" s="1"/>
  <c r="AH41" i="3" l="1"/>
  <c r="AC41" i="3"/>
  <c r="AE41" i="3" s="1"/>
  <c r="F42" i="3"/>
  <c r="AF42" i="3" s="1"/>
  <c r="BI41" i="3"/>
  <c r="BK41" i="3" s="1"/>
  <c r="AQ41" i="3"/>
  <c r="AS41" i="3" s="1"/>
  <c r="C41" i="3"/>
  <c r="H41" i="3"/>
  <c r="I42" i="3"/>
  <c r="AF29" i="5"/>
  <c r="AC29" i="5" s="1"/>
  <c r="AE29" i="5" s="1"/>
  <c r="I29" i="5"/>
  <c r="BI29" i="5"/>
  <c r="BK29" i="5" s="1"/>
  <c r="C29" i="5"/>
  <c r="E29" i="5" s="1"/>
  <c r="H29" i="5"/>
  <c r="P26" i="5"/>
  <c r="T26" i="5"/>
  <c r="V26" i="5" s="1"/>
  <c r="E41" i="3" l="1"/>
  <c r="K41" i="3"/>
  <c r="AF43" i="3"/>
  <c r="AC42" i="3"/>
  <c r="AE42" i="3" s="1"/>
  <c r="AH42" i="3"/>
  <c r="I45" i="3"/>
  <c r="C42" i="3"/>
  <c r="BI42" i="3"/>
  <c r="BK42" i="3" s="1"/>
  <c r="H42" i="3"/>
  <c r="AQ42" i="3"/>
  <c r="AS42" i="3" s="1"/>
  <c r="F43" i="3"/>
  <c r="AQ29" i="5"/>
  <c r="AS29" i="5" s="1"/>
  <c r="F30" i="5"/>
  <c r="K29" i="5"/>
  <c r="M29" i="5" s="1"/>
  <c r="AH29" i="5"/>
  <c r="E42" i="3" l="1"/>
  <c r="K42" i="3"/>
  <c r="M42" i="3" s="1"/>
  <c r="H43" i="3"/>
  <c r="BI43" i="3"/>
  <c r="BK43" i="3" s="1"/>
  <c r="AQ43" i="3"/>
  <c r="AS43" i="3" s="1"/>
  <c r="F44" i="3"/>
  <c r="I43" i="3"/>
  <c r="W43" i="3"/>
  <c r="AH43" i="3"/>
  <c r="AF44" i="3"/>
  <c r="AC43" i="3"/>
  <c r="AE43" i="3" s="1"/>
  <c r="C43" i="3"/>
  <c r="M41" i="3"/>
  <c r="AF30" i="5"/>
  <c r="AC30" i="5" s="1"/>
  <c r="AE30" i="5" s="1"/>
  <c r="I30" i="5"/>
  <c r="C30" i="5"/>
  <c r="K30" i="5" s="1"/>
  <c r="M30" i="5" s="1"/>
  <c r="BI30" i="5"/>
  <c r="BK30" i="5" s="1"/>
  <c r="F31" i="5"/>
  <c r="W31" i="5" s="1"/>
  <c r="Y31" i="5" s="1"/>
  <c r="H30" i="5"/>
  <c r="K43" i="3" l="1"/>
  <c r="M43" i="3" s="1"/>
  <c r="AC44" i="3"/>
  <c r="AE44" i="3" s="1"/>
  <c r="AH44" i="3"/>
  <c r="F45" i="3"/>
  <c r="H44" i="3"/>
  <c r="BI44" i="3"/>
  <c r="BK44" i="3" s="1"/>
  <c r="AQ44" i="3"/>
  <c r="AS44" i="3" s="1"/>
  <c r="Q43" i="3"/>
  <c r="E43" i="3"/>
  <c r="C44" i="3"/>
  <c r="Y43" i="3"/>
  <c r="W44" i="3"/>
  <c r="AF31" i="5"/>
  <c r="AH31" i="5" s="1"/>
  <c r="BI31" i="5"/>
  <c r="BK31" i="5" s="1"/>
  <c r="I31" i="5"/>
  <c r="H31" i="5"/>
  <c r="AH30" i="5"/>
  <c r="AQ30" i="5"/>
  <c r="AS30" i="5" s="1"/>
  <c r="K31" i="5"/>
  <c r="C31" i="5"/>
  <c r="Q31" i="5" s="1"/>
  <c r="Z31" i="5" s="1"/>
  <c r="E30" i="5"/>
  <c r="N43" i="3" l="1"/>
  <c r="P43" i="3" s="1"/>
  <c r="K44" i="3"/>
  <c r="N44" i="3" s="1"/>
  <c r="P44" i="3" s="1"/>
  <c r="E44" i="3"/>
  <c r="Q44" i="3"/>
  <c r="AQ45" i="3"/>
  <c r="AS45" i="3" s="1"/>
  <c r="C45" i="3"/>
  <c r="BI45" i="3"/>
  <c r="BK45" i="3" s="1"/>
  <c r="I46" i="3"/>
  <c r="H45" i="3"/>
  <c r="AF45" i="3"/>
  <c r="Y44" i="3"/>
  <c r="Z43" i="3"/>
  <c r="AB43" i="3" s="1"/>
  <c r="S43" i="3"/>
  <c r="S31" i="5"/>
  <c r="AB31" i="5"/>
  <c r="AC31" i="5"/>
  <c r="AE31" i="5" s="1"/>
  <c r="F32" i="5"/>
  <c r="H32" i="5" s="1"/>
  <c r="N31" i="5"/>
  <c r="T31" i="5" s="1"/>
  <c r="V31" i="5" s="1"/>
  <c r="M31" i="5"/>
  <c r="AQ31" i="5"/>
  <c r="AS31" i="5" s="1"/>
  <c r="E31" i="5"/>
  <c r="M44" i="3" l="1"/>
  <c r="T43" i="3"/>
  <c r="V43" i="3" s="1"/>
  <c r="K45" i="3"/>
  <c r="E45" i="3"/>
  <c r="S44" i="3"/>
  <c r="Z44" i="3"/>
  <c r="AB44" i="3" s="1"/>
  <c r="T44" i="3"/>
  <c r="V44" i="3" s="1"/>
  <c r="F46" i="3"/>
  <c r="AH45" i="3"/>
  <c r="AC45" i="3"/>
  <c r="AE45" i="3" s="1"/>
  <c r="P31" i="5"/>
  <c r="I32" i="5"/>
  <c r="AF32" i="5"/>
  <c r="AQ32" i="5" s="1"/>
  <c r="AS32" i="5" s="1"/>
  <c r="C32" i="5"/>
  <c r="BI32" i="5"/>
  <c r="BK32" i="5" s="1"/>
  <c r="I47" i="3" l="1"/>
  <c r="BI46" i="3"/>
  <c r="BK46" i="3" s="1"/>
  <c r="H46" i="3"/>
  <c r="C46" i="3"/>
  <c r="AQ46" i="3"/>
  <c r="AS46" i="3" s="1"/>
  <c r="AF46" i="3"/>
  <c r="M45" i="3"/>
  <c r="AH32" i="5"/>
  <c r="AC32" i="5"/>
  <c r="AE32" i="5" s="1"/>
  <c r="F33" i="5"/>
  <c r="E32" i="5"/>
  <c r="K32" i="5"/>
  <c r="M32" i="5" s="1"/>
  <c r="E46" i="3" l="1"/>
  <c r="K46" i="3"/>
  <c r="AC46" i="3"/>
  <c r="AE46" i="3" s="1"/>
  <c r="AH46" i="3"/>
  <c r="F47" i="3"/>
  <c r="AF33" i="5"/>
  <c r="AQ33" i="5" s="1"/>
  <c r="AS33" i="5" s="1"/>
  <c r="H33" i="5"/>
  <c r="BI33" i="5"/>
  <c r="BK33" i="5" s="1"/>
  <c r="C33" i="5"/>
  <c r="I33" i="5"/>
  <c r="BI47" i="3" l="1"/>
  <c r="BK47" i="3" s="1"/>
  <c r="H47" i="3"/>
  <c r="C47" i="3"/>
  <c r="AQ47" i="3"/>
  <c r="AS47" i="3" s="1"/>
  <c r="I48" i="3"/>
  <c r="AF47" i="3"/>
  <c r="M46" i="3"/>
  <c r="K33" i="5"/>
  <c r="M33" i="5" s="1"/>
  <c r="E33" i="5"/>
  <c r="AH33" i="5"/>
  <c r="AC33" i="5"/>
  <c r="AE33" i="5" s="1"/>
  <c r="F34" i="5"/>
  <c r="AH47" i="3" l="1"/>
  <c r="F48" i="3"/>
  <c r="AC47" i="3"/>
  <c r="AE47" i="3" s="1"/>
  <c r="E47" i="3"/>
  <c r="K47" i="3"/>
  <c r="AF34" i="5"/>
  <c r="BI34" i="5"/>
  <c r="BK34" i="5" s="1"/>
  <c r="C34" i="5"/>
  <c r="H34" i="5"/>
  <c r="I34" i="5"/>
  <c r="M47" i="3" l="1"/>
  <c r="AQ48" i="3"/>
  <c r="AS48" i="3" s="1"/>
  <c r="C48" i="3"/>
  <c r="I50" i="3"/>
  <c r="BI48" i="3"/>
  <c r="BK48" i="3" s="1"/>
  <c r="H48" i="3"/>
  <c r="F49" i="3"/>
  <c r="AF48" i="3"/>
  <c r="F35" i="5"/>
  <c r="AC34" i="5"/>
  <c r="AE34" i="5" s="1"/>
  <c r="AH34" i="5"/>
  <c r="AQ34" i="5"/>
  <c r="AS34" i="5" s="1"/>
  <c r="E34" i="5"/>
  <c r="K34" i="5"/>
  <c r="E48" i="3" l="1"/>
  <c r="K48" i="3"/>
  <c r="C49" i="3"/>
  <c r="H49" i="3"/>
  <c r="AQ49" i="3"/>
  <c r="AS49" i="3" s="1"/>
  <c r="BI49" i="3"/>
  <c r="BK49" i="3" s="1"/>
  <c r="I55" i="3"/>
  <c r="I49" i="3"/>
  <c r="W49" i="3"/>
  <c r="AF49" i="3"/>
  <c r="AC48" i="3"/>
  <c r="AE48" i="3" s="1"/>
  <c r="AH48" i="3"/>
  <c r="M34" i="5"/>
  <c r="AF35" i="5"/>
  <c r="AQ35" i="5" s="1"/>
  <c r="AS35" i="5" s="1"/>
  <c r="BI35" i="5"/>
  <c r="BK35" i="5" s="1"/>
  <c r="H35" i="5"/>
  <c r="C35" i="5"/>
  <c r="I35" i="5"/>
  <c r="F50" i="3" l="1"/>
  <c r="AF50" i="3" s="1"/>
  <c r="AC49" i="3"/>
  <c r="AE49" i="3" s="1"/>
  <c r="AH49" i="3"/>
  <c r="E49" i="3"/>
  <c r="Q49" i="3"/>
  <c r="Y49" i="3"/>
  <c r="M48" i="3"/>
  <c r="K49" i="3"/>
  <c r="K35" i="5"/>
  <c r="E35" i="5"/>
  <c r="F36" i="5"/>
  <c r="AH35" i="5"/>
  <c r="AC35" i="5"/>
  <c r="AE35" i="5" s="1"/>
  <c r="AC50" i="3" l="1"/>
  <c r="AE50" i="3" s="1"/>
  <c r="AH50" i="3"/>
  <c r="F51" i="3"/>
  <c r="Z49" i="3"/>
  <c r="AB49" i="3" s="1"/>
  <c r="S49" i="3"/>
  <c r="N49" i="3"/>
  <c r="M49" i="3"/>
  <c r="I51" i="3"/>
  <c r="H50" i="3"/>
  <c r="C50" i="3"/>
  <c r="BI50" i="3"/>
  <c r="BK50" i="3" s="1"/>
  <c r="AQ50" i="3"/>
  <c r="AS50" i="3" s="1"/>
  <c r="F37" i="5"/>
  <c r="W37" i="5" s="1"/>
  <c r="Y37" i="5" s="1"/>
  <c r="H36" i="5"/>
  <c r="BI36" i="5"/>
  <c r="BK36" i="5" s="1"/>
  <c r="C36" i="5"/>
  <c r="I36" i="5"/>
  <c r="AF36" i="5"/>
  <c r="AQ36" i="5" s="1"/>
  <c r="AS36" i="5" s="1"/>
  <c r="M35" i="5"/>
  <c r="E50" i="3" l="1"/>
  <c r="K50" i="3"/>
  <c r="BI51" i="3"/>
  <c r="BK51" i="3" s="1"/>
  <c r="H51" i="3"/>
  <c r="C51" i="3"/>
  <c r="I52" i="3"/>
  <c r="AQ51" i="3"/>
  <c r="AS51" i="3" s="1"/>
  <c r="P49" i="3"/>
  <c r="T49" i="3"/>
  <c r="V49" i="3" s="1"/>
  <c r="AF51" i="3"/>
  <c r="I37" i="5"/>
  <c r="BI37" i="5"/>
  <c r="BK37" i="5" s="1"/>
  <c r="H37" i="5"/>
  <c r="AC36" i="5"/>
  <c r="AE36" i="5" s="1"/>
  <c r="AF37" i="5"/>
  <c r="AH36" i="5"/>
  <c r="C37" i="5"/>
  <c r="E36" i="5"/>
  <c r="K36" i="5"/>
  <c r="AH51" i="3" l="1"/>
  <c r="AC51" i="3"/>
  <c r="AE51" i="3" s="1"/>
  <c r="F52" i="3"/>
  <c r="AF52" i="3" s="1"/>
  <c r="M50" i="3"/>
  <c r="K51" i="3"/>
  <c r="M51" i="3" s="1"/>
  <c r="E51" i="3"/>
  <c r="M36" i="5"/>
  <c r="K37" i="5"/>
  <c r="E37" i="5"/>
  <c r="Q37" i="5"/>
  <c r="Z37" i="5" s="1"/>
  <c r="AC37" i="5"/>
  <c r="AE37" i="5" s="1"/>
  <c r="F38" i="5"/>
  <c r="AF38" i="5" s="1"/>
  <c r="AH37" i="5"/>
  <c r="AQ37" i="5"/>
  <c r="AS37" i="5" s="1"/>
  <c r="I53" i="3" l="1"/>
  <c r="AQ52" i="3"/>
  <c r="AS52" i="3" s="1"/>
  <c r="C52" i="3"/>
  <c r="H52" i="3"/>
  <c r="BI52" i="3"/>
  <c r="BK52" i="3" s="1"/>
  <c r="AC52" i="3"/>
  <c r="AE52" i="3" s="1"/>
  <c r="AH52" i="3"/>
  <c r="F53" i="3"/>
  <c r="AB37" i="5"/>
  <c r="S37" i="5"/>
  <c r="H38" i="5"/>
  <c r="BI38" i="5"/>
  <c r="BK38" i="5" s="1"/>
  <c r="AQ38" i="5"/>
  <c r="AS38" i="5" s="1"/>
  <c r="C38" i="5"/>
  <c r="I38" i="5"/>
  <c r="M37" i="5"/>
  <c r="N37" i="5"/>
  <c r="AH38" i="5"/>
  <c r="F39" i="5"/>
  <c r="I39" i="5" s="1"/>
  <c r="AC38" i="5"/>
  <c r="AE38" i="5" s="1"/>
  <c r="I54" i="3" l="1"/>
  <c r="H53" i="3"/>
  <c r="BI53" i="3"/>
  <c r="BK53" i="3" s="1"/>
  <c r="AQ53" i="3"/>
  <c r="AS53" i="3" s="1"/>
  <c r="C53" i="3"/>
  <c r="E52" i="3"/>
  <c r="K52" i="3"/>
  <c r="AF53" i="3"/>
  <c r="P37" i="5"/>
  <c r="T37" i="5"/>
  <c r="V37" i="5" s="1"/>
  <c r="E38" i="5"/>
  <c r="K38" i="5"/>
  <c r="AF39" i="5"/>
  <c r="AQ39" i="5" s="1"/>
  <c r="AS39" i="5" s="1"/>
  <c r="C39" i="5"/>
  <c r="BI39" i="5"/>
  <c r="BK39" i="5" s="1"/>
  <c r="H39" i="5"/>
  <c r="K53" i="3" l="1"/>
  <c r="M53" i="3" s="1"/>
  <c r="E53" i="3"/>
  <c r="M52" i="3"/>
  <c r="AC53" i="3"/>
  <c r="AE53" i="3" s="1"/>
  <c r="AH53" i="3"/>
  <c r="F54" i="3"/>
  <c r="M38" i="5"/>
  <c r="K39" i="5"/>
  <c r="M39" i="5" s="1"/>
  <c r="E39" i="5"/>
  <c r="AH39" i="5"/>
  <c r="F40" i="5"/>
  <c r="AC39" i="5"/>
  <c r="AE39" i="5" s="1"/>
  <c r="H54" i="3" l="1"/>
  <c r="I56" i="3"/>
  <c r="AQ54" i="3"/>
  <c r="AS54" i="3" s="1"/>
  <c r="C54" i="3"/>
  <c r="BI54" i="3"/>
  <c r="BK54" i="3" s="1"/>
  <c r="F55" i="3"/>
  <c r="AF54" i="3"/>
  <c r="AF40" i="5"/>
  <c r="AQ40" i="5" s="1"/>
  <c r="AS40" i="5" s="1"/>
  <c r="H40" i="5"/>
  <c r="BI40" i="5"/>
  <c r="BK40" i="5" s="1"/>
  <c r="C40" i="5"/>
  <c r="I40" i="5"/>
  <c r="AF55" i="3" l="1"/>
  <c r="AC54" i="3"/>
  <c r="AE54" i="3" s="1"/>
  <c r="AH54" i="3"/>
  <c r="AQ55" i="3"/>
  <c r="AS55" i="3" s="1"/>
  <c r="H55" i="3"/>
  <c r="I60" i="3"/>
  <c r="BI55" i="3"/>
  <c r="BK55" i="3" s="1"/>
  <c r="W55" i="3"/>
  <c r="E54" i="3"/>
  <c r="K54" i="3"/>
  <c r="C55" i="3"/>
  <c r="E40" i="5"/>
  <c r="K40" i="5"/>
  <c r="AH40" i="5"/>
  <c r="AC40" i="5"/>
  <c r="AE40" i="5" s="1"/>
  <c r="F41" i="5"/>
  <c r="Q55" i="3" l="1"/>
  <c r="E55" i="3"/>
  <c r="M54" i="3"/>
  <c r="K55" i="3"/>
  <c r="Y55" i="3"/>
  <c r="AH55" i="3"/>
  <c r="AC55" i="3"/>
  <c r="AE55" i="3" s="1"/>
  <c r="F56" i="3"/>
  <c r="AF41" i="5"/>
  <c r="AQ41" i="5" s="1"/>
  <c r="AS41" i="5" s="1"/>
  <c r="BI41" i="5"/>
  <c r="BK41" i="5" s="1"/>
  <c r="C41" i="5"/>
  <c r="H41" i="5"/>
  <c r="I41" i="5"/>
  <c r="F42" i="5"/>
  <c r="M40" i="5"/>
  <c r="BI56" i="3" l="1"/>
  <c r="BK56" i="3" s="1"/>
  <c r="H56" i="3"/>
  <c r="AQ56" i="3"/>
  <c r="AS56" i="3" s="1"/>
  <c r="I57" i="3"/>
  <c r="C56" i="3"/>
  <c r="N55" i="3"/>
  <c r="M55" i="3"/>
  <c r="AF56" i="3"/>
  <c r="S55" i="3"/>
  <c r="Z55" i="3"/>
  <c r="AB55" i="3" s="1"/>
  <c r="I42" i="5"/>
  <c r="BI42" i="5"/>
  <c r="BK42" i="5" s="1"/>
  <c r="H42" i="5"/>
  <c r="F43" i="5"/>
  <c r="W42" i="5"/>
  <c r="E41" i="5"/>
  <c r="K41" i="5"/>
  <c r="C42" i="5"/>
  <c r="AC41" i="5"/>
  <c r="AE41" i="5" s="1"/>
  <c r="AF42" i="5"/>
  <c r="AQ42" i="5" s="1"/>
  <c r="AS42" i="5" s="1"/>
  <c r="AH41" i="5"/>
  <c r="P55" i="3" l="1"/>
  <c r="T55" i="3"/>
  <c r="V55" i="3" s="1"/>
  <c r="K56" i="3"/>
  <c r="E56" i="3"/>
  <c r="AH56" i="3"/>
  <c r="F57" i="3"/>
  <c r="AC56" i="3"/>
  <c r="AE56" i="3" s="1"/>
  <c r="I43" i="5"/>
  <c r="BI43" i="5"/>
  <c r="BK43" i="5" s="1"/>
  <c r="H43" i="5"/>
  <c r="AH42" i="5"/>
  <c r="AF43" i="5"/>
  <c r="AQ43" i="5" s="1"/>
  <c r="AS43" i="5" s="1"/>
  <c r="AC42" i="5"/>
  <c r="AE42" i="5" s="1"/>
  <c r="M41" i="5"/>
  <c r="K42" i="5"/>
  <c r="Y42" i="5"/>
  <c r="W43" i="5"/>
  <c r="Y43" i="5" s="1"/>
  <c r="E42" i="5"/>
  <c r="Q42" i="5"/>
  <c r="Z42" i="5" s="1"/>
  <c r="C43" i="5"/>
  <c r="AQ57" i="3" l="1"/>
  <c r="AS57" i="3" s="1"/>
  <c r="C57" i="3"/>
  <c r="BI57" i="3"/>
  <c r="BK57" i="3" s="1"/>
  <c r="H57" i="3"/>
  <c r="I58" i="3"/>
  <c r="M56" i="3"/>
  <c r="AF57" i="3"/>
  <c r="K43" i="5"/>
  <c r="M42" i="5"/>
  <c r="N42" i="5"/>
  <c r="E43" i="5"/>
  <c r="Q43" i="5"/>
  <c r="Z43" i="5" s="1"/>
  <c r="S42" i="5"/>
  <c r="AB42" i="5"/>
  <c r="AH43" i="5"/>
  <c r="F44" i="5"/>
  <c r="AF44" i="5" s="1"/>
  <c r="AC43" i="5"/>
  <c r="AE43" i="5" s="1"/>
  <c r="E57" i="3" l="1"/>
  <c r="K57" i="3"/>
  <c r="AC57" i="3"/>
  <c r="AE57" i="3" s="1"/>
  <c r="F58" i="3"/>
  <c r="AH57" i="3"/>
  <c r="AQ44" i="5"/>
  <c r="AS44" i="5" s="1"/>
  <c r="AH44" i="5"/>
  <c r="AC44" i="5"/>
  <c r="AE44" i="5" s="1"/>
  <c r="F45" i="5"/>
  <c r="I45" i="5" s="1"/>
  <c r="I44" i="5"/>
  <c r="H44" i="5"/>
  <c r="BI44" i="5"/>
  <c r="BK44" i="5" s="1"/>
  <c r="C44" i="5"/>
  <c r="S43" i="5"/>
  <c r="AB43" i="5"/>
  <c r="P42" i="5"/>
  <c r="T42" i="5"/>
  <c r="V42" i="5" s="1"/>
  <c r="M43" i="5"/>
  <c r="N43" i="5"/>
  <c r="H58" i="3" l="1"/>
  <c r="I59" i="3"/>
  <c r="AQ58" i="3"/>
  <c r="AS58" i="3" s="1"/>
  <c r="C58" i="3"/>
  <c r="BI58" i="3"/>
  <c r="BK58" i="3" s="1"/>
  <c r="AF58" i="3"/>
  <c r="M57" i="3"/>
  <c r="AF45" i="5"/>
  <c r="F46" i="5" s="1"/>
  <c r="I46" i="5" s="1"/>
  <c r="P43" i="5"/>
  <c r="T43" i="5"/>
  <c r="V43" i="5" s="1"/>
  <c r="E44" i="5"/>
  <c r="K44" i="5"/>
  <c r="H45" i="5"/>
  <c r="C45" i="5"/>
  <c r="BI45" i="5"/>
  <c r="BK45" i="5" s="1"/>
  <c r="E58" i="3" l="1"/>
  <c r="K58" i="3"/>
  <c r="AH58" i="3"/>
  <c r="AC58" i="3"/>
  <c r="AE58" i="3" s="1"/>
  <c r="F59" i="3"/>
  <c r="AQ45" i="5"/>
  <c r="AS45" i="5" s="1"/>
  <c r="AH45" i="5"/>
  <c r="AC45" i="5"/>
  <c r="AE45" i="5" s="1"/>
  <c r="M44" i="5"/>
  <c r="E45" i="5"/>
  <c r="K45" i="5"/>
  <c r="M45" i="5" s="1"/>
  <c r="AF46" i="5"/>
  <c r="AQ46" i="5" s="1"/>
  <c r="AS46" i="5" s="1"/>
  <c r="BI46" i="5"/>
  <c r="BK46" i="5" s="1"/>
  <c r="H46" i="5"/>
  <c r="C46" i="5"/>
  <c r="I62" i="3" l="1"/>
  <c r="AQ59" i="3"/>
  <c r="AS59" i="3" s="1"/>
  <c r="C59" i="3"/>
  <c r="H59" i="3"/>
  <c r="BI59" i="3"/>
  <c r="BK59" i="3" s="1"/>
  <c r="F60" i="3"/>
  <c r="AF59" i="3"/>
  <c r="M58" i="3"/>
  <c r="AH46" i="5"/>
  <c r="AC46" i="5"/>
  <c r="AE46" i="5" s="1"/>
  <c r="F47" i="5"/>
  <c r="AF47" i="5" s="1"/>
  <c r="E46" i="5"/>
  <c r="K46" i="5"/>
  <c r="M46" i="5" s="1"/>
  <c r="AF60" i="3" l="1"/>
  <c r="AC59" i="3"/>
  <c r="AE59" i="3" s="1"/>
  <c r="AH59" i="3"/>
  <c r="K59" i="3"/>
  <c r="E59" i="3"/>
  <c r="C60" i="3"/>
  <c r="BI60" i="3"/>
  <c r="BK60" i="3" s="1"/>
  <c r="H60" i="3"/>
  <c r="AQ60" i="3"/>
  <c r="AS60" i="3" s="1"/>
  <c r="I66" i="3"/>
  <c r="F61" i="3"/>
  <c r="W60" i="3"/>
  <c r="AQ47" i="5"/>
  <c r="AS47" i="5" s="1"/>
  <c r="AH47" i="5"/>
  <c r="AF48" i="5"/>
  <c r="AC47" i="5"/>
  <c r="AE47" i="5" s="1"/>
  <c r="I47" i="5"/>
  <c r="H47" i="5"/>
  <c r="BI47" i="5"/>
  <c r="BK47" i="5" s="1"/>
  <c r="C47" i="5"/>
  <c r="F48" i="5"/>
  <c r="W48" i="5" s="1"/>
  <c r="Y48" i="5" s="1"/>
  <c r="E60" i="3" l="1"/>
  <c r="Q60" i="3"/>
  <c r="C61" i="3"/>
  <c r="Y60" i="3"/>
  <c r="W61" i="3"/>
  <c r="M59" i="3"/>
  <c r="K60" i="3"/>
  <c r="BI61" i="3"/>
  <c r="BK61" i="3" s="1"/>
  <c r="AQ61" i="3"/>
  <c r="AS61" i="3" s="1"/>
  <c r="I77" i="3"/>
  <c r="I78" i="3"/>
  <c r="H61" i="3"/>
  <c r="I61" i="3"/>
  <c r="AC60" i="3"/>
  <c r="AE60" i="3" s="1"/>
  <c r="AF61" i="3"/>
  <c r="AH60" i="3"/>
  <c r="E47" i="5"/>
  <c r="K47" i="5"/>
  <c r="C48" i="5"/>
  <c r="I48" i="5"/>
  <c r="BI48" i="5"/>
  <c r="BK48" i="5" s="1"/>
  <c r="H48" i="5"/>
  <c r="AQ48" i="5"/>
  <c r="AS48" i="5" s="1"/>
  <c r="AH48" i="5"/>
  <c r="AC48" i="5"/>
  <c r="AE48" i="5" s="1"/>
  <c r="F49" i="5"/>
  <c r="AF49" i="5" s="1"/>
  <c r="N60" i="3" l="1"/>
  <c r="M60" i="3"/>
  <c r="K61" i="3"/>
  <c r="S60" i="3"/>
  <c r="Z60" i="3"/>
  <c r="AB60" i="3" s="1"/>
  <c r="Y61" i="3"/>
  <c r="E61" i="3"/>
  <c r="Q61" i="3"/>
  <c r="AC61" i="3"/>
  <c r="AE61" i="3" s="1"/>
  <c r="F62" i="3"/>
  <c r="AF62" i="3" s="1"/>
  <c r="AH61" i="3"/>
  <c r="Q48" i="5"/>
  <c r="Z48" i="5" s="1"/>
  <c r="E48" i="5"/>
  <c r="M47" i="5"/>
  <c r="K48" i="5"/>
  <c r="AH49" i="5"/>
  <c r="F50" i="5"/>
  <c r="AF50" i="5" s="1"/>
  <c r="AC49" i="5"/>
  <c r="AE49" i="5" s="1"/>
  <c r="AQ49" i="5"/>
  <c r="AS49" i="5" s="1"/>
  <c r="C49" i="5"/>
  <c r="H49" i="5"/>
  <c r="BI49" i="5"/>
  <c r="BK49" i="5" s="1"/>
  <c r="I49" i="5"/>
  <c r="AH62" i="3" l="1"/>
  <c r="F63" i="3"/>
  <c r="AF63" i="3" s="1"/>
  <c r="AC62" i="3"/>
  <c r="AE62" i="3" s="1"/>
  <c r="S61" i="3"/>
  <c r="Z61" i="3"/>
  <c r="AB61" i="3" s="1"/>
  <c r="BI62" i="3"/>
  <c r="BK62" i="3" s="1"/>
  <c r="H62" i="3"/>
  <c r="AQ62" i="3"/>
  <c r="AS62" i="3" s="1"/>
  <c r="I63" i="3"/>
  <c r="C62" i="3"/>
  <c r="M61" i="3"/>
  <c r="N61" i="3"/>
  <c r="P60" i="3"/>
  <c r="T60" i="3"/>
  <c r="V60" i="3" s="1"/>
  <c r="S48" i="5"/>
  <c r="AB48" i="5"/>
  <c r="I50" i="5"/>
  <c r="C50" i="5"/>
  <c r="H50" i="5"/>
  <c r="BI50" i="5"/>
  <c r="BK50" i="5" s="1"/>
  <c r="AQ50" i="5"/>
  <c r="AS50" i="5" s="1"/>
  <c r="AC50" i="5"/>
  <c r="AE50" i="5" s="1"/>
  <c r="F51" i="5"/>
  <c r="AH50" i="5"/>
  <c r="M48" i="5"/>
  <c r="N48" i="5"/>
  <c r="K49" i="5"/>
  <c r="E49" i="5"/>
  <c r="P61" i="3" l="1"/>
  <c r="T61" i="3"/>
  <c r="V61" i="3" s="1"/>
  <c r="AQ63" i="3"/>
  <c r="AS63" i="3" s="1"/>
  <c r="C63" i="3"/>
  <c r="I64" i="3"/>
  <c r="BI63" i="3"/>
  <c r="BK63" i="3" s="1"/>
  <c r="H63" i="3"/>
  <c r="K62" i="3"/>
  <c r="E62" i="3"/>
  <c r="AC63" i="3"/>
  <c r="AE63" i="3" s="1"/>
  <c r="F64" i="3"/>
  <c r="AF64" i="3" s="1"/>
  <c r="AH63" i="3"/>
  <c r="I51" i="5"/>
  <c r="H51" i="5"/>
  <c r="BI51" i="5"/>
  <c r="BK51" i="5" s="1"/>
  <c r="C51" i="5"/>
  <c r="M49" i="5"/>
  <c r="P48" i="5"/>
  <c r="T48" i="5"/>
  <c r="V48" i="5" s="1"/>
  <c r="E50" i="5"/>
  <c r="K50" i="5"/>
  <c r="M50" i="5" s="1"/>
  <c r="AF51" i="5"/>
  <c r="F65" i="3" l="1"/>
  <c r="F66" i="3" s="1"/>
  <c r="AC64" i="3"/>
  <c r="AE64" i="3" s="1"/>
  <c r="AH64" i="3"/>
  <c r="M62" i="3"/>
  <c r="K63" i="3"/>
  <c r="M63" i="3" s="1"/>
  <c r="E63" i="3"/>
  <c r="BI64" i="3"/>
  <c r="BK64" i="3" s="1"/>
  <c r="H64" i="3"/>
  <c r="I65" i="3"/>
  <c r="C64" i="3"/>
  <c r="AQ64" i="3"/>
  <c r="AS64" i="3" s="1"/>
  <c r="AQ51" i="5"/>
  <c r="AS51" i="5" s="1"/>
  <c r="F52" i="5"/>
  <c r="AF52" i="5" s="1"/>
  <c r="AC51" i="5"/>
  <c r="AE51" i="5" s="1"/>
  <c r="AH51" i="5"/>
  <c r="E51" i="5"/>
  <c r="K51" i="5"/>
  <c r="I72" i="3" l="1"/>
  <c r="AQ66" i="3"/>
  <c r="AS66" i="3" s="1"/>
  <c r="H66" i="3"/>
  <c r="BI66" i="3"/>
  <c r="BK66" i="3" s="1"/>
  <c r="W66" i="3"/>
  <c r="AQ65" i="3"/>
  <c r="AS65" i="3" s="1"/>
  <c r="C65" i="3"/>
  <c r="C66" i="3" s="1"/>
  <c r="BI65" i="3"/>
  <c r="BK65" i="3" s="1"/>
  <c r="I67" i="3"/>
  <c r="H65" i="3"/>
  <c r="K64" i="3"/>
  <c r="M64" i="3" s="1"/>
  <c r="E64" i="3"/>
  <c r="AF65" i="3"/>
  <c r="M51" i="5"/>
  <c r="AQ52" i="5"/>
  <c r="AS52" i="5" s="1"/>
  <c r="BI52" i="5"/>
  <c r="BK52" i="5" s="1"/>
  <c r="C52" i="5"/>
  <c r="H52" i="5"/>
  <c r="I52" i="5"/>
  <c r="AC52" i="5"/>
  <c r="AE52" i="5" s="1"/>
  <c r="AH52" i="5"/>
  <c r="F53" i="5"/>
  <c r="I53" i="5" s="1"/>
  <c r="AH65" i="3" l="1"/>
  <c r="AF66" i="3"/>
  <c r="AC65" i="3"/>
  <c r="AE65" i="3" s="1"/>
  <c r="Y66" i="3"/>
  <c r="E66" i="3"/>
  <c r="Q66" i="3"/>
  <c r="K65" i="3"/>
  <c r="E65" i="3"/>
  <c r="AF53" i="5"/>
  <c r="AQ53" i="5" s="1"/>
  <c r="AS53" i="5" s="1"/>
  <c r="F54" i="5"/>
  <c r="W54" i="5" s="1"/>
  <c r="BI53" i="5"/>
  <c r="BK53" i="5" s="1"/>
  <c r="H53" i="5"/>
  <c r="C53" i="5"/>
  <c r="C54" i="5" s="1"/>
  <c r="E52" i="5"/>
  <c r="K52" i="5"/>
  <c r="F67" i="3" l="1"/>
  <c r="AF67" i="3" s="1"/>
  <c r="AC66" i="3"/>
  <c r="AE66" i="3" s="1"/>
  <c r="AH66" i="3"/>
  <c r="M65" i="3"/>
  <c r="K66" i="3"/>
  <c r="S66" i="3"/>
  <c r="Z66" i="3"/>
  <c r="AB66" i="3" s="1"/>
  <c r="AH53" i="5"/>
  <c r="AC53" i="5"/>
  <c r="AE53" i="5" s="1"/>
  <c r="AF54" i="5"/>
  <c r="AC54" i="5" s="1"/>
  <c r="AE54" i="5" s="1"/>
  <c r="Q54" i="5"/>
  <c r="Z54" i="5" s="1"/>
  <c r="E54" i="5"/>
  <c r="Y54" i="5"/>
  <c r="M52" i="5"/>
  <c r="K53" i="5"/>
  <c r="M53" i="5" s="1"/>
  <c r="E53" i="5"/>
  <c r="I54" i="5"/>
  <c r="H54" i="5"/>
  <c r="BI54" i="5"/>
  <c r="BK54" i="5" s="1"/>
  <c r="N66" i="3" l="1"/>
  <c r="M66" i="3"/>
  <c r="AC67" i="3"/>
  <c r="AE67" i="3" s="1"/>
  <c r="F68" i="3"/>
  <c r="AH67" i="3"/>
  <c r="I68" i="3"/>
  <c r="AQ67" i="3"/>
  <c r="AS67" i="3" s="1"/>
  <c r="C67" i="3"/>
  <c r="H67" i="3"/>
  <c r="BI67" i="3"/>
  <c r="BK67" i="3" s="1"/>
  <c r="AQ54" i="5"/>
  <c r="AS54" i="5" s="1"/>
  <c r="AH54" i="5"/>
  <c r="F55" i="5"/>
  <c r="AF55" i="5" s="1"/>
  <c r="F56" i="5" s="1"/>
  <c r="AF56" i="5" s="1"/>
  <c r="K54" i="5"/>
  <c r="M54" i="5" s="1"/>
  <c r="AB54" i="5"/>
  <c r="S54" i="5"/>
  <c r="AF68" i="3" l="1"/>
  <c r="E67" i="3"/>
  <c r="K67" i="3"/>
  <c r="I69" i="3"/>
  <c r="AQ68" i="3"/>
  <c r="AS68" i="3" s="1"/>
  <c r="H68" i="3"/>
  <c r="C68" i="3"/>
  <c r="BI68" i="3"/>
  <c r="BK68" i="3" s="1"/>
  <c r="P66" i="3"/>
  <c r="T66" i="3"/>
  <c r="V66" i="3" s="1"/>
  <c r="AH55" i="5"/>
  <c r="AQ55" i="5"/>
  <c r="AS55" i="5" s="1"/>
  <c r="BI55" i="5"/>
  <c r="BK55" i="5" s="1"/>
  <c r="C55" i="5"/>
  <c r="E55" i="5" s="1"/>
  <c r="H55" i="5"/>
  <c r="AC55" i="5"/>
  <c r="AE55" i="5" s="1"/>
  <c r="I55" i="5"/>
  <c r="N54" i="5"/>
  <c r="P54" i="5" s="1"/>
  <c r="AH56" i="5"/>
  <c r="AC56" i="5"/>
  <c r="AE56" i="5" s="1"/>
  <c r="F57" i="5"/>
  <c r="I57" i="5" s="1"/>
  <c r="I56" i="5"/>
  <c r="H56" i="5"/>
  <c r="AQ56" i="5"/>
  <c r="AS56" i="5" s="1"/>
  <c r="C56" i="5"/>
  <c r="BI56" i="5"/>
  <c r="BK56" i="5" s="1"/>
  <c r="AH68" i="3" l="1"/>
  <c r="F69" i="3"/>
  <c r="AF69" i="3" s="1"/>
  <c r="AC68" i="3"/>
  <c r="AE68" i="3" s="1"/>
  <c r="M67" i="3"/>
  <c r="E68" i="3"/>
  <c r="K68" i="3"/>
  <c r="M68" i="3" s="1"/>
  <c r="K55" i="5"/>
  <c r="M55" i="5" s="1"/>
  <c r="AF57" i="5"/>
  <c r="AQ57" i="5" s="1"/>
  <c r="AS57" i="5" s="1"/>
  <c r="T54" i="5"/>
  <c r="V54" i="5" s="1"/>
  <c r="C57" i="5"/>
  <c r="BI57" i="5"/>
  <c r="BK57" i="5" s="1"/>
  <c r="H57" i="5"/>
  <c r="K56" i="5"/>
  <c r="M56" i="5" s="1"/>
  <c r="E56" i="5"/>
  <c r="H69" i="3" l="1"/>
  <c r="I70" i="3"/>
  <c r="AQ69" i="3"/>
  <c r="AS69" i="3" s="1"/>
  <c r="BI69" i="3"/>
  <c r="BK69" i="3" s="1"/>
  <c r="C69" i="3"/>
  <c r="AH69" i="3"/>
  <c r="F70" i="3"/>
  <c r="AC69" i="3"/>
  <c r="AE69" i="3" s="1"/>
  <c r="F58" i="5"/>
  <c r="C58" i="5" s="1"/>
  <c r="C59" i="5" s="1"/>
  <c r="AC57" i="5"/>
  <c r="AE57" i="5" s="1"/>
  <c r="AH57" i="5"/>
  <c r="E57" i="5"/>
  <c r="K57" i="5"/>
  <c r="M57" i="5" s="1"/>
  <c r="E69" i="3" l="1"/>
  <c r="K69" i="3"/>
  <c r="BI70" i="3"/>
  <c r="BK70" i="3" s="1"/>
  <c r="H70" i="3"/>
  <c r="AQ70" i="3"/>
  <c r="AS70" i="3" s="1"/>
  <c r="I71" i="3"/>
  <c r="C70" i="3"/>
  <c r="AF70" i="3"/>
  <c r="AF58" i="5"/>
  <c r="AH58" i="5" s="1"/>
  <c r="BI58" i="5"/>
  <c r="BK58" i="5" s="1"/>
  <c r="H58" i="5"/>
  <c r="F59" i="5"/>
  <c r="W59" i="5" s="1"/>
  <c r="I58" i="5"/>
  <c r="E59" i="5"/>
  <c r="C60" i="5"/>
  <c r="E58" i="5"/>
  <c r="K58" i="5"/>
  <c r="E70" i="3" l="1"/>
  <c r="K70" i="3"/>
  <c r="M70" i="3" s="1"/>
  <c r="M69" i="3"/>
  <c r="AC70" i="3"/>
  <c r="AE70" i="3" s="1"/>
  <c r="F71" i="3"/>
  <c r="AH70" i="3"/>
  <c r="AF59" i="5"/>
  <c r="AH59" i="5" s="1"/>
  <c r="AQ58" i="5"/>
  <c r="AS58" i="5" s="1"/>
  <c r="AC58" i="5"/>
  <c r="AE58" i="5" s="1"/>
  <c r="Y59" i="5"/>
  <c r="F60" i="5"/>
  <c r="W60" i="5" s="1"/>
  <c r="Y60" i="5" s="1"/>
  <c r="H59" i="5"/>
  <c r="I59" i="5"/>
  <c r="Q59" i="5"/>
  <c r="Z59" i="5" s="1"/>
  <c r="BI59" i="5"/>
  <c r="BK59" i="5" s="1"/>
  <c r="E60" i="5"/>
  <c r="M58" i="5"/>
  <c r="K59" i="5"/>
  <c r="H71" i="3" l="1"/>
  <c r="I73" i="3"/>
  <c r="BI71" i="3"/>
  <c r="BK71" i="3" s="1"/>
  <c r="C71" i="3"/>
  <c r="AQ71" i="3"/>
  <c r="AS71" i="3" s="1"/>
  <c r="F72" i="3"/>
  <c r="AF71" i="3"/>
  <c r="AF60" i="5"/>
  <c r="AC60" i="5" s="1"/>
  <c r="AE60" i="5" s="1"/>
  <c r="S59" i="5"/>
  <c r="AB59" i="5"/>
  <c r="I60" i="5"/>
  <c r="AQ59" i="5"/>
  <c r="AS59" i="5" s="1"/>
  <c r="AC59" i="5"/>
  <c r="AE59" i="5" s="1"/>
  <c r="Q60" i="5"/>
  <c r="Z60" i="5" s="1"/>
  <c r="H60" i="5"/>
  <c r="BI60" i="5"/>
  <c r="BK60" i="5" s="1"/>
  <c r="N59" i="5"/>
  <c r="M59" i="5"/>
  <c r="K60" i="5"/>
  <c r="AQ72" i="3" l="1"/>
  <c r="AS72" i="3" s="1"/>
  <c r="BI72" i="3"/>
  <c r="BK72" i="3" s="1"/>
  <c r="H72" i="3"/>
  <c r="W72" i="3"/>
  <c r="AH71" i="3"/>
  <c r="AF72" i="3"/>
  <c r="AC71" i="3"/>
  <c r="AE71" i="3" s="1"/>
  <c r="E71" i="3"/>
  <c r="K71" i="3"/>
  <c r="C72" i="3"/>
  <c r="F61" i="5"/>
  <c r="BI61" i="5" s="1"/>
  <c r="BK61" i="5" s="1"/>
  <c r="AH60" i="5"/>
  <c r="AQ60" i="5"/>
  <c r="AS60" i="5" s="1"/>
  <c r="AB60" i="5"/>
  <c r="S60" i="5"/>
  <c r="P59" i="5"/>
  <c r="T59" i="5"/>
  <c r="V59" i="5" s="1"/>
  <c r="M60" i="5"/>
  <c r="N60" i="5"/>
  <c r="AC72" i="3" l="1"/>
  <c r="AE72" i="3" s="1"/>
  <c r="AH72" i="3"/>
  <c r="F73" i="3"/>
  <c r="E72" i="3"/>
  <c r="Q72" i="3"/>
  <c r="Y72" i="3"/>
  <c r="M71" i="3"/>
  <c r="K72" i="3"/>
  <c r="I61" i="5"/>
  <c r="AF61" i="5"/>
  <c r="AC61" i="5" s="1"/>
  <c r="AE61" i="5" s="1"/>
  <c r="C61" i="5"/>
  <c r="K61" i="5" s="1"/>
  <c r="M61" i="5" s="1"/>
  <c r="H61" i="5"/>
  <c r="P60" i="5"/>
  <c r="T60" i="5"/>
  <c r="V60" i="5" s="1"/>
  <c r="S72" i="3" l="1"/>
  <c r="Z72" i="3"/>
  <c r="AB72" i="3" s="1"/>
  <c r="BI73" i="3"/>
  <c r="BK73" i="3" s="1"/>
  <c r="AQ73" i="3"/>
  <c r="AS73" i="3" s="1"/>
  <c r="C73" i="3"/>
  <c r="H73" i="3"/>
  <c r="I74" i="3"/>
  <c r="AF73" i="3"/>
  <c r="M72" i="3"/>
  <c r="N72" i="3"/>
  <c r="AQ61" i="5"/>
  <c r="AS61" i="5" s="1"/>
  <c r="F62" i="5"/>
  <c r="AF62" i="5" s="1"/>
  <c r="AQ62" i="5" s="1"/>
  <c r="AS62" i="5" s="1"/>
  <c r="E61" i="5"/>
  <c r="AH61" i="5"/>
  <c r="E73" i="3" l="1"/>
  <c r="K73" i="3"/>
  <c r="P72" i="3"/>
  <c r="T72" i="3"/>
  <c r="V72" i="3" s="1"/>
  <c r="AH73" i="3"/>
  <c r="AC73" i="3"/>
  <c r="AE73" i="3" s="1"/>
  <c r="F74" i="3"/>
  <c r="C62" i="5"/>
  <c r="E62" i="5" s="1"/>
  <c r="I62" i="5"/>
  <c r="BI62" i="5"/>
  <c r="BK62" i="5" s="1"/>
  <c r="H62" i="5"/>
  <c r="F63" i="5"/>
  <c r="AH62" i="5"/>
  <c r="AC62" i="5"/>
  <c r="AE62" i="5" s="1"/>
  <c r="M73" i="3" l="1"/>
  <c r="I75" i="3"/>
  <c r="BI74" i="3"/>
  <c r="BK74" i="3" s="1"/>
  <c r="C74" i="3"/>
  <c r="H74" i="3"/>
  <c r="AQ74" i="3"/>
  <c r="AS74" i="3" s="1"/>
  <c r="AF74" i="3"/>
  <c r="K62" i="5"/>
  <c r="M62" i="5" s="1"/>
  <c r="H63" i="5"/>
  <c r="BI63" i="5"/>
  <c r="BK63" i="5" s="1"/>
  <c r="C63" i="5"/>
  <c r="I63" i="5"/>
  <c r="AF63" i="5"/>
  <c r="E74" i="3" l="1"/>
  <c r="K74" i="3"/>
  <c r="AC74" i="3"/>
  <c r="AE74" i="3" s="1"/>
  <c r="AH74" i="3"/>
  <c r="F75" i="3"/>
  <c r="AF75" i="3" s="1"/>
  <c r="AC63" i="5"/>
  <c r="AE63" i="5" s="1"/>
  <c r="AH63" i="5"/>
  <c r="F64" i="5"/>
  <c r="AQ63" i="5"/>
  <c r="AS63" i="5" s="1"/>
  <c r="E63" i="5"/>
  <c r="K63" i="5"/>
  <c r="M63" i="5" s="1"/>
  <c r="AH75" i="3" l="1"/>
  <c r="AC75" i="3"/>
  <c r="AE75" i="3" s="1"/>
  <c r="F76" i="3"/>
  <c r="M74" i="3"/>
  <c r="BI75" i="3"/>
  <c r="BK75" i="3" s="1"/>
  <c r="H75" i="3"/>
  <c r="C75" i="3"/>
  <c r="AQ75" i="3"/>
  <c r="AS75" i="3" s="1"/>
  <c r="I76" i="3"/>
  <c r="AF64" i="5"/>
  <c r="AQ64" i="5" s="1"/>
  <c r="AS64" i="5" s="1"/>
  <c r="C64" i="5"/>
  <c r="H64" i="5"/>
  <c r="BI64" i="5"/>
  <c r="BK64" i="5" s="1"/>
  <c r="F65" i="5"/>
  <c r="W65" i="5" s="1"/>
  <c r="Y65" i="5" s="1"/>
  <c r="I64" i="5"/>
  <c r="AQ76" i="3" l="1"/>
  <c r="AS76" i="3" s="1"/>
  <c r="C76" i="3"/>
  <c r="C77" i="3" s="1"/>
  <c r="BI76" i="3"/>
  <c r="BK76" i="3" s="1"/>
  <c r="H76" i="3"/>
  <c r="F77" i="3"/>
  <c r="AF76" i="3"/>
  <c r="E75" i="3"/>
  <c r="K75" i="3"/>
  <c r="AF65" i="5"/>
  <c r="AQ65" i="5" s="1"/>
  <c r="AS65" i="5" s="1"/>
  <c r="AC64" i="5"/>
  <c r="AE64" i="5" s="1"/>
  <c r="AH64" i="5"/>
  <c r="I65" i="5"/>
  <c r="H65" i="5"/>
  <c r="BI65" i="5"/>
  <c r="BK65" i="5" s="1"/>
  <c r="K64" i="5"/>
  <c r="E64" i="5"/>
  <c r="C65" i="5"/>
  <c r="M75" i="3" l="1"/>
  <c r="AC76" i="3"/>
  <c r="AE76" i="3" s="1"/>
  <c r="AH76" i="3"/>
  <c r="H77" i="3"/>
  <c r="AQ77" i="3"/>
  <c r="AS77" i="3" s="1"/>
  <c r="BI77" i="3"/>
  <c r="BK77" i="3" s="1"/>
  <c r="F78" i="3"/>
  <c r="W77" i="3"/>
  <c r="E76" i="3"/>
  <c r="K76" i="3"/>
  <c r="M76" i="3" s="1"/>
  <c r="E77" i="3"/>
  <c r="Q77" i="3"/>
  <c r="C78" i="3"/>
  <c r="E65" i="5"/>
  <c r="Q65" i="5"/>
  <c r="Z65" i="5" s="1"/>
  <c r="M64" i="5"/>
  <c r="K65" i="5"/>
  <c r="AC65" i="5"/>
  <c r="AE65" i="5" s="1"/>
  <c r="F66" i="5"/>
  <c r="AH65" i="5"/>
  <c r="H78" i="3" l="1"/>
  <c r="AQ78" i="3"/>
  <c r="AS78" i="3" s="1"/>
  <c r="BI78" i="3"/>
  <c r="BK78" i="3" s="1"/>
  <c r="F79" i="3"/>
  <c r="Z77" i="3"/>
  <c r="AB77" i="3" s="1"/>
  <c r="S77" i="3"/>
  <c r="K77" i="3"/>
  <c r="E78" i="3"/>
  <c r="Q78" i="3"/>
  <c r="C79" i="3"/>
  <c r="Y77" i="3"/>
  <c r="W78" i="3"/>
  <c r="S65" i="5"/>
  <c r="AB65" i="5"/>
  <c r="AF66" i="5"/>
  <c r="AQ66" i="5" s="1"/>
  <c r="AS66" i="5" s="1"/>
  <c r="H66" i="5"/>
  <c r="C66" i="5"/>
  <c r="BI66" i="5"/>
  <c r="BK66" i="5" s="1"/>
  <c r="I66" i="5"/>
  <c r="M65" i="5"/>
  <c r="N65" i="5"/>
  <c r="N77" i="3" l="1"/>
  <c r="M77" i="3"/>
  <c r="K78" i="3"/>
  <c r="Y78" i="3"/>
  <c r="W79" i="3"/>
  <c r="Y79" i="3" s="1"/>
  <c r="E79" i="3"/>
  <c r="Q79" i="3"/>
  <c r="BI79" i="3"/>
  <c r="BK79" i="3" s="1"/>
  <c r="AQ79" i="3"/>
  <c r="AS79" i="3" s="1"/>
  <c r="H79" i="3"/>
  <c r="I79" i="3"/>
  <c r="S78" i="3"/>
  <c r="Z78" i="3"/>
  <c r="AB78" i="3" s="1"/>
  <c r="E66" i="5"/>
  <c r="K66" i="5"/>
  <c r="M66" i="5" s="1"/>
  <c r="AC66" i="5"/>
  <c r="AE66" i="5" s="1"/>
  <c r="F67" i="5"/>
  <c r="AF67" i="5" s="1"/>
  <c r="AH66" i="5"/>
  <c r="P65" i="5"/>
  <c r="T65" i="5"/>
  <c r="V65" i="5" s="1"/>
  <c r="S79" i="3" l="1"/>
  <c r="Z79" i="3"/>
  <c r="AB79" i="3" s="1"/>
  <c r="N78" i="3"/>
  <c r="M78" i="3"/>
  <c r="K79" i="3"/>
  <c r="P77" i="3"/>
  <c r="T77" i="3"/>
  <c r="V77" i="3" s="1"/>
  <c r="F68" i="5"/>
  <c r="AF68" i="5" s="1"/>
  <c r="AC67" i="5"/>
  <c r="AE67" i="5" s="1"/>
  <c r="AH67" i="5"/>
  <c r="I67" i="5"/>
  <c r="BI67" i="5"/>
  <c r="BK67" i="5" s="1"/>
  <c r="C67" i="5"/>
  <c r="H67" i="5"/>
  <c r="AQ67" i="5"/>
  <c r="AS67" i="5" s="1"/>
  <c r="M79" i="3" l="1"/>
  <c r="N79" i="3"/>
  <c r="P79" i="3" s="1"/>
  <c r="T79" i="3"/>
  <c r="V79" i="3" s="1"/>
  <c r="P78" i="3"/>
  <c r="T78" i="3"/>
  <c r="V78" i="3" s="1"/>
  <c r="I68" i="5"/>
  <c r="AQ68" i="5"/>
  <c r="AS68" i="5" s="1"/>
  <c r="AH68" i="5"/>
  <c r="AC68" i="5"/>
  <c r="AE68" i="5" s="1"/>
  <c r="F69" i="5"/>
  <c r="AF69" i="5" s="1"/>
  <c r="K67" i="5"/>
  <c r="M67" i="5" s="1"/>
  <c r="E67" i="5"/>
  <c r="C68" i="5"/>
  <c r="BI68" i="5"/>
  <c r="BK68" i="5" s="1"/>
  <c r="H68" i="5"/>
  <c r="K68" i="5" l="1"/>
  <c r="M68" i="5" s="1"/>
  <c r="E68" i="5"/>
  <c r="AQ69" i="5"/>
  <c r="AS69" i="5" s="1"/>
  <c r="AC69" i="5"/>
  <c r="AE69" i="5" s="1"/>
  <c r="AH69" i="5"/>
  <c r="F70" i="5"/>
  <c r="AF70" i="5" s="1"/>
  <c r="C69" i="5"/>
  <c r="BI69" i="5"/>
  <c r="BK69" i="5" s="1"/>
  <c r="H69" i="5"/>
  <c r="I69" i="5"/>
  <c r="AC70" i="5" l="1"/>
  <c r="AE70" i="5" s="1"/>
  <c r="AH70" i="5"/>
  <c r="AF71" i="5"/>
  <c r="E69" i="5"/>
  <c r="K69" i="5"/>
  <c r="M69" i="5" s="1"/>
  <c r="BI70" i="5"/>
  <c r="BK70" i="5" s="1"/>
  <c r="C70" i="5"/>
  <c r="AQ70" i="5"/>
  <c r="AS70" i="5" s="1"/>
  <c r="H70" i="5"/>
  <c r="F71" i="5"/>
  <c r="I70" i="5"/>
  <c r="W71" i="5" l="1"/>
  <c r="Y71" i="5" s="1"/>
  <c r="E70" i="5"/>
  <c r="K70" i="5"/>
  <c r="C71" i="5"/>
  <c r="H71" i="5"/>
  <c r="AQ71" i="5"/>
  <c r="AS71" i="5" s="1"/>
  <c r="I71" i="5"/>
  <c r="BI71" i="5"/>
  <c r="BK71" i="5" s="1"/>
  <c r="AC71" i="5"/>
  <c r="AE71" i="5" s="1"/>
  <c r="F72" i="5"/>
  <c r="AH71" i="5"/>
  <c r="E71" i="5" l="1"/>
  <c r="Q71" i="5"/>
  <c r="Z71" i="5" s="1"/>
  <c r="M70" i="5"/>
  <c r="K71" i="5"/>
  <c r="AF72" i="5"/>
  <c r="H72" i="5"/>
  <c r="I72" i="5"/>
  <c r="C72" i="5"/>
  <c r="BI72" i="5"/>
  <c r="BK72" i="5" s="1"/>
  <c r="AQ72" i="5" l="1"/>
  <c r="AS72" i="5" s="1"/>
  <c r="AC72" i="5"/>
  <c r="AE72" i="5" s="1"/>
  <c r="F73" i="5"/>
  <c r="AH72" i="5"/>
  <c r="N71" i="5"/>
  <c r="M71" i="5"/>
  <c r="AB71" i="5"/>
  <c r="S71" i="5"/>
  <c r="E72" i="5"/>
  <c r="K72" i="5"/>
  <c r="M72" i="5" s="1"/>
  <c r="T71" i="5" l="1"/>
  <c r="V71" i="5" s="1"/>
  <c r="P71" i="5"/>
  <c r="BI73" i="5"/>
  <c r="BK73" i="5" s="1"/>
  <c r="C73" i="5"/>
  <c r="H73" i="5"/>
  <c r="I73" i="5"/>
  <c r="AF73" i="5"/>
  <c r="AQ73" i="5" l="1"/>
  <c r="AS73" i="5" s="1"/>
  <c r="AC73" i="5"/>
  <c r="AE73" i="5" s="1"/>
  <c r="F74" i="5"/>
  <c r="AH73" i="5"/>
  <c r="E73" i="5"/>
  <c r="K73" i="5"/>
  <c r="M73" i="5" s="1"/>
  <c r="C74" i="5" l="1"/>
  <c r="H74" i="5"/>
  <c r="BI74" i="5"/>
  <c r="BK74" i="5" s="1"/>
  <c r="AF74" i="5"/>
  <c r="AQ74" i="5" s="1"/>
  <c r="AS74" i="5" s="1"/>
  <c r="I74" i="5"/>
  <c r="F75" i="5" l="1"/>
  <c r="AH74" i="5"/>
  <c r="AC74" i="5"/>
  <c r="AE74" i="5" s="1"/>
  <c r="E74" i="5"/>
  <c r="K74" i="5"/>
  <c r="M74" i="5" s="1"/>
  <c r="C75" i="5" l="1"/>
  <c r="BI75" i="5"/>
  <c r="BK75" i="5" s="1"/>
  <c r="I75" i="5"/>
  <c r="AF75" i="5"/>
  <c r="H75" i="5"/>
  <c r="E75" i="5" l="1"/>
  <c r="K75" i="5"/>
  <c r="M75" i="5" s="1"/>
  <c r="AC75" i="5"/>
  <c r="AE75" i="5" s="1"/>
  <c r="AH75" i="5"/>
  <c r="AQ75" i="5"/>
  <c r="AS75" i="5" s="1"/>
  <c r="F76" i="5" l="1"/>
  <c r="W76" i="5" s="1"/>
  <c r="AF76" i="5"/>
  <c r="Y76" i="5" l="1"/>
  <c r="AF77" i="5"/>
  <c r="AH76" i="5"/>
  <c r="AC76" i="5"/>
  <c r="AE76" i="5" s="1"/>
  <c r="F77" i="5"/>
  <c r="H76" i="5"/>
  <c r="BI76" i="5"/>
  <c r="BK76" i="5" s="1"/>
  <c r="I76" i="5"/>
  <c r="AQ76" i="5"/>
  <c r="AS76" i="5" s="1"/>
  <c r="C76" i="5"/>
  <c r="I77" i="5" l="1"/>
  <c r="AQ77" i="5"/>
  <c r="AS77" i="5" s="1"/>
  <c r="BI77" i="5"/>
  <c r="BK77" i="5" s="1"/>
  <c r="F78" i="5"/>
  <c r="H77" i="5"/>
  <c r="C77" i="5"/>
  <c r="Q76" i="5"/>
  <c r="Z76" i="5" s="1"/>
  <c r="E76" i="5"/>
  <c r="K76" i="5"/>
  <c r="AH77" i="5"/>
  <c r="AC77" i="5"/>
  <c r="AE77" i="5" s="1"/>
  <c r="AF78" i="5"/>
  <c r="W77" i="5"/>
  <c r="Y77" i="5" s="1"/>
  <c r="AB76" i="5" l="1"/>
  <c r="S76" i="5"/>
  <c r="E77" i="5"/>
  <c r="C78" i="5"/>
  <c r="Q77" i="5"/>
  <c r="Z77" i="5" s="1"/>
  <c r="AH78" i="5"/>
  <c r="AC78" i="5"/>
  <c r="AE78" i="5" s="1"/>
  <c r="W78" i="5"/>
  <c r="Y78" i="5" s="1"/>
  <c r="I78" i="5"/>
  <c r="BI78" i="5"/>
  <c r="BK78" i="5" s="1"/>
  <c r="H78" i="5"/>
  <c r="AQ78" i="5"/>
  <c r="AS78" i="5" s="1"/>
  <c r="N76" i="5"/>
  <c r="M76" i="5"/>
  <c r="K77" i="5"/>
  <c r="E78" i="5" l="1"/>
  <c r="Q78" i="5"/>
  <c r="Z78" i="5" s="1"/>
  <c r="P76" i="5"/>
  <c r="T76" i="5"/>
  <c r="V76" i="5" s="1"/>
  <c r="K78" i="5"/>
  <c r="N77" i="5"/>
  <c r="M77" i="5"/>
  <c r="AB77" i="5"/>
  <c r="S77" i="5"/>
  <c r="T77" i="5" l="1"/>
  <c r="V77" i="5" s="1"/>
  <c r="P77" i="5"/>
  <c r="N78" i="5"/>
  <c r="P78" i="5" s="1"/>
  <c r="M78" i="5"/>
  <c r="T78" i="5"/>
  <c r="V78" i="5" s="1"/>
  <c r="AB78" i="5"/>
  <c r="S78" i="5"/>
</calcChain>
</file>

<file path=xl/sharedStrings.xml><?xml version="1.0" encoding="utf-8"?>
<sst xmlns="http://schemas.openxmlformats.org/spreadsheetml/2006/main" count="5778" uniqueCount="617">
  <si>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</si>
  <si>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</si>
  <si>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</si>
  <si>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</si>
  <si>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</si>
  <si>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</si>
  <si>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</si>
  <si>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</si>
  <si>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</si>
  <si>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</si>
  <si>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</si>
  <si>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</si>
  <si>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</si>
  <si>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</si>
  <si>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</si>
  <si>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</si>
  <si>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</si>
  <si>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</si>
  <si>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</si>
  <si>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TY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</si>
  <si>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</si>
  <si>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</si>
  <si>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</si>
  <si>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</si>
  <si>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</si>
  <si>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</si>
  <si>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</si>
  <si>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</si>
  <si>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GM</t>
  </si>
  <si>
    <t>Sales</t>
  </si>
  <si>
    <t>May Total</t>
  </si>
  <si>
    <t>June Total</t>
  </si>
  <si>
    <t>Allocated</t>
  </si>
  <si>
    <t>In Transit</t>
  </si>
  <si>
    <t>Store OH</t>
  </si>
  <si>
    <t>% Committed</t>
  </si>
  <si>
    <t>Tell us about the feature code you're updating...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</si>
  <si>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</si>
  <si>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</si>
  <si>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</si>
  <si>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</si>
  <si>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</si>
  <si>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</si>
  <si>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</si>
  <si>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</si>
  <si>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</si>
  <si>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</si>
  <si>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</si>
  <si>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YEAR TOTAL</t>
  </si>
  <si>
    <t>Q3 Total</t>
  </si>
  <si>
    <t>Q4 Total</t>
  </si>
  <si>
    <t>DC OH</t>
  </si>
  <si>
    <t>Total OH</t>
  </si>
  <si>
    <t>Receipts Total</t>
  </si>
  <si>
    <t>OO</t>
  </si>
  <si>
    <t>PH</t>
  </si>
  <si>
    <t>Stock Adj</t>
  </si>
  <si>
    <t>Gymboree Group</t>
  </si>
  <si>
    <t>FEATURE CODE</t>
  </si>
  <si>
    <t>Forecast Planning</t>
  </si>
  <si>
    <t>Inventory Ownership</t>
  </si>
  <si>
    <t>Inventory Allocation</t>
  </si>
  <si>
    <t>GY 18 SPR 2</t>
  </si>
  <si>
    <t>GY 17 SPR 2</t>
  </si>
  <si>
    <t>Brand Channel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</si>
  <si>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</si>
  <si>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</si>
  <si>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</si>
  <si>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</si>
  <si>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</si>
  <si>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</si>
  <si>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</si>
  <si>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</si>
  <si>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</si>
  <si>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</si>
  <si>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</si>
  <si>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</si>
  <si>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</si>
  <si>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</si>
  <si>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</si>
  <si>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</si>
  <si>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</si>
  <si>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</si>
  <si>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</si>
  <si>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</si>
  <si>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</si>
  <si>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AUG CAP</t>
  </si>
  <si>
    <t>GY C8 17 BTS CAP</t>
  </si>
  <si>
    <t>GY C8 18 JULY</t>
  </si>
  <si>
    <t>GY C8 17 BTS</t>
  </si>
  <si>
    <t>GY C8 18 AUG</t>
  </si>
  <si>
    <t>GY C8 17 FALL 1</t>
  </si>
  <si>
    <t>GY C8 18 HALLOWEEN CAP</t>
  </si>
  <si>
    <t>GY C8 17 HALLOWEEN CAP</t>
  </si>
  <si>
    <t>GY C8 18 SEP</t>
  </si>
  <si>
    <t>GY C8 17 FALL 2</t>
  </si>
  <si>
    <t>GY C8 18 SEP CAP</t>
  </si>
  <si>
    <t>GY C8 17 PICTURE CAP</t>
  </si>
  <si>
    <t>GY C8 18 OCT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</si>
  <si>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</si>
  <si>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</si>
  <si>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</si>
  <si>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</si>
  <si>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</si>
  <si>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</si>
  <si>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</si>
  <si>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</si>
  <si>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</si>
  <si>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</si>
  <si>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</si>
  <si>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</si>
  <si>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</si>
  <si>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</si>
  <si>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</si>
  <si>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</si>
  <si>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</si>
  <si>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</si>
  <si>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</si>
  <si>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</si>
  <si>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</si>
  <si>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</si>
  <si>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</si>
  <si>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</si>
  <si>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</si>
  <si>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</si>
  <si>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</si>
  <si>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</si>
  <si>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</si>
  <si>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</si>
  <si>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</si>
  <si>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</si>
  <si>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</si>
  <si>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</si>
  <si>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</si>
  <si>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</si>
  <si>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</si>
  <si>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</si>
  <si>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</si>
  <si>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</si>
  <si>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</si>
  <si>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</si>
  <si>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</si>
  <si>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</si>
  <si>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</si>
  <si>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</si>
  <si>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</si>
  <si>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</si>
  <si>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</si>
  <si>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</si>
  <si>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</si>
  <si>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</si>
  <si>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</si>
  <si>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</si>
  <si>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</si>
  <si>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</si>
  <si>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</si>
  <si>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</si>
  <si>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</si>
  <si>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</si>
  <si>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</si>
  <si>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</si>
  <si>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</si>
  <si>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</si>
  <si>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</si>
  <si>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</si>
  <si>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</si>
  <si>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</si>
  <si>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</si>
  <si>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</si>
  <si>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</si>
  <si>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</si>
  <si>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</si>
  <si>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</si>
  <si>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</si>
  <si>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</si>
  <si>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</si>
  <si>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</si>
  <si>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</si>
  <si>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</si>
  <si>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</si>
  <si>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</si>
  <si>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</si>
  <si>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</si>
  <si>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</si>
  <si>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</si>
  <si>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</si>
  <si>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</si>
  <si>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</si>
  <si>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</si>
  <si>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</si>
  <si>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</si>
  <si>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</si>
  <si>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</si>
  <si>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</si>
  <si>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</si>
  <si>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</si>
  <si>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</si>
  <si>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</si>
  <si>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</si>
  <si>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</si>
  <si>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</si>
  <si>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</si>
  <si>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</si>
  <si>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</si>
  <si>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</si>
  <si>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</si>
  <si>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</si>
  <si>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</si>
  <si>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</si>
  <si>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</si>
  <si>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</si>
  <si>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</si>
  <si>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</si>
  <si>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</si>
  <si>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</si>
  <si>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</si>
  <si>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</si>
  <si>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</si>
  <si>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</si>
  <si>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</si>
  <si>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</si>
  <si>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</si>
  <si>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</si>
  <si>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</si>
  <si>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</si>
  <si>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</si>
  <si>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</si>
  <si>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</si>
  <si>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</si>
  <si>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</si>
  <si>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</si>
  <si>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</si>
  <si>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</si>
  <si>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</si>
  <si>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</si>
  <si>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</si>
  <si>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</si>
  <si>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</si>
  <si>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</si>
  <si>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</si>
  <si>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</si>
  <si>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</si>
  <si>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</si>
  <si>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</si>
  <si>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</si>
  <si>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</si>
  <si>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</si>
  <si>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</si>
  <si>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</si>
  <si>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</si>
  <si>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</si>
  <si>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</si>
  <si>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</si>
  <si>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</si>
  <si>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</si>
  <si>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</si>
  <si>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</si>
  <si>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</si>
  <si>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</si>
  <si>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</si>
  <si>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</si>
  <si>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</si>
  <si>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</si>
  <si>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</si>
  <si>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</si>
  <si>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</si>
  <si>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</si>
  <si>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</si>
  <si>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</si>
  <si>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</si>
  <si>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</si>
  <si>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</si>
  <si>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</si>
  <si>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</si>
  <si>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</si>
  <si>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</si>
  <si>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</si>
  <si>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</si>
  <si>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</si>
  <si>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</si>
  <si>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</si>
  <si>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</si>
  <si>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</si>
  <si>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</si>
  <si>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</si>
  <si>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</si>
  <si>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</si>
  <si>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</si>
  <si>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</si>
  <si>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</si>
  <si>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</si>
  <si>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</si>
  <si>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</si>
  <si>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</si>
  <si>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</si>
  <si>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</si>
  <si>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</si>
  <si>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</si>
  <si>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</si>
  <si>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</si>
  <si>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</si>
  <si>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</si>
  <si>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</si>
  <si>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</si>
  <si>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</si>
  <si>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</si>
  <si>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</si>
  <si>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</si>
  <si>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</si>
  <si>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</si>
  <si>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</si>
  <si>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</si>
  <si>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</si>
  <si>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</si>
  <si>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</si>
  <si>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</si>
  <si>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</si>
  <si>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19 OUTLET VDAY</t>
  </si>
  <si>
    <t>GY C8 YRLY BASICS</t>
  </si>
  <si>
    <t>GY C8 YRLY DENIM</t>
  </si>
  <si>
    <t>Other</t>
  </si>
  <si>
    <t>GY C8 WEB RELATED</t>
  </si>
  <si>
    <t>GY C8 GIVEAWAY</t>
  </si>
  <si>
    <t>GY YRLY BASICS</t>
  </si>
  <si>
    <t>GY YRLY DENIM</t>
  </si>
  <si>
    <t>GY YRLY UNIFORM</t>
  </si>
  <si>
    <t>GY WEBSTORE SKU</t>
  </si>
  <si>
    <t>GY MISC</t>
  </si>
  <si>
    <t>JJ SO YEARLY BASICS</t>
  </si>
  <si>
    <t>JJ YRLY BASICS</t>
  </si>
  <si>
    <t>JJ 3RD PARTY</t>
  </si>
  <si>
    <t>GY OUTLET YRLY BSCS</t>
  </si>
  <si>
    <t>Total WOH</t>
  </si>
  <si>
    <t>S/T</t>
  </si>
  <si>
    <t>Build</t>
  </si>
  <si>
    <t>Country</t>
  </si>
  <si>
    <t>USA</t>
  </si>
  <si>
    <t>Canada</t>
  </si>
  <si>
    <t>Brand Country</t>
  </si>
  <si>
    <t>WOH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</si>
  <si>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</si>
  <si>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</si>
  <si>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</si>
  <si>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</si>
  <si>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</si>
  <si>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</si>
  <si>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</si>
  <si>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</si>
  <si>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</si>
  <si>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</si>
  <si>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</si>
  <si>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</si>
  <si>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</si>
  <si>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</si>
  <si>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</si>
  <si>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</si>
  <si>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</si>
  <si>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</si>
  <si>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</si>
  <si>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fetch-all</t>
  </si>
  <si>
    <t>push</t>
  </si>
  <si>
    <t>Misc</t>
  </si>
  <si>
    <t>year</t>
  </si>
  <si>
    <t>week</t>
  </si>
  <si>
    <t>unit_sales</t>
  </si>
  <si>
    <t>air</t>
  </si>
  <si>
    <t>aur</t>
  </si>
  <si>
    <t>auc</t>
  </si>
  <si>
    <t>onhand</t>
  </si>
  <si>
    <t>adj</t>
  </si>
  <si>
    <t>onorder</t>
  </si>
  <si>
    <t>recs</t>
  </si>
  <si>
    <t>recplaceholder</t>
  </si>
  <si>
    <t>Prod</t>
  </si>
  <si>
    <t xml:space="preserve"> </t>
  </si>
  <si>
    <t>a</t>
  </si>
  <si>
    <t>New Plan</t>
  </si>
  <si>
    <t>Plan Type</t>
  </si>
  <si>
    <t>XXXXXX</t>
  </si>
  <si>
    <t>XXXXXXX</t>
  </si>
  <si>
    <t>XXXXX</t>
  </si>
  <si>
    <t>XXXXXXXX</t>
  </si>
  <si>
    <t>LYFC</t>
  </si>
  <si>
    <t>JJ 17 BALLET BASICS</t>
  </si>
  <si>
    <t>GY 17 OUTLET FALL ACTIVE</t>
  </si>
  <si>
    <t>GY 17 OUTLET GYM ACC FAL</t>
  </si>
  <si>
    <t>GY 17 OUTLET GYM ACC SUM</t>
  </si>
  <si>
    <t>GY 17 OUTLET GYM ACC WTR</t>
  </si>
  <si>
    <t>GY 17 FAL</t>
  </si>
  <si>
    <t>GY 17 FALL 2</t>
  </si>
  <si>
    <t>GY 17 FALL 3</t>
  </si>
  <si>
    <t>GY 17 FALL 4</t>
  </si>
  <si>
    <t>GY 17 HO HO SHOP</t>
  </si>
  <si>
    <t>JJ 17 FALL GIFTING LAY</t>
  </si>
  <si>
    <t>JJ 17 AUG FALL 1</t>
  </si>
  <si>
    <t>JJ 17 AUG HALLOWEEN</t>
  </si>
  <si>
    <t>JJ 17 SEPT FALL 2</t>
  </si>
  <si>
    <t>JJ 17 SEPT FALL 2 TIER</t>
  </si>
  <si>
    <t>JJ 17 SEPT FALL 3</t>
  </si>
  <si>
    <t>JJ 17 FAL BASIC</t>
  </si>
  <si>
    <t>JJ 17 SEPT FALL SO REFRESH</t>
  </si>
  <si>
    <t>JJ 17 SEPT SWIM</t>
  </si>
  <si>
    <t>JJ 17 SEPT LAY SB2 REFRESH</t>
  </si>
  <si>
    <t>JJ 17 SB 2 TIER</t>
  </si>
  <si>
    <t>JJ 17 WTR BASICS</t>
  </si>
  <si>
    <t>JJ 17 SUMMER 2 CAP WOMENS</t>
  </si>
  <si>
    <t>JJ 17 SEPT HOLIDAY 1</t>
  </si>
  <si>
    <t>JJ 17 OCT HOLIDAY 2</t>
  </si>
  <si>
    <t>JJ 17 OCT HOL GIFT</t>
  </si>
  <si>
    <t>JJ 17 OCT HOL GIFT LAY</t>
  </si>
  <si>
    <t>JJ 17 NOV WTR 1</t>
  </si>
  <si>
    <t>JJ 17 NOV WTR 2</t>
  </si>
  <si>
    <t>JJ 17 SEPT HOLIDAY 1 WOMENS</t>
  </si>
  <si>
    <t>GY 17 FALL 1</t>
  </si>
  <si>
    <t>GY 17 BTS</t>
  </si>
  <si>
    <t>GY 17 CAP</t>
  </si>
  <si>
    <t>GY 17 JAN CAP</t>
  </si>
  <si>
    <t>GY 17 HOL</t>
  </si>
  <si>
    <t>GY 17 WINTER 1</t>
  </si>
  <si>
    <t>GY 17 WINTER 2</t>
  </si>
  <si>
    <t>GY 17 WINTER 3</t>
  </si>
  <si>
    <t>GY 17 SPR TRANS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</si>
  <si>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</si>
  <si>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</si>
  <si>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</si>
  <si>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</si>
  <si>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</si>
  <si>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</si>
  <si>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</si>
  <si>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</si>
  <si>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</si>
  <si>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</si>
  <si>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GY C8 16 SB1</t>
  </si>
  <si>
    <t>GY C8 16 UNIFORM CAP</t>
  </si>
  <si>
    <t>GY C8 16 SB2</t>
  </si>
  <si>
    <t>GY C8 16 BTS</t>
  </si>
  <si>
    <t>GY C8 16 BTS CAP</t>
  </si>
  <si>
    <t>GY C8 16 FAL</t>
  </si>
  <si>
    <t>GY C8 16 FAL DOORBUSTER</t>
  </si>
  <si>
    <t>GY C8 16 FALL 1</t>
  </si>
  <si>
    <t>GY C8 16 FALL 2</t>
  </si>
  <si>
    <t>GY C8 16 HALLOWEEN CAP</t>
  </si>
  <si>
    <t>GY C8 16 PARTY CAP</t>
  </si>
  <si>
    <t>GY C8 16 HOL PICS CAP</t>
  </si>
  <si>
    <t>GY C8 16 SEASONAL</t>
  </si>
  <si>
    <t>GY C8 16 SWIM 1</t>
  </si>
  <si>
    <t>GY C8 16 SWIM 2</t>
  </si>
  <si>
    <t>GY C8 16 SWIM 3</t>
  </si>
  <si>
    <t>GY C8 16 VDAY CAP</t>
  </si>
  <si>
    <t>GY C8 16 EASTER REFRESH CAP</t>
  </si>
  <si>
    <t>GY C8 16 PRE SUMMER</t>
  </si>
  <si>
    <t>GY C8 16 SPR</t>
  </si>
  <si>
    <t>GY C8 16 SPRING</t>
  </si>
  <si>
    <t>GY C8 16 SPRING BREAK</t>
  </si>
  <si>
    <t>GY C8 16 EASTER CAP</t>
  </si>
  <si>
    <t>GY C8 16 SPR TRANS</t>
  </si>
  <si>
    <t>GY C8 16 HIGH SUMMER</t>
  </si>
  <si>
    <t>GY C8 16 JULY 4TH</t>
  </si>
  <si>
    <t>GY C8 16 SMR</t>
  </si>
  <si>
    <t>GY C8 16 SMR DOORBUSTER</t>
  </si>
  <si>
    <t>GY C8 16 SUMMER</t>
  </si>
  <si>
    <t>GY C8 16 SUMMER CAP</t>
  </si>
  <si>
    <t>GY C8 16 SUMMER TRANS</t>
  </si>
  <si>
    <t>GY C8 16 SWIM 4</t>
  </si>
  <si>
    <t>GY C8 16 TRANS CAP</t>
  </si>
  <si>
    <t>GY C8 16 GIFT</t>
  </si>
  <si>
    <t>GY C8 16 HOLIDAY</t>
  </si>
  <si>
    <t>GY C8 16 KIDZ BOP</t>
  </si>
  <si>
    <t>GY C8 16 WINTER CAP</t>
  </si>
  <si>
    <t>GY C8 16 WINTER TRANS</t>
  </si>
  <si>
    <t>GY C8 16 WTR</t>
  </si>
  <si>
    <t>GY C8 16 WTR DOORBUSTER</t>
  </si>
  <si>
    <t>GY 16 SPRING BASICS</t>
  </si>
  <si>
    <t>GY 16 FALL BASICS</t>
  </si>
  <si>
    <t>GY 16 BTS</t>
  </si>
  <si>
    <t>GY 16 FAL</t>
  </si>
  <si>
    <t>GY 16 FALL 1</t>
  </si>
  <si>
    <t>GY 16 FALL 2</t>
  </si>
  <si>
    <t>GY 16 FALL 3</t>
  </si>
  <si>
    <t>GY 16 FALL 4</t>
  </si>
  <si>
    <t>GY 16 HOL 1</t>
  </si>
  <si>
    <t>GY 16 FEB DRSY CAP</t>
  </si>
  <si>
    <t>GY 16 SPR</t>
  </si>
  <si>
    <t>GY 16 JAN SP 1</t>
  </si>
  <si>
    <t>GY 16 FEB SP 2</t>
  </si>
  <si>
    <t>GY 16 MAR SPR VAC</t>
  </si>
  <si>
    <t>GY 16 APR SUM 1</t>
  </si>
  <si>
    <t>GY 16 FEB SWIM 1</t>
  </si>
  <si>
    <t>GY 16 MAR SWIM 2</t>
  </si>
  <si>
    <t>GY 16 JUN CAP</t>
  </si>
  <si>
    <t>GY 16 APR SM2</t>
  </si>
  <si>
    <t>GY 16 MAY SM3</t>
  </si>
  <si>
    <t>GY 16 MAY SM4</t>
  </si>
  <si>
    <t>GY 16 SMR</t>
  </si>
  <si>
    <t>GY 16 JUL TRANS</t>
  </si>
  <si>
    <t>GY 16 JAN CAP</t>
  </si>
  <si>
    <t>GY 16 HOL</t>
  </si>
  <si>
    <t>GY 16 SP TRANS</t>
  </si>
  <si>
    <t>GY 16 WINTER 1</t>
  </si>
  <si>
    <t>GY 16 WINTER 2</t>
  </si>
  <si>
    <t>GY 16 WINTER 3</t>
  </si>
  <si>
    <t>JJ 16 AUG FALL 1</t>
  </si>
  <si>
    <t>JJ 16 AUG HALLOWEEN</t>
  </si>
  <si>
    <t>JJ 16 AUG FALL 0</t>
  </si>
  <si>
    <t>JJ 16 AUG FALL GIFTING LAY</t>
  </si>
  <si>
    <t>JJ 16 SEPT FALL 2</t>
  </si>
  <si>
    <t>JJ 16 SEP FAL TIER</t>
  </si>
  <si>
    <t>JJ 16 JULY TRANS 2</t>
  </si>
  <si>
    <t>JJ 16 LAYETTE SMR SWIM</t>
  </si>
  <si>
    <t>JJ 16 DEC RESORT</t>
  </si>
  <si>
    <t>JJ 16 JAN SO SB1</t>
  </si>
  <si>
    <t>JJ 16 JAN SWIM</t>
  </si>
  <si>
    <t>JJ 16 SB 1</t>
  </si>
  <si>
    <t>JJ 16 SMR BASICS</t>
  </si>
  <si>
    <t>JJ 16 SPR SO REFRESH</t>
  </si>
  <si>
    <t>JJ 16 AUG HOL</t>
  </si>
  <si>
    <t>JJ 16 JUNE SB2</t>
  </si>
  <si>
    <t>JJ 16 SEPT FALL SO REFRESH</t>
  </si>
  <si>
    <t>JJ 16 SEP LAYSB2 REF</t>
  </si>
  <si>
    <t>JJ 16 AUG TIERED SB2 BASICS</t>
  </si>
  <si>
    <t>JJ 16 JULY SO SB2</t>
  </si>
  <si>
    <t>JJ 16 OCT WTR</t>
  </si>
  <si>
    <t>JJ 16 DEC SPRING TRANS CAP</t>
  </si>
  <si>
    <t>JJ 16 DEC VDAY</t>
  </si>
  <si>
    <t>JJ 16 FEB DRESSY EASTER</t>
  </si>
  <si>
    <t>JJ 16 MAR SUM GIFTING LAY</t>
  </si>
  <si>
    <t>JJ 16 JAN SPR GIFTING LAY</t>
  </si>
  <si>
    <t>JJ 16 JAN SPRING 1</t>
  </si>
  <si>
    <t>JJ 16 JAN SPRING CAP</t>
  </si>
  <si>
    <t>JJ 16 MAR EASTER 2</t>
  </si>
  <si>
    <t>JJ 16 MAY 4TH OF JULY</t>
  </si>
  <si>
    <t>JJ 16 APR SUMMER CAP</t>
  </si>
  <si>
    <t>JJ 16 JUNE TRANS 1</t>
  </si>
  <si>
    <t>JJ 16 MAR SUMMER 1</t>
  </si>
  <si>
    <t>JJ 16 MAY SUMMER 2</t>
  </si>
  <si>
    <t>JJ 16 MAY SUMMER 3</t>
  </si>
  <si>
    <t>JJ 16 MAY SUMMER 3 CAP</t>
  </si>
  <si>
    <t>JJ 16 MAY TRANS GIFTING LAY</t>
  </si>
  <si>
    <t>JJ 16 DEC SPRING TRANS</t>
  </si>
  <si>
    <t>JJ 16 NOV WINTER 1</t>
  </si>
  <si>
    <t>JJ 16 NOV WINTER 2</t>
  </si>
  <si>
    <t>JJ 16 OCT XMAS GIFTING</t>
  </si>
  <si>
    <t>JJ 16 OCT WTR GIFTING LAY</t>
  </si>
  <si>
    <t>JJ 16 OCT HOL 2 DRESSY</t>
  </si>
  <si>
    <t>JJ 16 SEPT HOL 1 DRESSY</t>
  </si>
  <si>
    <t>GY 16 OUTLET BNB FALL</t>
  </si>
  <si>
    <t>GY 16 OUTLET BTS 1</t>
  </si>
  <si>
    <t>GY 16 OUTLET BTS 2</t>
  </si>
  <si>
    <t>GY 16 OUTLET FAL</t>
  </si>
  <si>
    <t>GY 16 OUTLET FAL 1</t>
  </si>
  <si>
    <t>GY 16 OUTLET FAL 2</t>
  </si>
  <si>
    <t>GY 16 OUTLET HOL DRESSY</t>
  </si>
  <si>
    <t>GY 16 OUTLET SB1</t>
  </si>
  <si>
    <t>GY 16 OUTLET SB2</t>
  </si>
  <si>
    <t>GY 16 OUTLET BNB SPRING</t>
  </si>
  <si>
    <t>GY 16 OUTLET EASTER</t>
  </si>
  <si>
    <t>GY 16 OUTLET SPR</t>
  </si>
  <si>
    <t>GY 16 OUTLET SPRING FASHION CAP</t>
  </si>
  <si>
    <t>GY 16 OUTLET SPRING 1</t>
  </si>
  <si>
    <t>GY 16 OUTLET SPRING 2</t>
  </si>
  <si>
    <t>GY 16 OUTLET SPRING 3</t>
  </si>
  <si>
    <t>GY 16 OUTLET SWIM 1</t>
  </si>
  <si>
    <t>GY 16 OUTLET SWIM 2</t>
  </si>
  <si>
    <t>GY 16 OUTLET VDAY</t>
  </si>
  <si>
    <t>GY 16 OUTLET BNB SUMMER</t>
  </si>
  <si>
    <t>GY 16 OUTLET SMR</t>
  </si>
  <si>
    <t>GY 16 OUTLET SUMMER 1</t>
  </si>
  <si>
    <t>GY 16 OUTLET SUMMER 2</t>
  </si>
  <si>
    <t>GY 16 OUTLET SUMMER 3</t>
  </si>
  <si>
    <t>GY 16 OUTLET SUMMER 4</t>
  </si>
  <si>
    <t>GY 16 OUTLET SWIM 3</t>
  </si>
  <si>
    <t>GY 16 OUTLET TRANSITION</t>
  </si>
  <si>
    <t>GY 16 OUTLET UNIFORM</t>
  </si>
  <si>
    <t>GY 16 OUTLET BNB WINTER</t>
  </si>
  <si>
    <t>GY 16 OUTLET POLAR FLEECE</t>
  </si>
  <si>
    <t>GY 16 OUTLET SPRING TRANS</t>
  </si>
  <si>
    <t>GY 16 OUTLET WTR 1</t>
  </si>
  <si>
    <t>GY 16 OUTLET WINTER 2</t>
  </si>
  <si>
    <t>GY 16 OUTLET WINTER 3</t>
  </si>
  <si>
    <t>GY 16 OUTLET WTR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</si>
  <si>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</si>
  <si>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</si>
  <si>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</si>
  <si>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</si>
  <si>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</si>
  <si>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</si>
  <si>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</si>
  <si>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</si>
  <si>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</si>
  <si>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</si>
  <si>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</si>
  <si>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</si>
  <si>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</si>
  <si>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</si>
  <si>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</si>
  <si>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</si>
  <si>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</si>
  <si>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</si>
  <si>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</si>
  <si>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</si>
  <si>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</si>
  <si>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</si>
  <si>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</si>
  <si>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</si>
  <si>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</si>
  <si>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</si>
  <si>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</si>
  <si>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</si>
  <si>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</si>
  <si>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</si>
  <si>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</si>
  <si>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GY 18 HOL</t>
  </si>
  <si>
    <t>GY 18 HOLIDAY 1</t>
  </si>
  <si>
    <t>GY 18 HOLIDAY 2</t>
  </si>
  <si>
    <t>GY 18 HOLIDAY 3</t>
  </si>
  <si>
    <t>GY 18 SPR TRANS</t>
  </si>
  <si>
    <t>GY 19 VDAY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</si>
</sst>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</numFmts>
  <fonts count="3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0" tint="-0.34998626667073579"/>
      <name val="Calibri"/>
      <family val="2"/>
      <scheme val="minor"/>
    </font>
    <font>
      <sz val="18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24"/>
      <color theme="1" tint="0.499984740745262"/>
      <name val="Segoe UI Semibold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</fills>
  <borders count="89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theme="0" tint="-0.14996795556505021"/>
      </right>
      <top/>
      <bottom/>
      <diagonal/>
    </border>
    <border>
      <left/>
      <right style="medium">
        <color theme="0" tint="-0.14996795556505021"/>
      </right>
      <top/>
      <bottom style="medium">
        <color theme="0" tint="-0.1499984740745262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/>
      <right style="medium">
        <color theme="0" tint="-0.14993743705557422"/>
      </right>
      <top/>
      <bottom/>
      <diagonal/>
    </border>
    <border>
      <left/>
      <right style="medium">
        <color theme="0" tint="-0.1499374370555742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6795556505021"/>
      </left>
      <right/>
      <top/>
      <bottom style="medium">
        <color theme="0" tint="-0.149998474074526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9847407452621"/>
      </top>
      <bottom style="medium">
        <color theme="0" tint="-0.14996795556505021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 style="medium">
        <color theme="0" tint="-0.1498764000366222"/>
      </right>
      <top style="medium">
        <color theme="0" tint="-0.1498764000366222"/>
      </top>
      <bottom style="medium">
        <color theme="0" tint="-0.14987640003662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8764000366222"/>
      </bottom>
      <diagonal/>
    </border>
    <border>
      <left/>
      <right style="medium">
        <color theme="0" tint="-0.1498458815271462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6795556505021"/>
      </bottom>
      <diagonal/>
    </border>
    <border>
      <left style="medium">
        <color theme="0" tint="-0.149845881527146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8458815271462"/>
      </left>
      <right/>
      <top/>
      <bottom/>
      <diagonal/>
    </border>
    <border>
      <left style="medium">
        <color theme="0" tint="-0.1498458815271462"/>
      </left>
      <right/>
      <top/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8764000366222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</borders>
  <cellStyleXfs count="23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3" fillId="0" borderId="0"/>
    <xf numFmtId="0" fontId="23" fillId="0" borderId="0"/>
    <xf numFmtId="0" fontId="12" fillId="0" borderId="0" applyNumberFormat="0" applyFill="0" applyBorder="0" applyAlignment="0" applyProtection="0"/>
    <xf numFmtId="0" fontId="1" fillId="0" borderId="0"/>
    <xf numFmtId="0" fontId="31" fillId="0" borderId="0"/>
    <xf numFmtId="169" fontId="1" fillId="0" borderId="0"/>
    <xf numFmtId="0" fontId="31" fillId="0" borderId="0"/>
    <xf numFmtId="0" fontId="1" fillId="12" borderId="0" applyNumberFormat="0" applyBorder="0" applyAlignment="0" applyProtection="0"/>
    <xf numFmtId="0" fontId="32" fillId="0" borderId="0"/>
    <xf numFmtId="43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43" fontId="32" fillId="0" borderId="0" applyFont="0" applyFill="0" applyBorder="0" applyAlignment="0" applyProtection="0"/>
    <xf numFmtId="9" fontId="32" fillId="0" borderId="0" applyFont="0" applyFill="0" applyBorder="0" applyAlignment="0" applyProtection="0"/>
  </cellStyleXfs>
  <cellXfs count="362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164" fontId="6" fillId="0" borderId="6" xfId="2" applyNumberFormat="1" applyFont="1" applyBorder="1" applyAlignment="1">
      <alignment horizontal="center" wrapText="1"/>
    </xf>
    <xf numFmtId="164" fontId="6" fillId="0" borderId="7" xfId="2" applyNumberFormat="1" applyFont="1" applyBorder="1" applyAlignment="1">
      <alignment horizontal="center" wrapText="1"/>
    </xf>
    <xf numFmtId="164" fontId="6" fillId="0" borderId="9" xfId="2" applyNumberFormat="1" applyFont="1" applyBorder="1" applyAlignment="1">
      <alignment horizontal="center" wrapText="1"/>
    </xf>
    <xf numFmtId="0" fontId="14" fillId="4" borderId="1" xfId="4" applyFont="1" applyFill="1" applyBorder="1" applyAlignment="1">
      <alignment horizontal="center"/>
    </xf>
    <xf numFmtId="0" fontId="14" fillId="2" borderId="1" xfId="4" applyFont="1" applyFill="1" applyBorder="1" applyAlignment="1">
      <alignment horizontal="center"/>
    </xf>
    <xf numFmtId="0" fontId="14" fillId="5" borderId="1" xfId="4" applyFont="1" applyFill="1" applyBorder="1" applyAlignment="1">
      <alignment horizontal="center"/>
    </xf>
    <xf numFmtId="0" fontId="19" fillId="0" borderId="0" xfId="0" applyFont="1" applyAlignment="1">
      <alignment horizontal="left" vertical="center" indent="1"/>
    </xf>
    <xf numFmtId="0" fontId="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9" fillId="0" borderId="0" xfId="0" applyFont="1" applyAlignment="1">
      <alignment horizontal="left" indent="1"/>
    </xf>
    <xf numFmtId="0" fontId="20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22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4" fillId="7" borderId="11" xfId="9" applyFont="1" applyFill="1" applyBorder="1" applyAlignment="1">
      <alignment horizontal="center"/>
    </xf>
    <xf numFmtId="0" fontId="25" fillId="7" borderId="14" xfId="9" applyFont="1" applyFill="1" applyBorder="1" applyAlignment="1">
      <alignment horizontal="center"/>
    </xf>
    <xf numFmtId="0" fontId="25" fillId="7" borderId="15" xfId="9" applyFont="1" applyFill="1" applyBorder="1" applyAlignment="1">
      <alignment horizontal="center"/>
    </xf>
    <xf numFmtId="0" fontId="25" fillId="7" borderId="16" xfId="9" applyFont="1" applyFill="1" applyBorder="1" applyAlignment="1">
      <alignment horizontal="center"/>
    </xf>
    <xf numFmtId="0" fontId="25" fillId="7" borderId="17" xfId="9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5" fillId="0" borderId="19" xfId="9" applyFont="1" applyFill="1" applyBorder="1" applyAlignment="1">
      <alignment wrapText="1"/>
    </xf>
    <xf numFmtId="0" fontId="25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1" xfId="0" applyBorder="1"/>
    <xf numFmtId="0" fontId="0" fillId="0" borderId="12" xfId="0" applyBorder="1"/>
    <xf numFmtId="0" fontId="0" fillId="0" borderId="22" xfId="0" applyBorder="1"/>
    <xf numFmtId="0" fontId="22" fillId="0" borderId="20" xfId="0" applyFont="1" applyBorder="1"/>
    <xf numFmtId="0" fontId="0" fillId="0" borderId="23" xfId="0" applyFill="1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0" fillId="0" borderId="23" xfId="0" applyBorder="1"/>
    <xf numFmtId="0" fontId="25" fillId="0" borderId="22" xfId="9" applyFont="1" applyFill="1" applyBorder="1" applyAlignment="1">
      <alignment wrapText="1"/>
    </xf>
    <xf numFmtId="0" fontId="0" fillId="6" borderId="15" xfId="0" applyFill="1" applyBorder="1" applyAlignment="1">
      <alignment horizontal="right"/>
    </xf>
    <xf numFmtId="0" fontId="0" fillId="6" borderId="16" xfId="0" applyFill="1" applyBorder="1" applyAlignment="1">
      <alignment horizontal="right"/>
    </xf>
    <xf numFmtId="0" fontId="22" fillId="0" borderId="23" xfId="0" applyFont="1" applyBorder="1"/>
    <xf numFmtId="165" fontId="0" fillId="0" borderId="0" xfId="1" applyNumberFormat="1" applyFont="1"/>
    <xf numFmtId="164" fontId="6" fillId="0" borderId="28" xfId="2" applyNumberFormat="1" applyFont="1" applyBorder="1" applyAlignment="1">
      <alignment horizontal="center" wrapText="1"/>
    </xf>
    <xf numFmtId="164" fontId="6" fillId="0" borderId="31" xfId="2" applyNumberFormat="1" applyFont="1" applyBorder="1" applyAlignment="1">
      <alignment horizontal="center" wrapText="1"/>
    </xf>
    <xf numFmtId="44" fontId="0" fillId="0" borderId="0" xfId="2" applyFont="1"/>
    <xf numFmtId="0" fontId="26" fillId="0" borderId="0" xfId="0" applyFont="1" applyAlignment="1">
      <alignment horizontal="center"/>
    </xf>
    <xf numFmtId="0" fontId="25" fillId="0" borderId="0" xfId="9" applyFont="1" applyFill="1" applyBorder="1" applyAlignment="1">
      <alignment wrapText="1"/>
    </xf>
    <xf numFmtId="0" fontId="0" fillId="0" borderId="13" xfId="0" applyBorder="1"/>
    <xf numFmtId="0" fontId="0" fillId="0" borderId="19" xfId="0" applyFill="1" applyBorder="1"/>
    <xf numFmtId="164" fontId="6" fillId="0" borderId="27" xfId="2" applyNumberFormat="1" applyFont="1" applyBorder="1" applyAlignment="1">
      <alignment horizontal="center" wrapText="1"/>
    </xf>
    <xf numFmtId="165" fontId="6" fillId="0" borderId="0" xfId="1" applyNumberFormat="1" applyFont="1" applyBorder="1" applyAlignment="1">
      <alignment horizontal="center" wrapText="1"/>
    </xf>
    <xf numFmtId="0" fontId="6" fillId="0" borderId="38" xfId="4" applyFont="1" applyBorder="1" applyAlignment="1">
      <alignment horizontal="center" wrapText="1"/>
    </xf>
    <xf numFmtId="164" fontId="6" fillId="0" borderId="36" xfId="2" applyNumberFormat="1" applyFont="1" applyBorder="1" applyAlignment="1">
      <alignment horizontal="center" wrapText="1"/>
    </xf>
    <xf numFmtId="165" fontId="6" fillId="0" borderId="32" xfId="1" applyNumberFormat="1" applyFont="1" applyBorder="1" applyAlignment="1">
      <alignment horizontal="center" wrapText="1"/>
    </xf>
    <xf numFmtId="164" fontId="6" fillId="0" borderId="26" xfId="2" applyNumberFormat="1" applyFont="1" applyBorder="1" applyAlignment="1">
      <alignment horizontal="center" wrapText="1"/>
    </xf>
    <xf numFmtId="164" fontId="6" fillId="0" borderId="45" xfId="2" applyNumberFormat="1" applyFont="1" applyBorder="1" applyAlignment="1">
      <alignment horizontal="center" wrapText="1"/>
    </xf>
    <xf numFmtId="0" fontId="26" fillId="8" borderId="0" xfId="0" applyFont="1" applyFill="1" applyAlignment="1">
      <alignment horizontal="center"/>
    </xf>
    <xf numFmtId="165" fontId="26" fillId="8" borderId="0" xfId="1" applyNumberFormat="1" applyFont="1" applyFill="1" applyAlignment="1">
      <alignment horizontal="center"/>
    </xf>
    <xf numFmtId="0" fontId="26" fillId="9" borderId="0" xfId="0" applyFont="1" applyFill="1" applyAlignment="1">
      <alignment horizontal="center"/>
    </xf>
    <xf numFmtId="165" fontId="26" fillId="9" borderId="0" xfId="1" applyNumberFormat="1" applyFont="1" applyFill="1" applyAlignment="1">
      <alignment horizontal="center"/>
    </xf>
    <xf numFmtId="164" fontId="6" fillId="0" borderId="51" xfId="2" applyNumberFormat="1" applyFont="1" applyBorder="1" applyAlignment="1">
      <alignment horizontal="center" wrapText="1"/>
    </xf>
    <xf numFmtId="0" fontId="0" fillId="0" borderId="0" xfId="0" applyProtection="1"/>
    <xf numFmtId="165" fontId="0" fillId="0" borderId="0" xfId="0" applyNumberFormat="1" applyProtection="1"/>
    <xf numFmtId="165" fontId="0" fillId="0" borderId="0" xfId="1" applyNumberFormat="1" applyFont="1" applyProtection="1"/>
    <xf numFmtId="164" fontId="9" fillId="0" borderId="4" xfId="2" applyNumberFormat="1" applyFont="1" applyBorder="1" applyAlignment="1" applyProtection="1">
      <alignment horizontal="center"/>
    </xf>
    <xf numFmtId="164" fontId="9" fillId="0" borderId="0" xfId="2" applyNumberFormat="1" applyFont="1" applyBorder="1" applyAlignment="1" applyProtection="1">
      <alignment horizontal="center"/>
    </xf>
    <xf numFmtId="167" fontId="9" fillId="0" borderId="10" xfId="3" applyNumberFormat="1" applyFont="1" applyBorder="1" applyAlignment="1" applyProtection="1">
      <alignment horizontal="center"/>
    </xf>
    <xf numFmtId="165" fontId="9" fillId="3" borderId="8" xfId="1" applyNumberFormat="1" applyFont="1" applyFill="1" applyBorder="1" applyAlignment="1" applyProtection="1">
      <alignment horizontal="center"/>
    </xf>
    <xf numFmtId="165" fontId="9" fillId="0" borderId="0" xfId="1" applyNumberFormat="1" applyFont="1" applyBorder="1" applyAlignment="1" applyProtection="1">
      <alignment horizontal="center"/>
    </xf>
    <xf numFmtId="9" fontId="9" fillId="0" borderId="10" xfId="3" applyFont="1" applyBorder="1" applyAlignment="1" applyProtection="1">
      <alignment horizontal="center"/>
    </xf>
    <xf numFmtId="44" fontId="9" fillId="0" borderId="0" xfId="2" applyNumberFormat="1" applyFont="1" applyBorder="1" applyAlignment="1" applyProtection="1">
      <alignment horizontal="center"/>
    </xf>
    <xf numFmtId="167" fontId="9" fillId="0" borderId="8" xfId="3" applyNumberFormat="1" applyFont="1" applyFill="1" applyBorder="1" applyAlignment="1" applyProtection="1">
      <alignment horizontal="center"/>
    </xf>
    <xf numFmtId="167" fontId="9" fillId="0" borderId="0" xfId="3" applyNumberFormat="1" applyFont="1" applyBorder="1" applyAlignment="1" applyProtection="1">
      <alignment horizontal="center"/>
    </xf>
    <xf numFmtId="168" fontId="10" fillId="4" borderId="32" xfId="3" applyNumberFormat="1" applyFont="1" applyFill="1" applyBorder="1" applyAlignment="1" applyProtection="1">
      <alignment horizontal="center"/>
    </xf>
    <xf numFmtId="168" fontId="10" fillId="4" borderId="0" xfId="3" applyNumberFormat="1" applyFont="1" applyFill="1" applyBorder="1" applyAlignment="1" applyProtection="1">
      <alignment horizontal="center"/>
    </xf>
    <xf numFmtId="168" fontId="9" fillId="0" borderId="10" xfId="3" applyNumberFormat="1" applyFont="1" applyBorder="1" applyAlignment="1" applyProtection="1">
      <alignment horizontal="center"/>
    </xf>
    <xf numFmtId="165" fontId="3" fillId="0" borderId="0" xfId="1" applyNumberFormat="1" applyFont="1" applyBorder="1" applyAlignment="1" applyProtection="1">
      <alignment horizontal="center"/>
    </xf>
    <xf numFmtId="166" fontId="9" fillId="0" borderId="8" xfId="1" applyNumberFormat="1" applyFont="1" applyBorder="1" applyAlignment="1" applyProtection="1">
      <alignment horizontal="center"/>
    </xf>
    <xf numFmtId="166" fontId="9" fillId="0" borderId="5" xfId="1" applyNumberFormat="1" applyFont="1" applyBorder="1" applyAlignment="1" applyProtection="1">
      <alignment horizontal="center"/>
    </xf>
    <xf numFmtId="9" fontId="10" fillId="4" borderId="32" xfId="3" applyFont="1" applyFill="1" applyBorder="1" applyAlignment="1" applyProtection="1">
      <alignment horizontal="center"/>
    </xf>
    <xf numFmtId="9" fontId="10" fillId="4" borderId="0" xfId="3" applyFont="1" applyFill="1" applyBorder="1" applyAlignment="1" applyProtection="1">
      <alignment horizontal="center"/>
    </xf>
    <xf numFmtId="165" fontId="11" fillId="4" borderId="32" xfId="1" applyNumberFormat="1" applyFont="1" applyFill="1" applyBorder="1" applyAlignment="1" applyProtection="1">
      <alignment horizontal="center"/>
    </xf>
    <xf numFmtId="165" fontId="9" fillId="4" borderId="0" xfId="1" applyNumberFormat="1" applyFont="1" applyFill="1" applyBorder="1" applyAlignment="1" applyProtection="1">
      <alignment horizontal="center"/>
    </xf>
    <xf numFmtId="165" fontId="10" fillId="4" borderId="0" xfId="1" applyNumberFormat="1" applyFont="1" applyFill="1" applyBorder="1" applyAlignment="1" applyProtection="1">
      <alignment horizontal="center"/>
    </xf>
    <xf numFmtId="164" fontId="9" fillId="0" borderId="8" xfId="2" applyNumberFormat="1" applyFont="1" applyBorder="1" applyAlignment="1" applyProtection="1">
      <alignment horizontal="center"/>
    </xf>
    <xf numFmtId="168" fontId="9" fillId="4" borderId="32" xfId="3" applyNumberFormat="1" applyFont="1" applyFill="1" applyBorder="1" applyAlignment="1" applyProtection="1">
      <alignment horizontal="center"/>
    </xf>
    <xf numFmtId="166" fontId="9" fillId="0" borderId="0" xfId="1" applyNumberFormat="1" applyFont="1" applyBorder="1" applyAlignment="1" applyProtection="1">
      <alignment horizontal="center"/>
    </xf>
    <xf numFmtId="165" fontId="9" fillId="4" borderId="32" xfId="1" applyNumberFormat="1" applyFont="1" applyFill="1" applyBorder="1" applyAlignment="1" applyProtection="1">
      <alignment horizontal="center"/>
    </xf>
    <xf numFmtId="164" fontId="9" fillId="0" borderId="9" xfId="2" applyNumberFormat="1" applyFont="1" applyBorder="1" applyAlignment="1" applyProtection="1">
      <alignment horizontal="center"/>
    </xf>
    <xf numFmtId="164" fontId="14" fillId="4" borderId="1" xfId="1" applyNumberFormat="1" applyFont="1" applyFill="1" applyBorder="1" applyAlignment="1" applyProtection="1">
      <alignment horizontal="center"/>
    </xf>
    <xf numFmtId="164" fontId="14" fillId="4" borderId="2" xfId="1" applyNumberFormat="1" applyFont="1" applyFill="1" applyBorder="1" applyAlignment="1" applyProtection="1">
      <alignment horizontal="center"/>
    </xf>
    <xf numFmtId="167" fontId="14" fillId="4" borderId="3" xfId="3" applyNumberFormat="1" applyFont="1" applyFill="1" applyBorder="1" applyAlignment="1" applyProtection="1">
      <alignment horizontal="center"/>
    </xf>
    <xf numFmtId="165" fontId="14" fillId="4" borderId="1" xfId="1" applyNumberFormat="1" applyFont="1" applyFill="1" applyBorder="1" applyAlignment="1" applyProtection="1">
      <alignment horizontal="center"/>
    </xf>
    <xf numFmtId="165" fontId="14" fillId="4" borderId="2" xfId="1" applyNumberFormat="1" applyFont="1" applyFill="1" applyBorder="1" applyAlignment="1" applyProtection="1">
      <alignment horizontal="center"/>
    </xf>
    <xf numFmtId="9" fontId="14" fillId="4" borderId="3" xfId="3" applyFont="1" applyFill="1" applyBorder="1" applyAlignment="1" applyProtection="1">
      <alignment horizontal="center"/>
    </xf>
    <xf numFmtId="44" fontId="14" fillId="4" borderId="1" xfId="2" applyNumberFormat="1" applyFont="1" applyFill="1" applyBorder="1" applyAlignment="1" applyProtection="1">
      <alignment horizontal="center"/>
    </xf>
    <xf numFmtId="44" fontId="14" fillId="4" borderId="2" xfId="2" applyNumberFormat="1" applyFont="1" applyFill="1" applyBorder="1" applyAlignment="1" applyProtection="1">
      <alignment horizontal="center"/>
    </xf>
    <xf numFmtId="167" fontId="14" fillId="4" borderId="1" xfId="3" applyNumberFormat="1" applyFont="1" applyFill="1" applyBorder="1" applyAlignment="1" applyProtection="1">
      <alignment horizontal="center"/>
    </xf>
    <xf numFmtId="167" fontId="14" fillId="4" borderId="2" xfId="3" applyNumberFormat="1" applyFont="1" applyFill="1" applyBorder="1" applyAlignment="1" applyProtection="1">
      <alignment horizontal="center"/>
    </xf>
    <xf numFmtId="168" fontId="9" fillId="4" borderId="33" xfId="3" applyNumberFormat="1" applyFont="1" applyFill="1" applyBorder="1" applyAlignment="1" applyProtection="1">
      <alignment horizontal="center"/>
    </xf>
    <xf numFmtId="168" fontId="10" fillId="4" borderId="2" xfId="3" applyNumberFormat="1" applyFont="1" applyFill="1" applyBorder="1" applyAlignment="1" applyProtection="1">
      <alignment horizontal="center"/>
    </xf>
    <xf numFmtId="168" fontId="14" fillId="4" borderId="3" xfId="3" applyNumberFormat="1" applyFont="1" applyFill="1" applyBorder="1" applyAlignment="1" applyProtection="1">
      <alignment horizontal="center"/>
    </xf>
    <xf numFmtId="166" fontId="14" fillId="4" borderId="1" xfId="1" applyNumberFormat="1" applyFont="1" applyFill="1" applyBorder="1" applyAlignment="1" applyProtection="1">
      <alignment horizontal="center"/>
    </xf>
    <xf numFmtId="166" fontId="14" fillId="4" borderId="2" xfId="1" applyNumberFormat="1" applyFont="1" applyFill="1" applyBorder="1" applyAlignment="1" applyProtection="1">
      <alignment horizontal="center"/>
    </xf>
    <xf numFmtId="9" fontId="10" fillId="4" borderId="33" xfId="3" applyFont="1" applyFill="1" applyBorder="1" applyAlignment="1" applyProtection="1">
      <alignment horizontal="center"/>
    </xf>
    <xf numFmtId="9" fontId="10" fillId="4" borderId="2" xfId="3" applyFont="1" applyFill="1" applyBorder="1" applyAlignment="1" applyProtection="1">
      <alignment horizontal="center"/>
    </xf>
    <xf numFmtId="165" fontId="14" fillId="4" borderId="33" xfId="1" applyNumberFormat="1" applyFont="1" applyFill="1" applyBorder="1" applyAlignment="1" applyProtection="1">
      <alignment horizontal="center"/>
    </xf>
    <xf numFmtId="165" fontId="9" fillId="4" borderId="33" xfId="1" applyNumberFormat="1" applyFont="1" applyFill="1" applyBorder="1" applyAlignment="1" applyProtection="1">
      <alignment horizontal="center"/>
    </xf>
    <xf numFmtId="165" fontId="9" fillId="4" borderId="2" xfId="1" applyNumberFormat="1" applyFont="1" applyFill="1" applyBorder="1" applyAlignment="1" applyProtection="1">
      <alignment horizontal="center"/>
    </xf>
    <xf numFmtId="165" fontId="10" fillId="4" borderId="2" xfId="1" applyNumberFormat="1" applyFont="1" applyFill="1" applyBorder="1" applyAlignment="1" applyProtection="1">
      <alignment horizontal="center"/>
    </xf>
    <xf numFmtId="164" fontId="14" fillId="2" borderId="1" xfId="1" applyNumberFormat="1" applyFont="1" applyFill="1" applyBorder="1" applyAlignment="1" applyProtection="1">
      <alignment horizontal="center"/>
    </xf>
    <xf numFmtId="164" fontId="14" fillId="2" borderId="2" xfId="1" applyNumberFormat="1" applyFont="1" applyFill="1" applyBorder="1" applyAlignment="1" applyProtection="1">
      <alignment horizontal="center"/>
    </xf>
    <xf numFmtId="167" fontId="14" fillId="2" borderId="3" xfId="3" applyNumberFormat="1" applyFont="1" applyFill="1" applyBorder="1" applyAlignment="1" applyProtection="1">
      <alignment horizontal="center"/>
    </xf>
    <xf numFmtId="165" fontId="14" fillId="2" borderId="1" xfId="1" applyNumberFormat="1" applyFont="1" applyFill="1" applyBorder="1" applyAlignment="1" applyProtection="1">
      <alignment horizontal="center"/>
    </xf>
    <xf numFmtId="165" fontId="14" fillId="2" borderId="2" xfId="1" applyNumberFormat="1" applyFont="1" applyFill="1" applyBorder="1" applyAlignment="1" applyProtection="1">
      <alignment horizontal="center"/>
    </xf>
    <xf numFmtId="9" fontId="14" fillId="2" borderId="3" xfId="3" applyFont="1" applyFill="1" applyBorder="1" applyAlignment="1" applyProtection="1">
      <alignment horizontal="center"/>
    </xf>
    <xf numFmtId="44" fontId="14" fillId="2" borderId="1" xfId="2" applyNumberFormat="1" applyFont="1" applyFill="1" applyBorder="1" applyAlignment="1" applyProtection="1">
      <alignment horizontal="center"/>
    </xf>
    <xf numFmtId="44" fontId="14" fillId="2" borderId="2" xfId="2" applyNumberFormat="1" applyFont="1" applyFill="1" applyBorder="1" applyAlignment="1" applyProtection="1">
      <alignment horizontal="center"/>
    </xf>
    <xf numFmtId="167" fontId="14" fillId="2" borderId="1" xfId="3" applyNumberFormat="1" applyFont="1" applyFill="1" applyBorder="1" applyAlignment="1" applyProtection="1">
      <alignment horizontal="center"/>
    </xf>
    <xf numFmtId="167" fontId="14" fillId="2" borderId="2" xfId="3" applyNumberFormat="1" applyFont="1" applyFill="1" applyBorder="1" applyAlignment="1" applyProtection="1">
      <alignment horizontal="center"/>
    </xf>
    <xf numFmtId="168" fontId="9" fillId="2" borderId="33" xfId="3" applyNumberFormat="1" applyFont="1" applyFill="1" applyBorder="1" applyAlignment="1" applyProtection="1">
      <alignment horizontal="center"/>
    </xf>
    <xf numFmtId="168" fontId="10" fillId="2" borderId="2" xfId="3" applyNumberFormat="1" applyFont="1" applyFill="1" applyBorder="1" applyAlignment="1" applyProtection="1">
      <alignment horizontal="center"/>
    </xf>
    <xf numFmtId="168" fontId="14" fillId="2" borderId="3" xfId="3" applyNumberFormat="1" applyFont="1" applyFill="1" applyBorder="1" applyAlignment="1" applyProtection="1">
      <alignment horizontal="center"/>
    </xf>
    <xf numFmtId="166" fontId="14" fillId="2" borderId="1" xfId="1" applyNumberFormat="1" applyFont="1" applyFill="1" applyBorder="1" applyAlignment="1" applyProtection="1">
      <alignment horizontal="center"/>
    </xf>
    <xf numFmtId="166" fontId="14" fillId="2" borderId="2" xfId="1" applyNumberFormat="1" applyFont="1" applyFill="1" applyBorder="1" applyAlignment="1" applyProtection="1">
      <alignment horizontal="center"/>
    </xf>
    <xf numFmtId="9" fontId="10" fillId="2" borderId="33" xfId="3" applyFont="1" applyFill="1" applyBorder="1" applyAlignment="1" applyProtection="1">
      <alignment horizontal="center"/>
    </xf>
    <xf numFmtId="9" fontId="10" fillId="2" borderId="2" xfId="3" applyFont="1" applyFill="1" applyBorder="1" applyAlignment="1" applyProtection="1">
      <alignment horizontal="center"/>
    </xf>
    <xf numFmtId="165" fontId="14" fillId="2" borderId="33" xfId="1" applyNumberFormat="1" applyFont="1" applyFill="1" applyBorder="1" applyAlignment="1" applyProtection="1">
      <alignment horizontal="center"/>
    </xf>
    <xf numFmtId="165" fontId="9" fillId="2" borderId="33" xfId="1" applyNumberFormat="1" applyFont="1" applyFill="1" applyBorder="1" applyAlignment="1" applyProtection="1">
      <alignment horizontal="center"/>
    </xf>
    <xf numFmtId="165" fontId="9" fillId="2" borderId="2" xfId="1" applyNumberFormat="1" applyFont="1" applyFill="1" applyBorder="1" applyAlignment="1" applyProtection="1">
      <alignment horizontal="center"/>
    </xf>
    <xf numFmtId="165" fontId="10" fillId="2" borderId="2" xfId="1" applyNumberFormat="1" applyFont="1" applyFill="1" applyBorder="1" applyAlignment="1" applyProtection="1">
      <alignment horizontal="center"/>
    </xf>
    <xf numFmtId="165" fontId="11" fillId="4" borderId="33" xfId="1" applyNumberFormat="1" applyFont="1" applyFill="1" applyBorder="1" applyAlignment="1" applyProtection="1">
      <alignment horizontal="center"/>
    </xf>
    <xf numFmtId="164" fontId="14" fillId="10" borderId="1" xfId="1" applyNumberFormat="1" applyFont="1" applyFill="1" applyBorder="1" applyAlignment="1" applyProtection="1">
      <alignment horizontal="center"/>
    </xf>
    <xf numFmtId="164" fontId="14" fillId="10" borderId="2" xfId="1" applyNumberFormat="1" applyFont="1" applyFill="1" applyBorder="1" applyAlignment="1" applyProtection="1">
      <alignment horizontal="center"/>
    </xf>
    <xf numFmtId="167" fontId="14" fillId="10" borderId="3" xfId="3" applyNumberFormat="1" applyFont="1" applyFill="1" applyBorder="1" applyAlignment="1" applyProtection="1">
      <alignment horizontal="center"/>
    </xf>
    <xf numFmtId="165" fontId="14" fillId="10" borderId="1" xfId="1" applyNumberFormat="1" applyFont="1" applyFill="1" applyBorder="1" applyAlignment="1" applyProtection="1">
      <alignment horizontal="center"/>
    </xf>
    <xf numFmtId="165" fontId="14" fillId="10" borderId="2" xfId="1" applyNumberFormat="1" applyFont="1" applyFill="1" applyBorder="1" applyAlignment="1" applyProtection="1">
      <alignment horizontal="center"/>
    </xf>
    <xf numFmtId="9" fontId="14" fillId="10" borderId="3" xfId="3" applyFont="1" applyFill="1" applyBorder="1" applyAlignment="1" applyProtection="1">
      <alignment horizontal="center"/>
    </xf>
    <xf numFmtId="44" fontId="14" fillId="10" borderId="1" xfId="2" applyNumberFormat="1" applyFont="1" applyFill="1" applyBorder="1" applyAlignment="1" applyProtection="1">
      <alignment horizontal="center"/>
    </xf>
    <xf numFmtId="44" fontId="14" fillId="10" borderId="2" xfId="2" applyNumberFormat="1" applyFont="1" applyFill="1" applyBorder="1" applyAlignment="1" applyProtection="1">
      <alignment horizontal="center"/>
    </xf>
    <xf numFmtId="167" fontId="14" fillId="10" borderId="1" xfId="3" applyNumberFormat="1" applyFont="1" applyFill="1" applyBorder="1" applyAlignment="1" applyProtection="1">
      <alignment horizontal="center"/>
    </xf>
    <xf numFmtId="167" fontId="14" fillId="10" borderId="2" xfId="3" applyNumberFormat="1" applyFont="1" applyFill="1" applyBorder="1" applyAlignment="1" applyProtection="1">
      <alignment horizontal="center"/>
    </xf>
    <xf numFmtId="168" fontId="9" fillId="10" borderId="33" xfId="3" applyNumberFormat="1" applyFont="1" applyFill="1" applyBorder="1" applyAlignment="1" applyProtection="1">
      <alignment horizontal="center"/>
    </xf>
    <xf numFmtId="168" fontId="10" fillId="10" borderId="2" xfId="3" applyNumberFormat="1" applyFont="1" applyFill="1" applyBorder="1" applyAlignment="1" applyProtection="1">
      <alignment horizontal="center"/>
    </xf>
    <xf numFmtId="168" fontId="14" fillId="10" borderId="3" xfId="3" applyNumberFormat="1" applyFont="1" applyFill="1" applyBorder="1" applyAlignment="1" applyProtection="1">
      <alignment horizontal="center"/>
    </xf>
    <xf numFmtId="166" fontId="14" fillId="10" borderId="1" xfId="1" applyNumberFormat="1" applyFont="1" applyFill="1" applyBorder="1" applyAlignment="1" applyProtection="1">
      <alignment horizontal="center"/>
    </xf>
    <xf numFmtId="166" fontId="14" fillId="10" borderId="2" xfId="1" applyNumberFormat="1" applyFont="1" applyFill="1" applyBorder="1" applyAlignment="1" applyProtection="1">
      <alignment horizontal="center"/>
    </xf>
    <xf numFmtId="165" fontId="14" fillId="10" borderId="40" xfId="1" applyNumberFormat="1" applyFont="1" applyFill="1" applyBorder="1" applyAlignment="1" applyProtection="1">
      <alignment horizontal="center"/>
    </xf>
    <xf numFmtId="9" fontId="10" fillId="10" borderId="48" xfId="3" applyFont="1" applyFill="1" applyBorder="1" applyAlignment="1" applyProtection="1">
      <alignment horizontal="center"/>
    </xf>
    <xf numFmtId="9" fontId="10" fillId="10" borderId="40" xfId="3" applyFont="1" applyFill="1" applyBorder="1" applyAlignment="1" applyProtection="1">
      <alignment horizontal="center"/>
    </xf>
    <xf numFmtId="165" fontId="14" fillId="10" borderId="48" xfId="1" applyNumberFormat="1" applyFont="1" applyFill="1" applyBorder="1" applyAlignment="1" applyProtection="1">
      <alignment horizontal="center"/>
    </xf>
    <xf numFmtId="165" fontId="9" fillId="10" borderId="48" xfId="1" applyNumberFormat="1" applyFont="1" applyFill="1" applyBorder="1" applyAlignment="1" applyProtection="1">
      <alignment horizontal="center"/>
    </xf>
    <xf numFmtId="165" fontId="9" fillId="10" borderId="40" xfId="1" applyNumberFormat="1" applyFont="1" applyFill="1" applyBorder="1" applyAlignment="1" applyProtection="1">
      <alignment horizontal="center"/>
    </xf>
    <xf numFmtId="165" fontId="10" fillId="10" borderId="40" xfId="1" applyNumberFormat="1" applyFont="1" applyFill="1" applyBorder="1" applyAlignment="1" applyProtection="1">
      <alignment horizontal="center"/>
    </xf>
    <xf numFmtId="165" fontId="9" fillId="3" borderId="8" xfId="1" applyNumberFormat="1" applyFont="1" applyFill="1" applyBorder="1" applyAlignment="1" applyProtection="1">
      <alignment horizontal="center"/>
      <protection locked="0"/>
    </xf>
    <xf numFmtId="44" fontId="9" fillId="3" borderId="8" xfId="2" applyNumberFormat="1" applyFont="1" applyFill="1" applyBorder="1" applyAlignment="1" applyProtection="1">
      <alignment horizontal="center"/>
      <protection locked="0"/>
    </xf>
    <xf numFmtId="0" fontId="26" fillId="0" borderId="0" xfId="0" applyFont="1" applyAlignment="1"/>
    <xf numFmtId="0" fontId="0" fillId="0" borderId="57" xfId="0" applyBorder="1"/>
    <xf numFmtId="0" fontId="29" fillId="0" borderId="56" xfId="0" applyFont="1" applyBorder="1" applyAlignment="1">
      <alignment horizontal="center" vertical="center"/>
    </xf>
    <xf numFmtId="168" fontId="9" fillId="0" borderId="8" xfId="3" applyNumberFormat="1" applyFont="1" applyFill="1" applyBorder="1" applyAlignment="1" applyProtection="1">
      <alignment horizontal="center"/>
    </xf>
    <xf numFmtId="168" fontId="9" fillId="0" borderId="0" xfId="3" applyNumberFormat="1" applyFont="1" applyBorder="1" applyAlignment="1" applyProtection="1">
      <alignment horizontal="center"/>
    </xf>
    <xf numFmtId="168" fontId="14" fillId="4" borderId="1" xfId="3" applyNumberFormat="1" applyFont="1" applyFill="1" applyBorder="1" applyAlignment="1" applyProtection="1">
      <alignment horizontal="center"/>
    </xf>
    <xf numFmtId="168" fontId="14" fillId="4" borderId="2" xfId="3" applyNumberFormat="1" applyFont="1" applyFill="1" applyBorder="1" applyAlignment="1" applyProtection="1">
      <alignment horizontal="center"/>
    </xf>
    <xf numFmtId="168" fontId="14" fillId="2" borderId="1" xfId="3" applyNumberFormat="1" applyFont="1" applyFill="1" applyBorder="1" applyAlignment="1" applyProtection="1">
      <alignment horizontal="center"/>
    </xf>
    <xf numFmtId="168" fontId="14" fillId="2" borderId="2" xfId="3" applyNumberFormat="1" applyFont="1" applyFill="1" applyBorder="1" applyAlignment="1" applyProtection="1">
      <alignment horizontal="center"/>
    </xf>
    <xf numFmtId="168" fontId="14" fillId="10" borderId="1" xfId="3" applyNumberFormat="1" applyFont="1" applyFill="1" applyBorder="1" applyAlignment="1" applyProtection="1">
      <alignment horizontal="center"/>
    </xf>
    <xf numFmtId="168" fontId="14" fillId="10" borderId="2" xfId="3" applyNumberFormat="1" applyFont="1" applyFill="1" applyBorder="1" applyAlignment="1" applyProtection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vertical="center"/>
    </xf>
    <xf numFmtId="43" fontId="26" fillId="8" borderId="0" xfId="1" applyFont="1" applyFill="1" applyAlignment="1">
      <alignment horizontal="center"/>
    </xf>
    <xf numFmtId="43" fontId="26" fillId="9" borderId="0" xfId="1" applyFont="1" applyFill="1" applyAlignment="1">
      <alignment horizontal="center"/>
    </xf>
    <xf numFmtId="43" fontId="0" fillId="0" borderId="0" xfId="1" applyFont="1"/>
    <xf numFmtId="43" fontId="6" fillId="0" borderId="36" xfId="1" applyFont="1" applyBorder="1" applyAlignment="1">
      <alignment horizontal="center" wrapText="1"/>
    </xf>
    <xf numFmtId="43" fontId="6" fillId="0" borderId="37" xfId="1" applyFont="1" applyBorder="1" applyAlignment="1">
      <alignment horizontal="center" wrapText="1"/>
    </xf>
    <xf numFmtId="43" fontId="10" fillId="4" borderId="29" xfId="1" applyFont="1" applyFill="1" applyBorder="1" applyAlignment="1" applyProtection="1">
      <alignment horizontal="center"/>
    </xf>
    <xf numFmtId="43" fontId="10" fillId="4" borderId="30" xfId="1" applyFont="1" applyFill="1" applyBorder="1" applyAlignment="1" applyProtection="1">
      <alignment horizontal="center"/>
    </xf>
    <xf numFmtId="43" fontId="10" fillId="2" borderId="30" xfId="1" applyFont="1" applyFill="1" applyBorder="1" applyAlignment="1" applyProtection="1">
      <alignment horizontal="center"/>
    </xf>
    <xf numFmtId="0" fontId="0" fillId="0" borderId="66" xfId="0" applyBorder="1"/>
    <xf numFmtId="0" fontId="25" fillId="0" borderId="67" xfId="9" applyFont="1" applyFill="1" applyBorder="1" applyAlignment="1">
      <alignment wrapText="1"/>
    </xf>
    <xf numFmtId="0" fontId="0" fillId="0" borderId="68" xfId="0" applyBorder="1"/>
    <xf numFmtId="0" fontId="0" fillId="0" borderId="25" xfId="0" applyFill="1" applyBorder="1"/>
    <xf numFmtId="0" fontId="0" fillId="6" borderId="60" xfId="0" applyFill="1" applyBorder="1" applyAlignment="1">
      <alignment horizontal="right"/>
    </xf>
    <xf numFmtId="0" fontId="10" fillId="0" borderId="8" xfId="4" applyFont="1" applyFill="1" applyBorder="1" applyAlignment="1" applyProtection="1">
      <alignment horizontal="center"/>
    </xf>
    <xf numFmtId="164" fontId="9" fillId="0" borderId="4" xfId="2" applyNumberFormat="1" applyFont="1" applyFill="1" applyBorder="1" applyAlignment="1" applyProtection="1">
      <alignment horizontal="center"/>
    </xf>
    <xf numFmtId="164" fontId="9" fillId="0" borderId="0" xfId="2" applyNumberFormat="1" applyFont="1" applyFill="1" applyBorder="1" applyAlignment="1" applyProtection="1">
      <alignment horizontal="center"/>
    </xf>
    <xf numFmtId="167" fontId="9" fillId="0" borderId="10" xfId="3" applyNumberFormat="1" applyFont="1" applyFill="1" applyBorder="1" applyAlignment="1" applyProtection="1">
      <alignment horizontal="center"/>
    </xf>
    <xf numFmtId="165" fontId="9" fillId="0" borderId="0" xfId="1" applyNumberFormat="1" applyFont="1" applyFill="1" applyBorder="1" applyAlignment="1" applyProtection="1">
      <alignment horizontal="center"/>
    </xf>
    <xf numFmtId="43" fontId="10" fillId="0" borderId="29" xfId="1" applyFont="1" applyFill="1" applyBorder="1" applyAlignment="1" applyProtection="1">
      <alignment horizontal="center"/>
    </xf>
    <xf numFmtId="9" fontId="9" fillId="0" borderId="10" xfId="3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44" fontId="9" fillId="0" borderId="0" xfId="2" applyNumberFormat="1" applyFont="1" applyFill="1" applyBorder="1" applyAlignment="1" applyProtection="1">
      <alignment horizontal="center"/>
    </xf>
    <xf numFmtId="167" fontId="9" fillId="0" borderId="0" xfId="3" applyNumberFormat="1" applyFont="1" applyFill="1" applyBorder="1" applyAlignment="1" applyProtection="1">
      <alignment horizontal="center"/>
    </xf>
    <xf numFmtId="168" fontId="10" fillId="0" borderId="32" xfId="3" applyNumberFormat="1" applyFont="1" applyFill="1" applyBorder="1" applyAlignment="1" applyProtection="1">
      <alignment horizontal="center"/>
    </xf>
    <xf numFmtId="168" fontId="10" fillId="0" borderId="0" xfId="3" applyNumberFormat="1" applyFont="1" applyFill="1" applyBorder="1" applyAlignment="1" applyProtection="1">
      <alignment horizontal="center"/>
    </xf>
    <xf numFmtId="168" fontId="9" fillId="0" borderId="10" xfId="3" applyNumberFormat="1" applyFont="1" applyFill="1" applyBorder="1" applyAlignment="1" applyProtection="1">
      <alignment horizontal="center"/>
    </xf>
    <xf numFmtId="165" fontId="3" fillId="0" borderId="0" xfId="1" applyNumberFormat="1" applyFont="1" applyFill="1" applyBorder="1" applyAlignment="1" applyProtection="1">
      <alignment horizontal="center"/>
    </xf>
    <xf numFmtId="166" fontId="9" fillId="0" borderId="8" xfId="1" applyNumberFormat="1" applyFont="1" applyFill="1" applyBorder="1" applyAlignment="1" applyProtection="1">
      <alignment horizontal="center"/>
    </xf>
    <xf numFmtId="166" fontId="9" fillId="0" borderId="5" xfId="1" applyNumberFormat="1" applyFont="1" applyFill="1" applyBorder="1" applyAlignment="1" applyProtection="1">
      <alignment horizontal="center"/>
    </xf>
    <xf numFmtId="9" fontId="10" fillId="0" borderId="32" xfId="3" applyFont="1" applyFill="1" applyBorder="1" applyAlignment="1" applyProtection="1">
      <alignment horizontal="center"/>
    </xf>
    <xf numFmtId="9" fontId="10" fillId="0" borderId="0" xfId="3" applyFont="1" applyFill="1" applyBorder="1" applyAlignment="1" applyProtection="1">
      <alignment horizontal="center"/>
    </xf>
    <xf numFmtId="165" fontId="11" fillId="0" borderId="32" xfId="1" applyNumberFormat="1" applyFont="1" applyFill="1" applyBorder="1" applyAlignment="1" applyProtection="1">
      <alignment horizontal="center"/>
    </xf>
    <xf numFmtId="165" fontId="9" fillId="0" borderId="34" xfId="1" applyNumberFormat="1" applyFont="1" applyFill="1" applyBorder="1" applyAlignment="1" applyProtection="1">
      <alignment horizontal="center"/>
    </xf>
    <xf numFmtId="165" fontId="9" fillId="0" borderId="35" xfId="1" applyNumberFormat="1" applyFont="1" applyFill="1" applyBorder="1" applyAlignment="1" applyProtection="1">
      <alignment horizontal="center"/>
    </xf>
    <xf numFmtId="165" fontId="10" fillId="0" borderId="0" xfId="1" applyNumberFormat="1" applyFont="1" applyFill="1" applyBorder="1" applyAlignment="1" applyProtection="1">
      <alignment horizontal="center"/>
    </xf>
    <xf numFmtId="165" fontId="9" fillId="0" borderId="5" xfId="1" applyNumberFormat="1" applyFont="1" applyFill="1" applyBorder="1" applyAlignment="1" applyProtection="1">
      <alignment horizontal="center"/>
    </xf>
    <xf numFmtId="164" fontId="9" fillId="0" borderId="8" xfId="2" applyNumberFormat="1" applyFont="1" applyFill="1" applyBorder="1" applyAlignment="1" applyProtection="1">
      <alignment horizontal="center"/>
    </xf>
    <xf numFmtId="168" fontId="9" fillId="0" borderId="32" xfId="3" applyNumberFormat="1" applyFont="1" applyFill="1" applyBorder="1" applyAlignment="1" applyProtection="1">
      <alignment horizontal="center"/>
    </xf>
    <xf numFmtId="166" fontId="9" fillId="0" borderId="0" xfId="1" applyNumberFormat="1" applyFont="1" applyFill="1" applyBorder="1" applyAlignment="1" applyProtection="1">
      <alignment horizontal="center"/>
    </xf>
    <xf numFmtId="165" fontId="9" fillId="0" borderId="32" xfId="1" applyNumberFormat="1" applyFont="1" applyFill="1" applyBorder="1" applyAlignment="1" applyProtection="1">
      <alignment horizontal="center"/>
    </xf>
    <xf numFmtId="164" fontId="9" fillId="0" borderId="9" xfId="2" applyNumberFormat="1" applyFont="1" applyFill="1" applyBorder="1" applyAlignment="1" applyProtection="1">
      <alignment horizontal="center"/>
    </xf>
    <xf numFmtId="164" fontId="14" fillId="0" borderId="1" xfId="1" applyNumberFormat="1" applyFont="1" applyFill="1" applyBorder="1" applyAlignment="1" applyProtection="1">
      <alignment horizontal="center"/>
    </xf>
    <xf numFmtId="164" fontId="14" fillId="0" borderId="2" xfId="1" applyNumberFormat="1" applyFont="1" applyFill="1" applyBorder="1" applyAlignment="1" applyProtection="1">
      <alignment horizontal="center"/>
    </xf>
    <xf numFmtId="167" fontId="14" fillId="0" borderId="3" xfId="3" applyNumberFormat="1" applyFont="1" applyFill="1" applyBorder="1" applyAlignment="1" applyProtection="1">
      <alignment horizontal="center"/>
    </xf>
    <xf numFmtId="165" fontId="14" fillId="0" borderId="1" xfId="1" applyNumberFormat="1" applyFont="1" applyFill="1" applyBorder="1" applyAlignment="1" applyProtection="1">
      <alignment horizontal="center"/>
    </xf>
    <xf numFmtId="165" fontId="14" fillId="0" borderId="2" xfId="1" applyNumberFormat="1" applyFont="1" applyFill="1" applyBorder="1" applyAlignment="1" applyProtection="1">
      <alignment horizontal="center"/>
    </xf>
    <xf numFmtId="43" fontId="10" fillId="0" borderId="30" xfId="1" applyFont="1" applyFill="1" applyBorder="1" applyAlignment="1" applyProtection="1">
      <alignment horizontal="center"/>
    </xf>
    <xf numFmtId="9" fontId="14" fillId="0" borderId="3" xfId="3" applyFont="1" applyFill="1" applyBorder="1" applyAlignment="1" applyProtection="1">
      <alignment horizontal="center"/>
    </xf>
    <xf numFmtId="168" fontId="14" fillId="0" borderId="1" xfId="3" applyNumberFormat="1" applyFont="1" applyFill="1" applyBorder="1" applyAlignment="1" applyProtection="1">
      <alignment horizontal="center"/>
    </xf>
    <xf numFmtId="168" fontId="14" fillId="0" borderId="2" xfId="3" applyNumberFormat="1" applyFont="1" applyFill="1" applyBorder="1" applyAlignment="1" applyProtection="1">
      <alignment horizontal="center"/>
    </xf>
    <xf numFmtId="44" fontId="14" fillId="0" borderId="1" xfId="2" applyNumberFormat="1" applyFont="1" applyFill="1" applyBorder="1" applyAlignment="1" applyProtection="1">
      <alignment horizontal="center"/>
    </xf>
    <xf numFmtId="44" fontId="14" fillId="0" borderId="2" xfId="2" applyNumberFormat="1" applyFont="1" applyFill="1" applyBorder="1" applyAlignment="1" applyProtection="1">
      <alignment horizontal="center"/>
    </xf>
    <xf numFmtId="167" fontId="14" fillId="0" borderId="1" xfId="3" applyNumberFormat="1" applyFont="1" applyFill="1" applyBorder="1" applyAlignment="1" applyProtection="1">
      <alignment horizontal="center"/>
    </xf>
    <xf numFmtId="167" fontId="14" fillId="0" borderId="2" xfId="3" applyNumberFormat="1" applyFont="1" applyFill="1" applyBorder="1" applyAlignment="1" applyProtection="1">
      <alignment horizontal="center"/>
    </xf>
    <xf numFmtId="168" fontId="9" fillId="0" borderId="33" xfId="3" applyNumberFormat="1" applyFont="1" applyFill="1" applyBorder="1" applyAlignment="1" applyProtection="1">
      <alignment horizontal="center"/>
    </xf>
    <xf numFmtId="168" fontId="10" fillId="0" borderId="2" xfId="3" applyNumberFormat="1" applyFont="1" applyFill="1" applyBorder="1" applyAlignment="1" applyProtection="1">
      <alignment horizontal="center"/>
    </xf>
    <xf numFmtId="168" fontId="14" fillId="0" borderId="3" xfId="3" applyNumberFormat="1" applyFont="1" applyFill="1" applyBorder="1" applyAlignment="1" applyProtection="1">
      <alignment horizontal="center"/>
    </xf>
    <xf numFmtId="166" fontId="14" fillId="0" borderId="1" xfId="1" applyNumberFormat="1" applyFont="1" applyFill="1" applyBorder="1" applyAlignment="1" applyProtection="1">
      <alignment horizontal="center"/>
    </xf>
    <xf numFmtId="166" fontId="14" fillId="0" borderId="2" xfId="1" applyNumberFormat="1" applyFont="1" applyFill="1" applyBorder="1" applyAlignment="1" applyProtection="1">
      <alignment horizontal="center"/>
    </xf>
    <xf numFmtId="9" fontId="10" fillId="0" borderId="33" xfId="3" applyFont="1" applyFill="1" applyBorder="1" applyAlignment="1" applyProtection="1">
      <alignment horizontal="center"/>
    </xf>
    <xf numFmtId="9" fontId="10" fillId="0" borderId="2" xfId="3" applyFont="1" applyFill="1" applyBorder="1" applyAlignment="1" applyProtection="1">
      <alignment horizontal="center"/>
    </xf>
    <xf numFmtId="165" fontId="14" fillId="0" borderId="33" xfId="1" applyNumberFormat="1" applyFont="1" applyFill="1" applyBorder="1" applyAlignment="1" applyProtection="1">
      <alignment horizontal="center"/>
    </xf>
    <xf numFmtId="165" fontId="9" fillId="0" borderId="33" xfId="1" applyNumberFormat="1" applyFont="1" applyFill="1" applyBorder="1" applyAlignment="1" applyProtection="1">
      <alignment horizontal="center"/>
    </xf>
    <xf numFmtId="165" fontId="9" fillId="0" borderId="2" xfId="1" applyNumberFormat="1" applyFont="1" applyFill="1" applyBorder="1" applyAlignment="1" applyProtection="1">
      <alignment horizontal="center"/>
    </xf>
    <xf numFmtId="165" fontId="10" fillId="0" borderId="2" xfId="1" applyNumberFormat="1" applyFont="1" applyFill="1" applyBorder="1" applyAlignment="1" applyProtection="1">
      <alignment horizontal="center"/>
    </xf>
    <xf numFmtId="43" fontId="10" fillId="11" borderId="30" xfId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5" fontId="9" fillId="0" borderId="8" xfId="1" applyNumberFormat="1" applyFont="1" applyFill="1" applyBorder="1" applyAlignment="1" applyProtection="1">
      <alignment horizontal="center"/>
    </xf>
    <xf numFmtId="44" fontId="9" fillId="0" borderId="8" xfId="2" applyNumberFormat="1" applyFont="1" applyFill="1" applyBorder="1" applyAlignment="1" applyProtection="1">
      <alignment horizontal="center"/>
    </xf>
    <xf numFmtId="0" fontId="14" fillId="4" borderId="1" xfId="4" applyFont="1" applyFill="1" applyBorder="1" applyAlignment="1" applyProtection="1">
      <alignment horizontal="center"/>
    </xf>
    <xf numFmtId="0" fontId="14" fillId="2" borderId="1" xfId="4" applyFont="1" applyFill="1" applyBorder="1" applyAlignment="1" applyProtection="1">
      <alignment horizontal="center"/>
    </xf>
    <xf numFmtId="0" fontId="0" fillId="8" borderId="69" xfId="0" applyFill="1" applyBorder="1"/>
    <xf numFmtId="0" fontId="0" fillId="0" borderId="0" xfId="0" applyAlignment="1">
      <alignment horizontal="right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22" fillId="0" borderId="0" xfId="0" applyFont="1" applyBorder="1" applyAlignment="1">
      <alignment horizontal="center"/>
    </xf>
    <xf numFmtId="44" fontId="0" fillId="0" borderId="0" xfId="2" applyFont="1" applyBorder="1"/>
    <xf numFmtId="0" fontId="0" fillId="0" borderId="58" xfId="0" applyBorder="1" applyAlignment="1">
      <alignment horizontal="left"/>
    </xf>
    <xf numFmtId="0" fontId="30" fillId="0" borderId="58" xfId="0" applyFont="1" applyBorder="1" applyAlignment="1"/>
    <xf numFmtId="0" fontId="0" fillId="0" borderId="23" xfId="0" applyBorder="1" applyAlignment="1">
      <alignment vertical="center"/>
    </xf>
    <xf numFmtId="0" fontId="6" fillId="0" borderId="24" xfId="4" applyFont="1" applyBorder="1" applyAlignment="1">
      <alignment horizontal="left" vertical="center" wrapText="1"/>
    </xf>
    <xf numFmtId="0" fontId="6" fillId="0" borderId="23" xfId="4" applyFont="1" applyBorder="1" applyAlignment="1">
      <alignment horizontal="center" vertical="center" wrapText="1"/>
    </xf>
    <xf numFmtId="44" fontId="6" fillId="0" borderId="24" xfId="2" applyFont="1" applyBorder="1" applyAlignment="1">
      <alignment horizontal="center" vertical="center" wrapText="1"/>
    </xf>
    <xf numFmtId="0" fontId="6" fillId="0" borderId="24" xfId="4" applyFont="1" applyBorder="1" applyAlignment="1">
      <alignment horizontal="center" vertical="center" wrapText="1"/>
    </xf>
    <xf numFmtId="165" fontId="6" fillId="0" borderId="24" xfId="1" applyNumberFormat="1" applyFont="1" applyBorder="1" applyAlignment="1">
      <alignment horizontal="center" vertical="center" wrapText="1"/>
    </xf>
    <xf numFmtId="165" fontId="6" fillId="8" borderId="24" xfId="1" applyNumberFormat="1" applyFont="1" applyFill="1" applyBorder="1" applyAlignment="1">
      <alignment horizontal="center" vertical="center" wrapText="1"/>
    </xf>
    <xf numFmtId="165" fontId="6" fillId="8" borderId="22" xfId="1" applyNumberFormat="1" applyFont="1" applyFill="1" applyBorder="1" applyAlignment="1">
      <alignment horizontal="center" vertical="center" wrapText="1"/>
    </xf>
    <xf numFmtId="0" fontId="0" fillId="0" borderId="69" xfId="0" applyBorder="1"/>
    <xf numFmtId="0" fontId="24" fillId="7" borderId="69" xfId="9" applyFont="1" applyFill="1" applyBorder="1" applyAlignment="1">
      <alignment horizontal="center"/>
    </xf>
    <xf numFmtId="0" fontId="22" fillId="0" borderId="18" xfId="0" applyFont="1" applyBorder="1"/>
    <xf numFmtId="0" fontId="22" fillId="0" borderId="25" xfId="0" applyFont="1" applyBorder="1"/>
    <xf numFmtId="0" fontId="0" fillId="0" borderId="58" xfId="0" applyBorder="1"/>
    <xf numFmtId="0" fontId="0" fillId="0" borderId="67" xfId="0" applyBorder="1"/>
    <xf numFmtId="0" fontId="22" fillId="0" borderId="68" xfId="0" applyFont="1" applyBorder="1"/>
    <xf numFmtId="0" fontId="22" fillId="0" borderId="66" xfId="0" applyFont="1" applyBorder="1"/>
    <xf numFmtId="0" fontId="22" fillId="6" borderId="70" xfId="0" applyFont="1" applyFill="1" applyBorder="1"/>
    <xf numFmtId="0" fontId="0" fillId="6" borderId="71" xfId="0" applyFill="1" applyBorder="1"/>
    <xf numFmtId="0" fontId="0" fillId="6" borderId="72" xfId="0" applyFill="1" applyBorder="1"/>
    <xf numFmtId="0" fontId="22" fillId="0" borderId="73" xfId="0" applyFont="1" applyBorder="1"/>
    <xf numFmtId="0" fontId="0" fillId="0" borderId="74" xfId="0" applyBorder="1"/>
    <xf numFmtId="0" fontId="0" fillId="0" borderId="75" xfId="0" applyBorder="1"/>
    <xf numFmtId="0" fontId="0" fillId="6" borderId="71" xfId="0" applyFill="1" applyBorder="1" applyAlignment="1">
      <alignment horizontal="center"/>
    </xf>
    <xf numFmtId="0" fontId="0" fillId="6" borderId="72" xfId="0" applyFill="1" applyBorder="1" applyAlignment="1">
      <alignment horizontal="center"/>
    </xf>
    <xf numFmtId="9" fontId="26" fillId="0" borderId="0" xfId="3" applyFont="1" applyAlignment="1">
      <alignment horizontal="center"/>
    </xf>
    <xf numFmtId="9" fontId="0" fillId="0" borderId="0" xfId="3" applyFont="1"/>
    <xf numFmtId="9" fontId="6" fillId="0" borderId="0" xfId="3" applyFont="1" applyFill="1" applyBorder="1" applyAlignment="1">
      <alignment horizontal="center" wrapText="1"/>
    </xf>
    <xf numFmtId="44" fontId="26" fillId="0" borderId="0" xfId="2" applyFont="1" applyAlignment="1">
      <alignment horizontal="center"/>
    </xf>
    <xf numFmtId="44" fontId="6" fillId="0" borderId="0" xfId="2" applyFont="1" applyFill="1" applyBorder="1" applyAlignment="1">
      <alignment horizontal="center" wrapText="1"/>
    </xf>
    <xf numFmtId="9" fontId="6" fillId="0" borderId="76" xfId="3" applyFont="1" applyFill="1" applyBorder="1" applyAlignment="1">
      <alignment horizontal="center" wrapText="1"/>
    </xf>
    <xf numFmtId="44" fontId="6" fillId="0" borderId="77" xfId="2" applyFont="1" applyFill="1" applyBorder="1" applyAlignment="1">
      <alignment horizontal="center" wrapText="1"/>
    </xf>
    <xf numFmtId="9" fontId="0" fillId="0" borderId="76" xfId="3" applyFont="1" applyBorder="1"/>
    <xf numFmtId="44" fontId="0" fillId="0" borderId="77" xfId="2" applyFont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22" fillId="6" borderId="73" xfId="0" applyFont="1" applyFill="1" applyBorder="1" applyAlignment="1">
      <alignment horizontal="center"/>
    </xf>
    <xf numFmtId="0" fontId="22" fillId="0" borderId="87" xfId="0" applyFont="1" applyBorder="1"/>
    <xf numFmtId="0" fontId="22" fillId="13" borderId="87" xfId="0" applyFont="1" applyFill="1" applyBorder="1"/>
    <xf numFmtId="0" fontId="22" fillId="13" borderId="18" xfId="0" applyFont="1" applyFill="1" applyBorder="1"/>
    <xf numFmtId="0" fontId="22" fillId="13" borderId="25" xfId="0" applyFont="1" applyFill="1" applyBorder="1"/>
    <xf numFmtId="0" fontId="0" fillId="0" borderId="0" xfId="2" applyNumberFormat="1" applyFont="1"/>
    <xf numFmtId="0" fontId="25" fillId="7" borderId="88" xfId="9" applyFont="1" applyFill="1" applyBorder="1" applyAlignment="1">
      <alignment horizontal="center"/>
    </xf>
    <xf numFmtId="0" fontId="25" fillId="7" borderId="69" xfId="9" applyFont="1" applyFill="1" applyBorder="1" applyAlignment="1">
      <alignment horizontal="center"/>
    </xf>
    <xf numFmtId="0" fontId="0" fillId="0" borderId="60" xfId="0" applyFill="1" applyBorder="1"/>
    <xf numFmtId="0" fontId="28" fillId="0" borderId="59" xfId="11" applyFont="1" applyFill="1" applyBorder="1" applyAlignment="1">
      <alignment horizontal="center"/>
    </xf>
    <xf numFmtId="0" fontId="0" fillId="0" borderId="61" xfId="0" applyFill="1" applyBorder="1"/>
    <xf numFmtId="0" fontId="33" fillId="0" borderId="0" xfId="0" applyFont="1" applyAlignment="1">
      <alignment horizontal="left" indent="1"/>
    </xf>
    <xf numFmtId="0" fontId="35" fillId="0" borderId="0" xfId="0" applyFont="1" applyAlignment="1">
      <alignment horizontal="left" indent="1"/>
    </xf>
    <xf numFmtId="0" fontId="0" fillId="13" borderId="74" xfId="0" applyFill="1" applyBorder="1"/>
    <xf numFmtId="0" fontId="0" fillId="13" borderId="0" xfId="0" applyFill="1" applyBorder="1"/>
    <xf numFmtId="0" fontId="36" fillId="0" borderId="0" xfId="0" applyFont="1" applyAlignment="1">
      <alignment vertical="center"/>
    </xf>
    <xf numFmtId="0" fontId="37" fillId="0" borderId="0" xfId="0" applyFont="1"/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2" fillId="0" borderId="0" xfId="0" applyFont="1" applyBorder="1"/>
    <xf numFmtId="0" fontId="17" fillId="0" borderId="0" xfId="0" applyFont="1" applyAlignment="1">
      <alignment horizontal="left" vertical="center" wrapText="1" indent="1"/>
    </xf>
    <xf numFmtId="0" fontId="17" fillId="0" borderId="0" xfId="0" applyFont="1" applyAlignment="1">
      <alignment horizontal="left" vertical="center" indent="1"/>
    </xf>
    <xf numFmtId="0" fontId="34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7" fillId="0" borderId="32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54" xfId="0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7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64" xfId="0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16" fillId="0" borderId="62" xfId="0" applyFont="1" applyFill="1" applyBorder="1" applyAlignment="1">
      <alignment horizontal="center" vertical="center"/>
    </xf>
    <xf numFmtId="0" fontId="16" fillId="0" borderId="39" xfId="0" applyFont="1" applyFill="1" applyBorder="1" applyAlignment="1">
      <alignment horizontal="center" vertical="center"/>
    </xf>
    <xf numFmtId="0" fontId="16" fillId="0" borderId="63" xfId="0" applyFont="1" applyFill="1" applyBorder="1" applyAlignment="1">
      <alignment horizontal="center" vertical="center"/>
    </xf>
    <xf numFmtId="0" fontId="27" fillId="0" borderId="55" xfId="0" applyFont="1" applyBorder="1" applyAlignment="1">
      <alignment horizontal="left"/>
    </xf>
    <xf numFmtId="0" fontId="16" fillId="0" borderId="41" xfId="0" applyFont="1" applyFill="1" applyBorder="1" applyAlignment="1">
      <alignment horizontal="center" vertical="center"/>
    </xf>
    <xf numFmtId="0" fontId="16" fillId="0" borderId="42" xfId="0" applyFont="1" applyFill="1" applyBorder="1" applyAlignment="1">
      <alignment horizontal="center" vertical="center"/>
    </xf>
    <xf numFmtId="0" fontId="16" fillId="0" borderId="44" xfId="0" applyFont="1" applyFill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43" fontId="7" fillId="0" borderId="53" xfId="1" applyFont="1" applyBorder="1" applyAlignment="1">
      <alignment horizontal="center"/>
    </xf>
    <xf numFmtId="43" fontId="7" fillId="0" borderId="64" xfId="1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52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15" fillId="0" borderId="0" xfId="0" applyFont="1" applyBorder="1" applyAlignment="1">
      <alignment horizontal="left"/>
    </xf>
    <xf numFmtId="0" fontId="30" fillId="2" borderId="66" xfId="0" applyFont="1" applyFill="1" applyBorder="1" applyAlignment="1">
      <alignment horizontal="center"/>
    </xf>
    <xf numFmtId="0" fontId="30" fillId="2" borderId="58" xfId="0" applyFont="1" applyFill="1" applyBorder="1" applyAlignment="1">
      <alignment horizontal="center"/>
    </xf>
    <xf numFmtId="0" fontId="30" fillId="2" borderId="67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28" fillId="3" borderId="70" xfId="11" applyFont="1" applyFill="1" applyBorder="1" applyAlignment="1">
      <alignment horizontal="center"/>
    </xf>
    <xf numFmtId="0" fontId="28" fillId="3" borderId="71" xfId="11" applyFont="1" applyFill="1" applyBorder="1" applyAlignment="1">
      <alignment horizontal="center"/>
    </xf>
    <xf numFmtId="0" fontId="28" fillId="3" borderId="72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3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38"/>
      <tableStyleElement type="totalRow" dxfId="37"/>
      <tableStyleElement type="firstRowStripe" dxfId="36"/>
      <tableStyleElement type="firstColumnStripe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PivotStyleLightTY 2 2 2 2 2" table="0" count="10">
      <tableStyleElement type="headerRow" dxfId="27"/>
      <tableStyleElement type="totalRow" dxfId="26"/>
      <tableStyleElement type="firstRowStripe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3219450</xdr:colOff>
      <xdr:row>3</xdr:row>
      <xdr:rowOff>264320</xdr:rowOff>
    </xdr:from>
    <xdr:to>
      <xdr:col>1</xdr:col>
      <xdr:colOff>3496904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1171575</xdr:colOff>
      <xdr:row>15</xdr:row>
      <xdr:rowOff>200026</xdr:rowOff>
    </xdr:from>
    <xdr:to>
      <xdr:col>3</xdr:col>
      <xdr:colOff>828675</xdr:colOff>
      <xdr:row>17</xdr:row>
      <xdr:rowOff>126208</xdr:rowOff>
    </xdr:to>
    <xdr:grpSp>
      <xdr:nvGrpSpPr>
        <xdr:cNvPr id="18" name="Group 17"/>
        <xdr:cNvGrpSpPr/>
      </xdr:nvGrpSpPr>
      <xdr:grpSpPr>
        <a:xfrm>
          <a:off x="5255419" y="5283995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1171575</xdr:colOff>
      <xdr:row>11</xdr:row>
      <xdr:rowOff>171451</xdr:rowOff>
    </xdr:from>
    <xdr:to>
      <xdr:col>3</xdr:col>
      <xdr:colOff>828675</xdr:colOff>
      <xdr:row>13</xdr:row>
      <xdr:rowOff>97633</xdr:rowOff>
    </xdr:to>
    <xdr:grpSp>
      <xdr:nvGrpSpPr>
        <xdr:cNvPr id="17" name="Group 16"/>
        <xdr:cNvGrpSpPr/>
      </xdr:nvGrpSpPr>
      <xdr:grpSpPr>
        <a:xfrm>
          <a:off x="5255419" y="3969545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79998</xdr:colOff>
      <xdr:row>4</xdr:row>
      <xdr:rowOff>168275</xdr:rowOff>
    </xdr:from>
    <xdr:to>
      <xdr:col>14</xdr:col>
      <xdr:colOff>34443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10</xdr:col>
      <xdr:colOff>256646</xdr:colOff>
      <xdr:row>4</xdr:row>
      <xdr:rowOff>168275</xdr:rowOff>
    </xdr:from>
    <xdr:to>
      <xdr:col>11</xdr:col>
      <xdr:colOff>767915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8</xdr:col>
      <xdr:colOff>178221</xdr:colOff>
      <xdr:row>4</xdr:row>
      <xdr:rowOff>168275</xdr:rowOff>
    </xdr:from>
    <xdr:to>
      <xdr:col>10</xdr:col>
      <xdr:colOff>104246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6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48.5" customWidth="1"/>
    <col min="3" max="3" width="27.375" customWidth="1"/>
  </cols>
  <sheetData>
    <row r="1" spans="2:10" ht="24" customHeight="1" x14ac:dyDescent="0.25"/>
    <row r="2" spans="2:10" ht="40.5" x14ac:dyDescent="0.7">
      <c r="B2" s="308" t="s">
        <v>57</v>
      </c>
    </row>
    <row r="3" spans="2:10" ht="41.25" customHeight="1" x14ac:dyDescent="0.25">
      <c r="B3" s="319" t="s">
        <v>58</v>
      </c>
      <c r="C3" s="319"/>
      <c r="D3" s="319"/>
      <c r="E3" s="319"/>
      <c r="F3" s="319"/>
      <c r="G3" s="319"/>
      <c r="H3" s="319"/>
    </row>
    <row r="4" spans="2:10" ht="31.5" customHeight="1" x14ac:dyDescent="0.7">
      <c r="B4" s="307" t="s">
        <v>59</v>
      </c>
      <c r="C4" s="9"/>
    </row>
    <row r="5" spans="2:10" ht="15" customHeight="1" x14ac:dyDescent="0.7">
      <c r="B5" s="12"/>
      <c r="C5" s="9"/>
    </row>
    <row r="6" spans="2:10" s="14" customFormat="1" ht="19.5" customHeight="1" x14ac:dyDescent="0.25">
      <c r="B6" s="318" t="s">
        <v>36</v>
      </c>
      <c r="C6" s="318"/>
      <c r="D6" s="318"/>
      <c r="E6" s="318"/>
    </row>
    <row r="7" spans="2:10" ht="25.5" customHeight="1" x14ac:dyDescent="0.25">
      <c r="B7" s="13" t="s">
        <v>10</v>
      </c>
    </row>
    <row r="8" spans="2:10" ht="25.5" customHeight="1" x14ac:dyDescent="0.25">
      <c r="B8" s="2" t="s">
        <v>14</v>
      </c>
    </row>
    <row r="9" spans="2:10" ht="25.5" customHeight="1" x14ac:dyDescent="0.25">
      <c r="B9" s="13" t="s">
        <v>335</v>
      </c>
    </row>
    <row r="10" spans="2:10" ht="25.5" customHeight="1" x14ac:dyDescent="0.25">
      <c r="B10" s="2" t="s">
        <v>336</v>
      </c>
    </row>
    <row r="11" spans="2:10" ht="25.5" customHeight="1" x14ac:dyDescent="0.25">
      <c r="B11" s="13" t="s">
        <v>11</v>
      </c>
    </row>
    <row r="12" spans="2:10" ht="25.5" customHeight="1" x14ac:dyDescent="0.25">
      <c r="B12" s="2" t="s">
        <v>5</v>
      </c>
    </row>
    <row r="13" spans="2:10" ht="25.5" customHeight="1" x14ac:dyDescent="0.25">
      <c r="B13" s="13" t="s">
        <v>21</v>
      </c>
    </row>
    <row r="14" spans="2:10" ht="25.5" customHeight="1" x14ac:dyDescent="0.25">
      <c r="B14" s="2">
        <v>2018</v>
      </c>
    </row>
    <row r="15" spans="2:10" ht="25.5" customHeight="1" x14ac:dyDescent="0.25">
      <c r="B15" s="13" t="s">
        <v>12</v>
      </c>
    </row>
    <row r="16" spans="2:10" ht="25.5" customHeight="1" x14ac:dyDescent="0.25">
      <c r="B16" s="2" t="s">
        <v>41</v>
      </c>
      <c r="G16" s="311"/>
      <c r="H16" s="311"/>
      <c r="I16" s="312"/>
      <c r="J16" s="311"/>
    </row>
    <row r="17" spans="2:10" ht="25.5" customHeight="1" x14ac:dyDescent="0.25">
      <c r="B17" s="13" t="s">
        <v>13</v>
      </c>
      <c r="G17" s="311"/>
      <c r="H17" s="311"/>
      <c r="I17" s="312"/>
      <c r="J17" s="311"/>
    </row>
    <row r="18" spans="2:10" ht="25.5" customHeight="1" x14ac:dyDescent="0.25">
      <c r="B18" s="2" t="s">
        <v>147</v>
      </c>
      <c r="G18" s="311"/>
      <c r="H18" s="311"/>
      <c r="I18" s="312"/>
      <c r="J18" s="311"/>
    </row>
    <row r="19" spans="2:10" ht="25.5" customHeight="1" x14ac:dyDescent="0.25">
      <c r="B19" s="13" t="s">
        <v>42</v>
      </c>
    </row>
    <row r="20" spans="2:10" ht="25.5" customHeight="1" x14ac:dyDescent="0.25">
      <c r="B20" s="2" t="s">
        <v>45</v>
      </c>
    </row>
    <row r="21" spans="2:10" ht="25.5" customHeight="1" x14ac:dyDescent="0.25">
      <c r="B21" s="13" t="s">
        <v>354</v>
      </c>
    </row>
    <row r="22" spans="2:10" ht="25.5" customHeight="1" x14ac:dyDescent="0.25">
      <c r="B22" s="2" t="s">
        <v>20</v>
      </c>
    </row>
    <row r="23" spans="2:10" ht="22.5" customHeight="1" x14ac:dyDescent="0.25"/>
    <row r="25" spans="2:10" x14ac:dyDescent="0.25">
      <c r="B25" s="10" t="s">
        <v>27</v>
      </c>
      <c r="C25" s="11"/>
      <c r="D25" s="11"/>
    </row>
    <row r="26" spans="2:10" ht="33" customHeight="1" x14ac:dyDescent="0.25">
      <c r="B26" s="316" t="s">
        <v>374</v>
      </c>
      <c r="C26" s="317"/>
      <c r="D26" s="317"/>
    </row>
  </sheetData>
  <mergeCells count="3">
    <mergeCell ref="B26:D26"/>
    <mergeCell ref="B6:E6"/>
    <mergeCell ref="B3:H3"/>
  </mergeCells>
  <dataValidations count="7">
    <dataValidation type="list" allowBlank="1" showInputMessage="1" showErrorMessage="1" sqref="B18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B12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4">
      <formula1>ListYr</formula1>
    </dataValidation>
    <dataValidation type="list" allowBlank="1" showInputMessage="1" showErrorMessage="1" sqref="B16">
      <formula1>ListSeason</formula1>
    </dataValidation>
    <dataValidation type="list" allowBlank="1" showInputMessage="1" showErrorMessage="1" sqref="B20">
      <formula1>ListVersions</formula1>
    </dataValidation>
    <dataValidation type="list" allowBlank="1" showInputMessage="1" showErrorMessage="1" sqref="B10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BO79"/>
  <sheetViews>
    <sheetView showGridLines="0" zoomScale="90" zoomScaleNormal="90" zoomScalePageLayoutView="80" workbookViewId="0">
      <pane xSplit="10" ySplit="10" topLeftCell="K11" activePane="bottomRight" state="frozen"/>
      <selection activeCell="A4" sqref="A4"/>
      <selection pane="topRight" activeCell="K4" sqref="K4"/>
      <selection pane="bottomLeft" activeCell="A10" sqref="A10"/>
      <selection pane="bottomRight" activeCell="C11" sqref="C11"/>
    </sheetView>
  </sheetViews>
  <sheetFormatPr defaultColWidth="18.625" defaultRowHeight="15.75" outlineLevelCol="1" x14ac:dyDescent="0.25"/>
  <cols>
    <col min="1" max="1" width="1.875" style="64" bestFit="1" customWidth="1"/>
    <col min="2" max="2" width="10.125" bestFit="1" customWidth="1"/>
    <col min="3" max="4" width="10.625" bestFit="1" customWidth="1"/>
    <col min="5" max="5" width="10.125" bestFit="1" customWidth="1"/>
    <col min="6" max="7" width="8.375" bestFit="1" customWidth="1"/>
    <col min="8" max="8" width="9.125" bestFit="1" customWidth="1"/>
    <col min="9" max="10" width="7.625" style="174" bestFit="1" customWidth="1"/>
    <col min="11" max="12" width="10.625" bestFit="1" customWidth="1"/>
    <col min="13" max="13" width="7.125" bestFit="1" customWidth="1"/>
    <col min="14" max="14" width="10.625" bestFit="1" customWidth="1"/>
    <col min="15" max="15" width="8.125" bestFit="1" customWidth="1"/>
    <col min="16" max="16" width="7.75" bestFit="1" customWidth="1"/>
    <col min="17" max="17" width="7.375" style="47" bestFit="1" customWidth="1"/>
    <col min="18" max="18" width="6.75" bestFit="1" customWidth="1"/>
    <col min="19" max="19" width="8.375" bestFit="1" customWidth="1"/>
    <col min="20" max="21" width="6.75" bestFit="1" customWidth="1"/>
    <col min="22" max="22" width="8.375" bestFit="1" customWidth="1"/>
    <col min="23" max="24" width="7.375" bestFit="1" customWidth="1"/>
    <col min="25" max="25" width="8.375" bestFit="1" customWidth="1"/>
    <col min="26" max="27" width="6.75" bestFit="1" customWidth="1"/>
    <col min="28" max="28" width="7.375" bestFit="1" customWidth="1"/>
    <col min="29" max="29" width="12.5" bestFit="1" customWidth="1"/>
    <col min="30" max="30" width="9.125" bestFit="1" customWidth="1"/>
    <col min="31" max="31" width="12.5" bestFit="1" customWidth="1"/>
    <col min="32" max="33" width="8.375" bestFit="1" customWidth="1"/>
    <col min="34" max="34" width="9.125" bestFit="1" customWidth="1"/>
    <col min="35" max="35" width="10.625" bestFit="1" customWidth="1"/>
    <col min="36" max="36" width="6" bestFit="1" customWidth="1"/>
    <col min="37" max="37" width="7.75" bestFit="1" customWidth="1"/>
    <col min="38" max="39" width="8.375" bestFit="1" customWidth="1"/>
    <col min="40" max="40" width="7.875" bestFit="1" customWidth="1"/>
    <col min="41" max="41" width="5.5" bestFit="1" customWidth="1"/>
    <col min="42" max="42" width="10.125" bestFit="1" customWidth="1"/>
    <col min="43" max="43" width="5.875" bestFit="1" customWidth="1"/>
    <col min="44" max="44" width="7.75" bestFit="1" customWidth="1"/>
    <col min="45" max="45" width="8.375" bestFit="1" customWidth="1"/>
    <col min="46" max="47" width="4.625" hidden="1" customWidth="1" outlineLevel="1"/>
    <col min="48" max="48" width="6.625" hidden="1" customWidth="1" outlineLevel="1"/>
    <col min="49" max="49" width="3.375" hidden="1" customWidth="1" outlineLevel="1"/>
    <col min="50" max="50" width="3.25" hidden="1" customWidth="1" outlineLevel="1"/>
    <col min="51" max="51" width="6.625" hidden="1" customWidth="1" outlineLevel="1"/>
    <col min="52" max="52" width="4.625" hidden="1" customWidth="1" outlineLevel="1"/>
    <col min="53" max="53" width="4.625" style="44" hidden="1" customWidth="1" outlineLevel="1"/>
    <col min="54" max="54" width="6.625" hidden="1" customWidth="1" outlineLevel="1"/>
    <col min="55" max="56" width="4.625" hidden="1" customWidth="1" outlineLevel="1"/>
    <col min="57" max="57" width="6.625" hidden="1" customWidth="1" outlineLevel="1"/>
    <col min="58" max="59" width="4.625" hidden="1" customWidth="1" outlineLevel="1"/>
    <col min="60" max="60" width="6.625" hidden="1" customWidth="1" outlineLevel="1"/>
    <col min="61" max="62" width="4.625" hidden="1" customWidth="1" outlineLevel="1"/>
    <col min="63" max="63" width="6.625" hidden="1" customWidth="1" outlineLevel="1"/>
    <col min="64" max="64" width="8.625" style="277" hidden="1" customWidth="1" collapsed="1"/>
    <col min="65" max="65" width="8.625" style="47" hidden="1" customWidth="1"/>
    <col min="66" max="66" width="7.875" style="47" hidden="1" customWidth="1"/>
    <col min="67" max="67" width="8.75" style="47" hidden="1" customWidth="1"/>
    <col min="68" max="68" width="18.625" customWidth="1"/>
  </cols>
  <sheetData>
    <row r="1" spans="1:67" s="48" customFormat="1" ht="11.25" hidden="1" x14ac:dyDescent="0.2">
      <c r="A1" s="48" t="s">
        <v>349</v>
      </c>
      <c r="B1" s="159" t="s">
        <v>353</v>
      </c>
      <c r="C1" s="159"/>
      <c r="D1" s="159"/>
      <c r="E1" s="59"/>
      <c r="F1" s="59" t="s">
        <v>364</v>
      </c>
      <c r="G1" s="59"/>
      <c r="H1" s="59"/>
      <c r="I1" s="172"/>
      <c r="J1" s="172"/>
      <c r="K1" s="59"/>
      <c r="L1" s="59"/>
      <c r="M1" s="59"/>
      <c r="N1" s="59"/>
      <c r="O1" s="59"/>
      <c r="P1" s="59"/>
      <c r="Q1" s="59" t="s">
        <v>366</v>
      </c>
      <c r="R1" s="59"/>
      <c r="S1" s="59"/>
      <c r="T1" s="59" t="s">
        <v>367</v>
      </c>
      <c r="U1" s="59"/>
      <c r="V1" s="59"/>
      <c r="W1" s="59" t="s">
        <v>365</v>
      </c>
      <c r="X1" s="59"/>
      <c r="Y1" s="59"/>
      <c r="Z1" s="59"/>
      <c r="AA1" s="59"/>
      <c r="AB1" s="59"/>
      <c r="AC1" s="59"/>
      <c r="AD1" s="59"/>
      <c r="AE1" s="59"/>
      <c r="AF1" s="59" t="s">
        <v>368</v>
      </c>
      <c r="AG1" s="59"/>
      <c r="AH1" s="59"/>
      <c r="AI1" s="59" t="s">
        <v>372</v>
      </c>
      <c r="AJ1" s="59" t="s">
        <v>370</v>
      </c>
      <c r="AK1" s="59"/>
      <c r="AL1" s="59"/>
      <c r="AM1" s="59"/>
      <c r="AN1" s="59" t="s">
        <v>369</v>
      </c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60"/>
      <c r="BD1" s="59"/>
      <c r="BE1" s="59"/>
      <c r="BF1" s="60"/>
      <c r="BG1" s="60"/>
      <c r="BH1" s="59"/>
      <c r="BI1" s="59"/>
      <c r="BJ1" s="59"/>
      <c r="BK1" s="59"/>
      <c r="BL1" s="276"/>
      <c r="BM1" s="279"/>
      <c r="BN1" s="279"/>
      <c r="BO1" s="279"/>
    </row>
    <row r="2" spans="1:67" s="48" customFormat="1" ht="11.25" hidden="1" x14ac:dyDescent="0.2">
      <c r="B2" s="159" t="s">
        <v>352</v>
      </c>
      <c r="C2" s="159"/>
      <c r="D2" s="159"/>
      <c r="E2" s="61"/>
      <c r="F2" s="61">
        <v>5</v>
      </c>
      <c r="G2" s="61">
        <v>5</v>
      </c>
      <c r="H2" s="61"/>
      <c r="I2" s="173"/>
      <c r="J2" s="173"/>
      <c r="K2" s="61"/>
      <c r="L2" s="61"/>
      <c r="M2" s="61"/>
      <c r="N2" s="61"/>
      <c r="O2" s="61"/>
      <c r="P2" s="61"/>
      <c r="Q2" s="61">
        <v>7</v>
      </c>
      <c r="R2" s="61">
        <v>7</v>
      </c>
      <c r="S2" s="61"/>
      <c r="T2" s="61">
        <v>8</v>
      </c>
      <c r="U2" s="61">
        <v>8</v>
      </c>
      <c r="V2" s="61"/>
      <c r="W2" s="61">
        <v>6</v>
      </c>
      <c r="X2" s="61">
        <v>6</v>
      </c>
      <c r="Y2" s="61"/>
      <c r="Z2" s="61"/>
      <c r="AA2" s="61"/>
      <c r="AB2" s="61"/>
      <c r="AC2" s="61"/>
      <c r="AD2" s="61"/>
      <c r="AE2" s="61"/>
      <c r="AF2" s="61">
        <v>9</v>
      </c>
      <c r="AG2" s="61">
        <v>9</v>
      </c>
      <c r="AH2" s="61"/>
      <c r="AI2" s="61">
        <v>13</v>
      </c>
      <c r="AJ2" s="61">
        <v>11</v>
      </c>
      <c r="AK2" s="61"/>
      <c r="AL2" s="61">
        <v>12</v>
      </c>
      <c r="AM2" s="61"/>
      <c r="AN2" s="61">
        <v>10</v>
      </c>
      <c r="AO2" s="61">
        <v>10</v>
      </c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2"/>
      <c r="BD2" s="61"/>
      <c r="BE2" s="61"/>
      <c r="BF2" s="62"/>
      <c r="BG2" s="62"/>
      <c r="BH2" s="61"/>
      <c r="BI2" s="61"/>
      <c r="BJ2" s="61"/>
      <c r="BK2" s="61"/>
      <c r="BL2" s="276"/>
      <c r="BM2" s="279"/>
      <c r="BN2" s="279"/>
      <c r="BO2" s="279"/>
    </row>
    <row r="3" spans="1:67" s="48" customFormat="1" ht="11.25" hidden="1" x14ac:dyDescent="0.2">
      <c r="B3" s="159" t="s">
        <v>351</v>
      </c>
      <c r="C3" s="61" t="s">
        <v>381</v>
      </c>
      <c r="D3" s="159"/>
      <c r="E3" s="61" t="s">
        <v>378</v>
      </c>
      <c r="F3" s="61" t="s">
        <v>379</v>
      </c>
      <c r="G3" s="61" t="s">
        <v>379</v>
      </c>
      <c r="H3" s="61"/>
      <c r="I3" s="173" t="s">
        <v>378</v>
      </c>
      <c r="J3" s="173" t="s">
        <v>378</v>
      </c>
      <c r="K3" s="61" t="s">
        <v>350</v>
      </c>
      <c r="L3" s="61"/>
      <c r="M3" s="61"/>
      <c r="N3" s="61" t="s">
        <v>350</v>
      </c>
      <c r="O3" s="61"/>
      <c r="P3" s="61"/>
      <c r="Q3" s="61" t="s">
        <v>378</v>
      </c>
      <c r="R3" s="61" t="s">
        <v>378</v>
      </c>
      <c r="S3" s="61"/>
      <c r="T3" s="61" t="s">
        <v>378</v>
      </c>
      <c r="U3" s="61" t="s">
        <v>378</v>
      </c>
      <c r="V3" s="61"/>
      <c r="W3" s="61" t="s">
        <v>378</v>
      </c>
      <c r="X3" s="61" t="s">
        <v>378</v>
      </c>
      <c r="Y3" s="61"/>
      <c r="Z3" s="61" t="s">
        <v>378</v>
      </c>
      <c r="AA3" s="61" t="s">
        <v>378</v>
      </c>
      <c r="AB3" s="61" t="s">
        <v>378</v>
      </c>
      <c r="AC3" s="61" t="s">
        <v>378</v>
      </c>
      <c r="AD3" s="61" t="s">
        <v>378</v>
      </c>
      <c r="AE3" s="61"/>
      <c r="AF3" s="61" t="s">
        <v>379</v>
      </c>
      <c r="AG3" s="61" t="s">
        <v>379</v>
      </c>
      <c r="AH3" s="61"/>
      <c r="AI3" s="61" t="s">
        <v>350</v>
      </c>
      <c r="AJ3" s="61"/>
      <c r="AK3" s="61" t="s">
        <v>379</v>
      </c>
      <c r="AL3" s="61"/>
      <c r="AM3" s="61"/>
      <c r="AN3" s="61" t="s">
        <v>378</v>
      </c>
      <c r="AO3" s="61"/>
      <c r="AP3" s="61"/>
      <c r="AQ3" s="61" t="s">
        <v>380</v>
      </c>
      <c r="AR3" s="61" t="s">
        <v>380</v>
      </c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2"/>
      <c r="BD3" s="61"/>
      <c r="BE3" s="61"/>
      <c r="BF3" s="62"/>
      <c r="BG3" s="62"/>
      <c r="BH3" s="61"/>
      <c r="BI3" s="61"/>
      <c r="BJ3" s="61"/>
      <c r="BK3" s="61"/>
      <c r="BL3" s="276"/>
      <c r="BM3" s="279"/>
      <c r="BN3" s="279"/>
      <c r="BO3" s="279"/>
    </row>
    <row r="4" spans="1:67" s="48" customFormat="1" ht="11.25" hidden="1" x14ac:dyDescent="0.2">
      <c r="B4" s="159"/>
      <c r="C4" s="61"/>
      <c r="D4" s="159"/>
      <c r="E4" s="61"/>
      <c r="F4" s="61" t="str">
        <f>ForecastVer</f>
        <v>MBR</v>
      </c>
      <c r="G4" s="61" t="str">
        <f>CompareVer</f>
        <v>LY</v>
      </c>
      <c r="H4" s="61"/>
      <c r="I4" s="173"/>
      <c r="J4" s="173"/>
      <c r="K4" s="61"/>
      <c r="L4" s="61"/>
      <c r="M4" s="61"/>
      <c r="N4" s="61"/>
      <c r="O4" s="61"/>
      <c r="P4" s="61"/>
      <c r="Q4" s="61" t="str">
        <f>ForecastVer</f>
        <v>MBR</v>
      </c>
      <c r="R4" s="61" t="str">
        <f>CompareVer</f>
        <v>LY</v>
      </c>
      <c r="S4" s="61"/>
      <c r="T4" s="61" t="str">
        <f>ForecastVer</f>
        <v>MBR</v>
      </c>
      <c r="U4" s="61" t="str">
        <f>CompareVer</f>
        <v>LY</v>
      </c>
      <c r="V4" s="61"/>
      <c r="W4" s="61" t="str">
        <f>ForecastVer</f>
        <v>MBR</v>
      </c>
      <c r="X4" s="61" t="str">
        <f>CompareVer</f>
        <v>LY</v>
      </c>
      <c r="Y4" s="61"/>
      <c r="Z4" s="61"/>
      <c r="AA4" s="61"/>
      <c r="AB4" s="61"/>
      <c r="AC4" s="61"/>
      <c r="AD4" s="61"/>
      <c r="AE4" s="61"/>
      <c r="AF4" s="61" t="str">
        <f>ForecastVer</f>
        <v>MBR</v>
      </c>
      <c r="AG4" s="61" t="str">
        <f>CompareVer</f>
        <v>LY</v>
      </c>
      <c r="AH4" s="61"/>
      <c r="AI4" s="61" t="str">
        <f>ForecastVer</f>
        <v>MBR</v>
      </c>
      <c r="AJ4" s="61" t="str">
        <f>ForecastVer</f>
        <v>MBR</v>
      </c>
      <c r="AK4" s="61"/>
      <c r="AL4" s="61" t="str">
        <f>CompareVer</f>
        <v>LY</v>
      </c>
      <c r="AM4" s="61"/>
      <c r="AN4" s="61" t="str">
        <f>ForecastVer</f>
        <v>MBR</v>
      </c>
      <c r="AO4" s="61" t="str">
        <f>CompareVer</f>
        <v>LY</v>
      </c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2"/>
      <c r="BD4" s="61"/>
      <c r="BE4" s="61"/>
      <c r="BF4" s="62"/>
      <c r="BG4" s="62"/>
      <c r="BH4" s="61"/>
      <c r="BI4" s="61"/>
      <c r="BJ4" s="61"/>
      <c r="BK4" s="61"/>
      <c r="BL4" s="276"/>
      <c r="BM4" s="279"/>
      <c r="BN4" s="279"/>
      <c r="BO4" s="279"/>
    </row>
    <row r="5" spans="1:67" ht="52.5" x14ac:dyDescent="0.25">
      <c r="B5" s="319" t="str">
        <f>"FEATURE CODE " &amp; FiscalYr</f>
        <v>FEATURE CODE 2018</v>
      </c>
      <c r="C5" s="319"/>
      <c r="D5" s="319"/>
      <c r="E5" s="319"/>
      <c r="F5" s="319"/>
      <c r="G5" s="319"/>
      <c r="H5" s="319"/>
      <c r="Q5" s="301"/>
    </row>
    <row r="6" spans="1:67" ht="31.5" x14ac:dyDescent="0.5">
      <c r="B6" s="320" t="str">
        <f>FC &amp; " - " &amp; Channel</f>
        <v>GY 18 FALL BASICS - Retail</v>
      </c>
      <c r="C6" s="320"/>
      <c r="D6" s="320"/>
      <c r="E6" s="320"/>
      <c r="F6" s="320"/>
      <c r="G6" s="320"/>
      <c r="H6" s="320"/>
    </row>
    <row r="7" spans="1:67" ht="16.5" thickBot="1" x14ac:dyDescent="0.3">
      <c r="B7" s="245" t="str">
        <f>IF(NewPlan,"New","")</f>
        <v>New</v>
      </c>
      <c r="C7" s="334" t="str">
        <f>Status</f>
        <v xml:space="preserve"> </v>
      </c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</row>
    <row r="8" spans="1:67" ht="21.75" thickBot="1" x14ac:dyDescent="0.3">
      <c r="A8"/>
      <c r="B8" s="161" t="s">
        <v>45</v>
      </c>
      <c r="C8" s="331" t="s">
        <v>29</v>
      </c>
      <c r="D8" s="332"/>
      <c r="E8" s="332"/>
      <c r="F8" s="332"/>
      <c r="G8" s="332"/>
      <c r="H8" s="332"/>
      <c r="I8" s="332"/>
      <c r="J8" s="332"/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3"/>
      <c r="AF8" s="335" t="s">
        <v>60</v>
      </c>
      <c r="AG8" s="336"/>
      <c r="AH8" s="336"/>
      <c r="AI8" s="336"/>
      <c r="AJ8" s="336"/>
      <c r="AK8" s="336"/>
      <c r="AL8" s="336"/>
      <c r="AM8" s="336"/>
      <c r="AN8" s="336"/>
      <c r="AO8" s="336"/>
      <c r="AP8" s="336"/>
      <c r="AQ8" s="336"/>
      <c r="AR8" s="336"/>
      <c r="AS8" s="337"/>
      <c r="AT8" s="338" t="s">
        <v>61</v>
      </c>
      <c r="AU8" s="339"/>
      <c r="AV8" s="339"/>
      <c r="AW8" s="339"/>
      <c r="AX8" s="339"/>
      <c r="AY8" s="339"/>
      <c r="AZ8" s="339"/>
      <c r="BA8" s="339"/>
      <c r="BB8" s="339"/>
      <c r="BC8" s="339"/>
      <c r="BD8" s="339"/>
      <c r="BE8" s="339"/>
      <c r="BF8" s="339"/>
      <c r="BG8" s="339"/>
      <c r="BH8" s="339"/>
      <c r="BI8" s="339"/>
      <c r="BJ8" s="339"/>
      <c r="BK8" s="340"/>
    </row>
    <row r="9" spans="1:67" ht="21" x14ac:dyDescent="0.35">
      <c r="A9"/>
      <c r="B9" s="160"/>
      <c r="C9" s="323" t="s">
        <v>6</v>
      </c>
      <c r="D9" s="324"/>
      <c r="E9" s="325"/>
      <c r="F9" s="326" t="s">
        <v>8</v>
      </c>
      <c r="G9" s="327"/>
      <c r="H9" s="328"/>
      <c r="I9" s="341" t="s">
        <v>334</v>
      </c>
      <c r="J9" s="342"/>
      <c r="K9" s="326" t="s">
        <v>28</v>
      </c>
      <c r="L9" s="327"/>
      <c r="M9" s="328"/>
      <c r="N9" s="326" t="s">
        <v>4</v>
      </c>
      <c r="O9" s="324"/>
      <c r="P9" s="325"/>
      <c r="Q9" s="326" t="s">
        <v>2</v>
      </c>
      <c r="R9" s="324"/>
      <c r="S9" s="325"/>
      <c r="T9" s="329" t="s">
        <v>3</v>
      </c>
      <c r="U9" s="322"/>
      <c r="V9" s="322"/>
      <c r="W9" s="329" t="s">
        <v>1</v>
      </c>
      <c r="X9" s="322"/>
      <c r="Y9" s="330"/>
      <c r="Z9" s="329" t="s">
        <v>7</v>
      </c>
      <c r="AA9" s="322"/>
      <c r="AB9" s="330"/>
      <c r="AC9" s="321" t="s">
        <v>333</v>
      </c>
      <c r="AD9" s="322"/>
      <c r="AE9" s="322"/>
      <c r="AF9" s="329" t="s">
        <v>52</v>
      </c>
      <c r="AG9" s="322"/>
      <c r="AH9" s="330"/>
      <c r="AI9" s="329" t="s">
        <v>53</v>
      </c>
      <c r="AJ9" s="322"/>
      <c r="AK9" s="322"/>
      <c r="AL9" s="322"/>
      <c r="AM9" s="330"/>
      <c r="AN9" s="329" t="s">
        <v>56</v>
      </c>
      <c r="AO9" s="322"/>
      <c r="AP9" s="322"/>
      <c r="AQ9" s="343" t="s">
        <v>332</v>
      </c>
      <c r="AR9" s="344"/>
      <c r="AS9" s="345"/>
      <c r="AT9" s="346" t="s">
        <v>51</v>
      </c>
      <c r="AU9" s="322"/>
      <c r="AV9" s="322"/>
      <c r="AW9" s="321" t="s">
        <v>35</v>
      </c>
      <c r="AX9" s="322"/>
      <c r="AY9" s="322"/>
      <c r="AZ9" s="321" t="s">
        <v>32</v>
      </c>
      <c r="BA9" s="322"/>
      <c r="BB9" s="347"/>
      <c r="BC9" s="322" t="s">
        <v>33</v>
      </c>
      <c r="BD9" s="322"/>
      <c r="BE9" s="322"/>
      <c r="BF9" s="321" t="s">
        <v>34</v>
      </c>
      <c r="BG9" s="322"/>
      <c r="BH9" s="347"/>
      <c r="BI9" s="322" t="s">
        <v>339</v>
      </c>
      <c r="BJ9" s="322"/>
      <c r="BK9" s="347"/>
    </row>
    <row r="10" spans="1:67" ht="16.5" thickBot="1" x14ac:dyDescent="0.3">
      <c r="A10"/>
      <c r="B10" s="54" t="s">
        <v>0</v>
      </c>
      <c r="C10" s="3" t="str">
        <f>ForecastVer</f>
        <v>MBR</v>
      </c>
      <c r="D10" s="3" t="str">
        <f>CompareVer</f>
        <v>LY</v>
      </c>
      <c r="E10" s="4" t="s">
        <v>26</v>
      </c>
      <c r="F10" s="5" t="str">
        <f>ForecastVer</f>
        <v>MBR</v>
      </c>
      <c r="G10" s="3" t="str">
        <f>CompareVer</f>
        <v>LY</v>
      </c>
      <c r="H10" s="4" t="s">
        <v>26</v>
      </c>
      <c r="I10" s="175" t="str">
        <f>ForecastVer</f>
        <v>MBR</v>
      </c>
      <c r="J10" s="176" t="str">
        <f>CompareVer</f>
        <v>LY</v>
      </c>
      <c r="K10" s="5" t="str">
        <f>ForecastVer</f>
        <v>MBR</v>
      </c>
      <c r="L10" s="3" t="str">
        <f>CompareVer</f>
        <v>LY</v>
      </c>
      <c r="M10" s="4" t="s">
        <v>26</v>
      </c>
      <c r="N10" s="5" t="str">
        <f>ForecastVer</f>
        <v>MBR</v>
      </c>
      <c r="O10" s="3" t="str">
        <f>CompareVer</f>
        <v>LY</v>
      </c>
      <c r="P10" s="4" t="s">
        <v>26</v>
      </c>
      <c r="Q10" s="5" t="str">
        <f>ForecastVer</f>
        <v>MBR</v>
      </c>
      <c r="R10" s="3" t="str">
        <f>CompareVer</f>
        <v>LY</v>
      </c>
      <c r="S10" s="4" t="s">
        <v>26</v>
      </c>
      <c r="T10" s="5" t="str">
        <f>ForecastVer</f>
        <v>MBR</v>
      </c>
      <c r="U10" s="3" t="str">
        <f>CompareVer</f>
        <v>LY</v>
      </c>
      <c r="V10" s="3" t="s">
        <v>26</v>
      </c>
      <c r="W10" s="5" t="str">
        <f>ForecastVer</f>
        <v>MBR</v>
      </c>
      <c r="X10" s="3" t="str">
        <f>CompareVer</f>
        <v>LY</v>
      </c>
      <c r="Y10" s="4" t="s">
        <v>26</v>
      </c>
      <c r="Z10" s="5" t="str">
        <f>ForecastVer</f>
        <v>MBR</v>
      </c>
      <c r="AA10" s="3" t="str">
        <f>CompareVer</f>
        <v>LY</v>
      </c>
      <c r="AB10" s="4" t="s">
        <v>26</v>
      </c>
      <c r="AC10" s="45" t="str">
        <f>ForecastVer</f>
        <v>MBR</v>
      </c>
      <c r="AD10" s="55" t="str">
        <f>CompareVer</f>
        <v>LY</v>
      </c>
      <c r="AE10" s="55" t="s">
        <v>26</v>
      </c>
      <c r="AF10" s="5" t="str">
        <f>ForecastVer</f>
        <v>MBR</v>
      </c>
      <c r="AG10" s="3" t="str">
        <f>CompareVer</f>
        <v>LY</v>
      </c>
      <c r="AH10" s="4" t="s">
        <v>26</v>
      </c>
      <c r="AI10" s="5" t="s">
        <v>55</v>
      </c>
      <c r="AJ10" s="3" t="s">
        <v>54</v>
      </c>
      <c r="AK10" s="3" t="str">
        <f>ForecastVer</f>
        <v>MBR</v>
      </c>
      <c r="AL10" s="3" t="str">
        <f>CompareVer</f>
        <v>LY</v>
      </c>
      <c r="AM10" s="4" t="s">
        <v>26</v>
      </c>
      <c r="AN10" s="5" t="str">
        <f>ForecastVer</f>
        <v>MBR</v>
      </c>
      <c r="AO10" s="3" t="str">
        <f>CompareVer</f>
        <v>LY</v>
      </c>
      <c r="AP10" s="3" t="s">
        <v>26</v>
      </c>
      <c r="AQ10" s="5" t="str">
        <f>ForecastVer</f>
        <v>MBR</v>
      </c>
      <c r="AR10" s="3" t="str">
        <f>CompareVer</f>
        <v>LY</v>
      </c>
      <c r="AS10" s="58" t="s">
        <v>26</v>
      </c>
      <c r="AT10" s="63" t="s">
        <v>19</v>
      </c>
      <c r="AU10" s="3" t="s">
        <v>20</v>
      </c>
      <c r="AV10" s="3" t="s">
        <v>26</v>
      </c>
      <c r="AW10" s="46" t="s">
        <v>19</v>
      </c>
      <c r="AX10" s="3" t="s">
        <v>20</v>
      </c>
      <c r="AY10" s="3" t="s">
        <v>26</v>
      </c>
      <c r="AZ10" s="46" t="s">
        <v>19</v>
      </c>
      <c r="BA10" s="3" t="s">
        <v>20</v>
      </c>
      <c r="BB10" s="52" t="s">
        <v>26</v>
      </c>
      <c r="BC10" s="3" t="s">
        <v>19</v>
      </c>
      <c r="BD10" s="3" t="s">
        <v>20</v>
      </c>
      <c r="BE10" s="3" t="s">
        <v>26</v>
      </c>
      <c r="BF10" s="56" t="s">
        <v>19</v>
      </c>
      <c r="BG10" s="53" t="s">
        <v>20</v>
      </c>
      <c r="BH10" s="57" t="s">
        <v>26</v>
      </c>
      <c r="BI10" s="3" t="s">
        <v>19</v>
      </c>
      <c r="BJ10" s="3" t="s">
        <v>20</v>
      </c>
      <c r="BK10" s="52" t="s">
        <v>26</v>
      </c>
      <c r="BL10" s="278" t="s">
        <v>601</v>
      </c>
      <c r="BM10" s="280" t="s">
        <v>366</v>
      </c>
      <c r="BN10" s="280" t="s">
        <v>365</v>
      </c>
      <c r="BO10" s="280" t="s">
        <v>367</v>
      </c>
    </row>
    <row r="11" spans="1:67" x14ac:dyDescent="0.25">
      <c r="A11" s="64" t="s">
        <v>375</v>
      </c>
      <c r="B11" s="185">
        <v>1</v>
      </c>
      <c r="C11" s="186">
        <f>F11*Q11</f>
        <v>0</v>
      </c>
      <c r="D11" s="187">
        <f>G11*R11</f>
        <v>0</v>
      </c>
      <c r="E11" s="188">
        <f t="shared" ref="E11:E74" si="0">IFERROR(C11/D11-1,)</f>
        <v>0</v>
      </c>
      <c r="F11" s="239">
        <f>IFERROR(VLOOKUP(FiscalYr &amp; $B11&amp;F$4,tblForecast,F$2,FALSE),0)</f>
        <v>0</v>
      </c>
      <c r="G11" s="189">
        <f>IFERROR(VLOOKUP(FiscalYr-IF(CompareVer="LY",1,0) &amp; $B11 + IF(FiscalYr=2018,1,0)&amp;G$4,tblForecast,G$2,FALSE),0)</f>
        <v>0</v>
      </c>
      <c r="H11" s="188">
        <f t="shared" ref="H11:H74" si="1">IFERROR(F11/G11-1,)</f>
        <v>0</v>
      </c>
      <c r="I11" s="190">
        <f>IFERROR(IF(#REF!&lt;&gt;0,F11/#REF!,0),0)</f>
        <v>0</v>
      </c>
      <c r="J11" s="190">
        <v>0</v>
      </c>
      <c r="K11" s="186">
        <f>IFERROR(C11*N11,0)</f>
        <v>0</v>
      </c>
      <c r="L11" s="187">
        <f>D11*O11</f>
        <v>0</v>
      </c>
      <c r="M11" s="191">
        <f t="shared" ref="M11:M74" si="2">IFERROR(K11/L11-1,)</f>
        <v>0</v>
      </c>
      <c r="N11" s="162">
        <f t="shared" ref="N11:O14" si="3">IF(Q11&lt;&gt;0,1-T11/Q11,0)</f>
        <v>0</v>
      </c>
      <c r="O11" s="192">
        <f t="shared" si="3"/>
        <v>0</v>
      </c>
      <c r="P11" s="188">
        <f>IFERROR(N11-O11,)</f>
        <v>0</v>
      </c>
      <c r="Q11" s="240">
        <f>IFERROR(VLOOKUP(FiscalYr &amp; $B11&amp;Q$4,tblForecast,Q$2,FALSE),0)</f>
        <v>0</v>
      </c>
      <c r="R11" s="193">
        <f>IFERROR(VLOOKUP(FiscalYr-IF(CompareVer="LY",1,0) &amp; $B11 + IF(FiscalYr=2018,1,0)&amp;R$4,tblForecast,R$2,FALSE),0)</f>
        <v>0</v>
      </c>
      <c r="S11" s="188">
        <f t="shared" ref="S11:S74" si="4">IFERROR(Q11/R11-1,)</f>
        <v>0</v>
      </c>
      <c r="T11" s="240">
        <f>IFERROR(VLOOKUP(FiscalYr &amp; $B11&amp;T$4,tblForecast,T$2,FALSE),0)</f>
        <v>0</v>
      </c>
      <c r="U11" s="193">
        <f>IFERROR(VLOOKUP(FiscalYr-IF(CompareVer="LY",1,0) &amp; $B11 + IF(FiscalYr=2018,1,0)&amp;U$4,tblForecast,U$2,FALSE),0)</f>
        <v>0</v>
      </c>
      <c r="V11" s="188">
        <f t="shared" ref="V11:V74" si="5">IFERROR(T11/U11-1,)</f>
        <v>0</v>
      </c>
      <c r="W11" s="240">
        <f>IFERROR(VLOOKUP(FiscalYr &amp; $B11&amp;W$4,tblForecast,W$2,FALSE),0)</f>
        <v>0</v>
      </c>
      <c r="X11" s="193">
        <f>IFERROR(VLOOKUP(FiscalYr-IF(CompareVer="LY",1,0) &amp; $B11 + IF(FiscalYr=2018,1,0)&amp;X$4,tblForecast,X$2,FALSE),0)</f>
        <v>0</v>
      </c>
      <c r="Y11" s="188">
        <f t="shared" ref="Y11:Y74" si="6">IFERROR(W11/X11-1,)</f>
        <v>0</v>
      </c>
      <c r="Z11" s="74">
        <f t="shared" ref="Z11:Z27" si="7">IFERROR((Q11/W11-1)*-1,0)</f>
        <v>0</v>
      </c>
      <c r="AA11" s="194">
        <f t="shared" ref="AA11:AA27" si="8">IFERROR((R11/X11-1)*-1,0)</f>
        <v>0</v>
      </c>
      <c r="AB11" s="188">
        <f>IFERROR(Z11-AA11,)</f>
        <v>0</v>
      </c>
      <c r="AC11" s="195">
        <f t="shared" ref="AC11:AD42" si="9">IF(AF11&lt;&gt;0,F11/AF11,0)</f>
        <v>0</v>
      </c>
      <c r="AD11" s="196">
        <f t="shared" si="9"/>
        <v>0</v>
      </c>
      <c r="AE11" s="197">
        <f>AC11-AD11</f>
        <v>0</v>
      </c>
      <c r="AF11" s="239">
        <f>IFERROR(VLOOKUP(FiscalYr &amp; $B11&amp;AF$4,tblForecast,AF$2,FALSE),0)</f>
        <v>0</v>
      </c>
      <c r="AG11" s="189">
        <f>IFERROR(VLOOKUP(FiscalYr-IF(CompareVer="LY",1,0) &amp; $B11 + IF(FiscalYr=2018,1,0)&amp;AG$4,tblForecast,AG$2,FALSE),0)</f>
        <v>0</v>
      </c>
      <c r="AH11" s="188">
        <f t="shared" ref="AH11:AH74" si="10">IFERROR(AF11/AG11-1,)</f>
        <v>0</v>
      </c>
      <c r="AI11" s="239">
        <f t="shared" ref="AI11:AJ14" si="11">IFERROR(VLOOKUP(FiscalYr &amp; $B11&amp;AI$4,tblForecast,AI$2,FALSE),0)</f>
        <v>0</v>
      </c>
      <c r="AJ11" s="189">
        <f t="shared" si="11"/>
        <v>0</v>
      </c>
      <c r="AK11" s="198">
        <f>IF($A11="a",IFERROR(VLOOKUP(FiscalYr &amp; $B11&amp;AK$4,tblForecast,AK$2,FALSE),0),AI11+AJ11)</f>
        <v>0</v>
      </c>
      <c r="AL11" s="189">
        <f>IFERROR(VLOOKUP(FiscalYr-IF(CompareVer="LY",1,0) &amp; $B11 + IF(FiscalYr=2018,1,0)&amp;AL$4,tblForecast,AL$2,FALSE),0)</f>
        <v>0</v>
      </c>
      <c r="AM11" s="188">
        <f t="shared" ref="AM11:AM74" si="12">IFERROR(AK11/AL11-1,)</f>
        <v>0</v>
      </c>
      <c r="AN11" s="239">
        <f t="shared" ref="AN11:AO14" si="13">IFERROR(VLOOKUP(FiscalYr &amp; $B11&amp;AN$4,tblForecast,AN$2,FALSE),0)</f>
        <v>0</v>
      </c>
      <c r="AO11" s="189">
        <f t="shared" si="13"/>
        <v>0</v>
      </c>
      <c r="AP11" s="188">
        <f t="shared" ref="AP11:AP74" si="14">IFERROR(AN11/AO11-1,)</f>
        <v>0</v>
      </c>
      <c r="AQ11" s="199">
        <f t="shared" ref="AQ11:AR14" si="15">IF(F11&lt;&gt;0,AF11/F11,0)</f>
        <v>0</v>
      </c>
      <c r="AR11" s="200">
        <f t="shared" si="15"/>
        <v>0</v>
      </c>
      <c r="AS11" s="188">
        <f>IFERROR(AQ11/AR11-1,)</f>
        <v>0</v>
      </c>
      <c r="AT11" s="239">
        <f>IFERROR(VLOOKUP(FiscalYr &amp; $B11&amp;AT$4,tblForecast,AT$2,FALSE),0)</f>
        <v>0</v>
      </c>
      <c r="AU11" s="189">
        <f t="shared" ref="AU11:AU43" si="16">IFERROR(VLOOKUP(FiscalYr-1 &amp; $B11&amp; FCLY,tblForecast,AT$2,FALSE),0)</f>
        <v>0</v>
      </c>
      <c r="AV11" s="188">
        <f t="shared" ref="AV11:AV74" si="17">IFERROR(AT11/AU11-1,)</f>
        <v>0</v>
      </c>
      <c r="AW11" s="201"/>
      <c r="AX11" s="202"/>
      <c r="AY11" s="188">
        <f t="shared" ref="AY11:AY74" si="18">IFERROR(AW11/AX11-1,)</f>
        <v>0</v>
      </c>
      <c r="AZ11" s="203"/>
      <c r="BA11" s="189"/>
      <c r="BB11" s="188">
        <f t="shared" ref="BB11:BB74" si="19">IFERROR(AZ11/BA11-1,)</f>
        <v>0</v>
      </c>
      <c r="BC11" s="239">
        <f>IFERROR(VLOOKUP(FiscalYr &amp; $B11&amp;BC$4,tblForecast,BC$2,FALSE),0)</f>
        <v>0</v>
      </c>
      <c r="BD11" s="189">
        <f t="shared" ref="BD11:BD43" si="20">IFERROR(VLOOKUP(FiscalYr-1 &amp; $B11&amp; FCLY,tblForecast,BC$2,FALSE),0)</f>
        <v>0</v>
      </c>
      <c r="BE11" s="188">
        <f t="shared" ref="BE11:BE74" si="21">IFERROR(BC11/BD11-1,)</f>
        <v>0</v>
      </c>
      <c r="BF11" s="204">
        <f>IFERROR(VLOOKUP(FiscalYr &amp; $B11&amp;BF$4,tblForecast,BF$2,FALSE),0)</f>
        <v>0</v>
      </c>
      <c r="BG11" s="205">
        <f t="shared" ref="BG11:BG42" si="22">IFERROR(VLOOKUP(FiscalYr-1 &amp; $B11&amp; FCLY,tblForecast,BF$2,FALSE),0)</f>
        <v>0</v>
      </c>
      <c r="BH11" s="188">
        <f t="shared" ref="BH11:BH74" si="23">IFERROR(BF11/BG11-1,)</f>
        <v>0</v>
      </c>
      <c r="BI11" s="206">
        <f t="shared" ref="BI11:BJ14" si="24">IF(F11&lt;&gt;0,BF11/F11,0)</f>
        <v>0</v>
      </c>
      <c r="BJ11" s="207">
        <f t="shared" si="24"/>
        <v>0</v>
      </c>
      <c r="BK11" s="194">
        <f t="shared" ref="BK11:BK74" si="25">IFERROR(BI11/BJ11-1,)</f>
        <v>0</v>
      </c>
      <c r="BL11" s="283">
        <f>IFERROR(VLOOKUP(Brand&amp;Channel&amp;Country&amp;$B11,tblDiscount,6,FALSE),0)</f>
        <v>0.3</v>
      </c>
      <c r="BM11" s="249">
        <f>(1-BL11)*BN11</f>
        <v>0</v>
      </c>
      <c r="BN11" s="249">
        <f>IFERROR(VLOOKUP(Brand&amp;Country &amp; Channel &amp; FC,tblFCSettings,8,FALSE),0)</f>
        <v>0</v>
      </c>
      <c r="BO11" s="284">
        <f>IFERROR(VLOOKUP(Brand&amp;Country &amp; Channel&amp;FC,tblFCSettings,9,FALSE),0)</f>
        <v>0</v>
      </c>
    </row>
    <row r="12" spans="1:67" x14ac:dyDescent="0.25">
      <c r="A12" s="64" t="s">
        <v>375</v>
      </c>
      <c r="B12" s="185">
        <v>2</v>
      </c>
      <c r="C12" s="208">
        <f t="shared" ref="C12:D14" si="26">F12*Q12</f>
        <v>0</v>
      </c>
      <c r="D12" s="187">
        <f t="shared" si="26"/>
        <v>0</v>
      </c>
      <c r="E12" s="188">
        <f t="shared" si="0"/>
        <v>0</v>
      </c>
      <c r="F12" s="239">
        <f>IFERROR(VLOOKUP(FiscalYr &amp; $B12&amp;F$4,tblForecast,F$2,FALSE),0)</f>
        <v>0</v>
      </c>
      <c r="G12" s="189">
        <f>IFERROR(VLOOKUP(FiscalYr-IF(CompareVer="LY",1,0) &amp; $B12 + IF(FiscalYr=2018,1,0)&amp;G$4,tblForecast,G$2,FALSE),0)</f>
        <v>0</v>
      </c>
      <c r="H12" s="188">
        <f t="shared" si="1"/>
        <v>0</v>
      </c>
      <c r="I12" s="190">
        <f>IFERROR(IF(F11&lt;&gt;0,F12/F11,0),0)</f>
        <v>0</v>
      </c>
      <c r="J12" s="190">
        <f>IFERROR(IF(G11&lt;&gt;0,G12/G11,0),0)</f>
        <v>0</v>
      </c>
      <c r="K12" s="208">
        <f t="shared" ref="K12:K14" si="27">IFERROR(C12*N12,0)</f>
        <v>0</v>
      </c>
      <c r="L12" s="187">
        <f t="shared" ref="L12:L14" si="28">D12*O12</f>
        <v>0</v>
      </c>
      <c r="M12" s="191">
        <f t="shared" si="2"/>
        <v>0</v>
      </c>
      <c r="N12" s="162">
        <f t="shared" si="3"/>
        <v>0</v>
      </c>
      <c r="O12" s="192">
        <f t="shared" si="3"/>
        <v>0</v>
      </c>
      <c r="P12" s="188">
        <f t="shared" ref="P12:P27" si="29">IFERROR(N12-O12,)</f>
        <v>0</v>
      </c>
      <c r="Q12" s="240">
        <f>IFERROR(VLOOKUP(FiscalYr &amp; $B12&amp;Q$4,tblForecast,Q$2,FALSE),0)</f>
        <v>0</v>
      </c>
      <c r="R12" s="193">
        <f>IFERROR(VLOOKUP(FiscalYr-IF(CompareVer="LY",1,0) &amp; $B12 + IF(FiscalYr=2018,1,0)&amp;R$4,tblForecast,R$2,FALSE),0)</f>
        <v>0</v>
      </c>
      <c r="S12" s="188">
        <f t="shared" si="4"/>
        <v>0</v>
      </c>
      <c r="T12" s="240">
        <f>IFERROR(VLOOKUP(FiscalYr &amp; $B12&amp;T$4,tblForecast,T$2,FALSE),0)</f>
        <v>0</v>
      </c>
      <c r="U12" s="193">
        <f>IFERROR(VLOOKUP(FiscalYr-IF(CompareVer="LY",1,0) &amp; $B12 + IF(FiscalYr=2018,1,0)&amp;U$4,tblForecast,U$2,FALSE),0)</f>
        <v>0</v>
      </c>
      <c r="V12" s="188">
        <f t="shared" si="5"/>
        <v>0</v>
      </c>
      <c r="W12" s="240">
        <f>IFERROR(VLOOKUP(FiscalYr &amp; $B12&amp;W$4,tblForecast,W$2,FALSE),0)</f>
        <v>0</v>
      </c>
      <c r="X12" s="193">
        <f>IFERROR(VLOOKUP(FiscalYr-IF(CompareVer="LY",1,0) &amp; $B12 + IF(FiscalYr=2018,1,0)&amp;X$4,tblForecast,X$2,FALSE),0)</f>
        <v>0</v>
      </c>
      <c r="Y12" s="188">
        <f t="shared" si="6"/>
        <v>0</v>
      </c>
      <c r="Z12" s="74">
        <f t="shared" si="7"/>
        <v>0</v>
      </c>
      <c r="AA12" s="194">
        <f t="shared" si="8"/>
        <v>0</v>
      </c>
      <c r="AB12" s="188">
        <f t="shared" ref="AB12:AB26" si="30">IFERROR(Z12-AA12,)</f>
        <v>0</v>
      </c>
      <c r="AC12" s="209">
        <f t="shared" si="9"/>
        <v>0</v>
      </c>
      <c r="AD12" s="196">
        <f t="shared" si="9"/>
        <v>0</v>
      </c>
      <c r="AE12" s="197">
        <f t="shared" ref="AE12:AE75" si="31">AC12-AD12</f>
        <v>0</v>
      </c>
      <c r="AF12" s="239">
        <f>IFERROR(VLOOKUP(FiscalYr &amp; $B12&amp;AF$4,tblForecast,AF$2,FALSE),0)</f>
        <v>0</v>
      </c>
      <c r="AG12" s="189">
        <f>IFERROR(VLOOKUP(FiscalYr-IF(CompareVer="LY",1,0) &amp; $B12 + IF(FiscalYr=2018,1,0)&amp;AG$4,tblForecast,AG$2,FALSE),0)</f>
        <v>0</v>
      </c>
      <c r="AH12" s="188">
        <f t="shared" si="10"/>
        <v>0</v>
      </c>
      <c r="AI12" s="239">
        <f t="shared" si="11"/>
        <v>0</v>
      </c>
      <c r="AJ12" s="189">
        <f t="shared" si="11"/>
        <v>0</v>
      </c>
      <c r="AK12" s="198">
        <f>IF($A12="a",IFERROR(VLOOKUP(FiscalYr &amp; $B12&amp;AK$4,tblForecast,AK$2,FALSE),0),AI12+AJ12)</f>
        <v>0</v>
      </c>
      <c r="AL12" s="189">
        <f>IFERROR(VLOOKUP(FiscalYr-IF(CompareVer="LY",1,0) &amp; $B12 + IF(FiscalYr=2018,1,0)&amp;AL$4,tblForecast,AL$2,FALSE),0)</f>
        <v>0</v>
      </c>
      <c r="AM12" s="188">
        <f t="shared" si="12"/>
        <v>0</v>
      </c>
      <c r="AN12" s="239">
        <f t="shared" si="13"/>
        <v>0</v>
      </c>
      <c r="AO12" s="189">
        <f t="shared" si="13"/>
        <v>0</v>
      </c>
      <c r="AP12" s="188">
        <f t="shared" si="14"/>
        <v>0</v>
      </c>
      <c r="AQ12" s="199">
        <f t="shared" si="15"/>
        <v>0</v>
      </c>
      <c r="AR12" s="210">
        <f t="shared" si="15"/>
        <v>0</v>
      </c>
      <c r="AS12" s="188">
        <f t="shared" ref="AS12:AS61" si="32">IFERROR(AQ12/AR12-1,)</f>
        <v>0</v>
      </c>
      <c r="AT12" s="239">
        <f>IFERROR(VLOOKUP(FiscalYr &amp; $B12&amp;AT$4,tblForecast,AT$2,FALSE),0)</f>
        <v>0</v>
      </c>
      <c r="AU12" s="189">
        <f t="shared" si="16"/>
        <v>0</v>
      </c>
      <c r="AV12" s="188">
        <f t="shared" si="17"/>
        <v>0</v>
      </c>
      <c r="AW12" s="201"/>
      <c r="AX12" s="202"/>
      <c r="AY12" s="188">
        <f t="shared" si="18"/>
        <v>0</v>
      </c>
      <c r="AZ12" s="203"/>
      <c r="BA12" s="189"/>
      <c r="BB12" s="188">
        <f t="shared" si="19"/>
        <v>0</v>
      </c>
      <c r="BC12" s="239">
        <f>IFERROR(VLOOKUP(FiscalYr &amp; $B12&amp;BC$4,tblForecast,BC$2,FALSE),0)</f>
        <v>0</v>
      </c>
      <c r="BD12" s="189">
        <f t="shared" si="20"/>
        <v>0</v>
      </c>
      <c r="BE12" s="188">
        <f t="shared" si="21"/>
        <v>0</v>
      </c>
      <c r="BF12" s="211">
        <f>IFERROR(VLOOKUP(FiscalYr &amp; $B12&amp;BF$4,tblForecast,BF$2,FALSE),0)</f>
        <v>0</v>
      </c>
      <c r="BG12" s="189">
        <f t="shared" si="22"/>
        <v>0</v>
      </c>
      <c r="BH12" s="188">
        <f t="shared" si="23"/>
        <v>0</v>
      </c>
      <c r="BI12" s="189">
        <f t="shared" si="24"/>
        <v>0</v>
      </c>
      <c r="BJ12" s="206">
        <f t="shared" si="24"/>
        <v>0</v>
      </c>
      <c r="BK12" s="194">
        <f t="shared" si="25"/>
        <v>0</v>
      </c>
      <c r="BL12" s="283">
        <f>IFERROR(VLOOKUP(Brand&amp;Channel&amp;Country&amp;$B12,tblDiscount,6,FALSE),0)</f>
        <v>0.3</v>
      </c>
      <c r="BM12" s="249">
        <f t="shared" ref="BM12:BM14" si="33">(1-BL12)*BN12</f>
        <v>0</v>
      </c>
      <c r="BN12" s="249">
        <f>IFERROR(VLOOKUP(Brand&amp;Country &amp; Channel &amp; FC,tblFCSettings,8,FALSE),0)</f>
        <v>0</v>
      </c>
      <c r="BO12" s="284">
        <f>IFERROR(VLOOKUP(Brand&amp;Country &amp; Channel&amp;FC,tblFCSettings,9,FALSE),0)</f>
        <v>0</v>
      </c>
    </row>
    <row r="13" spans="1:67" x14ac:dyDescent="0.25">
      <c r="A13" s="64" t="s">
        <v>375</v>
      </c>
      <c r="B13" s="185">
        <v>3</v>
      </c>
      <c r="C13" s="208">
        <f t="shared" si="26"/>
        <v>0</v>
      </c>
      <c r="D13" s="187">
        <f t="shared" si="26"/>
        <v>0</v>
      </c>
      <c r="E13" s="188">
        <f t="shared" si="0"/>
        <v>0</v>
      </c>
      <c r="F13" s="239">
        <f>IFERROR(VLOOKUP(FiscalYr &amp; $B13&amp;F$4,tblForecast,F$2,FALSE),0)</f>
        <v>0</v>
      </c>
      <c r="G13" s="189">
        <f>IFERROR(VLOOKUP(FiscalYr-IF(CompareVer="LY",1,0) &amp; $B13 + IF(FiscalYr=2018,1,0)&amp;G$4,tblForecast,G$2,FALSE),0)</f>
        <v>0</v>
      </c>
      <c r="H13" s="188">
        <f t="shared" si="1"/>
        <v>0</v>
      </c>
      <c r="I13" s="190">
        <f t="shared" ref="I13:J14" si="34">IFERROR(IF(F12&lt;&gt;0,F13/F12,0),0)</f>
        <v>0</v>
      </c>
      <c r="J13" s="190">
        <f t="shared" si="34"/>
        <v>0</v>
      </c>
      <c r="K13" s="208">
        <f t="shared" si="27"/>
        <v>0</v>
      </c>
      <c r="L13" s="187">
        <f t="shared" si="28"/>
        <v>0</v>
      </c>
      <c r="M13" s="191">
        <f t="shared" si="2"/>
        <v>0</v>
      </c>
      <c r="N13" s="162">
        <f t="shared" si="3"/>
        <v>0</v>
      </c>
      <c r="O13" s="192">
        <f t="shared" si="3"/>
        <v>0</v>
      </c>
      <c r="P13" s="188">
        <f t="shared" si="29"/>
        <v>0</v>
      </c>
      <c r="Q13" s="240">
        <f>IFERROR(VLOOKUP(FiscalYr &amp; $B13&amp;Q$4,tblForecast,Q$2,FALSE),0)</f>
        <v>0</v>
      </c>
      <c r="R13" s="193">
        <f>IFERROR(VLOOKUP(FiscalYr-IF(CompareVer="LY",1,0) &amp; $B13 + IF(FiscalYr=2018,1,0)&amp;R$4,tblForecast,R$2,FALSE),0)</f>
        <v>0</v>
      </c>
      <c r="S13" s="188">
        <f t="shared" si="4"/>
        <v>0</v>
      </c>
      <c r="T13" s="240">
        <f>IFERROR(VLOOKUP(FiscalYr &amp; $B13&amp;T$4,tblForecast,T$2,FALSE),0)</f>
        <v>0</v>
      </c>
      <c r="U13" s="193">
        <f>IFERROR(VLOOKUP(FiscalYr-IF(CompareVer="LY",1,0) &amp; $B13 + IF(FiscalYr=2018,1,0)&amp;U$4,tblForecast,U$2,FALSE),0)</f>
        <v>0</v>
      </c>
      <c r="V13" s="188">
        <f t="shared" si="5"/>
        <v>0</v>
      </c>
      <c r="W13" s="240">
        <f>IFERROR(VLOOKUP(FiscalYr &amp; $B13&amp;W$4,tblForecast,W$2,FALSE),0)</f>
        <v>0</v>
      </c>
      <c r="X13" s="193">
        <f>IFERROR(VLOOKUP(FiscalYr-IF(CompareVer="LY",1,0) &amp; $B13 + IF(FiscalYr=2018,1,0)&amp;X$4,tblForecast,X$2,FALSE),0)</f>
        <v>0</v>
      </c>
      <c r="Y13" s="188">
        <f t="shared" si="6"/>
        <v>0</v>
      </c>
      <c r="Z13" s="74">
        <f t="shared" si="7"/>
        <v>0</v>
      </c>
      <c r="AA13" s="194">
        <f t="shared" si="8"/>
        <v>0</v>
      </c>
      <c r="AB13" s="188">
        <f t="shared" si="30"/>
        <v>0</v>
      </c>
      <c r="AC13" s="209">
        <f t="shared" si="9"/>
        <v>0</v>
      </c>
      <c r="AD13" s="196">
        <f t="shared" si="9"/>
        <v>0</v>
      </c>
      <c r="AE13" s="197">
        <f t="shared" si="31"/>
        <v>0</v>
      </c>
      <c r="AF13" s="239">
        <f>IFERROR(VLOOKUP(FiscalYr &amp; $B13&amp;AF$4,tblForecast,AF$2,FALSE),0)</f>
        <v>0</v>
      </c>
      <c r="AG13" s="189">
        <f>IFERROR(VLOOKUP(FiscalYr-IF(CompareVer="LY",1,0) &amp; $B13 + IF(FiscalYr=2018,1,0)&amp;AG$4,tblForecast,AG$2,FALSE),0)</f>
        <v>0</v>
      </c>
      <c r="AH13" s="188">
        <f t="shared" si="10"/>
        <v>0</v>
      </c>
      <c r="AI13" s="239">
        <f t="shared" si="11"/>
        <v>0</v>
      </c>
      <c r="AJ13" s="189">
        <f t="shared" si="11"/>
        <v>0</v>
      </c>
      <c r="AK13" s="189">
        <f>IF($A13="a",IFERROR(VLOOKUP(FiscalYr &amp; $B13&amp;AK$4,tblForecast,AK$2,FALSE),0),AI13+AJ13)</f>
        <v>0</v>
      </c>
      <c r="AL13" s="189">
        <f>IFERROR(VLOOKUP(FiscalYr-IF(CompareVer="LY",1,0) &amp; $B13 + IF(FiscalYr=2018,1,0)&amp;AL$4,tblForecast,AL$2,FALSE),0)</f>
        <v>0</v>
      </c>
      <c r="AM13" s="188">
        <f t="shared" si="12"/>
        <v>0</v>
      </c>
      <c r="AN13" s="239">
        <f t="shared" si="13"/>
        <v>0</v>
      </c>
      <c r="AO13" s="189">
        <f t="shared" si="13"/>
        <v>0</v>
      </c>
      <c r="AP13" s="188">
        <f t="shared" si="14"/>
        <v>0</v>
      </c>
      <c r="AQ13" s="199">
        <f t="shared" si="15"/>
        <v>0</v>
      </c>
      <c r="AR13" s="210">
        <f t="shared" si="15"/>
        <v>0</v>
      </c>
      <c r="AS13" s="188">
        <f t="shared" si="32"/>
        <v>0</v>
      </c>
      <c r="AT13" s="239">
        <f>IFERROR(VLOOKUP(FiscalYr &amp; $B13&amp;AT$4,tblForecast,AT$2,FALSE),0)</f>
        <v>0</v>
      </c>
      <c r="AU13" s="189">
        <f t="shared" si="16"/>
        <v>0</v>
      </c>
      <c r="AV13" s="188">
        <f t="shared" si="17"/>
        <v>0</v>
      </c>
      <c r="AW13" s="201"/>
      <c r="AX13" s="202"/>
      <c r="AY13" s="188">
        <f t="shared" si="18"/>
        <v>0</v>
      </c>
      <c r="AZ13" s="203"/>
      <c r="BA13" s="189"/>
      <c r="BB13" s="188">
        <f t="shared" si="19"/>
        <v>0</v>
      </c>
      <c r="BC13" s="239">
        <f>IFERROR(VLOOKUP(FiscalYr &amp; $B13&amp;BC$4,tblForecast,BC$2,FALSE),0)</f>
        <v>0</v>
      </c>
      <c r="BD13" s="189">
        <f t="shared" si="20"/>
        <v>0</v>
      </c>
      <c r="BE13" s="188">
        <f t="shared" si="21"/>
        <v>0</v>
      </c>
      <c r="BF13" s="211">
        <f>IFERROR(VLOOKUP(FiscalYr &amp; $B13&amp;BF$4,tblForecast,BF$2,FALSE),0)</f>
        <v>0</v>
      </c>
      <c r="BG13" s="189">
        <f t="shared" si="22"/>
        <v>0</v>
      </c>
      <c r="BH13" s="188">
        <f t="shared" si="23"/>
        <v>0</v>
      </c>
      <c r="BI13" s="189">
        <f t="shared" si="24"/>
        <v>0</v>
      </c>
      <c r="BJ13" s="206">
        <f t="shared" si="24"/>
        <v>0</v>
      </c>
      <c r="BK13" s="194">
        <f t="shared" si="25"/>
        <v>0</v>
      </c>
      <c r="BL13" s="283">
        <f>IFERROR(VLOOKUP(Brand&amp;Channel&amp;Country&amp;$B13,tblDiscount,6,FALSE),0)</f>
        <v>0.3</v>
      </c>
      <c r="BM13" s="249">
        <f t="shared" si="33"/>
        <v>0</v>
      </c>
      <c r="BN13" s="249">
        <f>IFERROR(VLOOKUP(Brand&amp;Country &amp; Channel &amp; FC,tblFCSettings,8,FALSE),0)</f>
        <v>0</v>
      </c>
      <c r="BO13" s="284">
        <f>IFERROR(VLOOKUP(Brand&amp;Country &amp; Channel&amp;FC,tblFCSettings,9,FALSE),0)</f>
        <v>0</v>
      </c>
    </row>
    <row r="14" spans="1:67" ht="16.5" thickBot="1" x14ac:dyDescent="0.3">
      <c r="A14" s="64" t="s">
        <v>375</v>
      </c>
      <c r="B14" s="185">
        <v>4</v>
      </c>
      <c r="C14" s="212">
        <f t="shared" si="26"/>
        <v>0</v>
      </c>
      <c r="D14" s="187">
        <f t="shared" si="26"/>
        <v>0</v>
      </c>
      <c r="E14" s="188">
        <f t="shared" si="0"/>
        <v>0</v>
      </c>
      <c r="F14" s="239">
        <f>IFERROR(VLOOKUP(FiscalYr &amp; $B14&amp;F$4,tblForecast,F$2,FALSE),0)</f>
        <v>0</v>
      </c>
      <c r="G14" s="189">
        <f>IFERROR(VLOOKUP(FiscalYr-IF(CompareVer="LY",1,0) &amp; $B14 + IF(FiscalYr=2018,1,0)&amp;G$4,tblForecast,G$2,FALSE),0)</f>
        <v>0</v>
      </c>
      <c r="H14" s="188">
        <f t="shared" si="1"/>
        <v>0</v>
      </c>
      <c r="I14" s="190">
        <f t="shared" si="34"/>
        <v>0</v>
      </c>
      <c r="J14" s="190">
        <f t="shared" si="34"/>
        <v>0</v>
      </c>
      <c r="K14" s="212">
        <f t="shared" si="27"/>
        <v>0</v>
      </c>
      <c r="L14" s="187">
        <f t="shared" si="28"/>
        <v>0</v>
      </c>
      <c r="M14" s="191">
        <f t="shared" si="2"/>
        <v>0</v>
      </c>
      <c r="N14" s="162">
        <f t="shared" si="3"/>
        <v>0</v>
      </c>
      <c r="O14" s="192">
        <f t="shared" si="3"/>
        <v>0</v>
      </c>
      <c r="P14" s="188">
        <f t="shared" si="29"/>
        <v>0</v>
      </c>
      <c r="Q14" s="240">
        <f>IFERROR(VLOOKUP(FiscalYr &amp; $B14&amp;Q$4,tblForecast,Q$2,FALSE),0)</f>
        <v>0</v>
      </c>
      <c r="R14" s="193">
        <f>IFERROR(VLOOKUP(FiscalYr-IF(CompareVer="LY",1,0) &amp; $B14 + IF(FiscalYr=2018,1,0)&amp;R$4,tblForecast,R$2,FALSE),0)</f>
        <v>0</v>
      </c>
      <c r="S14" s="188">
        <f t="shared" si="4"/>
        <v>0</v>
      </c>
      <c r="T14" s="240">
        <f>IFERROR(VLOOKUP(FiscalYr &amp; $B14&amp;T$4,tblForecast,T$2,FALSE),0)</f>
        <v>0</v>
      </c>
      <c r="U14" s="193">
        <f>IFERROR(VLOOKUP(FiscalYr-IF(CompareVer="LY",1,0) &amp; $B14 + IF(FiscalYr=2018,1,0)&amp;U$4,tblForecast,U$2,FALSE),0)</f>
        <v>0</v>
      </c>
      <c r="V14" s="188">
        <f t="shared" si="5"/>
        <v>0</v>
      </c>
      <c r="W14" s="240">
        <f>IFERROR(VLOOKUP(FiscalYr &amp; $B14&amp;W$4,tblForecast,W$2,FALSE),0)</f>
        <v>0</v>
      </c>
      <c r="X14" s="193">
        <f>IFERROR(VLOOKUP(FiscalYr-IF(CompareVer="LY",1,0) &amp; $B14 + IF(FiscalYr=2018,1,0)&amp;X$4,tblForecast,X$2,FALSE),0)</f>
        <v>0</v>
      </c>
      <c r="Y14" s="188">
        <f t="shared" si="6"/>
        <v>0</v>
      </c>
      <c r="Z14" s="74">
        <f t="shared" si="7"/>
        <v>0</v>
      </c>
      <c r="AA14" s="194">
        <f t="shared" si="8"/>
        <v>0</v>
      </c>
      <c r="AB14" s="188">
        <f t="shared" si="30"/>
        <v>0</v>
      </c>
      <c r="AC14" s="209">
        <f t="shared" si="9"/>
        <v>0</v>
      </c>
      <c r="AD14" s="196">
        <f t="shared" si="9"/>
        <v>0</v>
      </c>
      <c r="AE14" s="197">
        <f t="shared" si="31"/>
        <v>0</v>
      </c>
      <c r="AF14" s="239">
        <f>IFERROR(VLOOKUP(FiscalYr &amp; $B14&amp;AF$4,tblForecast,AF$2,FALSE),0)</f>
        <v>0</v>
      </c>
      <c r="AG14" s="189">
        <f>IFERROR(VLOOKUP(FiscalYr-IF(CompareVer="LY",1,0) &amp; $B14 + IF(FiscalYr=2018,1,0)&amp;AG$4,tblForecast,AG$2,FALSE),0)</f>
        <v>0</v>
      </c>
      <c r="AH14" s="188">
        <f t="shared" si="10"/>
        <v>0</v>
      </c>
      <c r="AI14" s="239">
        <f t="shared" si="11"/>
        <v>0</v>
      </c>
      <c r="AJ14" s="189">
        <f t="shared" si="11"/>
        <v>0</v>
      </c>
      <c r="AK14" s="189">
        <f>IF($A14="a",IFERROR(VLOOKUP(FiscalYr &amp; $B14&amp;AK$4,tblForecast,AK$2,FALSE),0),AI14+AJ14)</f>
        <v>0</v>
      </c>
      <c r="AL14" s="189">
        <f>IFERROR(VLOOKUP(FiscalYr-IF(CompareVer="LY",1,0) &amp; $B14 + IF(FiscalYr=2018,1,0)&amp;AL$4,tblForecast,AL$2,FALSE),0)</f>
        <v>0</v>
      </c>
      <c r="AM14" s="188">
        <f t="shared" si="12"/>
        <v>0</v>
      </c>
      <c r="AN14" s="239">
        <f t="shared" si="13"/>
        <v>0</v>
      </c>
      <c r="AO14" s="189">
        <f t="shared" si="13"/>
        <v>0</v>
      </c>
      <c r="AP14" s="188">
        <f t="shared" si="14"/>
        <v>0</v>
      </c>
      <c r="AQ14" s="199">
        <f t="shared" si="15"/>
        <v>0</v>
      </c>
      <c r="AR14" s="210">
        <f t="shared" si="15"/>
        <v>0</v>
      </c>
      <c r="AS14" s="188">
        <f t="shared" si="32"/>
        <v>0</v>
      </c>
      <c r="AT14" s="239">
        <f>IFERROR(VLOOKUP(FiscalYr &amp; $B14&amp;AT$4,tblForecast,AT$2,FALSE),0)</f>
        <v>0</v>
      </c>
      <c r="AU14" s="189">
        <f t="shared" si="16"/>
        <v>0</v>
      </c>
      <c r="AV14" s="188">
        <f t="shared" si="17"/>
        <v>0</v>
      </c>
      <c r="AW14" s="201"/>
      <c r="AX14" s="202"/>
      <c r="AY14" s="188">
        <f t="shared" si="18"/>
        <v>0</v>
      </c>
      <c r="AZ14" s="203"/>
      <c r="BA14" s="189"/>
      <c r="BB14" s="188">
        <f t="shared" si="19"/>
        <v>0</v>
      </c>
      <c r="BC14" s="239">
        <f>IFERROR(VLOOKUP(FiscalYr &amp; $B14&amp;BC$4,tblForecast,BC$2,FALSE),0)</f>
        <v>0</v>
      </c>
      <c r="BD14" s="189">
        <f t="shared" si="20"/>
        <v>0</v>
      </c>
      <c r="BE14" s="188">
        <f t="shared" si="21"/>
        <v>0</v>
      </c>
      <c r="BF14" s="211">
        <f>IFERROR(VLOOKUP(FiscalYr &amp; $B14&amp;BF$4,tblForecast,BF$2,FALSE),0)</f>
        <v>0</v>
      </c>
      <c r="BG14" s="189">
        <f t="shared" si="22"/>
        <v>0</v>
      </c>
      <c r="BH14" s="188">
        <f t="shared" si="23"/>
        <v>0</v>
      </c>
      <c r="BI14" s="189">
        <f t="shared" si="24"/>
        <v>0</v>
      </c>
      <c r="BJ14" s="206">
        <f t="shared" si="24"/>
        <v>0</v>
      </c>
      <c r="BK14" s="194">
        <f t="shared" si="25"/>
        <v>0</v>
      </c>
      <c r="BL14" s="283">
        <f>IFERROR(VLOOKUP(Brand&amp;Channel&amp;Country&amp;$B14,tblDiscount,6,FALSE),0)</f>
        <v>0.3</v>
      </c>
      <c r="BM14" s="249">
        <f t="shared" si="33"/>
        <v>0</v>
      </c>
      <c r="BN14" s="249">
        <f>IFERROR(VLOOKUP(Brand&amp;Country &amp; Channel &amp; FC,tblFCSettings,8,FALSE),0)</f>
        <v>0</v>
      </c>
      <c r="BO14" s="284">
        <f>IFERROR(VLOOKUP(Brand&amp;Country &amp; Channel&amp;FC,tblFCSettings,9,FALSE),0)</f>
        <v>0</v>
      </c>
    </row>
    <row r="15" spans="1:67" ht="16.5" thickBot="1" x14ac:dyDescent="0.3">
      <c r="B15" s="241" t="s">
        <v>22</v>
      </c>
      <c r="C15" s="213">
        <f>SUM(C11:C14)</f>
        <v>0</v>
      </c>
      <c r="D15" s="214">
        <f>SUM(D11:D14)</f>
        <v>0</v>
      </c>
      <c r="E15" s="215">
        <f t="shared" si="0"/>
        <v>0</v>
      </c>
      <c r="F15" s="216">
        <f>SUM(F11:F14)</f>
        <v>0</v>
      </c>
      <c r="G15" s="217">
        <f>SUM(G11:G14)</f>
        <v>0</v>
      </c>
      <c r="H15" s="215">
        <f t="shared" si="1"/>
        <v>0</v>
      </c>
      <c r="I15" s="218">
        <f>IFERROR(IF(G77&lt;&gt;0,F15/G77,0),0)</f>
        <v>0</v>
      </c>
      <c r="J15" s="218">
        <v>0</v>
      </c>
      <c r="K15" s="213">
        <f>SUM(K11:K14)</f>
        <v>0</v>
      </c>
      <c r="L15" s="214">
        <f>SUM(L11:L14)</f>
        <v>0</v>
      </c>
      <c r="M15" s="219">
        <f t="shared" si="2"/>
        <v>0</v>
      </c>
      <c r="N15" s="220">
        <f>IFERROR(K15/C15,0)</f>
        <v>0</v>
      </c>
      <c r="O15" s="221">
        <f>IFERROR(L15/D15,0)</f>
        <v>0</v>
      </c>
      <c r="P15" s="215">
        <f t="shared" si="29"/>
        <v>0</v>
      </c>
      <c r="Q15" s="222">
        <f>IFERROR(C15/F15,0)</f>
        <v>0</v>
      </c>
      <c r="R15" s="223">
        <f>IFERROR(D15/G15,0)</f>
        <v>0</v>
      </c>
      <c r="S15" s="215">
        <f t="shared" si="4"/>
        <v>0</v>
      </c>
      <c r="T15" s="222">
        <f>IFERROR((C15*(1-N15))/F15,0)</f>
        <v>0</v>
      </c>
      <c r="U15" s="223">
        <f>IFERROR((D15*(1-O15))/G15,0)</f>
        <v>0</v>
      </c>
      <c r="V15" s="215">
        <f t="shared" si="5"/>
        <v>0</v>
      </c>
      <c r="W15" s="222">
        <f>IFERROR(SUMPRODUCT(W11:W14,F11:F14)/F15,0)</f>
        <v>0</v>
      </c>
      <c r="X15" s="223">
        <f>IFERROR(SUMPRODUCT(X11:X14,G11:G14)/G15,0)</f>
        <v>0</v>
      </c>
      <c r="Y15" s="215">
        <f t="shared" si="6"/>
        <v>0</v>
      </c>
      <c r="Z15" s="224">
        <f t="shared" si="7"/>
        <v>0</v>
      </c>
      <c r="AA15" s="225">
        <f t="shared" si="8"/>
        <v>0</v>
      </c>
      <c r="AB15" s="215">
        <f t="shared" si="30"/>
        <v>0</v>
      </c>
      <c r="AC15" s="226">
        <f t="shared" si="9"/>
        <v>0</v>
      </c>
      <c r="AD15" s="227">
        <f t="shared" si="9"/>
        <v>0</v>
      </c>
      <c r="AE15" s="228">
        <f t="shared" si="31"/>
        <v>0</v>
      </c>
      <c r="AF15" s="216">
        <f>AF14</f>
        <v>0</v>
      </c>
      <c r="AG15" s="217">
        <f>AG14</f>
        <v>0</v>
      </c>
      <c r="AH15" s="215">
        <f t="shared" si="10"/>
        <v>0</v>
      </c>
      <c r="AI15" s="216">
        <f>SUM(AI11:AI14)</f>
        <v>0</v>
      </c>
      <c r="AJ15" s="217">
        <f>SUM(AJ11:AJ14)</f>
        <v>0</v>
      </c>
      <c r="AK15" s="217">
        <f>SUM(AK11:AK14)</f>
        <v>0</v>
      </c>
      <c r="AL15" s="217">
        <f>SUM(AL11:AL14)</f>
        <v>0</v>
      </c>
      <c r="AM15" s="215">
        <f t="shared" si="12"/>
        <v>0</v>
      </c>
      <c r="AN15" s="216">
        <f>SUM(AN11:AN14)</f>
        <v>0</v>
      </c>
      <c r="AO15" s="217">
        <f t="shared" ref="AO15:AO60" si="35">IFERROR(VLOOKUP(FiscalYr-1 &amp; $B15&amp; FCLY,tblForecast,AN$2,FALSE),0)</f>
        <v>0</v>
      </c>
      <c r="AP15" s="215">
        <f t="shared" si="14"/>
        <v>0</v>
      </c>
      <c r="AQ15" s="229">
        <f>IF(F15&lt;&gt;0,(AF15*COUNTIF(AQ11:AQ14,"&lt;&gt;0")/F15),0)</f>
        <v>0</v>
      </c>
      <c r="AR15" s="230">
        <f>IF(G15&lt;&gt;0,(AG15*COUNTIF(AR11:AR14,"&lt;&gt;0")/G15),0)</f>
        <v>0</v>
      </c>
      <c r="AS15" s="215">
        <f t="shared" si="32"/>
        <v>0</v>
      </c>
      <c r="AT15" s="216">
        <f>SUM(AT11:AT14)</f>
        <v>0</v>
      </c>
      <c r="AU15" s="217">
        <f>SUM(AU11:AU14)</f>
        <v>0</v>
      </c>
      <c r="AV15" s="215">
        <f t="shared" si="17"/>
        <v>0</v>
      </c>
      <c r="AW15" s="231"/>
      <c r="AX15" s="232"/>
      <c r="AY15" s="215">
        <f t="shared" si="18"/>
        <v>0</v>
      </c>
      <c r="AZ15" s="233">
        <f>SUM(AZ11:AZ14)</f>
        <v>0</v>
      </c>
      <c r="BA15" s="217">
        <f>SUM(BA11:BA14)</f>
        <v>0</v>
      </c>
      <c r="BB15" s="215">
        <f t="shared" si="19"/>
        <v>0</v>
      </c>
      <c r="BC15" s="216">
        <f>SUM(BC11:BC14)</f>
        <v>0</v>
      </c>
      <c r="BD15" s="217">
        <f>SUM(BD11:BD14)</f>
        <v>0</v>
      </c>
      <c r="BE15" s="215">
        <f t="shared" si="21"/>
        <v>0</v>
      </c>
      <c r="BF15" s="234">
        <f>SUM(BF11:BF14)</f>
        <v>0</v>
      </c>
      <c r="BG15" s="235">
        <f>SUM(BG11:BG14)</f>
        <v>0</v>
      </c>
      <c r="BH15" s="215">
        <f t="shared" si="23"/>
        <v>0</v>
      </c>
      <c r="BI15" s="235">
        <f>IF(F15&lt;&gt;0,BF15*COUNTIF(BI11:BI14,"&lt;&gt;0")/F15,0)</f>
        <v>0</v>
      </c>
      <c r="BJ15" s="236">
        <f>IF(G15&lt;&gt;0,BG15*COUNTIF(BJ11:BJ14,"&lt;&gt;0")/G15,0)</f>
        <v>0</v>
      </c>
      <c r="BK15" s="225">
        <f t="shared" si="25"/>
        <v>0</v>
      </c>
      <c r="BL15" s="283"/>
      <c r="BM15" s="249"/>
      <c r="BN15" s="249"/>
      <c r="BO15" s="284"/>
    </row>
    <row r="16" spans="1:67" x14ac:dyDescent="0.25">
      <c r="A16" s="64" t="s">
        <v>375</v>
      </c>
      <c r="B16" s="185">
        <v>5</v>
      </c>
      <c r="C16" s="208">
        <f t="shared" ref="C16:D20" si="36">F16*Q16</f>
        <v>0</v>
      </c>
      <c r="D16" s="187">
        <f t="shared" si="36"/>
        <v>0</v>
      </c>
      <c r="E16" s="188">
        <f t="shared" si="0"/>
        <v>0</v>
      </c>
      <c r="F16" s="239">
        <f>IFERROR(VLOOKUP(FiscalYr &amp; $B16&amp;F$4,tblForecast,F$2,FALSE),0)</f>
        <v>0</v>
      </c>
      <c r="G16" s="189">
        <f>IFERROR(VLOOKUP(FiscalYr-IF(CompareVer="LY",1,0) &amp; $B16 + IF(FiscalYr=2018,1,0)&amp;G$4,tblForecast,G$2,FALSE),0)</f>
        <v>0</v>
      </c>
      <c r="H16" s="188">
        <f t="shared" si="1"/>
        <v>0</v>
      </c>
      <c r="I16" s="190">
        <f>IFERROR(IF(F14&gt;0,F16/F14,0),0)</f>
        <v>0</v>
      </c>
      <c r="J16" s="190">
        <f>IFERROR(IF(G14&gt;0,G16/G14,0),0)</f>
        <v>0</v>
      </c>
      <c r="K16" s="208">
        <f t="shared" ref="K16:K20" si="37">IFERROR(C16*N16,0)</f>
        <v>0</v>
      </c>
      <c r="L16" s="187">
        <f t="shared" ref="L16:L20" si="38">D16*O16</f>
        <v>0</v>
      </c>
      <c r="M16" s="191">
        <f t="shared" si="2"/>
        <v>0</v>
      </c>
      <c r="N16" s="162">
        <f t="shared" ref="N16:O20" si="39">IF(Q16&lt;&gt;0,1-T16/Q16,0)</f>
        <v>0</v>
      </c>
      <c r="O16" s="192">
        <f t="shared" si="39"/>
        <v>0</v>
      </c>
      <c r="P16" s="188">
        <f t="shared" si="29"/>
        <v>0</v>
      </c>
      <c r="Q16" s="240">
        <f>IFERROR(VLOOKUP(FiscalYr &amp; $B16&amp;Q$4,tblForecast,Q$2,FALSE),0)</f>
        <v>0</v>
      </c>
      <c r="R16" s="193">
        <f>IFERROR(VLOOKUP(FiscalYr-IF(CompareVer="LY",1,0) &amp; $B16 + IF(FiscalYr=2018,1,0)&amp;R$4,tblForecast,R$2,FALSE),0)</f>
        <v>0</v>
      </c>
      <c r="S16" s="188">
        <f t="shared" si="4"/>
        <v>0</v>
      </c>
      <c r="T16" s="240">
        <f>IFERROR(VLOOKUP(FiscalYr &amp; $B16&amp;T$4,tblForecast,T$2,FALSE),0)</f>
        <v>0</v>
      </c>
      <c r="U16" s="193">
        <f>IFERROR(VLOOKUP(FiscalYr-IF(CompareVer="LY",1,0) &amp; $B16 + IF(FiscalYr=2018,1,0)&amp;U$4,tblForecast,U$2,FALSE),0)</f>
        <v>0</v>
      </c>
      <c r="V16" s="188">
        <f t="shared" si="5"/>
        <v>0</v>
      </c>
      <c r="W16" s="240">
        <f>IFERROR(VLOOKUP(FiscalYr &amp; $B16&amp;W$4,tblForecast,W$2,FALSE),0)</f>
        <v>0</v>
      </c>
      <c r="X16" s="193">
        <f>IFERROR(VLOOKUP(FiscalYr-IF(CompareVer="LY",1,0) &amp; $B16 + IF(FiscalYr=2018,1,0)&amp;X$4,tblForecast,X$2,FALSE),0)</f>
        <v>0</v>
      </c>
      <c r="Y16" s="188">
        <f t="shared" si="6"/>
        <v>0</v>
      </c>
      <c r="Z16" s="74">
        <f t="shared" si="7"/>
        <v>0</v>
      </c>
      <c r="AA16" s="194">
        <f t="shared" si="8"/>
        <v>0</v>
      </c>
      <c r="AB16" s="188">
        <f t="shared" si="30"/>
        <v>0</v>
      </c>
      <c r="AC16" s="209">
        <f t="shared" si="9"/>
        <v>0</v>
      </c>
      <c r="AD16" s="196">
        <f t="shared" si="9"/>
        <v>0</v>
      </c>
      <c r="AE16" s="197">
        <f t="shared" si="31"/>
        <v>0</v>
      </c>
      <c r="AF16" s="239">
        <f>IFERROR(VLOOKUP(FiscalYr &amp; $B16&amp;AF$4,tblForecast,AF$2,FALSE),0)</f>
        <v>0</v>
      </c>
      <c r="AG16" s="189">
        <f>IFERROR(VLOOKUP(FiscalYr-IF(CompareVer="LY",1,0) &amp; $B16 + IF(FiscalYr=2018,1,0)&amp;AG$4,tblForecast,AG$2,FALSE),0)</f>
        <v>0</v>
      </c>
      <c r="AH16" s="188">
        <f t="shared" si="10"/>
        <v>0</v>
      </c>
      <c r="AI16" s="239">
        <f t="shared" ref="AI16:AJ20" si="40">IFERROR(VLOOKUP(FiscalYr &amp; $B16&amp;AI$4,tblForecast,AI$2,FALSE),0)</f>
        <v>0</v>
      </c>
      <c r="AJ16" s="189">
        <f t="shared" si="40"/>
        <v>0</v>
      </c>
      <c r="AK16" s="189">
        <f>IF($A16="a",IFERROR(VLOOKUP(FiscalYr &amp; $B16&amp;AK$4,tblForecast,AK$2,FALSE),0),AI16+AJ16)</f>
        <v>0</v>
      </c>
      <c r="AL16" s="189">
        <f>IFERROR(VLOOKUP(FiscalYr-IF(CompareVer="LY",1,0) &amp; $B16 + IF(FiscalYr=2018,1,0)&amp;AL$4,tblForecast,AL$2,FALSE),0)</f>
        <v>0</v>
      </c>
      <c r="AM16" s="188">
        <f t="shared" si="12"/>
        <v>0</v>
      </c>
      <c r="AN16" s="239">
        <f t="shared" ref="AN16:AO20" si="41">IFERROR(VLOOKUP(FiscalYr &amp; $B16&amp;AN$4,tblForecast,AN$2,FALSE),0)</f>
        <v>0</v>
      </c>
      <c r="AO16" s="189">
        <f t="shared" si="41"/>
        <v>0</v>
      </c>
      <c r="AP16" s="188">
        <f t="shared" si="14"/>
        <v>0</v>
      </c>
      <c r="AQ16" s="199">
        <f t="shared" ref="AQ16:AR20" si="42">IF(F16&lt;&gt;0,AF16/F16,0)</f>
        <v>0</v>
      </c>
      <c r="AR16" s="210">
        <f t="shared" si="42"/>
        <v>0</v>
      </c>
      <c r="AS16" s="188">
        <f t="shared" si="32"/>
        <v>0</v>
      </c>
      <c r="AT16" s="239">
        <f>IFERROR(VLOOKUP(FiscalYr &amp; $B16&amp;AT$4,tblForecast,AT$2,FALSE),0)</f>
        <v>0</v>
      </c>
      <c r="AU16" s="189">
        <f t="shared" si="16"/>
        <v>0</v>
      </c>
      <c r="AV16" s="188">
        <f t="shared" si="17"/>
        <v>0</v>
      </c>
      <c r="AW16" s="201"/>
      <c r="AX16" s="202"/>
      <c r="AY16" s="188">
        <f t="shared" si="18"/>
        <v>0</v>
      </c>
      <c r="AZ16" s="203"/>
      <c r="BA16" s="189"/>
      <c r="BB16" s="188">
        <f t="shared" si="19"/>
        <v>0</v>
      </c>
      <c r="BC16" s="239">
        <f>IFERROR(VLOOKUP(FiscalYr &amp; $B16&amp;BC$4,tblForecast,BC$2,FALSE),0)</f>
        <v>0</v>
      </c>
      <c r="BD16" s="189">
        <f t="shared" si="20"/>
        <v>0</v>
      </c>
      <c r="BE16" s="188">
        <f t="shared" si="21"/>
        <v>0</v>
      </c>
      <c r="BF16" s="211">
        <f>IFERROR(VLOOKUP(FiscalYr &amp; $B16&amp;BF$4,tblForecast,BF$2,FALSE),0)</f>
        <v>0</v>
      </c>
      <c r="BG16" s="189">
        <f t="shared" si="22"/>
        <v>0</v>
      </c>
      <c r="BH16" s="188">
        <f t="shared" si="23"/>
        <v>0</v>
      </c>
      <c r="BI16" s="189">
        <f t="shared" ref="BI16:BJ25" si="43">IF(F16&lt;&gt;0,BF16/F16,0)</f>
        <v>0</v>
      </c>
      <c r="BJ16" s="206">
        <f t="shared" si="43"/>
        <v>0</v>
      </c>
      <c r="BK16" s="194">
        <f t="shared" si="25"/>
        <v>0</v>
      </c>
      <c r="BL16" s="283">
        <f>IFERROR(VLOOKUP(Brand&amp;Channel&amp;Country&amp;$B16,tblDiscount,6,FALSE),0)</f>
        <v>0.35</v>
      </c>
      <c r="BM16" s="249">
        <f>(1-BL16)*BN16</f>
        <v>0</v>
      </c>
      <c r="BN16" s="249">
        <f>IFERROR(VLOOKUP(Brand&amp;Country &amp; Channel &amp;FC,tblFCSettings,8,FALSE),0)</f>
        <v>0</v>
      </c>
      <c r="BO16" s="284">
        <f>IFERROR(VLOOKUP(Brand&amp;Country &amp; Channel &amp;FC,tblFCSettings,9,FALSE),0)</f>
        <v>0</v>
      </c>
    </row>
    <row r="17" spans="1:67" x14ac:dyDescent="0.25">
      <c r="A17" s="64" t="s">
        <v>375</v>
      </c>
      <c r="B17" s="185">
        <v>6</v>
      </c>
      <c r="C17" s="208">
        <f t="shared" si="36"/>
        <v>0</v>
      </c>
      <c r="D17" s="187">
        <f t="shared" si="36"/>
        <v>0</v>
      </c>
      <c r="E17" s="188">
        <f t="shared" si="0"/>
        <v>0</v>
      </c>
      <c r="F17" s="239">
        <f>IFERROR(VLOOKUP(FiscalYr &amp; $B17&amp;F$4,tblForecast,F$2,FALSE),0)</f>
        <v>0</v>
      </c>
      <c r="G17" s="189">
        <f>IFERROR(VLOOKUP(FiscalYr-IF(CompareVer="LY",1,0) &amp; $B17 + IF(FiscalYr=2018,1,0)&amp;G$4,tblForecast,G$2,FALSE),0)</f>
        <v>0</v>
      </c>
      <c r="H17" s="188">
        <f t="shared" si="1"/>
        <v>0</v>
      </c>
      <c r="I17" s="190">
        <f t="shared" ref="I17:J25" si="44">IFERROR(IF(F16&lt;&gt;0,F17/F16,0),0)</f>
        <v>0</v>
      </c>
      <c r="J17" s="190">
        <f t="shared" si="44"/>
        <v>0</v>
      </c>
      <c r="K17" s="208">
        <f t="shared" si="37"/>
        <v>0</v>
      </c>
      <c r="L17" s="187">
        <f t="shared" si="38"/>
        <v>0</v>
      </c>
      <c r="M17" s="191">
        <f t="shared" si="2"/>
        <v>0</v>
      </c>
      <c r="N17" s="162">
        <f t="shared" si="39"/>
        <v>0</v>
      </c>
      <c r="O17" s="192">
        <f t="shared" si="39"/>
        <v>0</v>
      </c>
      <c r="P17" s="188">
        <f t="shared" si="29"/>
        <v>0</v>
      </c>
      <c r="Q17" s="240">
        <f>IFERROR(VLOOKUP(FiscalYr &amp; $B17&amp;Q$4,tblForecast,Q$2,FALSE),0)</f>
        <v>0</v>
      </c>
      <c r="R17" s="193">
        <f>IFERROR(VLOOKUP(FiscalYr-IF(CompareVer="LY",1,0) &amp; $B17 + IF(FiscalYr=2018,1,0)&amp;R$4,tblForecast,R$2,FALSE),0)</f>
        <v>0</v>
      </c>
      <c r="S17" s="188">
        <f t="shared" si="4"/>
        <v>0</v>
      </c>
      <c r="T17" s="240">
        <f>IFERROR(VLOOKUP(FiscalYr &amp; $B17&amp;T$4,tblForecast,T$2,FALSE),0)</f>
        <v>0</v>
      </c>
      <c r="U17" s="193">
        <f>IFERROR(VLOOKUP(FiscalYr-IF(CompareVer="LY",1,0) &amp; $B17 + IF(FiscalYr=2018,1,0)&amp;U$4,tblForecast,U$2,FALSE),0)</f>
        <v>0</v>
      </c>
      <c r="V17" s="188">
        <f t="shared" si="5"/>
        <v>0</v>
      </c>
      <c r="W17" s="240">
        <f>IFERROR(VLOOKUP(FiscalYr &amp; $B17&amp;W$4,tblForecast,W$2,FALSE),0)</f>
        <v>0</v>
      </c>
      <c r="X17" s="193">
        <f>IFERROR(VLOOKUP(FiscalYr-IF(CompareVer="LY",1,0) &amp; $B17 + IF(FiscalYr=2018,1,0)&amp;X$4,tblForecast,X$2,FALSE),0)</f>
        <v>0</v>
      </c>
      <c r="Y17" s="188">
        <f t="shared" si="6"/>
        <v>0</v>
      </c>
      <c r="Z17" s="74">
        <f t="shared" si="7"/>
        <v>0</v>
      </c>
      <c r="AA17" s="194">
        <f t="shared" si="8"/>
        <v>0</v>
      </c>
      <c r="AB17" s="188">
        <f t="shared" si="30"/>
        <v>0</v>
      </c>
      <c r="AC17" s="209">
        <f t="shared" si="9"/>
        <v>0</v>
      </c>
      <c r="AD17" s="196">
        <f t="shared" si="9"/>
        <v>0</v>
      </c>
      <c r="AE17" s="197">
        <f t="shared" si="31"/>
        <v>0</v>
      </c>
      <c r="AF17" s="239">
        <f>IFERROR(VLOOKUP(FiscalYr &amp; $B17&amp;AF$4,tblForecast,AF$2,FALSE),0)</f>
        <v>0</v>
      </c>
      <c r="AG17" s="189">
        <f>IFERROR(VLOOKUP(FiscalYr-IF(CompareVer="LY",1,0) &amp; $B17 + IF(FiscalYr=2018,1,0)&amp;AG$4,tblForecast,AG$2,FALSE),0)</f>
        <v>0</v>
      </c>
      <c r="AH17" s="188">
        <f t="shared" si="10"/>
        <v>0</v>
      </c>
      <c r="AI17" s="239">
        <f t="shared" si="40"/>
        <v>0</v>
      </c>
      <c r="AJ17" s="189">
        <f t="shared" si="40"/>
        <v>0</v>
      </c>
      <c r="AK17" s="189">
        <f>IF($A17="a",IFERROR(VLOOKUP(FiscalYr &amp; $B17&amp;AK$4,tblForecast,AK$2,FALSE),0),AI17+AJ17)</f>
        <v>0</v>
      </c>
      <c r="AL17" s="189">
        <f>IFERROR(VLOOKUP(FiscalYr-IF(CompareVer="LY",1,0) &amp; $B17 + IF(FiscalYr=2018,1,0)&amp;AL$4,tblForecast,AL$2,FALSE),0)</f>
        <v>0</v>
      </c>
      <c r="AM17" s="188">
        <f t="shared" si="12"/>
        <v>0</v>
      </c>
      <c r="AN17" s="239">
        <f t="shared" si="41"/>
        <v>0</v>
      </c>
      <c r="AO17" s="189">
        <f t="shared" si="41"/>
        <v>0</v>
      </c>
      <c r="AP17" s="188">
        <f t="shared" si="14"/>
        <v>0</v>
      </c>
      <c r="AQ17" s="199">
        <f t="shared" si="42"/>
        <v>0</v>
      </c>
      <c r="AR17" s="210">
        <f t="shared" si="42"/>
        <v>0</v>
      </c>
      <c r="AS17" s="188">
        <f t="shared" si="32"/>
        <v>0</v>
      </c>
      <c r="AT17" s="239">
        <f>IFERROR(VLOOKUP(FiscalYr &amp; $B17&amp;AT$4,tblForecast,AT$2,FALSE),0)</f>
        <v>0</v>
      </c>
      <c r="AU17" s="189">
        <f t="shared" si="16"/>
        <v>0</v>
      </c>
      <c r="AV17" s="188">
        <f t="shared" si="17"/>
        <v>0</v>
      </c>
      <c r="AW17" s="201"/>
      <c r="AX17" s="202"/>
      <c r="AY17" s="188">
        <f t="shared" si="18"/>
        <v>0</v>
      </c>
      <c r="AZ17" s="203"/>
      <c r="BA17" s="189"/>
      <c r="BB17" s="188">
        <f t="shared" si="19"/>
        <v>0</v>
      </c>
      <c r="BC17" s="239">
        <f>IFERROR(VLOOKUP(FiscalYr &amp; $B17&amp;BC$4,tblForecast,BC$2,FALSE),0)</f>
        <v>0</v>
      </c>
      <c r="BD17" s="189">
        <f t="shared" si="20"/>
        <v>0</v>
      </c>
      <c r="BE17" s="188">
        <f t="shared" si="21"/>
        <v>0</v>
      </c>
      <c r="BF17" s="211">
        <f>IFERROR(VLOOKUP(FiscalYr &amp; $B17&amp;BF$4,tblForecast,BF$2,FALSE),0)</f>
        <v>0</v>
      </c>
      <c r="BG17" s="189">
        <f t="shared" si="22"/>
        <v>0</v>
      </c>
      <c r="BH17" s="188">
        <f t="shared" si="23"/>
        <v>0</v>
      </c>
      <c r="BI17" s="189">
        <f t="shared" si="43"/>
        <v>0</v>
      </c>
      <c r="BJ17" s="206">
        <f t="shared" si="43"/>
        <v>0</v>
      </c>
      <c r="BK17" s="194">
        <f t="shared" si="25"/>
        <v>0</v>
      </c>
      <c r="BL17" s="283">
        <f>IFERROR(VLOOKUP(Brand&amp;Channel&amp;Country&amp;$B17,tblDiscount,6,FALSE),0)</f>
        <v>0.35</v>
      </c>
      <c r="BM17" s="249">
        <f t="shared" ref="BM17:BM19" si="45">(1-BL17)*BN17</f>
        <v>0</v>
      </c>
      <c r="BN17" s="249">
        <f>IFERROR(VLOOKUP(Brand&amp;Country &amp; Channel &amp;FC,tblFCSettings,8,FALSE),0)</f>
        <v>0</v>
      </c>
      <c r="BO17" s="284">
        <f>IFERROR(VLOOKUP(Brand&amp;Country &amp; Channel &amp;FC,tblFCSettings,9,FALSE),0)</f>
        <v>0</v>
      </c>
    </row>
    <row r="18" spans="1:67" x14ac:dyDescent="0.25">
      <c r="A18" s="64" t="s">
        <v>375</v>
      </c>
      <c r="B18" s="185">
        <v>7</v>
      </c>
      <c r="C18" s="208">
        <f t="shared" si="36"/>
        <v>0</v>
      </c>
      <c r="D18" s="187">
        <f t="shared" si="36"/>
        <v>0</v>
      </c>
      <c r="E18" s="188">
        <f t="shared" si="0"/>
        <v>0</v>
      </c>
      <c r="F18" s="239">
        <f>IFERROR(VLOOKUP(FiscalYr &amp; $B18&amp;F$4,tblForecast,F$2,FALSE),0)</f>
        <v>0</v>
      </c>
      <c r="G18" s="189">
        <f>IFERROR(VLOOKUP(FiscalYr-IF(CompareVer="LY",1,0) &amp; $B18 + IF(FiscalYr=2018,1,0)&amp;G$4,tblForecast,G$2,FALSE),0)</f>
        <v>0</v>
      </c>
      <c r="H18" s="188">
        <f t="shared" si="1"/>
        <v>0</v>
      </c>
      <c r="I18" s="190">
        <f t="shared" si="44"/>
        <v>0</v>
      </c>
      <c r="J18" s="190">
        <f t="shared" si="44"/>
        <v>0</v>
      </c>
      <c r="K18" s="208">
        <f t="shared" si="37"/>
        <v>0</v>
      </c>
      <c r="L18" s="187">
        <f t="shared" si="38"/>
        <v>0</v>
      </c>
      <c r="M18" s="191">
        <f t="shared" si="2"/>
        <v>0</v>
      </c>
      <c r="N18" s="162">
        <f t="shared" si="39"/>
        <v>0</v>
      </c>
      <c r="O18" s="192">
        <f t="shared" si="39"/>
        <v>0</v>
      </c>
      <c r="P18" s="188">
        <f t="shared" si="29"/>
        <v>0</v>
      </c>
      <c r="Q18" s="240">
        <f>IFERROR(VLOOKUP(FiscalYr &amp; $B18&amp;Q$4,tblForecast,Q$2,FALSE),0)</f>
        <v>0</v>
      </c>
      <c r="R18" s="193">
        <f>IFERROR(VLOOKUP(FiscalYr-IF(CompareVer="LY",1,0) &amp; $B18 + IF(FiscalYr=2018,1,0)&amp;R$4,tblForecast,R$2,FALSE),0)</f>
        <v>0</v>
      </c>
      <c r="S18" s="188">
        <f t="shared" si="4"/>
        <v>0</v>
      </c>
      <c r="T18" s="240">
        <f>IFERROR(VLOOKUP(FiscalYr &amp; $B18&amp;T$4,tblForecast,T$2,FALSE),0)</f>
        <v>0</v>
      </c>
      <c r="U18" s="193">
        <f>IFERROR(VLOOKUP(FiscalYr-IF(CompareVer="LY",1,0) &amp; $B18 + IF(FiscalYr=2018,1,0)&amp;U$4,tblForecast,U$2,FALSE),0)</f>
        <v>0</v>
      </c>
      <c r="V18" s="188">
        <f t="shared" si="5"/>
        <v>0</v>
      </c>
      <c r="W18" s="240">
        <f>IFERROR(VLOOKUP(FiscalYr &amp; $B18&amp;W$4,tblForecast,W$2,FALSE),0)</f>
        <v>0</v>
      </c>
      <c r="X18" s="193">
        <f>IFERROR(VLOOKUP(FiscalYr-IF(CompareVer="LY",1,0) &amp; $B18 + IF(FiscalYr=2018,1,0)&amp;X$4,tblForecast,X$2,FALSE),0)</f>
        <v>0</v>
      </c>
      <c r="Y18" s="188">
        <f t="shared" si="6"/>
        <v>0</v>
      </c>
      <c r="Z18" s="74">
        <f t="shared" si="7"/>
        <v>0</v>
      </c>
      <c r="AA18" s="194">
        <f t="shared" si="8"/>
        <v>0</v>
      </c>
      <c r="AB18" s="188">
        <f t="shared" si="30"/>
        <v>0</v>
      </c>
      <c r="AC18" s="209">
        <f t="shared" si="9"/>
        <v>0</v>
      </c>
      <c r="AD18" s="196">
        <f t="shared" si="9"/>
        <v>0</v>
      </c>
      <c r="AE18" s="197">
        <f t="shared" si="31"/>
        <v>0</v>
      </c>
      <c r="AF18" s="239">
        <f>IFERROR(VLOOKUP(FiscalYr &amp; $B18&amp;AF$4,tblForecast,AF$2,FALSE),0)</f>
        <v>0</v>
      </c>
      <c r="AG18" s="189">
        <f>IFERROR(VLOOKUP(FiscalYr-IF(CompareVer="LY",1,0) &amp; $B18 + IF(FiscalYr=2018,1,0)&amp;AG$4,tblForecast,AG$2,FALSE),0)</f>
        <v>0</v>
      </c>
      <c r="AH18" s="188">
        <f t="shared" si="10"/>
        <v>0</v>
      </c>
      <c r="AI18" s="239">
        <f t="shared" si="40"/>
        <v>0</v>
      </c>
      <c r="AJ18" s="189">
        <f t="shared" si="40"/>
        <v>0</v>
      </c>
      <c r="AK18" s="189">
        <f>IF($A18="a",IFERROR(VLOOKUP(FiscalYr &amp; $B18&amp;AK$4,tblForecast,AK$2,FALSE),0),AI18+AJ18)</f>
        <v>0</v>
      </c>
      <c r="AL18" s="189">
        <f>IFERROR(VLOOKUP(FiscalYr-IF(CompareVer="LY",1,0) &amp; $B18 + IF(FiscalYr=2018,1,0)&amp;AL$4,tblForecast,AL$2,FALSE),0)</f>
        <v>0</v>
      </c>
      <c r="AM18" s="188">
        <f t="shared" si="12"/>
        <v>0</v>
      </c>
      <c r="AN18" s="239">
        <f t="shared" si="41"/>
        <v>0</v>
      </c>
      <c r="AO18" s="189">
        <f t="shared" si="41"/>
        <v>0</v>
      </c>
      <c r="AP18" s="188">
        <f t="shared" si="14"/>
        <v>0</v>
      </c>
      <c r="AQ18" s="199">
        <f t="shared" si="42"/>
        <v>0</v>
      </c>
      <c r="AR18" s="210">
        <f t="shared" si="42"/>
        <v>0</v>
      </c>
      <c r="AS18" s="188">
        <f t="shared" si="32"/>
        <v>0</v>
      </c>
      <c r="AT18" s="239">
        <f>IFERROR(VLOOKUP(FiscalYr &amp; $B18&amp;AT$4,tblForecast,AT$2,FALSE),0)</f>
        <v>0</v>
      </c>
      <c r="AU18" s="189">
        <f t="shared" si="16"/>
        <v>0</v>
      </c>
      <c r="AV18" s="188">
        <f t="shared" si="17"/>
        <v>0</v>
      </c>
      <c r="AW18" s="201"/>
      <c r="AX18" s="202"/>
      <c r="AY18" s="188">
        <f t="shared" si="18"/>
        <v>0</v>
      </c>
      <c r="AZ18" s="203"/>
      <c r="BA18" s="189"/>
      <c r="BB18" s="188">
        <f t="shared" si="19"/>
        <v>0</v>
      </c>
      <c r="BC18" s="239">
        <f>IFERROR(VLOOKUP(FiscalYr &amp; $B18&amp;BC$4,tblForecast,BC$2,FALSE),0)</f>
        <v>0</v>
      </c>
      <c r="BD18" s="189">
        <f t="shared" si="20"/>
        <v>0</v>
      </c>
      <c r="BE18" s="188">
        <f t="shared" si="21"/>
        <v>0</v>
      </c>
      <c r="BF18" s="211">
        <f>IFERROR(VLOOKUP(FiscalYr &amp; $B18&amp;BF$4,tblForecast,BF$2,FALSE),0)</f>
        <v>0</v>
      </c>
      <c r="BG18" s="189">
        <f t="shared" si="22"/>
        <v>0</v>
      </c>
      <c r="BH18" s="188">
        <f t="shared" si="23"/>
        <v>0</v>
      </c>
      <c r="BI18" s="189">
        <f t="shared" si="43"/>
        <v>0</v>
      </c>
      <c r="BJ18" s="206">
        <f t="shared" si="43"/>
        <v>0</v>
      </c>
      <c r="BK18" s="194">
        <f t="shared" si="25"/>
        <v>0</v>
      </c>
      <c r="BL18" s="283">
        <f>IFERROR(VLOOKUP(Brand&amp;Channel&amp;Country&amp;$B18,tblDiscount,6,FALSE),0)</f>
        <v>0.35</v>
      </c>
      <c r="BM18" s="249">
        <f t="shared" si="45"/>
        <v>0</v>
      </c>
      <c r="BN18" s="249">
        <f>IFERROR(VLOOKUP(Brand&amp;Country &amp; Channel &amp;FC,tblFCSettings,8,FALSE),0)</f>
        <v>0</v>
      </c>
      <c r="BO18" s="284">
        <f>IFERROR(VLOOKUP(Brand&amp;Country &amp; Channel &amp;FC,tblFCSettings,9,FALSE),0)</f>
        <v>0</v>
      </c>
    </row>
    <row r="19" spans="1:67" x14ac:dyDescent="0.25">
      <c r="A19" s="64" t="s">
        <v>375</v>
      </c>
      <c r="B19" s="185">
        <v>8</v>
      </c>
      <c r="C19" s="208">
        <f t="shared" si="36"/>
        <v>0</v>
      </c>
      <c r="D19" s="187">
        <f t="shared" si="36"/>
        <v>0</v>
      </c>
      <c r="E19" s="188">
        <f t="shared" si="0"/>
        <v>0</v>
      </c>
      <c r="F19" s="239">
        <f>IFERROR(VLOOKUP(FiscalYr &amp; $B19&amp;F$4,tblForecast,F$2,FALSE),0)</f>
        <v>0</v>
      </c>
      <c r="G19" s="189">
        <f>IFERROR(VLOOKUP(FiscalYr-IF(CompareVer="LY",1,0) &amp; $B19 + IF(FiscalYr=2018,1,0)&amp;G$4,tblForecast,G$2,FALSE),0)</f>
        <v>0</v>
      </c>
      <c r="H19" s="188">
        <f t="shared" si="1"/>
        <v>0</v>
      </c>
      <c r="I19" s="190">
        <f t="shared" si="44"/>
        <v>0</v>
      </c>
      <c r="J19" s="190">
        <f t="shared" si="44"/>
        <v>0</v>
      </c>
      <c r="K19" s="208">
        <f t="shared" si="37"/>
        <v>0</v>
      </c>
      <c r="L19" s="187">
        <f t="shared" si="38"/>
        <v>0</v>
      </c>
      <c r="M19" s="191">
        <f t="shared" si="2"/>
        <v>0</v>
      </c>
      <c r="N19" s="162">
        <f t="shared" si="39"/>
        <v>0</v>
      </c>
      <c r="O19" s="192">
        <f t="shared" si="39"/>
        <v>0</v>
      </c>
      <c r="P19" s="188">
        <f t="shared" si="29"/>
        <v>0</v>
      </c>
      <c r="Q19" s="240">
        <f>IFERROR(VLOOKUP(FiscalYr &amp; $B19&amp;Q$4,tblForecast,Q$2,FALSE),0)</f>
        <v>0</v>
      </c>
      <c r="R19" s="193">
        <f>IFERROR(VLOOKUP(FiscalYr-IF(CompareVer="LY",1,0) &amp; $B19 + IF(FiscalYr=2018,1,0)&amp;R$4,tblForecast,R$2,FALSE),0)</f>
        <v>0</v>
      </c>
      <c r="S19" s="188">
        <f t="shared" si="4"/>
        <v>0</v>
      </c>
      <c r="T19" s="240">
        <f>IFERROR(VLOOKUP(FiscalYr &amp; $B19&amp;T$4,tblForecast,T$2,FALSE),0)</f>
        <v>0</v>
      </c>
      <c r="U19" s="193">
        <f>IFERROR(VLOOKUP(FiscalYr-IF(CompareVer="LY",1,0) &amp; $B19 + IF(FiscalYr=2018,1,0)&amp;U$4,tblForecast,U$2,FALSE),0)</f>
        <v>0</v>
      </c>
      <c r="V19" s="188">
        <f t="shared" si="5"/>
        <v>0</v>
      </c>
      <c r="W19" s="240">
        <f>IFERROR(VLOOKUP(FiscalYr &amp; $B19&amp;W$4,tblForecast,W$2,FALSE),0)</f>
        <v>0</v>
      </c>
      <c r="X19" s="193">
        <f>IFERROR(VLOOKUP(FiscalYr-IF(CompareVer="LY",1,0) &amp; $B19 + IF(FiscalYr=2018,1,0)&amp;X$4,tblForecast,X$2,FALSE),0)</f>
        <v>0</v>
      </c>
      <c r="Y19" s="188">
        <f t="shared" si="6"/>
        <v>0</v>
      </c>
      <c r="Z19" s="74">
        <f t="shared" si="7"/>
        <v>0</v>
      </c>
      <c r="AA19" s="194">
        <f t="shared" si="8"/>
        <v>0</v>
      </c>
      <c r="AB19" s="188">
        <f t="shared" si="30"/>
        <v>0</v>
      </c>
      <c r="AC19" s="209">
        <f t="shared" si="9"/>
        <v>0</v>
      </c>
      <c r="AD19" s="196">
        <f t="shared" si="9"/>
        <v>0</v>
      </c>
      <c r="AE19" s="197">
        <f t="shared" si="31"/>
        <v>0</v>
      </c>
      <c r="AF19" s="239">
        <f>IFERROR(VLOOKUP(FiscalYr &amp; $B19&amp;AF$4,tblForecast,AF$2,FALSE),0)</f>
        <v>0</v>
      </c>
      <c r="AG19" s="189">
        <f>IFERROR(VLOOKUP(FiscalYr-IF(CompareVer="LY",1,0) &amp; $B19 + IF(FiscalYr=2018,1,0)&amp;AG$4,tblForecast,AG$2,FALSE),0)</f>
        <v>0</v>
      </c>
      <c r="AH19" s="188">
        <f t="shared" si="10"/>
        <v>0</v>
      </c>
      <c r="AI19" s="239">
        <f t="shared" si="40"/>
        <v>0</v>
      </c>
      <c r="AJ19" s="189">
        <f t="shared" si="40"/>
        <v>0</v>
      </c>
      <c r="AK19" s="189">
        <f>IF($A19="a",IFERROR(VLOOKUP(FiscalYr &amp; $B19&amp;AK$4,tblForecast,AK$2,FALSE),0),AI19+AJ19)</f>
        <v>0</v>
      </c>
      <c r="AL19" s="189">
        <f>IFERROR(VLOOKUP(FiscalYr-IF(CompareVer="LY",1,0) &amp; $B19 + IF(FiscalYr=2018,1,0)&amp;AL$4,tblForecast,AL$2,FALSE),0)</f>
        <v>0</v>
      </c>
      <c r="AM19" s="188">
        <f t="shared" si="12"/>
        <v>0</v>
      </c>
      <c r="AN19" s="239">
        <f t="shared" si="41"/>
        <v>0</v>
      </c>
      <c r="AO19" s="189">
        <f t="shared" si="41"/>
        <v>0</v>
      </c>
      <c r="AP19" s="188">
        <f t="shared" si="14"/>
        <v>0</v>
      </c>
      <c r="AQ19" s="199">
        <f t="shared" si="42"/>
        <v>0</v>
      </c>
      <c r="AR19" s="210">
        <f t="shared" si="42"/>
        <v>0</v>
      </c>
      <c r="AS19" s="188">
        <f t="shared" si="32"/>
        <v>0</v>
      </c>
      <c r="AT19" s="239">
        <f>IFERROR(VLOOKUP(FiscalYr &amp; $B19&amp;AT$4,tblForecast,AT$2,FALSE),0)</f>
        <v>0</v>
      </c>
      <c r="AU19" s="189">
        <f t="shared" si="16"/>
        <v>0</v>
      </c>
      <c r="AV19" s="188">
        <f t="shared" si="17"/>
        <v>0</v>
      </c>
      <c r="AW19" s="201"/>
      <c r="AX19" s="202"/>
      <c r="AY19" s="188">
        <f t="shared" si="18"/>
        <v>0</v>
      </c>
      <c r="AZ19" s="203"/>
      <c r="BA19" s="189"/>
      <c r="BB19" s="188">
        <f t="shared" si="19"/>
        <v>0</v>
      </c>
      <c r="BC19" s="239">
        <f>IFERROR(VLOOKUP(FiscalYr &amp; $B19&amp;BC$4,tblForecast,BC$2,FALSE),0)</f>
        <v>0</v>
      </c>
      <c r="BD19" s="189">
        <f t="shared" si="20"/>
        <v>0</v>
      </c>
      <c r="BE19" s="188">
        <f t="shared" si="21"/>
        <v>0</v>
      </c>
      <c r="BF19" s="211">
        <f>IFERROR(VLOOKUP(FiscalYr &amp; $B19&amp;BF$4,tblForecast,BF$2,FALSE),0)</f>
        <v>0</v>
      </c>
      <c r="BG19" s="189">
        <f t="shared" si="22"/>
        <v>0</v>
      </c>
      <c r="BH19" s="188">
        <f t="shared" si="23"/>
        <v>0</v>
      </c>
      <c r="BI19" s="189">
        <f t="shared" si="43"/>
        <v>0</v>
      </c>
      <c r="BJ19" s="206">
        <f t="shared" si="43"/>
        <v>0</v>
      </c>
      <c r="BK19" s="194">
        <f t="shared" si="25"/>
        <v>0</v>
      </c>
      <c r="BL19" s="283">
        <f>IFERROR(VLOOKUP(Brand&amp;Channel&amp;Country&amp;$B19,tblDiscount,6,FALSE),0)</f>
        <v>0.4</v>
      </c>
      <c r="BM19" s="249">
        <f t="shared" si="45"/>
        <v>0</v>
      </c>
      <c r="BN19" s="249">
        <f>IFERROR(VLOOKUP(Brand&amp;Country &amp; Channel &amp;FC,tblFCSettings,8,FALSE),0)</f>
        <v>0</v>
      </c>
      <c r="BO19" s="284">
        <f>IFERROR(VLOOKUP(Brand&amp;Country &amp; Channel &amp;FC,tblFCSettings,9,FALSE),0)</f>
        <v>0</v>
      </c>
    </row>
    <row r="20" spans="1:67" ht="16.5" thickBot="1" x14ac:dyDescent="0.3">
      <c r="A20" s="64" t="s">
        <v>375</v>
      </c>
      <c r="B20" s="185">
        <v>9</v>
      </c>
      <c r="C20" s="208">
        <f t="shared" si="36"/>
        <v>0</v>
      </c>
      <c r="D20" s="187">
        <f t="shared" si="36"/>
        <v>0</v>
      </c>
      <c r="E20" s="188">
        <f t="shared" si="0"/>
        <v>0</v>
      </c>
      <c r="F20" s="239">
        <f>IFERROR(VLOOKUP(FiscalYr &amp; $B20&amp;F$4,tblForecast,F$2,FALSE),0)</f>
        <v>0</v>
      </c>
      <c r="G20" s="189">
        <f>IFERROR(VLOOKUP(FiscalYr-IF(CompareVer="LY",1,0) &amp; $B20 + IF(FiscalYr=2018,1,0)&amp;G$4,tblForecast,G$2,FALSE),0)</f>
        <v>0</v>
      </c>
      <c r="H20" s="188">
        <f t="shared" si="1"/>
        <v>0</v>
      </c>
      <c r="I20" s="190">
        <f t="shared" si="44"/>
        <v>0</v>
      </c>
      <c r="J20" s="190">
        <f t="shared" si="44"/>
        <v>0</v>
      </c>
      <c r="K20" s="208">
        <f t="shared" si="37"/>
        <v>0</v>
      </c>
      <c r="L20" s="187">
        <f t="shared" si="38"/>
        <v>0</v>
      </c>
      <c r="M20" s="191">
        <f t="shared" si="2"/>
        <v>0</v>
      </c>
      <c r="N20" s="162">
        <f t="shared" si="39"/>
        <v>0</v>
      </c>
      <c r="O20" s="192">
        <f t="shared" si="39"/>
        <v>0</v>
      </c>
      <c r="P20" s="188">
        <f t="shared" si="29"/>
        <v>0</v>
      </c>
      <c r="Q20" s="240">
        <f>IFERROR(VLOOKUP(FiscalYr &amp; $B20&amp;Q$4,tblForecast,Q$2,FALSE),0)</f>
        <v>0</v>
      </c>
      <c r="R20" s="193">
        <f>IFERROR(VLOOKUP(FiscalYr-IF(CompareVer="LY",1,0) &amp; $B20 + IF(FiscalYr=2018,1,0)&amp;R$4,tblForecast,R$2,FALSE),0)</f>
        <v>0</v>
      </c>
      <c r="S20" s="188">
        <f t="shared" si="4"/>
        <v>0</v>
      </c>
      <c r="T20" s="240">
        <f>IFERROR(VLOOKUP(FiscalYr &amp; $B20&amp;T$4,tblForecast,T$2,FALSE),0)</f>
        <v>0</v>
      </c>
      <c r="U20" s="193">
        <f>IFERROR(VLOOKUP(FiscalYr-IF(CompareVer="LY",1,0) &amp; $B20 + IF(FiscalYr=2018,1,0)&amp;U$4,tblForecast,U$2,FALSE),0)</f>
        <v>0</v>
      </c>
      <c r="V20" s="188">
        <f t="shared" si="5"/>
        <v>0</v>
      </c>
      <c r="W20" s="240">
        <f>IFERROR(VLOOKUP(FiscalYr &amp; $B20&amp;W$4,tblForecast,W$2,FALSE),0)</f>
        <v>0</v>
      </c>
      <c r="X20" s="193">
        <f>IFERROR(VLOOKUP(FiscalYr-IF(CompareVer="LY",1,0) &amp; $B20 + IF(FiscalYr=2018,1,0)&amp;X$4,tblForecast,X$2,FALSE),0)</f>
        <v>0</v>
      </c>
      <c r="Y20" s="188">
        <f t="shared" si="6"/>
        <v>0</v>
      </c>
      <c r="Z20" s="74">
        <f t="shared" si="7"/>
        <v>0</v>
      </c>
      <c r="AA20" s="194">
        <f t="shared" si="8"/>
        <v>0</v>
      </c>
      <c r="AB20" s="188">
        <f t="shared" si="30"/>
        <v>0</v>
      </c>
      <c r="AC20" s="209">
        <f t="shared" si="9"/>
        <v>0</v>
      </c>
      <c r="AD20" s="196">
        <f t="shared" si="9"/>
        <v>0</v>
      </c>
      <c r="AE20" s="197">
        <f t="shared" si="31"/>
        <v>0</v>
      </c>
      <c r="AF20" s="239">
        <f>IFERROR(VLOOKUP(FiscalYr &amp; $B20&amp;AF$4,tblForecast,AF$2,FALSE),0)</f>
        <v>0</v>
      </c>
      <c r="AG20" s="189">
        <f>IFERROR(VLOOKUP(FiscalYr-IF(CompareVer="LY",1,0) &amp; $B20 + IF(FiscalYr=2018,1,0)&amp;AG$4,tblForecast,AG$2,FALSE),0)</f>
        <v>0</v>
      </c>
      <c r="AH20" s="188">
        <f t="shared" si="10"/>
        <v>0</v>
      </c>
      <c r="AI20" s="239">
        <f t="shared" si="40"/>
        <v>0</v>
      </c>
      <c r="AJ20" s="189">
        <f t="shared" si="40"/>
        <v>0</v>
      </c>
      <c r="AK20" s="189">
        <f>IF($A20="a",IFERROR(VLOOKUP(FiscalYr &amp; $B20&amp;AK$4,tblForecast,AK$2,FALSE),0),AI20+AJ20)</f>
        <v>0</v>
      </c>
      <c r="AL20" s="189">
        <f>IFERROR(VLOOKUP(FiscalYr-IF(CompareVer="LY",1,0) &amp; $B20 + IF(FiscalYr=2018,1,0)&amp;AL$4,tblForecast,AL$2,FALSE),0)</f>
        <v>0</v>
      </c>
      <c r="AM20" s="188">
        <f t="shared" si="12"/>
        <v>0</v>
      </c>
      <c r="AN20" s="239">
        <f t="shared" si="41"/>
        <v>0</v>
      </c>
      <c r="AO20" s="189">
        <f t="shared" si="41"/>
        <v>0</v>
      </c>
      <c r="AP20" s="188">
        <f t="shared" si="14"/>
        <v>0</v>
      </c>
      <c r="AQ20" s="199">
        <f t="shared" si="42"/>
        <v>0</v>
      </c>
      <c r="AR20" s="210">
        <f t="shared" si="42"/>
        <v>0</v>
      </c>
      <c r="AS20" s="188">
        <f t="shared" si="32"/>
        <v>0</v>
      </c>
      <c r="AT20" s="239">
        <f>IFERROR(VLOOKUP(FiscalYr &amp; $B20&amp;AT$4,tblForecast,AT$2,FALSE),0)</f>
        <v>0</v>
      </c>
      <c r="AU20" s="189">
        <f t="shared" si="16"/>
        <v>0</v>
      </c>
      <c r="AV20" s="188">
        <f t="shared" si="17"/>
        <v>0</v>
      </c>
      <c r="AW20" s="201"/>
      <c r="AX20" s="202"/>
      <c r="AY20" s="188">
        <f t="shared" si="18"/>
        <v>0</v>
      </c>
      <c r="AZ20" s="203"/>
      <c r="BA20" s="189"/>
      <c r="BB20" s="188">
        <f t="shared" si="19"/>
        <v>0</v>
      </c>
      <c r="BC20" s="239">
        <f>IFERROR(VLOOKUP(FiscalYr &amp; $B20&amp;BC$4,tblForecast,BC$2,FALSE),0)</f>
        <v>0</v>
      </c>
      <c r="BD20" s="189">
        <f t="shared" si="20"/>
        <v>0</v>
      </c>
      <c r="BE20" s="188">
        <f t="shared" si="21"/>
        <v>0</v>
      </c>
      <c r="BF20" s="211">
        <f>IFERROR(VLOOKUP(FiscalYr &amp; $B20&amp;BF$4,tblForecast,BF$2,FALSE),0)</f>
        <v>0</v>
      </c>
      <c r="BG20" s="189">
        <f t="shared" si="22"/>
        <v>0</v>
      </c>
      <c r="BH20" s="188">
        <f t="shared" si="23"/>
        <v>0</v>
      </c>
      <c r="BI20" s="189">
        <f t="shared" si="43"/>
        <v>0</v>
      </c>
      <c r="BJ20" s="206">
        <f t="shared" si="43"/>
        <v>0</v>
      </c>
      <c r="BK20" s="194">
        <f t="shared" si="25"/>
        <v>0</v>
      </c>
      <c r="BL20" s="283">
        <f>IFERROR(VLOOKUP(Brand&amp;Channel&amp;Country&amp;$B20,tblDiscount,6,FALSE),0)</f>
        <v>0.4</v>
      </c>
      <c r="BM20" s="249">
        <f>(1-BL20)*BN20</f>
        <v>0</v>
      </c>
      <c r="BN20" s="249">
        <f>IFERROR(VLOOKUP(Brand&amp;Country &amp; Channel &amp;FC,tblFCSettings,8,FALSE),0)</f>
        <v>0</v>
      </c>
      <c r="BO20" s="284">
        <f>IFERROR(VLOOKUP(Brand&amp;Country &amp; Channel &amp;FC,tblFCSettings,9,FALSE),0)</f>
        <v>0</v>
      </c>
    </row>
    <row r="21" spans="1:67" ht="16.5" thickBot="1" x14ac:dyDescent="0.3">
      <c r="B21" s="241" t="s">
        <v>23</v>
      </c>
      <c r="C21" s="213">
        <f>SUM(C16:C20)</f>
        <v>0</v>
      </c>
      <c r="D21" s="214">
        <f>SUM(D16:D20)</f>
        <v>0</v>
      </c>
      <c r="E21" s="215">
        <f t="shared" si="0"/>
        <v>0</v>
      </c>
      <c r="F21" s="216">
        <f>SUM(F16:F20)</f>
        <v>0</v>
      </c>
      <c r="G21" s="217">
        <f>SUM(G16:G20)</f>
        <v>0</v>
      </c>
      <c r="H21" s="215">
        <f t="shared" si="1"/>
        <v>0</v>
      </c>
      <c r="I21" s="218">
        <f>IF(F15&lt;&gt;0,F21/F15-1,0)</f>
        <v>0</v>
      </c>
      <c r="J21" s="218">
        <f>IF(G15&lt;&gt;0,G21/G15-1,0)</f>
        <v>0</v>
      </c>
      <c r="K21" s="213">
        <f>SUM(K16:K20)</f>
        <v>0</v>
      </c>
      <c r="L21" s="214">
        <f>SUM(L16:L20)</f>
        <v>0</v>
      </c>
      <c r="M21" s="219">
        <f t="shared" si="2"/>
        <v>0</v>
      </c>
      <c r="N21" s="220">
        <f>IFERROR(K21/C21,0)</f>
        <v>0</v>
      </c>
      <c r="O21" s="221">
        <f>IFERROR(L21/D21,0)</f>
        <v>0</v>
      </c>
      <c r="P21" s="215">
        <f t="shared" si="29"/>
        <v>0</v>
      </c>
      <c r="Q21" s="222">
        <f>IFERROR(C21/F21,0)</f>
        <v>0</v>
      </c>
      <c r="R21" s="223">
        <f>IFERROR(D21/G21,0)</f>
        <v>0</v>
      </c>
      <c r="S21" s="215">
        <f t="shared" si="4"/>
        <v>0</v>
      </c>
      <c r="T21" s="222">
        <f>IFERROR((C21*(1-N21))/F21,0)</f>
        <v>0</v>
      </c>
      <c r="U21" s="223">
        <f>IFERROR((D21*(1-O21))/G21,0)</f>
        <v>0</v>
      </c>
      <c r="V21" s="215">
        <f t="shared" si="5"/>
        <v>0</v>
      </c>
      <c r="W21" s="222">
        <f>IFERROR(SUMPRODUCT(W16:W20,F16:F20)/F21,0)</f>
        <v>0</v>
      </c>
      <c r="X21" s="223">
        <f>IFERROR(SUMPRODUCT(X16:X20,G16:G20)/G21,0)</f>
        <v>0</v>
      </c>
      <c r="Y21" s="215">
        <f t="shared" si="6"/>
        <v>0</v>
      </c>
      <c r="Z21" s="224">
        <f t="shared" si="7"/>
        <v>0</v>
      </c>
      <c r="AA21" s="225">
        <f t="shared" si="8"/>
        <v>0</v>
      </c>
      <c r="AB21" s="215">
        <f t="shared" si="30"/>
        <v>0</v>
      </c>
      <c r="AC21" s="226">
        <f t="shared" si="9"/>
        <v>0</v>
      </c>
      <c r="AD21" s="227">
        <f t="shared" si="9"/>
        <v>0</v>
      </c>
      <c r="AE21" s="228">
        <f t="shared" si="31"/>
        <v>0</v>
      </c>
      <c r="AF21" s="216">
        <f>AF20</f>
        <v>0</v>
      </c>
      <c r="AG21" s="217">
        <f>AG20</f>
        <v>0</v>
      </c>
      <c r="AH21" s="215">
        <f t="shared" si="10"/>
        <v>0</v>
      </c>
      <c r="AI21" s="216">
        <f t="shared" ref="AI21:AL21" si="46">SUM(AI16:AI20)</f>
        <v>0</v>
      </c>
      <c r="AJ21" s="217">
        <f t="shared" si="46"/>
        <v>0</v>
      </c>
      <c r="AK21" s="217">
        <f t="shared" si="46"/>
        <v>0</v>
      </c>
      <c r="AL21" s="217">
        <f t="shared" si="46"/>
        <v>0</v>
      </c>
      <c r="AM21" s="215">
        <f t="shared" si="12"/>
        <v>0</v>
      </c>
      <c r="AN21" s="216">
        <f>SUM(AN16:AN20)</f>
        <v>0</v>
      </c>
      <c r="AO21" s="217">
        <f>SUM(AO16:AO20)</f>
        <v>0</v>
      </c>
      <c r="AP21" s="215">
        <f t="shared" si="14"/>
        <v>0</v>
      </c>
      <c r="AQ21" s="229">
        <f>IF(F21&lt;&gt;0,(AF21*COUNTIF(AQ16:AQ20,"&lt;&gt;0")/F21),0)</f>
        <v>0</v>
      </c>
      <c r="AR21" s="230">
        <f>IF(G21&lt;&gt;0,(AG21*COUNTIF(AR16:AR20,"&lt;&gt;0")/G21),0)</f>
        <v>0</v>
      </c>
      <c r="AS21" s="215">
        <f t="shared" si="32"/>
        <v>0</v>
      </c>
      <c r="AT21" s="216">
        <f>SUM(AT16:AT20)</f>
        <v>0</v>
      </c>
      <c r="AU21" s="217">
        <f>SUM(AU16:AU20)</f>
        <v>0</v>
      </c>
      <c r="AV21" s="215">
        <f t="shared" si="17"/>
        <v>0</v>
      </c>
      <c r="AW21" s="231"/>
      <c r="AX21" s="232"/>
      <c r="AY21" s="215">
        <f t="shared" si="18"/>
        <v>0</v>
      </c>
      <c r="AZ21" s="216">
        <f>SUM(AZ16:AZ20)</f>
        <v>0</v>
      </c>
      <c r="BA21" s="217">
        <f>SUM(BA16:BA20)</f>
        <v>0</v>
      </c>
      <c r="BB21" s="215">
        <f t="shared" si="19"/>
        <v>0</v>
      </c>
      <c r="BC21" s="216">
        <f>SUM(BC16:BC20)</f>
        <v>0</v>
      </c>
      <c r="BD21" s="217">
        <f t="shared" si="20"/>
        <v>0</v>
      </c>
      <c r="BE21" s="215">
        <f t="shared" si="21"/>
        <v>0</v>
      </c>
      <c r="BF21" s="216">
        <f>SUM(BF16:BF20)</f>
        <v>0</v>
      </c>
      <c r="BG21" s="217">
        <f>SUM(BG16:BG20)</f>
        <v>0</v>
      </c>
      <c r="BH21" s="215">
        <f t="shared" si="23"/>
        <v>0</v>
      </c>
      <c r="BI21" s="235">
        <f t="shared" si="43"/>
        <v>0</v>
      </c>
      <c r="BJ21" s="236">
        <f t="shared" si="43"/>
        <v>0</v>
      </c>
      <c r="BK21" s="225">
        <f t="shared" si="25"/>
        <v>0</v>
      </c>
      <c r="BL21" s="283"/>
      <c r="BM21" s="249"/>
      <c r="BN21" s="249"/>
      <c r="BO21" s="284"/>
    </row>
    <row r="22" spans="1:67" x14ac:dyDescent="0.25">
      <c r="A22" s="64" t="s">
        <v>375</v>
      </c>
      <c r="B22" s="185">
        <v>10</v>
      </c>
      <c r="C22" s="208">
        <f t="shared" ref="C22:D25" si="47">F22*Q22</f>
        <v>0</v>
      </c>
      <c r="D22" s="187">
        <f t="shared" si="47"/>
        <v>0</v>
      </c>
      <c r="E22" s="188">
        <f t="shared" si="0"/>
        <v>0</v>
      </c>
      <c r="F22" s="239">
        <f>IFERROR(VLOOKUP(FiscalYr &amp; $B22&amp;F$4,tblForecast,F$2,FALSE),0)</f>
        <v>0</v>
      </c>
      <c r="G22" s="189">
        <f>IFERROR(VLOOKUP(FiscalYr-IF(CompareVer="LY",1,0) &amp; $B22 + IF(FiscalYr=2018,1,0)&amp;G$4,tblForecast,G$2,FALSE),0)</f>
        <v>0</v>
      </c>
      <c r="H22" s="188">
        <f t="shared" si="1"/>
        <v>0</v>
      </c>
      <c r="I22" s="190">
        <f>IFERROR(IF(F20&gt;0,F22/F20,0),0)</f>
        <v>0</v>
      </c>
      <c r="J22" s="190">
        <f>IFERROR(IF(G20&gt;0,G22/G20,0),0)</f>
        <v>0</v>
      </c>
      <c r="K22" s="208">
        <f t="shared" ref="K22:K25" si="48">IFERROR(C22*N22,0)</f>
        <v>0</v>
      </c>
      <c r="L22" s="187">
        <f t="shared" ref="L22:L25" si="49">D22*O22</f>
        <v>0</v>
      </c>
      <c r="M22" s="191">
        <f t="shared" si="2"/>
        <v>0</v>
      </c>
      <c r="N22" s="162">
        <f t="shared" ref="N22:O25" si="50">IF(Q22&lt;&gt;0,1-T22/Q22,0)</f>
        <v>0</v>
      </c>
      <c r="O22" s="192">
        <f t="shared" si="50"/>
        <v>0</v>
      </c>
      <c r="P22" s="188">
        <f t="shared" si="29"/>
        <v>0</v>
      </c>
      <c r="Q22" s="240">
        <f>IFERROR(VLOOKUP(FiscalYr &amp; $B22&amp;Q$4,tblForecast,Q$2,FALSE),0)</f>
        <v>0</v>
      </c>
      <c r="R22" s="193">
        <f>IFERROR(VLOOKUP(FiscalYr-IF(CompareVer="LY",1,0) &amp; $B22 + IF(FiscalYr=2018,1,0)&amp;R$4,tblForecast,R$2,FALSE),0)</f>
        <v>0</v>
      </c>
      <c r="S22" s="188">
        <f t="shared" si="4"/>
        <v>0</v>
      </c>
      <c r="T22" s="240">
        <f>IFERROR(VLOOKUP(FiscalYr &amp; $B22&amp;T$4,tblForecast,T$2,FALSE),0)</f>
        <v>0</v>
      </c>
      <c r="U22" s="193">
        <f>IFERROR(VLOOKUP(FiscalYr-IF(CompareVer="LY",1,0) &amp; $B22 + IF(FiscalYr=2018,1,0)&amp;U$4,tblForecast,U$2,FALSE),0)</f>
        <v>0</v>
      </c>
      <c r="V22" s="188">
        <f t="shared" si="5"/>
        <v>0</v>
      </c>
      <c r="W22" s="240">
        <f>IFERROR(VLOOKUP(FiscalYr &amp; $B22&amp;W$4,tblForecast,W$2,FALSE),0)</f>
        <v>0</v>
      </c>
      <c r="X22" s="193">
        <f>IFERROR(VLOOKUP(FiscalYr-IF(CompareVer="LY",1,0) &amp; $B22 + IF(FiscalYr=2018,1,0)&amp;X$4,tblForecast,X$2,FALSE),0)</f>
        <v>0</v>
      </c>
      <c r="Y22" s="188">
        <f t="shared" si="6"/>
        <v>0</v>
      </c>
      <c r="Z22" s="74">
        <f t="shared" si="7"/>
        <v>0</v>
      </c>
      <c r="AA22" s="194">
        <f t="shared" si="8"/>
        <v>0</v>
      </c>
      <c r="AB22" s="188">
        <f t="shared" si="30"/>
        <v>0</v>
      </c>
      <c r="AC22" s="209">
        <f t="shared" si="9"/>
        <v>0</v>
      </c>
      <c r="AD22" s="196">
        <f t="shared" si="9"/>
        <v>0</v>
      </c>
      <c r="AE22" s="197">
        <f t="shared" si="31"/>
        <v>0</v>
      </c>
      <c r="AF22" s="239">
        <f>IFERROR(VLOOKUP(FiscalYr &amp; $B22&amp;AF$4,tblForecast,AF$2,FALSE),0)</f>
        <v>0</v>
      </c>
      <c r="AG22" s="189">
        <f>IFERROR(VLOOKUP(FiscalYr-IF(CompareVer="LY",1,0) &amp; $B22 + IF(FiscalYr=2018,1,0)&amp;AG$4,tblForecast,AG$2,FALSE),0)</f>
        <v>0</v>
      </c>
      <c r="AH22" s="188">
        <f t="shared" si="10"/>
        <v>0</v>
      </c>
      <c r="AI22" s="239">
        <f t="shared" ref="AI22:AJ25" si="51">IFERROR(VLOOKUP(FiscalYr &amp; $B22&amp;AI$4,tblForecast,AI$2,FALSE),0)</f>
        <v>0</v>
      </c>
      <c r="AJ22" s="189">
        <f t="shared" si="51"/>
        <v>0</v>
      </c>
      <c r="AK22" s="189">
        <f>IF($A22="a",IFERROR(VLOOKUP(FiscalYr &amp; $B22&amp;AK$4,tblForecast,AK$2,FALSE),0),AI22+AJ22)</f>
        <v>0</v>
      </c>
      <c r="AL22" s="189">
        <f>IFERROR(VLOOKUP(FiscalYr-IF(CompareVer="LY",1,0) &amp; $B22 + IF(FiscalYr=2018,1,0)&amp;AL$4,tblForecast,AL$2,FALSE),0)</f>
        <v>0</v>
      </c>
      <c r="AM22" s="188">
        <f t="shared" si="12"/>
        <v>0</v>
      </c>
      <c r="AN22" s="239">
        <f t="shared" ref="AN22:AO25" si="52">IFERROR(VLOOKUP(FiscalYr &amp; $B22&amp;AN$4,tblForecast,AN$2,FALSE),0)</f>
        <v>0</v>
      </c>
      <c r="AO22" s="189">
        <f t="shared" si="52"/>
        <v>0</v>
      </c>
      <c r="AP22" s="188">
        <f t="shared" si="14"/>
        <v>0</v>
      </c>
      <c r="AQ22" s="199">
        <f t="shared" ref="AQ22:AR25" si="53">IF(F22&lt;&gt;0,AF22/F22,0)</f>
        <v>0</v>
      </c>
      <c r="AR22" s="210">
        <f t="shared" si="53"/>
        <v>0</v>
      </c>
      <c r="AS22" s="188">
        <f t="shared" si="32"/>
        <v>0</v>
      </c>
      <c r="AT22" s="239">
        <f>IFERROR(VLOOKUP(FiscalYr &amp; $B22&amp;AT$4,tblForecast,AT$2,FALSE),0)</f>
        <v>0</v>
      </c>
      <c r="AU22" s="189">
        <f t="shared" si="16"/>
        <v>0</v>
      </c>
      <c r="AV22" s="188">
        <f t="shared" si="17"/>
        <v>0</v>
      </c>
      <c r="AW22" s="201"/>
      <c r="AX22" s="202"/>
      <c r="AY22" s="188">
        <f t="shared" si="18"/>
        <v>0</v>
      </c>
      <c r="AZ22" s="203"/>
      <c r="BA22" s="189"/>
      <c r="BB22" s="188">
        <f t="shared" si="19"/>
        <v>0</v>
      </c>
      <c r="BC22" s="239">
        <f>IFERROR(VLOOKUP(FiscalYr &amp; $B22&amp;BC$4,tblForecast,BC$2,FALSE),0)</f>
        <v>0</v>
      </c>
      <c r="BD22" s="189">
        <f t="shared" si="20"/>
        <v>0</v>
      </c>
      <c r="BE22" s="188">
        <f t="shared" si="21"/>
        <v>0</v>
      </c>
      <c r="BF22" s="211">
        <f>IFERROR(VLOOKUP(FiscalYr &amp; $B22&amp;BF$4,tblForecast,BF$2,FALSE),0)</f>
        <v>0</v>
      </c>
      <c r="BG22" s="189">
        <f t="shared" si="22"/>
        <v>0</v>
      </c>
      <c r="BH22" s="188">
        <f t="shared" si="23"/>
        <v>0</v>
      </c>
      <c r="BI22" s="189">
        <f t="shared" si="43"/>
        <v>0</v>
      </c>
      <c r="BJ22" s="206">
        <f t="shared" si="43"/>
        <v>0</v>
      </c>
      <c r="BK22" s="194">
        <f t="shared" si="25"/>
        <v>0</v>
      </c>
      <c r="BL22" s="283">
        <f>IFERROR(VLOOKUP(Brand&amp;Channel&amp;Country&amp;$B22,tblDiscount,6,FALSE),0)</f>
        <v>0.4</v>
      </c>
      <c r="BM22" s="249">
        <f>(1-BL22)*BN22</f>
        <v>0</v>
      </c>
      <c r="BN22" s="249">
        <f>IFERROR(VLOOKUP(Brand&amp;Country &amp; Channel &amp;FC,tblFCSettings,8,FALSE),0)</f>
        <v>0</v>
      </c>
      <c r="BO22" s="284">
        <f>IFERROR(VLOOKUP(Brand&amp;Country &amp; Channel &amp;FC,tblFCSettings,9,FALSE),0)</f>
        <v>0</v>
      </c>
    </row>
    <row r="23" spans="1:67" x14ac:dyDescent="0.25">
      <c r="A23" s="64" t="s">
        <v>375</v>
      </c>
      <c r="B23" s="185">
        <v>11</v>
      </c>
      <c r="C23" s="208">
        <f t="shared" si="47"/>
        <v>0</v>
      </c>
      <c r="D23" s="187">
        <f t="shared" si="47"/>
        <v>0</v>
      </c>
      <c r="E23" s="188">
        <f t="shared" si="0"/>
        <v>0</v>
      </c>
      <c r="F23" s="239">
        <f>IFERROR(VLOOKUP(FiscalYr &amp; $B23&amp;F$4,tblForecast,F$2,FALSE),0)</f>
        <v>0</v>
      </c>
      <c r="G23" s="189">
        <f>IFERROR(VLOOKUP(FiscalYr-IF(CompareVer="LY",1,0) &amp; $B23 + IF(FiscalYr=2018,1,0)&amp;G$4,tblForecast,G$2,FALSE),0)</f>
        <v>0</v>
      </c>
      <c r="H23" s="188">
        <f t="shared" si="1"/>
        <v>0</v>
      </c>
      <c r="I23" s="190">
        <f t="shared" si="44"/>
        <v>0</v>
      </c>
      <c r="J23" s="190">
        <f t="shared" si="44"/>
        <v>0</v>
      </c>
      <c r="K23" s="208">
        <f t="shared" si="48"/>
        <v>0</v>
      </c>
      <c r="L23" s="187">
        <f t="shared" si="49"/>
        <v>0</v>
      </c>
      <c r="M23" s="191">
        <f t="shared" si="2"/>
        <v>0</v>
      </c>
      <c r="N23" s="162">
        <f t="shared" si="50"/>
        <v>0</v>
      </c>
      <c r="O23" s="192">
        <f t="shared" si="50"/>
        <v>0</v>
      </c>
      <c r="P23" s="188">
        <f t="shared" si="29"/>
        <v>0</v>
      </c>
      <c r="Q23" s="240">
        <f>IFERROR(VLOOKUP(FiscalYr &amp; $B23&amp;Q$4,tblForecast,Q$2,FALSE),0)</f>
        <v>0</v>
      </c>
      <c r="R23" s="193">
        <f>IFERROR(VLOOKUP(FiscalYr-IF(CompareVer="LY",1,0) &amp; $B23 + IF(FiscalYr=2018,1,0)&amp;R$4,tblForecast,R$2,FALSE),0)</f>
        <v>0</v>
      </c>
      <c r="S23" s="188">
        <f t="shared" si="4"/>
        <v>0</v>
      </c>
      <c r="T23" s="240">
        <f>IFERROR(VLOOKUP(FiscalYr &amp; $B23&amp;T$4,tblForecast,T$2,FALSE),0)</f>
        <v>0</v>
      </c>
      <c r="U23" s="193">
        <f>IFERROR(VLOOKUP(FiscalYr-IF(CompareVer="LY",1,0) &amp; $B23 + IF(FiscalYr=2018,1,0)&amp;U$4,tblForecast,U$2,FALSE),0)</f>
        <v>0</v>
      </c>
      <c r="V23" s="188">
        <f t="shared" si="5"/>
        <v>0</v>
      </c>
      <c r="W23" s="240">
        <f>IFERROR(VLOOKUP(FiscalYr &amp; $B23&amp;W$4,tblForecast,W$2,FALSE),0)</f>
        <v>0</v>
      </c>
      <c r="X23" s="193">
        <f>IFERROR(VLOOKUP(FiscalYr-IF(CompareVer="LY",1,0) &amp; $B23 + IF(FiscalYr=2018,1,0)&amp;X$4,tblForecast,X$2,FALSE),0)</f>
        <v>0</v>
      </c>
      <c r="Y23" s="188">
        <f t="shared" si="6"/>
        <v>0</v>
      </c>
      <c r="Z23" s="74">
        <f t="shared" si="7"/>
        <v>0</v>
      </c>
      <c r="AA23" s="194">
        <f t="shared" si="8"/>
        <v>0</v>
      </c>
      <c r="AB23" s="188">
        <f t="shared" si="30"/>
        <v>0</v>
      </c>
      <c r="AC23" s="209">
        <f t="shared" si="9"/>
        <v>0</v>
      </c>
      <c r="AD23" s="196">
        <f t="shared" si="9"/>
        <v>0</v>
      </c>
      <c r="AE23" s="197">
        <f t="shared" si="31"/>
        <v>0</v>
      </c>
      <c r="AF23" s="239">
        <f>IFERROR(VLOOKUP(FiscalYr &amp; $B23&amp;AF$4,tblForecast,AF$2,FALSE),0)</f>
        <v>0</v>
      </c>
      <c r="AG23" s="189">
        <f>IFERROR(VLOOKUP(FiscalYr-IF(CompareVer="LY",1,0) &amp; $B23 + IF(FiscalYr=2018,1,0)&amp;AG$4,tblForecast,AG$2,FALSE),0)</f>
        <v>0</v>
      </c>
      <c r="AH23" s="188">
        <f t="shared" si="10"/>
        <v>0</v>
      </c>
      <c r="AI23" s="239">
        <f t="shared" si="51"/>
        <v>0</v>
      </c>
      <c r="AJ23" s="189">
        <f t="shared" si="51"/>
        <v>0</v>
      </c>
      <c r="AK23" s="189">
        <f>IF($A23="a",IFERROR(VLOOKUP(FiscalYr &amp; $B23&amp;AK$4,tblForecast,AK$2,FALSE),0),AI23+AJ23)</f>
        <v>0</v>
      </c>
      <c r="AL23" s="189">
        <f>IFERROR(VLOOKUP(FiscalYr-IF(CompareVer="LY",1,0) &amp; $B23 + IF(FiscalYr=2018,1,0)&amp;AL$4,tblForecast,AL$2,FALSE),0)</f>
        <v>0</v>
      </c>
      <c r="AM23" s="188">
        <f t="shared" si="12"/>
        <v>0</v>
      </c>
      <c r="AN23" s="239">
        <f t="shared" si="52"/>
        <v>0</v>
      </c>
      <c r="AO23" s="189">
        <f t="shared" si="52"/>
        <v>0</v>
      </c>
      <c r="AP23" s="188">
        <f t="shared" si="14"/>
        <v>0</v>
      </c>
      <c r="AQ23" s="199">
        <f t="shared" si="53"/>
        <v>0</v>
      </c>
      <c r="AR23" s="210">
        <f t="shared" si="53"/>
        <v>0</v>
      </c>
      <c r="AS23" s="188">
        <f t="shared" si="32"/>
        <v>0</v>
      </c>
      <c r="AT23" s="239">
        <f>IFERROR(VLOOKUP(FiscalYr &amp; $B23&amp;AT$4,tblForecast,AT$2,FALSE),0)</f>
        <v>0</v>
      </c>
      <c r="AU23" s="189">
        <f t="shared" si="16"/>
        <v>0</v>
      </c>
      <c r="AV23" s="188">
        <f t="shared" si="17"/>
        <v>0</v>
      </c>
      <c r="AW23" s="201"/>
      <c r="AX23" s="202"/>
      <c r="AY23" s="188">
        <f t="shared" si="18"/>
        <v>0</v>
      </c>
      <c r="AZ23" s="203"/>
      <c r="BA23" s="189"/>
      <c r="BB23" s="188">
        <f t="shared" si="19"/>
        <v>0</v>
      </c>
      <c r="BC23" s="239">
        <f>IFERROR(VLOOKUP(FiscalYr &amp; $B23&amp;BC$4,tblForecast,BC$2,FALSE),0)</f>
        <v>0</v>
      </c>
      <c r="BD23" s="189">
        <f t="shared" si="20"/>
        <v>0</v>
      </c>
      <c r="BE23" s="188">
        <f t="shared" si="21"/>
        <v>0</v>
      </c>
      <c r="BF23" s="211">
        <f>IFERROR(VLOOKUP(FiscalYr &amp; $B23&amp;BF$4,tblForecast,BF$2,FALSE),0)</f>
        <v>0</v>
      </c>
      <c r="BG23" s="189">
        <f t="shared" si="22"/>
        <v>0</v>
      </c>
      <c r="BH23" s="188">
        <f t="shared" si="23"/>
        <v>0</v>
      </c>
      <c r="BI23" s="189">
        <f t="shared" si="43"/>
        <v>0</v>
      </c>
      <c r="BJ23" s="206">
        <f t="shared" si="43"/>
        <v>0</v>
      </c>
      <c r="BK23" s="194">
        <f t="shared" si="25"/>
        <v>0</v>
      </c>
      <c r="BL23" s="283">
        <f>IFERROR(VLOOKUP(Brand&amp;Channel&amp;Country&amp;$B23,tblDiscount,6,FALSE),0)</f>
        <v>0.45</v>
      </c>
      <c r="BM23" s="249">
        <f t="shared" ref="BM23:BM25" si="54">(1-BL23)*BN23</f>
        <v>0</v>
      </c>
      <c r="BN23" s="249">
        <f>IFERROR(VLOOKUP(Brand&amp;Country &amp; Channel &amp;FC,tblFCSettings,8,FALSE),0)</f>
        <v>0</v>
      </c>
      <c r="BO23" s="284">
        <f>IFERROR(VLOOKUP(Brand&amp;Country &amp; Channel &amp;FC,tblFCSettings,9,FALSE),0)</f>
        <v>0</v>
      </c>
    </row>
    <row r="24" spans="1:67" x14ac:dyDescent="0.25">
      <c r="A24" s="64" t="s">
        <v>375</v>
      </c>
      <c r="B24" s="185">
        <v>12</v>
      </c>
      <c r="C24" s="208">
        <f t="shared" si="47"/>
        <v>0</v>
      </c>
      <c r="D24" s="187">
        <f t="shared" si="47"/>
        <v>0</v>
      </c>
      <c r="E24" s="188">
        <f t="shared" si="0"/>
        <v>0</v>
      </c>
      <c r="F24" s="239">
        <f>IFERROR(VLOOKUP(FiscalYr &amp; $B24&amp;F$4,tblForecast,F$2,FALSE),0)</f>
        <v>0</v>
      </c>
      <c r="G24" s="189">
        <f>IFERROR(VLOOKUP(FiscalYr-IF(CompareVer="LY",1,0) &amp; $B24 + IF(FiscalYr=2018,1,0)&amp;G$4,tblForecast,G$2,FALSE),0)</f>
        <v>0</v>
      </c>
      <c r="H24" s="188">
        <f t="shared" si="1"/>
        <v>0</v>
      </c>
      <c r="I24" s="190">
        <f t="shared" si="44"/>
        <v>0</v>
      </c>
      <c r="J24" s="190">
        <f t="shared" si="44"/>
        <v>0</v>
      </c>
      <c r="K24" s="208">
        <f t="shared" si="48"/>
        <v>0</v>
      </c>
      <c r="L24" s="187">
        <f t="shared" si="49"/>
        <v>0</v>
      </c>
      <c r="M24" s="191">
        <f t="shared" si="2"/>
        <v>0</v>
      </c>
      <c r="N24" s="162">
        <f t="shared" si="50"/>
        <v>0</v>
      </c>
      <c r="O24" s="192">
        <f t="shared" si="50"/>
        <v>0</v>
      </c>
      <c r="P24" s="188">
        <f t="shared" si="29"/>
        <v>0</v>
      </c>
      <c r="Q24" s="240">
        <f>IFERROR(VLOOKUP(FiscalYr &amp; $B24&amp;Q$4,tblForecast,Q$2,FALSE),0)</f>
        <v>0</v>
      </c>
      <c r="R24" s="193">
        <f>IFERROR(VLOOKUP(FiscalYr-IF(CompareVer="LY",1,0) &amp; $B24 + IF(FiscalYr=2018,1,0)&amp;R$4,tblForecast,R$2,FALSE),0)</f>
        <v>0</v>
      </c>
      <c r="S24" s="188">
        <f t="shared" si="4"/>
        <v>0</v>
      </c>
      <c r="T24" s="240">
        <f>IFERROR(VLOOKUP(FiscalYr &amp; $B24&amp;T$4,tblForecast,T$2,FALSE),0)</f>
        <v>0</v>
      </c>
      <c r="U24" s="193">
        <f>IFERROR(VLOOKUP(FiscalYr-IF(CompareVer="LY",1,0) &amp; $B24 + IF(FiscalYr=2018,1,0)&amp;U$4,tblForecast,U$2,FALSE),0)</f>
        <v>0</v>
      </c>
      <c r="V24" s="188">
        <f t="shared" si="5"/>
        <v>0</v>
      </c>
      <c r="W24" s="240">
        <f>IFERROR(VLOOKUP(FiscalYr &amp; $B24&amp;W$4,tblForecast,W$2,FALSE),0)</f>
        <v>0</v>
      </c>
      <c r="X24" s="193">
        <f>IFERROR(VLOOKUP(FiscalYr-IF(CompareVer="LY",1,0) &amp; $B24 + IF(FiscalYr=2018,1,0)&amp;X$4,tblForecast,X$2,FALSE),0)</f>
        <v>0</v>
      </c>
      <c r="Y24" s="188">
        <f t="shared" si="6"/>
        <v>0</v>
      </c>
      <c r="Z24" s="74">
        <f t="shared" si="7"/>
        <v>0</v>
      </c>
      <c r="AA24" s="194">
        <f t="shared" si="8"/>
        <v>0</v>
      </c>
      <c r="AB24" s="188">
        <f t="shared" si="30"/>
        <v>0</v>
      </c>
      <c r="AC24" s="209">
        <f>IF(AF24&lt;&gt;0,F24/AF24,0)</f>
        <v>0</v>
      </c>
      <c r="AD24" s="196">
        <f t="shared" si="9"/>
        <v>0</v>
      </c>
      <c r="AE24" s="197">
        <f t="shared" si="31"/>
        <v>0</v>
      </c>
      <c r="AF24" s="239">
        <f>IFERROR(VLOOKUP(FiscalYr &amp; $B24&amp;AF$4,tblForecast,AF$2,FALSE),0)</f>
        <v>0</v>
      </c>
      <c r="AG24" s="189">
        <f>IFERROR(VLOOKUP(FiscalYr-IF(CompareVer="LY",1,0) &amp; $B24 + IF(FiscalYr=2018,1,0)&amp;AG$4,tblForecast,AG$2,FALSE),0)</f>
        <v>0</v>
      </c>
      <c r="AH24" s="188">
        <f t="shared" si="10"/>
        <v>0</v>
      </c>
      <c r="AI24" s="239">
        <f t="shared" si="51"/>
        <v>0</v>
      </c>
      <c r="AJ24" s="189">
        <f t="shared" si="51"/>
        <v>0</v>
      </c>
      <c r="AK24" s="189">
        <f>IF($A24="a",IFERROR(VLOOKUP(FiscalYr &amp; $B24&amp;AK$4,tblForecast,AK$2,FALSE),0),AI24+AJ24)</f>
        <v>0</v>
      </c>
      <c r="AL24" s="189">
        <f>IFERROR(VLOOKUP(FiscalYr-IF(CompareVer="LY",1,0) &amp; $B24 + IF(FiscalYr=2018,1,0)&amp;AL$4,tblForecast,AL$2,FALSE),0)</f>
        <v>0</v>
      </c>
      <c r="AM24" s="188">
        <f t="shared" si="12"/>
        <v>0</v>
      </c>
      <c r="AN24" s="239">
        <f t="shared" si="52"/>
        <v>0</v>
      </c>
      <c r="AO24" s="189">
        <f t="shared" si="52"/>
        <v>0</v>
      </c>
      <c r="AP24" s="188">
        <f t="shared" si="14"/>
        <v>0</v>
      </c>
      <c r="AQ24" s="199">
        <f t="shared" si="53"/>
        <v>0</v>
      </c>
      <c r="AR24" s="210">
        <f t="shared" si="53"/>
        <v>0</v>
      </c>
      <c r="AS24" s="188">
        <f t="shared" si="32"/>
        <v>0</v>
      </c>
      <c r="AT24" s="239">
        <f>IFERROR(VLOOKUP(FiscalYr &amp; $B24&amp;AT$4,tblForecast,AT$2,FALSE),0)</f>
        <v>0</v>
      </c>
      <c r="AU24" s="189">
        <f t="shared" si="16"/>
        <v>0</v>
      </c>
      <c r="AV24" s="188">
        <f t="shared" si="17"/>
        <v>0</v>
      </c>
      <c r="AW24" s="201"/>
      <c r="AX24" s="202"/>
      <c r="AY24" s="188">
        <f t="shared" si="18"/>
        <v>0</v>
      </c>
      <c r="AZ24" s="203"/>
      <c r="BA24" s="189"/>
      <c r="BB24" s="188">
        <f t="shared" si="19"/>
        <v>0</v>
      </c>
      <c r="BC24" s="239">
        <f>IFERROR(VLOOKUP(FiscalYr &amp; $B24&amp;BC$4,tblForecast,BC$2,FALSE),0)</f>
        <v>0</v>
      </c>
      <c r="BD24" s="189">
        <f t="shared" si="20"/>
        <v>0</v>
      </c>
      <c r="BE24" s="188">
        <f t="shared" si="21"/>
        <v>0</v>
      </c>
      <c r="BF24" s="211">
        <f>IFERROR(VLOOKUP(FiscalYr &amp; $B24&amp;BF$4,tblForecast,BF$2,FALSE),0)</f>
        <v>0</v>
      </c>
      <c r="BG24" s="189">
        <f t="shared" si="22"/>
        <v>0</v>
      </c>
      <c r="BH24" s="188">
        <f t="shared" si="23"/>
        <v>0</v>
      </c>
      <c r="BI24" s="189">
        <f t="shared" si="43"/>
        <v>0</v>
      </c>
      <c r="BJ24" s="206">
        <f t="shared" si="43"/>
        <v>0</v>
      </c>
      <c r="BK24" s="194">
        <f t="shared" si="25"/>
        <v>0</v>
      </c>
      <c r="BL24" s="283">
        <f>IFERROR(VLOOKUP(Brand&amp;Channel&amp;Country&amp;$B24,tblDiscount,6,FALSE),0)</f>
        <v>0.45</v>
      </c>
      <c r="BM24" s="249">
        <f t="shared" si="54"/>
        <v>0</v>
      </c>
      <c r="BN24" s="249">
        <f>IFERROR(VLOOKUP(Brand&amp;Country &amp; Channel &amp;FC,tblFCSettings,8,FALSE),0)</f>
        <v>0</v>
      </c>
      <c r="BO24" s="284">
        <f>IFERROR(VLOOKUP(Brand&amp;Country &amp; Channel &amp;FC,tblFCSettings,9,FALSE),0)</f>
        <v>0</v>
      </c>
    </row>
    <row r="25" spans="1:67" ht="16.5" thickBot="1" x14ac:dyDescent="0.3">
      <c r="A25" s="64" t="s">
        <v>375</v>
      </c>
      <c r="B25" s="185">
        <v>13</v>
      </c>
      <c r="C25" s="208">
        <f t="shared" si="47"/>
        <v>0</v>
      </c>
      <c r="D25" s="187">
        <f t="shared" si="47"/>
        <v>0</v>
      </c>
      <c r="E25" s="188">
        <f t="shared" si="0"/>
        <v>0</v>
      </c>
      <c r="F25" s="239">
        <f>IFERROR(VLOOKUP(FiscalYr &amp; $B25&amp;F$4,tblForecast,F$2,FALSE),0)</f>
        <v>0</v>
      </c>
      <c r="G25" s="189">
        <f>IFERROR(VLOOKUP(FiscalYr-IF(CompareVer="LY",1,0) &amp; $B25 + IF(FiscalYr=2018,1,0)&amp;G$4,tblForecast,G$2,FALSE),0)</f>
        <v>0</v>
      </c>
      <c r="H25" s="188">
        <f t="shared" si="1"/>
        <v>0</v>
      </c>
      <c r="I25" s="190">
        <f t="shared" si="44"/>
        <v>0</v>
      </c>
      <c r="J25" s="190">
        <f t="shared" si="44"/>
        <v>0</v>
      </c>
      <c r="K25" s="208">
        <f t="shared" si="48"/>
        <v>0</v>
      </c>
      <c r="L25" s="187">
        <f t="shared" si="49"/>
        <v>0</v>
      </c>
      <c r="M25" s="191">
        <f t="shared" si="2"/>
        <v>0</v>
      </c>
      <c r="N25" s="162">
        <f t="shared" si="50"/>
        <v>0</v>
      </c>
      <c r="O25" s="192">
        <f t="shared" si="50"/>
        <v>0</v>
      </c>
      <c r="P25" s="188">
        <f t="shared" si="29"/>
        <v>0</v>
      </c>
      <c r="Q25" s="240">
        <f>IFERROR(VLOOKUP(FiscalYr &amp; $B25&amp;Q$4,tblForecast,Q$2,FALSE),0)</f>
        <v>0</v>
      </c>
      <c r="R25" s="193">
        <f>IFERROR(VLOOKUP(FiscalYr-IF(CompareVer="LY",1,0) &amp; $B25 + IF(FiscalYr=2018,1,0)&amp;R$4,tblForecast,R$2,FALSE),0)</f>
        <v>0</v>
      </c>
      <c r="S25" s="188">
        <f t="shared" si="4"/>
        <v>0</v>
      </c>
      <c r="T25" s="240">
        <f>IFERROR(VLOOKUP(FiscalYr &amp; $B25&amp;T$4,tblForecast,T$2,FALSE),0)</f>
        <v>0</v>
      </c>
      <c r="U25" s="193">
        <f>IFERROR(VLOOKUP(FiscalYr-IF(CompareVer="LY",1,0) &amp; $B25 + IF(FiscalYr=2018,1,0)&amp;U$4,tblForecast,U$2,FALSE),0)</f>
        <v>0</v>
      </c>
      <c r="V25" s="188">
        <f t="shared" si="5"/>
        <v>0</v>
      </c>
      <c r="W25" s="240">
        <f>IFERROR(VLOOKUP(FiscalYr &amp; $B25&amp;W$4,tblForecast,W$2,FALSE),0)</f>
        <v>0</v>
      </c>
      <c r="X25" s="193">
        <f>IFERROR(VLOOKUP(FiscalYr-IF(CompareVer="LY",1,0) &amp; $B25 + IF(FiscalYr=2018,1,0)&amp;X$4,tblForecast,X$2,FALSE),0)</f>
        <v>0</v>
      </c>
      <c r="Y25" s="188">
        <f t="shared" si="6"/>
        <v>0</v>
      </c>
      <c r="Z25" s="74">
        <f t="shared" si="7"/>
        <v>0</v>
      </c>
      <c r="AA25" s="194">
        <f t="shared" si="8"/>
        <v>0</v>
      </c>
      <c r="AB25" s="188">
        <f t="shared" si="30"/>
        <v>0</v>
      </c>
      <c r="AC25" s="209">
        <f t="shared" si="9"/>
        <v>0</v>
      </c>
      <c r="AD25" s="196">
        <f t="shared" si="9"/>
        <v>0</v>
      </c>
      <c r="AE25" s="197">
        <f t="shared" si="31"/>
        <v>0</v>
      </c>
      <c r="AF25" s="239">
        <f>IFERROR(VLOOKUP(FiscalYr &amp; $B25&amp;AF$4,tblForecast,AF$2,FALSE),0)</f>
        <v>0</v>
      </c>
      <c r="AG25" s="189">
        <f>IFERROR(VLOOKUP(FiscalYr-IF(CompareVer="LY",1,0) &amp; $B25 + IF(FiscalYr=2018,1,0)&amp;AG$4,tblForecast,AG$2,FALSE),0)</f>
        <v>0</v>
      </c>
      <c r="AH25" s="188">
        <f t="shared" si="10"/>
        <v>0</v>
      </c>
      <c r="AI25" s="239">
        <f t="shared" si="51"/>
        <v>0</v>
      </c>
      <c r="AJ25" s="189">
        <f t="shared" si="51"/>
        <v>0</v>
      </c>
      <c r="AK25" s="189">
        <f>IF($A25="a",IFERROR(VLOOKUP(FiscalYr &amp; $B25&amp;AK$4,tblForecast,AK$2,FALSE),0),AI25+AJ25)</f>
        <v>0</v>
      </c>
      <c r="AL25" s="189">
        <f>IFERROR(VLOOKUP(FiscalYr-IF(CompareVer="LY",1,0) &amp; $B25 + IF(FiscalYr=2018,1,0)&amp;AL$4,tblForecast,AL$2,FALSE),0)</f>
        <v>0</v>
      </c>
      <c r="AM25" s="188">
        <f t="shared" si="12"/>
        <v>0</v>
      </c>
      <c r="AN25" s="239">
        <f t="shared" si="52"/>
        <v>0</v>
      </c>
      <c r="AO25" s="189">
        <f t="shared" si="52"/>
        <v>0</v>
      </c>
      <c r="AP25" s="188">
        <f t="shared" si="14"/>
        <v>0</v>
      </c>
      <c r="AQ25" s="199">
        <f t="shared" si="53"/>
        <v>0</v>
      </c>
      <c r="AR25" s="210">
        <f t="shared" si="53"/>
        <v>0</v>
      </c>
      <c r="AS25" s="188">
        <f t="shared" si="32"/>
        <v>0</v>
      </c>
      <c r="AT25" s="239">
        <f>IFERROR(VLOOKUP(FiscalYr &amp; $B25&amp;AT$4,tblForecast,AT$2,FALSE),0)</f>
        <v>0</v>
      </c>
      <c r="AU25" s="189">
        <f t="shared" si="16"/>
        <v>0</v>
      </c>
      <c r="AV25" s="188">
        <f t="shared" si="17"/>
        <v>0</v>
      </c>
      <c r="AW25" s="201"/>
      <c r="AX25" s="202"/>
      <c r="AY25" s="188">
        <f t="shared" si="18"/>
        <v>0</v>
      </c>
      <c r="AZ25" s="203"/>
      <c r="BA25" s="189"/>
      <c r="BB25" s="188">
        <f t="shared" si="19"/>
        <v>0</v>
      </c>
      <c r="BC25" s="239">
        <f>IFERROR(VLOOKUP(FiscalYr &amp; $B25&amp;BC$4,tblForecast,BC$2,FALSE),0)</f>
        <v>0</v>
      </c>
      <c r="BD25" s="189">
        <f t="shared" si="20"/>
        <v>0</v>
      </c>
      <c r="BE25" s="188">
        <f t="shared" si="21"/>
        <v>0</v>
      </c>
      <c r="BF25" s="211">
        <f>IFERROR(VLOOKUP(FiscalYr &amp; $B25&amp;BF$4,tblForecast,BF$2,FALSE),0)</f>
        <v>0</v>
      </c>
      <c r="BG25" s="189">
        <f t="shared" si="22"/>
        <v>0</v>
      </c>
      <c r="BH25" s="188">
        <f t="shared" si="23"/>
        <v>0</v>
      </c>
      <c r="BI25" s="189">
        <f t="shared" si="43"/>
        <v>0</v>
      </c>
      <c r="BJ25" s="206">
        <f t="shared" si="43"/>
        <v>0</v>
      </c>
      <c r="BK25" s="194">
        <f t="shared" si="25"/>
        <v>0</v>
      </c>
      <c r="BL25" s="283">
        <f>IFERROR(VLOOKUP(Brand&amp;Channel&amp;Country&amp;$B25,tblDiscount,6,FALSE),0)</f>
        <v>0.45</v>
      </c>
      <c r="BM25" s="249">
        <f t="shared" si="54"/>
        <v>0</v>
      </c>
      <c r="BN25" s="249">
        <f>IFERROR(VLOOKUP(Brand&amp;Country &amp; Channel &amp;FC,tblFCSettings,8,FALSE),0)</f>
        <v>0</v>
      </c>
      <c r="BO25" s="284">
        <f>IFERROR(VLOOKUP(Brand&amp;Country &amp; Channel &amp;FC,tblFCSettings,9,FALSE),0)</f>
        <v>0</v>
      </c>
    </row>
    <row r="26" spans="1:67" ht="16.5" thickBot="1" x14ac:dyDescent="0.3">
      <c r="B26" s="241" t="s">
        <v>24</v>
      </c>
      <c r="C26" s="92">
        <f>SUM(C22:C25)</f>
        <v>0</v>
      </c>
      <c r="D26" s="93">
        <f>SUM(D22:D25)</f>
        <v>0</v>
      </c>
      <c r="E26" s="94">
        <f t="shared" si="0"/>
        <v>0</v>
      </c>
      <c r="F26" s="95">
        <f>SUM(F22:F25)</f>
        <v>0</v>
      </c>
      <c r="G26" s="96">
        <f>SUM(G22:G25)</f>
        <v>0</v>
      </c>
      <c r="H26" s="94">
        <f t="shared" si="1"/>
        <v>0</v>
      </c>
      <c r="I26" s="178">
        <f>IF(F21&lt;&gt;0,F26/F21-1,0)</f>
        <v>0</v>
      </c>
      <c r="J26" s="178">
        <f>IF(G21&lt;&gt;0,G26/G21-1,0)</f>
        <v>0</v>
      </c>
      <c r="K26" s="92">
        <f>SUM(K22:K25)</f>
        <v>0</v>
      </c>
      <c r="L26" s="93">
        <f>SUM(L22:L25)</f>
        <v>0</v>
      </c>
      <c r="M26" s="97">
        <f t="shared" si="2"/>
        <v>0</v>
      </c>
      <c r="N26" s="164">
        <f>IFERROR(K26/C26,0)</f>
        <v>0</v>
      </c>
      <c r="O26" s="165">
        <f>IFERROR(L26/D26,0)</f>
        <v>0</v>
      </c>
      <c r="P26" s="94">
        <f t="shared" si="29"/>
        <v>0</v>
      </c>
      <c r="Q26" s="98">
        <f>IFERROR(C26/F26,0)</f>
        <v>0</v>
      </c>
      <c r="R26" s="99">
        <f>IFERROR(D26/G26,0)</f>
        <v>0</v>
      </c>
      <c r="S26" s="94">
        <f t="shared" si="4"/>
        <v>0</v>
      </c>
      <c r="T26" s="98">
        <f>IFERROR((C26*(1-N26))/F26,0)</f>
        <v>0</v>
      </c>
      <c r="U26" s="99">
        <f>IFERROR((D26*(1-O26))/G26,0)</f>
        <v>0</v>
      </c>
      <c r="V26" s="94">
        <f t="shared" si="5"/>
        <v>0</v>
      </c>
      <c r="W26" s="98">
        <f>IFERROR(SUMPRODUCT(W22:W25,F22:F25)/F26,0)</f>
        <v>0</v>
      </c>
      <c r="X26" s="99">
        <f>IFERROR(SUMPRODUCT(X22:X25,G22:G25)/G26,0)</f>
        <v>0</v>
      </c>
      <c r="Y26" s="94">
        <f t="shared" si="6"/>
        <v>0</v>
      </c>
      <c r="Z26" s="100">
        <f t="shared" si="7"/>
        <v>0</v>
      </c>
      <c r="AA26" s="101">
        <f t="shared" si="8"/>
        <v>0</v>
      </c>
      <c r="AB26" s="94">
        <f t="shared" si="30"/>
        <v>0</v>
      </c>
      <c r="AC26" s="102">
        <f t="shared" si="9"/>
        <v>0</v>
      </c>
      <c r="AD26" s="103">
        <f t="shared" si="9"/>
        <v>0</v>
      </c>
      <c r="AE26" s="104">
        <f t="shared" si="31"/>
        <v>0</v>
      </c>
      <c r="AF26" s="95">
        <f>AF25</f>
        <v>0</v>
      </c>
      <c r="AG26" s="96">
        <f>AG25</f>
        <v>0</v>
      </c>
      <c r="AH26" s="94">
        <f t="shared" si="10"/>
        <v>0</v>
      </c>
      <c r="AI26" s="95">
        <f>SUM(AI22:AI25)</f>
        <v>0</v>
      </c>
      <c r="AJ26" s="96">
        <f>SUM(AJ22:AJ25)</f>
        <v>0</v>
      </c>
      <c r="AK26" s="96">
        <f>SUM(AK22:AK25)</f>
        <v>0</v>
      </c>
      <c r="AL26" s="96">
        <f>SUM(AL22:AL25)</f>
        <v>0</v>
      </c>
      <c r="AM26" s="94">
        <f t="shared" si="12"/>
        <v>0</v>
      </c>
      <c r="AN26" s="95">
        <f>SUM(AN22:AN25)</f>
        <v>0</v>
      </c>
      <c r="AO26" s="96">
        <f t="shared" si="35"/>
        <v>0</v>
      </c>
      <c r="AP26" s="94">
        <f t="shared" si="14"/>
        <v>0</v>
      </c>
      <c r="AQ26" s="105">
        <f>IF(F26&lt;&gt;0,(AF26*COUNTIF(AQ22:AQ25,"&lt;&gt;0")/F26),0)</f>
        <v>0</v>
      </c>
      <c r="AR26" s="106">
        <f>IF(G26&lt;&gt;0,(AG26*COUNTIF(AR22:AR25,"&lt;&gt;0")/G26),0)</f>
        <v>0</v>
      </c>
      <c r="AS26" s="94">
        <f t="shared" si="32"/>
        <v>0</v>
      </c>
      <c r="AT26" s="95">
        <f>SUM(AT22:AT25)</f>
        <v>0</v>
      </c>
      <c r="AU26" s="96">
        <f>SUM(AU22:AU25)</f>
        <v>0</v>
      </c>
      <c r="AV26" s="94">
        <f t="shared" si="17"/>
        <v>0</v>
      </c>
      <c r="AW26" s="107"/>
      <c r="AX26" s="108"/>
      <c r="AY26" s="94">
        <f t="shared" si="18"/>
        <v>0</v>
      </c>
      <c r="AZ26" s="109">
        <f>SUM(AZ22:AZ25)</f>
        <v>0</v>
      </c>
      <c r="BA26" s="96">
        <f>SUM(BA22:BA25)</f>
        <v>0</v>
      </c>
      <c r="BB26" s="94">
        <f t="shared" si="19"/>
        <v>0</v>
      </c>
      <c r="BC26" s="95">
        <f>SUM(BC22:BC25)</f>
        <v>0</v>
      </c>
      <c r="BD26" s="96">
        <f>SUM(BD22:BD25)</f>
        <v>0</v>
      </c>
      <c r="BE26" s="94">
        <f t="shared" si="21"/>
        <v>0</v>
      </c>
      <c r="BF26" s="110">
        <f>SUM(BF22:BF25)</f>
        <v>0</v>
      </c>
      <c r="BG26" s="111">
        <f>SUM(BG22:BG25)</f>
        <v>0</v>
      </c>
      <c r="BH26" s="94">
        <f t="shared" si="23"/>
        <v>0</v>
      </c>
      <c r="BI26" s="111">
        <f>IF(F26&lt;&gt;0,BF26*COUNTIF(BI22:BI25,"&lt;&gt;0")/F26,0)</f>
        <v>0</v>
      </c>
      <c r="BJ26" s="112">
        <f>IF(G26&lt;&gt;0,BG26*COUNTIF(BJ22:BJ25,"&lt;&gt;0")/G26,0)</f>
        <v>0</v>
      </c>
      <c r="BK26" s="101">
        <f t="shared" si="25"/>
        <v>0</v>
      </c>
      <c r="BL26" s="283"/>
      <c r="BM26" s="249"/>
      <c r="BN26" s="249"/>
      <c r="BO26" s="284"/>
    </row>
    <row r="27" spans="1:67" ht="16.5" thickBot="1" x14ac:dyDescent="0.3">
      <c r="B27" s="242" t="s">
        <v>25</v>
      </c>
      <c r="C27" s="113">
        <f>C15+C21+C26</f>
        <v>0</v>
      </c>
      <c r="D27" s="114">
        <f>D15+D21+D26</f>
        <v>0</v>
      </c>
      <c r="E27" s="115">
        <f t="shared" si="0"/>
        <v>0</v>
      </c>
      <c r="F27" s="116">
        <f>F15+F21+F26</f>
        <v>0</v>
      </c>
      <c r="G27" s="117">
        <f>G15+G21+G26</f>
        <v>0</v>
      </c>
      <c r="H27" s="115">
        <f t="shared" si="1"/>
        <v>0</v>
      </c>
      <c r="I27" s="179">
        <f>IF(G78&lt;&gt;0,F27/G78-1,0)</f>
        <v>0</v>
      </c>
      <c r="J27" s="179">
        <v>0</v>
      </c>
      <c r="K27" s="113">
        <f>K15+K21+K26</f>
        <v>0</v>
      </c>
      <c r="L27" s="114">
        <f>L15+L21+L26</f>
        <v>0</v>
      </c>
      <c r="M27" s="118">
        <f t="shared" si="2"/>
        <v>0</v>
      </c>
      <c r="N27" s="166">
        <f>IFERROR(K27/C27,0)</f>
        <v>0</v>
      </c>
      <c r="O27" s="167">
        <f>IFERROR(L27/D27,0)</f>
        <v>0</v>
      </c>
      <c r="P27" s="115">
        <f t="shared" si="29"/>
        <v>0</v>
      </c>
      <c r="Q27" s="119">
        <f>IFERROR(C27/F27,0)</f>
        <v>0</v>
      </c>
      <c r="R27" s="120">
        <f>IFERROR(D27/G27,0)</f>
        <v>0</v>
      </c>
      <c r="S27" s="115">
        <f t="shared" si="4"/>
        <v>0</v>
      </c>
      <c r="T27" s="119">
        <f>IFERROR((C27*(1-N27))/F27,0)</f>
        <v>0</v>
      </c>
      <c r="U27" s="120">
        <f>IFERROR((D27*(1-O27))/G27,0)</f>
        <v>0</v>
      </c>
      <c r="V27" s="115">
        <f t="shared" si="5"/>
        <v>0</v>
      </c>
      <c r="W27" s="119">
        <f>IFERROR((W15*F15+W21*F21+W26*F26)/F27,0)</f>
        <v>0</v>
      </c>
      <c r="X27" s="120">
        <f>IFERROR((X15*G15+X21*G21+X26*G26)/G27,0)</f>
        <v>0</v>
      </c>
      <c r="Y27" s="115">
        <f t="shared" si="6"/>
        <v>0</v>
      </c>
      <c r="Z27" s="121">
        <f t="shared" si="7"/>
        <v>0</v>
      </c>
      <c r="AA27" s="122">
        <f t="shared" si="8"/>
        <v>0</v>
      </c>
      <c r="AB27" s="115">
        <f>IFERROR(Z27-AA27,)</f>
        <v>0</v>
      </c>
      <c r="AC27" s="123">
        <f t="shared" si="9"/>
        <v>0</v>
      </c>
      <c r="AD27" s="124">
        <f t="shared" si="9"/>
        <v>0</v>
      </c>
      <c r="AE27" s="125">
        <f t="shared" si="31"/>
        <v>0</v>
      </c>
      <c r="AF27" s="116">
        <f>AF26</f>
        <v>0</v>
      </c>
      <c r="AG27" s="117">
        <f>AG26</f>
        <v>0</v>
      </c>
      <c r="AH27" s="115">
        <f t="shared" si="10"/>
        <v>0</v>
      </c>
      <c r="AI27" s="116">
        <f t="shared" ref="AI27:AL27" si="55">AI15+AI21+AI26</f>
        <v>0</v>
      </c>
      <c r="AJ27" s="117">
        <f t="shared" si="55"/>
        <v>0</v>
      </c>
      <c r="AK27" s="117">
        <f t="shared" si="55"/>
        <v>0</v>
      </c>
      <c r="AL27" s="117">
        <f t="shared" si="55"/>
        <v>0</v>
      </c>
      <c r="AM27" s="115">
        <f t="shared" si="12"/>
        <v>0</v>
      </c>
      <c r="AN27" s="116">
        <f>AN15+AN21+AN26</f>
        <v>0</v>
      </c>
      <c r="AO27" s="117">
        <f>AO15+AO21+AO26</f>
        <v>0</v>
      </c>
      <c r="AP27" s="115">
        <f t="shared" si="14"/>
        <v>0</v>
      </c>
      <c r="AQ27" s="126">
        <f>IF(F27&lt;&gt;0,(AF27*$B$24/F27),0)</f>
        <v>0</v>
      </c>
      <c r="AR27" s="127">
        <f>IF(G27&lt;&gt;0,(AG27*$B$24/G27),0)</f>
        <v>0</v>
      </c>
      <c r="AS27" s="115">
        <f t="shared" si="32"/>
        <v>0</v>
      </c>
      <c r="AT27" s="116">
        <f>AT15+AT21+AT26</f>
        <v>0</v>
      </c>
      <c r="AU27" s="117">
        <f>AU15+AU21+AU26</f>
        <v>0</v>
      </c>
      <c r="AV27" s="115">
        <f t="shared" si="17"/>
        <v>0</v>
      </c>
      <c r="AW27" s="128"/>
      <c r="AX27" s="129"/>
      <c r="AY27" s="115">
        <f t="shared" si="18"/>
        <v>0</v>
      </c>
      <c r="AZ27" s="130">
        <f>AZ15+AZ21+AZ26</f>
        <v>0</v>
      </c>
      <c r="BA27" s="117">
        <f>BA15+BA21+BA26</f>
        <v>0</v>
      </c>
      <c r="BB27" s="115">
        <f t="shared" si="19"/>
        <v>0</v>
      </c>
      <c r="BC27" s="116">
        <f>BC15+BC21+BC26</f>
        <v>0</v>
      </c>
      <c r="BD27" s="117">
        <f>BD15+BD21+BD26</f>
        <v>0</v>
      </c>
      <c r="BE27" s="115">
        <f t="shared" si="21"/>
        <v>0</v>
      </c>
      <c r="BF27" s="131">
        <f>BF15+BF21+BF26</f>
        <v>0</v>
      </c>
      <c r="BG27" s="132">
        <f>BG15+BG21+BG26</f>
        <v>0</v>
      </c>
      <c r="BH27" s="115">
        <f t="shared" si="23"/>
        <v>0</v>
      </c>
      <c r="BI27" s="132">
        <f t="shared" ref="BI27:BJ58" si="56">IF(F27&lt;&gt;0,BF27/F27,0)</f>
        <v>0</v>
      </c>
      <c r="BJ27" s="133">
        <f t="shared" si="56"/>
        <v>0</v>
      </c>
      <c r="BK27" s="122">
        <f t="shared" si="25"/>
        <v>0</v>
      </c>
      <c r="BL27" s="283"/>
      <c r="BM27" s="249"/>
      <c r="BN27" s="249"/>
      <c r="BO27" s="284"/>
    </row>
    <row r="28" spans="1:67" x14ac:dyDescent="0.25">
      <c r="A28" s="64" t="s">
        <v>375</v>
      </c>
      <c r="B28" s="185">
        <v>14</v>
      </c>
      <c r="C28" s="208">
        <f t="shared" ref="C28:D31" si="57">F28*Q28</f>
        <v>0</v>
      </c>
      <c r="D28" s="187">
        <f t="shared" si="57"/>
        <v>0</v>
      </c>
      <c r="E28" s="188">
        <f t="shared" si="0"/>
        <v>0</v>
      </c>
      <c r="F28" s="189">
        <f>IFERROR(VLOOKUP(FiscalYr &amp; $B28&amp;F$4,tblForecast,F$2,FALSE),0)</f>
        <v>0</v>
      </c>
      <c r="G28" s="189">
        <f>IFERROR(VLOOKUP(FiscalYr-IF(CompareVer="LY",1,0) &amp; $B28 + IF(FiscalYr=2018,1,0)&amp;G$4,tblForecast,G$2,FALSE),0)</f>
        <v>0</v>
      </c>
      <c r="H28" s="188">
        <f t="shared" si="1"/>
        <v>0</v>
      </c>
      <c r="I28" s="190">
        <f>IFERROR(IF(F25&lt;&gt;0,F28/F25,0),0)</f>
        <v>0</v>
      </c>
      <c r="J28" s="190">
        <f>IFERROR(IF(G25&lt;&gt;0,G28/G25,0),0)</f>
        <v>0</v>
      </c>
      <c r="K28" s="208">
        <f>IFERROR(C28*N28,0)</f>
        <v>0</v>
      </c>
      <c r="L28" s="187">
        <f t="shared" ref="L28:L31" si="58">D28*O28</f>
        <v>0</v>
      </c>
      <c r="M28" s="191">
        <f t="shared" si="2"/>
        <v>0</v>
      </c>
      <c r="N28" s="162">
        <f t="shared" ref="N28:O31" si="59">IF(Q28&lt;&gt;0,1-T28/Q28,0)</f>
        <v>0</v>
      </c>
      <c r="O28" s="192">
        <f t="shared" si="59"/>
        <v>0</v>
      </c>
      <c r="P28" s="188">
        <f>IFERROR(N28-O28,)</f>
        <v>0</v>
      </c>
      <c r="Q28" s="240">
        <f>IFERROR(VLOOKUP(FiscalYr &amp; $B28&amp;Q$4,tblForecast,Q$2,FALSE),0)</f>
        <v>0</v>
      </c>
      <c r="R28" s="193">
        <f>IFERROR(VLOOKUP(FiscalYr-IF(CompareVer="LY",1,0) &amp; $B28 + IF(FiscalYr=2018,1,0)&amp;R$4,tblForecast,R$2,FALSE),0)</f>
        <v>0</v>
      </c>
      <c r="S28" s="188">
        <f t="shared" si="4"/>
        <v>0</v>
      </c>
      <c r="T28" s="240">
        <f>IFERROR(VLOOKUP(FiscalYr &amp; $B28&amp;T$4,tblForecast,T$2,FALSE),0)</f>
        <v>0</v>
      </c>
      <c r="U28" s="193">
        <f>IFERROR(VLOOKUP(FiscalYr-IF(CompareVer="LY",1,0) &amp; $B28 + IF(FiscalYr=2018,1,0)&amp;U$4,tblForecast,U$2,FALSE),0)</f>
        <v>0</v>
      </c>
      <c r="V28" s="188">
        <f t="shared" si="5"/>
        <v>0</v>
      </c>
      <c r="W28" s="240">
        <f>IFERROR(VLOOKUP(FiscalYr &amp; $B28&amp;W$4,tblForecast,W$2,FALSE),0)</f>
        <v>0</v>
      </c>
      <c r="X28" s="193">
        <f>IFERROR(VLOOKUP(FiscalYr-IF(CompareVer="LY",1,0) &amp; $B28 + IF(FiscalYr=2018,1,0)&amp;X$4,tblForecast,X$2,FALSE),0)</f>
        <v>0</v>
      </c>
      <c r="Y28" s="188">
        <f t="shared" si="6"/>
        <v>0</v>
      </c>
      <c r="Z28" s="74">
        <f>IFERROR(1-Q28/W28,0)</f>
        <v>0</v>
      </c>
      <c r="AA28" s="194">
        <f t="shared" ref="AA28:AA59" si="60">IFERROR((R28/X28-1)*-1,0)</f>
        <v>0</v>
      </c>
      <c r="AB28" s="188">
        <f>IFERROR(Z28-AA28,)</f>
        <v>0</v>
      </c>
      <c r="AC28" s="209">
        <f t="shared" si="9"/>
        <v>0</v>
      </c>
      <c r="AD28" s="196">
        <f t="shared" si="9"/>
        <v>0</v>
      </c>
      <c r="AE28" s="197">
        <f t="shared" si="31"/>
        <v>0</v>
      </c>
      <c r="AF28" s="238">
        <f>IF(AF27+AK28+AN28-F28&lt;0,0,AF27+AK28+AN28-F28)</f>
        <v>0</v>
      </c>
      <c r="AG28" s="189">
        <f>IFERROR(VLOOKUP(FiscalYr-IF(CompareVer="LY",1,0) &amp; $B28 + IF(FiscalYr=2018,1,0)&amp;AG$4,tblForecast,AG$2,FALSE),0)</f>
        <v>0</v>
      </c>
      <c r="AH28" s="188">
        <f t="shared" si="10"/>
        <v>0</v>
      </c>
      <c r="AI28" s="239">
        <f t="shared" ref="AI28:AJ31" si="61">IFERROR(VLOOKUP(FiscalYr &amp; $B28&amp;AI$4,tblForecast,AI$2,FALSE),0)</f>
        <v>0</v>
      </c>
      <c r="AJ28" s="189">
        <f t="shared" si="61"/>
        <v>0</v>
      </c>
      <c r="AK28" s="189">
        <f>IF($A28="a",IFERROR(VLOOKUP(FiscalYr &amp; $B28&amp;AK$4,tblForecast,AK$2,FALSE),0),AI28+AJ28)</f>
        <v>0</v>
      </c>
      <c r="AL28" s="189">
        <f>IFERROR(VLOOKUP(FiscalYr-IF(CompareVer="LY",1,0) &amp; $B28 + IF(FiscalYr=2018,1,0)&amp;AL$4,tblForecast,AL$2,FALSE),0)</f>
        <v>0</v>
      </c>
      <c r="AM28" s="188">
        <f t="shared" si="12"/>
        <v>0</v>
      </c>
      <c r="AN28" s="239">
        <f t="shared" ref="AN28:AO31" si="62">IFERROR(VLOOKUP(FiscalYr &amp; $B28&amp;AN$4,tblForecast,AN$2,FALSE),0)</f>
        <v>0</v>
      </c>
      <c r="AO28" s="189">
        <f t="shared" si="62"/>
        <v>0</v>
      </c>
      <c r="AP28" s="188">
        <f t="shared" si="14"/>
        <v>0</v>
      </c>
      <c r="AQ28" s="199">
        <f t="shared" ref="AQ28:AR31" si="63">IF(F28&lt;&gt;0,AF28/F28,0)</f>
        <v>0</v>
      </c>
      <c r="AR28" s="210">
        <f t="shared" si="63"/>
        <v>0</v>
      </c>
      <c r="AS28" s="188">
        <f>IFERROR(AQ28/AR28-1,)</f>
        <v>0</v>
      </c>
      <c r="AT28" s="239">
        <f>IFERROR(VLOOKUP(FiscalYr &amp; $B28&amp;AT$4,tblForecast,AT$2,FALSE),0)</f>
        <v>0</v>
      </c>
      <c r="AU28" s="189">
        <f t="shared" si="16"/>
        <v>0</v>
      </c>
      <c r="AV28" s="188">
        <f t="shared" si="17"/>
        <v>0</v>
      </c>
      <c r="AW28" s="201"/>
      <c r="AX28" s="202"/>
      <c r="AY28" s="188">
        <f t="shared" si="18"/>
        <v>0</v>
      </c>
      <c r="AZ28" s="203"/>
      <c r="BA28" s="189"/>
      <c r="BB28" s="188">
        <f t="shared" si="19"/>
        <v>0</v>
      </c>
      <c r="BC28" s="239">
        <f>IFERROR(VLOOKUP(FiscalYr &amp; $B28&amp;BC$4,tblForecast,BC$2,FALSE),0)</f>
        <v>0</v>
      </c>
      <c r="BD28" s="189">
        <f t="shared" si="20"/>
        <v>0</v>
      </c>
      <c r="BE28" s="188">
        <f t="shared" si="21"/>
        <v>0</v>
      </c>
      <c r="BF28" s="211">
        <f>IFERROR(VLOOKUP(FiscalYr &amp; $B28&amp;BF$4,tblForecast,BF$2,FALSE),0)</f>
        <v>0</v>
      </c>
      <c r="BG28" s="189">
        <f t="shared" si="22"/>
        <v>0</v>
      </c>
      <c r="BH28" s="188">
        <f t="shared" si="23"/>
        <v>0</v>
      </c>
      <c r="BI28" s="189">
        <f t="shared" si="56"/>
        <v>0</v>
      </c>
      <c r="BJ28" s="206">
        <f t="shared" si="56"/>
        <v>0</v>
      </c>
      <c r="BK28" s="194">
        <f t="shared" si="25"/>
        <v>0</v>
      </c>
      <c r="BL28" s="283">
        <f>IFERROR(VLOOKUP(Brand&amp;Channel&amp;Country&amp;$B28,tblDiscount,6,FALSE),0)</f>
        <v>0.5</v>
      </c>
      <c r="BM28" s="249">
        <f>(1-BL28)*BN28</f>
        <v>0</v>
      </c>
      <c r="BN28" s="249">
        <f>IFERROR(VLOOKUP(Brand&amp;Country &amp; Channel &amp;FC,tblFCSettings,8,FALSE),0)</f>
        <v>0</v>
      </c>
      <c r="BO28" s="284">
        <f>IFERROR(VLOOKUP(Brand&amp;Country &amp; Channel &amp;FC,tblFCSettings,9,FALSE),0)</f>
        <v>0</v>
      </c>
    </row>
    <row r="29" spans="1:67" x14ac:dyDescent="0.25">
      <c r="A29"/>
      <c r="B29" s="185">
        <v>15</v>
      </c>
      <c r="C29" s="87">
        <f t="shared" si="57"/>
        <v>0</v>
      </c>
      <c r="D29" s="68">
        <f t="shared" si="57"/>
        <v>0</v>
      </c>
      <c r="E29" s="69">
        <f t="shared" si="0"/>
        <v>0</v>
      </c>
      <c r="F29" s="157">
        <f>IF(NewPlan=TRUE,IF(AF28-(G29*J29)&lt;0,AF28,G29*J29),IFERROR(VLOOKUP(FiscalYr &amp; $B29&amp;F$4,tblForecast,F$2,FALSE),0))</f>
        <v>0</v>
      </c>
      <c r="G29" s="189">
        <f>IFERROR(VLOOKUP(FiscalYr-IF(CompareVer="LY",1,0) &amp; $B29 + IF(FiscalYr=2018,1,0)&amp;G$4,tblForecast,G$2,FALSE),0)</f>
        <v>0</v>
      </c>
      <c r="H29" s="69">
        <f t="shared" si="1"/>
        <v>0</v>
      </c>
      <c r="I29" s="177">
        <f>IFERROR(IF(F28&lt;&gt;0,F29/F28,0),0)</f>
        <v>0</v>
      </c>
      <c r="J29" s="177">
        <f>IFERROR(IF(G28&lt;&gt;0,G29/G28,0),0)</f>
        <v>0</v>
      </c>
      <c r="K29" s="87">
        <f t="shared" ref="K29:K31" si="64">IFERROR(C29*N29,0)</f>
        <v>0</v>
      </c>
      <c r="L29" s="68">
        <f t="shared" si="58"/>
        <v>0</v>
      </c>
      <c r="M29" s="72">
        <f t="shared" si="2"/>
        <v>0</v>
      </c>
      <c r="N29" s="162">
        <f t="shared" si="59"/>
        <v>0</v>
      </c>
      <c r="O29" s="163">
        <f t="shared" si="59"/>
        <v>0</v>
      </c>
      <c r="P29" s="69">
        <f t="shared" ref="P29:P44" si="65">IFERROR(N29-O29,)</f>
        <v>0</v>
      </c>
      <c r="Q29" s="158">
        <f>IF(NewPlan=TRUE,IF(BM29=0,R29,BM29),IFERROR(VLOOKUP(FiscalYr&amp;$B29&amp;Q$4,tblForecast,Q$2,FALSE),0))</f>
        <v>0</v>
      </c>
      <c r="R29" s="73">
        <f>IFERROR(VLOOKUP(FiscalYr-IF(CompareVer="LY",1,0) &amp; $B29 + IF(FiscalYr=2018,1,0)&amp;R$4,tblForecast,R$2,FALSE),0)</f>
        <v>0</v>
      </c>
      <c r="S29" s="69">
        <f t="shared" si="4"/>
        <v>0</v>
      </c>
      <c r="T29" s="158">
        <f>IF(NewPlan=TRUE,IF(BO29=0,U29,BO29),IFERROR(VLOOKUP(FiscalYr &amp; $B29&amp;T$4,tblForecast,T$2,FALSE),0))</f>
        <v>0</v>
      </c>
      <c r="U29" s="73">
        <f>IFERROR(VLOOKUP(FiscalYr-IF(CompareVer="LY",1,0) &amp; $B29 + IF(FiscalYr=2018,1,0)&amp;U$4,tblForecast,U$2,FALSE),0)</f>
        <v>0</v>
      </c>
      <c r="V29" s="69">
        <f t="shared" si="5"/>
        <v>0</v>
      </c>
      <c r="W29" s="158">
        <f>IF(NewPlan=TRUE,IF(BN29=0,X29,BN29),IFERROR(VLOOKUP(FiscalYr &amp; $B29&amp;W$4,tblForecast,W$2,FALSE),0))</f>
        <v>0</v>
      </c>
      <c r="X29" s="73">
        <f>IFERROR(VLOOKUP(FiscalYr-IF(CompareVer="LY",1,0) &amp; $B29 + IF(FiscalYr=2018,1,0)&amp;X$4,tblForecast,X$2,FALSE),0)</f>
        <v>0</v>
      </c>
      <c r="Y29" s="69">
        <f t="shared" si="6"/>
        <v>0</v>
      </c>
      <c r="Z29" s="74">
        <f t="shared" ref="Z29:Z60" si="66">IFERROR((Q29/W29-1)*-1,0)</f>
        <v>0</v>
      </c>
      <c r="AA29" s="75">
        <f t="shared" si="60"/>
        <v>0</v>
      </c>
      <c r="AB29" s="69">
        <f t="shared" ref="AB29:AB43" si="67">IFERROR(Z29-AA29,)</f>
        <v>0</v>
      </c>
      <c r="AC29" s="88">
        <f t="shared" si="9"/>
        <v>0</v>
      </c>
      <c r="AD29" s="77">
        <f t="shared" si="9"/>
        <v>0</v>
      </c>
      <c r="AE29" s="78">
        <f t="shared" si="31"/>
        <v>0</v>
      </c>
      <c r="AF29" s="238">
        <f t="shared" ref="AF29:AF31" si="68">IF(AF28+AK29+AN29-F29&lt;0,0,AF28+AK29+AN29-F29)</f>
        <v>0</v>
      </c>
      <c r="AG29" s="71">
        <f>IFERROR(VLOOKUP(FiscalYr-IF(CompareVer="LY",1,0) &amp; $B29 + IF(FiscalYr=2018,1,0)&amp;AG$4,tblForecast,AG$2,FALSE),0)</f>
        <v>0</v>
      </c>
      <c r="AH29" s="69">
        <f t="shared" si="10"/>
        <v>0</v>
      </c>
      <c r="AI29" s="157">
        <f t="shared" si="61"/>
        <v>0</v>
      </c>
      <c r="AJ29" s="71">
        <f t="shared" si="61"/>
        <v>0</v>
      </c>
      <c r="AK29" s="71">
        <f>IF($A29="a",IFERROR(VLOOKUP(FiscalYr &amp; $B29&amp;AK$4,tblForecast,AK$2,FALSE),0),AI29+AJ29)</f>
        <v>0</v>
      </c>
      <c r="AL29" s="71">
        <f>IFERROR(VLOOKUP(FiscalYr-IF(CompareVer="LY",1,0) &amp; $B29 + IF(FiscalYr=2018,1,0)&amp;AL$4,tblForecast,AL$2,FALSE),0)</f>
        <v>0</v>
      </c>
      <c r="AM29" s="69">
        <f t="shared" si="12"/>
        <v>0</v>
      </c>
      <c r="AN29" s="157">
        <f t="shared" si="62"/>
        <v>0</v>
      </c>
      <c r="AO29" s="71">
        <f t="shared" si="62"/>
        <v>0</v>
      </c>
      <c r="AP29" s="69">
        <f t="shared" si="14"/>
        <v>0</v>
      </c>
      <c r="AQ29" s="80">
        <f t="shared" si="63"/>
        <v>0</v>
      </c>
      <c r="AR29" s="89">
        <f t="shared" si="63"/>
        <v>0</v>
      </c>
      <c r="AS29" s="69">
        <f t="shared" ref="AS29:AS42" si="69">IFERROR(AQ29/AR29-1,)</f>
        <v>0</v>
      </c>
      <c r="AT29" s="157">
        <f>IFERROR(VLOOKUP(FiscalYr &amp; $B29&amp;AT$4,tblForecast,AT$2,FALSE),0)</f>
        <v>0</v>
      </c>
      <c r="AU29" s="71">
        <f t="shared" si="16"/>
        <v>0</v>
      </c>
      <c r="AV29" s="69">
        <f t="shared" si="17"/>
        <v>0</v>
      </c>
      <c r="AW29" s="82"/>
      <c r="AX29" s="83"/>
      <c r="AY29" s="69">
        <f t="shared" si="18"/>
        <v>0</v>
      </c>
      <c r="AZ29" s="84"/>
      <c r="BA29" s="85"/>
      <c r="BB29" s="69">
        <f t="shared" si="19"/>
        <v>0</v>
      </c>
      <c r="BC29" s="157">
        <f>IFERROR(VLOOKUP(FiscalYr &amp; $B29&amp;BC$4,tblForecast,BC$2,FALSE),0)</f>
        <v>0</v>
      </c>
      <c r="BD29" s="71">
        <f t="shared" si="20"/>
        <v>0</v>
      </c>
      <c r="BE29" s="69">
        <f t="shared" si="21"/>
        <v>0</v>
      </c>
      <c r="BF29" s="90">
        <f>IFERROR(VLOOKUP(FiscalYr &amp; $B29&amp;BF$4,tblForecast,BF$2,FALSE),0)</f>
        <v>0</v>
      </c>
      <c r="BG29" s="85">
        <f t="shared" si="22"/>
        <v>0</v>
      </c>
      <c r="BH29" s="69">
        <f t="shared" si="23"/>
        <v>0</v>
      </c>
      <c r="BI29" s="85">
        <f t="shared" si="56"/>
        <v>0</v>
      </c>
      <c r="BJ29" s="86">
        <f t="shared" si="56"/>
        <v>0</v>
      </c>
      <c r="BK29" s="75">
        <f t="shared" si="25"/>
        <v>0</v>
      </c>
      <c r="BL29" s="283">
        <f>IFERROR(VLOOKUP(Brand&amp;Channel&amp;Country&amp;$B29,tblDiscount,6,FALSE),0)</f>
        <v>0.5</v>
      </c>
      <c r="BM29" s="249">
        <f t="shared" ref="BM29:BM31" si="70">(1-BL29)*BN29</f>
        <v>0</v>
      </c>
      <c r="BN29" s="249">
        <f>IFERROR(VLOOKUP(Brand&amp;Country &amp; Channel &amp;FC,tblFCSettings,8,FALSE),0)</f>
        <v>0</v>
      </c>
      <c r="BO29" s="284">
        <f>IFERROR(VLOOKUP(Brand&amp;Country &amp; Channel &amp;FC,tblFCSettings,9,FALSE),0)</f>
        <v>0</v>
      </c>
    </row>
    <row r="30" spans="1:67" x14ac:dyDescent="0.25">
      <c r="A30"/>
      <c r="B30" s="185">
        <v>16</v>
      </c>
      <c r="C30" s="87">
        <f t="shared" si="57"/>
        <v>0</v>
      </c>
      <c r="D30" s="68">
        <f t="shared" si="57"/>
        <v>0</v>
      </c>
      <c r="E30" s="69">
        <f t="shared" si="0"/>
        <v>0</v>
      </c>
      <c r="F30" s="157">
        <f>IF(NewPlan=TRUE,IF(AF29-(G30*J30)&lt;0,AF29,G30*J30),IFERROR(VLOOKUP(FiscalYr &amp; $B30&amp;F$4,tblForecast,F$2,FALSE),0))</f>
        <v>0</v>
      </c>
      <c r="G30" s="189">
        <f>IFERROR(VLOOKUP(FiscalYr-IF(CompareVer="LY",1,0) &amp; $B30 + IF(FiscalYr=2018,1,0)&amp;G$4,tblForecast,G$2,FALSE),0)</f>
        <v>0</v>
      </c>
      <c r="H30" s="69">
        <f t="shared" si="1"/>
        <v>0</v>
      </c>
      <c r="I30" s="177">
        <f t="shared" ref="I30:J31" si="71">IFERROR(IF(F29&lt;&gt;0,F30/F29,0),0)</f>
        <v>0</v>
      </c>
      <c r="J30" s="177">
        <f t="shared" si="71"/>
        <v>0</v>
      </c>
      <c r="K30" s="87">
        <f t="shared" si="64"/>
        <v>0</v>
      </c>
      <c r="L30" s="68">
        <f t="shared" si="58"/>
        <v>0</v>
      </c>
      <c r="M30" s="72">
        <f t="shared" si="2"/>
        <v>0</v>
      </c>
      <c r="N30" s="162">
        <f t="shared" si="59"/>
        <v>0</v>
      </c>
      <c r="O30" s="163">
        <f t="shared" si="59"/>
        <v>0</v>
      </c>
      <c r="P30" s="69">
        <f t="shared" si="65"/>
        <v>0</v>
      </c>
      <c r="Q30" s="158">
        <f>IF(NewPlan=TRUE,IF(BM30=0,R30,BM30),IFERROR(VLOOKUP(FiscalYr&amp;$B30&amp;Q$4,tblForecast,Q$2,FALSE),0))</f>
        <v>0</v>
      </c>
      <c r="R30" s="73">
        <f>IFERROR(VLOOKUP(FiscalYr-IF(CompareVer="LY",1,0) &amp; $B30 + IF(FiscalYr=2018,1,0)&amp;R$4,tblForecast,R$2,FALSE),0)</f>
        <v>0</v>
      </c>
      <c r="S30" s="69">
        <f t="shared" si="4"/>
        <v>0</v>
      </c>
      <c r="T30" s="158">
        <f>IF(NewPlan=TRUE,IF(BO30=0,U30,BO30),IFERROR(VLOOKUP(FiscalYr &amp; $B30&amp;T$4,tblForecast,T$2,FALSE),0))</f>
        <v>0</v>
      </c>
      <c r="U30" s="73">
        <f>IFERROR(VLOOKUP(FiscalYr-IF(CompareVer="LY",1,0) &amp; $B30 + IF(FiscalYr=2018,1,0)&amp;U$4,tblForecast,U$2,FALSE),0)</f>
        <v>0</v>
      </c>
      <c r="V30" s="69">
        <f t="shared" si="5"/>
        <v>0</v>
      </c>
      <c r="W30" s="158">
        <f>IF(NewPlan=TRUE,IF(BN30=0,X30,BN30),IFERROR(VLOOKUP(FiscalYr &amp; $B30&amp;W$4,tblForecast,W$2,FALSE),0))</f>
        <v>0</v>
      </c>
      <c r="X30" s="73">
        <f>IFERROR(VLOOKUP(FiscalYr-IF(CompareVer="LY",1,0) &amp; $B30 + IF(FiscalYr=2018,1,0)&amp;X$4,tblForecast,X$2,FALSE),0)</f>
        <v>0</v>
      </c>
      <c r="Y30" s="69">
        <f t="shared" si="6"/>
        <v>0</v>
      </c>
      <c r="Z30" s="74">
        <f t="shared" si="66"/>
        <v>0</v>
      </c>
      <c r="AA30" s="75">
        <f t="shared" si="60"/>
        <v>0</v>
      </c>
      <c r="AB30" s="69">
        <f t="shared" si="67"/>
        <v>0</v>
      </c>
      <c r="AC30" s="88">
        <f t="shared" si="9"/>
        <v>0</v>
      </c>
      <c r="AD30" s="77">
        <f t="shared" si="9"/>
        <v>0</v>
      </c>
      <c r="AE30" s="78">
        <f t="shared" si="31"/>
        <v>0</v>
      </c>
      <c r="AF30" s="238">
        <f t="shared" si="68"/>
        <v>0</v>
      </c>
      <c r="AG30" s="71">
        <f>IFERROR(VLOOKUP(FiscalYr-IF(CompareVer="LY",1,0) &amp; $B30 + IF(FiscalYr=2018,1,0)&amp;AG$4,tblForecast,AG$2,FALSE),0)</f>
        <v>0</v>
      </c>
      <c r="AH30" s="69">
        <f t="shared" si="10"/>
        <v>0</v>
      </c>
      <c r="AI30" s="157">
        <f t="shared" si="61"/>
        <v>0</v>
      </c>
      <c r="AJ30" s="71">
        <f t="shared" si="61"/>
        <v>0</v>
      </c>
      <c r="AK30" s="71">
        <f>IF($A30="a",IFERROR(VLOOKUP(FiscalYr &amp; $B30&amp;AK$4,tblForecast,AK$2,FALSE),0),AI30+AJ30)</f>
        <v>0</v>
      </c>
      <c r="AL30" s="71">
        <f>IFERROR(VLOOKUP(FiscalYr-IF(CompareVer="LY",1,0) &amp; $B30 + IF(FiscalYr=2018,1,0)&amp;AL$4,tblForecast,AL$2,FALSE),0)</f>
        <v>0</v>
      </c>
      <c r="AM30" s="69">
        <f t="shared" si="12"/>
        <v>0</v>
      </c>
      <c r="AN30" s="157">
        <f t="shared" si="62"/>
        <v>0</v>
      </c>
      <c r="AO30" s="71">
        <f t="shared" si="62"/>
        <v>0</v>
      </c>
      <c r="AP30" s="69">
        <f t="shared" si="14"/>
        <v>0</v>
      </c>
      <c r="AQ30" s="80">
        <f t="shared" si="63"/>
        <v>0</v>
      </c>
      <c r="AR30" s="89">
        <f t="shared" si="63"/>
        <v>0</v>
      </c>
      <c r="AS30" s="69">
        <f t="shared" si="69"/>
        <v>0</v>
      </c>
      <c r="AT30" s="157">
        <f>IFERROR(VLOOKUP(FiscalYr &amp; $B30&amp;AT$4,tblForecast,AT$2,FALSE),0)</f>
        <v>0</v>
      </c>
      <c r="AU30" s="71">
        <f t="shared" si="16"/>
        <v>0</v>
      </c>
      <c r="AV30" s="69">
        <f t="shared" si="17"/>
        <v>0</v>
      </c>
      <c r="AW30" s="82"/>
      <c r="AX30" s="83"/>
      <c r="AY30" s="69">
        <f t="shared" si="18"/>
        <v>0</v>
      </c>
      <c r="AZ30" s="84"/>
      <c r="BA30" s="85"/>
      <c r="BB30" s="69">
        <f t="shared" si="19"/>
        <v>0</v>
      </c>
      <c r="BC30" s="157">
        <f>IFERROR(VLOOKUP(FiscalYr &amp; $B30&amp;BC$4,tblForecast,BC$2,FALSE),0)</f>
        <v>0</v>
      </c>
      <c r="BD30" s="71">
        <f t="shared" si="20"/>
        <v>0</v>
      </c>
      <c r="BE30" s="69">
        <f t="shared" si="21"/>
        <v>0</v>
      </c>
      <c r="BF30" s="90">
        <f>IFERROR(VLOOKUP(FiscalYr &amp; $B30&amp;BF$4,tblForecast,BF$2,FALSE),0)</f>
        <v>0</v>
      </c>
      <c r="BG30" s="85">
        <f t="shared" si="22"/>
        <v>0</v>
      </c>
      <c r="BH30" s="69">
        <f t="shared" si="23"/>
        <v>0</v>
      </c>
      <c r="BI30" s="85">
        <f t="shared" si="56"/>
        <v>0</v>
      </c>
      <c r="BJ30" s="86">
        <f t="shared" si="56"/>
        <v>0</v>
      </c>
      <c r="BK30" s="75">
        <f t="shared" si="25"/>
        <v>0</v>
      </c>
      <c r="BL30" s="283">
        <f>IFERROR(VLOOKUP(Brand&amp;Channel&amp;Country&amp;$B30,tblDiscount,6,FALSE),0)</f>
        <v>0.5</v>
      </c>
      <c r="BM30" s="249">
        <f t="shared" si="70"/>
        <v>0</v>
      </c>
      <c r="BN30" s="249">
        <f>IFERROR(VLOOKUP(Brand&amp;Country &amp; Channel &amp;FC,tblFCSettings,8,FALSE),0)</f>
        <v>0</v>
      </c>
      <c r="BO30" s="284">
        <f>IFERROR(VLOOKUP(Brand&amp;Country &amp; Channel &amp;FC,tblFCSettings,9,FALSE),0)</f>
        <v>0</v>
      </c>
    </row>
    <row r="31" spans="1:67" ht="16.5" thickBot="1" x14ac:dyDescent="0.3">
      <c r="A31"/>
      <c r="B31" s="185">
        <v>17</v>
      </c>
      <c r="C31" s="91">
        <f t="shared" si="57"/>
        <v>0</v>
      </c>
      <c r="D31" s="68">
        <f t="shared" si="57"/>
        <v>0</v>
      </c>
      <c r="E31" s="69">
        <f t="shared" si="0"/>
        <v>0</v>
      </c>
      <c r="F31" s="157">
        <f>IF(NewPlan=TRUE,IF(AF30-(G31*J31)&lt;0,AF30,G31*J31),IFERROR(VLOOKUP(FiscalYr &amp; $B31&amp;F$4,tblForecast,F$2,FALSE),0))</f>
        <v>0</v>
      </c>
      <c r="G31" s="189">
        <f>IFERROR(VLOOKUP(FiscalYr-IF(CompareVer="LY",1,0) &amp; $B31 + IF(FiscalYr=2018,1,0)&amp;G$4,tblForecast,G$2,FALSE),0)</f>
        <v>0</v>
      </c>
      <c r="H31" s="69">
        <f t="shared" si="1"/>
        <v>0</v>
      </c>
      <c r="I31" s="177">
        <f t="shared" si="71"/>
        <v>0</v>
      </c>
      <c r="J31" s="177">
        <f t="shared" si="71"/>
        <v>0</v>
      </c>
      <c r="K31" s="91">
        <f t="shared" si="64"/>
        <v>0</v>
      </c>
      <c r="L31" s="68">
        <f t="shared" si="58"/>
        <v>0</v>
      </c>
      <c r="M31" s="72">
        <f t="shared" si="2"/>
        <v>0</v>
      </c>
      <c r="N31" s="162">
        <f t="shared" si="59"/>
        <v>0</v>
      </c>
      <c r="O31" s="163">
        <f t="shared" si="59"/>
        <v>0</v>
      </c>
      <c r="P31" s="69">
        <f t="shared" si="65"/>
        <v>0</v>
      </c>
      <c r="Q31" s="158">
        <f>IF(NewPlan=TRUE,IF(BM31=0,R31,BM31),IFERROR(VLOOKUP(FiscalYr&amp;$B31&amp;Q$4,tblForecast,Q$2,FALSE),0))</f>
        <v>0</v>
      </c>
      <c r="R31" s="73">
        <f>IFERROR(VLOOKUP(FiscalYr-IF(CompareVer="LY",1,0) &amp; $B31 + IF(FiscalYr=2018,1,0)&amp;R$4,tblForecast,R$2,FALSE),0)</f>
        <v>0</v>
      </c>
      <c r="S31" s="69">
        <f t="shared" si="4"/>
        <v>0</v>
      </c>
      <c r="T31" s="158">
        <f>IF(NewPlan=TRUE,IF(BO31=0,U31,BO31),IFERROR(VLOOKUP(FiscalYr &amp; $B31&amp;T$4,tblForecast,T$2,FALSE),0))</f>
        <v>0</v>
      </c>
      <c r="U31" s="73">
        <f>IFERROR(VLOOKUP(FiscalYr-IF(CompareVer="LY",1,0) &amp; $B31 + IF(FiscalYr=2018,1,0)&amp;U$4,tblForecast,U$2,FALSE),0)</f>
        <v>0</v>
      </c>
      <c r="V31" s="69">
        <f t="shared" si="5"/>
        <v>0</v>
      </c>
      <c r="W31" s="158">
        <f>IF(NewPlan=TRUE,IF(BN31=0,X31,BN31),IFERROR(VLOOKUP(FiscalYr &amp; $B31&amp;W$4,tblForecast,W$2,FALSE),0))</f>
        <v>0</v>
      </c>
      <c r="X31" s="73">
        <f>IFERROR(VLOOKUP(FiscalYr-IF(CompareVer="LY",1,0) &amp; $B31 + IF(FiscalYr=2018,1,0)&amp;X$4,tblForecast,X$2,FALSE),0)</f>
        <v>0</v>
      </c>
      <c r="Y31" s="69">
        <f t="shared" si="6"/>
        <v>0</v>
      </c>
      <c r="Z31" s="74">
        <f t="shared" si="66"/>
        <v>0</v>
      </c>
      <c r="AA31" s="75">
        <f t="shared" si="60"/>
        <v>0</v>
      </c>
      <c r="AB31" s="69">
        <f t="shared" si="67"/>
        <v>0</v>
      </c>
      <c r="AC31" s="88">
        <f t="shared" si="9"/>
        <v>0</v>
      </c>
      <c r="AD31" s="77">
        <f t="shared" si="9"/>
        <v>0</v>
      </c>
      <c r="AE31" s="78">
        <f t="shared" si="31"/>
        <v>0</v>
      </c>
      <c r="AF31" s="238">
        <f t="shared" si="68"/>
        <v>0</v>
      </c>
      <c r="AG31" s="71">
        <f>IFERROR(VLOOKUP(FiscalYr-IF(CompareVer="LY",1,0) &amp; $B31 + IF(FiscalYr=2018,1,0)&amp;AG$4,tblForecast,AG$2,FALSE),0)</f>
        <v>0</v>
      </c>
      <c r="AH31" s="69">
        <f t="shared" si="10"/>
        <v>0</v>
      </c>
      <c r="AI31" s="157">
        <f t="shared" si="61"/>
        <v>0</v>
      </c>
      <c r="AJ31" s="71">
        <f t="shared" si="61"/>
        <v>0</v>
      </c>
      <c r="AK31" s="71">
        <f>IF($A31="a",IFERROR(VLOOKUP(FiscalYr &amp; $B31&amp;AK$4,tblForecast,AK$2,FALSE),0),AI31+AJ31)</f>
        <v>0</v>
      </c>
      <c r="AL31" s="71">
        <f>IFERROR(VLOOKUP(FiscalYr-IF(CompareVer="LY",1,0) &amp; $B31 + IF(FiscalYr=2018,1,0)&amp;AL$4,tblForecast,AL$2,FALSE),0)</f>
        <v>0</v>
      </c>
      <c r="AM31" s="69">
        <f t="shared" si="12"/>
        <v>0</v>
      </c>
      <c r="AN31" s="157">
        <f t="shared" si="62"/>
        <v>0</v>
      </c>
      <c r="AO31" s="71">
        <f t="shared" si="62"/>
        <v>0</v>
      </c>
      <c r="AP31" s="69">
        <f t="shared" si="14"/>
        <v>0</v>
      </c>
      <c r="AQ31" s="80">
        <f t="shared" si="63"/>
        <v>0</v>
      </c>
      <c r="AR31" s="89">
        <f t="shared" si="63"/>
        <v>0</v>
      </c>
      <c r="AS31" s="69">
        <f t="shared" si="69"/>
        <v>0</v>
      </c>
      <c r="AT31" s="157">
        <f>IFERROR(VLOOKUP(FiscalYr &amp; $B31&amp;AT$4,tblForecast,AT$2,FALSE),0)</f>
        <v>0</v>
      </c>
      <c r="AU31" s="71">
        <f t="shared" si="16"/>
        <v>0</v>
      </c>
      <c r="AV31" s="69">
        <f t="shared" si="17"/>
        <v>0</v>
      </c>
      <c r="AW31" s="82"/>
      <c r="AX31" s="83"/>
      <c r="AY31" s="69">
        <f t="shared" si="18"/>
        <v>0</v>
      </c>
      <c r="AZ31" s="84"/>
      <c r="BA31" s="85"/>
      <c r="BB31" s="69">
        <f t="shared" si="19"/>
        <v>0</v>
      </c>
      <c r="BC31" s="157">
        <f>IFERROR(VLOOKUP(FiscalYr &amp; $B31&amp;BC$4,tblForecast,BC$2,FALSE),0)</f>
        <v>0</v>
      </c>
      <c r="BD31" s="71">
        <f t="shared" si="20"/>
        <v>0</v>
      </c>
      <c r="BE31" s="69">
        <f t="shared" si="21"/>
        <v>0</v>
      </c>
      <c r="BF31" s="90">
        <f>IFERROR(VLOOKUP(FiscalYr &amp; $B31&amp;BF$4,tblForecast,BF$2,FALSE),0)</f>
        <v>0</v>
      </c>
      <c r="BG31" s="85">
        <f t="shared" si="22"/>
        <v>0</v>
      </c>
      <c r="BH31" s="69">
        <f t="shared" si="23"/>
        <v>0</v>
      </c>
      <c r="BI31" s="85">
        <f t="shared" si="56"/>
        <v>0</v>
      </c>
      <c r="BJ31" s="86">
        <f t="shared" si="56"/>
        <v>0</v>
      </c>
      <c r="BK31" s="75">
        <f t="shared" si="25"/>
        <v>0</v>
      </c>
      <c r="BL31" s="283">
        <f>IFERROR(VLOOKUP(Brand&amp;Channel&amp;Country&amp;$B31,tblDiscount,6,FALSE),0)</f>
        <v>0.55000000000000004</v>
      </c>
      <c r="BM31" s="249">
        <f t="shared" si="70"/>
        <v>0</v>
      </c>
      <c r="BN31" s="249">
        <f>IFERROR(VLOOKUP(Brand&amp;Country &amp; Channel &amp;FC,tblFCSettings,8,FALSE),0)</f>
        <v>0</v>
      </c>
      <c r="BO31" s="284">
        <f>IFERROR(VLOOKUP(Brand&amp;Country &amp; Channel &amp;FC,tblFCSettings,9,FALSE),0)</f>
        <v>0</v>
      </c>
    </row>
    <row r="32" spans="1:67" ht="16.5" thickBot="1" x14ac:dyDescent="0.3">
      <c r="A32"/>
      <c r="B32" s="6" t="s">
        <v>30</v>
      </c>
      <c r="C32" s="92">
        <f>SUM(C28:C31)</f>
        <v>0</v>
      </c>
      <c r="D32" s="93">
        <f>SUM(D28:D31)</f>
        <v>0</v>
      </c>
      <c r="E32" s="94">
        <f t="shared" si="0"/>
        <v>0</v>
      </c>
      <c r="F32" s="95">
        <f>SUM(F28:F31)</f>
        <v>0</v>
      </c>
      <c r="G32" s="96">
        <f>SUM(G28:G31)</f>
        <v>0</v>
      </c>
      <c r="H32" s="94">
        <f t="shared" si="1"/>
        <v>0</v>
      </c>
      <c r="I32" s="178">
        <f>IF(F26&lt;&gt;0,F32/F26-1,0)</f>
        <v>0</v>
      </c>
      <c r="J32" s="178">
        <f>IF(G26&lt;&gt;0,G32/G26-1,0)</f>
        <v>0</v>
      </c>
      <c r="K32" s="92">
        <f>SUM(K28:K31)</f>
        <v>0</v>
      </c>
      <c r="L32" s="93">
        <f>SUM(L28:L31)</f>
        <v>0</v>
      </c>
      <c r="M32" s="97">
        <f t="shared" si="2"/>
        <v>0</v>
      </c>
      <c r="N32" s="164">
        <f>IFERROR(K32/C32,0)</f>
        <v>0</v>
      </c>
      <c r="O32" s="165">
        <f>IFERROR(L32/D32,0)</f>
        <v>0</v>
      </c>
      <c r="P32" s="94">
        <f t="shared" si="65"/>
        <v>0</v>
      </c>
      <c r="Q32" s="98">
        <f>IFERROR(C32/F32,0)</f>
        <v>0</v>
      </c>
      <c r="R32" s="99">
        <f>IFERROR(D32/G32,0)</f>
        <v>0</v>
      </c>
      <c r="S32" s="94">
        <f t="shared" si="4"/>
        <v>0</v>
      </c>
      <c r="T32" s="98">
        <f>IFERROR((C32*(1-N32))/F32,0)</f>
        <v>0</v>
      </c>
      <c r="U32" s="99">
        <f>IFERROR((D32*(1-O32))/G32,0)</f>
        <v>0</v>
      </c>
      <c r="V32" s="94">
        <f t="shared" si="5"/>
        <v>0</v>
      </c>
      <c r="W32" s="98">
        <f>IFERROR(SUMPRODUCT(W28:W31,F28:F31)/F32,0)</f>
        <v>0</v>
      </c>
      <c r="X32" s="99">
        <f>IFERROR(SUMPRODUCT(X28:X31,G28:G31)/G32,0)</f>
        <v>0</v>
      </c>
      <c r="Y32" s="94">
        <f t="shared" si="6"/>
        <v>0</v>
      </c>
      <c r="Z32" s="100">
        <f t="shared" si="66"/>
        <v>0</v>
      </c>
      <c r="AA32" s="101">
        <f t="shared" si="60"/>
        <v>0</v>
      </c>
      <c r="AB32" s="94">
        <f t="shared" si="67"/>
        <v>0</v>
      </c>
      <c r="AC32" s="102">
        <f t="shared" si="9"/>
        <v>0</v>
      </c>
      <c r="AD32" s="103">
        <f t="shared" si="9"/>
        <v>0</v>
      </c>
      <c r="AE32" s="104">
        <f t="shared" si="31"/>
        <v>0</v>
      </c>
      <c r="AF32" s="95">
        <f>AF31</f>
        <v>0</v>
      </c>
      <c r="AG32" s="96">
        <f>AG31</f>
        <v>0</v>
      </c>
      <c r="AH32" s="94">
        <f t="shared" si="10"/>
        <v>0</v>
      </c>
      <c r="AI32" s="95">
        <f>SUM(AI28:AI31)</f>
        <v>0</v>
      </c>
      <c r="AJ32" s="96">
        <f>SUM(AJ28:AJ31)</f>
        <v>0</v>
      </c>
      <c r="AK32" s="96">
        <f>SUM(AK28:AK31)</f>
        <v>0</v>
      </c>
      <c r="AL32" s="96">
        <f>SUM(AL28:AL31)</f>
        <v>0</v>
      </c>
      <c r="AM32" s="94">
        <f t="shared" si="12"/>
        <v>0</v>
      </c>
      <c r="AN32" s="95">
        <f>SUM(AN28:AN31)</f>
        <v>0</v>
      </c>
      <c r="AO32" s="96">
        <f t="shared" ref="AO32" si="72">IFERROR(VLOOKUP(FiscalYr-1 &amp; $B32&amp; FCLY,tblForecast,AN$2,FALSE),0)</f>
        <v>0</v>
      </c>
      <c r="AP32" s="94">
        <f t="shared" si="14"/>
        <v>0</v>
      </c>
      <c r="AQ32" s="105">
        <f>IF(F32&lt;&gt;0,(AF32*COUNTIF(AQ28:AQ31,"&lt;&gt;0")/F32),0)</f>
        <v>0</v>
      </c>
      <c r="AR32" s="106">
        <f>IF(G32&lt;&gt;0,(AG32*COUNTIF(AR28:AR31,"&lt;&gt;0")/G32),0)</f>
        <v>0</v>
      </c>
      <c r="AS32" s="94">
        <f t="shared" si="69"/>
        <v>0</v>
      </c>
      <c r="AT32" s="95">
        <f>SUM(AT28:AT31)</f>
        <v>0</v>
      </c>
      <c r="AU32" s="96">
        <f t="shared" si="16"/>
        <v>0</v>
      </c>
      <c r="AV32" s="94">
        <f t="shared" si="17"/>
        <v>0</v>
      </c>
      <c r="AW32" s="107"/>
      <c r="AX32" s="108"/>
      <c r="AY32" s="94">
        <f t="shared" si="18"/>
        <v>0</v>
      </c>
      <c r="AZ32" s="134"/>
      <c r="BA32" s="111"/>
      <c r="BB32" s="94">
        <f t="shared" si="19"/>
        <v>0</v>
      </c>
      <c r="BC32" s="95">
        <f>SUM(BC28:BC31)</f>
        <v>0</v>
      </c>
      <c r="BD32" s="96">
        <f t="shared" si="20"/>
        <v>0</v>
      </c>
      <c r="BE32" s="94">
        <f t="shared" si="21"/>
        <v>0</v>
      </c>
      <c r="BF32" s="110">
        <f>SUM(BF28:BF31)</f>
        <v>0</v>
      </c>
      <c r="BG32" s="111">
        <f>SUM(BG28:BG31)</f>
        <v>0</v>
      </c>
      <c r="BH32" s="94">
        <f t="shared" si="23"/>
        <v>0</v>
      </c>
      <c r="BI32" s="111">
        <f t="shared" si="56"/>
        <v>0</v>
      </c>
      <c r="BJ32" s="112">
        <f t="shared" si="56"/>
        <v>0</v>
      </c>
      <c r="BK32" s="101">
        <f t="shared" si="25"/>
        <v>0</v>
      </c>
      <c r="BL32" s="283"/>
      <c r="BM32" s="249"/>
      <c r="BN32" s="249"/>
      <c r="BO32" s="284"/>
    </row>
    <row r="33" spans="1:67" x14ac:dyDescent="0.25">
      <c r="A33"/>
      <c r="B33" s="185">
        <v>18</v>
      </c>
      <c r="C33" s="87">
        <f t="shared" ref="C33:D37" si="73">F33*Q33</f>
        <v>0</v>
      </c>
      <c r="D33" s="68">
        <f t="shared" si="73"/>
        <v>0</v>
      </c>
      <c r="E33" s="69">
        <f t="shared" si="0"/>
        <v>0</v>
      </c>
      <c r="F33" s="157">
        <f>IF(NewPlan=TRUE,IF(AF32-(G33*J33)&lt;0,AF32,G33*J33),IFERROR(VLOOKUP(FiscalYr &amp; $B33&amp;F$4,tblForecast,F$2,FALSE),0))</f>
        <v>0</v>
      </c>
      <c r="G33" s="189">
        <f>IFERROR(VLOOKUP(FiscalYr-IF(CompareVer="LY",1,0) &amp; $B33 + IF(FiscalYr=2018,1,0)&amp;G$4,tblForecast,G$2,FALSE),0)</f>
        <v>0</v>
      </c>
      <c r="H33" s="69">
        <f t="shared" si="1"/>
        <v>0</v>
      </c>
      <c r="I33" s="177">
        <f>IFERROR(IF(F31&gt;0,F33/F31,0),0)</f>
        <v>0</v>
      </c>
      <c r="J33" s="177">
        <f>IFERROR(IF(G31&gt;0,G33/G31,0),0)</f>
        <v>0</v>
      </c>
      <c r="K33" s="87">
        <f t="shared" ref="K33:K37" si="74">IFERROR(C33*N33,0)</f>
        <v>0</v>
      </c>
      <c r="L33" s="68">
        <f t="shared" ref="L33:L37" si="75">D33*O33</f>
        <v>0</v>
      </c>
      <c r="M33" s="72">
        <f t="shared" si="2"/>
        <v>0</v>
      </c>
      <c r="N33" s="162">
        <f t="shared" ref="N33:O37" si="76">IF(Q33&lt;&gt;0,1-T33/Q33,0)</f>
        <v>0</v>
      </c>
      <c r="O33" s="163">
        <f t="shared" si="76"/>
        <v>0</v>
      </c>
      <c r="P33" s="69">
        <f t="shared" si="65"/>
        <v>0</v>
      </c>
      <c r="Q33" s="158">
        <f>IF(NewPlan=TRUE,IF(BM33=0,R33,BM33),IFERROR(VLOOKUP(FiscalYr&amp;$B33&amp;Q$4,tblForecast,Q$2,FALSE),0))</f>
        <v>0</v>
      </c>
      <c r="R33" s="73">
        <f>IFERROR(VLOOKUP(FiscalYr-IF(CompareVer="LY",1,0) &amp; $B33 + IF(FiscalYr=2018,1,0)&amp;R$4,tblForecast,R$2,FALSE),0)</f>
        <v>0</v>
      </c>
      <c r="S33" s="69">
        <f t="shared" si="4"/>
        <v>0</v>
      </c>
      <c r="T33" s="158">
        <f>IF(NewPlan=TRUE,IF(BO33=0,U33,BO33),IFERROR(VLOOKUP(FiscalYr &amp; $B33&amp;T$4,tblForecast,T$2,FALSE),0))</f>
        <v>0</v>
      </c>
      <c r="U33" s="73">
        <f>IFERROR(VLOOKUP(FiscalYr-IF(CompareVer="LY",1,0) &amp; $B33 + IF(FiscalYr=2018,1,0)&amp;U$4,tblForecast,U$2,FALSE),0)</f>
        <v>0</v>
      </c>
      <c r="V33" s="69">
        <f t="shared" si="5"/>
        <v>0</v>
      </c>
      <c r="W33" s="158">
        <f>IF(NewPlan=TRUE,IF(BN33=0,X33,BN33),IFERROR(VLOOKUP(FiscalYr &amp; $B33&amp;W$4,tblForecast,W$2,FALSE),0))</f>
        <v>0</v>
      </c>
      <c r="X33" s="73">
        <f>IFERROR(VLOOKUP(FiscalYr-IF(CompareVer="LY",1,0) &amp; $B33 + IF(FiscalYr=2018,1,0)&amp;X$4,tblForecast,X$2,FALSE),0)</f>
        <v>0</v>
      </c>
      <c r="Y33" s="69">
        <f t="shared" si="6"/>
        <v>0</v>
      </c>
      <c r="Z33" s="74">
        <f t="shared" si="66"/>
        <v>0</v>
      </c>
      <c r="AA33" s="75">
        <f t="shared" si="60"/>
        <v>0</v>
      </c>
      <c r="AB33" s="69">
        <f t="shared" si="67"/>
        <v>0</v>
      </c>
      <c r="AC33" s="88">
        <f t="shared" si="9"/>
        <v>0</v>
      </c>
      <c r="AD33" s="77">
        <f t="shared" si="9"/>
        <v>0</v>
      </c>
      <c r="AE33" s="78">
        <f t="shared" si="31"/>
        <v>0</v>
      </c>
      <c r="AF33" s="238">
        <f t="shared" ref="AF33:AF37" si="77">IF(AF32+AK33+AN33-F33&lt;0,0,AF32+AK33+AN33-F33)</f>
        <v>0</v>
      </c>
      <c r="AG33" s="71">
        <f>IFERROR(VLOOKUP(FiscalYr-IF(CompareVer="LY",1,0) &amp; $B33 + IF(FiscalYr=2018,1,0)&amp;AG$4,tblForecast,AG$2,FALSE),0)</f>
        <v>0</v>
      </c>
      <c r="AH33" s="69">
        <f t="shared" si="10"/>
        <v>0</v>
      </c>
      <c r="AI33" s="157">
        <f t="shared" ref="AI33:AJ37" si="78">IFERROR(VLOOKUP(FiscalYr &amp; $B33&amp;AI$4,tblForecast,AI$2,FALSE),0)</f>
        <v>0</v>
      </c>
      <c r="AJ33" s="71">
        <f t="shared" si="78"/>
        <v>0</v>
      </c>
      <c r="AK33" s="71">
        <f>IF($A33="a",IFERROR(VLOOKUP(FiscalYr &amp; $B33&amp;AK$4,tblForecast,AK$2,FALSE),0),AI33+AJ33)</f>
        <v>0</v>
      </c>
      <c r="AL33" s="71">
        <f>IFERROR(VLOOKUP(FiscalYr-IF(CompareVer="LY",1,0) &amp; $B33 + IF(FiscalYr=2018,1,0)&amp;AL$4,tblForecast,AL$2,FALSE),0)</f>
        <v>0</v>
      </c>
      <c r="AM33" s="69">
        <f t="shared" si="12"/>
        <v>0</v>
      </c>
      <c r="AN33" s="157">
        <f t="shared" ref="AN33:AO37" si="79">IFERROR(VLOOKUP(FiscalYr &amp; $B33&amp;AN$4,tblForecast,AN$2,FALSE),0)</f>
        <v>0</v>
      </c>
      <c r="AO33" s="71">
        <f t="shared" si="79"/>
        <v>0</v>
      </c>
      <c r="AP33" s="69">
        <f t="shared" si="14"/>
        <v>0</v>
      </c>
      <c r="AQ33" s="80">
        <f t="shared" ref="AQ33:AR37" si="80">IF(F33&lt;&gt;0,AF33/F33,0)</f>
        <v>0</v>
      </c>
      <c r="AR33" s="89">
        <f t="shared" si="80"/>
        <v>0</v>
      </c>
      <c r="AS33" s="69">
        <f t="shared" si="69"/>
        <v>0</v>
      </c>
      <c r="AT33" s="157">
        <f>IFERROR(VLOOKUP(FiscalYr &amp; $B33&amp;AT$4,tblForecast,AT$2,FALSE),0)</f>
        <v>0</v>
      </c>
      <c r="AU33" s="71">
        <f t="shared" si="16"/>
        <v>0</v>
      </c>
      <c r="AV33" s="69">
        <f t="shared" si="17"/>
        <v>0</v>
      </c>
      <c r="AW33" s="82"/>
      <c r="AX33" s="83"/>
      <c r="AY33" s="69">
        <f t="shared" si="18"/>
        <v>0</v>
      </c>
      <c r="AZ33" s="84"/>
      <c r="BA33" s="85"/>
      <c r="BB33" s="69">
        <f t="shared" si="19"/>
        <v>0</v>
      </c>
      <c r="BC33" s="157">
        <f>IFERROR(VLOOKUP(FiscalYr &amp; $B33&amp;BC$4,tblForecast,BC$2,FALSE),0)</f>
        <v>0</v>
      </c>
      <c r="BD33" s="71">
        <f t="shared" si="20"/>
        <v>0</v>
      </c>
      <c r="BE33" s="69">
        <f t="shared" si="21"/>
        <v>0</v>
      </c>
      <c r="BF33" s="90">
        <f>IFERROR(VLOOKUP(FiscalYr &amp; $B33&amp;BF$4,tblForecast,BF$2,FALSE),0)</f>
        <v>0</v>
      </c>
      <c r="BG33" s="85">
        <f t="shared" si="22"/>
        <v>0</v>
      </c>
      <c r="BH33" s="69">
        <f t="shared" si="23"/>
        <v>0</v>
      </c>
      <c r="BI33" s="85">
        <f t="shared" si="56"/>
        <v>0</v>
      </c>
      <c r="BJ33" s="86">
        <f t="shared" si="56"/>
        <v>0</v>
      </c>
      <c r="BK33" s="75">
        <f t="shared" si="25"/>
        <v>0</v>
      </c>
      <c r="BL33" s="283">
        <f>IFERROR(VLOOKUP(Brand&amp;Channel&amp;Country&amp;$B33,tblDiscount,6,FALSE),0)</f>
        <v>0.55000000000000004</v>
      </c>
      <c r="BM33" s="249">
        <f>(1-BL33)*BN33</f>
        <v>0</v>
      </c>
      <c r="BN33" s="249">
        <f>IFERROR(VLOOKUP(Brand&amp;Country &amp; Channel &amp;FC,tblFCSettings,8,FALSE),0)</f>
        <v>0</v>
      </c>
      <c r="BO33" s="284">
        <f>IFERROR(VLOOKUP(Brand&amp;Country &amp; Channel &amp;FC,tblFCSettings,9,FALSE),0)</f>
        <v>0</v>
      </c>
    </row>
    <row r="34" spans="1:67" x14ac:dyDescent="0.25">
      <c r="A34"/>
      <c r="B34" s="185">
        <v>19</v>
      </c>
      <c r="C34" s="87">
        <f t="shared" si="73"/>
        <v>0</v>
      </c>
      <c r="D34" s="68">
        <f t="shared" si="73"/>
        <v>0</v>
      </c>
      <c r="E34" s="69">
        <f t="shared" si="0"/>
        <v>0</v>
      </c>
      <c r="F34" s="157">
        <f>IF(NewPlan=TRUE,IF(AF33-(G34*J34)&lt;0,AF33,G34*J34),IFERROR(VLOOKUP(FiscalYr &amp; $B34&amp;F$4,tblForecast,F$2,FALSE),0))</f>
        <v>0</v>
      </c>
      <c r="G34" s="189">
        <f>IFERROR(VLOOKUP(FiscalYr-IF(CompareVer="LY",1,0) &amp; $B34 + IF(FiscalYr=2018,1,0)&amp;G$4,tblForecast,G$2,FALSE),0)</f>
        <v>0</v>
      </c>
      <c r="H34" s="69">
        <f t="shared" si="1"/>
        <v>0</v>
      </c>
      <c r="I34" s="177">
        <f t="shared" ref="I34:J37" si="81">IFERROR(IF(F33&lt;&gt;0,F34/F33,0),0)</f>
        <v>0</v>
      </c>
      <c r="J34" s="177">
        <f t="shared" si="81"/>
        <v>0</v>
      </c>
      <c r="K34" s="87">
        <f t="shared" si="74"/>
        <v>0</v>
      </c>
      <c r="L34" s="68">
        <f t="shared" si="75"/>
        <v>0</v>
      </c>
      <c r="M34" s="72">
        <f t="shared" si="2"/>
        <v>0</v>
      </c>
      <c r="N34" s="162">
        <f t="shared" si="76"/>
        <v>0</v>
      </c>
      <c r="O34" s="163">
        <f t="shared" si="76"/>
        <v>0</v>
      </c>
      <c r="P34" s="69">
        <f t="shared" si="65"/>
        <v>0</v>
      </c>
      <c r="Q34" s="158">
        <f>IF(NewPlan=TRUE,IF(BM34=0,R34,BM34),IFERROR(VLOOKUP(FiscalYr&amp;$B34&amp;Q$4,tblForecast,Q$2,FALSE),0))</f>
        <v>0</v>
      </c>
      <c r="R34" s="73">
        <f>IFERROR(VLOOKUP(FiscalYr-IF(CompareVer="LY",1,0) &amp; $B34 + IF(FiscalYr=2018,1,0)&amp;R$4,tblForecast,R$2,FALSE),0)</f>
        <v>0</v>
      </c>
      <c r="S34" s="69">
        <f t="shared" si="4"/>
        <v>0</v>
      </c>
      <c r="T34" s="158">
        <f>IF(NewPlan=TRUE,IF(BO34=0,U34,BO34),IFERROR(VLOOKUP(FiscalYr &amp; $B34&amp;T$4,tblForecast,T$2,FALSE),0))</f>
        <v>0</v>
      </c>
      <c r="U34" s="73">
        <f>IFERROR(VLOOKUP(FiscalYr-IF(CompareVer="LY",1,0) &amp; $B34 + IF(FiscalYr=2018,1,0)&amp;U$4,tblForecast,U$2,FALSE),0)</f>
        <v>0</v>
      </c>
      <c r="V34" s="69">
        <f t="shared" si="5"/>
        <v>0</v>
      </c>
      <c r="W34" s="158">
        <f>IF(NewPlan=TRUE,IF(BN34=0,X34,BN34),IFERROR(VLOOKUP(FiscalYr &amp; $B34&amp;W$4,tblForecast,W$2,FALSE),0))</f>
        <v>0</v>
      </c>
      <c r="X34" s="73">
        <f>IFERROR(VLOOKUP(FiscalYr-IF(CompareVer="LY",1,0) &amp; $B34 + IF(FiscalYr=2018,1,0)&amp;X$4,tblForecast,X$2,FALSE),0)</f>
        <v>0</v>
      </c>
      <c r="Y34" s="69">
        <f t="shared" si="6"/>
        <v>0</v>
      </c>
      <c r="Z34" s="74">
        <f t="shared" si="66"/>
        <v>0</v>
      </c>
      <c r="AA34" s="75">
        <f t="shared" si="60"/>
        <v>0</v>
      </c>
      <c r="AB34" s="69">
        <f t="shared" si="67"/>
        <v>0</v>
      </c>
      <c r="AC34" s="88">
        <f t="shared" si="9"/>
        <v>0</v>
      </c>
      <c r="AD34" s="77">
        <f t="shared" si="9"/>
        <v>0</v>
      </c>
      <c r="AE34" s="78">
        <f t="shared" si="31"/>
        <v>0</v>
      </c>
      <c r="AF34" s="238">
        <f t="shared" si="77"/>
        <v>0</v>
      </c>
      <c r="AG34" s="71">
        <f>IFERROR(VLOOKUP(FiscalYr-IF(CompareVer="LY",1,0) &amp; $B34 + IF(FiscalYr=2018,1,0)&amp;AG$4,tblForecast,AG$2,FALSE),0)</f>
        <v>0</v>
      </c>
      <c r="AH34" s="69">
        <f t="shared" si="10"/>
        <v>0</v>
      </c>
      <c r="AI34" s="157">
        <f t="shared" si="78"/>
        <v>0</v>
      </c>
      <c r="AJ34" s="71">
        <f t="shared" si="78"/>
        <v>0</v>
      </c>
      <c r="AK34" s="71">
        <f>IF($A34="a",IFERROR(VLOOKUP(FiscalYr &amp; $B34&amp;AK$4,tblForecast,AK$2,FALSE),0),AI34+AJ34)</f>
        <v>0</v>
      </c>
      <c r="AL34" s="71">
        <f>IFERROR(VLOOKUP(FiscalYr-IF(CompareVer="LY",1,0) &amp; $B34 + IF(FiscalYr=2018,1,0)&amp;AL$4,tblForecast,AL$2,FALSE),0)</f>
        <v>0</v>
      </c>
      <c r="AM34" s="69">
        <f t="shared" si="12"/>
        <v>0</v>
      </c>
      <c r="AN34" s="157">
        <f t="shared" si="79"/>
        <v>0</v>
      </c>
      <c r="AO34" s="71">
        <f t="shared" si="79"/>
        <v>0</v>
      </c>
      <c r="AP34" s="69">
        <f t="shared" si="14"/>
        <v>0</v>
      </c>
      <c r="AQ34" s="80">
        <f t="shared" si="80"/>
        <v>0</v>
      </c>
      <c r="AR34" s="89">
        <f t="shared" si="80"/>
        <v>0</v>
      </c>
      <c r="AS34" s="69">
        <f t="shared" si="69"/>
        <v>0</v>
      </c>
      <c r="AT34" s="157">
        <f>IFERROR(VLOOKUP(FiscalYr &amp; $B34&amp;AT$4,tblForecast,AT$2,FALSE),0)</f>
        <v>0</v>
      </c>
      <c r="AU34" s="71">
        <f t="shared" si="16"/>
        <v>0</v>
      </c>
      <c r="AV34" s="69">
        <f t="shared" si="17"/>
        <v>0</v>
      </c>
      <c r="AW34" s="82"/>
      <c r="AX34" s="83"/>
      <c r="AY34" s="69">
        <f t="shared" si="18"/>
        <v>0</v>
      </c>
      <c r="AZ34" s="84"/>
      <c r="BA34" s="85"/>
      <c r="BB34" s="69">
        <f t="shared" si="19"/>
        <v>0</v>
      </c>
      <c r="BC34" s="157">
        <f>IFERROR(VLOOKUP(FiscalYr &amp; $B34&amp;BC$4,tblForecast,BC$2,FALSE),0)</f>
        <v>0</v>
      </c>
      <c r="BD34" s="71">
        <f t="shared" si="20"/>
        <v>0</v>
      </c>
      <c r="BE34" s="69">
        <f t="shared" si="21"/>
        <v>0</v>
      </c>
      <c r="BF34" s="90">
        <f>IFERROR(VLOOKUP(FiscalYr &amp; $B34&amp;BF$4,tblForecast,BF$2,FALSE),0)</f>
        <v>0</v>
      </c>
      <c r="BG34" s="85">
        <f t="shared" si="22"/>
        <v>0</v>
      </c>
      <c r="BH34" s="69">
        <f t="shared" si="23"/>
        <v>0</v>
      </c>
      <c r="BI34" s="85">
        <f t="shared" si="56"/>
        <v>0</v>
      </c>
      <c r="BJ34" s="86">
        <f t="shared" si="56"/>
        <v>0</v>
      </c>
      <c r="BK34" s="75">
        <f t="shared" si="25"/>
        <v>0</v>
      </c>
      <c r="BL34" s="283">
        <f>IFERROR(VLOOKUP(Brand&amp;Channel&amp;Country&amp;$B34,tblDiscount,6,FALSE),0)</f>
        <v>0.55000000000000004</v>
      </c>
      <c r="BM34" s="249">
        <f t="shared" ref="BM34:BM36" si="82">(1-BL34)*BN34</f>
        <v>0</v>
      </c>
      <c r="BN34" s="249">
        <f>IFERROR(VLOOKUP(Brand&amp;Country &amp; Channel &amp;FC,tblFCSettings,8,FALSE),0)</f>
        <v>0</v>
      </c>
      <c r="BO34" s="284">
        <f>IFERROR(VLOOKUP(Brand&amp;Country &amp; Channel &amp;FC,tblFCSettings,9,FALSE),0)</f>
        <v>0</v>
      </c>
    </row>
    <row r="35" spans="1:67" x14ac:dyDescent="0.25">
      <c r="A35"/>
      <c r="B35" s="185">
        <v>20</v>
      </c>
      <c r="C35" s="87">
        <f t="shared" si="73"/>
        <v>0</v>
      </c>
      <c r="D35" s="68">
        <f t="shared" si="73"/>
        <v>0</v>
      </c>
      <c r="E35" s="69">
        <f t="shared" si="0"/>
        <v>0</v>
      </c>
      <c r="F35" s="157">
        <f>IF(NewPlan=TRUE,IF(AF34-(G35*J35)&lt;0,AF34,G35*J35),IFERROR(VLOOKUP(FiscalYr &amp; $B35&amp;F$4,tblForecast,F$2,FALSE),0))</f>
        <v>0</v>
      </c>
      <c r="G35" s="189">
        <f>IFERROR(VLOOKUP(FiscalYr-IF(CompareVer="LY",1,0) &amp; $B35 + IF(FiscalYr=2018,1,0)&amp;G$4,tblForecast,G$2,FALSE),0)</f>
        <v>0</v>
      </c>
      <c r="H35" s="69">
        <f t="shared" si="1"/>
        <v>0</v>
      </c>
      <c r="I35" s="177">
        <f t="shared" si="81"/>
        <v>0</v>
      </c>
      <c r="J35" s="177">
        <f t="shared" si="81"/>
        <v>0</v>
      </c>
      <c r="K35" s="87">
        <f t="shared" si="74"/>
        <v>0</v>
      </c>
      <c r="L35" s="68">
        <f t="shared" si="75"/>
        <v>0</v>
      </c>
      <c r="M35" s="72">
        <f t="shared" si="2"/>
        <v>0</v>
      </c>
      <c r="N35" s="162">
        <f t="shared" si="76"/>
        <v>0</v>
      </c>
      <c r="O35" s="163">
        <f t="shared" si="76"/>
        <v>0</v>
      </c>
      <c r="P35" s="69">
        <f t="shared" si="65"/>
        <v>0</v>
      </c>
      <c r="Q35" s="158">
        <f>IF(NewPlan=TRUE,IF(BM35=0,R35,BM35),IFERROR(VLOOKUP(FiscalYr&amp;$B35&amp;Q$4,tblForecast,Q$2,FALSE),0))</f>
        <v>0</v>
      </c>
      <c r="R35" s="73">
        <f>IFERROR(VLOOKUP(FiscalYr-IF(CompareVer="LY",1,0) &amp; $B35 + IF(FiscalYr=2018,1,0)&amp;R$4,tblForecast,R$2,FALSE),0)</f>
        <v>0</v>
      </c>
      <c r="S35" s="69">
        <f t="shared" si="4"/>
        <v>0</v>
      </c>
      <c r="T35" s="158">
        <f>IF(NewPlan=TRUE,IF(BO35=0,U35,BO35),IFERROR(VLOOKUP(FiscalYr &amp; $B35&amp;T$4,tblForecast,T$2,FALSE),0))</f>
        <v>0</v>
      </c>
      <c r="U35" s="73">
        <f>IFERROR(VLOOKUP(FiscalYr-IF(CompareVer="LY",1,0) &amp; $B35 + IF(FiscalYr=2018,1,0)&amp;U$4,tblForecast,U$2,FALSE),0)</f>
        <v>0</v>
      </c>
      <c r="V35" s="69">
        <f t="shared" si="5"/>
        <v>0</v>
      </c>
      <c r="W35" s="158">
        <f>IF(NewPlan=TRUE,IF(BN35=0,X35,BN35),IFERROR(VLOOKUP(FiscalYr &amp; $B35&amp;W$4,tblForecast,W$2,FALSE),0))</f>
        <v>0</v>
      </c>
      <c r="X35" s="73">
        <f>IFERROR(VLOOKUP(FiscalYr-IF(CompareVer="LY",1,0) &amp; $B35 + IF(FiscalYr=2018,1,0)&amp;X$4,tblForecast,X$2,FALSE),0)</f>
        <v>0</v>
      </c>
      <c r="Y35" s="69">
        <f t="shared" si="6"/>
        <v>0</v>
      </c>
      <c r="Z35" s="74">
        <f t="shared" si="66"/>
        <v>0</v>
      </c>
      <c r="AA35" s="75">
        <f t="shared" si="60"/>
        <v>0</v>
      </c>
      <c r="AB35" s="69">
        <f t="shared" si="67"/>
        <v>0</v>
      </c>
      <c r="AC35" s="88">
        <f t="shared" si="9"/>
        <v>0</v>
      </c>
      <c r="AD35" s="77">
        <f t="shared" si="9"/>
        <v>0</v>
      </c>
      <c r="AE35" s="78">
        <f t="shared" si="31"/>
        <v>0</v>
      </c>
      <c r="AF35" s="238">
        <f t="shared" si="77"/>
        <v>0</v>
      </c>
      <c r="AG35" s="71">
        <f>IFERROR(VLOOKUP(FiscalYr-IF(CompareVer="LY",1,0) &amp; $B35 + IF(FiscalYr=2018,1,0)&amp;AG$4,tblForecast,AG$2,FALSE),0)</f>
        <v>0</v>
      </c>
      <c r="AH35" s="69">
        <f t="shared" si="10"/>
        <v>0</v>
      </c>
      <c r="AI35" s="157">
        <f t="shared" si="78"/>
        <v>0</v>
      </c>
      <c r="AJ35" s="71">
        <f t="shared" si="78"/>
        <v>0</v>
      </c>
      <c r="AK35" s="71">
        <f>IF($A35="a",IFERROR(VLOOKUP(FiscalYr &amp; $B35&amp;AK$4,tblForecast,AK$2,FALSE),0),AI35+AJ35)</f>
        <v>0</v>
      </c>
      <c r="AL35" s="71">
        <f>IFERROR(VLOOKUP(FiscalYr-IF(CompareVer="LY",1,0) &amp; $B35 + IF(FiscalYr=2018,1,0)&amp;AL$4,tblForecast,AL$2,FALSE),0)</f>
        <v>0</v>
      </c>
      <c r="AM35" s="69">
        <f t="shared" si="12"/>
        <v>0</v>
      </c>
      <c r="AN35" s="157">
        <f t="shared" si="79"/>
        <v>0</v>
      </c>
      <c r="AO35" s="71">
        <f t="shared" si="79"/>
        <v>0</v>
      </c>
      <c r="AP35" s="69">
        <f t="shared" si="14"/>
        <v>0</v>
      </c>
      <c r="AQ35" s="80">
        <f t="shared" si="80"/>
        <v>0</v>
      </c>
      <c r="AR35" s="89">
        <f t="shared" si="80"/>
        <v>0</v>
      </c>
      <c r="AS35" s="69">
        <f t="shared" si="69"/>
        <v>0</v>
      </c>
      <c r="AT35" s="157">
        <f>IFERROR(VLOOKUP(FiscalYr &amp; $B35&amp;AT$4,tblForecast,AT$2,FALSE),0)</f>
        <v>0</v>
      </c>
      <c r="AU35" s="71">
        <f t="shared" si="16"/>
        <v>0</v>
      </c>
      <c r="AV35" s="69">
        <f t="shared" si="17"/>
        <v>0</v>
      </c>
      <c r="AW35" s="82"/>
      <c r="AX35" s="83"/>
      <c r="AY35" s="69">
        <f t="shared" si="18"/>
        <v>0</v>
      </c>
      <c r="AZ35" s="84"/>
      <c r="BA35" s="85"/>
      <c r="BB35" s="69">
        <f t="shared" si="19"/>
        <v>0</v>
      </c>
      <c r="BC35" s="157">
        <f>IFERROR(VLOOKUP(FiscalYr &amp; $B35&amp;BC$4,tblForecast,BC$2,FALSE),0)</f>
        <v>0</v>
      </c>
      <c r="BD35" s="71">
        <f t="shared" si="20"/>
        <v>0</v>
      </c>
      <c r="BE35" s="69">
        <f t="shared" si="21"/>
        <v>0</v>
      </c>
      <c r="BF35" s="90">
        <f>IFERROR(VLOOKUP(FiscalYr &amp; $B35&amp;BF$4,tblForecast,BF$2,FALSE),0)</f>
        <v>0</v>
      </c>
      <c r="BG35" s="85">
        <f t="shared" si="22"/>
        <v>0</v>
      </c>
      <c r="BH35" s="69">
        <f t="shared" si="23"/>
        <v>0</v>
      </c>
      <c r="BI35" s="85">
        <f t="shared" si="56"/>
        <v>0</v>
      </c>
      <c r="BJ35" s="86">
        <f t="shared" si="56"/>
        <v>0</v>
      </c>
      <c r="BK35" s="75">
        <f t="shared" si="25"/>
        <v>0</v>
      </c>
      <c r="BL35" s="283">
        <f>IFERROR(VLOOKUP(Brand&amp;Channel&amp;Country&amp;$B35,tblDiscount,6,FALSE),0)</f>
        <v>0.6</v>
      </c>
      <c r="BM35" s="249">
        <f t="shared" si="82"/>
        <v>0</v>
      </c>
      <c r="BN35" s="249">
        <f>IFERROR(VLOOKUP(Brand&amp;Country &amp; Channel &amp;FC,tblFCSettings,8,FALSE),0)</f>
        <v>0</v>
      </c>
      <c r="BO35" s="284">
        <f>IFERROR(VLOOKUP(Brand&amp;Country &amp; Channel &amp;FC,tblFCSettings,9,FALSE),0)</f>
        <v>0</v>
      </c>
    </row>
    <row r="36" spans="1:67" x14ac:dyDescent="0.25">
      <c r="A36"/>
      <c r="B36" s="185">
        <v>21</v>
      </c>
      <c r="C36" s="87">
        <f t="shared" si="73"/>
        <v>0</v>
      </c>
      <c r="D36" s="68">
        <f t="shared" si="73"/>
        <v>0</v>
      </c>
      <c r="E36" s="69">
        <f t="shared" si="0"/>
        <v>0</v>
      </c>
      <c r="F36" s="157">
        <f>IF(NewPlan=TRUE,IF(AF35-(G36*J36)&lt;0,AF35,G36*J36),IFERROR(VLOOKUP(FiscalYr &amp; $B36&amp;F$4,tblForecast,F$2,FALSE),0))</f>
        <v>0</v>
      </c>
      <c r="G36" s="189">
        <f>IFERROR(VLOOKUP(FiscalYr-IF(CompareVer="LY",1,0) &amp; $B36 + IF(FiscalYr=2018,1,0)&amp;G$4,tblForecast,G$2,FALSE),0)</f>
        <v>0</v>
      </c>
      <c r="H36" s="69">
        <f t="shared" si="1"/>
        <v>0</v>
      </c>
      <c r="I36" s="177">
        <f t="shared" si="81"/>
        <v>0</v>
      </c>
      <c r="J36" s="177">
        <f t="shared" si="81"/>
        <v>0</v>
      </c>
      <c r="K36" s="87">
        <f t="shared" si="74"/>
        <v>0</v>
      </c>
      <c r="L36" s="68">
        <f t="shared" si="75"/>
        <v>0</v>
      </c>
      <c r="M36" s="72">
        <f t="shared" si="2"/>
        <v>0</v>
      </c>
      <c r="N36" s="162">
        <f t="shared" si="76"/>
        <v>0</v>
      </c>
      <c r="O36" s="163">
        <f t="shared" si="76"/>
        <v>0</v>
      </c>
      <c r="P36" s="69">
        <f t="shared" si="65"/>
        <v>0</v>
      </c>
      <c r="Q36" s="158">
        <f>IF(NewPlan=TRUE,IF(BM36=0,R36,BM36),IFERROR(VLOOKUP(FiscalYr&amp;$B36&amp;Q$4,tblForecast,Q$2,FALSE),0))</f>
        <v>0</v>
      </c>
      <c r="R36" s="73">
        <f>IFERROR(VLOOKUP(FiscalYr-IF(CompareVer="LY",1,0) &amp; $B36 + IF(FiscalYr=2018,1,0)&amp;R$4,tblForecast,R$2,FALSE),0)</f>
        <v>0</v>
      </c>
      <c r="S36" s="69">
        <f t="shared" si="4"/>
        <v>0</v>
      </c>
      <c r="T36" s="158">
        <f>IF(NewPlan=TRUE,IF(BO36=0,U36,BO36),IFERROR(VLOOKUP(FiscalYr &amp; $B36&amp;T$4,tblForecast,T$2,FALSE),0))</f>
        <v>0</v>
      </c>
      <c r="U36" s="73">
        <f>IFERROR(VLOOKUP(FiscalYr-IF(CompareVer="LY",1,0) &amp; $B36 + IF(FiscalYr=2018,1,0)&amp;U$4,tblForecast,U$2,FALSE),0)</f>
        <v>0</v>
      </c>
      <c r="V36" s="69">
        <f t="shared" si="5"/>
        <v>0</v>
      </c>
      <c r="W36" s="158">
        <f>IF(NewPlan=TRUE,IF(BN36=0,X36,BN36),IFERROR(VLOOKUP(FiscalYr &amp; $B36&amp;W$4,tblForecast,W$2,FALSE),0))</f>
        <v>0</v>
      </c>
      <c r="X36" s="73">
        <f>IFERROR(VLOOKUP(FiscalYr-IF(CompareVer="LY",1,0) &amp; $B36 + IF(FiscalYr=2018,1,0)&amp;X$4,tblForecast,X$2,FALSE),0)</f>
        <v>0</v>
      </c>
      <c r="Y36" s="69">
        <f t="shared" si="6"/>
        <v>0</v>
      </c>
      <c r="Z36" s="74">
        <f t="shared" si="66"/>
        <v>0</v>
      </c>
      <c r="AA36" s="75">
        <f t="shared" si="60"/>
        <v>0</v>
      </c>
      <c r="AB36" s="69">
        <f t="shared" si="67"/>
        <v>0</v>
      </c>
      <c r="AC36" s="88">
        <f t="shared" si="9"/>
        <v>0</v>
      </c>
      <c r="AD36" s="77">
        <f t="shared" si="9"/>
        <v>0</v>
      </c>
      <c r="AE36" s="78">
        <f t="shared" si="31"/>
        <v>0</v>
      </c>
      <c r="AF36" s="238">
        <f t="shared" si="77"/>
        <v>0</v>
      </c>
      <c r="AG36" s="71">
        <f>IFERROR(VLOOKUP(FiscalYr-IF(CompareVer="LY",1,0) &amp; $B36 + IF(FiscalYr=2018,1,0)&amp;AG$4,tblForecast,AG$2,FALSE),0)</f>
        <v>0</v>
      </c>
      <c r="AH36" s="69">
        <f t="shared" si="10"/>
        <v>0</v>
      </c>
      <c r="AI36" s="157">
        <f t="shared" si="78"/>
        <v>0</v>
      </c>
      <c r="AJ36" s="71">
        <f t="shared" si="78"/>
        <v>0</v>
      </c>
      <c r="AK36" s="71">
        <f>IF($A36="a",IFERROR(VLOOKUP(FiscalYr &amp; $B36&amp;AK$4,tblForecast,AK$2,FALSE),0),AI36+AJ36)</f>
        <v>0</v>
      </c>
      <c r="AL36" s="71">
        <f>IFERROR(VLOOKUP(FiscalYr-IF(CompareVer="LY",1,0) &amp; $B36 + IF(FiscalYr=2018,1,0)&amp;AL$4,tblForecast,AL$2,FALSE),0)</f>
        <v>0</v>
      </c>
      <c r="AM36" s="69">
        <f t="shared" si="12"/>
        <v>0</v>
      </c>
      <c r="AN36" s="157">
        <f t="shared" si="79"/>
        <v>0</v>
      </c>
      <c r="AO36" s="71">
        <f t="shared" si="79"/>
        <v>0</v>
      </c>
      <c r="AP36" s="69">
        <f t="shared" si="14"/>
        <v>0</v>
      </c>
      <c r="AQ36" s="80">
        <f t="shared" si="80"/>
        <v>0</v>
      </c>
      <c r="AR36" s="89">
        <f t="shared" si="80"/>
        <v>0</v>
      </c>
      <c r="AS36" s="69">
        <f t="shared" si="69"/>
        <v>0</v>
      </c>
      <c r="AT36" s="157">
        <f>IFERROR(VLOOKUP(FiscalYr &amp; $B36&amp;AT$4,tblForecast,AT$2,FALSE),0)</f>
        <v>0</v>
      </c>
      <c r="AU36" s="71">
        <f t="shared" si="16"/>
        <v>0</v>
      </c>
      <c r="AV36" s="69">
        <f t="shared" si="17"/>
        <v>0</v>
      </c>
      <c r="AW36" s="82"/>
      <c r="AX36" s="83"/>
      <c r="AY36" s="69">
        <f t="shared" si="18"/>
        <v>0</v>
      </c>
      <c r="AZ36" s="84"/>
      <c r="BA36" s="85"/>
      <c r="BB36" s="69">
        <f t="shared" si="19"/>
        <v>0</v>
      </c>
      <c r="BC36" s="157">
        <f>IFERROR(VLOOKUP(FiscalYr &amp; $B36&amp;BC$4,tblForecast,BC$2,FALSE),0)</f>
        <v>0</v>
      </c>
      <c r="BD36" s="71">
        <f t="shared" si="20"/>
        <v>0</v>
      </c>
      <c r="BE36" s="69">
        <f t="shared" si="21"/>
        <v>0</v>
      </c>
      <c r="BF36" s="90">
        <f>IFERROR(VLOOKUP(FiscalYr &amp; $B36&amp;BF$4,tblForecast,BF$2,FALSE),0)</f>
        <v>0</v>
      </c>
      <c r="BG36" s="85">
        <f t="shared" si="22"/>
        <v>0</v>
      </c>
      <c r="BH36" s="69">
        <f t="shared" si="23"/>
        <v>0</v>
      </c>
      <c r="BI36" s="85">
        <f t="shared" si="56"/>
        <v>0</v>
      </c>
      <c r="BJ36" s="86">
        <f t="shared" si="56"/>
        <v>0</v>
      </c>
      <c r="BK36" s="75">
        <f t="shared" si="25"/>
        <v>0</v>
      </c>
      <c r="BL36" s="283">
        <f>IFERROR(VLOOKUP(Brand&amp;Channel&amp;Country&amp;$B36,tblDiscount,6,FALSE),0)</f>
        <v>0.6</v>
      </c>
      <c r="BM36" s="249">
        <f t="shared" si="82"/>
        <v>0</v>
      </c>
      <c r="BN36" s="249">
        <f>IFERROR(VLOOKUP(Brand&amp;Country &amp; Channel &amp;FC,tblFCSettings,8,FALSE),0)</f>
        <v>0</v>
      </c>
      <c r="BO36" s="284">
        <f>IFERROR(VLOOKUP(Brand&amp;Country &amp; Channel &amp;FC,tblFCSettings,9,FALSE),0)</f>
        <v>0</v>
      </c>
    </row>
    <row r="37" spans="1:67" ht="16.5" thickBot="1" x14ac:dyDescent="0.3">
      <c r="A37"/>
      <c r="B37" s="185">
        <v>22</v>
      </c>
      <c r="C37" s="87">
        <f t="shared" si="73"/>
        <v>0</v>
      </c>
      <c r="D37" s="68">
        <f t="shared" si="73"/>
        <v>0</v>
      </c>
      <c r="E37" s="69">
        <f t="shared" si="0"/>
        <v>0</v>
      </c>
      <c r="F37" s="157">
        <f>IF(NewPlan=TRUE,IF(AF36-(G37*J37)&lt;0,AF36,G37*J37),IFERROR(VLOOKUP(FiscalYr &amp; $B37&amp;F$4,tblForecast,F$2,FALSE),0))</f>
        <v>0</v>
      </c>
      <c r="G37" s="189">
        <f>IFERROR(VLOOKUP(FiscalYr-IF(CompareVer="LY",1,0) &amp; $B37 + IF(FiscalYr=2018,1,0)&amp;G$4,tblForecast,G$2,FALSE),0)</f>
        <v>0</v>
      </c>
      <c r="H37" s="69">
        <f t="shared" si="1"/>
        <v>0</v>
      </c>
      <c r="I37" s="177">
        <f t="shared" si="81"/>
        <v>0</v>
      </c>
      <c r="J37" s="177">
        <f t="shared" si="81"/>
        <v>0</v>
      </c>
      <c r="K37" s="87">
        <f t="shared" si="74"/>
        <v>0</v>
      </c>
      <c r="L37" s="68">
        <f t="shared" si="75"/>
        <v>0</v>
      </c>
      <c r="M37" s="72">
        <f t="shared" si="2"/>
        <v>0</v>
      </c>
      <c r="N37" s="162">
        <f t="shared" si="76"/>
        <v>0</v>
      </c>
      <c r="O37" s="163">
        <f t="shared" si="76"/>
        <v>0</v>
      </c>
      <c r="P37" s="69">
        <f t="shared" si="65"/>
        <v>0</v>
      </c>
      <c r="Q37" s="158">
        <f>IF(NewPlan=TRUE,IF(BM37=0,R37,BM37),IFERROR(VLOOKUP(FiscalYr&amp;$B37&amp;Q$4,tblForecast,Q$2,FALSE),0))</f>
        <v>0</v>
      </c>
      <c r="R37" s="73">
        <f>IFERROR(VLOOKUP(FiscalYr-IF(CompareVer="LY",1,0) &amp; $B37 + IF(FiscalYr=2018,1,0)&amp;R$4,tblForecast,R$2,FALSE),0)</f>
        <v>0</v>
      </c>
      <c r="S37" s="69">
        <f t="shared" si="4"/>
        <v>0</v>
      </c>
      <c r="T37" s="158">
        <f>IF(NewPlan=TRUE,IF(BO37=0,U37,BO37),IFERROR(VLOOKUP(FiscalYr &amp; $B37&amp;T$4,tblForecast,T$2,FALSE),0))</f>
        <v>0</v>
      </c>
      <c r="U37" s="73">
        <f>IFERROR(VLOOKUP(FiscalYr-IF(CompareVer="LY",1,0) &amp; $B37 + IF(FiscalYr=2018,1,0)&amp;U$4,tblForecast,U$2,FALSE),0)</f>
        <v>0</v>
      </c>
      <c r="V37" s="69">
        <f t="shared" si="5"/>
        <v>0</v>
      </c>
      <c r="W37" s="158">
        <f>IF(NewPlan=TRUE,IF(BN37=0,X37,BN37),IFERROR(VLOOKUP(FiscalYr &amp; $B37&amp;W$4,tblForecast,W$2,FALSE),0))</f>
        <v>0</v>
      </c>
      <c r="X37" s="73">
        <f>IFERROR(VLOOKUP(FiscalYr-IF(CompareVer="LY",1,0) &amp; $B37 + IF(FiscalYr=2018,1,0)&amp;X$4,tblForecast,X$2,FALSE),0)</f>
        <v>0</v>
      </c>
      <c r="Y37" s="69">
        <f t="shared" si="6"/>
        <v>0</v>
      </c>
      <c r="Z37" s="74">
        <f t="shared" si="66"/>
        <v>0</v>
      </c>
      <c r="AA37" s="75">
        <f t="shared" si="60"/>
        <v>0</v>
      </c>
      <c r="AB37" s="69">
        <f t="shared" si="67"/>
        <v>0</v>
      </c>
      <c r="AC37" s="88">
        <f t="shared" si="9"/>
        <v>0</v>
      </c>
      <c r="AD37" s="77">
        <f t="shared" si="9"/>
        <v>0</v>
      </c>
      <c r="AE37" s="78">
        <f t="shared" si="31"/>
        <v>0</v>
      </c>
      <c r="AF37" s="238">
        <f t="shared" si="77"/>
        <v>0</v>
      </c>
      <c r="AG37" s="71">
        <f>IFERROR(VLOOKUP(FiscalYr-IF(CompareVer="LY",1,0) &amp; $B37 + IF(FiscalYr=2018,1,0)&amp;AG$4,tblForecast,AG$2,FALSE),0)</f>
        <v>0</v>
      </c>
      <c r="AH37" s="69">
        <f t="shared" si="10"/>
        <v>0</v>
      </c>
      <c r="AI37" s="157">
        <f t="shared" si="78"/>
        <v>0</v>
      </c>
      <c r="AJ37" s="71">
        <f t="shared" si="78"/>
        <v>0</v>
      </c>
      <c r="AK37" s="71">
        <f>IF($A37="a",IFERROR(VLOOKUP(FiscalYr &amp; $B37&amp;AK$4,tblForecast,AK$2,FALSE),0),AI37+AJ37)</f>
        <v>0</v>
      </c>
      <c r="AL37" s="71">
        <f>IFERROR(VLOOKUP(FiscalYr-IF(CompareVer="LY",1,0) &amp; $B37 + IF(FiscalYr=2018,1,0)&amp;AL$4,tblForecast,AL$2,FALSE),0)</f>
        <v>0</v>
      </c>
      <c r="AM37" s="69">
        <f t="shared" si="12"/>
        <v>0</v>
      </c>
      <c r="AN37" s="157">
        <f t="shared" si="79"/>
        <v>0</v>
      </c>
      <c r="AO37" s="71">
        <f t="shared" si="79"/>
        <v>0</v>
      </c>
      <c r="AP37" s="69">
        <f t="shared" si="14"/>
        <v>0</v>
      </c>
      <c r="AQ37" s="80">
        <f t="shared" si="80"/>
        <v>0</v>
      </c>
      <c r="AR37" s="89">
        <f t="shared" si="80"/>
        <v>0</v>
      </c>
      <c r="AS37" s="69">
        <f t="shared" si="69"/>
        <v>0</v>
      </c>
      <c r="AT37" s="157">
        <f>IFERROR(VLOOKUP(FiscalYr &amp; $B37&amp;AT$4,tblForecast,AT$2,FALSE),0)</f>
        <v>0</v>
      </c>
      <c r="AU37" s="71">
        <f t="shared" si="16"/>
        <v>0</v>
      </c>
      <c r="AV37" s="69">
        <f t="shared" si="17"/>
        <v>0</v>
      </c>
      <c r="AW37" s="82"/>
      <c r="AX37" s="83"/>
      <c r="AY37" s="69">
        <f t="shared" si="18"/>
        <v>0</v>
      </c>
      <c r="AZ37" s="84"/>
      <c r="BA37" s="85"/>
      <c r="BB37" s="69">
        <f t="shared" si="19"/>
        <v>0</v>
      </c>
      <c r="BC37" s="157">
        <f>IFERROR(VLOOKUP(FiscalYr &amp; $B37&amp;BC$4,tblForecast,BC$2,FALSE),0)</f>
        <v>0</v>
      </c>
      <c r="BD37" s="71">
        <f t="shared" si="20"/>
        <v>0</v>
      </c>
      <c r="BE37" s="69">
        <f t="shared" si="21"/>
        <v>0</v>
      </c>
      <c r="BF37" s="90">
        <f>IFERROR(VLOOKUP(FiscalYr &amp; $B37&amp;BF$4,tblForecast,BF$2,FALSE),0)</f>
        <v>0</v>
      </c>
      <c r="BG37" s="85">
        <f t="shared" si="22"/>
        <v>0</v>
      </c>
      <c r="BH37" s="69">
        <f t="shared" si="23"/>
        <v>0</v>
      </c>
      <c r="BI37" s="85">
        <f t="shared" si="56"/>
        <v>0</v>
      </c>
      <c r="BJ37" s="86">
        <f t="shared" si="56"/>
        <v>0</v>
      </c>
      <c r="BK37" s="75">
        <f t="shared" si="25"/>
        <v>0</v>
      </c>
      <c r="BL37" s="283">
        <f>IFERROR(VLOOKUP(Brand&amp;Channel&amp;Country&amp;$B37,tblDiscount,6,FALSE),0)</f>
        <v>0.6</v>
      </c>
      <c r="BM37" s="249">
        <f>(1-BL37)*BN37</f>
        <v>0</v>
      </c>
      <c r="BN37" s="249">
        <f>IFERROR(VLOOKUP(Brand&amp;Country &amp; Channel &amp;FC,tblFCSettings,8,FALSE),0)</f>
        <v>0</v>
      </c>
      <c r="BO37" s="284">
        <f>IFERROR(VLOOKUP(Brand&amp;Country &amp; Channel &amp;FC,tblFCSettings,9,FALSE),0)</f>
        <v>0</v>
      </c>
    </row>
    <row r="38" spans="1:67" ht="16.5" thickBot="1" x14ac:dyDescent="0.3">
      <c r="A38"/>
      <c r="B38" s="6" t="s">
        <v>31</v>
      </c>
      <c r="C38" s="92">
        <f>SUM(C33:C37)</f>
        <v>0</v>
      </c>
      <c r="D38" s="93">
        <f>SUM(D33:D37)</f>
        <v>0</v>
      </c>
      <c r="E38" s="94">
        <f t="shared" si="0"/>
        <v>0</v>
      </c>
      <c r="F38" s="95">
        <f>SUM(F33:F37)</f>
        <v>0</v>
      </c>
      <c r="G38" s="96">
        <f>SUM(G33:G37)</f>
        <v>0</v>
      </c>
      <c r="H38" s="94">
        <f t="shared" si="1"/>
        <v>0</v>
      </c>
      <c r="I38" s="178">
        <f>IF(F32&lt;&gt;0,F38/F32-1,0)</f>
        <v>0</v>
      </c>
      <c r="J38" s="178">
        <f>IF(G32&lt;&gt;0,G38/G32-1,0)</f>
        <v>0</v>
      </c>
      <c r="K38" s="92">
        <f>SUM(K33:K37)</f>
        <v>0</v>
      </c>
      <c r="L38" s="93">
        <f>SUM(L33:L37)</f>
        <v>0</v>
      </c>
      <c r="M38" s="97">
        <f t="shared" si="2"/>
        <v>0</v>
      </c>
      <c r="N38" s="164">
        <f>IFERROR(K38/C38,0)</f>
        <v>0</v>
      </c>
      <c r="O38" s="165">
        <f>IFERROR(L38/D38,0)</f>
        <v>0</v>
      </c>
      <c r="P38" s="94">
        <f t="shared" si="65"/>
        <v>0</v>
      </c>
      <c r="Q38" s="98">
        <f>IFERROR(C38/F38,0)</f>
        <v>0</v>
      </c>
      <c r="R38" s="99">
        <f>IFERROR(D38/G38,0)</f>
        <v>0</v>
      </c>
      <c r="S38" s="94">
        <f t="shared" si="4"/>
        <v>0</v>
      </c>
      <c r="T38" s="98">
        <f>IFERROR((C38*(1-N38))/F38,0)</f>
        <v>0</v>
      </c>
      <c r="U38" s="99">
        <f>IFERROR((D38*(1-O38))/G38,0)</f>
        <v>0</v>
      </c>
      <c r="V38" s="94">
        <f t="shared" si="5"/>
        <v>0</v>
      </c>
      <c r="W38" s="98">
        <f>IFERROR(SUMPRODUCT(W33:W37,F33:F37)/F38,0)</f>
        <v>0</v>
      </c>
      <c r="X38" s="99">
        <f>IFERROR(SUMPRODUCT(X33:X37,G33:G37)/G38,0)</f>
        <v>0</v>
      </c>
      <c r="Y38" s="94">
        <f t="shared" si="6"/>
        <v>0</v>
      </c>
      <c r="Z38" s="100">
        <f t="shared" si="66"/>
        <v>0</v>
      </c>
      <c r="AA38" s="101">
        <f t="shared" si="60"/>
        <v>0</v>
      </c>
      <c r="AB38" s="94">
        <f t="shared" si="67"/>
        <v>0</v>
      </c>
      <c r="AC38" s="102">
        <f t="shared" si="9"/>
        <v>0</v>
      </c>
      <c r="AD38" s="103">
        <f t="shared" si="9"/>
        <v>0</v>
      </c>
      <c r="AE38" s="104">
        <f t="shared" si="31"/>
        <v>0</v>
      </c>
      <c r="AF38" s="95">
        <f>AF37</f>
        <v>0</v>
      </c>
      <c r="AG38" s="96">
        <f>AG37</f>
        <v>0</v>
      </c>
      <c r="AH38" s="94">
        <f t="shared" si="10"/>
        <v>0</v>
      </c>
      <c r="AI38" s="95">
        <f t="shared" ref="AI38:AL38" si="83">SUM(AI33:AI37)</f>
        <v>0</v>
      </c>
      <c r="AJ38" s="96">
        <f t="shared" si="83"/>
        <v>0</v>
      </c>
      <c r="AK38" s="96">
        <f t="shared" si="83"/>
        <v>0</v>
      </c>
      <c r="AL38" s="96">
        <f t="shared" si="83"/>
        <v>0</v>
      </c>
      <c r="AM38" s="94">
        <f t="shared" si="12"/>
        <v>0</v>
      </c>
      <c r="AN38" s="95">
        <f>SUM(AN33:AN37)</f>
        <v>0</v>
      </c>
      <c r="AO38" s="96">
        <f>SUM(AO33:AO37)</f>
        <v>0</v>
      </c>
      <c r="AP38" s="94">
        <f t="shared" si="14"/>
        <v>0</v>
      </c>
      <c r="AQ38" s="105">
        <f>IF(F38&lt;&gt;0,(AF38*COUNTIF(AQ33:AQ37,"&lt;&gt;0")/F38),0)</f>
        <v>0</v>
      </c>
      <c r="AR38" s="106">
        <f>IF(G38&lt;&gt;0,(AG38*COUNTIF(AR33:AR37,"&lt;&gt;0")/G38),0)</f>
        <v>0</v>
      </c>
      <c r="AS38" s="94">
        <f t="shared" si="69"/>
        <v>0</v>
      </c>
      <c r="AT38" s="95">
        <f>SUM(AT33:AT37)</f>
        <v>0</v>
      </c>
      <c r="AU38" s="96">
        <f t="shared" si="16"/>
        <v>0</v>
      </c>
      <c r="AV38" s="94">
        <f t="shared" si="17"/>
        <v>0</v>
      </c>
      <c r="AW38" s="107"/>
      <c r="AX38" s="108"/>
      <c r="AY38" s="94">
        <f t="shared" si="18"/>
        <v>0</v>
      </c>
      <c r="AZ38" s="134"/>
      <c r="BA38" s="111"/>
      <c r="BB38" s="94">
        <f t="shared" si="19"/>
        <v>0</v>
      </c>
      <c r="BC38" s="95">
        <f>SUM(BC33:BC37)</f>
        <v>0</v>
      </c>
      <c r="BD38" s="96">
        <f t="shared" si="20"/>
        <v>0</v>
      </c>
      <c r="BE38" s="94">
        <f t="shared" si="21"/>
        <v>0</v>
      </c>
      <c r="BF38" s="95">
        <f>SUM(BF33:BF37)</f>
        <v>0</v>
      </c>
      <c r="BG38" s="96">
        <f>SUM(BG33:BG37)</f>
        <v>0</v>
      </c>
      <c r="BH38" s="94">
        <f t="shared" si="23"/>
        <v>0</v>
      </c>
      <c r="BI38" s="111">
        <f t="shared" si="56"/>
        <v>0</v>
      </c>
      <c r="BJ38" s="112">
        <f t="shared" si="56"/>
        <v>0</v>
      </c>
      <c r="BK38" s="101">
        <f t="shared" si="25"/>
        <v>0</v>
      </c>
      <c r="BL38" s="283"/>
      <c r="BM38" s="249"/>
      <c r="BN38" s="249"/>
      <c r="BO38" s="284"/>
    </row>
    <row r="39" spans="1:67" x14ac:dyDescent="0.25">
      <c r="A39"/>
      <c r="B39" s="185">
        <v>23</v>
      </c>
      <c r="C39" s="87">
        <f t="shared" ref="C39:D42" si="84">F39*Q39</f>
        <v>0</v>
      </c>
      <c r="D39" s="68">
        <f t="shared" si="84"/>
        <v>0</v>
      </c>
      <c r="E39" s="69">
        <f t="shared" si="0"/>
        <v>0</v>
      </c>
      <c r="F39" s="157">
        <f>IF(NewPlan=TRUE,IF(AF38-(G39*J39)&lt;0,AF38,G39*J39),IFERROR(VLOOKUP(FiscalYr &amp; $B39&amp;F$4,tblForecast,F$2,FALSE),0))</f>
        <v>0</v>
      </c>
      <c r="G39" s="189">
        <f>IFERROR(VLOOKUP(FiscalYr-IF(CompareVer="LY",1,0) &amp; $B39 + IF(FiscalYr=2018,1,0)&amp;G$4,tblForecast,G$2,FALSE),0)</f>
        <v>0</v>
      </c>
      <c r="H39" s="69">
        <f t="shared" si="1"/>
        <v>0</v>
      </c>
      <c r="I39" s="177">
        <f>IFERROR(IF(F37&gt;0,F39/F37,0),0)</f>
        <v>0</v>
      </c>
      <c r="J39" s="177">
        <f>IFERROR(IF(G37&gt;0,G39/G37,0),0)</f>
        <v>0</v>
      </c>
      <c r="K39" s="87">
        <f t="shared" ref="K39:K42" si="85">IFERROR(C39*N39,0)</f>
        <v>0</v>
      </c>
      <c r="L39" s="68">
        <f t="shared" ref="L39:L42" si="86">D39*O39</f>
        <v>0</v>
      </c>
      <c r="M39" s="72">
        <f t="shared" si="2"/>
        <v>0</v>
      </c>
      <c r="N39" s="162">
        <f t="shared" ref="N39:O42" si="87">IF(Q39&lt;&gt;0,1-T39/Q39,0)</f>
        <v>0</v>
      </c>
      <c r="O39" s="163">
        <f t="shared" si="87"/>
        <v>0</v>
      </c>
      <c r="P39" s="69">
        <f t="shared" si="65"/>
        <v>0</v>
      </c>
      <c r="Q39" s="158">
        <f>IF(NewPlan=TRUE,IF(BM39=0,R39,BM39),IFERROR(VLOOKUP(FiscalYr&amp;$B39&amp;Q$4,tblForecast,Q$2,FALSE),0))</f>
        <v>0</v>
      </c>
      <c r="R39" s="73">
        <f>IFERROR(VLOOKUP(FiscalYr-IF(CompareVer="LY",1,0) &amp; $B39 + IF(FiscalYr=2018,1,0)&amp;R$4,tblForecast,R$2,FALSE),0)</f>
        <v>0</v>
      </c>
      <c r="S39" s="69">
        <f t="shared" si="4"/>
        <v>0</v>
      </c>
      <c r="T39" s="158">
        <f>IF(NewPlan=TRUE,IF(BO39=0,U39,BO39),IFERROR(VLOOKUP(FiscalYr &amp; $B39&amp;T$4,tblForecast,T$2,FALSE),0))</f>
        <v>0</v>
      </c>
      <c r="U39" s="73">
        <f>IFERROR(VLOOKUP(FiscalYr-IF(CompareVer="LY",1,0) &amp; $B39 + IF(FiscalYr=2018,1,0)&amp;U$4,tblForecast,U$2,FALSE),0)</f>
        <v>0</v>
      </c>
      <c r="V39" s="69">
        <f t="shared" si="5"/>
        <v>0</v>
      </c>
      <c r="W39" s="158">
        <f>IF(NewPlan=TRUE,IF(BN39=0,X39,BN39),IFERROR(VLOOKUP(FiscalYr &amp; $B39&amp;W$4,tblForecast,W$2,FALSE),0))</f>
        <v>0</v>
      </c>
      <c r="X39" s="73">
        <f>IFERROR(VLOOKUP(FiscalYr-IF(CompareVer="LY",1,0) &amp; $B39 + IF(FiscalYr=2018,1,0)&amp;X$4,tblForecast,X$2,FALSE),0)</f>
        <v>0</v>
      </c>
      <c r="Y39" s="69">
        <f t="shared" si="6"/>
        <v>0</v>
      </c>
      <c r="Z39" s="74">
        <f t="shared" si="66"/>
        <v>0</v>
      </c>
      <c r="AA39" s="75">
        <f t="shared" si="60"/>
        <v>0</v>
      </c>
      <c r="AB39" s="69">
        <f t="shared" si="67"/>
        <v>0</v>
      </c>
      <c r="AC39" s="88">
        <f t="shared" si="9"/>
        <v>0</v>
      </c>
      <c r="AD39" s="77">
        <f t="shared" si="9"/>
        <v>0</v>
      </c>
      <c r="AE39" s="78">
        <f t="shared" si="31"/>
        <v>0</v>
      </c>
      <c r="AF39" s="238">
        <f t="shared" ref="AF39:AF42" si="88">IF(AF38+AK39+AN39-F39&lt;0,0,AF38+AK39+AN39-F39)</f>
        <v>0</v>
      </c>
      <c r="AG39" s="71">
        <f>IFERROR(VLOOKUP(FiscalYr-IF(CompareVer="LY",1,0) &amp; $B39 + IF(FiscalYr=2018,1,0)&amp;AG$4,tblForecast,AG$2,FALSE),0)</f>
        <v>0</v>
      </c>
      <c r="AH39" s="69">
        <f t="shared" si="10"/>
        <v>0</v>
      </c>
      <c r="AI39" s="157">
        <f t="shared" ref="AI39:AJ42" si="89">IFERROR(VLOOKUP(FiscalYr &amp; $B39&amp;AI$4,tblForecast,AI$2,FALSE),0)</f>
        <v>0</v>
      </c>
      <c r="AJ39" s="71">
        <f t="shared" si="89"/>
        <v>0</v>
      </c>
      <c r="AK39" s="71">
        <f>IF($A39="a",IFERROR(VLOOKUP(FiscalYr &amp; $B39&amp;AK$4,tblForecast,AK$2,FALSE),0),AI39+AJ39)</f>
        <v>0</v>
      </c>
      <c r="AL39" s="71">
        <f>IFERROR(VLOOKUP(FiscalYr-IF(CompareVer="LY",1,0) &amp; $B39 + IF(FiscalYr=2018,1,0)&amp;AL$4,tblForecast,AL$2,FALSE),0)</f>
        <v>0</v>
      </c>
      <c r="AM39" s="69">
        <f t="shared" si="12"/>
        <v>0</v>
      </c>
      <c r="AN39" s="157">
        <f t="shared" ref="AN39:AO42" si="90">IFERROR(VLOOKUP(FiscalYr &amp; $B39&amp;AN$4,tblForecast,AN$2,FALSE),0)</f>
        <v>0</v>
      </c>
      <c r="AO39" s="71">
        <f t="shared" si="90"/>
        <v>0</v>
      </c>
      <c r="AP39" s="69">
        <f t="shared" si="14"/>
        <v>0</v>
      </c>
      <c r="AQ39" s="80">
        <f t="shared" ref="AQ39:AR42" si="91">IF(F39&lt;&gt;0,AF39/F39,0)</f>
        <v>0</v>
      </c>
      <c r="AR39" s="89">
        <f t="shared" si="91"/>
        <v>0</v>
      </c>
      <c r="AS39" s="69">
        <f t="shared" si="69"/>
        <v>0</v>
      </c>
      <c r="AT39" s="157">
        <f>IFERROR(VLOOKUP(FiscalYr &amp; $B39&amp;AT$4,tblForecast,AT$2,FALSE),0)</f>
        <v>0</v>
      </c>
      <c r="AU39" s="71">
        <f t="shared" si="16"/>
        <v>0</v>
      </c>
      <c r="AV39" s="69">
        <f t="shared" si="17"/>
        <v>0</v>
      </c>
      <c r="AW39" s="82"/>
      <c r="AX39" s="83"/>
      <c r="AY39" s="69">
        <f t="shared" si="18"/>
        <v>0</v>
      </c>
      <c r="AZ39" s="84"/>
      <c r="BA39" s="85"/>
      <c r="BB39" s="69">
        <f t="shared" si="19"/>
        <v>0</v>
      </c>
      <c r="BC39" s="157">
        <f>IFERROR(VLOOKUP(FiscalYr &amp; $B39&amp;BC$4,tblForecast,BC$2,FALSE),0)</f>
        <v>0</v>
      </c>
      <c r="BD39" s="71">
        <f t="shared" si="20"/>
        <v>0</v>
      </c>
      <c r="BE39" s="69">
        <f t="shared" si="21"/>
        <v>0</v>
      </c>
      <c r="BF39" s="90">
        <f>IFERROR(VLOOKUP(FiscalYr &amp; $B39&amp;BF$4,tblForecast,BF$2,FALSE),0)</f>
        <v>0</v>
      </c>
      <c r="BG39" s="85">
        <f t="shared" si="22"/>
        <v>0</v>
      </c>
      <c r="BH39" s="69">
        <f t="shared" si="23"/>
        <v>0</v>
      </c>
      <c r="BI39" s="85">
        <f t="shared" si="56"/>
        <v>0</v>
      </c>
      <c r="BJ39" s="86">
        <f t="shared" si="56"/>
        <v>0</v>
      </c>
      <c r="BK39" s="75">
        <f t="shared" si="25"/>
        <v>0</v>
      </c>
      <c r="BL39" s="283">
        <f>IFERROR(VLOOKUP(Brand&amp;Channel&amp;Country&amp;$B39,tblDiscount,6,FALSE),0)</f>
        <v>0.65</v>
      </c>
      <c r="BM39" s="249">
        <f>(1-BL39)*BN39</f>
        <v>0</v>
      </c>
      <c r="BN39" s="249">
        <f>IFERROR(VLOOKUP(Brand&amp;Country &amp; Channel &amp;FC,tblFCSettings,8,FALSE),0)</f>
        <v>0</v>
      </c>
      <c r="BO39" s="284">
        <f>IFERROR(VLOOKUP(Brand&amp;Country &amp; Channel &amp;FC,tblFCSettings,9,FALSE),0)</f>
        <v>0</v>
      </c>
    </row>
    <row r="40" spans="1:67" x14ac:dyDescent="0.25">
      <c r="A40"/>
      <c r="B40" s="185">
        <v>24</v>
      </c>
      <c r="C40" s="87">
        <f t="shared" si="84"/>
        <v>0</v>
      </c>
      <c r="D40" s="68">
        <f t="shared" si="84"/>
        <v>0</v>
      </c>
      <c r="E40" s="69">
        <f t="shared" si="0"/>
        <v>0</v>
      </c>
      <c r="F40" s="157">
        <f>IF(NewPlan=TRUE,IF(AF39-(G40*J40)&lt;0,AF39,G40*J40),IFERROR(VLOOKUP(FiscalYr &amp; $B40&amp;F$4,tblForecast,F$2,FALSE),0))</f>
        <v>0</v>
      </c>
      <c r="G40" s="189">
        <f>IFERROR(VLOOKUP(FiscalYr-IF(CompareVer="LY",1,0) &amp; $B40 + IF(FiscalYr=2018,1,0)&amp;G$4,tblForecast,G$2,FALSE),0)</f>
        <v>0</v>
      </c>
      <c r="H40" s="69">
        <f t="shared" si="1"/>
        <v>0</v>
      </c>
      <c r="I40" s="177">
        <f t="shared" ref="I40:J42" si="92">IFERROR(IF(F39&lt;&gt;0,F40/F39,0),0)</f>
        <v>0</v>
      </c>
      <c r="J40" s="177">
        <f t="shared" si="92"/>
        <v>0</v>
      </c>
      <c r="K40" s="87">
        <f t="shared" si="85"/>
        <v>0</v>
      </c>
      <c r="L40" s="68">
        <f t="shared" si="86"/>
        <v>0</v>
      </c>
      <c r="M40" s="72">
        <f t="shared" si="2"/>
        <v>0</v>
      </c>
      <c r="N40" s="162">
        <f t="shared" si="87"/>
        <v>0</v>
      </c>
      <c r="O40" s="163">
        <f t="shared" si="87"/>
        <v>0</v>
      </c>
      <c r="P40" s="69">
        <f t="shared" si="65"/>
        <v>0</v>
      </c>
      <c r="Q40" s="158">
        <f>IF(NewPlan=TRUE,IF(BM40=0,R40,BM40),IFERROR(VLOOKUP(FiscalYr&amp;$B40&amp;Q$4,tblForecast,Q$2,FALSE),0))</f>
        <v>0</v>
      </c>
      <c r="R40" s="73">
        <f>IFERROR(VLOOKUP(FiscalYr-IF(CompareVer="LY",1,0) &amp; $B40 + IF(FiscalYr=2018,1,0)&amp;R$4,tblForecast,R$2,FALSE),0)</f>
        <v>0</v>
      </c>
      <c r="S40" s="69">
        <f t="shared" si="4"/>
        <v>0</v>
      </c>
      <c r="T40" s="158">
        <f>IF(NewPlan=TRUE,IF(BO40=0,U40,BO40),IFERROR(VLOOKUP(FiscalYr &amp; $B40&amp;T$4,tblForecast,T$2,FALSE),0))</f>
        <v>0</v>
      </c>
      <c r="U40" s="73">
        <f>IFERROR(VLOOKUP(FiscalYr-IF(CompareVer="LY",1,0) &amp; $B40 + IF(FiscalYr=2018,1,0)&amp;U$4,tblForecast,U$2,FALSE),0)</f>
        <v>0</v>
      </c>
      <c r="V40" s="69">
        <f t="shared" si="5"/>
        <v>0</v>
      </c>
      <c r="W40" s="158">
        <f>IF(NewPlan=TRUE,IF(BN40=0,X40,BN40),IFERROR(VLOOKUP(FiscalYr &amp; $B40&amp;W$4,tblForecast,W$2,FALSE),0))</f>
        <v>0</v>
      </c>
      <c r="X40" s="73">
        <f>IFERROR(VLOOKUP(FiscalYr-IF(CompareVer="LY",1,0) &amp; $B40 + IF(FiscalYr=2018,1,0)&amp;X$4,tblForecast,X$2,FALSE),0)</f>
        <v>0</v>
      </c>
      <c r="Y40" s="69">
        <f t="shared" si="6"/>
        <v>0</v>
      </c>
      <c r="Z40" s="74">
        <f t="shared" si="66"/>
        <v>0</v>
      </c>
      <c r="AA40" s="75">
        <f t="shared" si="60"/>
        <v>0</v>
      </c>
      <c r="AB40" s="69">
        <f t="shared" si="67"/>
        <v>0</v>
      </c>
      <c r="AC40" s="88">
        <f t="shared" si="9"/>
        <v>0</v>
      </c>
      <c r="AD40" s="77">
        <f t="shared" si="9"/>
        <v>0</v>
      </c>
      <c r="AE40" s="78">
        <f t="shared" si="31"/>
        <v>0</v>
      </c>
      <c r="AF40" s="238">
        <f t="shared" si="88"/>
        <v>0</v>
      </c>
      <c r="AG40" s="71">
        <f>IFERROR(VLOOKUP(FiscalYr-IF(CompareVer="LY",1,0) &amp; $B40 + IF(FiscalYr=2018,1,0)&amp;AG$4,tblForecast,AG$2,FALSE),0)</f>
        <v>0</v>
      </c>
      <c r="AH40" s="69">
        <f t="shared" si="10"/>
        <v>0</v>
      </c>
      <c r="AI40" s="157">
        <f t="shared" si="89"/>
        <v>0</v>
      </c>
      <c r="AJ40" s="71">
        <f t="shared" si="89"/>
        <v>0</v>
      </c>
      <c r="AK40" s="71">
        <f>IF($A40="a",IFERROR(VLOOKUP(FiscalYr &amp; $B40&amp;AK$4,tblForecast,AK$2,FALSE),0),AI40+AJ40)</f>
        <v>0</v>
      </c>
      <c r="AL40" s="71">
        <f>IFERROR(VLOOKUP(FiscalYr-IF(CompareVer="LY",1,0) &amp; $B40 + IF(FiscalYr=2018,1,0)&amp;AL$4,tblForecast,AL$2,FALSE),0)</f>
        <v>0</v>
      </c>
      <c r="AM40" s="69">
        <f t="shared" si="12"/>
        <v>0</v>
      </c>
      <c r="AN40" s="157">
        <f t="shared" si="90"/>
        <v>0</v>
      </c>
      <c r="AO40" s="71">
        <f t="shared" si="90"/>
        <v>0</v>
      </c>
      <c r="AP40" s="69">
        <f t="shared" si="14"/>
        <v>0</v>
      </c>
      <c r="AQ40" s="80">
        <f t="shared" si="91"/>
        <v>0</v>
      </c>
      <c r="AR40" s="89">
        <f t="shared" si="91"/>
        <v>0</v>
      </c>
      <c r="AS40" s="69">
        <f t="shared" si="69"/>
        <v>0</v>
      </c>
      <c r="AT40" s="157">
        <f>IFERROR(VLOOKUP(FiscalYr &amp; $B40&amp;AT$4,tblForecast,AT$2,FALSE),0)</f>
        <v>0</v>
      </c>
      <c r="AU40" s="71">
        <f t="shared" si="16"/>
        <v>0</v>
      </c>
      <c r="AV40" s="69">
        <f t="shared" si="17"/>
        <v>0</v>
      </c>
      <c r="AW40" s="82"/>
      <c r="AX40" s="83"/>
      <c r="AY40" s="69">
        <f t="shared" si="18"/>
        <v>0</v>
      </c>
      <c r="AZ40" s="84"/>
      <c r="BA40" s="85"/>
      <c r="BB40" s="69">
        <f t="shared" si="19"/>
        <v>0</v>
      </c>
      <c r="BC40" s="157">
        <f>IFERROR(VLOOKUP(FiscalYr &amp; $B40&amp;BC$4,tblForecast,BC$2,FALSE),0)</f>
        <v>0</v>
      </c>
      <c r="BD40" s="71">
        <f t="shared" si="20"/>
        <v>0</v>
      </c>
      <c r="BE40" s="69">
        <f t="shared" si="21"/>
        <v>0</v>
      </c>
      <c r="BF40" s="90">
        <f>IFERROR(VLOOKUP(FiscalYr &amp; $B40&amp;BF$4,tblForecast,BF$2,FALSE),0)</f>
        <v>0</v>
      </c>
      <c r="BG40" s="85">
        <f t="shared" si="22"/>
        <v>0</v>
      </c>
      <c r="BH40" s="69">
        <f t="shared" si="23"/>
        <v>0</v>
      </c>
      <c r="BI40" s="85">
        <f t="shared" si="56"/>
        <v>0</v>
      </c>
      <c r="BJ40" s="86">
        <f t="shared" si="56"/>
        <v>0</v>
      </c>
      <c r="BK40" s="75">
        <f t="shared" si="25"/>
        <v>0</v>
      </c>
      <c r="BL40" s="283">
        <f>IFERROR(VLOOKUP(Brand&amp;Channel&amp;Country&amp;$B40,tblDiscount,6,FALSE),0)</f>
        <v>0.65</v>
      </c>
      <c r="BM40" s="249">
        <f t="shared" ref="BM40:BM42" si="93">(1-BL40)*BN40</f>
        <v>0</v>
      </c>
      <c r="BN40" s="249">
        <f>IFERROR(VLOOKUP(Brand&amp;Country &amp; Channel &amp;FC,tblFCSettings,8,FALSE),0)</f>
        <v>0</v>
      </c>
      <c r="BO40" s="284">
        <f>IFERROR(VLOOKUP(Brand&amp;Country &amp; Channel &amp;FC,tblFCSettings,9,FALSE),0)</f>
        <v>0</v>
      </c>
    </row>
    <row r="41" spans="1:67" x14ac:dyDescent="0.25">
      <c r="A41"/>
      <c r="B41" s="185">
        <v>25</v>
      </c>
      <c r="C41" s="87">
        <f t="shared" si="84"/>
        <v>0</v>
      </c>
      <c r="D41" s="68">
        <f t="shared" si="84"/>
        <v>0</v>
      </c>
      <c r="E41" s="69">
        <f t="shared" si="0"/>
        <v>0</v>
      </c>
      <c r="F41" s="157">
        <f>IF(NewPlan=TRUE,IF(AF40-(G41*J41)&lt;0,AF40,G41*J41),IFERROR(VLOOKUP(FiscalYr &amp; $B41&amp;F$4,tblForecast,F$2,FALSE),0))</f>
        <v>0</v>
      </c>
      <c r="G41" s="189">
        <f>IFERROR(VLOOKUP(FiscalYr-IF(CompareVer="LY",1,0) &amp; $B41 + IF(FiscalYr=2018,1,0)&amp;G$4,tblForecast,G$2,FALSE),0)</f>
        <v>0</v>
      </c>
      <c r="H41" s="69">
        <f t="shared" si="1"/>
        <v>0</v>
      </c>
      <c r="I41" s="177">
        <f t="shared" si="92"/>
        <v>0</v>
      </c>
      <c r="J41" s="177">
        <f t="shared" si="92"/>
        <v>0</v>
      </c>
      <c r="K41" s="87">
        <f t="shared" si="85"/>
        <v>0</v>
      </c>
      <c r="L41" s="68">
        <f t="shared" si="86"/>
        <v>0</v>
      </c>
      <c r="M41" s="72">
        <f t="shared" si="2"/>
        <v>0</v>
      </c>
      <c r="N41" s="162">
        <f t="shared" si="87"/>
        <v>0</v>
      </c>
      <c r="O41" s="163">
        <f t="shared" si="87"/>
        <v>0</v>
      </c>
      <c r="P41" s="69">
        <f t="shared" si="65"/>
        <v>0</v>
      </c>
      <c r="Q41" s="158">
        <f>IF(NewPlan=TRUE,IF(BM41=0,R41,BM41),IFERROR(VLOOKUP(FiscalYr&amp;$B41&amp;Q$4,tblForecast,Q$2,FALSE),0))</f>
        <v>0</v>
      </c>
      <c r="R41" s="73">
        <f>IFERROR(VLOOKUP(FiscalYr-IF(CompareVer="LY",1,0) &amp; $B41 + IF(FiscalYr=2018,1,0)&amp;R$4,tblForecast,R$2,FALSE),0)</f>
        <v>0</v>
      </c>
      <c r="S41" s="69">
        <f t="shared" si="4"/>
        <v>0</v>
      </c>
      <c r="T41" s="158">
        <f>IF(NewPlan=TRUE,IF(BO41=0,U41,BO41),IFERROR(VLOOKUP(FiscalYr &amp; $B41&amp;T$4,tblForecast,T$2,FALSE),0))</f>
        <v>0</v>
      </c>
      <c r="U41" s="73">
        <f>IFERROR(VLOOKUP(FiscalYr-IF(CompareVer="LY",1,0) &amp; $B41 + IF(FiscalYr=2018,1,0)&amp;U$4,tblForecast,U$2,FALSE),0)</f>
        <v>0</v>
      </c>
      <c r="V41" s="69">
        <f t="shared" si="5"/>
        <v>0</v>
      </c>
      <c r="W41" s="158">
        <f>IF(NewPlan=TRUE,IF(BN41=0,X41,BN41),IFERROR(VLOOKUP(FiscalYr &amp; $B41&amp;W$4,tblForecast,W$2,FALSE),0))</f>
        <v>0</v>
      </c>
      <c r="X41" s="73">
        <f>IFERROR(VLOOKUP(FiscalYr-IF(CompareVer="LY",1,0) &amp; $B41 + IF(FiscalYr=2018,1,0)&amp;X$4,tblForecast,X$2,FALSE),0)</f>
        <v>0</v>
      </c>
      <c r="Y41" s="69">
        <f t="shared" si="6"/>
        <v>0</v>
      </c>
      <c r="Z41" s="74">
        <f t="shared" si="66"/>
        <v>0</v>
      </c>
      <c r="AA41" s="75">
        <f t="shared" si="60"/>
        <v>0</v>
      </c>
      <c r="AB41" s="69">
        <f t="shared" si="67"/>
        <v>0</v>
      </c>
      <c r="AC41" s="88">
        <f t="shared" si="9"/>
        <v>0</v>
      </c>
      <c r="AD41" s="77">
        <f t="shared" si="9"/>
        <v>0</v>
      </c>
      <c r="AE41" s="78">
        <f t="shared" si="31"/>
        <v>0</v>
      </c>
      <c r="AF41" s="238">
        <f t="shared" si="88"/>
        <v>0</v>
      </c>
      <c r="AG41" s="71">
        <f>IFERROR(VLOOKUP(FiscalYr-IF(CompareVer="LY",1,0) &amp; $B41 + IF(FiscalYr=2018,1,0)&amp;AG$4,tblForecast,AG$2,FALSE),0)</f>
        <v>0</v>
      </c>
      <c r="AH41" s="69">
        <f t="shared" si="10"/>
        <v>0</v>
      </c>
      <c r="AI41" s="157">
        <f t="shared" si="89"/>
        <v>0</v>
      </c>
      <c r="AJ41" s="71">
        <f t="shared" si="89"/>
        <v>0</v>
      </c>
      <c r="AK41" s="71">
        <f>IF($A41="a",IFERROR(VLOOKUP(FiscalYr &amp; $B41&amp;AK$4,tblForecast,AK$2,FALSE),0),AI41+AJ41)</f>
        <v>0</v>
      </c>
      <c r="AL41" s="71">
        <f>IFERROR(VLOOKUP(FiscalYr-IF(CompareVer="LY",1,0) &amp; $B41 + IF(FiscalYr=2018,1,0)&amp;AL$4,tblForecast,AL$2,FALSE),0)</f>
        <v>0</v>
      </c>
      <c r="AM41" s="69">
        <f t="shared" si="12"/>
        <v>0</v>
      </c>
      <c r="AN41" s="157">
        <f t="shared" si="90"/>
        <v>0</v>
      </c>
      <c r="AO41" s="71">
        <f t="shared" si="90"/>
        <v>0</v>
      </c>
      <c r="AP41" s="69">
        <f t="shared" si="14"/>
        <v>0</v>
      </c>
      <c r="AQ41" s="80">
        <f t="shared" si="91"/>
        <v>0</v>
      </c>
      <c r="AR41" s="89">
        <f t="shared" si="91"/>
        <v>0</v>
      </c>
      <c r="AS41" s="69">
        <f t="shared" si="69"/>
        <v>0</v>
      </c>
      <c r="AT41" s="157">
        <f>IFERROR(VLOOKUP(FiscalYr &amp; $B41&amp;AT$4,tblForecast,AT$2,FALSE),0)</f>
        <v>0</v>
      </c>
      <c r="AU41" s="71">
        <f t="shared" si="16"/>
        <v>0</v>
      </c>
      <c r="AV41" s="69">
        <f t="shared" si="17"/>
        <v>0</v>
      </c>
      <c r="AW41" s="82"/>
      <c r="AX41" s="83"/>
      <c r="AY41" s="69">
        <f t="shared" si="18"/>
        <v>0</v>
      </c>
      <c r="AZ41" s="84"/>
      <c r="BA41" s="85"/>
      <c r="BB41" s="69">
        <f t="shared" si="19"/>
        <v>0</v>
      </c>
      <c r="BC41" s="157">
        <f>IFERROR(VLOOKUP(FiscalYr &amp; $B41&amp;BC$4,tblForecast,BC$2,FALSE),0)</f>
        <v>0</v>
      </c>
      <c r="BD41" s="71">
        <f t="shared" si="20"/>
        <v>0</v>
      </c>
      <c r="BE41" s="69">
        <f t="shared" si="21"/>
        <v>0</v>
      </c>
      <c r="BF41" s="90">
        <f>IFERROR(VLOOKUP(FiscalYr &amp; $B41&amp;BF$4,tblForecast,BF$2,FALSE),0)</f>
        <v>0</v>
      </c>
      <c r="BG41" s="85">
        <f t="shared" si="22"/>
        <v>0</v>
      </c>
      <c r="BH41" s="69">
        <f t="shared" si="23"/>
        <v>0</v>
      </c>
      <c r="BI41" s="85">
        <f t="shared" si="56"/>
        <v>0</v>
      </c>
      <c r="BJ41" s="86">
        <f t="shared" si="56"/>
        <v>0</v>
      </c>
      <c r="BK41" s="75">
        <f t="shared" si="25"/>
        <v>0</v>
      </c>
      <c r="BL41" s="283">
        <f>IFERROR(VLOOKUP(Brand&amp;Channel&amp;Country&amp;$B41,tblDiscount,6,FALSE),0)</f>
        <v>0.65</v>
      </c>
      <c r="BM41" s="249">
        <f t="shared" si="93"/>
        <v>0</v>
      </c>
      <c r="BN41" s="249">
        <f>IFERROR(VLOOKUP(Brand&amp;Country &amp; Channel &amp;FC,tblFCSettings,8,FALSE),0)</f>
        <v>0</v>
      </c>
      <c r="BO41" s="284">
        <f>IFERROR(VLOOKUP(Brand&amp;Country &amp; Channel &amp;FC,tblFCSettings,9,FALSE),0)</f>
        <v>0</v>
      </c>
    </row>
    <row r="42" spans="1:67" ht="16.5" thickBot="1" x14ac:dyDescent="0.3">
      <c r="A42"/>
      <c r="B42" s="185">
        <v>26</v>
      </c>
      <c r="C42" s="87">
        <f t="shared" si="84"/>
        <v>0</v>
      </c>
      <c r="D42" s="68">
        <f t="shared" si="84"/>
        <v>0</v>
      </c>
      <c r="E42" s="69">
        <f t="shared" si="0"/>
        <v>0</v>
      </c>
      <c r="F42" s="157">
        <f>IF(NewPlan=TRUE,IF(AF41-(G42*J42)&lt;0,AF41,G42*J42),IFERROR(VLOOKUP(FiscalYr &amp; $B42&amp;F$4,tblForecast,F$2,FALSE),0))</f>
        <v>0</v>
      </c>
      <c r="G42" s="189">
        <f>IFERROR(VLOOKUP(FiscalYr-IF(CompareVer="LY",1,0) &amp; $B42 + IF(FiscalYr=2018,1,0)&amp;G$4,tblForecast,G$2,FALSE),0)</f>
        <v>0</v>
      </c>
      <c r="H42" s="69">
        <f t="shared" si="1"/>
        <v>0</v>
      </c>
      <c r="I42" s="177">
        <f t="shared" si="92"/>
        <v>0</v>
      </c>
      <c r="J42" s="177">
        <f t="shared" si="92"/>
        <v>0</v>
      </c>
      <c r="K42" s="87">
        <f t="shared" si="85"/>
        <v>0</v>
      </c>
      <c r="L42" s="68">
        <f t="shared" si="86"/>
        <v>0</v>
      </c>
      <c r="M42" s="72">
        <f t="shared" si="2"/>
        <v>0</v>
      </c>
      <c r="N42" s="162">
        <f t="shared" si="87"/>
        <v>0</v>
      </c>
      <c r="O42" s="163">
        <f t="shared" si="87"/>
        <v>0</v>
      </c>
      <c r="P42" s="69">
        <f t="shared" si="65"/>
        <v>0</v>
      </c>
      <c r="Q42" s="158">
        <f>IF(NewPlan=TRUE,IF(BM42=0,R42,BM42),IFERROR(VLOOKUP(FiscalYr&amp;$B42&amp;Q$4,tblForecast,Q$2,FALSE),0))</f>
        <v>0</v>
      </c>
      <c r="R42" s="73">
        <f>IFERROR(VLOOKUP(FiscalYr-IF(CompareVer="LY",1,0) &amp; $B42 + IF(FiscalYr=2018,1,0)&amp;R$4,tblForecast,R$2,FALSE),0)</f>
        <v>0</v>
      </c>
      <c r="S42" s="69">
        <f t="shared" si="4"/>
        <v>0</v>
      </c>
      <c r="T42" s="158">
        <f>IF(NewPlan=TRUE,IF(BO42=0,U42,BO42),IFERROR(VLOOKUP(FiscalYr &amp; $B42&amp;T$4,tblForecast,T$2,FALSE),0))</f>
        <v>0</v>
      </c>
      <c r="U42" s="73">
        <f>IFERROR(VLOOKUP(FiscalYr-IF(CompareVer="LY",1,0) &amp; $B42 + IF(FiscalYr=2018,1,0)&amp;U$4,tblForecast,U$2,FALSE),0)</f>
        <v>0</v>
      </c>
      <c r="V42" s="69">
        <f t="shared" si="5"/>
        <v>0</v>
      </c>
      <c r="W42" s="158">
        <f>IF(NewPlan=TRUE,IF(BN42=0,X42,BN42),IFERROR(VLOOKUP(FiscalYr &amp; $B42&amp;W$4,tblForecast,W$2,FALSE),0))</f>
        <v>0</v>
      </c>
      <c r="X42" s="73">
        <f>IFERROR(VLOOKUP(FiscalYr-IF(CompareVer="LY",1,0) &amp; $B42 + IF(FiscalYr=2018,1,0)&amp;X$4,tblForecast,X$2,FALSE),0)</f>
        <v>0</v>
      </c>
      <c r="Y42" s="69">
        <f t="shared" si="6"/>
        <v>0</v>
      </c>
      <c r="Z42" s="74">
        <f t="shared" si="66"/>
        <v>0</v>
      </c>
      <c r="AA42" s="75">
        <f t="shared" si="60"/>
        <v>0</v>
      </c>
      <c r="AB42" s="69">
        <f t="shared" si="67"/>
        <v>0</v>
      </c>
      <c r="AC42" s="88">
        <f t="shared" si="9"/>
        <v>0</v>
      </c>
      <c r="AD42" s="77">
        <f t="shared" si="9"/>
        <v>0</v>
      </c>
      <c r="AE42" s="78">
        <f t="shared" si="31"/>
        <v>0</v>
      </c>
      <c r="AF42" s="238">
        <f t="shared" si="88"/>
        <v>0</v>
      </c>
      <c r="AG42" s="71">
        <f>IFERROR(VLOOKUP(FiscalYr-IF(CompareVer="LY",1,0) &amp; $B42 + IF(FiscalYr=2018,1,0)&amp;AG$4,tblForecast,AG$2,FALSE),0)</f>
        <v>0</v>
      </c>
      <c r="AH42" s="69">
        <f t="shared" si="10"/>
        <v>0</v>
      </c>
      <c r="AI42" s="157">
        <f t="shared" si="89"/>
        <v>0</v>
      </c>
      <c r="AJ42" s="71">
        <f t="shared" si="89"/>
        <v>0</v>
      </c>
      <c r="AK42" s="71">
        <f>IF($A42="a",IFERROR(VLOOKUP(FiscalYr &amp; $B42&amp;AK$4,tblForecast,AK$2,FALSE),0),AI42+AJ42)</f>
        <v>0</v>
      </c>
      <c r="AL42" s="71">
        <f>IFERROR(VLOOKUP(FiscalYr-IF(CompareVer="LY",1,0) &amp; $B42 + IF(FiscalYr=2018,1,0)&amp;AL$4,tblForecast,AL$2,FALSE),0)</f>
        <v>0</v>
      </c>
      <c r="AM42" s="69">
        <f t="shared" si="12"/>
        <v>0</v>
      </c>
      <c r="AN42" s="157">
        <f t="shared" si="90"/>
        <v>0</v>
      </c>
      <c r="AO42" s="71">
        <f t="shared" si="90"/>
        <v>0</v>
      </c>
      <c r="AP42" s="69">
        <f t="shared" si="14"/>
        <v>0</v>
      </c>
      <c r="AQ42" s="80">
        <f t="shared" si="91"/>
        <v>0</v>
      </c>
      <c r="AR42" s="89">
        <f t="shared" si="91"/>
        <v>0</v>
      </c>
      <c r="AS42" s="69">
        <f t="shared" si="69"/>
        <v>0</v>
      </c>
      <c r="AT42" s="157">
        <f>IFERROR(VLOOKUP(FiscalYr &amp; $B42&amp;AT$4,tblForecast,AT$2,FALSE),0)</f>
        <v>0</v>
      </c>
      <c r="AU42" s="71">
        <f t="shared" si="16"/>
        <v>0</v>
      </c>
      <c r="AV42" s="69">
        <f t="shared" si="17"/>
        <v>0</v>
      </c>
      <c r="AW42" s="82"/>
      <c r="AX42" s="83"/>
      <c r="AY42" s="69">
        <f t="shared" si="18"/>
        <v>0</v>
      </c>
      <c r="AZ42" s="84"/>
      <c r="BA42" s="85"/>
      <c r="BB42" s="69">
        <f t="shared" si="19"/>
        <v>0</v>
      </c>
      <c r="BC42" s="157">
        <f>IFERROR(VLOOKUP(FiscalYr &amp; $B42&amp;BC$4,tblForecast,BC$2,FALSE),0)</f>
        <v>0</v>
      </c>
      <c r="BD42" s="71">
        <f t="shared" si="20"/>
        <v>0</v>
      </c>
      <c r="BE42" s="69">
        <f t="shared" si="21"/>
        <v>0</v>
      </c>
      <c r="BF42" s="90">
        <f>IFERROR(VLOOKUP(FiscalYr &amp; $B42&amp;BF$4,tblForecast,BF$2,FALSE),0)</f>
        <v>0</v>
      </c>
      <c r="BG42" s="85">
        <f t="shared" si="22"/>
        <v>0</v>
      </c>
      <c r="BH42" s="69">
        <f t="shared" si="23"/>
        <v>0</v>
      </c>
      <c r="BI42" s="85">
        <f t="shared" si="56"/>
        <v>0</v>
      </c>
      <c r="BJ42" s="86">
        <f t="shared" si="56"/>
        <v>0</v>
      </c>
      <c r="BK42" s="75">
        <f t="shared" si="25"/>
        <v>0</v>
      </c>
      <c r="BL42" s="283">
        <f>IFERROR(VLOOKUP(Brand&amp;Channel&amp;Country&amp;$B42,tblDiscount,6,FALSE),0)</f>
        <v>0.7</v>
      </c>
      <c r="BM42" s="249">
        <f t="shared" si="93"/>
        <v>0</v>
      </c>
      <c r="BN42" s="249">
        <f>IFERROR(VLOOKUP(Brand&amp;Country &amp; Channel &amp;FC,tblFCSettings,8,FALSE),0)</f>
        <v>0</v>
      </c>
      <c r="BO42" s="284">
        <f>IFERROR(VLOOKUP(Brand&amp;Country &amp; Channel &amp;FC,tblFCSettings,9,FALSE),0)</f>
        <v>0</v>
      </c>
    </row>
    <row r="43" spans="1:67" ht="16.5" thickBot="1" x14ac:dyDescent="0.3">
      <c r="A43"/>
      <c r="B43" s="6" t="s">
        <v>47</v>
      </c>
      <c r="C43" s="92">
        <f>SUM(C39:C42)</f>
        <v>0</v>
      </c>
      <c r="D43" s="93">
        <f>SUM(D39:D42)</f>
        <v>0</v>
      </c>
      <c r="E43" s="94">
        <f t="shared" si="0"/>
        <v>0</v>
      </c>
      <c r="F43" s="95">
        <f>SUM(F39:F42)</f>
        <v>0</v>
      </c>
      <c r="G43" s="96">
        <f>SUM(G39:G42)</f>
        <v>0</v>
      </c>
      <c r="H43" s="94">
        <f t="shared" si="1"/>
        <v>0</v>
      </c>
      <c r="I43" s="178">
        <f>IF(F38&lt;&gt;0,F43/F38-1,0)</f>
        <v>0</v>
      </c>
      <c r="J43" s="178">
        <f>IF(G38&lt;&gt;0,G43/G38-1,0)</f>
        <v>0</v>
      </c>
      <c r="K43" s="92">
        <f>SUM(K39:K42)</f>
        <v>0</v>
      </c>
      <c r="L43" s="93">
        <f>SUM(L39:L42)</f>
        <v>0</v>
      </c>
      <c r="M43" s="97">
        <f t="shared" si="2"/>
        <v>0</v>
      </c>
      <c r="N43" s="164">
        <f>IFERROR(K43/C43,0)</f>
        <v>0</v>
      </c>
      <c r="O43" s="165">
        <f>IFERROR(L43/D43,0)</f>
        <v>0</v>
      </c>
      <c r="P43" s="94">
        <f t="shared" si="65"/>
        <v>0</v>
      </c>
      <c r="Q43" s="98">
        <f>IFERROR(C43/F43,0)</f>
        <v>0</v>
      </c>
      <c r="R43" s="99">
        <f>IFERROR(D43/G43,0)</f>
        <v>0</v>
      </c>
      <c r="S43" s="94">
        <f t="shared" si="4"/>
        <v>0</v>
      </c>
      <c r="T43" s="98">
        <f>IFERROR((C43*(1-N43))/F43,0)</f>
        <v>0</v>
      </c>
      <c r="U43" s="99">
        <f>IFERROR((D43*(1-O43))/G43,0)</f>
        <v>0</v>
      </c>
      <c r="V43" s="94">
        <f t="shared" si="5"/>
        <v>0</v>
      </c>
      <c r="W43" s="98">
        <f>IFERROR(SUMPRODUCT(W39:W42,F39:F42)/F43,0)</f>
        <v>0</v>
      </c>
      <c r="X43" s="99">
        <f>IFERROR(SUMPRODUCT(X39:X42,G39:G42)/G43,0)</f>
        <v>0</v>
      </c>
      <c r="Y43" s="94">
        <f t="shared" si="6"/>
        <v>0</v>
      </c>
      <c r="Z43" s="100">
        <f t="shared" si="66"/>
        <v>0</v>
      </c>
      <c r="AA43" s="101">
        <f t="shared" si="60"/>
        <v>0</v>
      </c>
      <c r="AB43" s="94">
        <f t="shared" si="67"/>
        <v>0</v>
      </c>
      <c r="AC43" s="102">
        <f t="shared" ref="AC43:AD74" si="94">IF(AF43&lt;&gt;0,F43/AF43,0)</f>
        <v>0</v>
      </c>
      <c r="AD43" s="103">
        <f t="shared" si="94"/>
        <v>0</v>
      </c>
      <c r="AE43" s="104">
        <f t="shared" si="31"/>
        <v>0</v>
      </c>
      <c r="AF43" s="95">
        <f>AF42</f>
        <v>0</v>
      </c>
      <c r="AG43" s="96">
        <f>AG42</f>
        <v>0</v>
      </c>
      <c r="AH43" s="94">
        <f t="shared" si="10"/>
        <v>0</v>
      </c>
      <c r="AI43" s="95">
        <f t="shared" ref="AI43:AL43" si="95">SUM(AI39:AI42)</f>
        <v>0</v>
      </c>
      <c r="AJ43" s="96">
        <f t="shared" si="95"/>
        <v>0</v>
      </c>
      <c r="AK43" s="96">
        <f t="shared" si="95"/>
        <v>0</v>
      </c>
      <c r="AL43" s="96">
        <f t="shared" si="95"/>
        <v>0</v>
      </c>
      <c r="AM43" s="94">
        <f t="shared" si="12"/>
        <v>0</v>
      </c>
      <c r="AN43" s="95">
        <f>SUM(AN39:AN42)</f>
        <v>0</v>
      </c>
      <c r="AO43" s="96">
        <f t="shared" si="35"/>
        <v>0</v>
      </c>
      <c r="AP43" s="94">
        <f t="shared" si="14"/>
        <v>0</v>
      </c>
      <c r="AQ43" s="105">
        <f>IF(F43&lt;&gt;0,(AF43*COUNT(AQ39:AQ42)/F43),0)</f>
        <v>0</v>
      </c>
      <c r="AR43" s="106">
        <f>IF(G43&lt;&gt;0,(AG43*COUNT(AR39:AR42)/G43),0)</f>
        <v>0</v>
      </c>
      <c r="AS43" s="94">
        <f t="shared" si="32"/>
        <v>0</v>
      </c>
      <c r="AT43" s="95">
        <f>SUM(AT39:AT42)</f>
        <v>0</v>
      </c>
      <c r="AU43" s="96">
        <f t="shared" si="16"/>
        <v>0</v>
      </c>
      <c r="AV43" s="94">
        <f t="shared" si="17"/>
        <v>0</v>
      </c>
      <c r="AW43" s="107"/>
      <c r="AX43" s="108"/>
      <c r="AY43" s="94">
        <f t="shared" si="18"/>
        <v>0</v>
      </c>
      <c r="AZ43" s="110">
        <f>SUM(AZ39:AZ42)</f>
        <v>0</v>
      </c>
      <c r="BA43" s="111">
        <f>SUM(BA39:BA42)</f>
        <v>0</v>
      </c>
      <c r="BB43" s="94">
        <f t="shared" si="19"/>
        <v>0</v>
      </c>
      <c r="BC43" s="95">
        <f>SUM(BC39:BC42)</f>
        <v>0</v>
      </c>
      <c r="BD43" s="96">
        <f t="shared" si="20"/>
        <v>0</v>
      </c>
      <c r="BE43" s="94">
        <f t="shared" si="21"/>
        <v>0</v>
      </c>
      <c r="BF43" s="110">
        <f>SUM(BF39:BF42)</f>
        <v>0</v>
      </c>
      <c r="BG43" s="111">
        <f>SUM(BG39:BG42)</f>
        <v>0</v>
      </c>
      <c r="BH43" s="94">
        <f t="shared" si="23"/>
        <v>0</v>
      </c>
      <c r="BI43" s="111">
        <f t="shared" si="56"/>
        <v>0</v>
      </c>
      <c r="BJ43" s="112">
        <f t="shared" si="56"/>
        <v>0</v>
      </c>
      <c r="BK43" s="101">
        <f t="shared" si="25"/>
        <v>0</v>
      </c>
      <c r="BL43" s="283"/>
      <c r="BM43" s="249"/>
      <c r="BN43" s="249"/>
      <c r="BO43" s="284"/>
    </row>
    <row r="44" spans="1:67" ht="16.5" thickBot="1" x14ac:dyDescent="0.3">
      <c r="A44"/>
      <c r="B44" s="7" t="s">
        <v>341</v>
      </c>
      <c r="C44" s="113">
        <f>C32+C38+C43</f>
        <v>0</v>
      </c>
      <c r="D44" s="114">
        <f>D32+D38+D43</f>
        <v>0</v>
      </c>
      <c r="E44" s="115">
        <f t="shared" si="0"/>
        <v>0</v>
      </c>
      <c r="F44" s="116">
        <f>F32+F38+F43</f>
        <v>0</v>
      </c>
      <c r="G44" s="117">
        <f>G32+G38+G43</f>
        <v>0</v>
      </c>
      <c r="H44" s="115">
        <f t="shared" si="1"/>
        <v>0</v>
      </c>
      <c r="I44" s="179">
        <f>IF(F27&lt;&gt;0,F44/F27,0)</f>
        <v>0</v>
      </c>
      <c r="J44" s="179">
        <f>IF(G27&lt;&gt;0,G44/G27,0)</f>
        <v>0</v>
      </c>
      <c r="K44" s="113">
        <f>K32+K38+K43</f>
        <v>0</v>
      </c>
      <c r="L44" s="114">
        <f>L32+L38+L43</f>
        <v>0</v>
      </c>
      <c r="M44" s="118">
        <f t="shared" si="2"/>
        <v>0</v>
      </c>
      <c r="N44" s="166">
        <f>IFERROR(K44/C44,0)</f>
        <v>0</v>
      </c>
      <c r="O44" s="167">
        <f>IFERROR(L44/D44,0)</f>
        <v>0</v>
      </c>
      <c r="P44" s="115">
        <f t="shared" si="65"/>
        <v>0</v>
      </c>
      <c r="Q44" s="119">
        <f>IFERROR(C44/F44,0)</f>
        <v>0</v>
      </c>
      <c r="R44" s="120">
        <f>IFERROR(D44/G44,0)</f>
        <v>0</v>
      </c>
      <c r="S44" s="115">
        <f t="shared" si="4"/>
        <v>0</v>
      </c>
      <c r="T44" s="119">
        <f>IFERROR((C44*(1-N44))/F44,0)</f>
        <v>0</v>
      </c>
      <c r="U44" s="120">
        <f>IFERROR((D44*(1-O44))/G44,0)</f>
        <v>0</v>
      </c>
      <c r="V44" s="115">
        <f t="shared" si="5"/>
        <v>0</v>
      </c>
      <c r="W44" s="119">
        <f>IFERROR((W32*F32+W38*F38+W43*F43)/F44,0)</f>
        <v>0</v>
      </c>
      <c r="X44" s="120">
        <f>IFERROR((X32*G32+X38*G38+X43*G43)/G44,0)</f>
        <v>0</v>
      </c>
      <c r="Y44" s="115">
        <f t="shared" si="6"/>
        <v>0</v>
      </c>
      <c r="Z44" s="121">
        <f t="shared" si="66"/>
        <v>0</v>
      </c>
      <c r="AA44" s="122">
        <f t="shared" si="60"/>
        <v>0</v>
      </c>
      <c r="AB44" s="115">
        <f>IFERROR(Z44-AA44,)</f>
        <v>0</v>
      </c>
      <c r="AC44" s="123">
        <f t="shared" si="94"/>
        <v>0</v>
      </c>
      <c r="AD44" s="124">
        <f t="shared" si="94"/>
        <v>0</v>
      </c>
      <c r="AE44" s="125">
        <f t="shared" si="31"/>
        <v>0</v>
      </c>
      <c r="AF44" s="116">
        <f>AF43</f>
        <v>0</v>
      </c>
      <c r="AG44" s="117">
        <f>AG43</f>
        <v>0</v>
      </c>
      <c r="AH44" s="115">
        <f t="shared" si="10"/>
        <v>0</v>
      </c>
      <c r="AI44" s="116">
        <f t="shared" ref="AI44:AL44" si="96">AI32+AI38+AI43</f>
        <v>0</v>
      </c>
      <c r="AJ44" s="117">
        <f t="shared" si="96"/>
        <v>0</v>
      </c>
      <c r="AK44" s="117">
        <f t="shared" si="96"/>
        <v>0</v>
      </c>
      <c r="AL44" s="117">
        <f t="shared" si="96"/>
        <v>0</v>
      </c>
      <c r="AM44" s="115">
        <f t="shared" si="12"/>
        <v>0</v>
      </c>
      <c r="AN44" s="116">
        <f>AN32+AN38+AN43</f>
        <v>0</v>
      </c>
      <c r="AO44" s="117">
        <f>AO32+AO38+AO43</f>
        <v>0</v>
      </c>
      <c r="AP44" s="115">
        <f t="shared" si="14"/>
        <v>0</v>
      </c>
      <c r="AQ44" s="126">
        <f>IF(F44&lt;&gt;0,(AF44*$B$24/F44),0)</f>
        <v>0</v>
      </c>
      <c r="AR44" s="127">
        <f>IF(G44&lt;&gt;0,(AG44*$B$24/G44),0)</f>
        <v>0</v>
      </c>
      <c r="AS44" s="115">
        <f t="shared" si="32"/>
        <v>0</v>
      </c>
      <c r="AT44" s="116">
        <f>AT32+AT38+AT43</f>
        <v>0</v>
      </c>
      <c r="AU44" s="117">
        <f>AU32+AU38+AU43</f>
        <v>0</v>
      </c>
      <c r="AV44" s="115">
        <f t="shared" si="17"/>
        <v>0</v>
      </c>
      <c r="AW44" s="128"/>
      <c r="AX44" s="129"/>
      <c r="AY44" s="115">
        <f t="shared" si="18"/>
        <v>0</v>
      </c>
      <c r="AZ44" s="130">
        <f>AZ32+AZ38+AZ43</f>
        <v>0</v>
      </c>
      <c r="BA44" s="117">
        <f>BA32+BA38+BA43</f>
        <v>0</v>
      </c>
      <c r="BB44" s="115">
        <f t="shared" si="19"/>
        <v>0</v>
      </c>
      <c r="BC44" s="116">
        <f>BC32+BC38+BC43</f>
        <v>0</v>
      </c>
      <c r="BD44" s="117">
        <f>BD32+BD38+BD43</f>
        <v>0</v>
      </c>
      <c r="BE44" s="115">
        <f t="shared" si="21"/>
        <v>0</v>
      </c>
      <c r="BF44" s="131">
        <f>BF32+BF38+BF43</f>
        <v>0</v>
      </c>
      <c r="BG44" s="132">
        <f>BG32+BG38+BG43</f>
        <v>0</v>
      </c>
      <c r="BH44" s="115">
        <f t="shared" si="23"/>
        <v>0</v>
      </c>
      <c r="BI44" s="132">
        <f t="shared" si="56"/>
        <v>0</v>
      </c>
      <c r="BJ44" s="133">
        <f t="shared" si="56"/>
        <v>0</v>
      </c>
      <c r="BK44" s="122">
        <f t="shared" si="25"/>
        <v>0</v>
      </c>
      <c r="BL44" s="283"/>
      <c r="BM44" s="249"/>
      <c r="BN44" s="249"/>
      <c r="BO44" s="284"/>
    </row>
    <row r="45" spans="1:67" x14ac:dyDescent="0.25">
      <c r="A45"/>
      <c r="B45" s="185">
        <v>27</v>
      </c>
      <c r="C45" s="67">
        <f t="shared" ref="C45:D48" si="97">F45*Q45</f>
        <v>0</v>
      </c>
      <c r="D45" s="68">
        <f t="shared" si="97"/>
        <v>0</v>
      </c>
      <c r="E45" s="69">
        <f t="shared" si="0"/>
        <v>0</v>
      </c>
      <c r="F45" s="157">
        <f>IF(NewPlan=TRUE,IF(AF44-(G45*J45)&lt;0,AF44,G45*J45),IFERROR(VLOOKUP(FiscalYr &amp; $B45&amp;F$4,tblForecast,F$2,FALSE),0))</f>
        <v>0</v>
      </c>
      <c r="G45" s="189">
        <f>IFERROR(VLOOKUP(FiscalYr-IF(CompareVer="LY",1,0) &amp; $B45 + IF(FiscalYr=2018,1,0)&amp;G$4,tblForecast,G$2,FALSE),0)</f>
        <v>0</v>
      </c>
      <c r="H45" s="69">
        <f t="shared" si="1"/>
        <v>0</v>
      </c>
      <c r="I45" s="177">
        <f>IFERROR(IF(F42&lt;&gt;0,F45/F42,0),0)</f>
        <v>0</v>
      </c>
      <c r="J45" s="177">
        <f>IFERROR(IF(G42&lt;&gt;0,G45/G42,0),0)</f>
        <v>0</v>
      </c>
      <c r="K45" s="67">
        <f>IFERROR(C45*N45,0)</f>
        <v>0</v>
      </c>
      <c r="L45" s="68">
        <f t="shared" ref="L45:L48" si="98">D45*O45</f>
        <v>0</v>
      </c>
      <c r="M45" s="72">
        <f t="shared" si="2"/>
        <v>0</v>
      </c>
      <c r="N45" s="162">
        <f t="shared" ref="N45:O48" si="99">IF(Q45&lt;&gt;0,1-T45/Q45,0)</f>
        <v>0</v>
      </c>
      <c r="O45" s="163">
        <f t="shared" si="99"/>
        <v>0</v>
      </c>
      <c r="P45" s="69">
        <f>IFERROR(N45-O45,)</f>
        <v>0</v>
      </c>
      <c r="Q45" s="158">
        <f>IF(NewPlan=TRUE,IF(BM45=0,R45,BM45),IFERROR(VLOOKUP(FiscalYr&amp;$B45&amp;Q$4,tblForecast,Q$2,FALSE),0))</f>
        <v>0</v>
      </c>
      <c r="R45" s="73">
        <f>IFERROR(VLOOKUP(FiscalYr-IF(CompareVer="LY",1,0) &amp; $B45 + IF(FiscalYr=2018,1,0)&amp;R$4,tblForecast,R$2,FALSE),0)</f>
        <v>0</v>
      </c>
      <c r="S45" s="69">
        <f t="shared" si="4"/>
        <v>0</v>
      </c>
      <c r="T45" s="158">
        <f>IF(NewPlan=TRUE,IF(BO45=0,U45,BO45),IFERROR(VLOOKUP(FiscalYr &amp; $B45&amp;T$4,tblForecast,T$2,FALSE),0))</f>
        <v>0</v>
      </c>
      <c r="U45" s="73">
        <f>IFERROR(VLOOKUP(FiscalYr-IF(CompareVer="LY",1,0) &amp; $B45 + IF(FiscalYr=2018,1,0)&amp;U$4,tblForecast,U$2,FALSE),0)</f>
        <v>0</v>
      </c>
      <c r="V45" s="69">
        <f t="shared" si="5"/>
        <v>0</v>
      </c>
      <c r="W45" s="158">
        <f>IF(NewPlan=TRUE,IF(BN45=0,X45,BN45),IFERROR(VLOOKUP(FiscalYr &amp; $B45&amp;W$4,tblForecast,W$2,FALSE),0))</f>
        <v>0</v>
      </c>
      <c r="X45" s="73">
        <f>IFERROR(VLOOKUP(FiscalYr-IF(CompareVer="LY",1,0) &amp; $B45 + IF(FiscalYr=2018,1,0)&amp;X$4,tblForecast,X$2,FALSE),0)</f>
        <v>0</v>
      </c>
      <c r="Y45" s="69">
        <f t="shared" si="6"/>
        <v>0</v>
      </c>
      <c r="Z45" s="74">
        <f t="shared" si="66"/>
        <v>0</v>
      </c>
      <c r="AA45" s="75">
        <f t="shared" si="60"/>
        <v>0</v>
      </c>
      <c r="AB45" s="69">
        <f>IFERROR(Z45-AA45,)</f>
        <v>0</v>
      </c>
      <c r="AC45" s="76">
        <f t="shared" si="94"/>
        <v>0</v>
      </c>
      <c r="AD45" s="77">
        <f t="shared" si="94"/>
        <v>0</v>
      </c>
      <c r="AE45" s="78">
        <f t="shared" si="31"/>
        <v>0</v>
      </c>
      <c r="AF45" s="238">
        <f>IF(AF44+AK45+AN45-F45&lt;0,0,AF44+AK45+AN45-F45)</f>
        <v>0</v>
      </c>
      <c r="AG45" s="71">
        <f>IFERROR(VLOOKUP(FiscalYr-IF(CompareVer="LY",1,0) &amp; $B45 + IF(FiscalYr=2018,1,0)&amp;AG$4,tblForecast,AG$2,FALSE),0)</f>
        <v>0</v>
      </c>
      <c r="AH45" s="69">
        <f t="shared" si="10"/>
        <v>0</v>
      </c>
      <c r="AI45" s="157">
        <f t="shared" ref="AI45:AJ48" si="100">IFERROR(VLOOKUP(FiscalYr &amp; $B45&amp;AI$4,tblForecast,AI$2,FALSE),0)</f>
        <v>0</v>
      </c>
      <c r="AJ45" s="71">
        <f t="shared" si="100"/>
        <v>0</v>
      </c>
      <c r="AK45" s="79">
        <f>IF($A45="a",IFERROR(VLOOKUP(FiscalYr &amp; $B45&amp;AK$4,tblForecast,AK$2,FALSE),0),AI45+AJ45)</f>
        <v>0</v>
      </c>
      <c r="AL45" s="71">
        <f>IFERROR(VLOOKUP(FiscalYr-IF(CompareVer="LY",1,0) &amp; $B45 + IF(FiscalYr=2018,1,0)&amp;AL$4,tblForecast,AL$2,FALSE),0)</f>
        <v>0</v>
      </c>
      <c r="AM45" s="69">
        <f t="shared" si="12"/>
        <v>0</v>
      </c>
      <c r="AN45" s="157">
        <f t="shared" ref="AN45:AO48" si="101">IFERROR(VLOOKUP(FiscalYr &amp; $B45&amp;AN$4,tblForecast,AN$2,FALSE),0)</f>
        <v>0</v>
      </c>
      <c r="AO45" s="71">
        <f t="shared" si="101"/>
        <v>0</v>
      </c>
      <c r="AP45" s="69">
        <f t="shared" si="14"/>
        <v>0</v>
      </c>
      <c r="AQ45" s="80">
        <f t="shared" ref="AQ45:AR48" si="102">IF(F45&lt;&gt;0,AF45/F45,0)</f>
        <v>0</v>
      </c>
      <c r="AR45" s="81">
        <f t="shared" si="102"/>
        <v>0</v>
      </c>
      <c r="AS45" s="69">
        <f>IFERROR(AQ45/AR45-1,)</f>
        <v>0</v>
      </c>
      <c r="AT45" s="157">
        <f>IFERROR(VLOOKUP(FiscalYr &amp; $B45&amp;AT$4,tblForecast,AT$2,FALSE),0)</f>
        <v>0</v>
      </c>
      <c r="AU45" s="71">
        <f t="shared" ref="AU45:AU77" si="103">IFERROR(VLOOKUP(FiscalYr-1 &amp; $B45&amp; FCLY,tblForecast,AT$2,FALSE),0)</f>
        <v>0</v>
      </c>
      <c r="AV45" s="69">
        <f t="shared" si="17"/>
        <v>0</v>
      </c>
      <c r="AW45" s="82"/>
      <c r="AX45" s="83"/>
      <c r="AY45" s="69">
        <f t="shared" si="18"/>
        <v>0</v>
      </c>
      <c r="AZ45" s="84"/>
      <c r="BA45" s="85"/>
      <c r="BB45" s="69">
        <f t="shared" si="19"/>
        <v>0</v>
      </c>
      <c r="BC45" s="157">
        <f>IFERROR(VLOOKUP(FiscalYr &amp; $B45&amp;BC$4,tblForecast,BC$2,FALSE),0)</f>
        <v>0</v>
      </c>
      <c r="BD45" s="71">
        <f t="shared" ref="BD45:BD77" si="104">IFERROR(VLOOKUP(FiscalYr-1 &amp; $B45&amp; FCLY,tblForecast,BC$2,FALSE),0)</f>
        <v>0</v>
      </c>
      <c r="BE45" s="69">
        <f t="shared" si="21"/>
        <v>0</v>
      </c>
      <c r="BF45" s="90">
        <f>IFERROR(VLOOKUP(FiscalYr &amp; $B45&amp;BF$4,tblForecast,BF$2,FALSE),0)</f>
        <v>0</v>
      </c>
      <c r="BG45" s="85">
        <f t="shared" ref="BG45:BG48" si="105">IFERROR(VLOOKUP(FiscalYr-1 &amp; $B45&amp; FCLY,tblForecast,BF$2,FALSE),0)</f>
        <v>0</v>
      </c>
      <c r="BH45" s="69">
        <f t="shared" si="23"/>
        <v>0</v>
      </c>
      <c r="BI45" s="85">
        <f t="shared" si="56"/>
        <v>0</v>
      </c>
      <c r="BJ45" s="86">
        <f t="shared" si="56"/>
        <v>0</v>
      </c>
      <c r="BK45" s="75">
        <f t="shared" si="25"/>
        <v>0</v>
      </c>
      <c r="BL45" s="283">
        <f>IFERROR(VLOOKUP(Brand&amp;Channel&amp;Country&amp;$B45,tblDiscount,6,FALSE),0)</f>
        <v>0.7</v>
      </c>
      <c r="BM45" s="249">
        <f>(1-BL45)*BN45</f>
        <v>0</v>
      </c>
      <c r="BN45" s="249">
        <f>IFERROR(VLOOKUP(Brand&amp;Country &amp; Channel &amp;FC,tblFCSettings,8,FALSE),0)</f>
        <v>0</v>
      </c>
      <c r="BO45" s="284">
        <f>IFERROR(VLOOKUP(Brand&amp;Country &amp; Channel &amp;FC,tblFCSettings,9,FALSE),0)</f>
        <v>0</v>
      </c>
    </row>
    <row r="46" spans="1:67" x14ac:dyDescent="0.25">
      <c r="A46"/>
      <c r="B46" s="185">
        <v>28</v>
      </c>
      <c r="C46" s="87">
        <f t="shared" si="97"/>
        <v>0</v>
      </c>
      <c r="D46" s="68">
        <f t="shared" si="97"/>
        <v>0</v>
      </c>
      <c r="E46" s="69">
        <f t="shared" si="0"/>
        <v>0</v>
      </c>
      <c r="F46" s="157">
        <f>IF(NewPlan=TRUE,IF(AF45-(G46*J46)&lt;0,AF45,G46*J46),IFERROR(VLOOKUP(FiscalYr &amp; $B46&amp;F$4,tblForecast,F$2,FALSE),0))</f>
        <v>0</v>
      </c>
      <c r="G46" s="189">
        <f>IFERROR(VLOOKUP(FiscalYr-IF(CompareVer="LY",1,0) &amp; $B46 + IF(FiscalYr=2018,1,0)&amp;G$4,tblForecast,G$2,FALSE),0)</f>
        <v>0</v>
      </c>
      <c r="H46" s="69">
        <f t="shared" si="1"/>
        <v>0</v>
      </c>
      <c r="I46" s="177">
        <f>IFERROR(IF(F45&lt;&gt;0,F46/F45,0),0)</f>
        <v>0</v>
      </c>
      <c r="J46" s="177">
        <f>IFERROR(IF(G45&lt;&gt;0,G46/G45,0),0)</f>
        <v>0</v>
      </c>
      <c r="K46" s="87">
        <f t="shared" ref="K46:K48" si="106">IFERROR(C46*N46,0)</f>
        <v>0</v>
      </c>
      <c r="L46" s="68">
        <f t="shared" si="98"/>
        <v>0</v>
      </c>
      <c r="M46" s="72">
        <f t="shared" si="2"/>
        <v>0</v>
      </c>
      <c r="N46" s="162">
        <f t="shared" si="99"/>
        <v>0</v>
      </c>
      <c r="O46" s="163">
        <f t="shared" si="99"/>
        <v>0</v>
      </c>
      <c r="P46" s="69">
        <f t="shared" ref="P46:P61" si="107">IFERROR(N46-O46,)</f>
        <v>0</v>
      </c>
      <c r="Q46" s="158">
        <f>IF(NewPlan=TRUE,IF(BM46=0,R46,BM46),IFERROR(VLOOKUP(FiscalYr&amp;$B46&amp;Q$4,tblForecast,Q$2,FALSE),0))</f>
        <v>0</v>
      </c>
      <c r="R46" s="73">
        <f>IFERROR(VLOOKUP(FiscalYr-IF(CompareVer="LY",1,0) &amp; $B46 + IF(FiscalYr=2018,1,0)&amp;R$4,tblForecast,R$2,FALSE),0)</f>
        <v>0</v>
      </c>
      <c r="S46" s="69">
        <f t="shared" si="4"/>
        <v>0</v>
      </c>
      <c r="T46" s="158">
        <f>IF(NewPlan=TRUE,IF(BO46=0,U46,BO46),IFERROR(VLOOKUP(FiscalYr &amp; $B46&amp;T$4,tblForecast,T$2,FALSE),0))</f>
        <v>0</v>
      </c>
      <c r="U46" s="73">
        <f>IFERROR(VLOOKUP(FiscalYr-IF(CompareVer="LY",1,0) &amp; $B46 + IF(FiscalYr=2018,1,0)&amp;U$4,tblForecast,U$2,FALSE),0)</f>
        <v>0</v>
      </c>
      <c r="V46" s="69">
        <f t="shared" si="5"/>
        <v>0</v>
      </c>
      <c r="W46" s="158">
        <f>IF(NewPlan=TRUE,IF(BN46=0,X46,BN46),IFERROR(VLOOKUP(FiscalYr &amp; $B46&amp;W$4,tblForecast,W$2,FALSE),0))</f>
        <v>0</v>
      </c>
      <c r="X46" s="73">
        <f>IFERROR(VLOOKUP(FiscalYr-IF(CompareVer="LY",1,0) &amp; $B46 + IF(FiscalYr=2018,1,0)&amp;X$4,tblForecast,X$2,FALSE),0)</f>
        <v>0</v>
      </c>
      <c r="Y46" s="69">
        <f t="shared" si="6"/>
        <v>0</v>
      </c>
      <c r="Z46" s="74">
        <f t="shared" si="66"/>
        <v>0</v>
      </c>
      <c r="AA46" s="75">
        <f t="shared" si="60"/>
        <v>0</v>
      </c>
      <c r="AB46" s="69">
        <f t="shared" ref="AB46:AB60" si="108">IFERROR(Z46-AA46,)</f>
        <v>0</v>
      </c>
      <c r="AC46" s="88">
        <f t="shared" si="94"/>
        <v>0</v>
      </c>
      <c r="AD46" s="77">
        <f t="shared" si="94"/>
        <v>0</v>
      </c>
      <c r="AE46" s="78">
        <f t="shared" si="31"/>
        <v>0</v>
      </c>
      <c r="AF46" s="238">
        <f t="shared" ref="AF46:AF48" si="109">IF(AF45+AK46+AN46-F46&lt;0,0,AF45+AK46+AN46-F46)</f>
        <v>0</v>
      </c>
      <c r="AG46" s="71">
        <f>IFERROR(VLOOKUP(FiscalYr-IF(CompareVer="LY",1,0) &amp; $B46 + IF(FiscalYr=2018,1,0)&amp;AG$4,tblForecast,AG$2,FALSE),0)</f>
        <v>0</v>
      </c>
      <c r="AH46" s="69">
        <f t="shared" si="10"/>
        <v>0</v>
      </c>
      <c r="AI46" s="157">
        <f t="shared" si="100"/>
        <v>0</v>
      </c>
      <c r="AJ46" s="71">
        <f t="shared" si="100"/>
        <v>0</v>
      </c>
      <c r="AK46" s="71">
        <f>IF($A46="a",IFERROR(VLOOKUP(FiscalYr &amp; $B46&amp;AK$4,tblForecast,AK$2,FALSE),0),AI46+AJ46)</f>
        <v>0</v>
      </c>
      <c r="AL46" s="71">
        <f>IFERROR(VLOOKUP(FiscalYr-IF(CompareVer="LY",1,0) &amp; $B46 + IF(FiscalYr=2018,1,0)&amp;AL$4,tblForecast,AL$2,FALSE),0)</f>
        <v>0</v>
      </c>
      <c r="AM46" s="69">
        <f t="shared" si="12"/>
        <v>0</v>
      </c>
      <c r="AN46" s="157">
        <f t="shared" si="101"/>
        <v>0</v>
      </c>
      <c r="AO46" s="71">
        <f t="shared" si="101"/>
        <v>0</v>
      </c>
      <c r="AP46" s="69">
        <f t="shared" si="14"/>
        <v>0</v>
      </c>
      <c r="AQ46" s="80">
        <f t="shared" si="102"/>
        <v>0</v>
      </c>
      <c r="AR46" s="89">
        <f t="shared" si="102"/>
        <v>0</v>
      </c>
      <c r="AS46" s="69">
        <f t="shared" ref="AS46:AS59" si="110">IFERROR(AQ46/AR46-1,)</f>
        <v>0</v>
      </c>
      <c r="AT46" s="157">
        <f>IFERROR(VLOOKUP(FiscalYr &amp; $B46&amp;AT$4,tblForecast,AT$2,FALSE),0)</f>
        <v>0</v>
      </c>
      <c r="AU46" s="71">
        <f t="shared" si="103"/>
        <v>0</v>
      </c>
      <c r="AV46" s="69">
        <f t="shared" si="17"/>
        <v>0</v>
      </c>
      <c r="AW46" s="82"/>
      <c r="AX46" s="83"/>
      <c r="AY46" s="69">
        <f t="shared" si="18"/>
        <v>0</v>
      </c>
      <c r="AZ46" s="84"/>
      <c r="BA46" s="85"/>
      <c r="BB46" s="69">
        <f t="shared" si="19"/>
        <v>0</v>
      </c>
      <c r="BC46" s="157">
        <f>IFERROR(VLOOKUP(FiscalYr &amp; $B46&amp;BC$4,tblForecast,BC$2,FALSE),0)</f>
        <v>0</v>
      </c>
      <c r="BD46" s="71">
        <f t="shared" si="104"/>
        <v>0</v>
      </c>
      <c r="BE46" s="69">
        <f t="shared" si="21"/>
        <v>0</v>
      </c>
      <c r="BF46" s="90">
        <f>IFERROR(VLOOKUP(FiscalYr &amp; $B46&amp;BF$4,tblForecast,BF$2,FALSE),0)</f>
        <v>0</v>
      </c>
      <c r="BG46" s="85">
        <f t="shared" si="105"/>
        <v>0</v>
      </c>
      <c r="BH46" s="69">
        <f t="shared" si="23"/>
        <v>0</v>
      </c>
      <c r="BI46" s="85">
        <f t="shared" si="56"/>
        <v>0</v>
      </c>
      <c r="BJ46" s="86">
        <f t="shared" si="56"/>
        <v>0</v>
      </c>
      <c r="BK46" s="75">
        <f t="shared" si="25"/>
        <v>0</v>
      </c>
      <c r="BL46" s="283">
        <f>IFERROR(VLOOKUP(Brand&amp;Channel&amp;Country&amp;$B46,tblDiscount,6,FALSE),0)</f>
        <v>0.7</v>
      </c>
      <c r="BM46" s="249">
        <f t="shared" ref="BM46:BM48" si="111">(1-BL46)*BN46</f>
        <v>0</v>
      </c>
      <c r="BN46" s="249">
        <f>IFERROR(VLOOKUP(Brand&amp;Country &amp; Channel &amp;FC,tblFCSettings,8,FALSE),0)</f>
        <v>0</v>
      </c>
      <c r="BO46" s="284">
        <f>IFERROR(VLOOKUP(Brand&amp;Country &amp; Channel &amp;FC,tblFCSettings,9,FALSE),0)</f>
        <v>0</v>
      </c>
    </row>
    <row r="47" spans="1:67" x14ac:dyDescent="0.25">
      <c r="A47"/>
      <c r="B47" s="185">
        <v>29</v>
      </c>
      <c r="C47" s="87">
        <f t="shared" si="97"/>
        <v>0</v>
      </c>
      <c r="D47" s="68">
        <f t="shared" si="97"/>
        <v>0</v>
      </c>
      <c r="E47" s="69">
        <f t="shared" si="0"/>
        <v>0</v>
      </c>
      <c r="F47" s="157">
        <f>IF(NewPlan=TRUE,IF(AF46-(G47*J47)&lt;0,AF46,G47*J47),IFERROR(VLOOKUP(FiscalYr &amp; $B47&amp;F$4,tblForecast,F$2,FALSE),0))</f>
        <v>0</v>
      </c>
      <c r="G47" s="189">
        <f>IFERROR(VLOOKUP(FiscalYr-IF(CompareVer="LY",1,0) &amp; $B47 + IF(FiscalYr=2018,1,0)&amp;G$4,tblForecast,G$2,FALSE),0)</f>
        <v>0</v>
      </c>
      <c r="H47" s="69">
        <f t="shared" si="1"/>
        <v>0</v>
      </c>
      <c r="I47" s="177">
        <f t="shared" ref="I47:J48" si="112">IFERROR(IF(F46&lt;&gt;0,F47/F46,0),0)</f>
        <v>0</v>
      </c>
      <c r="J47" s="177">
        <f t="shared" si="112"/>
        <v>0</v>
      </c>
      <c r="K47" s="87">
        <f t="shared" si="106"/>
        <v>0</v>
      </c>
      <c r="L47" s="68">
        <f t="shared" si="98"/>
        <v>0</v>
      </c>
      <c r="M47" s="72">
        <f t="shared" si="2"/>
        <v>0</v>
      </c>
      <c r="N47" s="162">
        <f t="shared" si="99"/>
        <v>0</v>
      </c>
      <c r="O47" s="163">
        <f t="shared" si="99"/>
        <v>0</v>
      </c>
      <c r="P47" s="69">
        <f t="shared" si="107"/>
        <v>0</v>
      </c>
      <c r="Q47" s="158">
        <f>IF(NewPlan=TRUE,IF(BM47=0,R47,BM47),IFERROR(VLOOKUP(FiscalYr&amp;$B47&amp;Q$4,tblForecast,Q$2,FALSE),0))</f>
        <v>0</v>
      </c>
      <c r="R47" s="73">
        <f>IFERROR(VLOOKUP(FiscalYr-IF(CompareVer="LY",1,0) &amp; $B47 + IF(FiscalYr=2018,1,0)&amp;R$4,tblForecast,R$2,FALSE),0)</f>
        <v>0</v>
      </c>
      <c r="S47" s="69">
        <f t="shared" si="4"/>
        <v>0</v>
      </c>
      <c r="T47" s="158">
        <f>IF(NewPlan=TRUE,IF(BO47=0,U47,BO47),IFERROR(VLOOKUP(FiscalYr &amp; $B47&amp;T$4,tblForecast,T$2,FALSE),0))</f>
        <v>0</v>
      </c>
      <c r="U47" s="73">
        <f>IFERROR(VLOOKUP(FiscalYr-IF(CompareVer="LY",1,0) &amp; $B47 + IF(FiscalYr=2018,1,0)&amp;U$4,tblForecast,U$2,FALSE),0)</f>
        <v>0</v>
      </c>
      <c r="V47" s="69">
        <f t="shared" si="5"/>
        <v>0</v>
      </c>
      <c r="W47" s="158">
        <f>IF(NewPlan=TRUE,IF(BN47=0,X47,BN47),IFERROR(VLOOKUP(FiscalYr &amp; $B47&amp;W$4,tblForecast,W$2,FALSE),0))</f>
        <v>0</v>
      </c>
      <c r="X47" s="73">
        <f>IFERROR(VLOOKUP(FiscalYr-IF(CompareVer="LY",1,0) &amp; $B47 + IF(FiscalYr=2018,1,0)&amp;X$4,tblForecast,X$2,FALSE),0)</f>
        <v>0</v>
      </c>
      <c r="Y47" s="69">
        <f t="shared" si="6"/>
        <v>0</v>
      </c>
      <c r="Z47" s="74">
        <f t="shared" si="66"/>
        <v>0</v>
      </c>
      <c r="AA47" s="75">
        <f t="shared" si="60"/>
        <v>0</v>
      </c>
      <c r="AB47" s="69">
        <f t="shared" si="108"/>
        <v>0</v>
      </c>
      <c r="AC47" s="88">
        <f t="shared" si="94"/>
        <v>0</v>
      </c>
      <c r="AD47" s="77">
        <f t="shared" si="94"/>
        <v>0</v>
      </c>
      <c r="AE47" s="78">
        <f t="shared" si="31"/>
        <v>0</v>
      </c>
      <c r="AF47" s="238">
        <f t="shared" si="109"/>
        <v>0</v>
      </c>
      <c r="AG47" s="71">
        <f>IFERROR(VLOOKUP(FiscalYr-IF(CompareVer="LY",1,0) &amp; $B47 + IF(FiscalYr=2018,1,0)&amp;AG$4,tblForecast,AG$2,FALSE),0)</f>
        <v>0</v>
      </c>
      <c r="AH47" s="69">
        <f t="shared" si="10"/>
        <v>0</v>
      </c>
      <c r="AI47" s="157">
        <f t="shared" si="100"/>
        <v>0</v>
      </c>
      <c r="AJ47" s="71">
        <f t="shared" si="100"/>
        <v>0</v>
      </c>
      <c r="AK47" s="71">
        <f>IF($A47="a",IFERROR(VLOOKUP(FiscalYr &amp; $B47&amp;AK$4,tblForecast,AK$2,FALSE),0),AI47+AJ47)</f>
        <v>0</v>
      </c>
      <c r="AL47" s="71">
        <f>IFERROR(VLOOKUP(FiscalYr-IF(CompareVer="LY",1,0) &amp; $B47 + IF(FiscalYr=2018,1,0)&amp;AL$4,tblForecast,AL$2,FALSE),0)</f>
        <v>0</v>
      </c>
      <c r="AM47" s="69">
        <f t="shared" si="12"/>
        <v>0</v>
      </c>
      <c r="AN47" s="157">
        <f t="shared" si="101"/>
        <v>0</v>
      </c>
      <c r="AO47" s="71">
        <f t="shared" si="101"/>
        <v>0</v>
      </c>
      <c r="AP47" s="69">
        <f t="shared" si="14"/>
        <v>0</v>
      </c>
      <c r="AQ47" s="80">
        <f t="shared" si="102"/>
        <v>0</v>
      </c>
      <c r="AR47" s="89">
        <f t="shared" si="102"/>
        <v>0</v>
      </c>
      <c r="AS47" s="69">
        <f t="shared" si="110"/>
        <v>0</v>
      </c>
      <c r="AT47" s="157">
        <f>IFERROR(VLOOKUP(FiscalYr &amp; $B47&amp;AT$4,tblForecast,AT$2,FALSE),0)</f>
        <v>0</v>
      </c>
      <c r="AU47" s="71">
        <f t="shared" si="103"/>
        <v>0</v>
      </c>
      <c r="AV47" s="69">
        <f t="shared" si="17"/>
        <v>0</v>
      </c>
      <c r="AW47" s="82"/>
      <c r="AX47" s="83"/>
      <c r="AY47" s="69">
        <f t="shared" si="18"/>
        <v>0</v>
      </c>
      <c r="AZ47" s="84"/>
      <c r="BA47" s="85"/>
      <c r="BB47" s="69">
        <f t="shared" si="19"/>
        <v>0</v>
      </c>
      <c r="BC47" s="157">
        <f>IFERROR(VLOOKUP(FiscalYr &amp; $B47&amp;BC$4,tblForecast,BC$2,FALSE),0)</f>
        <v>0</v>
      </c>
      <c r="BD47" s="71">
        <f t="shared" si="104"/>
        <v>0</v>
      </c>
      <c r="BE47" s="69">
        <f t="shared" si="21"/>
        <v>0</v>
      </c>
      <c r="BF47" s="90">
        <f>IFERROR(VLOOKUP(FiscalYr &amp; $B47&amp;BF$4,tblForecast,BF$2,FALSE),0)</f>
        <v>0</v>
      </c>
      <c r="BG47" s="85">
        <f t="shared" si="105"/>
        <v>0</v>
      </c>
      <c r="BH47" s="69">
        <f t="shared" si="23"/>
        <v>0</v>
      </c>
      <c r="BI47" s="85">
        <f t="shared" si="56"/>
        <v>0</v>
      </c>
      <c r="BJ47" s="86">
        <f t="shared" si="56"/>
        <v>0</v>
      </c>
      <c r="BK47" s="75">
        <f t="shared" si="25"/>
        <v>0</v>
      </c>
      <c r="BL47" s="283">
        <f>IFERROR(VLOOKUP(Brand&amp;Channel&amp;Country&amp;$B47,tblDiscount,6,FALSE),0)</f>
        <v>0.75</v>
      </c>
      <c r="BM47" s="249">
        <f t="shared" si="111"/>
        <v>0</v>
      </c>
      <c r="BN47" s="249">
        <f>IFERROR(VLOOKUP(Brand&amp;Country &amp; Channel &amp;FC,tblFCSettings,8,FALSE),0)</f>
        <v>0</v>
      </c>
      <c r="BO47" s="284">
        <f>IFERROR(VLOOKUP(Brand&amp;Country &amp; Channel &amp;FC,tblFCSettings,9,FALSE),0)</f>
        <v>0</v>
      </c>
    </row>
    <row r="48" spans="1:67" ht="16.5" thickBot="1" x14ac:dyDescent="0.3">
      <c r="A48"/>
      <c r="B48" s="185">
        <v>30</v>
      </c>
      <c r="C48" s="91">
        <f t="shared" si="97"/>
        <v>0</v>
      </c>
      <c r="D48" s="68">
        <f t="shared" si="97"/>
        <v>0</v>
      </c>
      <c r="E48" s="69">
        <f t="shared" si="0"/>
        <v>0</v>
      </c>
      <c r="F48" s="157">
        <f>IF(NewPlan=TRUE,IF(AF47-(G48*J48)&lt;0,AF47,G48*J48),IFERROR(VLOOKUP(FiscalYr &amp; $B48&amp;F$4,tblForecast,F$2,FALSE),0))</f>
        <v>0</v>
      </c>
      <c r="G48" s="189">
        <f>IFERROR(VLOOKUP(FiscalYr-IF(CompareVer="LY",1,0) &amp; $B48 + IF(FiscalYr=2018,1,0)&amp;G$4,tblForecast,G$2,FALSE),0)</f>
        <v>0</v>
      </c>
      <c r="H48" s="69">
        <f t="shared" si="1"/>
        <v>0</v>
      </c>
      <c r="I48" s="177">
        <f t="shared" si="112"/>
        <v>0</v>
      </c>
      <c r="J48" s="177">
        <f t="shared" si="112"/>
        <v>0</v>
      </c>
      <c r="K48" s="91">
        <f t="shared" si="106"/>
        <v>0</v>
      </c>
      <c r="L48" s="68">
        <f t="shared" si="98"/>
        <v>0</v>
      </c>
      <c r="M48" s="72">
        <f t="shared" si="2"/>
        <v>0</v>
      </c>
      <c r="N48" s="162">
        <f t="shared" si="99"/>
        <v>0</v>
      </c>
      <c r="O48" s="163">
        <f t="shared" si="99"/>
        <v>0</v>
      </c>
      <c r="P48" s="69">
        <f t="shared" si="107"/>
        <v>0</v>
      </c>
      <c r="Q48" s="158">
        <f>IF(NewPlan=TRUE,IF(BM48=0,R48,BM48),IFERROR(VLOOKUP(FiscalYr&amp;$B48&amp;Q$4,tblForecast,Q$2,FALSE),0))</f>
        <v>0</v>
      </c>
      <c r="R48" s="73">
        <f>IFERROR(VLOOKUP(FiscalYr-IF(CompareVer="LY",1,0) &amp; $B48 + IF(FiscalYr=2018,1,0)&amp;R$4,tblForecast,R$2,FALSE),0)</f>
        <v>0</v>
      </c>
      <c r="S48" s="69">
        <f t="shared" si="4"/>
        <v>0</v>
      </c>
      <c r="T48" s="158">
        <f>IF(NewPlan=TRUE,IF(BO48=0,U48,BO48),IFERROR(VLOOKUP(FiscalYr &amp; $B48&amp;T$4,tblForecast,T$2,FALSE),0))</f>
        <v>0</v>
      </c>
      <c r="U48" s="73">
        <f>IFERROR(VLOOKUP(FiscalYr-IF(CompareVer="LY",1,0) &amp; $B48 + IF(FiscalYr=2018,1,0)&amp;U$4,tblForecast,U$2,FALSE),0)</f>
        <v>0</v>
      </c>
      <c r="V48" s="69">
        <f t="shared" si="5"/>
        <v>0</v>
      </c>
      <c r="W48" s="158">
        <f>IF(NewPlan=TRUE,IF(BN48=0,X48,BN48),IFERROR(VLOOKUP(FiscalYr &amp; $B48&amp;W$4,tblForecast,W$2,FALSE),0))</f>
        <v>0</v>
      </c>
      <c r="X48" s="73">
        <f>IFERROR(VLOOKUP(FiscalYr-IF(CompareVer="LY",1,0) &amp; $B48 + IF(FiscalYr=2018,1,0)&amp;X$4,tblForecast,X$2,FALSE),0)</f>
        <v>0</v>
      </c>
      <c r="Y48" s="69">
        <f t="shared" si="6"/>
        <v>0</v>
      </c>
      <c r="Z48" s="74">
        <f t="shared" si="66"/>
        <v>0</v>
      </c>
      <c r="AA48" s="75">
        <f t="shared" si="60"/>
        <v>0</v>
      </c>
      <c r="AB48" s="69">
        <f t="shared" si="108"/>
        <v>0</v>
      </c>
      <c r="AC48" s="88">
        <f t="shared" si="94"/>
        <v>0</v>
      </c>
      <c r="AD48" s="77">
        <f t="shared" si="94"/>
        <v>0</v>
      </c>
      <c r="AE48" s="78">
        <f t="shared" si="31"/>
        <v>0</v>
      </c>
      <c r="AF48" s="238">
        <f t="shared" si="109"/>
        <v>0</v>
      </c>
      <c r="AG48" s="71">
        <f>IFERROR(VLOOKUP(FiscalYr-IF(CompareVer="LY",1,0) &amp; $B48 + IF(FiscalYr=2018,1,0)&amp;AG$4,tblForecast,AG$2,FALSE),0)</f>
        <v>0</v>
      </c>
      <c r="AH48" s="69">
        <f t="shared" si="10"/>
        <v>0</v>
      </c>
      <c r="AI48" s="157">
        <f t="shared" si="100"/>
        <v>0</v>
      </c>
      <c r="AJ48" s="71">
        <f t="shared" si="100"/>
        <v>0</v>
      </c>
      <c r="AK48" s="71">
        <f>IF($A48="a",IFERROR(VLOOKUP(FiscalYr &amp; $B48&amp;AK$4,tblForecast,AK$2,FALSE),0),AI48+AJ48)</f>
        <v>0</v>
      </c>
      <c r="AL48" s="71">
        <f>IFERROR(VLOOKUP(FiscalYr-IF(CompareVer="LY",1,0) &amp; $B48 + IF(FiscalYr=2018,1,0)&amp;AL$4,tblForecast,AL$2,FALSE),0)</f>
        <v>0</v>
      </c>
      <c r="AM48" s="69">
        <f t="shared" si="12"/>
        <v>0</v>
      </c>
      <c r="AN48" s="157">
        <f t="shared" si="101"/>
        <v>0</v>
      </c>
      <c r="AO48" s="71">
        <f t="shared" si="101"/>
        <v>0</v>
      </c>
      <c r="AP48" s="69">
        <f t="shared" si="14"/>
        <v>0</v>
      </c>
      <c r="AQ48" s="80">
        <f t="shared" si="102"/>
        <v>0</v>
      </c>
      <c r="AR48" s="89">
        <f t="shared" si="102"/>
        <v>0</v>
      </c>
      <c r="AS48" s="69">
        <f t="shared" si="110"/>
        <v>0</v>
      </c>
      <c r="AT48" s="157">
        <f>IFERROR(VLOOKUP(FiscalYr &amp; $B48&amp;AT$4,tblForecast,AT$2,FALSE),0)</f>
        <v>0</v>
      </c>
      <c r="AU48" s="71">
        <f t="shared" si="103"/>
        <v>0</v>
      </c>
      <c r="AV48" s="69">
        <f t="shared" si="17"/>
        <v>0</v>
      </c>
      <c r="AW48" s="82"/>
      <c r="AX48" s="83"/>
      <c r="AY48" s="69">
        <f t="shared" si="18"/>
        <v>0</v>
      </c>
      <c r="AZ48" s="84"/>
      <c r="BA48" s="85"/>
      <c r="BB48" s="69">
        <f t="shared" si="19"/>
        <v>0</v>
      </c>
      <c r="BC48" s="157">
        <f>IFERROR(VLOOKUP(FiscalYr &amp; $B48&amp;BC$4,tblForecast,BC$2,FALSE),0)</f>
        <v>0</v>
      </c>
      <c r="BD48" s="71">
        <f t="shared" si="104"/>
        <v>0</v>
      </c>
      <c r="BE48" s="69">
        <f t="shared" si="21"/>
        <v>0</v>
      </c>
      <c r="BF48" s="90">
        <f>IFERROR(VLOOKUP(FiscalYr &amp; $B48&amp;BF$4,tblForecast,BF$2,FALSE),0)</f>
        <v>0</v>
      </c>
      <c r="BG48" s="85">
        <f t="shared" si="105"/>
        <v>0</v>
      </c>
      <c r="BH48" s="69">
        <f t="shared" si="23"/>
        <v>0</v>
      </c>
      <c r="BI48" s="85">
        <f t="shared" si="56"/>
        <v>0</v>
      </c>
      <c r="BJ48" s="86">
        <f t="shared" si="56"/>
        <v>0</v>
      </c>
      <c r="BK48" s="75">
        <f t="shared" si="25"/>
        <v>0</v>
      </c>
      <c r="BL48" s="283">
        <f>IFERROR(VLOOKUP(Brand&amp;Channel&amp;Country&amp;$B48,tblDiscount,6,FALSE),0)</f>
        <v>0.75</v>
      </c>
      <c r="BM48" s="249">
        <f t="shared" si="111"/>
        <v>0</v>
      </c>
      <c r="BN48" s="249">
        <f>IFERROR(VLOOKUP(Brand&amp;Country &amp; Channel &amp;FC,tblFCSettings,8,FALSE),0)</f>
        <v>0</v>
      </c>
      <c r="BO48" s="284">
        <f>IFERROR(VLOOKUP(Brand&amp;Country &amp; Channel &amp;FC,tblFCSettings,9,FALSE),0)</f>
        <v>0</v>
      </c>
    </row>
    <row r="49" spans="1:67" ht="16.5" thickBot="1" x14ac:dyDescent="0.3">
      <c r="A49"/>
      <c r="B49" s="6" t="s">
        <v>342</v>
      </c>
      <c r="C49" s="92">
        <f>SUM(C45:C48)</f>
        <v>0</v>
      </c>
      <c r="D49" s="93">
        <f>SUM(D45:D48)</f>
        <v>0</v>
      </c>
      <c r="E49" s="94">
        <f t="shared" si="0"/>
        <v>0</v>
      </c>
      <c r="F49" s="95">
        <f>SUM(F45:F48)</f>
        <v>0</v>
      </c>
      <c r="G49" s="96">
        <f>SUM(G45:G48)</f>
        <v>0</v>
      </c>
      <c r="H49" s="94">
        <f t="shared" si="1"/>
        <v>0</v>
      </c>
      <c r="I49" s="178">
        <f>IF(F43&lt;&gt;0,F49/F43-1,0)</f>
        <v>0</v>
      </c>
      <c r="J49" s="178">
        <f>IF(G43&lt;&gt;0,G49/G43-1,0)</f>
        <v>0</v>
      </c>
      <c r="K49" s="92">
        <f>SUM(K45:K48)</f>
        <v>0</v>
      </c>
      <c r="L49" s="93">
        <f>SUM(L45:L48)</f>
        <v>0</v>
      </c>
      <c r="M49" s="97">
        <f t="shared" si="2"/>
        <v>0</v>
      </c>
      <c r="N49" s="164">
        <f>IFERROR(K49/C49,0)</f>
        <v>0</v>
      </c>
      <c r="O49" s="165">
        <f>IFERROR(L49/D49,0)</f>
        <v>0</v>
      </c>
      <c r="P49" s="94">
        <f t="shared" si="107"/>
        <v>0</v>
      </c>
      <c r="Q49" s="98">
        <f>IFERROR(C49/F49,0)</f>
        <v>0</v>
      </c>
      <c r="R49" s="99">
        <f>IFERROR(D49/G49,0)</f>
        <v>0</v>
      </c>
      <c r="S49" s="94">
        <f t="shared" si="4"/>
        <v>0</v>
      </c>
      <c r="T49" s="98">
        <f>IFERROR((C49*(1-N49))/F49,0)</f>
        <v>0</v>
      </c>
      <c r="U49" s="99">
        <f>IFERROR((D49*(1-O49))/G49,0)</f>
        <v>0</v>
      </c>
      <c r="V49" s="94">
        <f t="shared" si="5"/>
        <v>0</v>
      </c>
      <c r="W49" s="98">
        <f>IFERROR(SUMPRODUCT(W45:W48,F45:F48)/F49,0)</f>
        <v>0</v>
      </c>
      <c r="X49" s="99">
        <f>IFERROR(SUMPRODUCT(X45:X48,G45:G48)/G49,0)</f>
        <v>0</v>
      </c>
      <c r="Y49" s="94">
        <f t="shared" si="6"/>
        <v>0</v>
      </c>
      <c r="Z49" s="100">
        <f t="shared" si="66"/>
        <v>0</v>
      </c>
      <c r="AA49" s="101">
        <f t="shared" si="60"/>
        <v>0</v>
      </c>
      <c r="AB49" s="94">
        <f t="shared" si="108"/>
        <v>0</v>
      </c>
      <c r="AC49" s="102">
        <f t="shared" si="94"/>
        <v>0</v>
      </c>
      <c r="AD49" s="103">
        <f t="shared" si="94"/>
        <v>0</v>
      </c>
      <c r="AE49" s="104">
        <f t="shared" si="31"/>
        <v>0</v>
      </c>
      <c r="AF49" s="95">
        <f>AF48</f>
        <v>0</v>
      </c>
      <c r="AG49" s="96">
        <f>AG48</f>
        <v>0</v>
      </c>
      <c r="AH49" s="94">
        <f t="shared" si="10"/>
        <v>0</v>
      </c>
      <c r="AI49" s="95">
        <f>SUM(AI45:AI48)</f>
        <v>0</v>
      </c>
      <c r="AJ49" s="96">
        <f>SUM(AJ45:AJ48)</f>
        <v>0</v>
      </c>
      <c r="AK49" s="96">
        <f>SUM(AK45:AK48)</f>
        <v>0</v>
      </c>
      <c r="AL49" s="96">
        <f>SUM(AL45:AL48)</f>
        <v>0</v>
      </c>
      <c r="AM49" s="94">
        <f t="shared" si="12"/>
        <v>0</v>
      </c>
      <c r="AN49" s="95">
        <f>SUM(AN45:AN48)</f>
        <v>0</v>
      </c>
      <c r="AO49" s="96">
        <f t="shared" ref="AO49" si="113">IFERROR(VLOOKUP(FiscalYr-1 &amp; $B49&amp; FCLY,tblForecast,AN$2,FALSE),0)</f>
        <v>0</v>
      </c>
      <c r="AP49" s="94">
        <f t="shared" si="14"/>
        <v>0</v>
      </c>
      <c r="AQ49" s="105">
        <f>IF(F49&lt;&gt;0,(AF49*COUNTIF(AQ45:AQ48,"&lt;&gt;0")/F49),0)</f>
        <v>0</v>
      </c>
      <c r="AR49" s="106">
        <f>IF(G49&lt;&gt;0,(AG49*COUNTIF(AR45:AR48,"&lt;&gt;0")/G49),0)</f>
        <v>0</v>
      </c>
      <c r="AS49" s="94">
        <f t="shared" si="110"/>
        <v>0</v>
      </c>
      <c r="AT49" s="95">
        <f>SUM(AT45:AT48)</f>
        <v>0</v>
      </c>
      <c r="AU49" s="96">
        <f t="shared" si="103"/>
        <v>0</v>
      </c>
      <c r="AV49" s="94">
        <f t="shared" si="17"/>
        <v>0</v>
      </c>
      <c r="AW49" s="107"/>
      <c r="AX49" s="108"/>
      <c r="AY49" s="94">
        <f t="shared" si="18"/>
        <v>0</v>
      </c>
      <c r="AZ49" s="134"/>
      <c r="BA49" s="111"/>
      <c r="BB49" s="94">
        <f t="shared" si="19"/>
        <v>0</v>
      </c>
      <c r="BC49" s="95">
        <f>SUM(BC45:BC48)</f>
        <v>0</v>
      </c>
      <c r="BD49" s="96">
        <f t="shared" si="104"/>
        <v>0</v>
      </c>
      <c r="BE49" s="94">
        <f t="shared" si="21"/>
        <v>0</v>
      </c>
      <c r="BF49" s="110">
        <f>SUM(BF45:BF48)</f>
        <v>0</v>
      </c>
      <c r="BG49" s="111">
        <f>SUM(BG45:BG48)</f>
        <v>0</v>
      </c>
      <c r="BH49" s="94">
        <f t="shared" si="23"/>
        <v>0</v>
      </c>
      <c r="BI49" s="111">
        <f t="shared" si="56"/>
        <v>0</v>
      </c>
      <c r="BJ49" s="112">
        <f t="shared" si="56"/>
        <v>0</v>
      </c>
      <c r="BK49" s="101">
        <f t="shared" si="25"/>
        <v>0</v>
      </c>
      <c r="BL49" s="283"/>
      <c r="BM49" s="249"/>
      <c r="BN49" s="249"/>
      <c r="BO49" s="284"/>
    </row>
    <row r="50" spans="1:67" x14ac:dyDescent="0.25">
      <c r="A50"/>
      <c r="B50" s="185">
        <v>31</v>
      </c>
      <c r="C50" s="87">
        <f t="shared" ref="C50:D54" si="114">F50*Q50</f>
        <v>0</v>
      </c>
      <c r="D50" s="68">
        <f t="shared" si="114"/>
        <v>0</v>
      </c>
      <c r="E50" s="69">
        <f t="shared" si="0"/>
        <v>0</v>
      </c>
      <c r="F50" s="157">
        <f>IF(NewPlan=TRUE,IF(AF49-(G50*J50)&lt;0,AF49,G50*J50),IFERROR(VLOOKUP(FiscalYr &amp; $B50&amp;F$4,tblForecast,F$2,FALSE),0))</f>
        <v>0</v>
      </c>
      <c r="G50" s="189">
        <f>IFERROR(VLOOKUP(FiscalYr-IF(CompareVer="LY",1,0) &amp; $B50 + IF(FiscalYr=2018,1,0)&amp;G$4,tblForecast,G$2,FALSE),0)</f>
        <v>0</v>
      </c>
      <c r="H50" s="69">
        <f t="shared" si="1"/>
        <v>0</v>
      </c>
      <c r="I50" s="177">
        <f>IFERROR(IF(F48&gt;0,F50/F48,0),0)</f>
        <v>0</v>
      </c>
      <c r="J50" s="177">
        <f>IFERROR(IF(G48&gt;0,G50/G48,0),0)</f>
        <v>0</v>
      </c>
      <c r="K50" s="87">
        <f t="shared" ref="K50:K54" si="115">IFERROR(C50*N50,0)</f>
        <v>0</v>
      </c>
      <c r="L50" s="68">
        <f t="shared" ref="L50:L54" si="116">D50*O50</f>
        <v>0</v>
      </c>
      <c r="M50" s="72">
        <f t="shared" si="2"/>
        <v>0</v>
      </c>
      <c r="N50" s="162">
        <f t="shared" ref="N50:O54" si="117">IF(Q50&lt;&gt;0,1-T50/Q50,0)</f>
        <v>0</v>
      </c>
      <c r="O50" s="163">
        <f t="shared" si="117"/>
        <v>0</v>
      </c>
      <c r="P50" s="69">
        <f t="shared" si="107"/>
        <v>0</v>
      </c>
      <c r="Q50" s="158">
        <f>IF(NewPlan=TRUE,IF(BM50=0,R50,BM50),IFERROR(VLOOKUP(FiscalYr&amp;$B50&amp;Q$4,tblForecast,Q$2,FALSE),0))</f>
        <v>0</v>
      </c>
      <c r="R50" s="73">
        <f>IFERROR(VLOOKUP(FiscalYr-IF(CompareVer="LY",1,0) &amp; $B50 + IF(FiscalYr=2018,1,0)&amp;R$4,tblForecast,R$2,FALSE),0)</f>
        <v>0</v>
      </c>
      <c r="S50" s="69">
        <f t="shared" si="4"/>
        <v>0</v>
      </c>
      <c r="T50" s="158">
        <f>IF(NewPlan=TRUE,IF(BO50=0,U50,BO50),IFERROR(VLOOKUP(FiscalYr &amp; $B50&amp;T$4,tblForecast,T$2,FALSE),0))</f>
        <v>0</v>
      </c>
      <c r="U50" s="73">
        <f>IFERROR(VLOOKUP(FiscalYr-IF(CompareVer="LY",1,0) &amp; $B50 + IF(FiscalYr=2018,1,0)&amp;U$4,tblForecast,U$2,FALSE),0)</f>
        <v>0</v>
      </c>
      <c r="V50" s="69">
        <f t="shared" si="5"/>
        <v>0</v>
      </c>
      <c r="W50" s="158">
        <f>IF(NewPlan=TRUE,IF(BN50=0,X50,BN50),IFERROR(VLOOKUP(FiscalYr &amp; $B50&amp;W$4,tblForecast,W$2,FALSE),0))</f>
        <v>0</v>
      </c>
      <c r="X50" s="73">
        <f>IFERROR(VLOOKUP(FiscalYr-IF(CompareVer="LY",1,0) &amp; $B50 + IF(FiscalYr=2018,1,0)&amp;X$4,tblForecast,X$2,FALSE),0)</f>
        <v>0</v>
      </c>
      <c r="Y50" s="69">
        <f t="shared" si="6"/>
        <v>0</v>
      </c>
      <c r="Z50" s="74">
        <f t="shared" si="66"/>
        <v>0</v>
      </c>
      <c r="AA50" s="75">
        <f t="shared" si="60"/>
        <v>0</v>
      </c>
      <c r="AB50" s="69">
        <f t="shared" si="108"/>
        <v>0</v>
      </c>
      <c r="AC50" s="88">
        <f t="shared" si="94"/>
        <v>0</v>
      </c>
      <c r="AD50" s="77">
        <f t="shared" si="94"/>
        <v>0</v>
      </c>
      <c r="AE50" s="78">
        <f t="shared" si="31"/>
        <v>0</v>
      </c>
      <c r="AF50" s="238">
        <f t="shared" ref="AF50:AF54" si="118">IF(AF49+AK50+AN50-F50&lt;0,0,AF49+AK50+AN50-F50)</f>
        <v>0</v>
      </c>
      <c r="AG50" s="71">
        <f>IFERROR(VLOOKUP(FiscalYr-IF(CompareVer="LY",1,0) &amp; $B50 + IF(FiscalYr=2018,1,0)&amp;AG$4,tblForecast,AG$2,FALSE),0)</f>
        <v>0</v>
      </c>
      <c r="AH50" s="69">
        <f t="shared" si="10"/>
        <v>0</v>
      </c>
      <c r="AI50" s="157">
        <f t="shared" ref="AI50:AJ54" si="119">IFERROR(VLOOKUP(FiscalYr &amp; $B50&amp;AI$4,tblForecast,AI$2,FALSE),0)</f>
        <v>0</v>
      </c>
      <c r="AJ50" s="71">
        <f t="shared" si="119"/>
        <v>0</v>
      </c>
      <c r="AK50" s="71">
        <f>IF($A50="a",IFERROR(VLOOKUP(FiscalYr &amp; $B50&amp;AK$4,tblForecast,AK$2,FALSE),0),AI50+AJ50)</f>
        <v>0</v>
      </c>
      <c r="AL50" s="71">
        <f>IFERROR(VLOOKUP(FiscalYr-IF(CompareVer="LY",1,0) &amp; $B50 + IF(FiscalYr=2018,1,0)&amp;AL$4,tblForecast,AL$2,FALSE),0)</f>
        <v>0</v>
      </c>
      <c r="AM50" s="69">
        <f t="shared" si="12"/>
        <v>0</v>
      </c>
      <c r="AN50" s="157">
        <f t="shared" ref="AN50:AO54" si="120">IFERROR(VLOOKUP(FiscalYr &amp; $B50&amp;AN$4,tblForecast,AN$2,FALSE),0)</f>
        <v>0</v>
      </c>
      <c r="AO50" s="71">
        <f t="shared" si="120"/>
        <v>0</v>
      </c>
      <c r="AP50" s="69">
        <f t="shared" si="14"/>
        <v>0</v>
      </c>
      <c r="AQ50" s="80">
        <f t="shared" ref="AQ50:AR54" si="121">IF(F50&lt;&gt;0,AF50/F50,0)</f>
        <v>0</v>
      </c>
      <c r="AR50" s="89">
        <f t="shared" si="121"/>
        <v>0</v>
      </c>
      <c r="AS50" s="69">
        <f t="shared" si="110"/>
        <v>0</v>
      </c>
      <c r="AT50" s="157">
        <f>IFERROR(VLOOKUP(FiscalYr &amp; $B50&amp;AT$4,tblForecast,AT$2,FALSE),0)</f>
        <v>0</v>
      </c>
      <c r="AU50" s="71">
        <f t="shared" si="103"/>
        <v>0</v>
      </c>
      <c r="AV50" s="69">
        <f t="shared" si="17"/>
        <v>0</v>
      </c>
      <c r="AW50" s="82"/>
      <c r="AX50" s="83"/>
      <c r="AY50" s="69">
        <f t="shared" si="18"/>
        <v>0</v>
      </c>
      <c r="AZ50" s="84"/>
      <c r="BA50" s="85"/>
      <c r="BB50" s="69">
        <f t="shared" si="19"/>
        <v>0</v>
      </c>
      <c r="BC50" s="157">
        <f>IFERROR(VLOOKUP(FiscalYr &amp; $B50&amp;BC$4,tblForecast,BC$2,FALSE),0)</f>
        <v>0</v>
      </c>
      <c r="BD50" s="71">
        <f t="shared" si="104"/>
        <v>0</v>
      </c>
      <c r="BE50" s="69">
        <f t="shared" si="21"/>
        <v>0</v>
      </c>
      <c r="BF50" s="90">
        <f>IFERROR(VLOOKUP(FiscalYr &amp; $B50&amp;BF$4,tblForecast,BF$2,FALSE),0)</f>
        <v>0</v>
      </c>
      <c r="BG50" s="85">
        <f t="shared" ref="BG50:BG54" si="122">IFERROR(VLOOKUP(FiscalYr-1 &amp; $B50&amp; FCLY,tblForecast,BF$2,FALSE),0)</f>
        <v>0</v>
      </c>
      <c r="BH50" s="69">
        <f t="shared" si="23"/>
        <v>0</v>
      </c>
      <c r="BI50" s="85">
        <f t="shared" si="56"/>
        <v>0</v>
      </c>
      <c r="BJ50" s="86">
        <f t="shared" si="56"/>
        <v>0</v>
      </c>
      <c r="BK50" s="75">
        <f t="shared" si="25"/>
        <v>0</v>
      </c>
      <c r="BL50" s="283">
        <f>IFERROR(VLOOKUP(Brand&amp;Channel&amp;Country&amp;$B50,tblDiscount,6,FALSE),0)</f>
        <v>0.75</v>
      </c>
      <c r="BM50" s="249">
        <f>(1-BL50)*BN50</f>
        <v>0</v>
      </c>
      <c r="BN50" s="249">
        <f>IFERROR(VLOOKUP(Brand&amp;Country &amp; Channel &amp;FC,tblFCSettings,8,FALSE),0)</f>
        <v>0</v>
      </c>
      <c r="BO50" s="284">
        <f>IFERROR(VLOOKUP(Brand&amp;Country &amp; Channel &amp;FC,tblFCSettings,9,FALSE),0)</f>
        <v>0</v>
      </c>
    </row>
    <row r="51" spans="1:67" x14ac:dyDescent="0.25">
      <c r="A51"/>
      <c r="B51" s="185">
        <v>32</v>
      </c>
      <c r="C51" s="87">
        <f t="shared" si="114"/>
        <v>0</v>
      </c>
      <c r="D51" s="68">
        <f t="shared" si="114"/>
        <v>0</v>
      </c>
      <c r="E51" s="69">
        <f t="shared" si="0"/>
        <v>0</v>
      </c>
      <c r="F51" s="157">
        <f>IF(NewPlan=TRUE,IF(AF50-(G51*J51)&lt;0,AF50,G51*J51),IFERROR(VLOOKUP(FiscalYr &amp; $B51&amp;F$4,tblForecast,F$2,FALSE),0))</f>
        <v>0</v>
      </c>
      <c r="G51" s="189">
        <f>IFERROR(VLOOKUP(FiscalYr-IF(CompareVer="LY",1,0) &amp; $B51 + IF(FiscalYr=2018,1,0)&amp;G$4,tblForecast,G$2,FALSE),0)</f>
        <v>0</v>
      </c>
      <c r="H51" s="69">
        <f t="shared" si="1"/>
        <v>0</v>
      </c>
      <c r="I51" s="177">
        <f t="shared" ref="I51:J54" si="123">IFERROR(IF(F50&lt;&gt;0,F51/F50,0),0)</f>
        <v>0</v>
      </c>
      <c r="J51" s="177">
        <f t="shared" si="123"/>
        <v>0</v>
      </c>
      <c r="K51" s="87">
        <f t="shared" si="115"/>
        <v>0</v>
      </c>
      <c r="L51" s="68">
        <f t="shared" si="116"/>
        <v>0</v>
      </c>
      <c r="M51" s="72">
        <f t="shared" si="2"/>
        <v>0</v>
      </c>
      <c r="N51" s="162">
        <f t="shared" si="117"/>
        <v>0</v>
      </c>
      <c r="O51" s="163">
        <f t="shared" si="117"/>
        <v>0</v>
      </c>
      <c r="P51" s="69">
        <f t="shared" si="107"/>
        <v>0</v>
      </c>
      <c r="Q51" s="158">
        <f>IF(NewPlan=TRUE,IF(BM51=0,R51,BM51),IFERROR(VLOOKUP(FiscalYr&amp;$B51&amp;Q$4,tblForecast,Q$2,FALSE),0))</f>
        <v>0</v>
      </c>
      <c r="R51" s="73">
        <f>IFERROR(VLOOKUP(FiscalYr-IF(CompareVer="LY",1,0) &amp; $B51 + IF(FiscalYr=2018,1,0)&amp;R$4,tblForecast,R$2,FALSE),0)</f>
        <v>0</v>
      </c>
      <c r="S51" s="69">
        <f t="shared" si="4"/>
        <v>0</v>
      </c>
      <c r="T51" s="158">
        <f>IF(NewPlan=TRUE,IF(BO51=0,U51,BO51),IFERROR(VLOOKUP(FiscalYr &amp; $B51&amp;T$4,tblForecast,T$2,FALSE),0))</f>
        <v>0</v>
      </c>
      <c r="U51" s="73">
        <f>IFERROR(VLOOKUP(FiscalYr-IF(CompareVer="LY",1,0) &amp; $B51 + IF(FiscalYr=2018,1,0)&amp;U$4,tblForecast,U$2,FALSE),0)</f>
        <v>0</v>
      </c>
      <c r="V51" s="69">
        <f t="shared" si="5"/>
        <v>0</v>
      </c>
      <c r="W51" s="158">
        <f>IF(NewPlan=TRUE,IF(BN51=0,X51,BN51),IFERROR(VLOOKUP(FiscalYr &amp; $B51&amp;W$4,tblForecast,W$2,FALSE),0))</f>
        <v>0</v>
      </c>
      <c r="X51" s="73">
        <f>IFERROR(VLOOKUP(FiscalYr-IF(CompareVer="LY",1,0) &amp; $B51 + IF(FiscalYr=2018,1,0)&amp;X$4,tblForecast,X$2,FALSE),0)</f>
        <v>0</v>
      </c>
      <c r="Y51" s="69">
        <f t="shared" si="6"/>
        <v>0</v>
      </c>
      <c r="Z51" s="74">
        <f t="shared" si="66"/>
        <v>0</v>
      </c>
      <c r="AA51" s="75">
        <f t="shared" si="60"/>
        <v>0</v>
      </c>
      <c r="AB51" s="69">
        <f t="shared" si="108"/>
        <v>0</v>
      </c>
      <c r="AC51" s="88">
        <f t="shared" si="94"/>
        <v>0</v>
      </c>
      <c r="AD51" s="77">
        <f t="shared" si="94"/>
        <v>0</v>
      </c>
      <c r="AE51" s="78">
        <f t="shared" si="31"/>
        <v>0</v>
      </c>
      <c r="AF51" s="238">
        <f t="shared" si="118"/>
        <v>0</v>
      </c>
      <c r="AG51" s="71">
        <f>IFERROR(VLOOKUP(FiscalYr-IF(CompareVer="LY",1,0) &amp; $B51 + IF(FiscalYr=2018,1,0)&amp;AG$4,tblForecast,AG$2,FALSE),0)</f>
        <v>0</v>
      </c>
      <c r="AH51" s="69">
        <f t="shared" si="10"/>
        <v>0</v>
      </c>
      <c r="AI51" s="157">
        <f t="shared" si="119"/>
        <v>0</v>
      </c>
      <c r="AJ51" s="71">
        <f t="shared" si="119"/>
        <v>0</v>
      </c>
      <c r="AK51" s="71">
        <f>IF($A51="a",IFERROR(VLOOKUP(FiscalYr &amp; $B51&amp;AK$4,tblForecast,AK$2,FALSE),0),AI51+AJ51)</f>
        <v>0</v>
      </c>
      <c r="AL51" s="71">
        <f>IFERROR(VLOOKUP(FiscalYr-IF(CompareVer="LY",1,0) &amp; $B51 + IF(FiscalYr=2018,1,0)&amp;AL$4,tblForecast,AL$2,FALSE),0)</f>
        <v>0</v>
      </c>
      <c r="AM51" s="69">
        <f t="shared" si="12"/>
        <v>0</v>
      </c>
      <c r="AN51" s="157">
        <f t="shared" si="120"/>
        <v>0</v>
      </c>
      <c r="AO51" s="71">
        <f t="shared" si="120"/>
        <v>0</v>
      </c>
      <c r="AP51" s="69">
        <f t="shared" si="14"/>
        <v>0</v>
      </c>
      <c r="AQ51" s="80">
        <f t="shared" si="121"/>
        <v>0</v>
      </c>
      <c r="AR51" s="89">
        <f t="shared" si="121"/>
        <v>0</v>
      </c>
      <c r="AS51" s="69">
        <f t="shared" si="110"/>
        <v>0</v>
      </c>
      <c r="AT51" s="157">
        <f>IFERROR(VLOOKUP(FiscalYr &amp; $B51&amp;AT$4,tblForecast,AT$2,FALSE),0)</f>
        <v>0</v>
      </c>
      <c r="AU51" s="71">
        <f t="shared" si="103"/>
        <v>0</v>
      </c>
      <c r="AV51" s="69">
        <f t="shared" si="17"/>
        <v>0</v>
      </c>
      <c r="AW51" s="82"/>
      <c r="AX51" s="83"/>
      <c r="AY51" s="69">
        <f t="shared" si="18"/>
        <v>0</v>
      </c>
      <c r="AZ51" s="84"/>
      <c r="BA51" s="85"/>
      <c r="BB51" s="69">
        <f t="shared" si="19"/>
        <v>0</v>
      </c>
      <c r="BC51" s="157">
        <f>IFERROR(VLOOKUP(FiscalYr &amp; $B51&amp;BC$4,tblForecast,BC$2,FALSE),0)</f>
        <v>0</v>
      </c>
      <c r="BD51" s="71">
        <f t="shared" si="104"/>
        <v>0</v>
      </c>
      <c r="BE51" s="69">
        <f t="shared" si="21"/>
        <v>0</v>
      </c>
      <c r="BF51" s="90">
        <f>IFERROR(VLOOKUP(FiscalYr &amp; $B51&amp;BF$4,tblForecast,BF$2,FALSE),0)</f>
        <v>0</v>
      </c>
      <c r="BG51" s="85">
        <f t="shared" si="122"/>
        <v>0</v>
      </c>
      <c r="BH51" s="69">
        <f t="shared" si="23"/>
        <v>0</v>
      </c>
      <c r="BI51" s="85">
        <f t="shared" si="56"/>
        <v>0</v>
      </c>
      <c r="BJ51" s="86">
        <f t="shared" si="56"/>
        <v>0</v>
      </c>
      <c r="BK51" s="75">
        <f t="shared" si="25"/>
        <v>0</v>
      </c>
      <c r="BL51" s="283">
        <f>IFERROR(VLOOKUP(Brand&amp;Channel&amp;Country&amp;$B51,tblDiscount,6,FALSE),0)</f>
        <v>0.75</v>
      </c>
      <c r="BM51" s="249">
        <f t="shared" ref="BM51:BM53" si="124">(1-BL51)*BN51</f>
        <v>0</v>
      </c>
      <c r="BN51" s="249">
        <f>IFERROR(VLOOKUP(Brand&amp;Country &amp; Channel &amp;FC,tblFCSettings,8,FALSE),0)</f>
        <v>0</v>
      </c>
      <c r="BO51" s="284">
        <f>IFERROR(VLOOKUP(Brand&amp;Country &amp; Channel &amp;FC,tblFCSettings,9,FALSE),0)</f>
        <v>0</v>
      </c>
    </row>
    <row r="52" spans="1:67" x14ac:dyDescent="0.25">
      <c r="A52"/>
      <c r="B52" s="185">
        <v>33</v>
      </c>
      <c r="C52" s="87">
        <f t="shared" si="114"/>
        <v>0</v>
      </c>
      <c r="D52" s="68">
        <f t="shared" si="114"/>
        <v>0</v>
      </c>
      <c r="E52" s="69">
        <f t="shared" si="0"/>
        <v>0</v>
      </c>
      <c r="F52" s="157">
        <f>IF(NewPlan=TRUE,IF(AF51-(G52*J52)&lt;0,AF51,G52*J52),IFERROR(VLOOKUP(FiscalYr &amp; $B52&amp;F$4,tblForecast,F$2,FALSE),0))</f>
        <v>0</v>
      </c>
      <c r="G52" s="189">
        <f>IFERROR(VLOOKUP(FiscalYr-IF(CompareVer="LY",1,0) &amp; $B52 + IF(FiscalYr=2018,1,0)&amp;G$4,tblForecast,G$2,FALSE),0)</f>
        <v>0</v>
      </c>
      <c r="H52" s="69">
        <f t="shared" si="1"/>
        <v>0</v>
      </c>
      <c r="I52" s="177">
        <f t="shared" si="123"/>
        <v>0</v>
      </c>
      <c r="J52" s="177">
        <f t="shared" si="123"/>
        <v>0</v>
      </c>
      <c r="K52" s="87">
        <f t="shared" si="115"/>
        <v>0</v>
      </c>
      <c r="L52" s="68">
        <f t="shared" si="116"/>
        <v>0</v>
      </c>
      <c r="M52" s="72">
        <f t="shared" si="2"/>
        <v>0</v>
      </c>
      <c r="N52" s="162">
        <f t="shared" si="117"/>
        <v>0</v>
      </c>
      <c r="O52" s="163">
        <f t="shared" si="117"/>
        <v>0</v>
      </c>
      <c r="P52" s="69">
        <f t="shared" si="107"/>
        <v>0</v>
      </c>
      <c r="Q52" s="158">
        <f>IF(NewPlan=TRUE,IF(BM52=0,R52,BM52),IFERROR(VLOOKUP(FiscalYr&amp;$B52&amp;Q$4,tblForecast,Q$2,FALSE),0))</f>
        <v>0</v>
      </c>
      <c r="R52" s="73">
        <f>IFERROR(VLOOKUP(FiscalYr-IF(CompareVer="LY",1,0) &amp; $B52 + IF(FiscalYr=2018,1,0)&amp;R$4,tblForecast,R$2,FALSE),0)</f>
        <v>0</v>
      </c>
      <c r="S52" s="69">
        <f t="shared" si="4"/>
        <v>0</v>
      </c>
      <c r="T52" s="158">
        <f>IF(NewPlan=TRUE,IF(BO52=0,U52,BO52),IFERROR(VLOOKUP(FiscalYr &amp; $B52&amp;T$4,tblForecast,T$2,FALSE),0))</f>
        <v>0</v>
      </c>
      <c r="U52" s="73">
        <f>IFERROR(VLOOKUP(FiscalYr-IF(CompareVer="LY",1,0) &amp; $B52 + IF(FiscalYr=2018,1,0)&amp;U$4,tblForecast,U$2,FALSE),0)</f>
        <v>0</v>
      </c>
      <c r="V52" s="69">
        <f t="shared" si="5"/>
        <v>0</v>
      </c>
      <c r="W52" s="158">
        <f>IF(NewPlan=TRUE,IF(BN52=0,X52,BN52),IFERROR(VLOOKUP(FiscalYr &amp; $B52&amp;W$4,tblForecast,W$2,FALSE),0))</f>
        <v>0</v>
      </c>
      <c r="X52" s="73">
        <f>IFERROR(VLOOKUP(FiscalYr-IF(CompareVer="LY",1,0) &amp; $B52 + IF(FiscalYr=2018,1,0)&amp;X$4,tblForecast,X$2,FALSE),0)</f>
        <v>0</v>
      </c>
      <c r="Y52" s="69">
        <f t="shared" si="6"/>
        <v>0</v>
      </c>
      <c r="Z52" s="74">
        <f t="shared" si="66"/>
        <v>0</v>
      </c>
      <c r="AA52" s="75">
        <f t="shared" si="60"/>
        <v>0</v>
      </c>
      <c r="AB52" s="69">
        <f t="shared" si="108"/>
        <v>0</v>
      </c>
      <c r="AC52" s="88">
        <f t="shared" si="94"/>
        <v>0</v>
      </c>
      <c r="AD52" s="77">
        <f t="shared" si="94"/>
        <v>0</v>
      </c>
      <c r="AE52" s="78">
        <f t="shared" si="31"/>
        <v>0</v>
      </c>
      <c r="AF52" s="238">
        <f t="shared" si="118"/>
        <v>0</v>
      </c>
      <c r="AG52" s="71">
        <f>IFERROR(VLOOKUP(FiscalYr-IF(CompareVer="LY",1,0) &amp; $B52 + IF(FiscalYr=2018,1,0)&amp;AG$4,tblForecast,AG$2,FALSE),0)</f>
        <v>0</v>
      </c>
      <c r="AH52" s="69">
        <f t="shared" si="10"/>
        <v>0</v>
      </c>
      <c r="AI52" s="157">
        <f t="shared" si="119"/>
        <v>0</v>
      </c>
      <c r="AJ52" s="71">
        <f t="shared" si="119"/>
        <v>0</v>
      </c>
      <c r="AK52" s="71">
        <f>IF($A52="a",IFERROR(VLOOKUP(FiscalYr &amp; $B52&amp;AK$4,tblForecast,AK$2,FALSE),0),AI52+AJ52)</f>
        <v>0</v>
      </c>
      <c r="AL52" s="71">
        <f>IFERROR(VLOOKUP(FiscalYr-IF(CompareVer="LY",1,0) &amp; $B52 + IF(FiscalYr=2018,1,0)&amp;AL$4,tblForecast,AL$2,FALSE),0)</f>
        <v>0</v>
      </c>
      <c r="AM52" s="69">
        <f t="shared" si="12"/>
        <v>0</v>
      </c>
      <c r="AN52" s="157">
        <f t="shared" si="120"/>
        <v>0</v>
      </c>
      <c r="AO52" s="71">
        <f t="shared" si="120"/>
        <v>0</v>
      </c>
      <c r="AP52" s="69">
        <f t="shared" si="14"/>
        <v>0</v>
      </c>
      <c r="AQ52" s="80">
        <f t="shared" si="121"/>
        <v>0</v>
      </c>
      <c r="AR52" s="89">
        <f t="shared" si="121"/>
        <v>0</v>
      </c>
      <c r="AS52" s="69">
        <f t="shared" si="110"/>
        <v>0</v>
      </c>
      <c r="AT52" s="157">
        <f>IFERROR(VLOOKUP(FiscalYr &amp; $B52&amp;AT$4,tblForecast,AT$2,FALSE),0)</f>
        <v>0</v>
      </c>
      <c r="AU52" s="71">
        <f t="shared" si="103"/>
        <v>0</v>
      </c>
      <c r="AV52" s="69">
        <f t="shared" si="17"/>
        <v>0</v>
      </c>
      <c r="AW52" s="82"/>
      <c r="AX52" s="83"/>
      <c r="AY52" s="69">
        <f t="shared" si="18"/>
        <v>0</v>
      </c>
      <c r="AZ52" s="84"/>
      <c r="BA52" s="85"/>
      <c r="BB52" s="69">
        <f t="shared" si="19"/>
        <v>0</v>
      </c>
      <c r="BC52" s="157">
        <f>IFERROR(VLOOKUP(FiscalYr &amp; $B52&amp;BC$4,tblForecast,BC$2,FALSE),0)</f>
        <v>0</v>
      </c>
      <c r="BD52" s="71">
        <f t="shared" si="104"/>
        <v>0</v>
      </c>
      <c r="BE52" s="69">
        <f t="shared" si="21"/>
        <v>0</v>
      </c>
      <c r="BF52" s="90">
        <f>IFERROR(VLOOKUP(FiscalYr &amp; $B52&amp;BF$4,tblForecast,BF$2,FALSE),0)</f>
        <v>0</v>
      </c>
      <c r="BG52" s="85">
        <f t="shared" si="122"/>
        <v>0</v>
      </c>
      <c r="BH52" s="69">
        <f t="shared" si="23"/>
        <v>0</v>
      </c>
      <c r="BI52" s="85">
        <f t="shared" si="56"/>
        <v>0</v>
      </c>
      <c r="BJ52" s="86">
        <f t="shared" si="56"/>
        <v>0</v>
      </c>
      <c r="BK52" s="75">
        <f t="shared" si="25"/>
        <v>0</v>
      </c>
      <c r="BL52" s="283">
        <f>IFERROR(VLOOKUP(Brand&amp;Channel&amp;Country&amp;$B52,tblDiscount,6,FALSE),0)</f>
        <v>0.8</v>
      </c>
      <c r="BM52" s="249">
        <f t="shared" si="124"/>
        <v>0</v>
      </c>
      <c r="BN52" s="249">
        <f>IFERROR(VLOOKUP(Brand&amp;Country &amp; Channel &amp;FC,tblFCSettings,8,FALSE),0)</f>
        <v>0</v>
      </c>
      <c r="BO52" s="284">
        <f>IFERROR(VLOOKUP(Brand&amp;Country &amp; Channel &amp;FC,tblFCSettings,9,FALSE),0)</f>
        <v>0</v>
      </c>
    </row>
    <row r="53" spans="1:67" x14ac:dyDescent="0.25">
      <c r="A53"/>
      <c r="B53" s="185">
        <v>34</v>
      </c>
      <c r="C53" s="87">
        <f t="shared" si="114"/>
        <v>0</v>
      </c>
      <c r="D53" s="68">
        <f t="shared" si="114"/>
        <v>0</v>
      </c>
      <c r="E53" s="69">
        <f t="shared" si="0"/>
        <v>0</v>
      </c>
      <c r="F53" s="157">
        <f>IF(NewPlan=TRUE,IF(AF52-(G53*J53)&lt;0,AF52,G53*J53),IFERROR(VLOOKUP(FiscalYr &amp; $B53&amp;F$4,tblForecast,F$2,FALSE),0))</f>
        <v>0</v>
      </c>
      <c r="G53" s="189">
        <f>IFERROR(VLOOKUP(FiscalYr-IF(CompareVer="LY",1,0) &amp; $B53 + IF(FiscalYr=2018,1,0)&amp;G$4,tblForecast,G$2,FALSE),0)</f>
        <v>0</v>
      </c>
      <c r="H53" s="69">
        <f t="shared" si="1"/>
        <v>0</v>
      </c>
      <c r="I53" s="177">
        <f t="shared" si="123"/>
        <v>0</v>
      </c>
      <c r="J53" s="177">
        <f t="shared" si="123"/>
        <v>0</v>
      </c>
      <c r="K53" s="87">
        <f t="shared" si="115"/>
        <v>0</v>
      </c>
      <c r="L53" s="68">
        <f t="shared" si="116"/>
        <v>0</v>
      </c>
      <c r="M53" s="72">
        <f t="shared" si="2"/>
        <v>0</v>
      </c>
      <c r="N53" s="162">
        <f t="shared" si="117"/>
        <v>0</v>
      </c>
      <c r="O53" s="163">
        <f t="shared" si="117"/>
        <v>0</v>
      </c>
      <c r="P53" s="69">
        <f t="shared" si="107"/>
        <v>0</v>
      </c>
      <c r="Q53" s="158">
        <f>IF(NewPlan=TRUE,IF(BM53=0,R53,BM53),IFERROR(VLOOKUP(FiscalYr&amp;$B53&amp;Q$4,tblForecast,Q$2,FALSE),0))</f>
        <v>0</v>
      </c>
      <c r="R53" s="73">
        <f>IFERROR(VLOOKUP(FiscalYr-IF(CompareVer="LY",1,0) &amp; $B53 + IF(FiscalYr=2018,1,0)&amp;R$4,tblForecast,R$2,FALSE),0)</f>
        <v>0</v>
      </c>
      <c r="S53" s="69">
        <f t="shared" si="4"/>
        <v>0</v>
      </c>
      <c r="T53" s="158">
        <f>IF(NewPlan=TRUE,IF(BO53=0,U53,BO53),IFERROR(VLOOKUP(FiscalYr &amp; $B53&amp;T$4,tblForecast,T$2,FALSE),0))</f>
        <v>0</v>
      </c>
      <c r="U53" s="73">
        <f>IFERROR(VLOOKUP(FiscalYr-IF(CompareVer="LY",1,0) &amp; $B53 + IF(FiscalYr=2018,1,0)&amp;U$4,tblForecast,U$2,FALSE),0)</f>
        <v>0</v>
      </c>
      <c r="V53" s="69">
        <f t="shared" si="5"/>
        <v>0</v>
      </c>
      <c r="W53" s="158">
        <f>IF(NewPlan=TRUE,IF(BN53=0,X53,BN53),IFERROR(VLOOKUP(FiscalYr &amp; $B53&amp;W$4,tblForecast,W$2,FALSE),0))</f>
        <v>0</v>
      </c>
      <c r="X53" s="73">
        <f>IFERROR(VLOOKUP(FiscalYr-IF(CompareVer="LY",1,0) &amp; $B53 + IF(FiscalYr=2018,1,0)&amp;X$4,tblForecast,X$2,FALSE),0)</f>
        <v>0</v>
      </c>
      <c r="Y53" s="69">
        <f t="shared" si="6"/>
        <v>0</v>
      </c>
      <c r="Z53" s="74">
        <f t="shared" si="66"/>
        <v>0</v>
      </c>
      <c r="AA53" s="75">
        <f t="shared" si="60"/>
        <v>0</v>
      </c>
      <c r="AB53" s="69">
        <f t="shared" si="108"/>
        <v>0</v>
      </c>
      <c r="AC53" s="88">
        <f t="shared" si="94"/>
        <v>0</v>
      </c>
      <c r="AD53" s="77">
        <f t="shared" si="94"/>
        <v>0</v>
      </c>
      <c r="AE53" s="78">
        <f t="shared" si="31"/>
        <v>0</v>
      </c>
      <c r="AF53" s="238">
        <f t="shared" si="118"/>
        <v>0</v>
      </c>
      <c r="AG53" s="71">
        <f>IFERROR(VLOOKUP(FiscalYr-IF(CompareVer="LY",1,0) &amp; $B53 + IF(FiscalYr=2018,1,0)&amp;AG$4,tblForecast,AG$2,FALSE),0)</f>
        <v>0</v>
      </c>
      <c r="AH53" s="69">
        <f t="shared" si="10"/>
        <v>0</v>
      </c>
      <c r="AI53" s="157">
        <f t="shared" si="119"/>
        <v>0</v>
      </c>
      <c r="AJ53" s="71">
        <f t="shared" si="119"/>
        <v>0</v>
      </c>
      <c r="AK53" s="71">
        <f>IF($A53="a",IFERROR(VLOOKUP(FiscalYr &amp; $B53&amp;AK$4,tblForecast,AK$2,FALSE),0),AI53+AJ53)</f>
        <v>0</v>
      </c>
      <c r="AL53" s="71">
        <f>IFERROR(VLOOKUP(FiscalYr-IF(CompareVer="LY",1,0) &amp; $B53 + IF(FiscalYr=2018,1,0)&amp;AL$4,tblForecast,AL$2,FALSE),0)</f>
        <v>0</v>
      </c>
      <c r="AM53" s="69">
        <f t="shared" si="12"/>
        <v>0</v>
      </c>
      <c r="AN53" s="157">
        <f t="shared" si="120"/>
        <v>0</v>
      </c>
      <c r="AO53" s="71">
        <f t="shared" si="120"/>
        <v>0</v>
      </c>
      <c r="AP53" s="69">
        <f t="shared" si="14"/>
        <v>0</v>
      </c>
      <c r="AQ53" s="80">
        <f t="shared" si="121"/>
        <v>0</v>
      </c>
      <c r="AR53" s="89">
        <f t="shared" si="121"/>
        <v>0</v>
      </c>
      <c r="AS53" s="69">
        <f t="shared" si="110"/>
        <v>0</v>
      </c>
      <c r="AT53" s="157">
        <f>IFERROR(VLOOKUP(FiscalYr &amp; $B53&amp;AT$4,tblForecast,AT$2,FALSE),0)</f>
        <v>0</v>
      </c>
      <c r="AU53" s="71">
        <f t="shared" si="103"/>
        <v>0</v>
      </c>
      <c r="AV53" s="69">
        <f t="shared" si="17"/>
        <v>0</v>
      </c>
      <c r="AW53" s="82"/>
      <c r="AX53" s="83"/>
      <c r="AY53" s="69">
        <f t="shared" si="18"/>
        <v>0</v>
      </c>
      <c r="AZ53" s="84"/>
      <c r="BA53" s="85"/>
      <c r="BB53" s="69">
        <f t="shared" si="19"/>
        <v>0</v>
      </c>
      <c r="BC53" s="157">
        <f>IFERROR(VLOOKUP(FiscalYr &amp; $B53&amp;BC$4,tblForecast,BC$2,FALSE),0)</f>
        <v>0</v>
      </c>
      <c r="BD53" s="71">
        <f t="shared" si="104"/>
        <v>0</v>
      </c>
      <c r="BE53" s="69">
        <f t="shared" si="21"/>
        <v>0</v>
      </c>
      <c r="BF53" s="90">
        <f>IFERROR(VLOOKUP(FiscalYr &amp; $B53&amp;BF$4,tblForecast,BF$2,FALSE),0)</f>
        <v>0</v>
      </c>
      <c r="BG53" s="85">
        <f t="shared" si="122"/>
        <v>0</v>
      </c>
      <c r="BH53" s="69">
        <f t="shared" si="23"/>
        <v>0</v>
      </c>
      <c r="BI53" s="85">
        <f t="shared" si="56"/>
        <v>0</v>
      </c>
      <c r="BJ53" s="86">
        <f t="shared" si="56"/>
        <v>0</v>
      </c>
      <c r="BK53" s="75">
        <f t="shared" si="25"/>
        <v>0</v>
      </c>
      <c r="BL53" s="283">
        <f>IFERROR(VLOOKUP(Brand&amp;Channel&amp;Country&amp;$B53,tblDiscount,6,FALSE),0)</f>
        <v>0.8</v>
      </c>
      <c r="BM53" s="249">
        <f t="shared" si="124"/>
        <v>0</v>
      </c>
      <c r="BN53" s="249">
        <f>IFERROR(VLOOKUP(Brand&amp;Country &amp; Channel &amp;FC,tblFCSettings,8,FALSE),0)</f>
        <v>0</v>
      </c>
      <c r="BO53" s="284">
        <f>IFERROR(VLOOKUP(Brand&amp;Country &amp; Channel &amp;FC,tblFCSettings,9,FALSE),0)</f>
        <v>0</v>
      </c>
    </row>
    <row r="54" spans="1:67" ht="16.5" thickBot="1" x14ac:dyDescent="0.3">
      <c r="A54"/>
      <c r="B54" s="185">
        <v>35</v>
      </c>
      <c r="C54" s="87">
        <f t="shared" si="114"/>
        <v>0</v>
      </c>
      <c r="D54" s="68">
        <f t="shared" si="114"/>
        <v>0</v>
      </c>
      <c r="E54" s="69">
        <f t="shared" si="0"/>
        <v>0</v>
      </c>
      <c r="F54" s="157">
        <f>IF(NewPlan=TRUE,IF(AF53-(G54*J54)&lt;0,AF53,G54*J54),IFERROR(VLOOKUP(FiscalYr &amp; $B54&amp;F$4,tblForecast,F$2,FALSE),0))</f>
        <v>0</v>
      </c>
      <c r="G54" s="189">
        <f>IFERROR(VLOOKUP(FiscalYr-IF(CompareVer="LY",1,0) &amp; $B54 + IF(FiscalYr=2018,1,0)&amp;G$4,tblForecast,G$2,FALSE),0)</f>
        <v>0</v>
      </c>
      <c r="H54" s="69">
        <f t="shared" si="1"/>
        <v>0</v>
      </c>
      <c r="I54" s="177">
        <f t="shared" si="123"/>
        <v>0</v>
      </c>
      <c r="J54" s="177">
        <f t="shared" si="123"/>
        <v>0</v>
      </c>
      <c r="K54" s="87">
        <f t="shared" si="115"/>
        <v>0</v>
      </c>
      <c r="L54" s="68">
        <f t="shared" si="116"/>
        <v>0</v>
      </c>
      <c r="M54" s="72">
        <f t="shared" si="2"/>
        <v>0</v>
      </c>
      <c r="N54" s="162">
        <f t="shared" si="117"/>
        <v>0</v>
      </c>
      <c r="O54" s="163">
        <f t="shared" si="117"/>
        <v>0</v>
      </c>
      <c r="P54" s="69">
        <f t="shared" si="107"/>
        <v>0</v>
      </c>
      <c r="Q54" s="158">
        <f>IF(NewPlan=TRUE,IF(BM54=0,R54,BM54),IFERROR(VLOOKUP(FiscalYr&amp;$B54&amp;Q$4,tblForecast,Q$2,FALSE),0))</f>
        <v>0</v>
      </c>
      <c r="R54" s="73">
        <f>IFERROR(VLOOKUP(FiscalYr-IF(CompareVer="LY",1,0) &amp; $B54 + IF(FiscalYr=2018,1,0)&amp;R$4,tblForecast,R$2,FALSE),0)</f>
        <v>0</v>
      </c>
      <c r="S54" s="69">
        <f t="shared" si="4"/>
        <v>0</v>
      </c>
      <c r="T54" s="158">
        <f>IF(NewPlan=TRUE,IF(BO54=0,U54,BO54),IFERROR(VLOOKUP(FiscalYr &amp; $B54&amp;T$4,tblForecast,T$2,FALSE),0))</f>
        <v>0</v>
      </c>
      <c r="U54" s="73">
        <f>IFERROR(VLOOKUP(FiscalYr-IF(CompareVer="LY",1,0) &amp; $B54 + IF(FiscalYr=2018,1,0)&amp;U$4,tblForecast,U$2,FALSE),0)</f>
        <v>0</v>
      </c>
      <c r="V54" s="69">
        <f t="shared" si="5"/>
        <v>0</v>
      </c>
      <c r="W54" s="158">
        <f>IF(NewPlan=TRUE,IF(BN54=0,X54,BN54),IFERROR(VLOOKUP(FiscalYr &amp; $B54&amp;W$4,tblForecast,W$2,FALSE),0))</f>
        <v>0</v>
      </c>
      <c r="X54" s="73">
        <f>IFERROR(VLOOKUP(FiscalYr-IF(CompareVer="LY",1,0) &amp; $B54 + IF(FiscalYr=2018,1,0)&amp;X$4,tblForecast,X$2,FALSE),0)</f>
        <v>0</v>
      </c>
      <c r="Y54" s="69">
        <f t="shared" si="6"/>
        <v>0</v>
      </c>
      <c r="Z54" s="74">
        <f t="shared" si="66"/>
        <v>0</v>
      </c>
      <c r="AA54" s="75">
        <f t="shared" si="60"/>
        <v>0</v>
      </c>
      <c r="AB54" s="69">
        <f t="shared" si="108"/>
        <v>0</v>
      </c>
      <c r="AC54" s="88">
        <f t="shared" si="94"/>
        <v>0</v>
      </c>
      <c r="AD54" s="77">
        <f t="shared" si="94"/>
        <v>0</v>
      </c>
      <c r="AE54" s="78">
        <f t="shared" si="31"/>
        <v>0</v>
      </c>
      <c r="AF54" s="238">
        <f t="shared" si="118"/>
        <v>0</v>
      </c>
      <c r="AG54" s="71">
        <f>IFERROR(VLOOKUP(FiscalYr-IF(CompareVer="LY",1,0) &amp; $B54 + IF(FiscalYr=2018,1,0)&amp;AG$4,tblForecast,AG$2,FALSE),0)</f>
        <v>0</v>
      </c>
      <c r="AH54" s="69">
        <f t="shared" si="10"/>
        <v>0</v>
      </c>
      <c r="AI54" s="157">
        <f t="shared" si="119"/>
        <v>0</v>
      </c>
      <c r="AJ54" s="71">
        <f t="shared" si="119"/>
        <v>0</v>
      </c>
      <c r="AK54" s="71">
        <f>IF($A54="a",IFERROR(VLOOKUP(FiscalYr &amp; $B54&amp;AK$4,tblForecast,AK$2,FALSE),0),AI54+AJ54)</f>
        <v>0</v>
      </c>
      <c r="AL54" s="71">
        <f>IFERROR(VLOOKUP(FiscalYr-IF(CompareVer="LY",1,0) &amp; $B54 + IF(FiscalYr=2018,1,0)&amp;AL$4,tblForecast,AL$2,FALSE),0)</f>
        <v>0</v>
      </c>
      <c r="AM54" s="69">
        <f t="shared" si="12"/>
        <v>0</v>
      </c>
      <c r="AN54" s="157">
        <f t="shared" si="120"/>
        <v>0</v>
      </c>
      <c r="AO54" s="71">
        <f t="shared" si="120"/>
        <v>0</v>
      </c>
      <c r="AP54" s="69">
        <f t="shared" si="14"/>
        <v>0</v>
      </c>
      <c r="AQ54" s="80">
        <f t="shared" si="121"/>
        <v>0</v>
      </c>
      <c r="AR54" s="89">
        <f t="shared" si="121"/>
        <v>0</v>
      </c>
      <c r="AS54" s="69">
        <f t="shared" si="110"/>
        <v>0</v>
      </c>
      <c r="AT54" s="157">
        <f>IFERROR(VLOOKUP(FiscalYr &amp; $B54&amp;AT$4,tblForecast,AT$2,FALSE),0)</f>
        <v>0</v>
      </c>
      <c r="AU54" s="71">
        <f t="shared" si="103"/>
        <v>0</v>
      </c>
      <c r="AV54" s="69">
        <f t="shared" si="17"/>
        <v>0</v>
      </c>
      <c r="AW54" s="82"/>
      <c r="AX54" s="83"/>
      <c r="AY54" s="69">
        <f t="shared" si="18"/>
        <v>0</v>
      </c>
      <c r="AZ54" s="84"/>
      <c r="BA54" s="85"/>
      <c r="BB54" s="69">
        <f t="shared" si="19"/>
        <v>0</v>
      </c>
      <c r="BC54" s="157">
        <f>IFERROR(VLOOKUP(FiscalYr &amp; $B54&amp;BC$4,tblForecast,BC$2,FALSE),0)</f>
        <v>0</v>
      </c>
      <c r="BD54" s="71">
        <f t="shared" si="104"/>
        <v>0</v>
      </c>
      <c r="BE54" s="69">
        <f t="shared" si="21"/>
        <v>0</v>
      </c>
      <c r="BF54" s="90">
        <f>IFERROR(VLOOKUP(FiscalYr &amp; $B54&amp;BF$4,tblForecast,BF$2,FALSE),0)</f>
        <v>0</v>
      </c>
      <c r="BG54" s="85">
        <f t="shared" si="122"/>
        <v>0</v>
      </c>
      <c r="BH54" s="69">
        <f t="shared" si="23"/>
        <v>0</v>
      </c>
      <c r="BI54" s="85">
        <f t="shared" si="56"/>
        <v>0</v>
      </c>
      <c r="BJ54" s="86">
        <f t="shared" si="56"/>
        <v>0</v>
      </c>
      <c r="BK54" s="75">
        <f t="shared" si="25"/>
        <v>0</v>
      </c>
      <c r="BL54" s="283">
        <f>IFERROR(VLOOKUP(Brand&amp;Channel&amp;Country&amp;$B54,tblDiscount,6,FALSE),0)</f>
        <v>0.8</v>
      </c>
      <c r="BM54" s="249">
        <f>(1-BL54)*BN54</f>
        <v>0</v>
      </c>
      <c r="BN54" s="249">
        <f>IFERROR(VLOOKUP(Brand&amp;Country &amp; Channel &amp;FC,tblFCSettings,8,FALSE),0)</f>
        <v>0</v>
      </c>
      <c r="BO54" s="284">
        <f>IFERROR(VLOOKUP(Brand&amp;Country &amp; Channel &amp;FC,tblFCSettings,9,FALSE),0)</f>
        <v>0</v>
      </c>
    </row>
    <row r="55" spans="1:67" ht="16.5" thickBot="1" x14ac:dyDescent="0.3">
      <c r="A55"/>
      <c r="B55" s="6" t="s">
        <v>343</v>
      </c>
      <c r="C55" s="92">
        <f>SUM(C50:C54)</f>
        <v>0</v>
      </c>
      <c r="D55" s="93">
        <f>SUM(D50:D54)</f>
        <v>0</v>
      </c>
      <c r="E55" s="94">
        <f t="shared" si="0"/>
        <v>0</v>
      </c>
      <c r="F55" s="95">
        <f>SUM(F50:F54)</f>
        <v>0</v>
      </c>
      <c r="G55" s="96">
        <f>SUM(G50:G54)</f>
        <v>0</v>
      </c>
      <c r="H55" s="94">
        <f t="shared" si="1"/>
        <v>0</v>
      </c>
      <c r="I55" s="178">
        <f>IF(F49&lt;&gt;0,F55/F49-1,0)</f>
        <v>0</v>
      </c>
      <c r="J55" s="178">
        <f>IF(G49&lt;&gt;0,G55/G49-1,0)</f>
        <v>0</v>
      </c>
      <c r="K55" s="92">
        <f>SUM(K50:K54)</f>
        <v>0</v>
      </c>
      <c r="L55" s="93">
        <f>SUM(L50:L54)</f>
        <v>0</v>
      </c>
      <c r="M55" s="97">
        <f t="shared" si="2"/>
        <v>0</v>
      </c>
      <c r="N55" s="164">
        <f>IFERROR(K55/C55,0)</f>
        <v>0</v>
      </c>
      <c r="O55" s="165">
        <f>IFERROR(L55/D55,0)</f>
        <v>0</v>
      </c>
      <c r="P55" s="94">
        <f t="shared" si="107"/>
        <v>0</v>
      </c>
      <c r="Q55" s="98">
        <f>IFERROR(C55/F55,0)</f>
        <v>0</v>
      </c>
      <c r="R55" s="99">
        <f>IFERROR(D55/G55,0)</f>
        <v>0</v>
      </c>
      <c r="S55" s="94">
        <f t="shared" si="4"/>
        <v>0</v>
      </c>
      <c r="T55" s="98">
        <f>IFERROR((C55*(1-N55))/F55,0)</f>
        <v>0</v>
      </c>
      <c r="U55" s="99">
        <f>IFERROR((D55*(1-O55))/G55,0)</f>
        <v>0</v>
      </c>
      <c r="V55" s="94">
        <f t="shared" si="5"/>
        <v>0</v>
      </c>
      <c r="W55" s="98">
        <f>IFERROR(SUMPRODUCT(W50:W54,F50:F54)/F55,0)</f>
        <v>0</v>
      </c>
      <c r="X55" s="99">
        <f>IFERROR(SUMPRODUCT(X50:X54,G50:G54)/G55,0)</f>
        <v>0</v>
      </c>
      <c r="Y55" s="94">
        <f t="shared" si="6"/>
        <v>0</v>
      </c>
      <c r="Z55" s="100">
        <f t="shared" si="66"/>
        <v>0</v>
      </c>
      <c r="AA55" s="101">
        <f t="shared" si="60"/>
        <v>0</v>
      </c>
      <c r="AB55" s="94">
        <f t="shared" si="108"/>
        <v>0</v>
      </c>
      <c r="AC55" s="102">
        <f t="shared" si="94"/>
        <v>0</v>
      </c>
      <c r="AD55" s="103">
        <f t="shared" si="94"/>
        <v>0</v>
      </c>
      <c r="AE55" s="104">
        <f t="shared" si="31"/>
        <v>0</v>
      </c>
      <c r="AF55" s="95">
        <f>AF54</f>
        <v>0</v>
      </c>
      <c r="AG55" s="96">
        <f>AG54</f>
        <v>0</v>
      </c>
      <c r="AH55" s="94">
        <f t="shared" si="10"/>
        <v>0</v>
      </c>
      <c r="AI55" s="95">
        <f t="shared" ref="AI55:AL55" si="125">SUM(AI50:AI54)</f>
        <v>0</v>
      </c>
      <c r="AJ55" s="96">
        <f t="shared" si="125"/>
        <v>0</v>
      </c>
      <c r="AK55" s="96">
        <f t="shared" si="125"/>
        <v>0</v>
      </c>
      <c r="AL55" s="96">
        <f t="shared" si="125"/>
        <v>0</v>
      </c>
      <c r="AM55" s="94">
        <f t="shared" si="12"/>
        <v>0</v>
      </c>
      <c r="AN55" s="95">
        <f>SUM(AN50:AN54)</f>
        <v>0</v>
      </c>
      <c r="AO55" s="96">
        <f>SUM(AO50:AO54)</f>
        <v>0</v>
      </c>
      <c r="AP55" s="94">
        <f t="shared" si="14"/>
        <v>0</v>
      </c>
      <c r="AQ55" s="105">
        <f>IF(F55&lt;&gt;0,(AF55*COUNTIF(AQ50:AQ54,"&lt;&gt;0")/F55),0)</f>
        <v>0</v>
      </c>
      <c r="AR55" s="106">
        <f>IF(G55&lt;&gt;0,(AG55*COUNTIF(AR50:AR54,"&lt;&gt;0")/G55),0)</f>
        <v>0</v>
      </c>
      <c r="AS55" s="94">
        <f t="shared" si="110"/>
        <v>0</v>
      </c>
      <c r="AT55" s="95">
        <f>SUM(AT50:AT54)</f>
        <v>0</v>
      </c>
      <c r="AU55" s="96">
        <f t="shared" si="103"/>
        <v>0</v>
      </c>
      <c r="AV55" s="94">
        <f t="shared" si="17"/>
        <v>0</v>
      </c>
      <c r="AW55" s="107"/>
      <c r="AX55" s="108"/>
      <c r="AY55" s="94">
        <f t="shared" si="18"/>
        <v>0</v>
      </c>
      <c r="AZ55" s="134"/>
      <c r="BA55" s="111"/>
      <c r="BB55" s="94">
        <f t="shared" si="19"/>
        <v>0</v>
      </c>
      <c r="BC55" s="95">
        <f>SUM(BC50:BC54)</f>
        <v>0</v>
      </c>
      <c r="BD55" s="96">
        <f t="shared" si="104"/>
        <v>0</v>
      </c>
      <c r="BE55" s="94">
        <f t="shared" si="21"/>
        <v>0</v>
      </c>
      <c r="BF55" s="110">
        <f>SUM(BF50:BF54)</f>
        <v>0</v>
      </c>
      <c r="BG55" s="111">
        <f>SUM(BG50:BG54)</f>
        <v>0</v>
      </c>
      <c r="BH55" s="94">
        <f t="shared" si="23"/>
        <v>0</v>
      </c>
      <c r="BI55" s="111">
        <f t="shared" si="56"/>
        <v>0</v>
      </c>
      <c r="BJ55" s="112">
        <f t="shared" si="56"/>
        <v>0</v>
      </c>
      <c r="BK55" s="101">
        <f t="shared" si="25"/>
        <v>0</v>
      </c>
      <c r="BL55" s="283"/>
      <c r="BM55" s="249"/>
      <c r="BN55" s="249"/>
      <c r="BO55" s="284"/>
    </row>
    <row r="56" spans="1:67" x14ac:dyDescent="0.25">
      <c r="A56"/>
      <c r="B56" s="185">
        <v>36</v>
      </c>
      <c r="C56" s="87">
        <f t="shared" ref="C56:D59" si="126">F56*Q56</f>
        <v>0</v>
      </c>
      <c r="D56" s="68">
        <f t="shared" si="126"/>
        <v>0</v>
      </c>
      <c r="E56" s="69">
        <f t="shared" si="0"/>
        <v>0</v>
      </c>
      <c r="F56" s="157">
        <f>IF(NewPlan=TRUE,IF(AF55-(G56*J56)&lt;0,AF55,G56*J56),IFERROR(VLOOKUP(FiscalYr &amp; $B56&amp;F$4,tblForecast,F$2,FALSE),0))</f>
        <v>0</v>
      </c>
      <c r="G56" s="189">
        <f>IFERROR(VLOOKUP(FiscalYr-IF(CompareVer="LY",1,0) &amp; $B56 + IF(FiscalYr=2018,1,0)&amp;G$4,tblForecast,G$2,FALSE),0)</f>
        <v>0</v>
      </c>
      <c r="H56" s="69">
        <f t="shared" si="1"/>
        <v>0</v>
      </c>
      <c r="I56" s="177">
        <f>IFERROR(IF(F54&gt;0,F56/F54,0),0)</f>
        <v>0</v>
      </c>
      <c r="J56" s="177">
        <f>IFERROR(IF(G54&gt;0,G56/G54,0),0)</f>
        <v>0</v>
      </c>
      <c r="K56" s="87">
        <f t="shared" ref="K56:K59" si="127">IFERROR(C56*N56,0)</f>
        <v>0</v>
      </c>
      <c r="L56" s="68">
        <f t="shared" ref="L56:L59" si="128">D56*O56</f>
        <v>0</v>
      </c>
      <c r="M56" s="72">
        <f t="shared" si="2"/>
        <v>0</v>
      </c>
      <c r="N56" s="162">
        <f t="shared" ref="N56:O59" si="129">IF(Q56&lt;&gt;0,1-T56/Q56,0)</f>
        <v>0</v>
      </c>
      <c r="O56" s="163">
        <f t="shared" si="129"/>
        <v>0</v>
      </c>
      <c r="P56" s="69">
        <f t="shared" si="107"/>
        <v>0</v>
      </c>
      <c r="Q56" s="158">
        <f>IF(NewPlan=TRUE,IF(BM56=0,R56,BM56),IFERROR(VLOOKUP(FiscalYr&amp;$B56&amp;Q$4,tblForecast,Q$2,FALSE),0))</f>
        <v>0</v>
      </c>
      <c r="R56" s="73">
        <f>IFERROR(VLOOKUP(FiscalYr-IF(CompareVer="LY",1,0) &amp; $B56 + IF(FiscalYr=2018,1,0)&amp;R$4,tblForecast,R$2,FALSE),0)</f>
        <v>0</v>
      </c>
      <c r="S56" s="69">
        <f t="shared" si="4"/>
        <v>0</v>
      </c>
      <c r="T56" s="158">
        <f>IF(NewPlan=TRUE,IF(BO56=0,U56,BO56),IFERROR(VLOOKUP(FiscalYr &amp; $B56&amp;T$4,tblForecast,T$2,FALSE),0))</f>
        <v>0</v>
      </c>
      <c r="U56" s="73">
        <f>IFERROR(VLOOKUP(FiscalYr-IF(CompareVer="LY",1,0) &amp; $B56 + IF(FiscalYr=2018,1,0)&amp;U$4,tblForecast,U$2,FALSE),0)</f>
        <v>0</v>
      </c>
      <c r="V56" s="69">
        <f t="shared" si="5"/>
        <v>0</v>
      </c>
      <c r="W56" s="158">
        <f>IF(NewPlan=TRUE,IF(BN56=0,X56,BN56),IFERROR(VLOOKUP(FiscalYr &amp; $B56&amp;W$4,tblForecast,W$2,FALSE),0))</f>
        <v>0</v>
      </c>
      <c r="X56" s="73">
        <f>IFERROR(VLOOKUP(FiscalYr-IF(CompareVer="LY",1,0) &amp; $B56 + IF(FiscalYr=2018,1,0)&amp;X$4,tblForecast,X$2,FALSE),0)</f>
        <v>0</v>
      </c>
      <c r="Y56" s="69">
        <f t="shared" si="6"/>
        <v>0</v>
      </c>
      <c r="Z56" s="74">
        <f t="shared" si="66"/>
        <v>0</v>
      </c>
      <c r="AA56" s="75">
        <f t="shared" si="60"/>
        <v>0</v>
      </c>
      <c r="AB56" s="69">
        <f t="shared" si="108"/>
        <v>0</v>
      </c>
      <c r="AC56" s="88">
        <f t="shared" si="94"/>
        <v>0</v>
      </c>
      <c r="AD56" s="77">
        <f t="shared" si="94"/>
        <v>0</v>
      </c>
      <c r="AE56" s="78">
        <f t="shared" si="31"/>
        <v>0</v>
      </c>
      <c r="AF56" s="238">
        <f t="shared" ref="AF56:AF59" si="130">IF(AF55+AK56+AN56-F56&lt;0,0,AF55+AK56+AN56-F56)</f>
        <v>0</v>
      </c>
      <c r="AG56" s="71">
        <f>IFERROR(VLOOKUP(FiscalYr-IF(CompareVer="LY",1,0) &amp; $B56 + IF(FiscalYr=2018,1,0)&amp;AG$4,tblForecast,AG$2,FALSE),0)</f>
        <v>0</v>
      </c>
      <c r="AH56" s="69">
        <f t="shared" si="10"/>
        <v>0</v>
      </c>
      <c r="AI56" s="157">
        <f t="shared" ref="AI56:AJ59" si="131">IFERROR(VLOOKUP(FiscalYr &amp; $B56&amp;AI$4,tblForecast,AI$2,FALSE),0)</f>
        <v>0</v>
      </c>
      <c r="AJ56" s="71">
        <f t="shared" si="131"/>
        <v>0</v>
      </c>
      <c r="AK56" s="71">
        <f>IF($A56="a",IFERROR(VLOOKUP(FiscalYr &amp; $B56&amp;AK$4,tblForecast,AK$2,FALSE),0),AI56+AJ56)</f>
        <v>0</v>
      </c>
      <c r="AL56" s="71">
        <f>IFERROR(VLOOKUP(FiscalYr-IF(CompareVer="LY",1,0) &amp; $B56 + IF(FiscalYr=2018,1,0)&amp;AL$4,tblForecast,AL$2,FALSE),0)</f>
        <v>0</v>
      </c>
      <c r="AM56" s="69">
        <f t="shared" si="12"/>
        <v>0</v>
      </c>
      <c r="AN56" s="157">
        <f t="shared" ref="AN56:AO59" si="132">IFERROR(VLOOKUP(FiscalYr &amp; $B56&amp;AN$4,tblForecast,AN$2,FALSE),0)</f>
        <v>0</v>
      </c>
      <c r="AO56" s="71">
        <f t="shared" si="132"/>
        <v>0</v>
      </c>
      <c r="AP56" s="69">
        <f t="shared" si="14"/>
        <v>0</v>
      </c>
      <c r="AQ56" s="80">
        <f t="shared" ref="AQ56:AR59" si="133">IF(F56&lt;&gt;0,AF56/F56,0)</f>
        <v>0</v>
      </c>
      <c r="AR56" s="89">
        <f t="shared" si="133"/>
        <v>0</v>
      </c>
      <c r="AS56" s="69">
        <f t="shared" si="110"/>
        <v>0</v>
      </c>
      <c r="AT56" s="157">
        <f>IFERROR(VLOOKUP(FiscalYr &amp; $B56&amp;AT$4,tblForecast,AT$2,FALSE),0)</f>
        <v>0</v>
      </c>
      <c r="AU56" s="71">
        <f t="shared" si="103"/>
        <v>0</v>
      </c>
      <c r="AV56" s="69">
        <f t="shared" si="17"/>
        <v>0</v>
      </c>
      <c r="AW56" s="82"/>
      <c r="AX56" s="83"/>
      <c r="AY56" s="69">
        <f t="shared" si="18"/>
        <v>0</v>
      </c>
      <c r="AZ56" s="84"/>
      <c r="BA56" s="85"/>
      <c r="BB56" s="69">
        <f t="shared" si="19"/>
        <v>0</v>
      </c>
      <c r="BC56" s="157">
        <f>IFERROR(VLOOKUP(FiscalYr &amp; $B56&amp;BC$4,tblForecast,BC$2,FALSE),0)</f>
        <v>0</v>
      </c>
      <c r="BD56" s="71">
        <f t="shared" si="104"/>
        <v>0</v>
      </c>
      <c r="BE56" s="69">
        <f t="shared" si="21"/>
        <v>0</v>
      </c>
      <c r="BF56" s="90">
        <f>IFERROR(VLOOKUP(FiscalYr &amp; $B56&amp;BF$4,tblForecast,BF$2,FALSE),0)</f>
        <v>0</v>
      </c>
      <c r="BG56" s="85">
        <f t="shared" ref="BG56:BG59" si="134">IFERROR(VLOOKUP(FiscalYr-1 &amp; $B56&amp; FCLY,tblForecast,BF$2,FALSE),0)</f>
        <v>0</v>
      </c>
      <c r="BH56" s="69">
        <f t="shared" si="23"/>
        <v>0</v>
      </c>
      <c r="BI56" s="85">
        <f t="shared" si="56"/>
        <v>0</v>
      </c>
      <c r="BJ56" s="86">
        <f t="shared" si="56"/>
        <v>0</v>
      </c>
      <c r="BK56" s="75">
        <f t="shared" si="25"/>
        <v>0</v>
      </c>
      <c r="BL56" s="283">
        <f>IFERROR(VLOOKUP(Brand&amp;Channel&amp;Country&amp;$B56,tblDiscount,6,FALSE),0)</f>
        <v>0.8</v>
      </c>
      <c r="BM56" s="249">
        <f>(1-BL56)*BN56</f>
        <v>0</v>
      </c>
      <c r="BN56" s="249">
        <f>IFERROR(VLOOKUP(Brand&amp;Country &amp; Channel &amp;FC,tblFCSettings,8,FALSE),0)</f>
        <v>0</v>
      </c>
      <c r="BO56" s="284">
        <f>IFERROR(VLOOKUP(Brand&amp;Country &amp; Channel &amp;FC,tblFCSettings,9,FALSE),0)</f>
        <v>0</v>
      </c>
    </row>
    <row r="57" spans="1:67" x14ac:dyDescent="0.25">
      <c r="A57"/>
      <c r="B57" s="185">
        <v>37</v>
      </c>
      <c r="C57" s="87">
        <f t="shared" si="126"/>
        <v>0</v>
      </c>
      <c r="D57" s="68">
        <f t="shared" si="126"/>
        <v>0</v>
      </c>
      <c r="E57" s="69">
        <f t="shared" si="0"/>
        <v>0</v>
      </c>
      <c r="F57" s="157">
        <f>IF(NewPlan=TRUE,IF(AF56-(G57*J57)&lt;0,AF56,G57*J57),IFERROR(VLOOKUP(FiscalYr &amp; $B57&amp;F$4,tblForecast,F$2,FALSE),0))</f>
        <v>0</v>
      </c>
      <c r="G57" s="189">
        <f>IFERROR(VLOOKUP(FiscalYr-IF(CompareVer="LY",1,0) &amp; $B57 + IF(FiscalYr=2018,1,0)&amp;G$4,tblForecast,G$2,FALSE),0)</f>
        <v>0</v>
      </c>
      <c r="H57" s="69">
        <f t="shared" si="1"/>
        <v>0</v>
      </c>
      <c r="I57" s="177">
        <f t="shared" ref="I57:J59" si="135">IFERROR(IF(F56&lt;&gt;0,F57/F56,0),0)</f>
        <v>0</v>
      </c>
      <c r="J57" s="177">
        <f t="shared" si="135"/>
        <v>0</v>
      </c>
      <c r="K57" s="87">
        <f t="shared" si="127"/>
        <v>0</v>
      </c>
      <c r="L57" s="68">
        <f t="shared" si="128"/>
        <v>0</v>
      </c>
      <c r="M57" s="72">
        <f t="shared" si="2"/>
        <v>0</v>
      </c>
      <c r="N57" s="162">
        <f t="shared" si="129"/>
        <v>0</v>
      </c>
      <c r="O57" s="163">
        <f t="shared" si="129"/>
        <v>0</v>
      </c>
      <c r="P57" s="69">
        <f t="shared" si="107"/>
        <v>0</v>
      </c>
      <c r="Q57" s="158">
        <f>IF(NewPlan=TRUE,IF(BM57=0,R57,BM57),IFERROR(VLOOKUP(FiscalYr&amp;$B57&amp;Q$4,tblForecast,Q$2,FALSE),0))</f>
        <v>0</v>
      </c>
      <c r="R57" s="73">
        <f>IFERROR(VLOOKUP(FiscalYr-IF(CompareVer="LY",1,0) &amp; $B57 + IF(FiscalYr=2018,1,0)&amp;R$4,tblForecast,R$2,FALSE),0)</f>
        <v>0</v>
      </c>
      <c r="S57" s="69">
        <f t="shared" si="4"/>
        <v>0</v>
      </c>
      <c r="T57" s="158">
        <f>IF(NewPlan=TRUE,IF(BO57=0,U57,BO57),IFERROR(VLOOKUP(FiscalYr &amp; $B57&amp;T$4,tblForecast,T$2,FALSE),0))</f>
        <v>0</v>
      </c>
      <c r="U57" s="73">
        <f>IFERROR(VLOOKUP(FiscalYr-IF(CompareVer="LY",1,0) &amp; $B57 + IF(FiscalYr=2018,1,0)&amp;U$4,tblForecast,U$2,FALSE),0)</f>
        <v>0</v>
      </c>
      <c r="V57" s="69">
        <f t="shared" si="5"/>
        <v>0</v>
      </c>
      <c r="W57" s="158">
        <f>IF(NewPlan=TRUE,IF(BN57=0,X57,BN57),IFERROR(VLOOKUP(FiscalYr &amp; $B57&amp;W$4,tblForecast,W$2,FALSE),0))</f>
        <v>0</v>
      </c>
      <c r="X57" s="73">
        <f>IFERROR(VLOOKUP(FiscalYr-IF(CompareVer="LY",1,0) &amp; $B57 + IF(FiscalYr=2018,1,0)&amp;X$4,tblForecast,X$2,FALSE),0)</f>
        <v>0</v>
      </c>
      <c r="Y57" s="69">
        <f t="shared" si="6"/>
        <v>0</v>
      </c>
      <c r="Z57" s="74">
        <f t="shared" si="66"/>
        <v>0</v>
      </c>
      <c r="AA57" s="75">
        <f t="shared" si="60"/>
        <v>0</v>
      </c>
      <c r="AB57" s="69">
        <f t="shared" si="108"/>
        <v>0</v>
      </c>
      <c r="AC57" s="88">
        <f t="shared" si="94"/>
        <v>0</v>
      </c>
      <c r="AD57" s="77">
        <f t="shared" si="94"/>
        <v>0</v>
      </c>
      <c r="AE57" s="78">
        <f t="shared" si="31"/>
        <v>0</v>
      </c>
      <c r="AF57" s="238">
        <f t="shared" si="130"/>
        <v>0</v>
      </c>
      <c r="AG57" s="71">
        <f>IFERROR(VLOOKUP(FiscalYr-IF(CompareVer="LY",1,0) &amp; $B57 + IF(FiscalYr=2018,1,0)&amp;AG$4,tblForecast,AG$2,FALSE),0)</f>
        <v>0</v>
      </c>
      <c r="AH57" s="69">
        <f t="shared" si="10"/>
        <v>0</v>
      </c>
      <c r="AI57" s="157">
        <f t="shared" si="131"/>
        <v>0</v>
      </c>
      <c r="AJ57" s="71">
        <f t="shared" si="131"/>
        <v>0</v>
      </c>
      <c r="AK57" s="71">
        <f>IF($A57="a",IFERROR(VLOOKUP(FiscalYr &amp; $B57&amp;AK$4,tblForecast,AK$2,FALSE),0),AI57+AJ57)</f>
        <v>0</v>
      </c>
      <c r="AL57" s="71">
        <f>IFERROR(VLOOKUP(FiscalYr-IF(CompareVer="LY",1,0) &amp; $B57 + IF(FiscalYr=2018,1,0)&amp;AL$4,tblForecast,AL$2,FALSE),0)</f>
        <v>0</v>
      </c>
      <c r="AM57" s="69">
        <f t="shared" si="12"/>
        <v>0</v>
      </c>
      <c r="AN57" s="157">
        <f t="shared" si="132"/>
        <v>0</v>
      </c>
      <c r="AO57" s="71">
        <f t="shared" si="132"/>
        <v>0</v>
      </c>
      <c r="AP57" s="69">
        <f t="shared" si="14"/>
        <v>0</v>
      </c>
      <c r="AQ57" s="80">
        <f t="shared" si="133"/>
        <v>0</v>
      </c>
      <c r="AR57" s="89">
        <f t="shared" si="133"/>
        <v>0</v>
      </c>
      <c r="AS57" s="69">
        <f t="shared" si="110"/>
        <v>0</v>
      </c>
      <c r="AT57" s="157">
        <f>IFERROR(VLOOKUP(FiscalYr &amp; $B57&amp;AT$4,tblForecast,AT$2,FALSE),0)</f>
        <v>0</v>
      </c>
      <c r="AU57" s="71">
        <f t="shared" si="103"/>
        <v>0</v>
      </c>
      <c r="AV57" s="69">
        <f t="shared" si="17"/>
        <v>0</v>
      </c>
      <c r="AW57" s="82"/>
      <c r="AX57" s="83"/>
      <c r="AY57" s="69">
        <f t="shared" si="18"/>
        <v>0</v>
      </c>
      <c r="AZ57" s="84"/>
      <c r="BA57" s="85"/>
      <c r="BB57" s="69">
        <f t="shared" si="19"/>
        <v>0</v>
      </c>
      <c r="BC57" s="157">
        <f>IFERROR(VLOOKUP(FiscalYr &amp; $B57&amp;BC$4,tblForecast,BC$2,FALSE),0)</f>
        <v>0</v>
      </c>
      <c r="BD57" s="71">
        <f t="shared" si="104"/>
        <v>0</v>
      </c>
      <c r="BE57" s="69">
        <f t="shared" si="21"/>
        <v>0</v>
      </c>
      <c r="BF57" s="90">
        <f>IFERROR(VLOOKUP(FiscalYr &amp; $B57&amp;BF$4,tblForecast,BF$2,FALSE),0)</f>
        <v>0</v>
      </c>
      <c r="BG57" s="85">
        <f t="shared" si="134"/>
        <v>0</v>
      </c>
      <c r="BH57" s="69">
        <f t="shared" si="23"/>
        <v>0</v>
      </c>
      <c r="BI57" s="85">
        <f t="shared" si="56"/>
        <v>0</v>
      </c>
      <c r="BJ57" s="86">
        <f t="shared" si="56"/>
        <v>0</v>
      </c>
      <c r="BK57" s="75">
        <f t="shared" si="25"/>
        <v>0</v>
      </c>
      <c r="BL57" s="283">
        <f>IFERROR(VLOOKUP(Brand&amp;Channel&amp;Country&amp;$B57,tblDiscount,6,FALSE),0)</f>
        <v>0.8</v>
      </c>
      <c r="BM57" s="249">
        <f t="shared" ref="BM57:BM59" si="136">(1-BL57)*BN57</f>
        <v>0</v>
      </c>
      <c r="BN57" s="249">
        <f>IFERROR(VLOOKUP(Brand&amp;Country &amp; Channel &amp;FC,tblFCSettings,8,FALSE),0)</f>
        <v>0</v>
      </c>
      <c r="BO57" s="284">
        <f>IFERROR(VLOOKUP(Brand&amp;Country &amp; Channel &amp;FC,tblFCSettings,9,FALSE),0)</f>
        <v>0</v>
      </c>
    </row>
    <row r="58" spans="1:67" x14ac:dyDescent="0.25">
      <c r="A58"/>
      <c r="B58" s="185">
        <v>38</v>
      </c>
      <c r="C58" s="87">
        <f t="shared" si="126"/>
        <v>0</v>
      </c>
      <c r="D58" s="68">
        <f t="shared" si="126"/>
        <v>0</v>
      </c>
      <c r="E58" s="69">
        <f t="shared" si="0"/>
        <v>0</v>
      </c>
      <c r="F58" s="157">
        <f>IF(NewPlan=TRUE,IF(AF57-(G58*J58)&lt;0,AF57,G58*J58),IFERROR(VLOOKUP(FiscalYr &amp; $B58&amp;F$4,tblForecast,F$2,FALSE),0))</f>
        <v>0</v>
      </c>
      <c r="G58" s="189">
        <f>IFERROR(VLOOKUP(FiscalYr-IF(CompareVer="LY",1,0) &amp; $B58 + IF(FiscalYr=2018,1,0)&amp;G$4,tblForecast,G$2,FALSE),0)</f>
        <v>0</v>
      </c>
      <c r="H58" s="69">
        <f t="shared" si="1"/>
        <v>0</v>
      </c>
      <c r="I58" s="177">
        <f t="shared" si="135"/>
        <v>0</v>
      </c>
      <c r="J58" s="177">
        <f t="shared" si="135"/>
        <v>0</v>
      </c>
      <c r="K58" s="87">
        <f t="shared" si="127"/>
        <v>0</v>
      </c>
      <c r="L58" s="68">
        <f t="shared" si="128"/>
        <v>0</v>
      </c>
      <c r="M58" s="72">
        <f t="shared" si="2"/>
        <v>0</v>
      </c>
      <c r="N58" s="162">
        <f t="shared" si="129"/>
        <v>0</v>
      </c>
      <c r="O58" s="163">
        <f t="shared" si="129"/>
        <v>0</v>
      </c>
      <c r="P58" s="69">
        <f t="shared" si="107"/>
        <v>0</v>
      </c>
      <c r="Q58" s="158">
        <f>IF(NewPlan=TRUE,IF(BM58=0,R58,BM58),IFERROR(VLOOKUP(FiscalYr&amp;$B58&amp;Q$4,tblForecast,Q$2,FALSE),0))</f>
        <v>0</v>
      </c>
      <c r="R58" s="73">
        <f>IFERROR(VLOOKUP(FiscalYr-IF(CompareVer="LY",1,0) &amp; $B58 + IF(FiscalYr=2018,1,0)&amp;R$4,tblForecast,R$2,FALSE),0)</f>
        <v>0</v>
      </c>
      <c r="S58" s="69">
        <f t="shared" si="4"/>
        <v>0</v>
      </c>
      <c r="T58" s="158">
        <f>IF(NewPlan=TRUE,IF(BO58=0,U58,BO58),IFERROR(VLOOKUP(FiscalYr &amp; $B58&amp;T$4,tblForecast,T$2,FALSE),0))</f>
        <v>0</v>
      </c>
      <c r="U58" s="73">
        <f>IFERROR(VLOOKUP(FiscalYr-IF(CompareVer="LY",1,0) &amp; $B58 + IF(FiscalYr=2018,1,0)&amp;U$4,tblForecast,U$2,FALSE),0)</f>
        <v>0</v>
      </c>
      <c r="V58" s="69">
        <f t="shared" si="5"/>
        <v>0</v>
      </c>
      <c r="W58" s="158">
        <f>IF(NewPlan=TRUE,IF(BN58=0,X58,BN58),IFERROR(VLOOKUP(FiscalYr &amp; $B58&amp;W$4,tblForecast,W$2,FALSE),0))</f>
        <v>0</v>
      </c>
      <c r="X58" s="73">
        <f>IFERROR(VLOOKUP(FiscalYr-IF(CompareVer="LY",1,0) &amp; $B58 + IF(FiscalYr=2018,1,0)&amp;X$4,tblForecast,X$2,FALSE),0)</f>
        <v>0</v>
      </c>
      <c r="Y58" s="69">
        <f t="shared" si="6"/>
        <v>0</v>
      </c>
      <c r="Z58" s="74">
        <f t="shared" si="66"/>
        <v>0</v>
      </c>
      <c r="AA58" s="75">
        <f t="shared" si="60"/>
        <v>0</v>
      </c>
      <c r="AB58" s="69">
        <f t="shared" si="108"/>
        <v>0</v>
      </c>
      <c r="AC58" s="88">
        <f t="shared" si="94"/>
        <v>0</v>
      </c>
      <c r="AD58" s="77">
        <f t="shared" si="94"/>
        <v>0</v>
      </c>
      <c r="AE58" s="78">
        <f t="shared" si="31"/>
        <v>0</v>
      </c>
      <c r="AF58" s="238">
        <f t="shared" si="130"/>
        <v>0</v>
      </c>
      <c r="AG58" s="71">
        <f>IFERROR(VLOOKUP(FiscalYr-IF(CompareVer="LY",1,0) &amp; $B58 + IF(FiscalYr=2018,1,0)&amp;AG$4,tblForecast,AG$2,FALSE),0)</f>
        <v>0</v>
      </c>
      <c r="AH58" s="69">
        <f t="shared" si="10"/>
        <v>0</v>
      </c>
      <c r="AI58" s="157">
        <f t="shared" si="131"/>
        <v>0</v>
      </c>
      <c r="AJ58" s="71">
        <f t="shared" si="131"/>
        <v>0</v>
      </c>
      <c r="AK58" s="71">
        <f>IF($A58="a",IFERROR(VLOOKUP(FiscalYr &amp; $B58&amp;AK$4,tblForecast,AK$2,FALSE),0),AI58+AJ58)</f>
        <v>0</v>
      </c>
      <c r="AL58" s="71">
        <f>IFERROR(VLOOKUP(FiscalYr-IF(CompareVer="LY",1,0) &amp; $B58 + IF(FiscalYr=2018,1,0)&amp;AL$4,tblForecast,AL$2,FALSE),0)</f>
        <v>0</v>
      </c>
      <c r="AM58" s="69">
        <f t="shared" si="12"/>
        <v>0</v>
      </c>
      <c r="AN58" s="157">
        <f t="shared" si="132"/>
        <v>0</v>
      </c>
      <c r="AO58" s="71">
        <f t="shared" si="132"/>
        <v>0</v>
      </c>
      <c r="AP58" s="69">
        <f t="shared" si="14"/>
        <v>0</v>
      </c>
      <c r="AQ58" s="80">
        <f t="shared" si="133"/>
        <v>0</v>
      </c>
      <c r="AR58" s="89">
        <f t="shared" si="133"/>
        <v>0</v>
      </c>
      <c r="AS58" s="69">
        <f t="shared" si="110"/>
        <v>0</v>
      </c>
      <c r="AT58" s="157">
        <f>IFERROR(VLOOKUP(FiscalYr &amp; $B58&amp;AT$4,tblForecast,AT$2,FALSE),0)</f>
        <v>0</v>
      </c>
      <c r="AU58" s="71">
        <f t="shared" si="103"/>
        <v>0</v>
      </c>
      <c r="AV58" s="69">
        <f t="shared" si="17"/>
        <v>0</v>
      </c>
      <c r="AW58" s="82"/>
      <c r="AX58" s="83"/>
      <c r="AY58" s="69">
        <f t="shared" si="18"/>
        <v>0</v>
      </c>
      <c r="AZ58" s="84"/>
      <c r="BA58" s="85"/>
      <c r="BB58" s="69">
        <f t="shared" si="19"/>
        <v>0</v>
      </c>
      <c r="BC58" s="157">
        <f>IFERROR(VLOOKUP(FiscalYr &amp; $B58&amp;BC$4,tblForecast,BC$2,FALSE),0)</f>
        <v>0</v>
      </c>
      <c r="BD58" s="71">
        <f t="shared" si="104"/>
        <v>0</v>
      </c>
      <c r="BE58" s="69">
        <f t="shared" si="21"/>
        <v>0</v>
      </c>
      <c r="BF58" s="90">
        <f>IFERROR(VLOOKUP(FiscalYr &amp; $B58&amp;BF$4,tblForecast,BF$2,FALSE),0)</f>
        <v>0</v>
      </c>
      <c r="BG58" s="85">
        <f t="shared" si="134"/>
        <v>0</v>
      </c>
      <c r="BH58" s="69">
        <f t="shared" si="23"/>
        <v>0</v>
      </c>
      <c r="BI58" s="85">
        <f t="shared" si="56"/>
        <v>0</v>
      </c>
      <c r="BJ58" s="86">
        <f t="shared" si="56"/>
        <v>0</v>
      </c>
      <c r="BK58" s="75">
        <f t="shared" si="25"/>
        <v>0</v>
      </c>
      <c r="BL58" s="283">
        <f>IFERROR(VLOOKUP(Brand&amp;Channel&amp;Country&amp;$B58,tblDiscount,6,FALSE),0)</f>
        <v>0.8</v>
      </c>
      <c r="BM58" s="249">
        <f t="shared" si="136"/>
        <v>0</v>
      </c>
      <c r="BN58" s="249">
        <f>IFERROR(VLOOKUP(Brand&amp;Country &amp; Channel &amp;FC,tblFCSettings,8,FALSE),0)</f>
        <v>0</v>
      </c>
      <c r="BO58" s="284">
        <f>IFERROR(VLOOKUP(Brand&amp;Country &amp; Channel &amp;FC,tblFCSettings,9,FALSE),0)</f>
        <v>0</v>
      </c>
    </row>
    <row r="59" spans="1:67" ht="16.5" thickBot="1" x14ac:dyDescent="0.3">
      <c r="A59"/>
      <c r="B59" s="185">
        <v>39</v>
      </c>
      <c r="C59" s="87">
        <f t="shared" si="126"/>
        <v>0</v>
      </c>
      <c r="D59" s="68">
        <f t="shared" si="126"/>
        <v>0</v>
      </c>
      <c r="E59" s="69">
        <f t="shared" si="0"/>
        <v>0</v>
      </c>
      <c r="F59" s="157">
        <f>IF(NewPlan=TRUE,IF(AF58-(G59*J59)&lt;0,AF58,G59*J59),IFERROR(VLOOKUP(FiscalYr &amp; $B59&amp;F$4,tblForecast,F$2,FALSE),0))</f>
        <v>0</v>
      </c>
      <c r="G59" s="189">
        <f>IFERROR(VLOOKUP(FiscalYr-IF(CompareVer="LY",1,0) &amp; $B59 + IF(FiscalYr=2018,1,0)&amp;G$4,tblForecast,G$2,FALSE),0)</f>
        <v>0</v>
      </c>
      <c r="H59" s="69">
        <f t="shared" si="1"/>
        <v>0</v>
      </c>
      <c r="I59" s="177">
        <f t="shared" si="135"/>
        <v>0</v>
      </c>
      <c r="J59" s="177">
        <f t="shared" si="135"/>
        <v>0</v>
      </c>
      <c r="K59" s="87">
        <f t="shared" si="127"/>
        <v>0</v>
      </c>
      <c r="L59" s="68">
        <f t="shared" si="128"/>
        <v>0</v>
      </c>
      <c r="M59" s="72">
        <f t="shared" si="2"/>
        <v>0</v>
      </c>
      <c r="N59" s="162">
        <f t="shared" si="129"/>
        <v>0</v>
      </c>
      <c r="O59" s="163">
        <f t="shared" si="129"/>
        <v>0</v>
      </c>
      <c r="P59" s="69">
        <f t="shared" si="107"/>
        <v>0</v>
      </c>
      <c r="Q59" s="158">
        <f>IF(NewPlan=TRUE,IF(BM59=0,R59,BM59),IFERROR(VLOOKUP(FiscalYr&amp;$B59&amp;Q$4,tblForecast,Q$2,FALSE),0))</f>
        <v>0</v>
      </c>
      <c r="R59" s="73">
        <f>IFERROR(VLOOKUP(FiscalYr-IF(CompareVer="LY",1,0) &amp; $B59 + IF(FiscalYr=2018,1,0)&amp;R$4,tblForecast,R$2,FALSE),0)</f>
        <v>0</v>
      </c>
      <c r="S59" s="69">
        <f t="shared" si="4"/>
        <v>0</v>
      </c>
      <c r="T59" s="158">
        <f>IF(NewPlan=TRUE,IF(BO59=0,U59,BO59),IFERROR(VLOOKUP(FiscalYr &amp; $B59&amp;T$4,tblForecast,T$2,FALSE),0))</f>
        <v>0</v>
      </c>
      <c r="U59" s="73">
        <f>IFERROR(VLOOKUP(FiscalYr-IF(CompareVer="LY",1,0) &amp; $B59 + IF(FiscalYr=2018,1,0)&amp;U$4,tblForecast,U$2,FALSE),0)</f>
        <v>0</v>
      </c>
      <c r="V59" s="69">
        <f t="shared" si="5"/>
        <v>0</v>
      </c>
      <c r="W59" s="158">
        <f>IF(NewPlan=TRUE,IF(BN59=0,X59,BN59),IFERROR(VLOOKUP(FiscalYr &amp; $B59&amp;W$4,tblForecast,W$2,FALSE),0))</f>
        <v>0</v>
      </c>
      <c r="X59" s="73">
        <f>IFERROR(VLOOKUP(FiscalYr-IF(CompareVer="LY",1,0) &amp; $B59 + IF(FiscalYr=2018,1,0)&amp;X$4,tblForecast,X$2,FALSE),0)</f>
        <v>0</v>
      </c>
      <c r="Y59" s="69">
        <f t="shared" si="6"/>
        <v>0</v>
      </c>
      <c r="Z59" s="74">
        <f t="shared" si="66"/>
        <v>0</v>
      </c>
      <c r="AA59" s="75">
        <f t="shared" si="60"/>
        <v>0</v>
      </c>
      <c r="AB59" s="69">
        <f t="shared" si="108"/>
        <v>0</v>
      </c>
      <c r="AC59" s="88">
        <f t="shared" si="94"/>
        <v>0</v>
      </c>
      <c r="AD59" s="77">
        <f t="shared" si="94"/>
        <v>0</v>
      </c>
      <c r="AE59" s="78">
        <f t="shared" si="31"/>
        <v>0</v>
      </c>
      <c r="AF59" s="238">
        <f t="shared" si="130"/>
        <v>0</v>
      </c>
      <c r="AG59" s="71">
        <f>IFERROR(VLOOKUP(FiscalYr-IF(CompareVer="LY",1,0) &amp; $B59 + IF(FiscalYr=2018,1,0)&amp;AG$4,tblForecast,AG$2,FALSE),0)</f>
        <v>0</v>
      </c>
      <c r="AH59" s="69">
        <f t="shared" si="10"/>
        <v>0</v>
      </c>
      <c r="AI59" s="157">
        <f t="shared" si="131"/>
        <v>0</v>
      </c>
      <c r="AJ59" s="71">
        <f t="shared" si="131"/>
        <v>0</v>
      </c>
      <c r="AK59" s="71">
        <f>IF($A59="a",IFERROR(VLOOKUP(FiscalYr &amp; $B59&amp;AK$4,tblForecast,AK$2,FALSE),0),AI59+AJ59)</f>
        <v>0</v>
      </c>
      <c r="AL59" s="71">
        <f>IFERROR(VLOOKUP(FiscalYr-IF(CompareVer="LY",1,0) &amp; $B59 + IF(FiscalYr=2018,1,0)&amp;AL$4,tblForecast,AL$2,FALSE),0)</f>
        <v>0</v>
      </c>
      <c r="AM59" s="69">
        <f t="shared" si="12"/>
        <v>0</v>
      </c>
      <c r="AN59" s="157">
        <f t="shared" si="132"/>
        <v>0</v>
      </c>
      <c r="AO59" s="71">
        <f t="shared" si="132"/>
        <v>0</v>
      </c>
      <c r="AP59" s="69">
        <f t="shared" si="14"/>
        <v>0</v>
      </c>
      <c r="AQ59" s="80">
        <f t="shared" si="133"/>
        <v>0</v>
      </c>
      <c r="AR59" s="89">
        <f t="shared" si="133"/>
        <v>0</v>
      </c>
      <c r="AS59" s="69">
        <f t="shared" si="110"/>
        <v>0</v>
      </c>
      <c r="AT59" s="157">
        <f>IFERROR(VLOOKUP(FiscalYr &amp; $B59&amp;AT$4,tblForecast,AT$2,FALSE),0)</f>
        <v>0</v>
      </c>
      <c r="AU59" s="71">
        <f t="shared" si="103"/>
        <v>0</v>
      </c>
      <c r="AV59" s="69">
        <f t="shared" si="17"/>
        <v>0</v>
      </c>
      <c r="AW59" s="82"/>
      <c r="AX59" s="83"/>
      <c r="AY59" s="69">
        <f t="shared" si="18"/>
        <v>0</v>
      </c>
      <c r="AZ59" s="84"/>
      <c r="BA59" s="85"/>
      <c r="BB59" s="69">
        <f t="shared" si="19"/>
        <v>0</v>
      </c>
      <c r="BC59" s="157">
        <f>IFERROR(VLOOKUP(FiscalYr &amp; $B59&amp;BC$4,tblForecast,BC$2,FALSE),0)</f>
        <v>0</v>
      </c>
      <c r="BD59" s="71">
        <f t="shared" si="104"/>
        <v>0</v>
      </c>
      <c r="BE59" s="69">
        <f t="shared" si="21"/>
        <v>0</v>
      </c>
      <c r="BF59" s="90">
        <f>IFERROR(VLOOKUP(FiscalYr &amp; $B59&amp;BF$4,tblForecast,BF$2,FALSE),0)</f>
        <v>0</v>
      </c>
      <c r="BG59" s="85">
        <f t="shared" si="134"/>
        <v>0</v>
      </c>
      <c r="BH59" s="69">
        <f t="shared" si="23"/>
        <v>0</v>
      </c>
      <c r="BI59" s="85">
        <f t="shared" ref="BI59:BJ79" si="137">IF(F59&lt;&gt;0,BF59/F59,0)</f>
        <v>0</v>
      </c>
      <c r="BJ59" s="86">
        <f t="shared" si="137"/>
        <v>0</v>
      </c>
      <c r="BK59" s="75">
        <f t="shared" si="25"/>
        <v>0</v>
      </c>
      <c r="BL59" s="283">
        <f>IFERROR(VLOOKUP(Brand&amp;Channel&amp;Country&amp;$B59,tblDiscount,6,FALSE),0)</f>
        <v>0.8</v>
      </c>
      <c r="BM59" s="249">
        <f t="shared" si="136"/>
        <v>0</v>
      </c>
      <c r="BN59" s="249">
        <f>IFERROR(VLOOKUP(Brand&amp;Country &amp; Channel &amp;FC,tblFCSettings,8,FALSE),0)</f>
        <v>0</v>
      </c>
      <c r="BO59" s="284">
        <f>IFERROR(VLOOKUP(Brand&amp;Country &amp; Channel &amp;FC,tblFCSettings,9,FALSE),0)</f>
        <v>0</v>
      </c>
    </row>
    <row r="60" spans="1:67" ht="16.5" thickBot="1" x14ac:dyDescent="0.3">
      <c r="A60"/>
      <c r="B60" s="6" t="s">
        <v>344</v>
      </c>
      <c r="C60" s="92">
        <f>SUM(C56:C59)</f>
        <v>0</v>
      </c>
      <c r="D60" s="93">
        <f>SUM(D56:D59)</f>
        <v>0</v>
      </c>
      <c r="E60" s="94">
        <f t="shared" si="0"/>
        <v>0</v>
      </c>
      <c r="F60" s="95">
        <f>SUM(F56:F59)</f>
        <v>0</v>
      </c>
      <c r="G60" s="96">
        <f>SUM(G56:G59)</f>
        <v>0</v>
      </c>
      <c r="H60" s="94">
        <f t="shared" si="1"/>
        <v>0</v>
      </c>
      <c r="I60" s="178">
        <f>IF(F55&lt;&gt;0,F60/F55-1,0)</f>
        <v>0</v>
      </c>
      <c r="J60" s="178">
        <f>IF(G55&lt;&gt;0,G60/G55-1,0)</f>
        <v>0</v>
      </c>
      <c r="K60" s="92">
        <f>SUM(K56:K59)</f>
        <v>0</v>
      </c>
      <c r="L60" s="93">
        <f>SUM(L56:L59)</f>
        <v>0</v>
      </c>
      <c r="M60" s="97">
        <f t="shared" si="2"/>
        <v>0</v>
      </c>
      <c r="N60" s="164">
        <f>IFERROR(K60/C60,0)</f>
        <v>0</v>
      </c>
      <c r="O60" s="165">
        <f>IFERROR(L60/D60,0)</f>
        <v>0</v>
      </c>
      <c r="P60" s="94">
        <f t="shared" si="107"/>
        <v>0</v>
      </c>
      <c r="Q60" s="98">
        <f>IFERROR(C60/F60,0)</f>
        <v>0</v>
      </c>
      <c r="R60" s="99">
        <f>IFERROR(D60/G60,0)</f>
        <v>0</v>
      </c>
      <c r="S60" s="94">
        <f t="shared" si="4"/>
        <v>0</v>
      </c>
      <c r="T60" s="98">
        <f>IFERROR((C60*(1-N60))/F60,0)</f>
        <v>0</v>
      </c>
      <c r="U60" s="99">
        <f>IFERROR((D60*(1-O60))/G60,0)</f>
        <v>0</v>
      </c>
      <c r="V60" s="94">
        <f t="shared" si="5"/>
        <v>0</v>
      </c>
      <c r="W60" s="98">
        <f>IFERROR(SUMPRODUCT(W56:W59,F56:F59)/F60,0)</f>
        <v>0</v>
      </c>
      <c r="X60" s="99">
        <f>IFERROR(SUMPRODUCT(X56:X59,G56:G59)/G60,0)</f>
        <v>0</v>
      </c>
      <c r="Y60" s="94">
        <f t="shared" si="6"/>
        <v>0</v>
      </c>
      <c r="Z60" s="100">
        <f t="shared" si="66"/>
        <v>0</v>
      </c>
      <c r="AA60" s="101">
        <f t="shared" ref="AA60:AA79" si="138">IFERROR((R60/X60-1)*-1,0)</f>
        <v>0</v>
      </c>
      <c r="AB60" s="94">
        <f t="shared" si="108"/>
        <v>0</v>
      </c>
      <c r="AC60" s="102">
        <f t="shared" si="94"/>
        <v>0</v>
      </c>
      <c r="AD60" s="103">
        <f t="shared" si="94"/>
        <v>0</v>
      </c>
      <c r="AE60" s="104">
        <f t="shared" si="31"/>
        <v>0</v>
      </c>
      <c r="AF60" s="95">
        <f>AF59</f>
        <v>0</v>
      </c>
      <c r="AG60" s="96">
        <f>AG59</f>
        <v>0</v>
      </c>
      <c r="AH60" s="94">
        <f t="shared" si="10"/>
        <v>0</v>
      </c>
      <c r="AI60" s="95">
        <f t="shared" ref="AI60:AL60" si="139">SUM(AI56:AI59)</f>
        <v>0</v>
      </c>
      <c r="AJ60" s="96">
        <f t="shared" si="139"/>
        <v>0</v>
      </c>
      <c r="AK60" s="96">
        <f t="shared" si="139"/>
        <v>0</v>
      </c>
      <c r="AL60" s="96">
        <f t="shared" si="139"/>
        <v>0</v>
      </c>
      <c r="AM60" s="94">
        <f t="shared" si="12"/>
        <v>0</v>
      </c>
      <c r="AN60" s="95">
        <f>SUM(AN56:AN59)</f>
        <v>0</v>
      </c>
      <c r="AO60" s="96">
        <f t="shared" si="35"/>
        <v>0</v>
      </c>
      <c r="AP60" s="94">
        <f t="shared" si="14"/>
        <v>0</v>
      </c>
      <c r="AQ60" s="105">
        <f>IF(F60&lt;&gt;0,(AF60*COUNT(AQ56:AQ59)/F60),0)</f>
        <v>0</v>
      </c>
      <c r="AR60" s="106">
        <f>IF(G60&lt;&gt;0,(AG60*COUNT(AR56:AR59)/G60),0)</f>
        <v>0</v>
      </c>
      <c r="AS60" s="94">
        <f t="shared" si="32"/>
        <v>0</v>
      </c>
      <c r="AT60" s="95">
        <f>SUM(AT56:AT59)</f>
        <v>0</v>
      </c>
      <c r="AU60" s="96">
        <f t="shared" si="103"/>
        <v>0</v>
      </c>
      <c r="AV60" s="94">
        <f t="shared" si="17"/>
        <v>0</v>
      </c>
      <c r="AW60" s="107"/>
      <c r="AX60" s="108"/>
      <c r="AY60" s="94">
        <f t="shared" si="18"/>
        <v>0</v>
      </c>
      <c r="AZ60" s="134">
        <f>SUM(AZ56:AZ59)</f>
        <v>0</v>
      </c>
      <c r="BA60" s="111">
        <f>SUM(BA56:BA59)</f>
        <v>0</v>
      </c>
      <c r="BB60" s="94">
        <f t="shared" si="19"/>
        <v>0</v>
      </c>
      <c r="BC60" s="95">
        <f>SUM(BC56:BC59)</f>
        <v>0</v>
      </c>
      <c r="BD60" s="96">
        <f t="shared" si="104"/>
        <v>0</v>
      </c>
      <c r="BE60" s="94">
        <f t="shared" si="21"/>
        <v>0</v>
      </c>
      <c r="BF60" s="110">
        <f>SUM(BF56:BF59)</f>
        <v>0</v>
      </c>
      <c r="BG60" s="111">
        <f>SUM(BG56:BG59)</f>
        <v>0</v>
      </c>
      <c r="BH60" s="94">
        <f t="shared" si="23"/>
        <v>0</v>
      </c>
      <c r="BI60" s="111">
        <f t="shared" si="137"/>
        <v>0</v>
      </c>
      <c r="BJ60" s="112">
        <f t="shared" si="137"/>
        <v>0</v>
      </c>
      <c r="BK60" s="101">
        <f t="shared" si="25"/>
        <v>0</v>
      </c>
      <c r="BL60" s="283"/>
      <c r="BM60" s="249"/>
      <c r="BN60" s="249"/>
      <c r="BO60" s="284"/>
    </row>
    <row r="61" spans="1:67" ht="16.5" thickBot="1" x14ac:dyDescent="0.3">
      <c r="A61"/>
      <c r="B61" s="7" t="s">
        <v>49</v>
      </c>
      <c r="C61" s="113">
        <f>C49+C55+C60</f>
        <v>0</v>
      </c>
      <c r="D61" s="114">
        <f>D49+D55+D60</f>
        <v>0</v>
      </c>
      <c r="E61" s="115">
        <f t="shared" si="0"/>
        <v>0</v>
      </c>
      <c r="F61" s="116">
        <f>F49+F55+F60</f>
        <v>0</v>
      </c>
      <c r="G61" s="117">
        <f>G49+G55+G60</f>
        <v>0</v>
      </c>
      <c r="H61" s="115">
        <f t="shared" si="1"/>
        <v>0</v>
      </c>
      <c r="I61" s="179">
        <f>IF(F44&lt;&gt;0,F61/F44,0)</f>
        <v>0</v>
      </c>
      <c r="J61" s="179">
        <f>IF(G44&lt;&gt;0,G61/G44,0)</f>
        <v>0</v>
      </c>
      <c r="K61" s="113">
        <f>K49+K55+K60</f>
        <v>0</v>
      </c>
      <c r="L61" s="114">
        <f>L49+L55+L60</f>
        <v>0</v>
      </c>
      <c r="M61" s="118">
        <f t="shared" si="2"/>
        <v>0</v>
      </c>
      <c r="N61" s="166">
        <f>IFERROR(K61/C61,0)</f>
        <v>0</v>
      </c>
      <c r="O61" s="167">
        <f>IFERROR(L61/D61,0)</f>
        <v>0</v>
      </c>
      <c r="P61" s="115">
        <f t="shared" si="107"/>
        <v>0</v>
      </c>
      <c r="Q61" s="119">
        <f>IFERROR(C61/F61,0)</f>
        <v>0</v>
      </c>
      <c r="R61" s="120">
        <f>IFERROR(D61/G61,0)</f>
        <v>0</v>
      </c>
      <c r="S61" s="115">
        <f t="shared" si="4"/>
        <v>0</v>
      </c>
      <c r="T61" s="119">
        <f>IFERROR((C61*(1-N61))/F61,0)</f>
        <v>0</v>
      </c>
      <c r="U61" s="120">
        <f>IFERROR((D61*(1-O61))/G61,0)</f>
        <v>0</v>
      </c>
      <c r="V61" s="115">
        <f t="shared" si="5"/>
        <v>0</v>
      </c>
      <c r="W61" s="119">
        <f>IFERROR((W49*F49+W55*F55+W60*F60)/F61,0)</f>
        <v>0</v>
      </c>
      <c r="X61" s="120">
        <f>IFERROR((X49*G49+X55*G55+X60*G60)/G61,0)</f>
        <v>0</v>
      </c>
      <c r="Y61" s="115">
        <f t="shared" si="6"/>
        <v>0</v>
      </c>
      <c r="Z61" s="121">
        <f t="shared" ref="Z61:Z79" si="140">IFERROR((Q61/W61-1)*-1,0)</f>
        <v>0</v>
      </c>
      <c r="AA61" s="122">
        <f t="shared" si="138"/>
        <v>0</v>
      </c>
      <c r="AB61" s="115">
        <f>IFERROR(Z61-AA61,)</f>
        <v>0</v>
      </c>
      <c r="AC61" s="123">
        <f t="shared" si="94"/>
        <v>0</v>
      </c>
      <c r="AD61" s="124">
        <f t="shared" si="94"/>
        <v>0</v>
      </c>
      <c r="AE61" s="125">
        <f t="shared" si="31"/>
        <v>0</v>
      </c>
      <c r="AF61" s="116">
        <f>AF60</f>
        <v>0</v>
      </c>
      <c r="AG61" s="117">
        <f>AG60</f>
        <v>0</v>
      </c>
      <c r="AH61" s="115">
        <f t="shared" si="10"/>
        <v>0</v>
      </c>
      <c r="AI61" s="116">
        <f t="shared" ref="AI61:AL61" si="141">AI49+AI55+AI60</f>
        <v>0</v>
      </c>
      <c r="AJ61" s="117">
        <f t="shared" si="141"/>
        <v>0</v>
      </c>
      <c r="AK61" s="117">
        <f t="shared" si="141"/>
        <v>0</v>
      </c>
      <c r="AL61" s="117">
        <f t="shared" si="141"/>
        <v>0</v>
      </c>
      <c r="AM61" s="115">
        <f t="shared" si="12"/>
        <v>0</v>
      </c>
      <c r="AN61" s="116">
        <f t="shared" ref="AN61:AO61" si="142">AN49+AN55+AN60</f>
        <v>0</v>
      </c>
      <c r="AO61" s="117">
        <f t="shared" si="142"/>
        <v>0</v>
      </c>
      <c r="AP61" s="115">
        <f t="shared" si="14"/>
        <v>0</v>
      </c>
      <c r="AQ61" s="126">
        <f>IF(F61&lt;&gt;0,(AF61*$B$24/F61),0)</f>
        <v>0</v>
      </c>
      <c r="AR61" s="127">
        <f>IF(G61&lt;&gt;0,(AG61*$B$24/G61),0)</f>
        <v>0</v>
      </c>
      <c r="AS61" s="115">
        <f t="shared" si="32"/>
        <v>0</v>
      </c>
      <c r="AT61" s="116">
        <f>AT49+AT55+AT60</f>
        <v>0</v>
      </c>
      <c r="AU61" s="117">
        <f>AU49+AU55+AU60</f>
        <v>0</v>
      </c>
      <c r="AV61" s="115">
        <f t="shared" si="17"/>
        <v>0</v>
      </c>
      <c r="AW61" s="128"/>
      <c r="AX61" s="129"/>
      <c r="AY61" s="115">
        <f t="shared" si="18"/>
        <v>0</v>
      </c>
      <c r="AZ61" s="130">
        <f>AZ49+AZ55+AZ60</f>
        <v>0</v>
      </c>
      <c r="BA61" s="117">
        <f>BA49+BA55+BA60</f>
        <v>0</v>
      </c>
      <c r="BB61" s="115">
        <f t="shared" si="19"/>
        <v>0</v>
      </c>
      <c r="BC61" s="116">
        <f t="shared" ref="BC61:BD61" si="143">BC49+BC55+BC60</f>
        <v>0</v>
      </c>
      <c r="BD61" s="117">
        <f t="shared" si="143"/>
        <v>0</v>
      </c>
      <c r="BE61" s="115">
        <f t="shared" si="21"/>
        <v>0</v>
      </c>
      <c r="BF61" s="131">
        <f>BF49+BF55+BF60</f>
        <v>0</v>
      </c>
      <c r="BG61" s="132">
        <f>BG49+BG55+BG60</f>
        <v>0</v>
      </c>
      <c r="BH61" s="115">
        <f t="shared" si="23"/>
        <v>0</v>
      </c>
      <c r="BI61" s="132">
        <f t="shared" si="137"/>
        <v>0</v>
      </c>
      <c r="BJ61" s="133">
        <f t="shared" si="137"/>
        <v>0</v>
      </c>
      <c r="BK61" s="122">
        <f t="shared" si="25"/>
        <v>0</v>
      </c>
      <c r="BL61" s="283"/>
      <c r="BM61" s="249"/>
      <c r="BN61" s="249"/>
      <c r="BO61" s="284"/>
    </row>
    <row r="62" spans="1:67" x14ac:dyDescent="0.25">
      <c r="A62"/>
      <c r="B62" s="185">
        <v>40</v>
      </c>
      <c r="C62" s="67">
        <f t="shared" ref="C62:D65" si="144">F62*Q62</f>
        <v>0</v>
      </c>
      <c r="D62" s="68">
        <f t="shared" si="144"/>
        <v>0</v>
      </c>
      <c r="E62" s="69">
        <f t="shared" si="0"/>
        <v>0</v>
      </c>
      <c r="F62" s="157">
        <f>IF(NewPlan=TRUE,IF(AF61-(G62*J62)&lt;0,AF61,G62*J62),IFERROR(VLOOKUP(FiscalYr &amp; $B62&amp;F$4,tblForecast,F$2,FALSE),0))</f>
        <v>0</v>
      </c>
      <c r="G62" s="189">
        <f>IFERROR(VLOOKUP(FiscalYr-IF(CompareVer="LY",1,0) &amp; $B62 + IF(FiscalYr=2018,1,0)&amp;G$4,tblForecast,G$2,FALSE),0)</f>
        <v>0</v>
      </c>
      <c r="H62" s="69">
        <f t="shared" si="1"/>
        <v>0</v>
      </c>
      <c r="I62" s="177">
        <f>IFERROR(IF(F59&lt;&gt;0,F62/F59,0),0)</f>
        <v>0</v>
      </c>
      <c r="J62" s="177">
        <f>IFERROR(IF(G59&lt;&gt;0,G62/G59,0),0)</f>
        <v>0</v>
      </c>
      <c r="K62" s="67">
        <f>IFERROR(C62*N62,0)</f>
        <v>0</v>
      </c>
      <c r="L62" s="68">
        <f t="shared" ref="L62:L65" si="145">D62*O62</f>
        <v>0</v>
      </c>
      <c r="M62" s="72">
        <f t="shared" si="2"/>
        <v>0</v>
      </c>
      <c r="N62" s="162">
        <f t="shared" ref="N62:O65" si="146">IF(Q62&lt;&gt;0,1-T62/Q62,0)</f>
        <v>0</v>
      </c>
      <c r="O62" s="163">
        <f>IF(R62&lt;&gt;0,1-U62/R62,0)</f>
        <v>0</v>
      </c>
      <c r="P62" s="69">
        <f>IFERROR(N62-O62,)</f>
        <v>0</v>
      </c>
      <c r="Q62" s="158">
        <f>IF(NewPlan=TRUE,IF(BM62=0,R62,BM62),IFERROR(VLOOKUP(FiscalYr&amp;$B62&amp;Q$4,tblForecast,Q$2,FALSE),0))</f>
        <v>0</v>
      </c>
      <c r="R62" s="73">
        <f>IFERROR(VLOOKUP(FiscalYr-IF(CompareVer="LY",1,0) &amp; $B62 + IF(FiscalYr=2018,1,0)&amp;R$4,tblForecast,R$2,FALSE),0)</f>
        <v>0</v>
      </c>
      <c r="S62" s="69">
        <f t="shared" si="4"/>
        <v>0</v>
      </c>
      <c r="T62" s="158">
        <f>IF(NewPlan=TRUE,IF(BO62=0,U62,BO62),IFERROR(VLOOKUP(FiscalYr &amp; $B62&amp;T$4,tblForecast,T$2,FALSE),0))</f>
        <v>0</v>
      </c>
      <c r="U62" s="73">
        <f>IFERROR(VLOOKUP(FiscalYr-IF(CompareVer="LY",1,0) &amp; $B62 + IF(FiscalYr=2018,1,0)&amp;U$4,tblForecast,U$2,FALSE),0)</f>
        <v>0</v>
      </c>
      <c r="V62" s="69">
        <f t="shared" si="5"/>
        <v>0</v>
      </c>
      <c r="W62" s="158">
        <f>IF(NewPlan=TRUE,IF(BN62=0,X62,BN62),IFERROR(VLOOKUP(FiscalYr &amp; $B62&amp;W$4,tblForecast,W$2,FALSE),0))</f>
        <v>0</v>
      </c>
      <c r="X62" s="73">
        <f>IFERROR(VLOOKUP(FiscalYr-IF(CompareVer="LY",1,0) &amp; $B62 + IF(FiscalYr=2018,1,0)&amp;X$4,tblForecast,X$2,FALSE),0)</f>
        <v>0</v>
      </c>
      <c r="Y62" s="69">
        <f t="shared" si="6"/>
        <v>0</v>
      </c>
      <c r="Z62" s="74">
        <f t="shared" si="140"/>
        <v>0</v>
      </c>
      <c r="AA62" s="75">
        <f t="shared" si="138"/>
        <v>0</v>
      </c>
      <c r="AB62" s="69">
        <f>IFERROR(Z62-AA62,)</f>
        <v>0</v>
      </c>
      <c r="AC62" s="76">
        <f t="shared" si="94"/>
        <v>0</v>
      </c>
      <c r="AD62" s="77">
        <f t="shared" si="94"/>
        <v>0</v>
      </c>
      <c r="AE62" s="78">
        <f t="shared" si="31"/>
        <v>0</v>
      </c>
      <c r="AF62" s="238">
        <f>IF(AF61+AK62+AN62-F62&lt;0,0,AF61+AK62+AN62-F62)</f>
        <v>0</v>
      </c>
      <c r="AG62" s="71">
        <f>IFERROR(VLOOKUP(FiscalYr-IF(CompareVer="LY",1,0) &amp; $B62 + IF(FiscalYr=2018,1,0)&amp;AG$4,tblForecast,AG$2,FALSE),0)</f>
        <v>0</v>
      </c>
      <c r="AH62" s="69">
        <f t="shared" si="10"/>
        <v>0</v>
      </c>
      <c r="AI62" s="157">
        <f t="shared" ref="AI62:AJ65" si="147">IFERROR(VLOOKUP(FiscalYr &amp; $B62&amp;AI$4,tblForecast,AI$2,FALSE),0)</f>
        <v>0</v>
      </c>
      <c r="AJ62" s="71">
        <f t="shared" si="147"/>
        <v>0</v>
      </c>
      <c r="AK62" s="79">
        <f>IF($A62="a",IFERROR(VLOOKUP(FiscalYr &amp; $B62&amp;AK$4,tblForecast,AK$2,FALSE),0),AI62+AJ62)</f>
        <v>0</v>
      </c>
      <c r="AL62" s="71">
        <f>IFERROR(VLOOKUP(FiscalYr-IF(CompareVer="LY",1,0) &amp; $B62 + IF(FiscalYr=2018,1,0)&amp;AL$4,tblForecast,AL$2,FALSE),0)</f>
        <v>0</v>
      </c>
      <c r="AM62" s="69">
        <f t="shared" si="12"/>
        <v>0</v>
      </c>
      <c r="AN62" s="157">
        <f t="shared" ref="AN62:AO65" si="148">IFERROR(VLOOKUP(FiscalYr &amp; $B62&amp;AN$4,tblForecast,AN$2,FALSE),0)</f>
        <v>0</v>
      </c>
      <c r="AO62" s="71">
        <f t="shared" si="148"/>
        <v>0</v>
      </c>
      <c r="AP62" s="69">
        <f t="shared" si="14"/>
        <v>0</v>
      </c>
      <c r="AQ62" s="80">
        <f t="shared" ref="AQ62:AR65" si="149">IF(F62&lt;&gt;0,AF62/F62,0)</f>
        <v>0</v>
      </c>
      <c r="AR62" s="81">
        <f t="shared" si="149"/>
        <v>0</v>
      </c>
      <c r="AS62" s="69">
        <f>IFERROR(AQ62/AR62-1,)</f>
        <v>0</v>
      </c>
      <c r="AT62" s="157">
        <f>IFERROR(VLOOKUP(FiscalYr &amp; $B62&amp;AT$4,tblForecast,AT$2,FALSE),0)</f>
        <v>0</v>
      </c>
      <c r="AU62" s="71">
        <f t="shared" si="103"/>
        <v>0</v>
      </c>
      <c r="AV62" s="69">
        <f t="shared" si="17"/>
        <v>0</v>
      </c>
      <c r="AW62" s="82"/>
      <c r="AX62" s="83"/>
      <c r="AY62" s="69">
        <f t="shared" si="18"/>
        <v>0</v>
      </c>
      <c r="AZ62" s="84"/>
      <c r="BA62" s="85"/>
      <c r="BB62" s="69">
        <f t="shared" si="19"/>
        <v>0</v>
      </c>
      <c r="BC62" s="157">
        <f>IFERROR(VLOOKUP(FiscalYr &amp; $B62&amp;BC$4,tblForecast,BC$2,FALSE),0)</f>
        <v>0</v>
      </c>
      <c r="BD62" s="71">
        <f t="shared" si="104"/>
        <v>0</v>
      </c>
      <c r="BE62" s="69">
        <f t="shared" si="21"/>
        <v>0</v>
      </c>
      <c r="BF62" s="90">
        <f>IFERROR(VLOOKUP(FiscalYr &amp; $B62&amp;BF$4,tblForecast,BF$2,FALSE),0)</f>
        <v>0</v>
      </c>
      <c r="BG62" s="85">
        <f t="shared" ref="BG62:BG65" si="150">IFERROR(VLOOKUP(FiscalYr-1 &amp; $B62&amp; FCLY,tblForecast,BF$2,FALSE),0)</f>
        <v>0</v>
      </c>
      <c r="BH62" s="69">
        <f t="shared" si="23"/>
        <v>0</v>
      </c>
      <c r="BI62" s="85">
        <f t="shared" si="137"/>
        <v>0</v>
      </c>
      <c r="BJ62" s="86">
        <f t="shared" si="137"/>
        <v>0</v>
      </c>
      <c r="BK62" s="75">
        <f t="shared" si="25"/>
        <v>0</v>
      </c>
      <c r="BL62" s="283">
        <f>IFERROR(VLOOKUP(Brand&amp;Channel&amp;Country&amp;$B62,tblDiscount,6,FALSE),0)</f>
        <v>0.8</v>
      </c>
      <c r="BM62" s="249">
        <f>(1-BL62)*BN62</f>
        <v>0</v>
      </c>
      <c r="BN62" s="249">
        <f>IFERROR(VLOOKUP(Brand&amp;Country &amp; Channel &amp;FC,tblFCSettings,8,FALSE),0)</f>
        <v>0</v>
      </c>
      <c r="BO62" s="284">
        <f>IFERROR(VLOOKUP(Brand&amp;Country &amp; Channel &amp;FC,tblFCSettings,9,FALSE),0)</f>
        <v>0</v>
      </c>
    </row>
    <row r="63" spans="1:67" x14ac:dyDescent="0.25">
      <c r="A63"/>
      <c r="B63" s="185">
        <v>41</v>
      </c>
      <c r="C63" s="87">
        <f t="shared" si="144"/>
        <v>0</v>
      </c>
      <c r="D63" s="68">
        <f t="shared" si="144"/>
        <v>0</v>
      </c>
      <c r="E63" s="69">
        <f t="shared" si="0"/>
        <v>0</v>
      </c>
      <c r="F63" s="157">
        <f>IF(NewPlan=TRUE,IF(AF62-(G63*J63)&lt;0,AF62,G63*J63),IFERROR(VLOOKUP(FiscalYr &amp; $B63&amp;F$4,tblForecast,F$2,FALSE),0))</f>
        <v>0</v>
      </c>
      <c r="G63" s="189">
        <f>IFERROR(VLOOKUP(FiscalYr-IF(CompareVer="LY",1,0) &amp; $B63 + IF(FiscalYr=2018,1,0)&amp;G$4,tblForecast,G$2,FALSE),0)</f>
        <v>0</v>
      </c>
      <c r="H63" s="69">
        <f t="shared" si="1"/>
        <v>0</v>
      </c>
      <c r="I63" s="177">
        <f>IFERROR(IF(F62&lt;&gt;0,F63/F62,0),0)</f>
        <v>0</v>
      </c>
      <c r="J63" s="177">
        <f>IFERROR(IF(G62&lt;&gt;0,G63/G62,0),0)</f>
        <v>0</v>
      </c>
      <c r="K63" s="87">
        <f t="shared" ref="K63:K65" si="151">IFERROR(C63*N63,0)</f>
        <v>0</v>
      </c>
      <c r="L63" s="68">
        <f t="shared" si="145"/>
        <v>0</v>
      </c>
      <c r="M63" s="72">
        <f t="shared" si="2"/>
        <v>0</v>
      </c>
      <c r="N63" s="162">
        <f t="shared" si="146"/>
        <v>0</v>
      </c>
      <c r="O63" s="163">
        <f t="shared" si="146"/>
        <v>0</v>
      </c>
      <c r="P63" s="69">
        <f t="shared" ref="P63:P79" si="152">IFERROR(N63-O63,)</f>
        <v>0</v>
      </c>
      <c r="Q63" s="158">
        <f>IF(NewPlan=TRUE,IF(BM63=0,R63,BM63),IFERROR(VLOOKUP(FiscalYr&amp;$B63&amp;Q$4,tblForecast,Q$2,FALSE),0))</f>
        <v>0</v>
      </c>
      <c r="R63" s="73">
        <f>IFERROR(VLOOKUP(FiscalYr-IF(CompareVer="LY",1,0) &amp; $B63 + IF(FiscalYr=2018,1,0)&amp;R$4,tblForecast,R$2,FALSE),0)</f>
        <v>0</v>
      </c>
      <c r="S63" s="69">
        <f t="shared" si="4"/>
        <v>0</v>
      </c>
      <c r="T63" s="158">
        <f>IF(NewPlan=TRUE,IF(BO63=0,U63,BO63),IFERROR(VLOOKUP(FiscalYr &amp; $B63&amp;T$4,tblForecast,T$2,FALSE),0))</f>
        <v>0</v>
      </c>
      <c r="U63" s="73">
        <f>IFERROR(VLOOKUP(FiscalYr-IF(CompareVer="LY",1,0) &amp; $B63 + IF(FiscalYr=2018,1,0)&amp;U$4,tblForecast,U$2,FALSE),0)</f>
        <v>0</v>
      </c>
      <c r="V63" s="69">
        <f t="shared" si="5"/>
        <v>0</v>
      </c>
      <c r="W63" s="158">
        <f>IF(NewPlan=TRUE,IF(BN63=0,X63,BN63),IFERROR(VLOOKUP(FiscalYr &amp; $B63&amp;W$4,tblForecast,W$2,FALSE),0))</f>
        <v>0</v>
      </c>
      <c r="X63" s="73">
        <f>IFERROR(VLOOKUP(FiscalYr-IF(CompareVer="LY",1,0) &amp; $B63 + IF(FiscalYr=2018,1,0)&amp;X$4,tblForecast,X$2,FALSE),0)</f>
        <v>0</v>
      </c>
      <c r="Y63" s="69">
        <f t="shared" si="6"/>
        <v>0</v>
      </c>
      <c r="Z63" s="74">
        <f t="shared" si="140"/>
        <v>0</v>
      </c>
      <c r="AA63" s="75">
        <f t="shared" si="138"/>
        <v>0</v>
      </c>
      <c r="AB63" s="69">
        <f t="shared" ref="AB63:AB77" si="153">IFERROR(Z63-AA63,)</f>
        <v>0</v>
      </c>
      <c r="AC63" s="88">
        <f t="shared" si="94"/>
        <v>0</v>
      </c>
      <c r="AD63" s="77">
        <f t="shared" si="94"/>
        <v>0</v>
      </c>
      <c r="AE63" s="78">
        <f t="shared" si="31"/>
        <v>0</v>
      </c>
      <c r="AF63" s="238">
        <f t="shared" ref="AF63:AF65" si="154">IF(AF62+AK63+AN63-F63&lt;0,0,AF62+AK63+AN63-F63)</f>
        <v>0</v>
      </c>
      <c r="AG63" s="71">
        <f>IFERROR(VLOOKUP(FiscalYr-IF(CompareVer="LY",1,0) &amp; $B63 + IF(FiscalYr=2018,1,0)&amp;AG$4,tblForecast,AG$2,FALSE),0)</f>
        <v>0</v>
      </c>
      <c r="AH63" s="69">
        <f t="shared" si="10"/>
        <v>0</v>
      </c>
      <c r="AI63" s="157">
        <f t="shared" si="147"/>
        <v>0</v>
      </c>
      <c r="AJ63" s="71">
        <f t="shared" si="147"/>
        <v>0</v>
      </c>
      <c r="AK63" s="71">
        <f>IF($A63="a",IFERROR(VLOOKUP(FiscalYr &amp; $B63&amp;AK$4,tblForecast,AK$2,FALSE),0),AI63+AJ63)</f>
        <v>0</v>
      </c>
      <c r="AL63" s="71">
        <f>IFERROR(VLOOKUP(FiscalYr-IF(CompareVer="LY",1,0) &amp; $B63 + IF(FiscalYr=2018,1,0)&amp;AL$4,tblForecast,AL$2,FALSE),0)</f>
        <v>0</v>
      </c>
      <c r="AM63" s="69">
        <f t="shared" si="12"/>
        <v>0</v>
      </c>
      <c r="AN63" s="157">
        <f t="shared" si="148"/>
        <v>0</v>
      </c>
      <c r="AO63" s="71">
        <f t="shared" si="148"/>
        <v>0</v>
      </c>
      <c r="AP63" s="69">
        <f t="shared" si="14"/>
        <v>0</v>
      </c>
      <c r="AQ63" s="80">
        <f t="shared" si="149"/>
        <v>0</v>
      </c>
      <c r="AR63" s="89">
        <f t="shared" si="149"/>
        <v>0</v>
      </c>
      <c r="AS63" s="69">
        <f t="shared" ref="AS63:AS79" si="155">IFERROR(AQ63/AR63-1,)</f>
        <v>0</v>
      </c>
      <c r="AT63" s="157">
        <f>IFERROR(VLOOKUP(FiscalYr &amp; $B63&amp;AT$4,tblForecast,AT$2,FALSE),0)</f>
        <v>0</v>
      </c>
      <c r="AU63" s="71">
        <f t="shared" si="103"/>
        <v>0</v>
      </c>
      <c r="AV63" s="69">
        <f t="shared" si="17"/>
        <v>0</v>
      </c>
      <c r="AW63" s="82"/>
      <c r="AX63" s="83"/>
      <c r="AY63" s="69">
        <f t="shared" si="18"/>
        <v>0</v>
      </c>
      <c r="AZ63" s="84"/>
      <c r="BA63" s="85"/>
      <c r="BB63" s="69">
        <f t="shared" si="19"/>
        <v>0</v>
      </c>
      <c r="BC63" s="157">
        <f>IFERROR(VLOOKUP(FiscalYr &amp; $B63&amp;BC$4,tblForecast,BC$2,FALSE),0)</f>
        <v>0</v>
      </c>
      <c r="BD63" s="71">
        <f t="shared" si="104"/>
        <v>0</v>
      </c>
      <c r="BE63" s="69">
        <f t="shared" si="21"/>
        <v>0</v>
      </c>
      <c r="BF63" s="90">
        <f>IFERROR(VLOOKUP(FiscalYr &amp; $B63&amp;BF$4,tblForecast,BF$2,FALSE),0)</f>
        <v>0</v>
      </c>
      <c r="BG63" s="85">
        <f t="shared" si="150"/>
        <v>0</v>
      </c>
      <c r="BH63" s="69">
        <f t="shared" si="23"/>
        <v>0</v>
      </c>
      <c r="BI63" s="85">
        <f t="shared" si="137"/>
        <v>0</v>
      </c>
      <c r="BJ63" s="86">
        <f t="shared" si="137"/>
        <v>0</v>
      </c>
      <c r="BK63" s="75">
        <f t="shared" si="25"/>
        <v>0</v>
      </c>
      <c r="BL63" s="283">
        <f>IFERROR(VLOOKUP(Brand&amp;Channel&amp;Country&amp;$B63,tblDiscount,6,FALSE),0)</f>
        <v>0.8</v>
      </c>
      <c r="BM63" s="249">
        <f t="shared" ref="BM63:BM65" si="156">(1-BL63)*BN63</f>
        <v>0</v>
      </c>
      <c r="BN63" s="249">
        <f>IFERROR(VLOOKUP(Brand&amp;Country &amp; Channel &amp;FC,tblFCSettings,8,FALSE),0)</f>
        <v>0</v>
      </c>
      <c r="BO63" s="284">
        <f>IFERROR(VLOOKUP(Brand&amp;Country &amp; Channel &amp;FC,tblFCSettings,9,FALSE),0)</f>
        <v>0</v>
      </c>
    </row>
    <row r="64" spans="1:67" x14ac:dyDescent="0.25">
      <c r="A64"/>
      <c r="B64" s="185">
        <v>42</v>
      </c>
      <c r="C64" s="87">
        <f t="shared" si="144"/>
        <v>0</v>
      </c>
      <c r="D64" s="68">
        <f t="shared" si="144"/>
        <v>0</v>
      </c>
      <c r="E64" s="69">
        <f t="shared" si="0"/>
        <v>0</v>
      </c>
      <c r="F64" s="157">
        <f>IF(NewPlan=TRUE,IF(AF63-(G64*J64)&lt;0,AF63,G64*J64),IFERROR(VLOOKUP(FiscalYr &amp; $B64&amp;F$4,tblForecast,F$2,FALSE),0))</f>
        <v>0</v>
      </c>
      <c r="G64" s="189">
        <f>IFERROR(VLOOKUP(FiscalYr-IF(CompareVer="LY",1,0) &amp; $B64 + IF(FiscalYr=2018,1,0)&amp;G$4,tblForecast,G$2,FALSE),0)</f>
        <v>0</v>
      </c>
      <c r="H64" s="69">
        <f t="shared" si="1"/>
        <v>0</v>
      </c>
      <c r="I64" s="177">
        <f t="shared" ref="I64:J65" si="157">IFERROR(IF(F63&lt;&gt;0,F64/F63,0),0)</f>
        <v>0</v>
      </c>
      <c r="J64" s="177">
        <f t="shared" si="157"/>
        <v>0</v>
      </c>
      <c r="K64" s="87">
        <f t="shared" si="151"/>
        <v>0</v>
      </c>
      <c r="L64" s="68">
        <f t="shared" si="145"/>
        <v>0</v>
      </c>
      <c r="M64" s="72">
        <f t="shared" si="2"/>
        <v>0</v>
      </c>
      <c r="N64" s="162">
        <f t="shared" si="146"/>
        <v>0</v>
      </c>
      <c r="O64" s="163">
        <f t="shared" si="146"/>
        <v>0</v>
      </c>
      <c r="P64" s="69">
        <f t="shared" si="152"/>
        <v>0</v>
      </c>
      <c r="Q64" s="158">
        <f>IF(NewPlan=TRUE,IF(BM64=0,R64,BM64),IFERROR(VLOOKUP(FiscalYr&amp;$B64&amp;Q$4,tblForecast,Q$2,FALSE),0))</f>
        <v>0</v>
      </c>
      <c r="R64" s="73">
        <f>IFERROR(VLOOKUP(FiscalYr-IF(CompareVer="LY",1,0) &amp; $B64 + IF(FiscalYr=2018,1,0)&amp;R$4,tblForecast,R$2,FALSE),0)</f>
        <v>0</v>
      </c>
      <c r="S64" s="69">
        <f t="shared" si="4"/>
        <v>0</v>
      </c>
      <c r="T64" s="158">
        <f>IF(NewPlan=TRUE,IF(BO64=0,U64,BO64),IFERROR(VLOOKUP(FiscalYr &amp; $B64&amp;T$4,tblForecast,T$2,FALSE),0))</f>
        <v>0</v>
      </c>
      <c r="U64" s="73">
        <f>IFERROR(VLOOKUP(FiscalYr-IF(CompareVer="LY",1,0) &amp; $B64 + IF(FiscalYr=2018,1,0)&amp;U$4,tblForecast,U$2,FALSE),0)</f>
        <v>0</v>
      </c>
      <c r="V64" s="69">
        <f t="shared" si="5"/>
        <v>0</v>
      </c>
      <c r="W64" s="158">
        <f>IF(NewPlan=TRUE,IF(BN64=0,X64,BN64),IFERROR(VLOOKUP(FiscalYr &amp; $B64&amp;W$4,tblForecast,W$2,FALSE),0))</f>
        <v>0</v>
      </c>
      <c r="X64" s="73">
        <f>IFERROR(VLOOKUP(FiscalYr-IF(CompareVer="LY",1,0) &amp; $B64 + IF(FiscalYr=2018,1,0)&amp;X$4,tblForecast,X$2,FALSE),0)</f>
        <v>0</v>
      </c>
      <c r="Y64" s="69">
        <f t="shared" si="6"/>
        <v>0</v>
      </c>
      <c r="Z64" s="74">
        <f t="shared" si="140"/>
        <v>0</v>
      </c>
      <c r="AA64" s="75">
        <f t="shared" si="138"/>
        <v>0</v>
      </c>
      <c r="AB64" s="69">
        <f t="shared" si="153"/>
        <v>0</v>
      </c>
      <c r="AC64" s="88">
        <f t="shared" si="94"/>
        <v>0</v>
      </c>
      <c r="AD64" s="77">
        <f t="shared" si="94"/>
        <v>0</v>
      </c>
      <c r="AE64" s="78">
        <f t="shared" si="31"/>
        <v>0</v>
      </c>
      <c r="AF64" s="238">
        <f t="shared" si="154"/>
        <v>0</v>
      </c>
      <c r="AG64" s="71">
        <f>IFERROR(VLOOKUP(FiscalYr-IF(CompareVer="LY",1,0) &amp; $B64 + IF(FiscalYr=2018,1,0)&amp;AG$4,tblForecast,AG$2,FALSE),0)</f>
        <v>0</v>
      </c>
      <c r="AH64" s="69">
        <f t="shared" si="10"/>
        <v>0</v>
      </c>
      <c r="AI64" s="157">
        <f t="shared" si="147"/>
        <v>0</v>
      </c>
      <c r="AJ64" s="71">
        <f t="shared" si="147"/>
        <v>0</v>
      </c>
      <c r="AK64" s="71">
        <f>IF($A64="a",IFERROR(VLOOKUP(FiscalYr &amp; $B64&amp;AK$4,tblForecast,AK$2,FALSE),0),AI64+AJ64)</f>
        <v>0</v>
      </c>
      <c r="AL64" s="71">
        <f>IFERROR(VLOOKUP(FiscalYr-IF(CompareVer="LY",1,0) &amp; $B64 + IF(FiscalYr=2018,1,0)&amp;AL$4,tblForecast,AL$2,FALSE),0)</f>
        <v>0</v>
      </c>
      <c r="AM64" s="69">
        <f t="shared" si="12"/>
        <v>0</v>
      </c>
      <c r="AN64" s="157">
        <f t="shared" si="148"/>
        <v>0</v>
      </c>
      <c r="AO64" s="71">
        <f t="shared" si="148"/>
        <v>0</v>
      </c>
      <c r="AP64" s="69">
        <f t="shared" si="14"/>
        <v>0</v>
      </c>
      <c r="AQ64" s="80">
        <f t="shared" si="149"/>
        <v>0</v>
      </c>
      <c r="AR64" s="89">
        <f t="shared" si="149"/>
        <v>0</v>
      </c>
      <c r="AS64" s="69">
        <f t="shared" si="155"/>
        <v>0</v>
      </c>
      <c r="AT64" s="157">
        <f>IFERROR(VLOOKUP(FiscalYr &amp; $B64&amp;AT$4,tblForecast,AT$2,FALSE),0)</f>
        <v>0</v>
      </c>
      <c r="AU64" s="71">
        <f t="shared" si="103"/>
        <v>0</v>
      </c>
      <c r="AV64" s="69">
        <f t="shared" si="17"/>
        <v>0</v>
      </c>
      <c r="AW64" s="82"/>
      <c r="AX64" s="83"/>
      <c r="AY64" s="69">
        <f t="shared" si="18"/>
        <v>0</v>
      </c>
      <c r="AZ64" s="84"/>
      <c r="BA64" s="85"/>
      <c r="BB64" s="69">
        <f t="shared" si="19"/>
        <v>0</v>
      </c>
      <c r="BC64" s="157">
        <f>IFERROR(VLOOKUP(FiscalYr &amp; $B64&amp;BC$4,tblForecast,BC$2,FALSE),0)</f>
        <v>0</v>
      </c>
      <c r="BD64" s="71">
        <f t="shared" si="104"/>
        <v>0</v>
      </c>
      <c r="BE64" s="69">
        <f t="shared" si="21"/>
        <v>0</v>
      </c>
      <c r="BF64" s="90">
        <f>IFERROR(VLOOKUP(FiscalYr &amp; $B64&amp;BF$4,tblForecast,BF$2,FALSE),0)</f>
        <v>0</v>
      </c>
      <c r="BG64" s="85">
        <f t="shared" si="150"/>
        <v>0</v>
      </c>
      <c r="BH64" s="69">
        <f t="shared" si="23"/>
        <v>0</v>
      </c>
      <c r="BI64" s="85">
        <f t="shared" si="137"/>
        <v>0</v>
      </c>
      <c r="BJ64" s="86">
        <f t="shared" si="137"/>
        <v>0</v>
      </c>
      <c r="BK64" s="75">
        <f t="shared" si="25"/>
        <v>0</v>
      </c>
      <c r="BL64" s="283">
        <f>IFERROR(VLOOKUP(Brand&amp;Channel&amp;Country&amp;$B64,tblDiscount,6,FALSE),0)</f>
        <v>0.8</v>
      </c>
      <c r="BM64" s="249">
        <f t="shared" si="156"/>
        <v>0</v>
      </c>
      <c r="BN64" s="249">
        <f>IFERROR(VLOOKUP(Brand&amp;Country &amp; Channel &amp;FC,tblFCSettings,8,FALSE),0)</f>
        <v>0</v>
      </c>
      <c r="BO64" s="284">
        <f>IFERROR(VLOOKUP(Brand&amp;Country &amp; Channel &amp;FC,tblFCSettings,9,FALSE),0)</f>
        <v>0</v>
      </c>
    </row>
    <row r="65" spans="1:67" ht="16.5" thickBot="1" x14ac:dyDescent="0.3">
      <c r="A65"/>
      <c r="B65" s="185">
        <v>43</v>
      </c>
      <c r="C65" s="91">
        <f t="shared" si="144"/>
        <v>0</v>
      </c>
      <c r="D65" s="68">
        <f t="shared" si="144"/>
        <v>0</v>
      </c>
      <c r="E65" s="69">
        <f t="shared" si="0"/>
        <v>0</v>
      </c>
      <c r="F65" s="157">
        <f>IF(NewPlan=TRUE,IF(AF64-(G65*J65)&lt;0,AF64,G65*J65),IFERROR(VLOOKUP(FiscalYr &amp; $B65&amp;F$4,tblForecast,F$2,FALSE),0))</f>
        <v>0</v>
      </c>
      <c r="G65" s="189">
        <f>IFERROR(VLOOKUP(FiscalYr-IF(CompareVer="LY",1,0) &amp; $B65 + IF(FiscalYr=2018,1,0)&amp;G$4,tblForecast,G$2,FALSE),0)</f>
        <v>0</v>
      </c>
      <c r="H65" s="69">
        <f t="shared" si="1"/>
        <v>0</v>
      </c>
      <c r="I65" s="177">
        <f t="shared" si="157"/>
        <v>0</v>
      </c>
      <c r="J65" s="177">
        <f t="shared" si="157"/>
        <v>0</v>
      </c>
      <c r="K65" s="91">
        <f t="shared" si="151"/>
        <v>0</v>
      </c>
      <c r="L65" s="68">
        <f t="shared" si="145"/>
        <v>0</v>
      </c>
      <c r="M65" s="72">
        <f t="shared" si="2"/>
        <v>0</v>
      </c>
      <c r="N65" s="162">
        <f t="shared" si="146"/>
        <v>0</v>
      </c>
      <c r="O65" s="163">
        <f t="shared" si="146"/>
        <v>0</v>
      </c>
      <c r="P65" s="69">
        <f t="shared" si="152"/>
        <v>0</v>
      </c>
      <c r="Q65" s="158">
        <f>IF(NewPlan=TRUE,IF(BM65=0,R65,BM65),IFERROR(VLOOKUP(FiscalYr&amp;$B65&amp;Q$4,tblForecast,Q$2,FALSE),0))</f>
        <v>0</v>
      </c>
      <c r="R65" s="73">
        <f>IFERROR(VLOOKUP(FiscalYr-IF(CompareVer="LY",1,0) &amp; $B65 + IF(FiscalYr=2018,1,0)&amp;R$4,tblForecast,R$2,FALSE),0)</f>
        <v>0</v>
      </c>
      <c r="S65" s="69">
        <f t="shared" si="4"/>
        <v>0</v>
      </c>
      <c r="T65" s="158">
        <f>IF(NewPlan=TRUE,IF(BO65=0,U65,BO65),IFERROR(VLOOKUP(FiscalYr &amp; $B65&amp;T$4,tblForecast,T$2,FALSE),0))</f>
        <v>0</v>
      </c>
      <c r="U65" s="73">
        <f>IFERROR(VLOOKUP(FiscalYr-IF(CompareVer="LY",1,0) &amp; $B65 + IF(FiscalYr=2018,1,0)&amp;U$4,tblForecast,U$2,FALSE),0)</f>
        <v>0</v>
      </c>
      <c r="V65" s="69">
        <f t="shared" si="5"/>
        <v>0</v>
      </c>
      <c r="W65" s="158">
        <f>IF(NewPlan=TRUE,IF(BN65=0,X65,BN65),IFERROR(VLOOKUP(FiscalYr &amp; $B65&amp;W$4,tblForecast,W$2,FALSE),0))</f>
        <v>0</v>
      </c>
      <c r="X65" s="73">
        <f>IFERROR(VLOOKUP(FiscalYr-IF(CompareVer="LY",1,0) &amp; $B65 + IF(FiscalYr=2018,1,0)&amp;X$4,tblForecast,X$2,FALSE),0)</f>
        <v>0</v>
      </c>
      <c r="Y65" s="69">
        <f t="shared" si="6"/>
        <v>0</v>
      </c>
      <c r="Z65" s="74">
        <f t="shared" si="140"/>
        <v>0</v>
      </c>
      <c r="AA65" s="75">
        <f t="shared" si="138"/>
        <v>0</v>
      </c>
      <c r="AB65" s="69">
        <f t="shared" si="153"/>
        <v>0</v>
      </c>
      <c r="AC65" s="88">
        <f t="shared" si="94"/>
        <v>0</v>
      </c>
      <c r="AD65" s="77">
        <f t="shared" si="94"/>
        <v>0</v>
      </c>
      <c r="AE65" s="78">
        <f t="shared" si="31"/>
        <v>0</v>
      </c>
      <c r="AF65" s="238">
        <f t="shared" si="154"/>
        <v>0</v>
      </c>
      <c r="AG65" s="71">
        <f>IFERROR(VLOOKUP(FiscalYr-IF(CompareVer="LY",1,0) &amp; $B65 + IF(FiscalYr=2018,1,0)&amp;AG$4,tblForecast,AG$2,FALSE),0)</f>
        <v>0</v>
      </c>
      <c r="AH65" s="69">
        <f t="shared" si="10"/>
        <v>0</v>
      </c>
      <c r="AI65" s="157">
        <f t="shared" si="147"/>
        <v>0</v>
      </c>
      <c r="AJ65" s="71">
        <f t="shared" si="147"/>
        <v>0</v>
      </c>
      <c r="AK65" s="71">
        <f>IF($A65="a",IFERROR(VLOOKUP(FiscalYr &amp; $B65&amp;AK$4,tblForecast,AK$2,FALSE),0),AI65+AJ65)</f>
        <v>0</v>
      </c>
      <c r="AL65" s="71">
        <f>IFERROR(VLOOKUP(FiscalYr-IF(CompareVer="LY",1,0) &amp; $B65 + IF(FiscalYr=2018,1,0)&amp;AL$4,tblForecast,AL$2,FALSE),0)</f>
        <v>0</v>
      </c>
      <c r="AM65" s="69">
        <f t="shared" si="12"/>
        <v>0</v>
      </c>
      <c r="AN65" s="157">
        <f t="shared" si="148"/>
        <v>0</v>
      </c>
      <c r="AO65" s="71">
        <f t="shared" si="148"/>
        <v>0</v>
      </c>
      <c r="AP65" s="69">
        <f t="shared" si="14"/>
        <v>0</v>
      </c>
      <c r="AQ65" s="80">
        <f t="shared" si="149"/>
        <v>0</v>
      </c>
      <c r="AR65" s="89">
        <f t="shared" si="149"/>
        <v>0</v>
      </c>
      <c r="AS65" s="69">
        <f t="shared" si="155"/>
        <v>0</v>
      </c>
      <c r="AT65" s="157">
        <f>IFERROR(VLOOKUP(FiscalYr &amp; $B65&amp;AT$4,tblForecast,AT$2,FALSE),0)</f>
        <v>0</v>
      </c>
      <c r="AU65" s="71">
        <f t="shared" si="103"/>
        <v>0</v>
      </c>
      <c r="AV65" s="69">
        <f t="shared" si="17"/>
        <v>0</v>
      </c>
      <c r="AW65" s="82"/>
      <c r="AX65" s="83"/>
      <c r="AY65" s="69">
        <f t="shared" si="18"/>
        <v>0</v>
      </c>
      <c r="AZ65" s="84"/>
      <c r="BA65" s="85"/>
      <c r="BB65" s="69">
        <f t="shared" si="19"/>
        <v>0</v>
      </c>
      <c r="BC65" s="157">
        <f>IFERROR(VLOOKUP(FiscalYr &amp; $B65&amp;BC$4,tblForecast,BC$2,FALSE),0)</f>
        <v>0</v>
      </c>
      <c r="BD65" s="71">
        <f t="shared" si="104"/>
        <v>0</v>
      </c>
      <c r="BE65" s="69">
        <f t="shared" si="21"/>
        <v>0</v>
      </c>
      <c r="BF65" s="90">
        <f>IFERROR(VLOOKUP(FiscalYr &amp; $B65&amp;BF$4,tblForecast,BF$2,FALSE),0)</f>
        <v>0</v>
      </c>
      <c r="BG65" s="85">
        <f t="shared" si="150"/>
        <v>0</v>
      </c>
      <c r="BH65" s="69">
        <f t="shared" si="23"/>
        <v>0</v>
      </c>
      <c r="BI65" s="85">
        <f t="shared" si="137"/>
        <v>0</v>
      </c>
      <c r="BJ65" s="86">
        <f t="shared" si="137"/>
        <v>0</v>
      </c>
      <c r="BK65" s="75">
        <f t="shared" si="25"/>
        <v>0</v>
      </c>
      <c r="BL65" s="283">
        <f>IFERROR(VLOOKUP(Brand&amp;Channel&amp;Country&amp;$B65,tblDiscount,6,FALSE),0)</f>
        <v>0.8</v>
      </c>
      <c r="BM65" s="249">
        <f t="shared" si="156"/>
        <v>0</v>
      </c>
      <c r="BN65" s="249">
        <f>IFERROR(VLOOKUP(Brand&amp;Country &amp; Channel &amp;FC,tblFCSettings,8,FALSE),0)</f>
        <v>0</v>
      </c>
      <c r="BO65" s="284">
        <f>IFERROR(VLOOKUP(Brand&amp;Country &amp; Channel &amp;FC,tblFCSettings,9,FALSE),0)</f>
        <v>0</v>
      </c>
    </row>
    <row r="66" spans="1:67" ht="16.5" thickBot="1" x14ac:dyDescent="0.3">
      <c r="A66"/>
      <c r="B66" s="6" t="s">
        <v>345</v>
      </c>
      <c r="C66" s="92">
        <f>SUM(C62:C65)</f>
        <v>0</v>
      </c>
      <c r="D66" s="93">
        <f>SUM(D62:D65)</f>
        <v>0</v>
      </c>
      <c r="E66" s="94">
        <f t="shared" si="0"/>
        <v>0</v>
      </c>
      <c r="F66" s="95">
        <f>SUM(F62:F65)</f>
        <v>0</v>
      </c>
      <c r="G66" s="96">
        <f>SUM(G62:G65)</f>
        <v>0</v>
      </c>
      <c r="H66" s="94">
        <f t="shared" si="1"/>
        <v>0</v>
      </c>
      <c r="I66" s="178">
        <f>IF(F60&lt;&gt;0,F66/F60-1,0)</f>
        <v>0</v>
      </c>
      <c r="J66" s="178">
        <f>IF(G60&lt;&gt;0,G66/G60-1,0)</f>
        <v>0</v>
      </c>
      <c r="K66" s="92">
        <f>SUM(K62:K65)</f>
        <v>0</v>
      </c>
      <c r="L66" s="93">
        <f>SUM(L62:L65)</f>
        <v>0</v>
      </c>
      <c r="M66" s="97">
        <f t="shared" si="2"/>
        <v>0</v>
      </c>
      <c r="N66" s="164">
        <f>IFERROR(K66/C66,0)</f>
        <v>0</v>
      </c>
      <c r="O66" s="165">
        <f>IFERROR(L66/D66,0)</f>
        <v>0</v>
      </c>
      <c r="P66" s="94">
        <f t="shared" si="152"/>
        <v>0</v>
      </c>
      <c r="Q66" s="98">
        <f>IFERROR(C66/F66,0)</f>
        <v>0</v>
      </c>
      <c r="R66" s="99">
        <f>IFERROR(D66/G66,0)</f>
        <v>0</v>
      </c>
      <c r="S66" s="94">
        <f t="shared" si="4"/>
        <v>0</v>
      </c>
      <c r="T66" s="98">
        <f>IFERROR((C66*(1-N66))/F66,0)</f>
        <v>0</v>
      </c>
      <c r="U66" s="99">
        <f>IFERROR((D66*(1-O66))/G66,0)</f>
        <v>0</v>
      </c>
      <c r="V66" s="94">
        <f t="shared" si="5"/>
        <v>0</v>
      </c>
      <c r="W66" s="98">
        <f>IFERROR(SUMPRODUCT(W62:W65,F62:F65)/F66,0)</f>
        <v>0</v>
      </c>
      <c r="X66" s="99">
        <f>IFERROR(SUMPRODUCT(X62:X65,G62:G65)/G66,0)</f>
        <v>0</v>
      </c>
      <c r="Y66" s="94">
        <f t="shared" si="6"/>
        <v>0</v>
      </c>
      <c r="Z66" s="100">
        <f t="shared" si="140"/>
        <v>0</v>
      </c>
      <c r="AA66" s="101">
        <f t="shared" si="138"/>
        <v>0</v>
      </c>
      <c r="AB66" s="94">
        <f t="shared" si="153"/>
        <v>0</v>
      </c>
      <c r="AC66" s="102">
        <f t="shared" si="94"/>
        <v>0</v>
      </c>
      <c r="AD66" s="103">
        <f t="shared" si="94"/>
        <v>0</v>
      </c>
      <c r="AE66" s="104">
        <f t="shared" si="31"/>
        <v>0</v>
      </c>
      <c r="AF66" s="95">
        <f>AF65</f>
        <v>0</v>
      </c>
      <c r="AG66" s="96">
        <f>AG65</f>
        <v>0</v>
      </c>
      <c r="AH66" s="94">
        <f t="shared" si="10"/>
        <v>0</v>
      </c>
      <c r="AI66" s="95">
        <f>SUM(AI62:AI65)</f>
        <v>0</v>
      </c>
      <c r="AJ66" s="96">
        <f>SUM(AJ62:AJ65)</f>
        <v>0</v>
      </c>
      <c r="AK66" s="96">
        <f>SUM(AK62:AK65)</f>
        <v>0</v>
      </c>
      <c r="AL66" s="96">
        <f>SUM(AL62:AL65)</f>
        <v>0</v>
      </c>
      <c r="AM66" s="94">
        <f t="shared" si="12"/>
        <v>0</v>
      </c>
      <c r="AN66" s="95">
        <f>SUM(AN62:AN65)</f>
        <v>0</v>
      </c>
      <c r="AO66" s="96">
        <f t="shared" ref="AO66" si="158">IFERROR(VLOOKUP(FiscalYr-1 &amp; $B66&amp; FCLY,tblForecast,AN$2,FALSE),0)</f>
        <v>0</v>
      </c>
      <c r="AP66" s="94">
        <f t="shared" si="14"/>
        <v>0</v>
      </c>
      <c r="AQ66" s="105">
        <f>IF(F66&lt;&gt;0,(AF66*COUNTIF(AQ62:AQ65,"&lt;&gt;0")/F66),0)</f>
        <v>0</v>
      </c>
      <c r="AR66" s="106">
        <f>IF(G66&lt;&gt;0,(AG66*COUNTIF(AR62:AR65,"&lt;&gt;0")/G66),0)</f>
        <v>0</v>
      </c>
      <c r="AS66" s="94">
        <f t="shared" si="155"/>
        <v>0</v>
      </c>
      <c r="AT66" s="95">
        <f>SUM(AT62:AT65)</f>
        <v>0</v>
      </c>
      <c r="AU66" s="96">
        <f t="shared" si="103"/>
        <v>0</v>
      </c>
      <c r="AV66" s="94">
        <f t="shared" si="17"/>
        <v>0</v>
      </c>
      <c r="AW66" s="107"/>
      <c r="AX66" s="108"/>
      <c r="AY66" s="94">
        <f t="shared" si="18"/>
        <v>0</v>
      </c>
      <c r="AZ66" s="134"/>
      <c r="BA66" s="111"/>
      <c r="BB66" s="94">
        <f t="shared" si="19"/>
        <v>0</v>
      </c>
      <c r="BC66" s="95">
        <f>SUM(BC62:BC65)</f>
        <v>0</v>
      </c>
      <c r="BD66" s="96">
        <f t="shared" si="104"/>
        <v>0</v>
      </c>
      <c r="BE66" s="94">
        <f t="shared" si="21"/>
        <v>0</v>
      </c>
      <c r="BF66" s="110">
        <f>SUM(BF62:BF65)</f>
        <v>0</v>
      </c>
      <c r="BG66" s="111">
        <f>SUM(BG62:BG65)</f>
        <v>0</v>
      </c>
      <c r="BH66" s="94">
        <f t="shared" si="23"/>
        <v>0</v>
      </c>
      <c r="BI66" s="111">
        <f t="shared" si="137"/>
        <v>0</v>
      </c>
      <c r="BJ66" s="112">
        <f t="shared" si="137"/>
        <v>0</v>
      </c>
      <c r="BK66" s="101">
        <f t="shared" si="25"/>
        <v>0</v>
      </c>
      <c r="BL66" s="283"/>
      <c r="BM66" s="249"/>
      <c r="BN66" s="249"/>
      <c r="BO66" s="284"/>
    </row>
    <row r="67" spans="1:67" x14ac:dyDescent="0.25">
      <c r="A67"/>
      <c r="B67" s="185">
        <v>44</v>
      </c>
      <c r="C67" s="87">
        <f t="shared" ref="C67:D71" si="159">F67*Q67</f>
        <v>0</v>
      </c>
      <c r="D67" s="68">
        <f t="shared" si="159"/>
        <v>0</v>
      </c>
      <c r="E67" s="69">
        <f t="shared" si="0"/>
        <v>0</v>
      </c>
      <c r="F67" s="157">
        <f>IF(NewPlan=TRUE,IF(AF66-(G67*J67)&lt;0,AF66,G67*J67),IFERROR(VLOOKUP(FiscalYr &amp; $B67&amp;F$4,tblForecast,F$2,FALSE),0))</f>
        <v>0</v>
      </c>
      <c r="G67" s="189">
        <f>IFERROR(VLOOKUP(FiscalYr-IF(CompareVer="LY",1,0) &amp; $B67 + IF(FiscalYr=2018,1,0)&amp;G$4,tblForecast,G$2,FALSE),0)</f>
        <v>0</v>
      </c>
      <c r="H67" s="69">
        <f t="shared" si="1"/>
        <v>0</v>
      </c>
      <c r="I67" s="177">
        <f>IFERROR(IF(F65&gt;0,F67/F65,0),0)</f>
        <v>0</v>
      </c>
      <c r="J67" s="177">
        <f>IFERROR(IF(G65&gt;0,G67/G65,0),0)</f>
        <v>0</v>
      </c>
      <c r="K67" s="87">
        <f t="shared" ref="K67:K71" si="160">IFERROR(C67*N67,0)</f>
        <v>0</v>
      </c>
      <c r="L67" s="68">
        <f t="shared" ref="L67:L71" si="161">D67*O67</f>
        <v>0</v>
      </c>
      <c r="M67" s="72">
        <f t="shared" si="2"/>
        <v>0</v>
      </c>
      <c r="N67" s="162">
        <f t="shared" ref="N67:O71" si="162">IF(Q67&lt;&gt;0,1-T67/Q67,0)</f>
        <v>0</v>
      </c>
      <c r="O67" s="163">
        <f t="shared" si="162"/>
        <v>0</v>
      </c>
      <c r="P67" s="69">
        <f t="shared" si="152"/>
        <v>0</v>
      </c>
      <c r="Q67" s="158">
        <f>IF(NewPlan=TRUE,IF(BM67=0,R67,BM67),IFERROR(VLOOKUP(FiscalYr&amp;$B67&amp;Q$4,tblForecast,Q$2,FALSE),0))</f>
        <v>0</v>
      </c>
      <c r="R67" s="73">
        <f>IFERROR(VLOOKUP(FiscalYr-IF(CompareVer="LY",1,0) &amp; $B67 + IF(FiscalYr=2018,1,0)&amp;R$4,tblForecast,R$2,FALSE),0)</f>
        <v>0</v>
      </c>
      <c r="S67" s="69">
        <f t="shared" si="4"/>
        <v>0</v>
      </c>
      <c r="T67" s="158">
        <f>IF(NewPlan=TRUE,IF(BO67=0,U67,BO67),IFERROR(VLOOKUP(FiscalYr &amp; $B67&amp;T$4,tblForecast,T$2,FALSE),0))</f>
        <v>0</v>
      </c>
      <c r="U67" s="73">
        <f>IFERROR(VLOOKUP(FiscalYr-IF(CompareVer="LY",1,0) &amp; $B67 + IF(FiscalYr=2018,1,0)&amp;U$4,tblForecast,U$2,FALSE),0)</f>
        <v>0</v>
      </c>
      <c r="V67" s="69">
        <f t="shared" si="5"/>
        <v>0</v>
      </c>
      <c r="W67" s="158">
        <f>IF(NewPlan=TRUE,IF(BN67=0,X67,BN67),IFERROR(VLOOKUP(FiscalYr &amp; $B67&amp;W$4,tblForecast,W$2,FALSE),0))</f>
        <v>0</v>
      </c>
      <c r="X67" s="73">
        <f>IFERROR(VLOOKUP(FiscalYr-IF(CompareVer="LY",1,0) &amp; $B67 + IF(FiscalYr=2018,1,0)&amp;X$4,tblForecast,X$2,FALSE),0)</f>
        <v>0</v>
      </c>
      <c r="Y67" s="69">
        <f t="shared" si="6"/>
        <v>0</v>
      </c>
      <c r="Z67" s="74">
        <f t="shared" si="140"/>
        <v>0</v>
      </c>
      <c r="AA67" s="75">
        <f t="shared" si="138"/>
        <v>0</v>
      </c>
      <c r="AB67" s="69">
        <f t="shared" si="153"/>
        <v>0</v>
      </c>
      <c r="AC67" s="88">
        <f t="shared" si="94"/>
        <v>0</v>
      </c>
      <c r="AD67" s="77">
        <f t="shared" si="94"/>
        <v>0</v>
      </c>
      <c r="AE67" s="78">
        <f t="shared" si="31"/>
        <v>0</v>
      </c>
      <c r="AF67" s="238">
        <f t="shared" ref="AF67:AF71" si="163">IF(AF66+AK67+AN67-F67&lt;0,0,AF66+AK67+AN67-F67)</f>
        <v>0</v>
      </c>
      <c r="AG67" s="71">
        <f>IFERROR(VLOOKUP(FiscalYr-IF(CompareVer="LY",1,0) &amp; $B67 + IF(FiscalYr=2018,1,0)&amp;AG$4,tblForecast,AG$2,FALSE),0)</f>
        <v>0</v>
      </c>
      <c r="AH67" s="69">
        <f t="shared" si="10"/>
        <v>0</v>
      </c>
      <c r="AI67" s="157">
        <f t="shared" ref="AI67:AJ71" si="164">IFERROR(VLOOKUP(FiscalYr &amp; $B67&amp;AI$4,tblForecast,AI$2,FALSE),0)</f>
        <v>0</v>
      </c>
      <c r="AJ67" s="71">
        <f t="shared" si="164"/>
        <v>0</v>
      </c>
      <c r="AK67" s="71">
        <f>IF($A67="a",IFERROR(VLOOKUP(FiscalYr &amp; $B67&amp;AK$4,tblForecast,AK$2,FALSE),0),AI67+AJ67)</f>
        <v>0</v>
      </c>
      <c r="AL67" s="71">
        <f>IFERROR(VLOOKUP(FiscalYr-IF(CompareVer="LY",1,0) &amp; $B67 + IF(FiscalYr=2018,1,0)&amp;AL$4,tblForecast,AL$2,FALSE),0)</f>
        <v>0</v>
      </c>
      <c r="AM67" s="69">
        <f t="shared" si="12"/>
        <v>0</v>
      </c>
      <c r="AN67" s="157">
        <f t="shared" ref="AN67:AO71" si="165">IFERROR(VLOOKUP(FiscalYr &amp; $B67&amp;AN$4,tblForecast,AN$2,FALSE),0)</f>
        <v>0</v>
      </c>
      <c r="AO67" s="71">
        <f t="shared" si="165"/>
        <v>0</v>
      </c>
      <c r="AP67" s="69">
        <f t="shared" si="14"/>
        <v>0</v>
      </c>
      <c r="AQ67" s="80">
        <f t="shared" ref="AQ67:AR71" si="166">IF(F67&lt;&gt;0,AF67/F67,0)</f>
        <v>0</v>
      </c>
      <c r="AR67" s="89">
        <f t="shared" si="166"/>
        <v>0</v>
      </c>
      <c r="AS67" s="69">
        <f t="shared" si="155"/>
        <v>0</v>
      </c>
      <c r="AT67" s="70">
        <f>IFERROR(VLOOKUP(FiscalYr &amp; $B67&amp;AT$4,tblForecast,AT$2,FALSE),0)</f>
        <v>0</v>
      </c>
      <c r="AU67" s="71">
        <f t="shared" si="103"/>
        <v>0</v>
      </c>
      <c r="AV67" s="69">
        <f t="shared" si="17"/>
        <v>0</v>
      </c>
      <c r="AW67" s="82"/>
      <c r="AX67" s="83"/>
      <c r="AY67" s="69">
        <f t="shared" si="18"/>
        <v>0</v>
      </c>
      <c r="AZ67" s="84"/>
      <c r="BA67" s="85"/>
      <c r="BB67" s="69">
        <f t="shared" si="19"/>
        <v>0</v>
      </c>
      <c r="BC67" s="70">
        <f>IFERROR(VLOOKUP(FiscalYr &amp; $B67&amp;BC$4,tblForecast,BC$2,FALSE),0)</f>
        <v>0</v>
      </c>
      <c r="BD67" s="71">
        <f t="shared" si="104"/>
        <v>0</v>
      </c>
      <c r="BE67" s="69">
        <f t="shared" si="21"/>
        <v>0</v>
      </c>
      <c r="BF67" s="90">
        <f>IFERROR(VLOOKUP(FiscalYr &amp; $B67&amp;BF$4,tblForecast,BF$2,FALSE),0)</f>
        <v>0</v>
      </c>
      <c r="BG67" s="85">
        <f t="shared" ref="BG67:BG71" si="167">IFERROR(VLOOKUP(FiscalYr-1 &amp; $B67&amp; FCLY,tblForecast,BF$2,FALSE),0)</f>
        <v>0</v>
      </c>
      <c r="BH67" s="69">
        <f t="shared" si="23"/>
        <v>0</v>
      </c>
      <c r="BI67" s="85">
        <f t="shared" si="137"/>
        <v>0</v>
      </c>
      <c r="BJ67" s="86">
        <f t="shared" si="137"/>
        <v>0</v>
      </c>
      <c r="BK67" s="75">
        <f t="shared" si="25"/>
        <v>0</v>
      </c>
      <c r="BL67" s="283">
        <f>IFERROR(VLOOKUP(Brand&amp;Channel&amp;Country&amp;$B67,tblDiscount,6,FALSE),0)</f>
        <v>0.8</v>
      </c>
      <c r="BM67" s="249">
        <f>(1-BL67)*BN67</f>
        <v>0</v>
      </c>
      <c r="BN67" s="249">
        <f>IFERROR(VLOOKUP(Brand&amp;Country &amp; Channel &amp;FC,tblFCSettings,8,FALSE),0)</f>
        <v>0</v>
      </c>
      <c r="BO67" s="284">
        <f>IFERROR(VLOOKUP(Brand&amp;Country &amp; Channel &amp;FC,tblFCSettings,9,FALSE),0)</f>
        <v>0</v>
      </c>
    </row>
    <row r="68" spans="1:67" x14ac:dyDescent="0.25">
      <c r="A68"/>
      <c r="B68" s="185">
        <v>45</v>
      </c>
      <c r="C68" s="87">
        <f t="shared" si="159"/>
        <v>0</v>
      </c>
      <c r="D68" s="68">
        <f t="shared" si="159"/>
        <v>0</v>
      </c>
      <c r="E68" s="69">
        <f t="shared" si="0"/>
        <v>0</v>
      </c>
      <c r="F68" s="157">
        <f>IF(NewPlan=TRUE,IF(AF67-(G68*J68)&lt;0,AF67,G68*J68),IFERROR(VLOOKUP(FiscalYr &amp; $B68&amp;F$4,tblForecast,F$2,FALSE),0))</f>
        <v>0</v>
      </c>
      <c r="G68" s="189">
        <f>IFERROR(VLOOKUP(FiscalYr-IF(CompareVer="LY",1,0) &amp; $B68 + IF(FiscalYr=2018,1,0)&amp;G$4,tblForecast,G$2,FALSE),0)</f>
        <v>0</v>
      </c>
      <c r="H68" s="69">
        <f t="shared" si="1"/>
        <v>0</v>
      </c>
      <c r="I68" s="177">
        <f t="shared" ref="I68:J71" si="168">IFERROR(IF(F67&lt;&gt;0,F68/F67,0),0)</f>
        <v>0</v>
      </c>
      <c r="J68" s="177">
        <f t="shared" si="168"/>
        <v>0</v>
      </c>
      <c r="K68" s="87">
        <f t="shared" si="160"/>
        <v>0</v>
      </c>
      <c r="L68" s="68">
        <f t="shared" si="161"/>
        <v>0</v>
      </c>
      <c r="M68" s="72">
        <f t="shared" si="2"/>
        <v>0</v>
      </c>
      <c r="N68" s="162">
        <f t="shared" si="162"/>
        <v>0</v>
      </c>
      <c r="O68" s="163">
        <f t="shared" si="162"/>
        <v>0</v>
      </c>
      <c r="P68" s="69">
        <f t="shared" si="152"/>
        <v>0</v>
      </c>
      <c r="Q68" s="158">
        <f>IF(NewPlan=TRUE,IF(BM68=0,R68,BM68),IFERROR(VLOOKUP(FiscalYr&amp;$B68&amp;Q$4,tblForecast,Q$2,FALSE),0))</f>
        <v>0</v>
      </c>
      <c r="R68" s="73">
        <f>IFERROR(VLOOKUP(FiscalYr-IF(CompareVer="LY",1,0) &amp; $B68 + IF(FiscalYr=2018,1,0)&amp;R$4,tblForecast,R$2,FALSE),0)</f>
        <v>0</v>
      </c>
      <c r="S68" s="69">
        <f t="shared" si="4"/>
        <v>0</v>
      </c>
      <c r="T68" s="158">
        <f>IF(NewPlan=TRUE,IF(BO68=0,U68,BO68),IFERROR(VLOOKUP(FiscalYr &amp; $B68&amp;T$4,tblForecast,T$2,FALSE),0))</f>
        <v>0</v>
      </c>
      <c r="U68" s="73">
        <f>IFERROR(VLOOKUP(FiscalYr-IF(CompareVer="LY",1,0) &amp; $B68 + IF(FiscalYr=2018,1,0)&amp;U$4,tblForecast,U$2,FALSE),0)</f>
        <v>0</v>
      </c>
      <c r="V68" s="69">
        <f t="shared" si="5"/>
        <v>0</v>
      </c>
      <c r="W68" s="158">
        <f>IF(NewPlan=TRUE,IF(BN68=0,X68,BN68),IFERROR(VLOOKUP(FiscalYr &amp; $B68&amp;W$4,tblForecast,W$2,FALSE),0))</f>
        <v>0</v>
      </c>
      <c r="X68" s="73">
        <f>IFERROR(VLOOKUP(FiscalYr-IF(CompareVer="LY",1,0) &amp; $B68 + IF(FiscalYr=2018,1,0)&amp;X$4,tblForecast,X$2,FALSE),0)</f>
        <v>0</v>
      </c>
      <c r="Y68" s="69">
        <f t="shared" si="6"/>
        <v>0</v>
      </c>
      <c r="Z68" s="74">
        <f t="shared" si="140"/>
        <v>0</v>
      </c>
      <c r="AA68" s="75">
        <f t="shared" si="138"/>
        <v>0</v>
      </c>
      <c r="AB68" s="69">
        <f t="shared" si="153"/>
        <v>0</v>
      </c>
      <c r="AC68" s="88">
        <f t="shared" si="94"/>
        <v>0</v>
      </c>
      <c r="AD68" s="77">
        <f t="shared" si="94"/>
        <v>0</v>
      </c>
      <c r="AE68" s="78">
        <f t="shared" si="31"/>
        <v>0</v>
      </c>
      <c r="AF68" s="238">
        <f t="shared" si="163"/>
        <v>0</v>
      </c>
      <c r="AG68" s="71">
        <f>IFERROR(VLOOKUP(FiscalYr-IF(CompareVer="LY",1,0) &amp; $B68 + IF(FiscalYr=2018,1,0)&amp;AG$4,tblForecast,AG$2,FALSE),0)</f>
        <v>0</v>
      </c>
      <c r="AH68" s="69">
        <f t="shared" si="10"/>
        <v>0</v>
      </c>
      <c r="AI68" s="157">
        <f t="shared" si="164"/>
        <v>0</v>
      </c>
      <c r="AJ68" s="71">
        <f t="shared" si="164"/>
        <v>0</v>
      </c>
      <c r="AK68" s="71">
        <f>IF($A68="a",IFERROR(VLOOKUP(FiscalYr &amp; $B68&amp;AK$4,tblForecast,AK$2,FALSE),0),AI68+AJ68)</f>
        <v>0</v>
      </c>
      <c r="AL68" s="71">
        <f>IFERROR(VLOOKUP(FiscalYr-IF(CompareVer="LY",1,0) &amp; $B68 + IF(FiscalYr=2018,1,0)&amp;AL$4,tblForecast,AL$2,FALSE),0)</f>
        <v>0</v>
      </c>
      <c r="AM68" s="69">
        <f t="shared" si="12"/>
        <v>0</v>
      </c>
      <c r="AN68" s="157">
        <f t="shared" si="165"/>
        <v>0</v>
      </c>
      <c r="AO68" s="71">
        <f t="shared" si="165"/>
        <v>0</v>
      </c>
      <c r="AP68" s="69">
        <f t="shared" si="14"/>
        <v>0</v>
      </c>
      <c r="AQ68" s="80">
        <f t="shared" si="166"/>
        <v>0</v>
      </c>
      <c r="AR68" s="89">
        <f t="shared" si="166"/>
        <v>0</v>
      </c>
      <c r="AS68" s="69">
        <f t="shared" si="155"/>
        <v>0</v>
      </c>
      <c r="AT68" s="70">
        <f>IFERROR(VLOOKUP(FiscalYr &amp; $B68&amp;AT$4,tblForecast,AT$2,FALSE),0)</f>
        <v>0</v>
      </c>
      <c r="AU68" s="71">
        <f t="shared" si="103"/>
        <v>0</v>
      </c>
      <c r="AV68" s="69">
        <f t="shared" si="17"/>
        <v>0</v>
      </c>
      <c r="AW68" s="82"/>
      <c r="AX68" s="83"/>
      <c r="AY68" s="69">
        <f t="shared" si="18"/>
        <v>0</v>
      </c>
      <c r="AZ68" s="84"/>
      <c r="BA68" s="85"/>
      <c r="BB68" s="69">
        <f t="shared" si="19"/>
        <v>0</v>
      </c>
      <c r="BC68" s="70">
        <f>IFERROR(VLOOKUP(FiscalYr &amp; $B68&amp;BC$4,tblForecast,BC$2,FALSE),0)</f>
        <v>0</v>
      </c>
      <c r="BD68" s="71">
        <f t="shared" si="104"/>
        <v>0</v>
      </c>
      <c r="BE68" s="69">
        <f t="shared" si="21"/>
        <v>0</v>
      </c>
      <c r="BF68" s="90">
        <f>IFERROR(VLOOKUP(FiscalYr &amp; $B68&amp;BF$4,tblForecast,BF$2,FALSE),0)</f>
        <v>0</v>
      </c>
      <c r="BG68" s="85">
        <f t="shared" si="167"/>
        <v>0</v>
      </c>
      <c r="BH68" s="69">
        <f t="shared" si="23"/>
        <v>0</v>
      </c>
      <c r="BI68" s="85">
        <f t="shared" si="137"/>
        <v>0</v>
      </c>
      <c r="BJ68" s="86">
        <f t="shared" si="137"/>
        <v>0</v>
      </c>
      <c r="BK68" s="75">
        <f t="shared" si="25"/>
        <v>0</v>
      </c>
      <c r="BL68" s="283">
        <f>IFERROR(VLOOKUP(Brand&amp;Channel&amp;Country&amp;$B68,tblDiscount,6,FALSE),0)</f>
        <v>0.8</v>
      </c>
      <c r="BM68" s="249">
        <f t="shared" ref="BM68:BM70" si="169">(1-BL68)*BN68</f>
        <v>0</v>
      </c>
      <c r="BN68" s="249">
        <f>IFERROR(VLOOKUP(Brand&amp;Country &amp; Channel &amp;FC,tblFCSettings,8,FALSE),0)</f>
        <v>0</v>
      </c>
      <c r="BO68" s="284">
        <f>IFERROR(VLOOKUP(Brand&amp;Country &amp; Channel &amp;FC,tblFCSettings,9,FALSE),0)</f>
        <v>0</v>
      </c>
    </row>
    <row r="69" spans="1:67" x14ac:dyDescent="0.25">
      <c r="A69"/>
      <c r="B69" s="185">
        <v>46</v>
      </c>
      <c r="C69" s="87">
        <f t="shared" si="159"/>
        <v>0</v>
      </c>
      <c r="D69" s="68">
        <f t="shared" si="159"/>
        <v>0</v>
      </c>
      <c r="E69" s="69">
        <f t="shared" si="0"/>
        <v>0</v>
      </c>
      <c r="F69" s="157">
        <f>IF(NewPlan=TRUE,IF(AF68-(G69*J69)&lt;0,AF68,G69*J69),IFERROR(VLOOKUP(FiscalYr &amp; $B69&amp;F$4,tblForecast,F$2,FALSE),0))</f>
        <v>0</v>
      </c>
      <c r="G69" s="189">
        <f>IFERROR(VLOOKUP(FiscalYr-IF(CompareVer="LY",1,0) &amp; $B69 + IF(FiscalYr=2018,1,0)&amp;G$4,tblForecast,G$2,FALSE),0)</f>
        <v>0</v>
      </c>
      <c r="H69" s="69">
        <f t="shared" si="1"/>
        <v>0</v>
      </c>
      <c r="I69" s="177">
        <f t="shared" si="168"/>
        <v>0</v>
      </c>
      <c r="J69" s="177">
        <f t="shared" si="168"/>
        <v>0</v>
      </c>
      <c r="K69" s="87">
        <f t="shared" si="160"/>
        <v>0</v>
      </c>
      <c r="L69" s="68">
        <f t="shared" si="161"/>
        <v>0</v>
      </c>
      <c r="M69" s="72">
        <f t="shared" si="2"/>
        <v>0</v>
      </c>
      <c r="N69" s="162">
        <f t="shared" si="162"/>
        <v>0</v>
      </c>
      <c r="O69" s="163">
        <f t="shared" si="162"/>
        <v>0</v>
      </c>
      <c r="P69" s="69">
        <f t="shared" si="152"/>
        <v>0</v>
      </c>
      <c r="Q69" s="158">
        <f>IF(NewPlan=TRUE,IF(BM69=0,R69,BM69),IFERROR(VLOOKUP(FiscalYr&amp;$B69&amp;Q$4,tblForecast,Q$2,FALSE),0))</f>
        <v>0</v>
      </c>
      <c r="R69" s="73">
        <f>IFERROR(VLOOKUP(FiscalYr-IF(CompareVer="LY",1,0) &amp; $B69 + IF(FiscalYr=2018,1,0)&amp;R$4,tblForecast,R$2,FALSE),0)</f>
        <v>0</v>
      </c>
      <c r="S69" s="69">
        <f t="shared" si="4"/>
        <v>0</v>
      </c>
      <c r="T69" s="158">
        <f>IF(NewPlan=TRUE,IF(BO69=0,U69,BO69),IFERROR(VLOOKUP(FiscalYr &amp; $B69&amp;T$4,tblForecast,T$2,FALSE),0))</f>
        <v>0</v>
      </c>
      <c r="U69" s="73">
        <f>IFERROR(VLOOKUP(FiscalYr-IF(CompareVer="LY",1,0) &amp; $B69 + IF(FiscalYr=2018,1,0)&amp;U$4,tblForecast,U$2,FALSE),0)</f>
        <v>0</v>
      </c>
      <c r="V69" s="69">
        <f t="shared" si="5"/>
        <v>0</v>
      </c>
      <c r="W69" s="158">
        <f>IF(NewPlan=TRUE,IF(BN69=0,X69,BN69),IFERROR(VLOOKUP(FiscalYr &amp; $B69&amp;W$4,tblForecast,W$2,FALSE),0))</f>
        <v>0</v>
      </c>
      <c r="X69" s="73">
        <f>IFERROR(VLOOKUP(FiscalYr-IF(CompareVer="LY",1,0) &amp; $B69 + IF(FiscalYr=2018,1,0)&amp;X$4,tblForecast,X$2,FALSE),0)</f>
        <v>0</v>
      </c>
      <c r="Y69" s="69">
        <f t="shared" si="6"/>
        <v>0</v>
      </c>
      <c r="Z69" s="74">
        <f t="shared" si="140"/>
        <v>0</v>
      </c>
      <c r="AA69" s="75">
        <f t="shared" si="138"/>
        <v>0</v>
      </c>
      <c r="AB69" s="69">
        <f t="shared" si="153"/>
        <v>0</v>
      </c>
      <c r="AC69" s="88">
        <f t="shared" si="94"/>
        <v>0</v>
      </c>
      <c r="AD69" s="77">
        <f t="shared" si="94"/>
        <v>0</v>
      </c>
      <c r="AE69" s="78">
        <f t="shared" si="31"/>
        <v>0</v>
      </c>
      <c r="AF69" s="238">
        <f t="shared" si="163"/>
        <v>0</v>
      </c>
      <c r="AG69" s="71">
        <f>IFERROR(VLOOKUP(FiscalYr-IF(CompareVer="LY",1,0) &amp; $B69 + IF(FiscalYr=2018,1,0)&amp;AG$4,tblForecast,AG$2,FALSE),0)</f>
        <v>0</v>
      </c>
      <c r="AH69" s="69">
        <f t="shared" si="10"/>
        <v>0</v>
      </c>
      <c r="AI69" s="157">
        <f t="shared" si="164"/>
        <v>0</v>
      </c>
      <c r="AJ69" s="71">
        <f t="shared" si="164"/>
        <v>0</v>
      </c>
      <c r="AK69" s="71">
        <f>IF($A69="a",IFERROR(VLOOKUP(FiscalYr &amp; $B69&amp;AK$4,tblForecast,AK$2,FALSE),0),AI69+AJ69)</f>
        <v>0</v>
      </c>
      <c r="AL69" s="71">
        <f>IFERROR(VLOOKUP(FiscalYr-IF(CompareVer="LY",1,0) &amp; $B69 + IF(FiscalYr=2018,1,0)&amp;AL$4,tblForecast,AL$2,FALSE),0)</f>
        <v>0</v>
      </c>
      <c r="AM69" s="69">
        <f t="shared" si="12"/>
        <v>0</v>
      </c>
      <c r="AN69" s="157">
        <f t="shared" si="165"/>
        <v>0</v>
      </c>
      <c r="AO69" s="71">
        <f t="shared" si="165"/>
        <v>0</v>
      </c>
      <c r="AP69" s="69">
        <f t="shared" si="14"/>
        <v>0</v>
      </c>
      <c r="AQ69" s="80">
        <f t="shared" si="166"/>
        <v>0</v>
      </c>
      <c r="AR69" s="89">
        <f t="shared" si="166"/>
        <v>0</v>
      </c>
      <c r="AS69" s="69">
        <f t="shared" si="155"/>
        <v>0</v>
      </c>
      <c r="AT69" s="70">
        <f>IFERROR(VLOOKUP(FiscalYr &amp; $B69&amp;AT$4,tblForecast,AT$2,FALSE),0)</f>
        <v>0</v>
      </c>
      <c r="AU69" s="71">
        <f t="shared" si="103"/>
        <v>0</v>
      </c>
      <c r="AV69" s="69">
        <f t="shared" si="17"/>
        <v>0</v>
      </c>
      <c r="AW69" s="82"/>
      <c r="AX69" s="83"/>
      <c r="AY69" s="69">
        <f t="shared" si="18"/>
        <v>0</v>
      </c>
      <c r="AZ69" s="84"/>
      <c r="BA69" s="85"/>
      <c r="BB69" s="69">
        <f t="shared" si="19"/>
        <v>0</v>
      </c>
      <c r="BC69" s="70">
        <f>IFERROR(VLOOKUP(FiscalYr &amp; $B69&amp;BC$4,tblForecast,BC$2,FALSE),0)</f>
        <v>0</v>
      </c>
      <c r="BD69" s="71">
        <f t="shared" si="104"/>
        <v>0</v>
      </c>
      <c r="BE69" s="69">
        <f t="shared" si="21"/>
        <v>0</v>
      </c>
      <c r="BF69" s="90">
        <f>IFERROR(VLOOKUP(FiscalYr &amp; $B69&amp;BF$4,tblForecast,BF$2,FALSE),0)</f>
        <v>0</v>
      </c>
      <c r="BG69" s="85">
        <f t="shared" si="167"/>
        <v>0</v>
      </c>
      <c r="BH69" s="69">
        <f t="shared" si="23"/>
        <v>0</v>
      </c>
      <c r="BI69" s="85">
        <f t="shared" si="137"/>
        <v>0</v>
      </c>
      <c r="BJ69" s="86">
        <f t="shared" si="137"/>
        <v>0</v>
      </c>
      <c r="BK69" s="75">
        <f t="shared" si="25"/>
        <v>0</v>
      </c>
      <c r="BL69" s="283">
        <f>IFERROR(VLOOKUP(Brand&amp;Channel&amp;Country&amp;$B69,tblDiscount,6,FALSE),0)</f>
        <v>0.8</v>
      </c>
      <c r="BM69" s="249">
        <f t="shared" si="169"/>
        <v>0</v>
      </c>
      <c r="BN69" s="249">
        <f>IFERROR(VLOOKUP(Brand&amp;Country &amp; Channel &amp;FC,tblFCSettings,8,FALSE),0)</f>
        <v>0</v>
      </c>
      <c r="BO69" s="284">
        <f>IFERROR(VLOOKUP(Brand&amp;Country &amp; Channel &amp;FC,tblFCSettings,9,FALSE),0)</f>
        <v>0</v>
      </c>
    </row>
    <row r="70" spans="1:67" x14ac:dyDescent="0.25">
      <c r="A70"/>
      <c r="B70" s="185">
        <v>47</v>
      </c>
      <c r="C70" s="87">
        <f t="shared" si="159"/>
        <v>0</v>
      </c>
      <c r="D70" s="68">
        <f t="shared" si="159"/>
        <v>0</v>
      </c>
      <c r="E70" s="69">
        <f t="shared" si="0"/>
        <v>0</v>
      </c>
      <c r="F70" s="157">
        <f>IF(NewPlan=TRUE,IF(AF69-(G70*J70)&lt;0,AF69,G70*J70),IFERROR(VLOOKUP(FiscalYr &amp; $B70&amp;F$4,tblForecast,F$2,FALSE),0))</f>
        <v>0</v>
      </c>
      <c r="G70" s="189">
        <f>IFERROR(VLOOKUP(FiscalYr-IF(CompareVer="LY",1,0) &amp; $B70 + IF(FiscalYr=2018,1,0)&amp;G$4,tblForecast,G$2,FALSE),0)</f>
        <v>0</v>
      </c>
      <c r="H70" s="69">
        <f t="shared" si="1"/>
        <v>0</v>
      </c>
      <c r="I70" s="177">
        <f t="shared" si="168"/>
        <v>0</v>
      </c>
      <c r="J70" s="177">
        <f t="shared" si="168"/>
        <v>0</v>
      </c>
      <c r="K70" s="87">
        <f t="shared" si="160"/>
        <v>0</v>
      </c>
      <c r="L70" s="68">
        <f t="shared" si="161"/>
        <v>0</v>
      </c>
      <c r="M70" s="72">
        <f t="shared" si="2"/>
        <v>0</v>
      </c>
      <c r="N70" s="162">
        <f t="shared" si="162"/>
        <v>0</v>
      </c>
      <c r="O70" s="163">
        <f t="shared" si="162"/>
        <v>0</v>
      </c>
      <c r="P70" s="69">
        <f t="shared" si="152"/>
        <v>0</v>
      </c>
      <c r="Q70" s="158">
        <f>IF(NewPlan=TRUE,IF(BM70=0,R70,BM70),IFERROR(VLOOKUP(FiscalYr&amp;$B70&amp;Q$4,tblForecast,Q$2,FALSE),0))</f>
        <v>0</v>
      </c>
      <c r="R70" s="73">
        <f>IFERROR(VLOOKUP(FiscalYr-IF(CompareVer="LY",1,0) &amp; $B70 + IF(FiscalYr=2018,1,0)&amp;R$4,tblForecast,R$2,FALSE),0)</f>
        <v>0</v>
      </c>
      <c r="S70" s="69">
        <f t="shared" si="4"/>
        <v>0</v>
      </c>
      <c r="T70" s="158">
        <f>IF(NewPlan=TRUE,IF(BO70=0,U70,BO70),IFERROR(VLOOKUP(FiscalYr &amp; $B70&amp;T$4,tblForecast,T$2,FALSE),0))</f>
        <v>0</v>
      </c>
      <c r="U70" s="73">
        <f>IFERROR(VLOOKUP(FiscalYr-IF(CompareVer="LY",1,0) &amp; $B70 + IF(FiscalYr=2018,1,0)&amp;U$4,tblForecast,U$2,FALSE),0)</f>
        <v>0</v>
      </c>
      <c r="V70" s="69">
        <f t="shared" si="5"/>
        <v>0</v>
      </c>
      <c r="W70" s="158">
        <f>IF(NewPlan=TRUE,IF(BN70=0,X70,BN70),IFERROR(VLOOKUP(FiscalYr &amp; $B70&amp;W$4,tblForecast,W$2,FALSE),0))</f>
        <v>0</v>
      </c>
      <c r="X70" s="73">
        <f>IFERROR(VLOOKUP(FiscalYr-IF(CompareVer="LY",1,0) &amp; $B70 + IF(FiscalYr=2018,1,0)&amp;X$4,tblForecast,X$2,FALSE),0)</f>
        <v>0</v>
      </c>
      <c r="Y70" s="69">
        <f t="shared" si="6"/>
        <v>0</v>
      </c>
      <c r="Z70" s="74">
        <f t="shared" si="140"/>
        <v>0</v>
      </c>
      <c r="AA70" s="75">
        <f t="shared" si="138"/>
        <v>0</v>
      </c>
      <c r="AB70" s="69">
        <f t="shared" si="153"/>
        <v>0</v>
      </c>
      <c r="AC70" s="88">
        <f t="shared" si="94"/>
        <v>0</v>
      </c>
      <c r="AD70" s="77">
        <f t="shared" si="94"/>
        <v>0</v>
      </c>
      <c r="AE70" s="78">
        <f t="shared" si="31"/>
        <v>0</v>
      </c>
      <c r="AF70" s="238">
        <f t="shared" si="163"/>
        <v>0</v>
      </c>
      <c r="AG70" s="71">
        <f>IFERROR(VLOOKUP(FiscalYr-IF(CompareVer="LY",1,0) &amp; $B70 + IF(FiscalYr=2018,1,0)&amp;AG$4,tblForecast,AG$2,FALSE),0)</f>
        <v>0</v>
      </c>
      <c r="AH70" s="69">
        <f t="shared" si="10"/>
        <v>0</v>
      </c>
      <c r="AI70" s="157">
        <f t="shared" si="164"/>
        <v>0</v>
      </c>
      <c r="AJ70" s="71">
        <f t="shared" si="164"/>
        <v>0</v>
      </c>
      <c r="AK70" s="71">
        <f>IF($A70="a",IFERROR(VLOOKUP(FiscalYr &amp; $B70&amp;AK$4,tblForecast,AK$2,FALSE),0),AI70+AJ70)</f>
        <v>0</v>
      </c>
      <c r="AL70" s="71">
        <f>IFERROR(VLOOKUP(FiscalYr-IF(CompareVer="LY",1,0) &amp; $B70 + IF(FiscalYr=2018,1,0)&amp;AL$4,tblForecast,AL$2,FALSE),0)</f>
        <v>0</v>
      </c>
      <c r="AM70" s="69">
        <f t="shared" si="12"/>
        <v>0</v>
      </c>
      <c r="AN70" s="157">
        <f t="shared" si="165"/>
        <v>0</v>
      </c>
      <c r="AO70" s="71">
        <f t="shared" si="165"/>
        <v>0</v>
      </c>
      <c r="AP70" s="69">
        <f t="shared" si="14"/>
        <v>0</v>
      </c>
      <c r="AQ70" s="80">
        <f t="shared" si="166"/>
        <v>0</v>
      </c>
      <c r="AR70" s="89">
        <f t="shared" si="166"/>
        <v>0</v>
      </c>
      <c r="AS70" s="69">
        <f t="shared" si="155"/>
        <v>0</v>
      </c>
      <c r="AT70" s="70">
        <f>IFERROR(VLOOKUP(FiscalYr &amp; $B70&amp;AT$4,tblForecast,AT$2,FALSE),0)</f>
        <v>0</v>
      </c>
      <c r="AU70" s="71">
        <f t="shared" si="103"/>
        <v>0</v>
      </c>
      <c r="AV70" s="69">
        <f t="shared" si="17"/>
        <v>0</v>
      </c>
      <c r="AW70" s="82"/>
      <c r="AX70" s="83"/>
      <c r="AY70" s="69">
        <f t="shared" si="18"/>
        <v>0</v>
      </c>
      <c r="AZ70" s="84"/>
      <c r="BA70" s="85"/>
      <c r="BB70" s="69">
        <f t="shared" si="19"/>
        <v>0</v>
      </c>
      <c r="BC70" s="70">
        <f>IFERROR(VLOOKUP(FiscalYr &amp; $B70&amp;BC$4,tblForecast,BC$2,FALSE),0)</f>
        <v>0</v>
      </c>
      <c r="BD70" s="71">
        <f t="shared" si="104"/>
        <v>0</v>
      </c>
      <c r="BE70" s="69">
        <f t="shared" si="21"/>
        <v>0</v>
      </c>
      <c r="BF70" s="90">
        <f>IFERROR(VLOOKUP(FiscalYr &amp; $B70&amp;BF$4,tblForecast,BF$2,FALSE),0)</f>
        <v>0</v>
      </c>
      <c r="BG70" s="85">
        <f t="shared" si="167"/>
        <v>0</v>
      </c>
      <c r="BH70" s="69">
        <f t="shared" si="23"/>
        <v>0</v>
      </c>
      <c r="BI70" s="85">
        <f t="shared" si="137"/>
        <v>0</v>
      </c>
      <c r="BJ70" s="86">
        <f t="shared" si="137"/>
        <v>0</v>
      </c>
      <c r="BK70" s="75">
        <f t="shared" si="25"/>
        <v>0</v>
      </c>
      <c r="BL70" s="283">
        <f>IFERROR(VLOOKUP(Brand&amp;Channel&amp;Country&amp;$B70,tblDiscount,6,FALSE),0)</f>
        <v>0.8</v>
      </c>
      <c r="BM70" s="249">
        <f t="shared" si="169"/>
        <v>0</v>
      </c>
      <c r="BN70" s="249">
        <f>IFERROR(VLOOKUP(Brand&amp;Country &amp; Channel &amp;FC,tblFCSettings,8,FALSE),0)</f>
        <v>0</v>
      </c>
      <c r="BO70" s="284">
        <f>IFERROR(VLOOKUP(Brand&amp;Country &amp; Channel &amp;FC,tblFCSettings,9,FALSE),0)</f>
        <v>0</v>
      </c>
    </row>
    <row r="71" spans="1:67" ht="16.5" thickBot="1" x14ac:dyDescent="0.3">
      <c r="A71"/>
      <c r="B71" s="185">
        <v>48</v>
      </c>
      <c r="C71" s="87">
        <f t="shared" si="159"/>
        <v>0</v>
      </c>
      <c r="D71" s="68">
        <f t="shared" si="159"/>
        <v>0</v>
      </c>
      <c r="E71" s="69">
        <f t="shared" si="0"/>
        <v>0</v>
      </c>
      <c r="F71" s="157">
        <f>IF(NewPlan=TRUE,IF(AF70-(G71*J71)&lt;0,AF70,G71*J71),IFERROR(VLOOKUP(FiscalYr &amp; $B71&amp;F$4,tblForecast,F$2,FALSE),0))</f>
        <v>0</v>
      </c>
      <c r="G71" s="189">
        <f>IFERROR(VLOOKUP(FiscalYr-IF(CompareVer="LY",1,0) &amp; $B71 + IF(FiscalYr=2018,1,0)&amp;G$4,tblForecast,G$2,FALSE),0)</f>
        <v>0</v>
      </c>
      <c r="H71" s="69">
        <f t="shared" si="1"/>
        <v>0</v>
      </c>
      <c r="I71" s="177">
        <f t="shared" si="168"/>
        <v>0</v>
      </c>
      <c r="J71" s="177">
        <f t="shared" si="168"/>
        <v>0</v>
      </c>
      <c r="K71" s="87">
        <f t="shared" si="160"/>
        <v>0</v>
      </c>
      <c r="L71" s="68">
        <f t="shared" si="161"/>
        <v>0</v>
      </c>
      <c r="M71" s="72">
        <f t="shared" si="2"/>
        <v>0</v>
      </c>
      <c r="N71" s="162">
        <f t="shared" si="162"/>
        <v>0</v>
      </c>
      <c r="O71" s="163">
        <f t="shared" si="162"/>
        <v>0</v>
      </c>
      <c r="P71" s="69">
        <f t="shared" si="152"/>
        <v>0</v>
      </c>
      <c r="Q71" s="158">
        <f>IF(NewPlan=TRUE,IF(BM71=0,R71,BM71),IFERROR(VLOOKUP(FiscalYr&amp;$B71&amp;Q$4,tblForecast,Q$2,FALSE),0))</f>
        <v>0</v>
      </c>
      <c r="R71" s="73">
        <f>IFERROR(VLOOKUP(FiscalYr-IF(CompareVer="LY",1,0) &amp; $B71 + IF(FiscalYr=2018,1,0)&amp;R$4,tblForecast,R$2,FALSE),0)</f>
        <v>0</v>
      </c>
      <c r="S71" s="69">
        <f t="shared" si="4"/>
        <v>0</v>
      </c>
      <c r="T71" s="158">
        <f>IF(NewPlan=TRUE,IF(BO71=0,U71,BO71),IFERROR(VLOOKUP(FiscalYr &amp; $B71&amp;T$4,tblForecast,T$2,FALSE),0))</f>
        <v>0</v>
      </c>
      <c r="U71" s="73">
        <f>IFERROR(VLOOKUP(FiscalYr-IF(CompareVer="LY",1,0) &amp; $B71 + IF(FiscalYr=2018,1,0)&amp;U$4,tblForecast,U$2,FALSE),0)</f>
        <v>0</v>
      </c>
      <c r="V71" s="69">
        <f t="shared" si="5"/>
        <v>0</v>
      </c>
      <c r="W71" s="158">
        <f>IF(NewPlan=TRUE,IF(BN71=0,X71,BN71),IFERROR(VLOOKUP(FiscalYr &amp; $B71&amp;W$4,tblForecast,W$2,FALSE),0))</f>
        <v>0</v>
      </c>
      <c r="X71" s="73">
        <f>IFERROR(VLOOKUP(FiscalYr-IF(CompareVer="LY",1,0) &amp; $B71 + IF(FiscalYr=2018,1,0)&amp;X$4,tblForecast,X$2,FALSE),0)</f>
        <v>0</v>
      </c>
      <c r="Y71" s="69">
        <f t="shared" si="6"/>
        <v>0</v>
      </c>
      <c r="Z71" s="74">
        <f t="shared" si="140"/>
        <v>0</v>
      </c>
      <c r="AA71" s="75">
        <f t="shared" si="138"/>
        <v>0</v>
      </c>
      <c r="AB71" s="69">
        <f t="shared" si="153"/>
        <v>0</v>
      </c>
      <c r="AC71" s="88">
        <f t="shared" si="94"/>
        <v>0</v>
      </c>
      <c r="AD71" s="77">
        <f t="shared" si="94"/>
        <v>0</v>
      </c>
      <c r="AE71" s="78">
        <f t="shared" si="31"/>
        <v>0</v>
      </c>
      <c r="AF71" s="238">
        <f t="shared" si="163"/>
        <v>0</v>
      </c>
      <c r="AG71" s="71">
        <f>IFERROR(VLOOKUP(FiscalYr-IF(CompareVer="LY",1,0) &amp; $B71 + IF(FiscalYr=2018,1,0)&amp;AG$4,tblForecast,AG$2,FALSE),0)</f>
        <v>0</v>
      </c>
      <c r="AH71" s="69">
        <f t="shared" si="10"/>
        <v>0</v>
      </c>
      <c r="AI71" s="157">
        <f t="shared" si="164"/>
        <v>0</v>
      </c>
      <c r="AJ71" s="71">
        <f t="shared" si="164"/>
        <v>0</v>
      </c>
      <c r="AK71" s="71">
        <f>IF($A71="a",IFERROR(VLOOKUP(FiscalYr &amp; $B71&amp;AK$4,tblForecast,AK$2,FALSE),0),AI71+AJ71)</f>
        <v>0</v>
      </c>
      <c r="AL71" s="71">
        <f>IFERROR(VLOOKUP(FiscalYr-IF(CompareVer="LY",1,0) &amp; $B71 + IF(FiscalYr=2018,1,0)&amp;AL$4,tblForecast,AL$2,FALSE),0)</f>
        <v>0</v>
      </c>
      <c r="AM71" s="69">
        <f t="shared" si="12"/>
        <v>0</v>
      </c>
      <c r="AN71" s="157">
        <f t="shared" si="165"/>
        <v>0</v>
      </c>
      <c r="AO71" s="71">
        <f t="shared" si="165"/>
        <v>0</v>
      </c>
      <c r="AP71" s="69">
        <f t="shared" si="14"/>
        <v>0</v>
      </c>
      <c r="AQ71" s="80">
        <f t="shared" si="166"/>
        <v>0</v>
      </c>
      <c r="AR71" s="89">
        <f t="shared" si="166"/>
        <v>0</v>
      </c>
      <c r="AS71" s="69">
        <f t="shared" si="155"/>
        <v>0</v>
      </c>
      <c r="AT71" s="70">
        <f>IFERROR(VLOOKUP(FiscalYr &amp; $B71&amp;AT$4,tblForecast,AT$2,FALSE),0)</f>
        <v>0</v>
      </c>
      <c r="AU71" s="71">
        <f t="shared" si="103"/>
        <v>0</v>
      </c>
      <c r="AV71" s="69">
        <f t="shared" si="17"/>
        <v>0</v>
      </c>
      <c r="AW71" s="82"/>
      <c r="AX71" s="83"/>
      <c r="AY71" s="69">
        <f t="shared" si="18"/>
        <v>0</v>
      </c>
      <c r="AZ71" s="84"/>
      <c r="BA71" s="85"/>
      <c r="BB71" s="69">
        <f t="shared" si="19"/>
        <v>0</v>
      </c>
      <c r="BC71" s="70">
        <f>IFERROR(VLOOKUP(FiscalYr &amp; $B71&amp;BC$4,tblForecast,BC$2,FALSE),0)</f>
        <v>0</v>
      </c>
      <c r="BD71" s="71">
        <f t="shared" si="104"/>
        <v>0</v>
      </c>
      <c r="BE71" s="69">
        <f t="shared" si="21"/>
        <v>0</v>
      </c>
      <c r="BF71" s="90">
        <f>IFERROR(VLOOKUP(FiscalYr &amp; $B71&amp;BF$4,tblForecast,BF$2,FALSE),0)</f>
        <v>0</v>
      </c>
      <c r="BG71" s="85">
        <f t="shared" si="167"/>
        <v>0</v>
      </c>
      <c r="BH71" s="69">
        <f t="shared" si="23"/>
        <v>0</v>
      </c>
      <c r="BI71" s="85">
        <f t="shared" si="137"/>
        <v>0</v>
      </c>
      <c r="BJ71" s="86">
        <f t="shared" si="137"/>
        <v>0</v>
      </c>
      <c r="BK71" s="75">
        <f t="shared" si="25"/>
        <v>0</v>
      </c>
      <c r="BL71" s="283">
        <f>IFERROR(VLOOKUP(Brand&amp;Channel&amp;Country&amp;$B71,tblDiscount,6,FALSE),0)</f>
        <v>0.8</v>
      </c>
      <c r="BM71" s="249">
        <f>(1-BL71)*BN71</f>
        <v>0</v>
      </c>
      <c r="BN71" s="249">
        <f>IFERROR(VLOOKUP(Brand&amp;Country &amp; Channel &amp;FC,tblFCSettings,8,FALSE),0)</f>
        <v>0</v>
      </c>
      <c r="BO71" s="284">
        <f>IFERROR(VLOOKUP(Brand&amp;Country &amp; Channel &amp;FC,tblFCSettings,9,FALSE),0)</f>
        <v>0</v>
      </c>
    </row>
    <row r="72" spans="1:67" ht="16.5" thickBot="1" x14ac:dyDescent="0.3">
      <c r="A72"/>
      <c r="B72" s="6" t="s">
        <v>346</v>
      </c>
      <c r="C72" s="92">
        <f>SUM(C67:C71)</f>
        <v>0</v>
      </c>
      <c r="D72" s="93">
        <f>SUM(D67:D71)</f>
        <v>0</v>
      </c>
      <c r="E72" s="94">
        <f t="shared" si="0"/>
        <v>0</v>
      </c>
      <c r="F72" s="95">
        <f>SUM(F67:F71)</f>
        <v>0</v>
      </c>
      <c r="G72" s="96">
        <f>SUM(G67:G71)</f>
        <v>0</v>
      </c>
      <c r="H72" s="94">
        <f t="shared" si="1"/>
        <v>0</v>
      </c>
      <c r="I72" s="178">
        <f>IF(F66&lt;&gt;0,F72/F66-1,0)</f>
        <v>0</v>
      </c>
      <c r="J72" s="178">
        <f>IF(G66&lt;&gt;0,G72/G66-1,0)</f>
        <v>0</v>
      </c>
      <c r="K72" s="92">
        <f>SUM(K67:K71)</f>
        <v>0</v>
      </c>
      <c r="L72" s="93">
        <f>SUM(L67:L71)</f>
        <v>0</v>
      </c>
      <c r="M72" s="97">
        <f t="shared" si="2"/>
        <v>0</v>
      </c>
      <c r="N72" s="164">
        <f>IFERROR(K72/C72,0)</f>
        <v>0</v>
      </c>
      <c r="O72" s="165">
        <f>IFERROR(L72/D72,0)</f>
        <v>0</v>
      </c>
      <c r="P72" s="94">
        <f t="shared" si="152"/>
        <v>0</v>
      </c>
      <c r="Q72" s="98">
        <f>IFERROR(C72/F72,0)</f>
        <v>0</v>
      </c>
      <c r="R72" s="99">
        <f>IFERROR(D72/G72,0)</f>
        <v>0</v>
      </c>
      <c r="S72" s="94">
        <f t="shared" si="4"/>
        <v>0</v>
      </c>
      <c r="T72" s="98">
        <f>IFERROR((C72*(1-N72))/F72,0)</f>
        <v>0</v>
      </c>
      <c r="U72" s="99">
        <f>IFERROR((D72*(1-O72))/G72,0)</f>
        <v>0</v>
      </c>
      <c r="V72" s="94">
        <f t="shared" si="5"/>
        <v>0</v>
      </c>
      <c r="W72" s="98">
        <f>IFERROR(SUMPRODUCT(W67:W71,F67:F71)/F72,0)</f>
        <v>0</v>
      </c>
      <c r="X72" s="99">
        <f>IFERROR(SUMPRODUCT(X67:X71,G67:G71)/G72,0)</f>
        <v>0</v>
      </c>
      <c r="Y72" s="94">
        <f t="shared" si="6"/>
        <v>0</v>
      </c>
      <c r="Z72" s="100">
        <f t="shared" si="140"/>
        <v>0</v>
      </c>
      <c r="AA72" s="101">
        <f t="shared" si="138"/>
        <v>0</v>
      </c>
      <c r="AB72" s="94">
        <f t="shared" si="153"/>
        <v>0</v>
      </c>
      <c r="AC72" s="102">
        <f t="shared" si="94"/>
        <v>0</v>
      </c>
      <c r="AD72" s="103">
        <f t="shared" si="94"/>
        <v>0</v>
      </c>
      <c r="AE72" s="104">
        <f t="shared" si="31"/>
        <v>0</v>
      </c>
      <c r="AF72" s="95">
        <f>AF71</f>
        <v>0</v>
      </c>
      <c r="AG72" s="96">
        <f>AG71</f>
        <v>0</v>
      </c>
      <c r="AH72" s="94">
        <f t="shared" si="10"/>
        <v>0</v>
      </c>
      <c r="AI72" s="95">
        <f t="shared" ref="AI72:AL72" si="170">SUM(AI67:AI71)</f>
        <v>0</v>
      </c>
      <c r="AJ72" s="96">
        <f t="shared" si="170"/>
        <v>0</v>
      </c>
      <c r="AK72" s="96">
        <f t="shared" si="170"/>
        <v>0</v>
      </c>
      <c r="AL72" s="96">
        <f t="shared" si="170"/>
        <v>0</v>
      </c>
      <c r="AM72" s="94">
        <f t="shared" si="12"/>
        <v>0</v>
      </c>
      <c r="AN72" s="95">
        <f>SUM(AN67:AN71)</f>
        <v>0</v>
      </c>
      <c r="AO72" s="96">
        <f>SUM(AO67:AO71)</f>
        <v>0</v>
      </c>
      <c r="AP72" s="94">
        <f t="shared" si="14"/>
        <v>0</v>
      </c>
      <c r="AQ72" s="105">
        <f>IF(F72&lt;&gt;0,(AF72*COUNTIF(AQ67:AQ71,"&lt;&gt;0")/F72),0)</f>
        <v>0</v>
      </c>
      <c r="AR72" s="106">
        <f>IF(G72&lt;&gt;0,(AG72*COUNTIF(AR67:AR71,"&lt;&gt;0")/G72),0)</f>
        <v>0</v>
      </c>
      <c r="AS72" s="94">
        <f t="shared" si="155"/>
        <v>0</v>
      </c>
      <c r="AT72" s="95">
        <f>SUM(AT67:AT71)</f>
        <v>0</v>
      </c>
      <c r="AU72" s="96">
        <f t="shared" si="103"/>
        <v>0</v>
      </c>
      <c r="AV72" s="94">
        <f t="shared" si="17"/>
        <v>0</v>
      </c>
      <c r="AW72" s="107"/>
      <c r="AX72" s="108"/>
      <c r="AY72" s="94">
        <f t="shared" si="18"/>
        <v>0</v>
      </c>
      <c r="AZ72" s="134"/>
      <c r="BA72" s="111"/>
      <c r="BB72" s="94">
        <f t="shared" si="19"/>
        <v>0</v>
      </c>
      <c r="BC72" s="95">
        <f>SUM(BC67:BC71)</f>
        <v>0</v>
      </c>
      <c r="BD72" s="96">
        <f t="shared" si="104"/>
        <v>0</v>
      </c>
      <c r="BE72" s="94">
        <f t="shared" si="21"/>
        <v>0</v>
      </c>
      <c r="BF72" s="110">
        <f>SUM(BF67:BF71)</f>
        <v>0</v>
      </c>
      <c r="BG72" s="111">
        <f>SUM(BG67:BG71)</f>
        <v>0</v>
      </c>
      <c r="BH72" s="94">
        <f t="shared" si="23"/>
        <v>0</v>
      </c>
      <c r="BI72" s="111">
        <f t="shared" si="137"/>
        <v>0</v>
      </c>
      <c r="BJ72" s="112">
        <f t="shared" si="137"/>
        <v>0</v>
      </c>
      <c r="BK72" s="101">
        <f t="shared" si="25"/>
        <v>0</v>
      </c>
      <c r="BL72" s="283"/>
      <c r="BM72" s="249"/>
      <c r="BN72" s="249"/>
      <c r="BO72" s="284"/>
    </row>
    <row r="73" spans="1:67" x14ac:dyDescent="0.25">
      <c r="A73"/>
      <c r="B73" s="185">
        <v>49</v>
      </c>
      <c r="C73" s="87">
        <f t="shared" ref="C73:D76" si="171">F73*Q73</f>
        <v>0</v>
      </c>
      <c r="D73" s="68">
        <f t="shared" si="171"/>
        <v>0</v>
      </c>
      <c r="E73" s="69">
        <f t="shared" si="0"/>
        <v>0</v>
      </c>
      <c r="F73" s="157">
        <f>IF(NewPlan=TRUE,IF(AF72-(G73*J73)&lt;0,AF72,G73*J73),IFERROR(VLOOKUP(FiscalYr &amp; $B73&amp;F$4,tblForecast,F$2,FALSE),0))</f>
        <v>0</v>
      </c>
      <c r="G73" s="189">
        <f>IFERROR(VLOOKUP(FiscalYr-IF(CompareVer="LY",1,0) &amp; $B73 + IF(FiscalYr=2018,1,0)&amp;G$4,tblForecast,G$2,FALSE),0)</f>
        <v>0</v>
      </c>
      <c r="H73" s="69">
        <f t="shared" si="1"/>
        <v>0</v>
      </c>
      <c r="I73" s="177">
        <f>IFERROR(IF(F71&gt;0,F73/F71,0),0)</f>
        <v>0</v>
      </c>
      <c r="J73" s="177">
        <f>IFERROR(IF(G71&gt;0,G73/G71,0),0)</f>
        <v>0</v>
      </c>
      <c r="K73" s="87">
        <f t="shared" ref="K73:K76" si="172">IFERROR(C73*N73,0)</f>
        <v>0</v>
      </c>
      <c r="L73" s="68">
        <f t="shared" ref="L73:L76" si="173">D73*O73</f>
        <v>0</v>
      </c>
      <c r="M73" s="72">
        <f t="shared" si="2"/>
        <v>0</v>
      </c>
      <c r="N73" s="162">
        <f t="shared" ref="N73:O76" si="174">IF(Q73&lt;&gt;0,1-T73/Q73,0)</f>
        <v>0</v>
      </c>
      <c r="O73" s="163">
        <f t="shared" si="174"/>
        <v>0</v>
      </c>
      <c r="P73" s="69">
        <f t="shared" si="152"/>
        <v>0</v>
      </c>
      <c r="Q73" s="158">
        <f>IF(NewPlan=TRUE,IF(BM73=0,R73,BM73),IFERROR(VLOOKUP(FiscalYr&amp;$B73&amp;Q$4,tblForecast,Q$2,FALSE),0))</f>
        <v>0</v>
      </c>
      <c r="R73" s="73">
        <f>IFERROR(VLOOKUP(FiscalYr-IF(CompareVer="LY",1,0) &amp; $B73 + IF(FiscalYr=2018,1,0)&amp;R$4,tblForecast,R$2,FALSE),0)</f>
        <v>0</v>
      </c>
      <c r="S73" s="69">
        <f t="shared" si="4"/>
        <v>0</v>
      </c>
      <c r="T73" s="158">
        <f>IF(NewPlan=TRUE,IF(BO73=0,U73,BO73),IFERROR(VLOOKUP(FiscalYr &amp; $B73&amp;T$4,tblForecast,T$2,FALSE),0))</f>
        <v>0</v>
      </c>
      <c r="U73" s="73">
        <f>IFERROR(VLOOKUP(FiscalYr-IF(CompareVer="LY",1,0) &amp; $B73 + IF(FiscalYr=2018,1,0)&amp;U$4,tblForecast,U$2,FALSE),0)</f>
        <v>0</v>
      </c>
      <c r="V73" s="69">
        <f t="shared" si="5"/>
        <v>0</v>
      </c>
      <c r="W73" s="158">
        <f>IF(NewPlan=TRUE,IF(BN73=0,X73,BN73),IFERROR(VLOOKUP(FiscalYr &amp; $B73&amp;W$4,tblForecast,W$2,FALSE),0))</f>
        <v>0</v>
      </c>
      <c r="X73" s="73">
        <f>IFERROR(VLOOKUP(FiscalYr-IF(CompareVer="LY",1,0) &amp; $B73 + IF(FiscalYr=2018,1,0)&amp;X$4,tblForecast,X$2,FALSE),0)</f>
        <v>0</v>
      </c>
      <c r="Y73" s="69">
        <f t="shared" si="6"/>
        <v>0</v>
      </c>
      <c r="Z73" s="74">
        <f t="shared" si="140"/>
        <v>0</v>
      </c>
      <c r="AA73" s="75">
        <f t="shared" si="138"/>
        <v>0</v>
      </c>
      <c r="AB73" s="69">
        <f t="shared" si="153"/>
        <v>0</v>
      </c>
      <c r="AC73" s="88">
        <f t="shared" si="94"/>
        <v>0</v>
      </c>
      <c r="AD73" s="77">
        <f t="shared" si="94"/>
        <v>0</v>
      </c>
      <c r="AE73" s="78">
        <f t="shared" si="31"/>
        <v>0</v>
      </c>
      <c r="AF73" s="238">
        <f t="shared" ref="AF73:AF76" si="175">IF(AF72+AK73+AN73-F73&lt;0,0,AF72+AK73+AN73-F73)</f>
        <v>0</v>
      </c>
      <c r="AG73" s="71">
        <f>IFERROR(VLOOKUP(FiscalYr-IF(CompareVer="LY",1,0) &amp; $B73 + IF(FiscalYr=2018,1,0)&amp;AG$4,tblForecast,AG$2,FALSE),0)</f>
        <v>0</v>
      </c>
      <c r="AH73" s="69">
        <f t="shared" si="10"/>
        <v>0</v>
      </c>
      <c r="AI73" s="157">
        <f t="shared" ref="AI73:AJ76" si="176">IFERROR(VLOOKUP(FiscalYr &amp; $B73&amp;AI$4,tblForecast,AI$2,FALSE),0)</f>
        <v>0</v>
      </c>
      <c r="AJ73" s="71">
        <f t="shared" si="176"/>
        <v>0</v>
      </c>
      <c r="AK73" s="71">
        <f>IF($A73="a",IFERROR(VLOOKUP(FiscalYr &amp; $B73&amp;AK$4,tblForecast,AK$2,FALSE),0),AI73+AJ73)</f>
        <v>0</v>
      </c>
      <c r="AL73" s="71">
        <f>IFERROR(VLOOKUP(FiscalYr-IF(CompareVer="LY",1,0) &amp; $B73 + IF(FiscalYr=2018,1,0)&amp;AL$4,tblForecast,AL$2,FALSE),0)</f>
        <v>0</v>
      </c>
      <c r="AM73" s="69">
        <f t="shared" si="12"/>
        <v>0</v>
      </c>
      <c r="AN73" s="157">
        <f t="shared" ref="AN73:AO76" si="177">IFERROR(VLOOKUP(FiscalYr &amp; $B73&amp;AN$4,tblForecast,AN$2,FALSE),0)</f>
        <v>0</v>
      </c>
      <c r="AO73" s="71">
        <f t="shared" si="177"/>
        <v>0</v>
      </c>
      <c r="AP73" s="69">
        <f t="shared" si="14"/>
        <v>0</v>
      </c>
      <c r="AQ73" s="80">
        <f t="shared" ref="AQ73:AR76" si="178">IF(F73&lt;&gt;0,AF73/F73,0)</f>
        <v>0</v>
      </c>
      <c r="AR73" s="89">
        <f t="shared" si="178"/>
        <v>0</v>
      </c>
      <c r="AS73" s="69">
        <f t="shared" si="155"/>
        <v>0</v>
      </c>
      <c r="AT73" s="157">
        <f>IFERROR(VLOOKUP(FiscalYr &amp; $B73&amp;AT$4,tblForecast,AT$2,FALSE),0)</f>
        <v>0</v>
      </c>
      <c r="AU73" s="71">
        <f t="shared" si="103"/>
        <v>0</v>
      </c>
      <c r="AV73" s="69">
        <f t="shared" si="17"/>
        <v>0</v>
      </c>
      <c r="AW73" s="82"/>
      <c r="AX73" s="83"/>
      <c r="AY73" s="69">
        <f t="shared" si="18"/>
        <v>0</v>
      </c>
      <c r="AZ73" s="84"/>
      <c r="BA73" s="85"/>
      <c r="BB73" s="69">
        <f t="shared" si="19"/>
        <v>0</v>
      </c>
      <c r="BC73" s="157">
        <f>IFERROR(VLOOKUP(FiscalYr &amp; $B73&amp;BC$4,tblForecast,BC$2,FALSE),0)</f>
        <v>0</v>
      </c>
      <c r="BD73" s="71">
        <f t="shared" si="104"/>
        <v>0</v>
      </c>
      <c r="BE73" s="69">
        <f t="shared" si="21"/>
        <v>0</v>
      </c>
      <c r="BF73" s="90">
        <f>IFERROR(VLOOKUP(FiscalYr &amp; $B73&amp;BF$4,tblForecast,BF$2,FALSE),0)</f>
        <v>0</v>
      </c>
      <c r="BG73" s="85">
        <f t="shared" ref="BG73:BG76" si="179">IFERROR(VLOOKUP(FiscalYr-1 &amp; $B73&amp; FCLY,tblForecast,BF$2,FALSE),0)</f>
        <v>0</v>
      </c>
      <c r="BH73" s="69">
        <f t="shared" si="23"/>
        <v>0</v>
      </c>
      <c r="BI73" s="85">
        <f t="shared" si="137"/>
        <v>0</v>
      </c>
      <c r="BJ73" s="86">
        <f t="shared" si="137"/>
        <v>0</v>
      </c>
      <c r="BK73" s="75">
        <f t="shared" si="25"/>
        <v>0</v>
      </c>
      <c r="BL73" s="283">
        <f>IFERROR(VLOOKUP(Brand&amp;Channel&amp;Country&amp;$B73,tblDiscount,6,FALSE),0)</f>
        <v>0.8</v>
      </c>
      <c r="BM73" s="249">
        <f>(1-BL73)*BN73</f>
        <v>0</v>
      </c>
      <c r="BN73" s="249">
        <f>IFERROR(VLOOKUP(Brand&amp;Country &amp; Channel &amp;FC,tblFCSettings,8,FALSE),0)</f>
        <v>0</v>
      </c>
      <c r="BO73" s="284">
        <f>IFERROR(VLOOKUP(Brand&amp;Country &amp; Channel &amp;FC,tblFCSettings,9,FALSE),0)</f>
        <v>0</v>
      </c>
    </row>
    <row r="74" spans="1:67" x14ac:dyDescent="0.25">
      <c r="A74"/>
      <c r="B74" s="185">
        <v>50</v>
      </c>
      <c r="C74" s="87">
        <f t="shared" si="171"/>
        <v>0</v>
      </c>
      <c r="D74" s="68">
        <f t="shared" si="171"/>
        <v>0</v>
      </c>
      <c r="E74" s="69">
        <f t="shared" si="0"/>
        <v>0</v>
      </c>
      <c r="F74" s="157">
        <f>IF(NewPlan=TRUE,IF(AF73-(G74*J74)&lt;0,AF73,G74*J74),IFERROR(VLOOKUP(FiscalYr &amp; $B74&amp;F$4,tblForecast,F$2,FALSE),0))</f>
        <v>0</v>
      </c>
      <c r="G74" s="189">
        <f>IFERROR(VLOOKUP(FiscalYr-IF(CompareVer="LY",1,0) &amp; $B74 + IF(FiscalYr=2018,1,0)&amp;G$4,tblForecast,G$2,FALSE),0)</f>
        <v>0</v>
      </c>
      <c r="H74" s="69">
        <f t="shared" si="1"/>
        <v>0</v>
      </c>
      <c r="I74" s="177">
        <f t="shared" ref="I74:J76" si="180">IFERROR(IF(F73&lt;&gt;0,F74/F73,0),0)</f>
        <v>0</v>
      </c>
      <c r="J74" s="177">
        <f t="shared" si="180"/>
        <v>0</v>
      </c>
      <c r="K74" s="87">
        <f t="shared" si="172"/>
        <v>0</v>
      </c>
      <c r="L74" s="68">
        <f t="shared" si="173"/>
        <v>0</v>
      </c>
      <c r="M74" s="72">
        <f t="shared" si="2"/>
        <v>0</v>
      </c>
      <c r="N74" s="162">
        <f t="shared" si="174"/>
        <v>0</v>
      </c>
      <c r="O74" s="163">
        <f t="shared" si="174"/>
        <v>0</v>
      </c>
      <c r="P74" s="69">
        <f t="shared" si="152"/>
        <v>0</v>
      </c>
      <c r="Q74" s="158">
        <f>IF(NewPlan=TRUE,IF(BM74=0,R74,BM74),IFERROR(VLOOKUP(FiscalYr&amp;$B74&amp;Q$4,tblForecast,Q$2,FALSE),0))</f>
        <v>0</v>
      </c>
      <c r="R74" s="73">
        <f>IFERROR(VLOOKUP(FiscalYr-IF(CompareVer="LY",1,0) &amp; $B74 + IF(FiscalYr=2018,1,0)&amp;R$4,tblForecast,R$2,FALSE),0)</f>
        <v>0</v>
      </c>
      <c r="S74" s="69">
        <f t="shared" si="4"/>
        <v>0</v>
      </c>
      <c r="T74" s="158">
        <f>IF(NewPlan=TRUE,IF(BO74=0,U74,BO74),IFERROR(VLOOKUP(FiscalYr &amp; $B74&amp;T$4,tblForecast,T$2,FALSE),0))</f>
        <v>0</v>
      </c>
      <c r="U74" s="73">
        <f>IFERROR(VLOOKUP(FiscalYr-IF(CompareVer="LY",1,0) &amp; $B74 + IF(FiscalYr=2018,1,0)&amp;U$4,tblForecast,U$2,FALSE),0)</f>
        <v>0</v>
      </c>
      <c r="V74" s="69">
        <f t="shared" si="5"/>
        <v>0</v>
      </c>
      <c r="W74" s="158">
        <f>IF(NewPlan=TRUE,IF(BN74=0,X74,BN74),IFERROR(VLOOKUP(FiscalYr &amp; $B74&amp;W$4,tblForecast,W$2,FALSE),0))</f>
        <v>0</v>
      </c>
      <c r="X74" s="73">
        <f>IFERROR(VLOOKUP(FiscalYr-IF(CompareVer="LY",1,0) &amp; $B74 + IF(FiscalYr=2018,1,0)&amp;X$4,tblForecast,X$2,FALSE),0)</f>
        <v>0</v>
      </c>
      <c r="Y74" s="69">
        <f t="shared" si="6"/>
        <v>0</v>
      </c>
      <c r="Z74" s="74">
        <f t="shared" si="140"/>
        <v>0</v>
      </c>
      <c r="AA74" s="75">
        <f t="shared" si="138"/>
        <v>0</v>
      </c>
      <c r="AB74" s="69">
        <f t="shared" si="153"/>
        <v>0</v>
      </c>
      <c r="AC74" s="88">
        <f t="shared" si="94"/>
        <v>0</v>
      </c>
      <c r="AD74" s="77">
        <f t="shared" si="94"/>
        <v>0</v>
      </c>
      <c r="AE74" s="78">
        <f t="shared" si="31"/>
        <v>0</v>
      </c>
      <c r="AF74" s="238">
        <f t="shared" si="175"/>
        <v>0</v>
      </c>
      <c r="AG74" s="71">
        <f>IFERROR(VLOOKUP(FiscalYr-IF(CompareVer="LY",1,0) &amp; $B74 + IF(FiscalYr=2018,1,0)&amp;AG$4,tblForecast,AG$2,FALSE),0)</f>
        <v>0</v>
      </c>
      <c r="AH74" s="69">
        <f t="shared" si="10"/>
        <v>0</v>
      </c>
      <c r="AI74" s="157">
        <f t="shared" si="176"/>
        <v>0</v>
      </c>
      <c r="AJ74" s="71">
        <f t="shared" si="176"/>
        <v>0</v>
      </c>
      <c r="AK74" s="71">
        <f>IF($A74="a",IFERROR(VLOOKUP(FiscalYr &amp; $B74&amp;AK$4,tblForecast,AK$2,FALSE),0),AI74+AJ74)</f>
        <v>0</v>
      </c>
      <c r="AL74" s="71">
        <f>IFERROR(VLOOKUP(FiscalYr-IF(CompareVer="LY",1,0) &amp; $B74 + IF(FiscalYr=2018,1,0)&amp;AL$4,tblForecast,AL$2,FALSE),0)</f>
        <v>0</v>
      </c>
      <c r="AM74" s="69">
        <f t="shared" si="12"/>
        <v>0</v>
      </c>
      <c r="AN74" s="157">
        <f t="shared" si="177"/>
        <v>0</v>
      </c>
      <c r="AO74" s="71">
        <f t="shared" si="177"/>
        <v>0</v>
      </c>
      <c r="AP74" s="69">
        <f t="shared" si="14"/>
        <v>0</v>
      </c>
      <c r="AQ74" s="80">
        <f t="shared" si="178"/>
        <v>0</v>
      </c>
      <c r="AR74" s="89">
        <f t="shared" si="178"/>
        <v>0</v>
      </c>
      <c r="AS74" s="69">
        <f t="shared" si="155"/>
        <v>0</v>
      </c>
      <c r="AT74" s="157">
        <f>IFERROR(VLOOKUP(FiscalYr &amp; $B74&amp;AT$4,tblForecast,AT$2,FALSE),0)</f>
        <v>0</v>
      </c>
      <c r="AU74" s="71">
        <f t="shared" si="103"/>
        <v>0</v>
      </c>
      <c r="AV74" s="69">
        <f t="shared" si="17"/>
        <v>0</v>
      </c>
      <c r="AW74" s="82"/>
      <c r="AX74" s="83"/>
      <c r="AY74" s="69">
        <f t="shared" si="18"/>
        <v>0</v>
      </c>
      <c r="AZ74" s="84"/>
      <c r="BA74" s="85"/>
      <c r="BB74" s="69">
        <f t="shared" si="19"/>
        <v>0</v>
      </c>
      <c r="BC74" s="157">
        <f>IFERROR(VLOOKUP(FiscalYr &amp; $B74&amp;BC$4,tblForecast,BC$2,FALSE),0)</f>
        <v>0</v>
      </c>
      <c r="BD74" s="71">
        <f t="shared" si="104"/>
        <v>0</v>
      </c>
      <c r="BE74" s="69">
        <f t="shared" si="21"/>
        <v>0</v>
      </c>
      <c r="BF74" s="90">
        <f>IFERROR(VLOOKUP(FiscalYr &amp; $B74&amp;BF$4,tblForecast,BF$2,FALSE),0)</f>
        <v>0</v>
      </c>
      <c r="BG74" s="85">
        <f t="shared" si="179"/>
        <v>0</v>
      </c>
      <c r="BH74" s="69">
        <f t="shared" si="23"/>
        <v>0</v>
      </c>
      <c r="BI74" s="85">
        <f t="shared" si="137"/>
        <v>0</v>
      </c>
      <c r="BJ74" s="86">
        <f t="shared" si="137"/>
        <v>0</v>
      </c>
      <c r="BK74" s="75">
        <f t="shared" si="25"/>
        <v>0</v>
      </c>
      <c r="BL74" s="283">
        <f>IFERROR(VLOOKUP(Brand&amp;Channel&amp;Country&amp;$B74,tblDiscount,6,FALSE),0)</f>
        <v>0.8</v>
      </c>
      <c r="BM74" s="249">
        <f t="shared" ref="BM74:BM76" si="181">(1-BL74)*BN74</f>
        <v>0</v>
      </c>
      <c r="BN74" s="249">
        <f>IFERROR(VLOOKUP(Brand&amp;Country &amp; Channel &amp;FC,tblFCSettings,8,FALSE),0)</f>
        <v>0</v>
      </c>
      <c r="BO74" s="284">
        <f>IFERROR(VLOOKUP(Brand&amp;Country &amp; Channel &amp;FC,tblFCSettings,9,FALSE),0)</f>
        <v>0</v>
      </c>
    </row>
    <row r="75" spans="1:67" x14ac:dyDescent="0.25">
      <c r="A75"/>
      <c r="B75" s="185">
        <v>51</v>
      </c>
      <c r="C75" s="87">
        <f t="shared" si="171"/>
        <v>0</v>
      </c>
      <c r="D75" s="68">
        <f t="shared" si="171"/>
        <v>0</v>
      </c>
      <c r="E75" s="69">
        <f t="shared" ref="E75:E79" si="182">IFERROR(C75/D75-1,)</f>
        <v>0</v>
      </c>
      <c r="F75" s="157">
        <f>IF(NewPlan=TRUE,IF(AF74-(G75*J75)&lt;0,AF74,G75*J75),IFERROR(VLOOKUP(FiscalYr &amp; $B75&amp;F$4,tblForecast,F$2,FALSE),0))</f>
        <v>0</v>
      </c>
      <c r="G75" s="189">
        <f>IFERROR(VLOOKUP(FiscalYr-IF(CompareVer="LY",1,0) &amp; $B75 + IF(FiscalYr=2018,1,0)&amp;G$4,tblForecast,G$2,FALSE),0)</f>
        <v>0</v>
      </c>
      <c r="H75" s="69">
        <f t="shared" ref="H75:H79" si="183">IFERROR(F75/G75-1,)</f>
        <v>0</v>
      </c>
      <c r="I75" s="177">
        <f t="shared" si="180"/>
        <v>0</v>
      </c>
      <c r="J75" s="177">
        <f t="shared" si="180"/>
        <v>0</v>
      </c>
      <c r="K75" s="87">
        <f t="shared" si="172"/>
        <v>0</v>
      </c>
      <c r="L75" s="68">
        <f t="shared" si="173"/>
        <v>0</v>
      </c>
      <c r="M75" s="72">
        <f t="shared" ref="M75:M79" si="184">IFERROR(K75/L75-1,)</f>
        <v>0</v>
      </c>
      <c r="N75" s="162">
        <f t="shared" si="174"/>
        <v>0</v>
      </c>
      <c r="O75" s="163">
        <f t="shared" si="174"/>
        <v>0</v>
      </c>
      <c r="P75" s="69">
        <f t="shared" si="152"/>
        <v>0</v>
      </c>
      <c r="Q75" s="158">
        <f>IF(NewPlan=TRUE,IF(BM75=0,R75,BM75),IFERROR(VLOOKUP(FiscalYr&amp;$B75&amp;Q$4,tblForecast,Q$2,FALSE),0))</f>
        <v>0</v>
      </c>
      <c r="R75" s="73">
        <f>IFERROR(VLOOKUP(FiscalYr-IF(CompareVer="LY",1,0) &amp; $B75 + IF(FiscalYr=2018,1,0)&amp;R$4,tblForecast,R$2,FALSE),0)</f>
        <v>0</v>
      </c>
      <c r="S75" s="69">
        <f t="shared" ref="S75:S79" si="185">IFERROR(Q75/R75-1,)</f>
        <v>0</v>
      </c>
      <c r="T75" s="158">
        <f>IF(NewPlan=TRUE,IF(BO75=0,U75,BO75),IFERROR(VLOOKUP(FiscalYr &amp; $B75&amp;T$4,tblForecast,T$2,FALSE),0))</f>
        <v>0</v>
      </c>
      <c r="U75" s="73">
        <f>IFERROR(VLOOKUP(FiscalYr-IF(CompareVer="LY",1,0) &amp; $B75 + IF(FiscalYr=2018,1,0)&amp;U$4,tblForecast,U$2,FALSE),0)</f>
        <v>0</v>
      </c>
      <c r="V75" s="69">
        <f t="shared" ref="V75:V79" si="186">IFERROR(T75/U75-1,)</f>
        <v>0</v>
      </c>
      <c r="W75" s="158">
        <f>IF(NewPlan=TRUE,IF(BN75=0,X75,BN75),IFERROR(VLOOKUP(FiscalYr &amp; $B75&amp;W$4,tblForecast,W$2,FALSE),0))</f>
        <v>0</v>
      </c>
      <c r="X75" s="73">
        <f>IFERROR(VLOOKUP(FiscalYr-IF(CompareVer="LY",1,0) &amp; $B75 + IF(FiscalYr=2018,1,0)&amp;X$4,tblForecast,X$2,FALSE),0)</f>
        <v>0</v>
      </c>
      <c r="Y75" s="69">
        <f t="shared" ref="Y75:Y79" si="187">IFERROR(W75/X75-1,)</f>
        <v>0</v>
      </c>
      <c r="Z75" s="74">
        <f t="shared" si="140"/>
        <v>0</v>
      </c>
      <c r="AA75" s="75">
        <f t="shared" si="138"/>
        <v>0</v>
      </c>
      <c r="AB75" s="69">
        <f t="shared" si="153"/>
        <v>0</v>
      </c>
      <c r="AC75" s="88">
        <f t="shared" ref="AC75:AD79" si="188">IF(AF75&lt;&gt;0,F75/AF75,0)</f>
        <v>0</v>
      </c>
      <c r="AD75" s="77">
        <f t="shared" si="188"/>
        <v>0</v>
      </c>
      <c r="AE75" s="78">
        <f t="shared" si="31"/>
        <v>0</v>
      </c>
      <c r="AF75" s="238">
        <f t="shared" si="175"/>
        <v>0</v>
      </c>
      <c r="AG75" s="71">
        <f>IFERROR(VLOOKUP(FiscalYr-IF(CompareVer="LY",1,0) &amp; $B75 + IF(FiscalYr=2018,1,0)&amp;AG$4,tblForecast,AG$2,FALSE),0)</f>
        <v>0</v>
      </c>
      <c r="AH75" s="69">
        <f t="shared" ref="AH75:AH79" si="189">IFERROR(AF75/AG75-1,)</f>
        <v>0</v>
      </c>
      <c r="AI75" s="157">
        <f t="shared" si="176"/>
        <v>0</v>
      </c>
      <c r="AJ75" s="71">
        <f t="shared" si="176"/>
        <v>0</v>
      </c>
      <c r="AK75" s="71">
        <f>IF($A75="a",IFERROR(VLOOKUP(FiscalYr &amp; $B75&amp;AK$4,tblForecast,AK$2,FALSE),0),AI75+AJ75)</f>
        <v>0</v>
      </c>
      <c r="AL75" s="71">
        <f>IFERROR(VLOOKUP(FiscalYr-IF(CompareVer="LY",1,0) &amp; $B75 + IF(FiscalYr=2018,1,0)&amp;AL$4,tblForecast,AL$2,FALSE),0)</f>
        <v>0</v>
      </c>
      <c r="AM75" s="69">
        <f t="shared" ref="AM75:AM79" si="190">IFERROR(AK75/AL75-1,)</f>
        <v>0</v>
      </c>
      <c r="AN75" s="157">
        <f t="shared" si="177"/>
        <v>0</v>
      </c>
      <c r="AO75" s="71">
        <f t="shared" si="177"/>
        <v>0</v>
      </c>
      <c r="AP75" s="69">
        <f t="shared" ref="AP75:AP79" si="191">IFERROR(AN75/AO75-1,)</f>
        <v>0</v>
      </c>
      <c r="AQ75" s="80">
        <f t="shared" si="178"/>
        <v>0</v>
      </c>
      <c r="AR75" s="89">
        <f t="shared" si="178"/>
        <v>0</v>
      </c>
      <c r="AS75" s="69">
        <f t="shared" si="155"/>
        <v>0</v>
      </c>
      <c r="AT75" s="157">
        <f>IFERROR(VLOOKUP(FiscalYr &amp; $B75&amp;AT$4,tblForecast,AT$2,FALSE),0)</f>
        <v>0</v>
      </c>
      <c r="AU75" s="71">
        <f t="shared" si="103"/>
        <v>0</v>
      </c>
      <c r="AV75" s="69">
        <f t="shared" ref="AV75:AV79" si="192">IFERROR(AT75/AU75-1,)</f>
        <v>0</v>
      </c>
      <c r="AW75" s="82"/>
      <c r="AX75" s="83"/>
      <c r="AY75" s="69">
        <f t="shared" ref="AY75:AY79" si="193">IFERROR(AW75/AX75-1,)</f>
        <v>0</v>
      </c>
      <c r="AZ75" s="84"/>
      <c r="BA75" s="85"/>
      <c r="BB75" s="69">
        <f t="shared" ref="BB75:BB79" si="194">IFERROR(AZ75/BA75-1,)</f>
        <v>0</v>
      </c>
      <c r="BC75" s="157">
        <f>IFERROR(VLOOKUP(FiscalYr &amp; $B75&amp;BC$4,tblForecast,BC$2,FALSE),0)</f>
        <v>0</v>
      </c>
      <c r="BD75" s="71">
        <f t="shared" si="104"/>
        <v>0</v>
      </c>
      <c r="BE75" s="69">
        <f t="shared" ref="BE75:BE79" si="195">IFERROR(BC75/BD75-1,)</f>
        <v>0</v>
      </c>
      <c r="BF75" s="90">
        <f>IFERROR(VLOOKUP(FiscalYr &amp; $B75&amp;BF$4,tblForecast,BF$2,FALSE),0)</f>
        <v>0</v>
      </c>
      <c r="BG75" s="85">
        <f t="shared" si="179"/>
        <v>0</v>
      </c>
      <c r="BH75" s="69">
        <f t="shared" ref="BH75:BH79" si="196">IFERROR(BF75/BG75-1,)</f>
        <v>0</v>
      </c>
      <c r="BI75" s="85">
        <f t="shared" si="137"/>
        <v>0</v>
      </c>
      <c r="BJ75" s="86">
        <f t="shared" si="137"/>
        <v>0</v>
      </c>
      <c r="BK75" s="75">
        <f t="shared" ref="BK75:BK79" si="197">IFERROR(BI75/BJ75-1,)</f>
        <v>0</v>
      </c>
      <c r="BL75" s="283">
        <f>IFERROR(VLOOKUP(Brand&amp;Channel&amp;Country&amp;$B75,tblDiscount,6,FALSE),0)</f>
        <v>0.8</v>
      </c>
      <c r="BM75" s="249">
        <f t="shared" si="181"/>
        <v>0</v>
      </c>
      <c r="BN75" s="249">
        <f>IFERROR(VLOOKUP(Brand&amp;Country &amp; Channel &amp;FC,tblFCSettings,8,FALSE),0)</f>
        <v>0</v>
      </c>
      <c r="BO75" s="284">
        <f>IFERROR(VLOOKUP(Brand&amp;Country &amp; Channel &amp;FC,tblFCSettings,9,FALSE),0)</f>
        <v>0</v>
      </c>
    </row>
    <row r="76" spans="1:67" ht="16.5" thickBot="1" x14ac:dyDescent="0.3">
      <c r="A76"/>
      <c r="B76" s="185">
        <v>52</v>
      </c>
      <c r="C76" s="87">
        <f t="shared" si="171"/>
        <v>0</v>
      </c>
      <c r="D76" s="68">
        <f t="shared" si="171"/>
        <v>0</v>
      </c>
      <c r="E76" s="69">
        <f t="shared" si="182"/>
        <v>0</v>
      </c>
      <c r="F76" s="157">
        <f>IF(NewPlan=TRUE,IF(AF75-(G76*J76)&lt;0,AF75,G76*J76),IFERROR(VLOOKUP(FiscalYr &amp; $B76&amp;F$4,tblForecast,F$2,FALSE),0))</f>
        <v>0</v>
      </c>
      <c r="G76" s="189">
        <f>IFERROR(VLOOKUP(FiscalYr-IF(CompareVer="LY",1,0) &amp; $B76 + IF(FiscalYr=2018,1,0)&amp;G$4,tblForecast,G$2,FALSE),0)</f>
        <v>0</v>
      </c>
      <c r="H76" s="69">
        <f t="shared" si="183"/>
        <v>0</v>
      </c>
      <c r="I76" s="177">
        <f t="shared" si="180"/>
        <v>0</v>
      </c>
      <c r="J76" s="177">
        <f t="shared" si="180"/>
        <v>0</v>
      </c>
      <c r="K76" s="87">
        <f t="shared" si="172"/>
        <v>0</v>
      </c>
      <c r="L76" s="68">
        <f t="shared" si="173"/>
        <v>0</v>
      </c>
      <c r="M76" s="72">
        <f t="shared" si="184"/>
        <v>0</v>
      </c>
      <c r="N76" s="162">
        <f t="shared" si="174"/>
        <v>0</v>
      </c>
      <c r="O76" s="163">
        <f t="shared" si="174"/>
        <v>0</v>
      </c>
      <c r="P76" s="69">
        <f t="shared" si="152"/>
        <v>0</v>
      </c>
      <c r="Q76" s="158">
        <f>IF(NewPlan=TRUE,IF(BM76=0,R76,BM76),IFERROR(VLOOKUP(FiscalYr&amp;$B76&amp;Q$4,tblForecast,Q$2,FALSE),0))</f>
        <v>0</v>
      </c>
      <c r="R76" s="73">
        <f>IFERROR(VLOOKUP(FiscalYr-IF(CompareVer="LY",1,0) &amp; $B76 + IF(FiscalYr=2018,1,0)&amp;R$4,tblForecast,R$2,FALSE),0)</f>
        <v>0</v>
      </c>
      <c r="S76" s="69">
        <f t="shared" si="185"/>
        <v>0</v>
      </c>
      <c r="T76" s="158">
        <f>IF(NewPlan=TRUE,IF(BO76=0,U76,BO76),IFERROR(VLOOKUP(FiscalYr &amp; $B76&amp;T$4,tblForecast,T$2,FALSE),0))</f>
        <v>0</v>
      </c>
      <c r="U76" s="73">
        <f>IFERROR(VLOOKUP(FiscalYr-IF(CompareVer="LY",1,0) &amp; $B76 + IF(FiscalYr=2018,1,0)&amp;U$4,tblForecast,U$2,FALSE),0)</f>
        <v>0</v>
      </c>
      <c r="V76" s="69">
        <f t="shared" si="186"/>
        <v>0</v>
      </c>
      <c r="W76" s="158">
        <f>IF(NewPlan=TRUE,IF(BN76=0,X76,BN76),IFERROR(VLOOKUP(FiscalYr &amp; $B76&amp;W$4,tblForecast,W$2,FALSE),0))</f>
        <v>0</v>
      </c>
      <c r="X76" s="73">
        <f>IFERROR(VLOOKUP(FiscalYr-IF(CompareVer="LY",1,0) &amp; $B76 + IF(FiscalYr=2018,1,0)&amp;X$4,tblForecast,X$2,FALSE),0)</f>
        <v>0</v>
      </c>
      <c r="Y76" s="69">
        <f t="shared" si="187"/>
        <v>0</v>
      </c>
      <c r="Z76" s="74">
        <f t="shared" si="140"/>
        <v>0</v>
      </c>
      <c r="AA76" s="75">
        <f t="shared" si="138"/>
        <v>0</v>
      </c>
      <c r="AB76" s="69">
        <f t="shared" si="153"/>
        <v>0</v>
      </c>
      <c r="AC76" s="88">
        <f t="shared" si="188"/>
        <v>0</v>
      </c>
      <c r="AD76" s="77">
        <f t="shared" si="188"/>
        <v>0</v>
      </c>
      <c r="AE76" s="78">
        <f t="shared" ref="AE76:AE79" si="198">AC76-AD76</f>
        <v>0</v>
      </c>
      <c r="AF76" s="238">
        <f t="shared" si="175"/>
        <v>0</v>
      </c>
      <c r="AG76" s="71">
        <f>IFERROR(VLOOKUP(FiscalYr-IF(CompareVer="LY",1,0) &amp; $B76 + IF(FiscalYr=2018,1,0)&amp;AG$4,tblForecast,AG$2,FALSE),0)</f>
        <v>0</v>
      </c>
      <c r="AH76" s="69">
        <f t="shared" si="189"/>
        <v>0</v>
      </c>
      <c r="AI76" s="157">
        <f t="shared" si="176"/>
        <v>0</v>
      </c>
      <c r="AJ76" s="71">
        <f t="shared" si="176"/>
        <v>0</v>
      </c>
      <c r="AK76" s="71">
        <f>IF($A76="a",IFERROR(VLOOKUP(FiscalYr &amp; $B76&amp;AK$4,tblForecast,AK$2,FALSE),0),AI76+AJ76)</f>
        <v>0</v>
      </c>
      <c r="AL76" s="71">
        <f>IFERROR(VLOOKUP(FiscalYr-IF(CompareVer="LY",1,0) &amp; $B76 + IF(FiscalYr=2018,1,0)&amp;AL$4,tblForecast,AL$2,FALSE),0)</f>
        <v>0</v>
      </c>
      <c r="AM76" s="69">
        <f t="shared" si="190"/>
        <v>0</v>
      </c>
      <c r="AN76" s="157">
        <f t="shared" si="177"/>
        <v>0</v>
      </c>
      <c r="AO76" s="71">
        <f t="shared" si="177"/>
        <v>0</v>
      </c>
      <c r="AP76" s="69">
        <f t="shared" si="191"/>
        <v>0</v>
      </c>
      <c r="AQ76" s="80">
        <f t="shared" si="178"/>
        <v>0</v>
      </c>
      <c r="AR76" s="89">
        <f t="shared" si="178"/>
        <v>0</v>
      </c>
      <c r="AS76" s="69">
        <f t="shared" si="155"/>
        <v>0</v>
      </c>
      <c r="AT76" s="157">
        <f>IFERROR(VLOOKUP(FiscalYr &amp; $B76&amp;AT$4,tblForecast,AT$2,FALSE),0)</f>
        <v>0</v>
      </c>
      <c r="AU76" s="71">
        <f t="shared" si="103"/>
        <v>0</v>
      </c>
      <c r="AV76" s="69">
        <f t="shared" si="192"/>
        <v>0</v>
      </c>
      <c r="AW76" s="82"/>
      <c r="AX76" s="83"/>
      <c r="AY76" s="69">
        <f t="shared" si="193"/>
        <v>0</v>
      </c>
      <c r="AZ76" s="84"/>
      <c r="BA76" s="85"/>
      <c r="BB76" s="69">
        <f t="shared" si="194"/>
        <v>0</v>
      </c>
      <c r="BC76" s="157">
        <f>IFERROR(VLOOKUP(FiscalYr &amp; $B76&amp;BC$4,tblForecast,BC$2,FALSE),0)</f>
        <v>0</v>
      </c>
      <c r="BD76" s="71">
        <f t="shared" si="104"/>
        <v>0</v>
      </c>
      <c r="BE76" s="69">
        <f t="shared" si="195"/>
        <v>0</v>
      </c>
      <c r="BF76" s="90">
        <f>IFERROR(VLOOKUP(FiscalYr &amp; $B76&amp;BF$4,tblForecast,BF$2,FALSE),0)</f>
        <v>0</v>
      </c>
      <c r="BG76" s="85">
        <f t="shared" si="179"/>
        <v>0</v>
      </c>
      <c r="BH76" s="69">
        <f t="shared" si="196"/>
        <v>0</v>
      </c>
      <c r="BI76" s="85">
        <f t="shared" si="137"/>
        <v>0</v>
      </c>
      <c r="BJ76" s="86">
        <f t="shared" si="137"/>
        <v>0</v>
      </c>
      <c r="BK76" s="75">
        <f t="shared" si="197"/>
        <v>0</v>
      </c>
      <c r="BL76" s="283">
        <f>IFERROR(VLOOKUP(Brand&amp;Channel&amp;Country&amp;$B76,tblDiscount,6,FALSE),0)</f>
        <v>0.8</v>
      </c>
      <c r="BM76" s="249">
        <f t="shared" si="181"/>
        <v>0</v>
      </c>
      <c r="BN76" s="249">
        <f>IFERROR(VLOOKUP(Brand&amp;Country &amp; Channel &amp;FC,tblFCSettings,8,FALSE),0)</f>
        <v>0</v>
      </c>
      <c r="BO76" s="284">
        <f>IFERROR(VLOOKUP(Brand&amp;Country &amp; Channel &amp;FC,tblFCSettings,9,FALSE),0)</f>
        <v>0</v>
      </c>
    </row>
    <row r="77" spans="1:67" ht="16.5" thickBot="1" x14ac:dyDescent="0.3">
      <c r="A77"/>
      <c r="B77" s="6" t="s">
        <v>347</v>
      </c>
      <c r="C77" s="92">
        <f>SUM(C73:C76)</f>
        <v>0</v>
      </c>
      <c r="D77" s="93">
        <f>SUM(D73:D76)</f>
        <v>0</v>
      </c>
      <c r="E77" s="94">
        <f t="shared" si="182"/>
        <v>0</v>
      </c>
      <c r="F77" s="95">
        <f>SUM(F73:F76)</f>
        <v>0</v>
      </c>
      <c r="G77" s="96">
        <f>SUM(G73:G76)</f>
        <v>0</v>
      </c>
      <c r="H77" s="94">
        <f t="shared" si="183"/>
        <v>0</v>
      </c>
      <c r="I77" s="178">
        <f>IF(F61&lt;&gt;0,F77/F61,0)</f>
        <v>0</v>
      </c>
      <c r="J77" s="178">
        <f>IF(G61&lt;&gt;0,G77/G61,0)</f>
        <v>0</v>
      </c>
      <c r="K77" s="92">
        <f>SUM(K73:K76)</f>
        <v>0</v>
      </c>
      <c r="L77" s="93">
        <f>SUM(L73:L76)</f>
        <v>0</v>
      </c>
      <c r="M77" s="97">
        <f t="shared" si="184"/>
        <v>0</v>
      </c>
      <c r="N77" s="164">
        <f t="shared" ref="N77:O79" si="199">IFERROR(K77/C77,0)</f>
        <v>0</v>
      </c>
      <c r="O77" s="165">
        <f t="shared" si="199"/>
        <v>0</v>
      </c>
      <c r="P77" s="94">
        <f t="shared" si="152"/>
        <v>0</v>
      </c>
      <c r="Q77" s="98">
        <f t="shared" ref="Q77:R79" si="200">IFERROR(C77/F77,0)</f>
        <v>0</v>
      </c>
      <c r="R77" s="99">
        <f t="shared" si="200"/>
        <v>0</v>
      </c>
      <c r="S77" s="94">
        <f t="shared" si="185"/>
        <v>0</v>
      </c>
      <c r="T77" s="98">
        <f>IFERROR((C77*(1-N77))/F77,0)</f>
        <v>0</v>
      </c>
      <c r="U77" s="99">
        <f>IFERROR((D77*(1-O77))/G77,0)</f>
        <v>0</v>
      </c>
      <c r="V77" s="94">
        <f t="shared" si="186"/>
        <v>0</v>
      </c>
      <c r="W77" s="98">
        <f>IFERROR(SUMPRODUCT(W73:W76,F73:F76)/F77,0)</f>
        <v>0</v>
      </c>
      <c r="X77" s="99">
        <f>IFERROR(SUMPRODUCT(X73:X76,G73:G76)/G77,0)</f>
        <v>0</v>
      </c>
      <c r="Y77" s="94">
        <f t="shared" si="187"/>
        <v>0</v>
      </c>
      <c r="Z77" s="100">
        <f t="shared" si="140"/>
        <v>0</v>
      </c>
      <c r="AA77" s="101">
        <f t="shared" si="138"/>
        <v>0</v>
      </c>
      <c r="AB77" s="94">
        <f t="shared" si="153"/>
        <v>0</v>
      </c>
      <c r="AC77" s="102" t="e">
        <f t="shared" si="188"/>
        <v>#REF!</v>
      </c>
      <c r="AD77" s="103" t="e">
        <f t="shared" si="188"/>
        <v>#REF!</v>
      </c>
      <c r="AE77" s="104" t="e">
        <f t="shared" si="198"/>
        <v>#REF!</v>
      </c>
      <c r="AF77" s="95" t="e">
        <f>#REF!</f>
        <v>#REF!</v>
      </c>
      <c r="AG77" s="96" t="e">
        <f>#REF!</f>
        <v>#REF!</v>
      </c>
      <c r="AH77" s="94">
        <f t="shared" si="189"/>
        <v>0</v>
      </c>
      <c r="AI77" s="95">
        <f>SUM(AI74:AI76)</f>
        <v>0</v>
      </c>
      <c r="AJ77" s="96">
        <f>SUM(AJ74:AJ76)</f>
        <v>0</v>
      </c>
      <c r="AK77" s="96">
        <f>SUM(AK73:AK76)</f>
        <v>0</v>
      </c>
      <c r="AL77" s="96">
        <f>SUM(AL73:AL76)</f>
        <v>0</v>
      </c>
      <c r="AM77" s="94">
        <f t="shared" si="190"/>
        <v>0</v>
      </c>
      <c r="AN77" s="95">
        <f>SUM(AN73:AN76)</f>
        <v>0</v>
      </c>
      <c r="AO77" s="96">
        <f t="shared" ref="AO77" si="201">IFERROR(VLOOKUP(FiscalYr-1 &amp; $B77&amp; FCLY,tblForecast,AN$2,FALSE),0)</f>
        <v>0</v>
      </c>
      <c r="AP77" s="94">
        <f t="shared" si="191"/>
        <v>0</v>
      </c>
      <c r="AQ77" s="105">
        <f>IF(F77&lt;&gt;0,(AF77*COUNT(AQ73:AQ76)/F77),0)</f>
        <v>0</v>
      </c>
      <c r="AR77" s="106">
        <f>IF(G77&lt;&gt;0,(AG77*COUNT(AR73:AR76)/G77),0)</f>
        <v>0</v>
      </c>
      <c r="AS77" s="94">
        <f t="shared" si="155"/>
        <v>0</v>
      </c>
      <c r="AT77" s="95">
        <f>SUM(AT73:AT76)</f>
        <v>0</v>
      </c>
      <c r="AU77" s="96">
        <f t="shared" si="103"/>
        <v>0</v>
      </c>
      <c r="AV77" s="94">
        <f t="shared" si="192"/>
        <v>0</v>
      </c>
      <c r="AW77" s="107"/>
      <c r="AX77" s="108"/>
      <c r="AY77" s="94">
        <f t="shared" si="193"/>
        <v>0</v>
      </c>
      <c r="AZ77" s="134"/>
      <c r="BA77" s="111"/>
      <c r="BB77" s="94">
        <f t="shared" si="194"/>
        <v>0</v>
      </c>
      <c r="BC77" s="95">
        <f>SUM(BC73:BC76)</f>
        <v>0</v>
      </c>
      <c r="BD77" s="96">
        <f t="shared" si="104"/>
        <v>0</v>
      </c>
      <c r="BE77" s="94">
        <f t="shared" si="195"/>
        <v>0</v>
      </c>
      <c r="BF77" s="110">
        <f>SUM(BF73:BF76)</f>
        <v>0</v>
      </c>
      <c r="BG77" s="111">
        <f>SUM(BG73:BG76)</f>
        <v>0</v>
      </c>
      <c r="BH77" s="94">
        <f t="shared" si="196"/>
        <v>0</v>
      </c>
      <c r="BI77" s="111">
        <f t="shared" si="137"/>
        <v>0</v>
      </c>
      <c r="BJ77" s="112">
        <f t="shared" si="137"/>
        <v>0</v>
      </c>
      <c r="BK77" s="101">
        <f t="shared" si="197"/>
        <v>0</v>
      </c>
      <c r="BL77" s="290"/>
      <c r="BM77" s="291"/>
      <c r="BN77" s="291"/>
      <c r="BO77" s="292"/>
    </row>
    <row r="78" spans="1:67" ht="16.5" thickBot="1" x14ac:dyDescent="0.3">
      <c r="A78"/>
      <c r="B78" s="7" t="s">
        <v>50</v>
      </c>
      <c r="C78" s="113">
        <f>C66+C72+C77</f>
        <v>0</v>
      </c>
      <c r="D78" s="114">
        <f>D66+D72+D77</f>
        <v>0</v>
      </c>
      <c r="E78" s="115">
        <f t="shared" si="182"/>
        <v>0</v>
      </c>
      <c r="F78" s="116">
        <f>F66+F72+F77</f>
        <v>0</v>
      </c>
      <c r="G78" s="117">
        <f>G66+G72+G77</f>
        <v>0</v>
      </c>
      <c r="H78" s="115">
        <f t="shared" si="183"/>
        <v>0</v>
      </c>
      <c r="I78" s="179">
        <f>IF(F61&lt;&gt;0,F78/F61-1,0)</f>
        <v>0</v>
      </c>
      <c r="J78" s="179">
        <f>IF(G61&lt;&gt;0,G78/G61-1,0)</f>
        <v>0</v>
      </c>
      <c r="K78" s="113">
        <f>K66+K72+K77</f>
        <v>0</v>
      </c>
      <c r="L78" s="114">
        <f>L66+L72+L77</f>
        <v>0</v>
      </c>
      <c r="M78" s="118">
        <f t="shared" si="184"/>
        <v>0</v>
      </c>
      <c r="N78" s="166">
        <f t="shared" si="199"/>
        <v>0</v>
      </c>
      <c r="O78" s="167">
        <f t="shared" si="199"/>
        <v>0</v>
      </c>
      <c r="P78" s="115">
        <f t="shared" si="152"/>
        <v>0</v>
      </c>
      <c r="Q78" s="119">
        <f t="shared" si="200"/>
        <v>0</v>
      </c>
      <c r="R78" s="120">
        <f t="shared" si="200"/>
        <v>0</v>
      </c>
      <c r="S78" s="115">
        <f t="shared" si="185"/>
        <v>0</v>
      </c>
      <c r="T78" s="119">
        <f>IFERROR((C78*(1-N78))/F78,0)</f>
        <v>0</v>
      </c>
      <c r="U78" s="120">
        <f>IFERROR((D78*(1-O78))/G78,0)</f>
        <v>0</v>
      </c>
      <c r="V78" s="115">
        <f t="shared" si="186"/>
        <v>0</v>
      </c>
      <c r="W78" s="119">
        <f>IFERROR((W66*F66+W72*F72+W77*F77)/F78,0)</f>
        <v>0</v>
      </c>
      <c r="X78" s="120">
        <f>IFERROR((X66*G66+X72*G72)/G78,0)</f>
        <v>0</v>
      </c>
      <c r="Y78" s="115">
        <f t="shared" si="187"/>
        <v>0</v>
      </c>
      <c r="Z78" s="121">
        <f t="shared" si="140"/>
        <v>0</v>
      </c>
      <c r="AA78" s="122">
        <f t="shared" si="138"/>
        <v>0</v>
      </c>
      <c r="AB78" s="115">
        <f>IFERROR(Z78-AA78,)</f>
        <v>0</v>
      </c>
      <c r="AC78" s="123" t="e">
        <f t="shared" si="188"/>
        <v>#REF!</v>
      </c>
      <c r="AD78" s="124" t="e">
        <f t="shared" si="188"/>
        <v>#REF!</v>
      </c>
      <c r="AE78" s="125" t="e">
        <f t="shared" si="198"/>
        <v>#REF!</v>
      </c>
      <c r="AF78" s="116" t="e">
        <f t="shared" ref="AF78:AG79" si="202">AF77</f>
        <v>#REF!</v>
      </c>
      <c r="AG78" s="117" t="e">
        <f t="shared" si="202"/>
        <v>#REF!</v>
      </c>
      <c r="AH78" s="115">
        <f t="shared" si="189"/>
        <v>0</v>
      </c>
      <c r="AI78" s="116">
        <f>AI66+AI72+AI77</f>
        <v>0</v>
      </c>
      <c r="AJ78" s="117">
        <f>AJ66+AJ72+AJ77</f>
        <v>0</v>
      </c>
      <c r="AK78" s="117">
        <f>AK66+AK72+AK77</f>
        <v>0</v>
      </c>
      <c r="AL78" s="117">
        <f>AL66+AL72+AL77</f>
        <v>0</v>
      </c>
      <c r="AM78" s="115">
        <f t="shared" si="190"/>
        <v>0</v>
      </c>
      <c r="AN78" s="116">
        <f>AN66+AN72+AN77</f>
        <v>0</v>
      </c>
      <c r="AO78" s="117">
        <f>AO66+AO72+AO77</f>
        <v>0</v>
      </c>
      <c r="AP78" s="115">
        <f t="shared" si="191"/>
        <v>0</v>
      </c>
      <c r="AQ78" s="126">
        <f>IF(F78&lt;&gt;0,(AF78*$B$24/F78),0)</f>
        <v>0</v>
      </c>
      <c r="AR78" s="127">
        <f>IF(G78&lt;&gt;0,(AG78*$B$24/G78),0)</f>
        <v>0</v>
      </c>
      <c r="AS78" s="115">
        <f t="shared" si="155"/>
        <v>0</v>
      </c>
      <c r="AT78" s="116">
        <f>AT66+AT72+AT77</f>
        <v>0</v>
      </c>
      <c r="AU78" s="117">
        <f>AU66+AU72+AU77</f>
        <v>0</v>
      </c>
      <c r="AV78" s="115">
        <f t="shared" si="192"/>
        <v>0</v>
      </c>
      <c r="AW78" s="128"/>
      <c r="AX78" s="129"/>
      <c r="AY78" s="115">
        <f t="shared" si="193"/>
        <v>0</v>
      </c>
      <c r="AZ78" s="130">
        <f>AZ66+AZ72+AZ77</f>
        <v>0</v>
      </c>
      <c r="BA78" s="117">
        <f>BA66+BA72+BA77</f>
        <v>0</v>
      </c>
      <c r="BB78" s="115">
        <f t="shared" si="194"/>
        <v>0</v>
      </c>
      <c r="BC78" s="116">
        <f>BC66+BC72+BC77</f>
        <v>0</v>
      </c>
      <c r="BD78" s="117">
        <f>BD66+BD72+BD77</f>
        <v>0</v>
      </c>
      <c r="BE78" s="115">
        <f t="shared" si="195"/>
        <v>0</v>
      </c>
      <c r="BF78" s="131">
        <f>BF66+BF72+BF77</f>
        <v>0</v>
      </c>
      <c r="BG78" s="132">
        <f>BG66+BG72+BG77</f>
        <v>0</v>
      </c>
      <c r="BH78" s="115">
        <f t="shared" si="196"/>
        <v>0</v>
      </c>
      <c r="BI78" s="132">
        <f t="shared" si="137"/>
        <v>0</v>
      </c>
      <c r="BJ78" s="133">
        <f t="shared" si="137"/>
        <v>0</v>
      </c>
      <c r="BK78" s="122">
        <f t="shared" si="197"/>
        <v>0</v>
      </c>
      <c r="BL78" s="285"/>
      <c r="BM78" s="1"/>
      <c r="BN78" s="1"/>
      <c r="BO78" s="286"/>
    </row>
    <row r="79" spans="1:67" ht="16.5" thickBot="1" x14ac:dyDescent="0.3">
      <c r="A79"/>
      <c r="B79" s="8" t="s">
        <v>48</v>
      </c>
      <c r="C79" s="135">
        <f>C27+C44+C61+C78</f>
        <v>0</v>
      </c>
      <c r="D79" s="136">
        <f>D27+D44+D61+D78</f>
        <v>0</v>
      </c>
      <c r="E79" s="137">
        <f t="shared" si="182"/>
        <v>0</v>
      </c>
      <c r="F79" s="138">
        <f>F27+F44+F61+F78</f>
        <v>0</v>
      </c>
      <c r="G79" s="139">
        <f>G27+G44+G61+G78</f>
        <v>0</v>
      </c>
      <c r="H79" s="137">
        <f t="shared" si="183"/>
        <v>0</v>
      </c>
      <c r="I79" s="237">
        <f>IF(G79&lt;&gt;0,F79/G79-1,0)</f>
        <v>0</v>
      </c>
      <c r="J79" s="237">
        <v>0</v>
      </c>
      <c r="K79" s="135">
        <f>K27+K44+K61+K78</f>
        <v>0</v>
      </c>
      <c r="L79" s="136">
        <f>L27+L44+L61+L78</f>
        <v>0</v>
      </c>
      <c r="M79" s="140">
        <f t="shared" si="184"/>
        <v>0</v>
      </c>
      <c r="N79" s="168">
        <f t="shared" si="199"/>
        <v>0</v>
      </c>
      <c r="O79" s="169">
        <f t="shared" si="199"/>
        <v>0</v>
      </c>
      <c r="P79" s="137">
        <f t="shared" si="152"/>
        <v>0</v>
      </c>
      <c r="Q79" s="141">
        <f t="shared" si="200"/>
        <v>0</v>
      </c>
      <c r="R79" s="142">
        <f t="shared" si="200"/>
        <v>0</v>
      </c>
      <c r="S79" s="137">
        <f t="shared" si="185"/>
        <v>0</v>
      </c>
      <c r="T79" s="141">
        <f>IF(F79&lt;&gt;0,(C79-K79)/F79,0)</f>
        <v>0</v>
      </c>
      <c r="U79" s="142">
        <f>IFERROR((D79*(1-O79))/G79,0)</f>
        <v>0</v>
      </c>
      <c r="V79" s="137">
        <f t="shared" si="186"/>
        <v>0</v>
      </c>
      <c r="W79" s="141">
        <f>IFERROR((W27*F27+W44*F44+W61*F61+W78*F78)/F79,0)</f>
        <v>0</v>
      </c>
      <c r="X79" s="142">
        <f>IFERROR((X27*G27+X44*G44+X61*G61+X78*G78)/G79,0)</f>
        <v>0</v>
      </c>
      <c r="Y79" s="137">
        <f t="shared" si="187"/>
        <v>0</v>
      </c>
      <c r="Z79" s="143">
        <f t="shared" si="140"/>
        <v>0</v>
      </c>
      <c r="AA79" s="144">
        <f t="shared" si="138"/>
        <v>0</v>
      </c>
      <c r="AB79" s="137">
        <f>IFERROR(Z79-AA79,)</f>
        <v>0</v>
      </c>
      <c r="AC79" s="145" t="e">
        <f t="shared" si="188"/>
        <v>#REF!</v>
      </c>
      <c r="AD79" s="146" t="e">
        <f t="shared" si="188"/>
        <v>#REF!</v>
      </c>
      <c r="AE79" s="147" t="e">
        <f t="shared" si="198"/>
        <v>#REF!</v>
      </c>
      <c r="AF79" s="138" t="e">
        <f t="shared" si="202"/>
        <v>#REF!</v>
      </c>
      <c r="AG79" s="139" t="e">
        <f t="shared" si="202"/>
        <v>#REF!</v>
      </c>
      <c r="AH79" s="137">
        <f t="shared" si="189"/>
        <v>0</v>
      </c>
      <c r="AI79" s="138">
        <f>AI27+AI44+AI61+AI78</f>
        <v>0</v>
      </c>
      <c r="AJ79" s="139">
        <f>AJ27+AJ44+AJ61+AJ78</f>
        <v>0</v>
      </c>
      <c r="AK79" s="139">
        <f>AK27+AK44+AK61+AK78</f>
        <v>0</v>
      </c>
      <c r="AL79" s="139">
        <f>AL27+AL44+AL61+AL78</f>
        <v>0</v>
      </c>
      <c r="AM79" s="137">
        <f t="shared" si="190"/>
        <v>0</v>
      </c>
      <c r="AN79" s="138">
        <f>AN27+AN44+AN61+AN78</f>
        <v>0</v>
      </c>
      <c r="AO79" s="139">
        <f>AO27+AO44+AO61+AO78</f>
        <v>0</v>
      </c>
      <c r="AP79" s="137">
        <f t="shared" si="191"/>
        <v>0</v>
      </c>
      <c r="AQ79" s="148">
        <f>IF(F79&lt;&gt;0,(AF79*#REF!/F79),0)</f>
        <v>0</v>
      </c>
      <c r="AR79" s="149">
        <f>IF(G79&lt;&gt;0,(AG79*#REF!/G79),0)</f>
        <v>0</v>
      </c>
      <c r="AS79" s="137">
        <f t="shared" si="155"/>
        <v>0</v>
      </c>
      <c r="AT79" s="138">
        <f>AT27+AT44+AT61+AT78</f>
        <v>0</v>
      </c>
      <c r="AU79" s="150">
        <f>AU27+AU44+AU61+AU78</f>
        <v>0</v>
      </c>
      <c r="AV79" s="137">
        <f t="shared" si="192"/>
        <v>0</v>
      </c>
      <c r="AW79" s="151"/>
      <c r="AX79" s="152"/>
      <c r="AY79" s="137">
        <f t="shared" si="193"/>
        <v>0</v>
      </c>
      <c r="AZ79" s="153">
        <f>AZ27+AZ44+AZ61+AZ78</f>
        <v>0</v>
      </c>
      <c r="BA79" s="150">
        <f>BA27+BA44+BA61+BA78</f>
        <v>0</v>
      </c>
      <c r="BB79" s="137">
        <f t="shared" si="194"/>
        <v>0</v>
      </c>
      <c r="BC79" s="138">
        <f>BC27+BC44+BC61+BC78</f>
        <v>0</v>
      </c>
      <c r="BD79" s="150">
        <f>BD27+BD44+BD61+BD78</f>
        <v>0</v>
      </c>
      <c r="BE79" s="137">
        <f t="shared" si="195"/>
        <v>0</v>
      </c>
      <c r="BF79" s="154">
        <f>BF27+BF44+BF61+BF78</f>
        <v>0</v>
      </c>
      <c r="BG79" s="155">
        <f>BG27+BG44+BG61+BG78</f>
        <v>0</v>
      </c>
      <c r="BH79" s="137">
        <f t="shared" si="196"/>
        <v>0</v>
      </c>
      <c r="BI79" s="155">
        <f t="shared" si="137"/>
        <v>0</v>
      </c>
      <c r="BJ79" s="156">
        <f t="shared" si="137"/>
        <v>0</v>
      </c>
      <c r="BK79" s="144">
        <f t="shared" si="197"/>
        <v>0</v>
      </c>
      <c r="BL79" s="287"/>
      <c r="BM79" s="288"/>
      <c r="BN79" s="288"/>
      <c r="BO79" s="289"/>
    </row>
  </sheetData>
  <autoFilter ref="BL10:BO79"/>
  <mergeCells count="26">
    <mergeCell ref="AF8:AS8"/>
    <mergeCell ref="AT8:BK8"/>
    <mergeCell ref="I9:J9"/>
    <mergeCell ref="AF9:AH9"/>
    <mergeCell ref="AI9:AM9"/>
    <mergeCell ref="AN9:AP9"/>
    <mergeCell ref="AQ9:AS9"/>
    <mergeCell ref="AT9:AV9"/>
    <mergeCell ref="AW9:AY9"/>
    <mergeCell ref="AZ9:BB9"/>
    <mergeCell ref="BC9:BE9"/>
    <mergeCell ref="BF9:BH9"/>
    <mergeCell ref="BI9:BK9"/>
    <mergeCell ref="B5:H5"/>
    <mergeCell ref="B6:H6"/>
    <mergeCell ref="AC9:AE9"/>
    <mergeCell ref="C9:E9"/>
    <mergeCell ref="F9:H9"/>
    <mergeCell ref="W9:Y9"/>
    <mergeCell ref="Z9:AB9"/>
    <mergeCell ref="Q9:S9"/>
    <mergeCell ref="T9:V9"/>
    <mergeCell ref="K9:M9"/>
    <mergeCell ref="N9:P9"/>
    <mergeCell ref="C8:AE8"/>
    <mergeCell ref="C7:T7"/>
  </mergeCells>
  <phoneticPr fontId="18" type="noConversion"/>
  <conditionalFormatting sqref="B11:B14 B73:B76">
    <cfRule type="expression" dxfId="17" priority="10">
      <formula>$A11="A"</formula>
    </cfRule>
  </conditionalFormatting>
  <conditionalFormatting sqref="B16:B20">
    <cfRule type="expression" dxfId="16" priority="9">
      <formula>$A16="A"</formula>
    </cfRule>
  </conditionalFormatting>
  <conditionalFormatting sqref="B22:B25">
    <cfRule type="expression" dxfId="15" priority="8">
      <formula>$A22="A"</formula>
    </cfRule>
  </conditionalFormatting>
  <conditionalFormatting sqref="B29:B31 B45:B48">
    <cfRule type="expression" dxfId="14" priority="7">
      <formula>$A29="A"</formula>
    </cfRule>
  </conditionalFormatting>
  <conditionalFormatting sqref="B33:B37 B50:B54">
    <cfRule type="expression" dxfId="13" priority="6">
      <formula>$A33="A"</formula>
    </cfRule>
  </conditionalFormatting>
  <conditionalFormatting sqref="B39:B42 B56:B59">
    <cfRule type="expression" dxfId="12" priority="5">
      <formula>$A39="A"</formula>
    </cfRule>
  </conditionalFormatting>
  <conditionalFormatting sqref="B67:B71">
    <cfRule type="expression" dxfId="11" priority="4">
      <formula>$A67="A"</formula>
    </cfRule>
  </conditionalFormatting>
  <conditionalFormatting sqref="B62:B65">
    <cfRule type="expression" dxfId="10" priority="2">
      <formula>$A62="A"</formula>
    </cfRule>
  </conditionalFormatting>
  <conditionalFormatting sqref="B28">
    <cfRule type="expression" dxfId="9" priority="1">
      <formula>$A28="A"</formula>
    </cfRule>
  </conditionalFormatting>
  <pageMargins left="0.7" right="0.7" top="0.75" bottom="0.75" header="0.3" footer="0.3"/>
  <pageSetup paperSize="3" scale="46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</sheetPr>
  <dimension ref="A1:BO78"/>
  <sheetViews>
    <sheetView showGridLines="0" zoomScale="80" zoomScaleNormal="80" zoomScalePageLayoutView="80" workbookViewId="0">
      <pane xSplit="10" ySplit="9" topLeftCell="K10" activePane="bottomRight" state="frozen"/>
      <selection activeCell="A4" sqref="A4"/>
      <selection pane="topRight" activeCell="K4" sqref="K4"/>
      <selection pane="bottomLeft" activeCell="A10" sqref="A10"/>
      <selection pane="bottomRight" activeCell="B10" sqref="B10"/>
    </sheetView>
  </sheetViews>
  <sheetFormatPr defaultColWidth="8.875" defaultRowHeight="15.75" x14ac:dyDescent="0.25"/>
  <cols>
    <col min="1" max="1" width="2.125" style="64" bestFit="1" customWidth="1"/>
    <col min="2" max="2" width="10.625" style="64" bestFit="1" customWidth="1"/>
    <col min="3" max="3" width="11.75" style="64" bestFit="1" customWidth="1"/>
    <col min="4" max="4" width="10.625" style="64" bestFit="1" customWidth="1"/>
    <col min="5" max="6" width="10.5" style="64" bestFit="1" customWidth="1"/>
    <col min="7" max="7" width="8.375" style="64" bestFit="1" customWidth="1"/>
    <col min="8" max="8" width="9.625" style="64" bestFit="1" customWidth="1"/>
    <col min="9" max="9" width="11.375" style="64" bestFit="1" customWidth="1"/>
    <col min="10" max="10" width="8.875" style="64" bestFit="1" customWidth="1"/>
    <col min="11" max="12" width="10.75" style="64" bestFit="1" customWidth="1"/>
    <col min="13" max="13" width="10.125" style="64" bestFit="1" customWidth="1"/>
    <col min="14" max="14" width="10.5" style="64" bestFit="1" customWidth="1"/>
    <col min="15" max="15" width="11.75" style="64" bestFit="1" customWidth="1"/>
    <col min="16" max="16" width="9.625" style="64" bestFit="1" customWidth="1"/>
    <col min="17" max="17" width="8.875" style="64" bestFit="1" customWidth="1"/>
    <col min="18" max="18" width="10.5" style="64" bestFit="1" customWidth="1"/>
    <col min="19" max="19" width="11.25" style="64" bestFit="1" customWidth="1"/>
    <col min="20" max="20" width="8.875" style="64" bestFit="1" customWidth="1"/>
    <col min="21" max="21" width="10.5" style="64" bestFit="1" customWidth="1"/>
    <col min="22" max="23" width="8.875" style="64" bestFit="1" customWidth="1"/>
    <col min="24" max="24" width="10.5" style="64" bestFit="1" customWidth="1"/>
    <col min="25" max="25" width="10.125" style="64" bestFit="1" customWidth="1"/>
    <col min="26" max="26" width="9.625" style="64" bestFit="1" customWidth="1"/>
    <col min="27" max="27" width="10.5" style="64" bestFit="1" customWidth="1"/>
    <col min="28" max="28" width="13" style="64" bestFit="1" customWidth="1"/>
    <col min="29" max="29" width="11.125" style="64" bestFit="1" customWidth="1"/>
    <col min="30" max="30" width="10.5" style="64" bestFit="1" customWidth="1"/>
    <col min="31" max="31" width="11.125" style="64" bestFit="1" customWidth="1"/>
    <col min="32" max="32" width="10.5" style="65" bestFit="1" customWidth="1"/>
    <col min="33" max="33" width="9.875" style="64" bestFit="1" customWidth="1"/>
    <col min="34" max="34" width="9.625" style="64" bestFit="1" customWidth="1"/>
    <col min="35" max="35" width="10.5" style="64" bestFit="1" customWidth="1"/>
    <col min="36" max="36" width="7.5" style="64" bestFit="1" customWidth="1"/>
    <col min="37" max="37" width="7.625" style="64" bestFit="1" customWidth="1"/>
    <col min="38" max="38" width="8.375" style="64" bestFit="1" customWidth="1"/>
    <col min="39" max="39" width="8.875" style="64" bestFit="1" customWidth="1"/>
    <col min="40" max="40" width="10.5" style="64" bestFit="1" customWidth="1"/>
    <col min="41" max="41" width="8.125" style="64" bestFit="1" customWidth="1"/>
    <col min="42" max="42" width="11.5" style="64" bestFit="1" customWidth="1"/>
    <col min="43" max="43" width="10.5" style="64" bestFit="1" customWidth="1"/>
    <col min="44" max="44" width="6.5" style="64" bestFit="1" customWidth="1"/>
    <col min="45" max="45" width="8.875" style="64" bestFit="1" customWidth="1"/>
    <col min="46" max="47" width="4.875" style="64" bestFit="1" customWidth="1"/>
    <col min="48" max="48" width="7.125" style="64" bestFit="1" customWidth="1"/>
    <col min="49" max="50" width="3.625" style="64" bestFit="1" customWidth="1"/>
    <col min="51" max="51" width="7.125" style="64" bestFit="1" customWidth="1"/>
    <col min="52" max="53" width="4.875" style="64" bestFit="1" customWidth="1"/>
    <col min="54" max="54" width="7.125" style="64" bestFit="1" customWidth="1"/>
    <col min="55" max="56" width="4.875" style="64" bestFit="1" customWidth="1"/>
    <col min="57" max="57" width="7.125" style="64" bestFit="1" customWidth="1"/>
    <col min="58" max="59" width="4.875" style="66" bestFit="1" customWidth="1"/>
    <col min="60" max="60" width="7.125" style="64" bestFit="1" customWidth="1"/>
    <col min="61" max="62" width="4.875" style="64" bestFit="1" customWidth="1"/>
    <col min="63" max="63" width="7.125" style="64" bestFit="1" customWidth="1"/>
    <col min="64" max="16384" width="8.875" style="64"/>
  </cols>
  <sheetData>
    <row r="1" spans="1:67" s="48" customFormat="1" ht="11.25" x14ac:dyDescent="0.2">
      <c r="A1" s="48" t="s">
        <v>349</v>
      </c>
      <c r="B1" s="159" t="s">
        <v>353</v>
      </c>
      <c r="C1" s="159"/>
      <c r="D1" s="159"/>
      <c r="E1" s="59"/>
      <c r="F1" s="59" t="s">
        <v>364</v>
      </c>
      <c r="G1" s="59"/>
      <c r="H1" s="59"/>
      <c r="I1" s="172"/>
      <c r="J1" s="172"/>
      <c r="K1" s="59"/>
      <c r="L1" s="59"/>
      <c r="M1" s="59"/>
      <c r="N1" s="59"/>
      <c r="O1" s="59"/>
      <c r="P1" s="59"/>
      <c r="Q1" s="59" t="s">
        <v>366</v>
      </c>
      <c r="R1" s="59"/>
      <c r="S1" s="59"/>
      <c r="T1" s="59" t="s">
        <v>367</v>
      </c>
      <c r="U1" s="59"/>
      <c r="V1" s="59"/>
      <c r="W1" s="59" t="s">
        <v>365</v>
      </c>
      <c r="X1" s="59"/>
      <c r="Y1" s="59"/>
      <c r="Z1" s="59"/>
      <c r="AA1" s="59"/>
      <c r="AB1" s="59"/>
      <c r="AC1" s="59"/>
      <c r="AD1" s="59"/>
      <c r="AE1" s="59"/>
      <c r="AF1" s="59" t="s">
        <v>368</v>
      </c>
      <c r="AG1" s="59"/>
      <c r="AH1" s="59"/>
      <c r="AI1" s="59" t="s">
        <v>372</v>
      </c>
      <c r="AJ1" s="59" t="s">
        <v>370</v>
      </c>
      <c r="AK1" s="59"/>
      <c r="AL1" s="59"/>
      <c r="AM1" s="59"/>
      <c r="AN1" s="59" t="s">
        <v>369</v>
      </c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60"/>
      <c r="BD1" s="59"/>
      <c r="BE1" s="59"/>
      <c r="BF1" s="60"/>
      <c r="BG1" s="60"/>
      <c r="BH1" s="59"/>
      <c r="BI1" s="59"/>
      <c r="BJ1" s="59"/>
      <c r="BK1" s="59"/>
    </row>
    <row r="2" spans="1:67" s="48" customFormat="1" ht="11.25" x14ac:dyDescent="0.2">
      <c r="B2" s="159" t="s">
        <v>352</v>
      </c>
      <c r="C2" s="159"/>
      <c r="D2" s="159"/>
      <c r="E2" s="61"/>
      <c r="F2" s="61">
        <v>5</v>
      </c>
      <c r="G2" s="61">
        <v>5</v>
      </c>
      <c r="H2" s="61"/>
      <c r="I2" s="173"/>
      <c r="J2" s="173"/>
      <c r="K2" s="61"/>
      <c r="L2" s="61"/>
      <c r="M2" s="61"/>
      <c r="N2" s="61"/>
      <c r="O2" s="61"/>
      <c r="P2" s="61"/>
      <c r="Q2" s="61">
        <v>7</v>
      </c>
      <c r="R2" s="61">
        <v>7</v>
      </c>
      <c r="S2" s="61"/>
      <c r="T2" s="61">
        <v>8</v>
      </c>
      <c r="U2" s="61">
        <v>8</v>
      </c>
      <c r="V2" s="61"/>
      <c r="W2" s="61">
        <v>6</v>
      </c>
      <c r="X2" s="61">
        <v>6</v>
      </c>
      <c r="Y2" s="61"/>
      <c r="Z2" s="61"/>
      <c r="AA2" s="61"/>
      <c r="AB2" s="61"/>
      <c r="AC2" s="61"/>
      <c r="AD2" s="61"/>
      <c r="AE2" s="61"/>
      <c r="AF2" s="61">
        <v>9</v>
      </c>
      <c r="AG2" s="61">
        <v>9</v>
      </c>
      <c r="AH2" s="61"/>
      <c r="AI2" s="61">
        <v>13</v>
      </c>
      <c r="AJ2" s="61">
        <v>11</v>
      </c>
      <c r="AK2" s="61">
        <v>12</v>
      </c>
      <c r="AL2" s="61">
        <v>12</v>
      </c>
      <c r="AM2" s="61"/>
      <c r="AN2" s="61">
        <v>10</v>
      </c>
      <c r="AO2" s="61">
        <v>10</v>
      </c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2"/>
      <c r="BD2" s="61"/>
      <c r="BE2" s="61"/>
      <c r="BF2" s="62"/>
      <c r="BG2" s="62"/>
      <c r="BH2" s="61"/>
      <c r="BI2" s="61"/>
      <c r="BJ2" s="61"/>
      <c r="BK2" s="61"/>
    </row>
    <row r="3" spans="1:67" s="48" customFormat="1" ht="11.25" x14ac:dyDescent="0.2">
      <c r="B3" s="159" t="s">
        <v>351</v>
      </c>
      <c r="C3" s="61" t="s">
        <v>350</v>
      </c>
      <c r="D3" s="159"/>
      <c r="E3" s="61" t="s">
        <v>378</v>
      </c>
      <c r="F3" s="61" t="s">
        <v>379</v>
      </c>
      <c r="G3" s="61" t="s">
        <v>379</v>
      </c>
      <c r="H3" s="61"/>
      <c r="I3" s="173" t="s">
        <v>378</v>
      </c>
      <c r="J3" s="173" t="s">
        <v>378</v>
      </c>
      <c r="K3" s="61" t="s">
        <v>350</v>
      </c>
      <c r="L3" s="61" t="s">
        <v>350</v>
      </c>
      <c r="M3" s="61"/>
      <c r="N3" s="61" t="s">
        <v>350</v>
      </c>
      <c r="O3" s="61"/>
      <c r="P3" s="61"/>
      <c r="Q3" s="61" t="s">
        <v>378</v>
      </c>
      <c r="R3" s="61"/>
      <c r="S3" s="61"/>
      <c r="T3" s="61" t="s">
        <v>378</v>
      </c>
      <c r="U3" s="61"/>
      <c r="V3" s="61"/>
      <c r="W3" s="61" t="s">
        <v>378</v>
      </c>
      <c r="X3" s="61"/>
      <c r="Y3" s="61"/>
      <c r="Z3" s="61" t="s">
        <v>378</v>
      </c>
      <c r="AA3" s="61"/>
      <c r="AB3" s="61"/>
      <c r="AC3" s="61" t="s">
        <v>378</v>
      </c>
      <c r="AD3" s="61" t="s">
        <v>378</v>
      </c>
      <c r="AE3" s="61"/>
      <c r="AF3" s="61" t="s">
        <v>350</v>
      </c>
      <c r="AG3" s="61" t="s">
        <v>350</v>
      </c>
      <c r="AH3" s="61"/>
      <c r="AI3" s="61" t="s">
        <v>350</v>
      </c>
      <c r="AJ3" s="61"/>
      <c r="AK3" s="61" t="s">
        <v>379</v>
      </c>
      <c r="AL3" s="61"/>
      <c r="AM3" s="61"/>
      <c r="AN3" s="61" t="s">
        <v>378</v>
      </c>
      <c r="AO3" s="61"/>
      <c r="AP3" s="61"/>
      <c r="AQ3" s="61" t="s">
        <v>380</v>
      </c>
      <c r="AR3" s="61" t="s">
        <v>380</v>
      </c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2"/>
      <c r="BD3" s="61"/>
      <c r="BE3" s="61"/>
      <c r="BF3" s="62"/>
      <c r="BG3" s="62"/>
      <c r="BH3" s="61"/>
      <c r="BI3" s="61"/>
      <c r="BJ3" s="61"/>
      <c r="BK3" s="61"/>
    </row>
    <row r="4" spans="1:67" s="48" customFormat="1" ht="11.25" x14ac:dyDescent="0.2">
      <c r="B4" s="159"/>
      <c r="C4" s="61"/>
      <c r="D4" s="159"/>
      <c r="E4" s="61"/>
      <c r="F4" s="61" t="str">
        <f>ForecastVer</f>
        <v>MBR</v>
      </c>
      <c r="G4" s="61" t="str">
        <f>CompareVer</f>
        <v>LY</v>
      </c>
      <c r="H4" s="61"/>
      <c r="I4" s="173"/>
      <c r="J4" s="173"/>
      <c r="K4" s="61"/>
      <c r="L4" s="61"/>
      <c r="M4" s="61"/>
      <c r="N4" s="61"/>
      <c r="O4" s="61"/>
      <c r="P4" s="61"/>
      <c r="Q4" s="61" t="str">
        <f>ForecastVer</f>
        <v>MBR</v>
      </c>
      <c r="R4" s="61" t="str">
        <f>CompareVer</f>
        <v>LY</v>
      </c>
      <c r="S4" s="61"/>
      <c r="T4" s="61" t="str">
        <f>ForecastVer</f>
        <v>MBR</v>
      </c>
      <c r="U4" s="61" t="str">
        <f>CompareVer</f>
        <v>LY</v>
      </c>
      <c r="V4" s="61"/>
      <c r="W4" s="61" t="str">
        <f>ForecastVer</f>
        <v>MBR</v>
      </c>
      <c r="X4" s="61" t="str">
        <f>CompareVer</f>
        <v>LY</v>
      </c>
      <c r="Y4" s="61"/>
      <c r="Z4" s="61"/>
      <c r="AA4" s="61"/>
      <c r="AB4" s="61"/>
      <c r="AC4" s="61"/>
      <c r="AD4" s="61"/>
      <c r="AE4" s="61"/>
      <c r="AF4" s="61" t="str">
        <f>ForecastVer</f>
        <v>MBR</v>
      </c>
      <c r="AG4" s="61" t="str">
        <f>CompareVer</f>
        <v>LY</v>
      </c>
      <c r="AH4" s="61"/>
      <c r="AI4" s="61" t="str">
        <f>ForecastVer</f>
        <v>MBR</v>
      </c>
      <c r="AJ4" s="61" t="str">
        <f>ForecastVer</f>
        <v>MBR</v>
      </c>
      <c r="AK4" s="61" t="str">
        <f>ForecastVer</f>
        <v>MBR</v>
      </c>
      <c r="AL4" s="61" t="str">
        <f>CompareVer</f>
        <v>LY</v>
      </c>
      <c r="AM4" s="61"/>
      <c r="AN4" s="61" t="str">
        <f>ForecastVer</f>
        <v>MBR</v>
      </c>
      <c r="AO4" s="61" t="str">
        <f>CompareVer</f>
        <v>LY</v>
      </c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2"/>
      <c r="BD4" s="61"/>
      <c r="BE4" s="61"/>
      <c r="BF4" s="62"/>
      <c r="BG4" s="62"/>
      <c r="BH4" s="61"/>
      <c r="BI4" s="61"/>
      <c r="BJ4" s="61"/>
      <c r="BK4" s="61"/>
    </row>
    <row r="6" spans="1:67" ht="16.5" thickBot="1" x14ac:dyDescent="0.3"/>
    <row r="7" spans="1:67" customFormat="1" ht="21.75" thickBot="1" x14ac:dyDescent="0.3">
      <c r="B7" s="161" t="s">
        <v>45</v>
      </c>
      <c r="C7" s="331" t="s">
        <v>29</v>
      </c>
      <c r="D7" s="332"/>
      <c r="E7" s="332"/>
      <c r="F7" s="332"/>
      <c r="G7" s="332"/>
      <c r="H7" s="332"/>
      <c r="I7" s="332"/>
      <c r="J7" s="332"/>
      <c r="K7" s="332"/>
      <c r="L7" s="332"/>
      <c r="M7" s="332"/>
      <c r="N7" s="332"/>
      <c r="O7" s="332"/>
      <c r="P7" s="332"/>
      <c r="Q7" s="332"/>
      <c r="R7" s="332"/>
      <c r="S7" s="332"/>
      <c r="T7" s="332"/>
      <c r="U7" s="332"/>
      <c r="V7" s="332"/>
      <c r="W7" s="332"/>
      <c r="X7" s="332"/>
      <c r="Y7" s="332"/>
      <c r="Z7" s="332"/>
      <c r="AA7" s="332"/>
      <c r="AB7" s="332"/>
      <c r="AC7" s="332"/>
      <c r="AD7" s="332"/>
      <c r="AE7" s="333"/>
      <c r="AF7" s="335" t="s">
        <v>60</v>
      </c>
      <c r="AG7" s="336"/>
      <c r="AH7" s="336"/>
      <c r="AI7" s="336"/>
      <c r="AJ7" s="336"/>
      <c r="AK7" s="336"/>
      <c r="AL7" s="336"/>
      <c r="AM7" s="336"/>
      <c r="AN7" s="336"/>
      <c r="AO7" s="336"/>
      <c r="AP7" s="336"/>
      <c r="AQ7" s="336"/>
      <c r="AR7" s="336"/>
      <c r="AS7" s="337"/>
      <c r="AT7" s="338" t="s">
        <v>61</v>
      </c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293"/>
      <c r="BM7" s="294"/>
      <c r="BN7" s="294"/>
      <c r="BO7" s="295"/>
    </row>
    <row r="8" spans="1:67" customFormat="1" ht="21" x14ac:dyDescent="0.35">
      <c r="B8" s="160"/>
      <c r="C8" s="323" t="s">
        <v>6</v>
      </c>
      <c r="D8" s="324"/>
      <c r="E8" s="325"/>
      <c r="F8" s="326" t="s">
        <v>8</v>
      </c>
      <c r="G8" s="327"/>
      <c r="H8" s="328"/>
      <c r="I8" s="341" t="s">
        <v>334</v>
      </c>
      <c r="J8" s="342"/>
      <c r="K8" s="326" t="s">
        <v>28</v>
      </c>
      <c r="L8" s="327"/>
      <c r="M8" s="328"/>
      <c r="N8" s="326" t="s">
        <v>4</v>
      </c>
      <c r="O8" s="324"/>
      <c r="P8" s="325"/>
      <c r="Q8" s="326" t="s">
        <v>2</v>
      </c>
      <c r="R8" s="324"/>
      <c r="S8" s="325"/>
      <c r="T8" s="329" t="s">
        <v>3</v>
      </c>
      <c r="U8" s="322"/>
      <c r="V8" s="322"/>
      <c r="W8" s="329" t="s">
        <v>1</v>
      </c>
      <c r="X8" s="322"/>
      <c r="Y8" s="330"/>
      <c r="Z8" s="329" t="s">
        <v>7</v>
      </c>
      <c r="AA8" s="322"/>
      <c r="AB8" s="330"/>
      <c r="AC8" s="321" t="s">
        <v>333</v>
      </c>
      <c r="AD8" s="322"/>
      <c r="AE8" s="322"/>
      <c r="AF8" s="329" t="s">
        <v>52</v>
      </c>
      <c r="AG8" s="322"/>
      <c r="AH8" s="330"/>
      <c r="AI8" s="329" t="s">
        <v>53</v>
      </c>
      <c r="AJ8" s="322"/>
      <c r="AK8" s="322"/>
      <c r="AL8" s="322"/>
      <c r="AM8" s="330"/>
      <c r="AN8" s="329" t="s">
        <v>56</v>
      </c>
      <c r="AO8" s="322"/>
      <c r="AP8" s="322"/>
      <c r="AQ8" s="343" t="s">
        <v>332</v>
      </c>
      <c r="AR8" s="344"/>
      <c r="AS8" s="345"/>
      <c r="AT8" s="346" t="s">
        <v>51</v>
      </c>
      <c r="AU8" s="322"/>
      <c r="AV8" s="322"/>
      <c r="AW8" s="321" t="s">
        <v>35</v>
      </c>
      <c r="AX8" s="322"/>
      <c r="AY8" s="322"/>
      <c r="AZ8" s="321" t="s">
        <v>32</v>
      </c>
      <c r="BA8" s="322"/>
      <c r="BB8" s="347"/>
      <c r="BC8" s="322" t="s">
        <v>33</v>
      </c>
      <c r="BD8" s="322"/>
      <c r="BE8" s="322"/>
      <c r="BF8" s="321" t="s">
        <v>34</v>
      </c>
      <c r="BG8" s="322"/>
      <c r="BH8" s="347"/>
      <c r="BI8" s="322" t="s">
        <v>339</v>
      </c>
      <c r="BJ8" s="322"/>
      <c r="BK8" s="322"/>
      <c r="BL8" s="348" t="s">
        <v>602</v>
      </c>
      <c r="BM8" s="349"/>
      <c r="BN8" s="349"/>
      <c r="BO8" s="350"/>
    </row>
    <row r="9" spans="1:67" customFormat="1" ht="16.5" thickBot="1" x14ac:dyDescent="0.3">
      <c r="B9" s="54" t="s">
        <v>0</v>
      </c>
      <c r="C9" s="3" t="s">
        <v>19</v>
      </c>
      <c r="D9" s="3" t="s">
        <v>20</v>
      </c>
      <c r="E9" s="4" t="s">
        <v>26</v>
      </c>
      <c r="F9" s="5" t="s">
        <v>19</v>
      </c>
      <c r="G9" s="3" t="s">
        <v>20</v>
      </c>
      <c r="H9" s="4" t="s">
        <v>26</v>
      </c>
      <c r="I9" s="175" t="s">
        <v>19</v>
      </c>
      <c r="J9" s="176" t="s">
        <v>20</v>
      </c>
      <c r="K9" s="5" t="s">
        <v>19</v>
      </c>
      <c r="L9" s="3" t="s">
        <v>20</v>
      </c>
      <c r="M9" s="4" t="s">
        <v>26</v>
      </c>
      <c r="N9" s="5" t="s">
        <v>19</v>
      </c>
      <c r="O9" s="3" t="s">
        <v>20</v>
      </c>
      <c r="P9" s="4" t="s">
        <v>26</v>
      </c>
      <c r="Q9" s="5" t="s">
        <v>19</v>
      </c>
      <c r="R9" s="3" t="s">
        <v>20</v>
      </c>
      <c r="S9" s="4" t="s">
        <v>26</v>
      </c>
      <c r="T9" s="5" t="s">
        <v>19</v>
      </c>
      <c r="U9" s="3" t="s">
        <v>20</v>
      </c>
      <c r="V9" s="3" t="s">
        <v>26</v>
      </c>
      <c r="W9" s="5" t="s">
        <v>19</v>
      </c>
      <c r="X9" s="3" t="s">
        <v>20</v>
      </c>
      <c r="Y9" s="4" t="s">
        <v>26</v>
      </c>
      <c r="Z9" s="5" t="s">
        <v>19</v>
      </c>
      <c r="AA9" s="3" t="s">
        <v>20</v>
      </c>
      <c r="AB9" s="4" t="s">
        <v>26</v>
      </c>
      <c r="AC9" s="45" t="s">
        <v>19</v>
      </c>
      <c r="AD9" s="55" t="s">
        <v>20</v>
      </c>
      <c r="AE9" s="55" t="s">
        <v>26</v>
      </c>
      <c r="AF9" s="5" t="s">
        <v>19</v>
      </c>
      <c r="AG9" s="3" t="s">
        <v>20</v>
      </c>
      <c r="AH9" s="4" t="s">
        <v>26</v>
      </c>
      <c r="AI9" s="5" t="s">
        <v>55</v>
      </c>
      <c r="AJ9" s="3" t="s">
        <v>54</v>
      </c>
      <c r="AK9" s="3" t="s">
        <v>19</v>
      </c>
      <c r="AL9" s="3" t="s">
        <v>20</v>
      </c>
      <c r="AM9" s="4" t="s">
        <v>26</v>
      </c>
      <c r="AN9" s="5" t="s">
        <v>19</v>
      </c>
      <c r="AO9" s="3" t="s">
        <v>20</v>
      </c>
      <c r="AP9" s="3" t="s">
        <v>26</v>
      </c>
      <c r="AQ9" s="5" t="s">
        <v>19</v>
      </c>
      <c r="AR9" s="3" t="s">
        <v>20</v>
      </c>
      <c r="AS9" s="58" t="s">
        <v>26</v>
      </c>
      <c r="AT9" s="63" t="s">
        <v>19</v>
      </c>
      <c r="AU9" s="3" t="s">
        <v>20</v>
      </c>
      <c r="AV9" s="3" t="s">
        <v>26</v>
      </c>
      <c r="AW9" s="46" t="s">
        <v>19</v>
      </c>
      <c r="AX9" s="3" t="s">
        <v>20</v>
      </c>
      <c r="AY9" s="3" t="s">
        <v>26</v>
      </c>
      <c r="AZ9" s="46" t="s">
        <v>19</v>
      </c>
      <c r="BA9" s="3" t="s">
        <v>20</v>
      </c>
      <c r="BB9" s="52" t="s">
        <v>26</v>
      </c>
      <c r="BC9" s="3" t="s">
        <v>19</v>
      </c>
      <c r="BD9" s="3" t="s">
        <v>20</v>
      </c>
      <c r="BE9" s="3" t="s">
        <v>26</v>
      </c>
      <c r="BF9" s="56" t="s">
        <v>19</v>
      </c>
      <c r="BG9" s="53" t="s">
        <v>20</v>
      </c>
      <c r="BH9" s="57" t="s">
        <v>26</v>
      </c>
      <c r="BI9" s="3" t="s">
        <v>19</v>
      </c>
      <c r="BJ9" s="3" t="s">
        <v>20</v>
      </c>
      <c r="BK9" s="3" t="s">
        <v>26</v>
      </c>
      <c r="BL9" s="281" t="s">
        <v>601</v>
      </c>
      <c r="BM9" s="280" t="s">
        <v>366</v>
      </c>
      <c r="BN9" s="280" t="s">
        <v>365</v>
      </c>
      <c r="BO9" s="282" t="s">
        <v>367</v>
      </c>
    </row>
    <row r="10" spans="1:67" x14ac:dyDescent="0.25">
      <c r="A10" s="64" t="s">
        <v>375</v>
      </c>
      <c r="B10" s="185">
        <v>1</v>
      </c>
      <c r="C10" s="186">
        <f>F10*Q10</f>
        <v>0</v>
      </c>
      <c r="D10" s="187">
        <f>G10*R10</f>
        <v>0</v>
      </c>
      <c r="E10" s="188">
        <f t="shared" ref="E10:E73" si="0">IFERROR(C10/D10-1,)</f>
        <v>0</v>
      </c>
      <c r="F10" s="239">
        <f>IFERROR(VLOOKUP(FiscalYr &amp; $B10&amp;F$4,tblForecast,F$2,FALSE),0)</f>
        <v>0</v>
      </c>
      <c r="G10" s="189">
        <f>IFERROR(VLOOKUP(FiscalYr-IF(CompareVer="LY",1,0) &amp; $B10 + IF(FiscalYr=2018,1,0)&amp;G$4,tblForecast,G$2,FALSE),0)</f>
        <v>0</v>
      </c>
      <c r="H10" s="188">
        <f t="shared" ref="H10:H73" si="1">IFERROR(F10/G10-1,)</f>
        <v>0</v>
      </c>
      <c r="I10" s="190">
        <f>IFERROR(IF(#REF!&lt;&gt;0,F10/#REF!,0),0)</f>
        <v>0</v>
      </c>
      <c r="J10" s="190">
        <v>0</v>
      </c>
      <c r="K10" s="186">
        <f>IFERROR(C10*N10,0)</f>
        <v>0</v>
      </c>
      <c r="L10" s="187">
        <f>D10*O10</f>
        <v>0</v>
      </c>
      <c r="M10" s="191">
        <f t="shared" ref="M10:M73" si="2">IFERROR(K10/L10-1,)</f>
        <v>0</v>
      </c>
      <c r="N10" s="162">
        <f t="shared" ref="N10:O13" si="3">IF(Q10&lt;&gt;0,1-T10/Q10,0)</f>
        <v>0</v>
      </c>
      <c r="O10" s="192">
        <f t="shared" si="3"/>
        <v>0</v>
      </c>
      <c r="P10" s="188">
        <f>IFERROR(N10-O10,)</f>
        <v>0</v>
      </c>
      <c r="Q10" s="240">
        <f>IFERROR(VLOOKUP(FiscalYr &amp; $B10&amp;Q$4,tblForecast,Q$2,FALSE),0)</f>
        <v>0</v>
      </c>
      <c r="R10" s="193">
        <f>IFERROR(VLOOKUP(FiscalYr-IF(CompareVer="LY",1,0) &amp; $B10 + IF(FiscalYr=2018,1,0)&amp;R$4,tblForecast,R$2,FALSE),0)</f>
        <v>0</v>
      </c>
      <c r="S10" s="188">
        <f t="shared" ref="S10:S71" si="4">IFERROR(Q10/R10-1,)</f>
        <v>0</v>
      </c>
      <c r="T10" s="240">
        <f>IFERROR(VLOOKUP(FiscalYr &amp; $B10&amp;T$4,tblForecast,T$2,FALSE),0)</f>
        <v>0</v>
      </c>
      <c r="U10" s="193">
        <f>IFERROR(VLOOKUP(FiscalYr-IF(CompareVer="LY",1,0) &amp; $B10 + IF(FiscalYr=2018,1,0)&amp;U$4,tblForecast,U$2,FALSE),0)</f>
        <v>0</v>
      </c>
      <c r="V10" s="188">
        <f t="shared" ref="V10:V71" si="5">IFERROR(T10/U10-1,)</f>
        <v>0</v>
      </c>
      <c r="W10" s="240">
        <f>IFERROR(VLOOKUP(FiscalYr &amp; $B10&amp;W$4,tblForecast,W$2,FALSE),0)</f>
        <v>0</v>
      </c>
      <c r="X10" s="193">
        <f>IFERROR(VLOOKUP(FiscalYr-IF(CompareVer="LY",1,0) &amp; $B10 + IF(FiscalYr=2018,1,0)&amp;X$4,tblForecast,X$2,FALSE),0)</f>
        <v>0</v>
      </c>
      <c r="Y10" s="188">
        <f t="shared" ref="Y10:Y73" si="6">IFERROR(W10/X10-1,)</f>
        <v>0</v>
      </c>
      <c r="Z10" s="74">
        <f t="shared" ref="Z10:Z26" si="7">IFERROR((Q10/W10-1)*-1,0)</f>
        <v>0</v>
      </c>
      <c r="AA10" s="194">
        <f t="shared" ref="AA10:AA26" si="8">IFERROR((R10/X10-1)*-1,0)</f>
        <v>0</v>
      </c>
      <c r="AB10" s="188">
        <f>IFERROR(Z10-AA10,)</f>
        <v>0</v>
      </c>
      <c r="AC10" s="195">
        <f t="shared" ref="AC10:AC41" si="9">IF(AF10&lt;&gt;0,F10/AF10,0)</f>
        <v>0</v>
      </c>
      <c r="AD10" s="196">
        <f t="shared" ref="AD10:AD41" si="10">IF(AG10&lt;&gt;0,G10/AG10,0)</f>
        <v>0</v>
      </c>
      <c r="AE10" s="197">
        <f>AC10-AD10</f>
        <v>0</v>
      </c>
      <c r="AF10" s="239">
        <f>IFERROR(VLOOKUP(FiscalYr &amp; $B10&amp;AF$4,tblForecast,AF$2,FALSE),0)</f>
        <v>0</v>
      </c>
      <c r="AG10" s="189">
        <f>IFERROR(VLOOKUP(FiscalYr-IF(CompareVer="LY",1,0) &amp; $B10 + IF(FiscalYr=2018,1,0)&amp;AG$4,tblForecast,AG$2,FALSE),0)</f>
        <v>0</v>
      </c>
      <c r="AH10" s="188">
        <f t="shared" ref="AH10:AH73" si="11">IFERROR(AF10/AG10-1,)</f>
        <v>0</v>
      </c>
      <c r="AI10" s="239">
        <f t="shared" ref="AI10:AJ13" si="12">IFERROR(VLOOKUP(FiscalYr &amp; $B10&amp;AI$4,tblForecast,AI$2,FALSE),0)</f>
        <v>0</v>
      </c>
      <c r="AJ10" s="189">
        <f t="shared" si="12"/>
        <v>0</v>
      </c>
      <c r="AK10" s="198">
        <f>IF($A10="a",IFERROR(VLOOKUP(FiscalYr &amp; $B10&amp;AK$4,tblForecast,AK$2,FALSE),0),AI10+AJ10)</f>
        <v>0</v>
      </c>
      <c r="AL10" s="189">
        <f>IFERROR(VLOOKUP(FiscalYr-IF(CompareVer="LY",1,0) &amp; $B10 + IF(FiscalYr=2018,1,0)&amp;AL$4,tblForecast,AL$2,FALSE),0)</f>
        <v>0</v>
      </c>
      <c r="AM10" s="188">
        <f t="shared" ref="AM10:AM73" si="13">IFERROR(AK10/AL10-1,)</f>
        <v>0</v>
      </c>
      <c r="AN10" s="239">
        <f t="shared" ref="AN10:AO13" si="14">IFERROR(VLOOKUP(FiscalYr &amp; $B10&amp;AN$4,tblForecast,AN$2,FALSE),0)</f>
        <v>0</v>
      </c>
      <c r="AO10" s="189">
        <f t="shared" si="14"/>
        <v>0</v>
      </c>
      <c r="AP10" s="188">
        <f t="shared" ref="AP10:AP73" si="15">IFERROR(AN10/AO10-1,)</f>
        <v>0</v>
      </c>
      <c r="AQ10" s="199">
        <f t="shared" ref="AQ10:AR13" si="16">IF(F10&lt;&gt;0,AF10/F10,0)</f>
        <v>0</v>
      </c>
      <c r="AR10" s="200">
        <f t="shared" si="16"/>
        <v>0</v>
      </c>
      <c r="AS10" s="188">
        <f>IFERROR(AQ10/AR10-1,)</f>
        <v>0</v>
      </c>
      <c r="AT10" s="239">
        <f>IFERROR(VLOOKUP(FiscalYr &amp; $B10&amp;AT$4,tblForecast,AT$2,FALSE),0)</f>
        <v>0</v>
      </c>
      <c r="AU10" s="189">
        <f t="shared" ref="AU10:AU42" si="17">IFERROR(VLOOKUP(FiscalYr-1 &amp; $B10&amp; FCLY,tblForecast,AT$2,FALSE),0)</f>
        <v>0</v>
      </c>
      <c r="AV10" s="188">
        <f t="shared" ref="AV10:AV73" si="18">IFERROR(AT10/AU10-1,)</f>
        <v>0</v>
      </c>
      <c r="AW10" s="201"/>
      <c r="AX10" s="202"/>
      <c r="AY10" s="188">
        <f t="shared" ref="AY10:AY73" si="19">IFERROR(AW10/AX10-1,)</f>
        <v>0</v>
      </c>
      <c r="AZ10" s="203"/>
      <c r="BA10" s="189"/>
      <c r="BB10" s="188">
        <f t="shared" ref="BB10:BB73" si="20">IFERROR(AZ10/BA10-1,)</f>
        <v>0</v>
      </c>
      <c r="BC10" s="239">
        <f>IFERROR(VLOOKUP(FiscalYr &amp; $B10&amp;BC$4,tblForecast,BC$2,FALSE),0)</f>
        <v>0</v>
      </c>
      <c r="BD10" s="189">
        <f t="shared" ref="BD10:BD42" si="21">IFERROR(VLOOKUP(FiscalYr-1 &amp; $B10&amp; FCLY,tblForecast,BC$2,FALSE),0)</f>
        <v>0</v>
      </c>
      <c r="BE10" s="188">
        <f t="shared" ref="BE10:BE73" si="22">IFERROR(BC10/BD10-1,)</f>
        <v>0</v>
      </c>
      <c r="BF10" s="204">
        <f>IFERROR(VLOOKUP(FiscalYr &amp; $B10&amp;BF$4,tblForecast,BF$2,FALSE),0)</f>
        <v>0</v>
      </c>
      <c r="BG10" s="205">
        <f t="shared" ref="BG10:BG41" si="23">IFERROR(VLOOKUP(FiscalYr-1 &amp; $B10&amp; FCLY,tblForecast,BF$2,FALSE),0)</f>
        <v>0</v>
      </c>
      <c r="BH10" s="188">
        <f t="shared" ref="BH10:BH73" si="24">IFERROR(BF10/BG10-1,)</f>
        <v>0</v>
      </c>
      <c r="BI10" s="206">
        <f t="shared" ref="BI10:BJ13" si="25">IF(F10&lt;&gt;0,BF10/F10,0)</f>
        <v>0</v>
      </c>
      <c r="BJ10" s="207">
        <f t="shared" si="25"/>
        <v>0</v>
      </c>
      <c r="BK10" s="194">
        <f t="shared" ref="BK10:BK73" si="26">IFERROR(BI10/BJ10-1,)</f>
        <v>0</v>
      </c>
      <c r="BL10" s="283">
        <f>IFERROR(VLOOKUP(Brand&amp;Channel&amp;Country&amp;$B10,tblDiscount,6,FALSE),0)</f>
        <v>0.3</v>
      </c>
      <c r="BM10" s="249">
        <f>(1-BL10)*BN10</f>
        <v>0</v>
      </c>
      <c r="BN10" s="249">
        <f>IFERROR(VLOOKUP(Brand&amp;Country &amp; Channel &amp; FC,tblFCSettings,8,FALSE),0)</f>
        <v>0</v>
      </c>
      <c r="BO10" s="284">
        <f>IFERROR(VLOOKUP(Brand&amp;Country &amp; Channel&amp;FC,tblFCSettings,9,FALSE),0)</f>
        <v>0</v>
      </c>
    </row>
    <row r="11" spans="1:67" x14ac:dyDescent="0.25">
      <c r="A11" s="64" t="s">
        <v>375</v>
      </c>
      <c r="B11" s="185">
        <v>2</v>
      </c>
      <c r="C11" s="208">
        <f t="shared" ref="C11:D13" si="27">F11*Q11</f>
        <v>0</v>
      </c>
      <c r="D11" s="187">
        <f t="shared" si="27"/>
        <v>0</v>
      </c>
      <c r="E11" s="188">
        <f t="shared" si="0"/>
        <v>0</v>
      </c>
      <c r="F11" s="239">
        <f>IFERROR(VLOOKUP(FiscalYr &amp; $B11&amp;F$4,tblForecast,F$2,FALSE),0)</f>
        <v>0</v>
      </c>
      <c r="G11" s="189">
        <f>IFERROR(VLOOKUP(FiscalYr-IF(CompareVer="LY",1,0) &amp; $B11 + IF(FiscalYr=2018,1,0)&amp;G$4,tblForecast,G$2,FALSE),0)</f>
        <v>0</v>
      </c>
      <c r="H11" s="188">
        <f t="shared" si="1"/>
        <v>0</v>
      </c>
      <c r="I11" s="190">
        <f>IFERROR(IF(F10&lt;&gt;0,F11/F10,0),0)</f>
        <v>0</v>
      </c>
      <c r="J11" s="190">
        <f>IFERROR(IF(G10&lt;&gt;0,G11/G10,0),0)</f>
        <v>0</v>
      </c>
      <c r="K11" s="208">
        <f t="shared" ref="K11:K13" si="28">IFERROR(C11*N11,0)</f>
        <v>0</v>
      </c>
      <c r="L11" s="187">
        <f t="shared" ref="L11:L13" si="29">D11*O11</f>
        <v>0</v>
      </c>
      <c r="M11" s="191">
        <f t="shared" si="2"/>
        <v>0</v>
      </c>
      <c r="N11" s="162">
        <f t="shared" si="3"/>
        <v>0</v>
      </c>
      <c r="O11" s="192">
        <f t="shared" si="3"/>
        <v>0</v>
      </c>
      <c r="P11" s="188">
        <f t="shared" ref="P11:P26" si="30">IFERROR(N11-O11,)</f>
        <v>0</v>
      </c>
      <c r="Q11" s="240">
        <f>IFERROR(VLOOKUP(FiscalYr &amp; $B11&amp;Q$4,tblForecast,Q$2,FALSE),0)</f>
        <v>0</v>
      </c>
      <c r="R11" s="193">
        <f>IFERROR(VLOOKUP(FiscalYr-IF(CompareVer="LY",1,0) &amp; $B11 + IF(FiscalYr=2018,1,0)&amp;R$4,tblForecast,R$2,FALSE),0)</f>
        <v>0</v>
      </c>
      <c r="S11" s="188">
        <f t="shared" si="4"/>
        <v>0</v>
      </c>
      <c r="T11" s="240">
        <f>IFERROR(VLOOKUP(FiscalYr &amp; $B11&amp;T$4,tblForecast,T$2,FALSE),0)</f>
        <v>0</v>
      </c>
      <c r="U11" s="193">
        <f>IFERROR(VLOOKUP(FiscalYr-IF(CompareVer="LY",1,0) &amp; $B11 + IF(FiscalYr=2018,1,0)&amp;U$4,tblForecast,U$2,FALSE),0)</f>
        <v>0</v>
      </c>
      <c r="V11" s="188">
        <f t="shared" si="5"/>
        <v>0</v>
      </c>
      <c r="W11" s="240">
        <f>IFERROR(VLOOKUP(FiscalYr &amp; $B11&amp;W$4,tblForecast,W$2,FALSE),0)</f>
        <v>0</v>
      </c>
      <c r="X11" s="193">
        <f>IFERROR(VLOOKUP(FiscalYr-IF(CompareVer="LY",1,0) &amp; $B11 + IF(FiscalYr=2018,1,0)&amp;X$4,tblForecast,X$2,FALSE),0)</f>
        <v>0</v>
      </c>
      <c r="Y11" s="188">
        <f t="shared" si="6"/>
        <v>0</v>
      </c>
      <c r="Z11" s="74">
        <f t="shared" si="7"/>
        <v>0</v>
      </c>
      <c r="AA11" s="194">
        <f t="shared" si="8"/>
        <v>0</v>
      </c>
      <c r="AB11" s="188">
        <f t="shared" ref="AB11:AB25" si="31">IFERROR(Z11-AA11,)</f>
        <v>0</v>
      </c>
      <c r="AC11" s="209">
        <f t="shared" si="9"/>
        <v>0</v>
      </c>
      <c r="AD11" s="196">
        <f t="shared" si="10"/>
        <v>0</v>
      </c>
      <c r="AE11" s="197">
        <f t="shared" ref="AE11:AE74" si="32">AC11-AD11</f>
        <v>0</v>
      </c>
      <c r="AF11" s="239">
        <f>IFERROR(VLOOKUP(FiscalYr &amp; $B11&amp;AF$4,tblForecast,AF$2,FALSE),0)</f>
        <v>0</v>
      </c>
      <c r="AG11" s="189">
        <f>IFERROR(VLOOKUP(FiscalYr-IF(CompareVer="LY",1,0) &amp; $B11 + IF(FiscalYr=2018,1,0)&amp;AG$4,tblForecast,AG$2,FALSE),0)</f>
        <v>0</v>
      </c>
      <c r="AH11" s="188">
        <f t="shared" si="11"/>
        <v>0</v>
      </c>
      <c r="AI11" s="239">
        <f t="shared" si="12"/>
        <v>0</v>
      </c>
      <c r="AJ11" s="189">
        <f t="shared" si="12"/>
        <v>0</v>
      </c>
      <c r="AK11" s="198">
        <f>IF($A11="a",IFERROR(VLOOKUP(FiscalYr &amp; $B11&amp;AK$4,tblForecast,AK$2,FALSE),0),AI11+AJ11)</f>
        <v>0</v>
      </c>
      <c r="AL11" s="189">
        <f>IFERROR(VLOOKUP(FiscalYr-IF(CompareVer="LY",1,0) &amp; $B11 + IF(FiscalYr=2018,1,0)&amp;AL$4,tblForecast,AL$2,FALSE),0)</f>
        <v>0</v>
      </c>
      <c r="AM11" s="188">
        <f t="shared" si="13"/>
        <v>0</v>
      </c>
      <c r="AN11" s="239">
        <f t="shared" si="14"/>
        <v>0</v>
      </c>
      <c r="AO11" s="189">
        <f t="shared" si="14"/>
        <v>0</v>
      </c>
      <c r="AP11" s="188">
        <f t="shared" si="15"/>
        <v>0</v>
      </c>
      <c r="AQ11" s="199">
        <f t="shared" si="16"/>
        <v>0</v>
      </c>
      <c r="AR11" s="210">
        <f t="shared" si="16"/>
        <v>0</v>
      </c>
      <c r="AS11" s="188">
        <f t="shared" ref="AS11:AS60" si="33">IFERROR(AQ11/AR11-1,)</f>
        <v>0</v>
      </c>
      <c r="AT11" s="239">
        <f>IFERROR(VLOOKUP(FiscalYr &amp; $B11&amp;AT$4,tblForecast,AT$2,FALSE),0)</f>
        <v>0</v>
      </c>
      <c r="AU11" s="189">
        <f t="shared" si="17"/>
        <v>0</v>
      </c>
      <c r="AV11" s="188">
        <f t="shared" si="18"/>
        <v>0</v>
      </c>
      <c r="AW11" s="201"/>
      <c r="AX11" s="202"/>
      <c r="AY11" s="188">
        <f t="shared" si="19"/>
        <v>0</v>
      </c>
      <c r="AZ11" s="203"/>
      <c r="BA11" s="189"/>
      <c r="BB11" s="188">
        <f t="shared" si="20"/>
        <v>0</v>
      </c>
      <c r="BC11" s="239">
        <f>IFERROR(VLOOKUP(FiscalYr &amp; $B11&amp;BC$4,tblForecast,BC$2,FALSE),0)</f>
        <v>0</v>
      </c>
      <c r="BD11" s="189">
        <f t="shared" si="21"/>
        <v>0</v>
      </c>
      <c r="BE11" s="188">
        <f t="shared" si="22"/>
        <v>0</v>
      </c>
      <c r="BF11" s="211">
        <f>IFERROR(VLOOKUP(FiscalYr &amp; $B11&amp;BF$4,tblForecast,BF$2,FALSE),0)</f>
        <v>0</v>
      </c>
      <c r="BG11" s="189">
        <f t="shared" si="23"/>
        <v>0</v>
      </c>
      <c r="BH11" s="188">
        <f t="shared" si="24"/>
        <v>0</v>
      </c>
      <c r="BI11" s="189">
        <f t="shared" si="25"/>
        <v>0</v>
      </c>
      <c r="BJ11" s="206">
        <f t="shared" si="25"/>
        <v>0</v>
      </c>
      <c r="BK11" s="194">
        <f t="shared" si="26"/>
        <v>0</v>
      </c>
      <c r="BL11" s="283">
        <f>IFERROR(VLOOKUP(Brand&amp;Channel&amp;Country&amp;$B11,tblDiscount,6,FALSE),0)</f>
        <v>0.3</v>
      </c>
      <c r="BM11" s="249">
        <f t="shared" ref="BM11:BM13" si="34">(1-BL11)*BN11</f>
        <v>0</v>
      </c>
      <c r="BN11" s="249">
        <f>IFERROR(VLOOKUP(Brand&amp;Country &amp; Channel &amp; FC,tblFCSettings,8,FALSE),0)</f>
        <v>0</v>
      </c>
      <c r="BO11" s="284">
        <f>IFERROR(VLOOKUP(Brand&amp;Country &amp; Channel&amp;FC,tblFCSettings,9,FALSE),0)</f>
        <v>0</v>
      </c>
    </row>
    <row r="12" spans="1:67" x14ac:dyDescent="0.25">
      <c r="A12" s="64" t="s">
        <v>375</v>
      </c>
      <c r="B12" s="185">
        <v>3</v>
      </c>
      <c r="C12" s="208">
        <f t="shared" si="27"/>
        <v>0</v>
      </c>
      <c r="D12" s="187">
        <f t="shared" si="27"/>
        <v>0</v>
      </c>
      <c r="E12" s="188">
        <f t="shared" si="0"/>
        <v>0</v>
      </c>
      <c r="F12" s="239">
        <f>IFERROR(VLOOKUP(FiscalYr &amp; $B12&amp;F$4,tblForecast,F$2,FALSE),0)</f>
        <v>0</v>
      </c>
      <c r="G12" s="189">
        <f>IFERROR(VLOOKUP(FiscalYr-IF(CompareVer="LY",1,0) &amp; $B12 + IF(FiscalYr=2018,1,0)&amp;G$4,tblForecast,G$2,FALSE),0)</f>
        <v>0</v>
      </c>
      <c r="H12" s="188">
        <f t="shared" si="1"/>
        <v>0</v>
      </c>
      <c r="I12" s="190">
        <f t="shared" ref="I12:J13" si="35">IFERROR(IF(F11&lt;&gt;0,F12/F11,0),0)</f>
        <v>0</v>
      </c>
      <c r="J12" s="190">
        <f t="shared" si="35"/>
        <v>0</v>
      </c>
      <c r="K12" s="208">
        <f t="shared" si="28"/>
        <v>0</v>
      </c>
      <c r="L12" s="187">
        <f t="shared" si="29"/>
        <v>0</v>
      </c>
      <c r="M12" s="191">
        <f t="shared" si="2"/>
        <v>0</v>
      </c>
      <c r="N12" s="162">
        <f t="shared" si="3"/>
        <v>0</v>
      </c>
      <c r="O12" s="192">
        <f t="shared" si="3"/>
        <v>0</v>
      </c>
      <c r="P12" s="188">
        <f t="shared" si="30"/>
        <v>0</v>
      </c>
      <c r="Q12" s="240">
        <f>IFERROR(VLOOKUP(FiscalYr &amp; $B12&amp;Q$4,tblForecast,Q$2,FALSE),0)</f>
        <v>0</v>
      </c>
      <c r="R12" s="193">
        <f>IFERROR(VLOOKUP(FiscalYr-IF(CompareVer="LY",1,0) &amp; $B12 + IF(FiscalYr=2018,1,0)&amp;R$4,tblForecast,R$2,FALSE),0)</f>
        <v>0</v>
      </c>
      <c r="S12" s="188">
        <f t="shared" si="4"/>
        <v>0</v>
      </c>
      <c r="T12" s="240">
        <f>IFERROR(VLOOKUP(FiscalYr &amp; $B12&amp;T$4,tblForecast,T$2,FALSE),0)</f>
        <v>0</v>
      </c>
      <c r="U12" s="193">
        <f>IFERROR(VLOOKUP(FiscalYr-IF(CompareVer="LY",1,0) &amp; $B12 + IF(FiscalYr=2018,1,0)&amp;U$4,tblForecast,U$2,FALSE),0)</f>
        <v>0</v>
      </c>
      <c r="V12" s="188">
        <f t="shared" si="5"/>
        <v>0</v>
      </c>
      <c r="W12" s="240">
        <f>IFERROR(VLOOKUP(FiscalYr &amp; $B12&amp;W$4,tblForecast,W$2,FALSE),0)</f>
        <v>0</v>
      </c>
      <c r="X12" s="193">
        <f>IFERROR(VLOOKUP(FiscalYr-IF(CompareVer="LY",1,0) &amp; $B12 + IF(FiscalYr=2018,1,0)&amp;X$4,tblForecast,X$2,FALSE),0)</f>
        <v>0</v>
      </c>
      <c r="Y12" s="188">
        <f t="shared" si="6"/>
        <v>0</v>
      </c>
      <c r="Z12" s="74">
        <f t="shared" si="7"/>
        <v>0</v>
      </c>
      <c r="AA12" s="194">
        <f t="shared" si="8"/>
        <v>0</v>
      </c>
      <c r="AB12" s="188">
        <f t="shared" si="31"/>
        <v>0</v>
      </c>
      <c r="AC12" s="209">
        <f t="shared" si="9"/>
        <v>0</v>
      </c>
      <c r="AD12" s="196">
        <f t="shared" si="10"/>
        <v>0</v>
      </c>
      <c r="AE12" s="197">
        <f t="shared" si="32"/>
        <v>0</v>
      </c>
      <c r="AF12" s="239">
        <f>IFERROR(VLOOKUP(FiscalYr &amp; $B12&amp;AF$4,tblForecast,AF$2,FALSE),0)</f>
        <v>0</v>
      </c>
      <c r="AG12" s="189">
        <f>IFERROR(VLOOKUP(FiscalYr-IF(CompareVer="LY",1,0) &amp; $B12 + IF(FiscalYr=2018,1,0)&amp;AG$4,tblForecast,AG$2,FALSE),0)</f>
        <v>0</v>
      </c>
      <c r="AH12" s="188">
        <f t="shared" si="11"/>
        <v>0</v>
      </c>
      <c r="AI12" s="239">
        <f t="shared" si="12"/>
        <v>0</v>
      </c>
      <c r="AJ12" s="189">
        <f t="shared" si="12"/>
        <v>0</v>
      </c>
      <c r="AK12" s="189">
        <f>IF($A12="a",IFERROR(VLOOKUP(FiscalYr &amp; $B12&amp;AK$4,tblForecast,AK$2,FALSE),0),AI12+AJ12)</f>
        <v>0</v>
      </c>
      <c r="AL12" s="189">
        <f>IFERROR(VLOOKUP(FiscalYr-IF(CompareVer="LY",1,0) &amp; $B12 + IF(FiscalYr=2018,1,0)&amp;AL$4,tblForecast,AL$2,FALSE),0)</f>
        <v>0</v>
      </c>
      <c r="AM12" s="188">
        <f t="shared" si="13"/>
        <v>0</v>
      </c>
      <c r="AN12" s="239">
        <f t="shared" si="14"/>
        <v>0</v>
      </c>
      <c r="AO12" s="189">
        <f t="shared" si="14"/>
        <v>0</v>
      </c>
      <c r="AP12" s="188">
        <f t="shared" si="15"/>
        <v>0</v>
      </c>
      <c r="AQ12" s="199">
        <f t="shared" si="16"/>
        <v>0</v>
      </c>
      <c r="AR12" s="210">
        <f t="shared" si="16"/>
        <v>0</v>
      </c>
      <c r="AS12" s="188">
        <f t="shared" si="33"/>
        <v>0</v>
      </c>
      <c r="AT12" s="239">
        <f>IFERROR(VLOOKUP(FiscalYr &amp; $B12&amp;AT$4,tblForecast,AT$2,FALSE),0)</f>
        <v>0</v>
      </c>
      <c r="AU12" s="189">
        <f t="shared" si="17"/>
        <v>0</v>
      </c>
      <c r="AV12" s="188">
        <f t="shared" si="18"/>
        <v>0</v>
      </c>
      <c r="AW12" s="201"/>
      <c r="AX12" s="202"/>
      <c r="AY12" s="188">
        <f t="shared" si="19"/>
        <v>0</v>
      </c>
      <c r="AZ12" s="203"/>
      <c r="BA12" s="189"/>
      <c r="BB12" s="188">
        <f t="shared" si="20"/>
        <v>0</v>
      </c>
      <c r="BC12" s="239">
        <f>IFERROR(VLOOKUP(FiscalYr &amp; $B12&amp;BC$4,tblForecast,BC$2,FALSE),0)</f>
        <v>0</v>
      </c>
      <c r="BD12" s="189">
        <f t="shared" si="21"/>
        <v>0</v>
      </c>
      <c r="BE12" s="188">
        <f t="shared" si="22"/>
        <v>0</v>
      </c>
      <c r="BF12" s="211">
        <f>IFERROR(VLOOKUP(FiscalYr &amp; $B12&amp;BF$4,tblForecast,BF$2,FALSE),0)</f>
        <v>0</v>
      </c>
      <c r="BG12" s="189">
        <f t="shared" si="23"/>
        <v>0</v>
      </c>
      <c r="BH12" s="188">
        <f t="shared" si="24"/>
        <v>0</v>
      </c>
      <c r="BI12" s="189">
        <f t="shared" si="25"/>
        <v>0</v>
      </c>
      <c r="BJ12" s="206">
        <f t="shared" si="25"/>
        <v>0</v>
      </c>
      <c r="BK12" s="194">
        <f t="shared" si="26"/>
        <v>0</v>
      </c>
      <c r="BL12" s="283">
        <f>IFERROR(VLOOKUP(Brand&amp;Channel&amp;Country&amp;$B12,tblDiscount,6,FALSE),0)</f>
        <v>0.3</v>
      </c>
      <c r="BM12" s="249">
        <f t="shared" si="34"/>
        <v>0</v>
      </c>
      <c r="BN12" s="249">
        <f>IFERROR(VLOOKUP(Brand&amp;Country &amp; Channel &amp; FC,tblFCSettings,8,FALSE),0)</f>
        <v>0</v>
      </c>
      <c r="BO12" s="284">
        <f>IFERROR(VLOOKUP(Brand&amp;Country &amp; Channel&amp;FC,tblFCSettings,9,FALSE),0)</f>
        <v>0</v>
      </c>
    </row>
    <row r="13" spans="1:67" ht="16.5" thickBot="1" x14ac:dyDescent="0.3">
      <c r="A13" s="64" t="s">
        <v>375</v>
      </c>
      <c r="B13" s="185">
        <v>4</v>
      </c>
      <c r="C13" s="212">
        <f t="shared" si="27"/>
        <v>0</v>
      </c>
      <c r="D13" s="187">
        <f t="shared" si="27"/>
        <v>0</v>
      </c>
      <c r="E13" s="188">
        <f t="shared" si="0"/>
        <v>0</v>
      </c>
      <c r="F13" s="239">
        <f>IFERROR(VLOOKUP(FiscalYr &amp; $B13&amp;F$4,tblForecast,F$2,FALSE),0)</f>
        <v>0</v>
      </c>
      <c r="G13" s="189">
        <f>IFERROR(VLOOKUP(FiscalYr-IF(CompareVer="LY",1,0) &amp; $B13 + IF(FiscalYr=2018,1,0)&amp;G$4,tblForecast,G$2,FALSE),0)</f>
        <v>0</v>
      </c>
      <c r="H13" s="188">
        <f t="shared" si="1"/>
        <v>0</v>
      </c>
      <c r="I13" s="190">
        <f t="shared" si="35"/>
        <v>0</v>
      </c>
      <c r="J13" s="190">
        <f t="shared" si="35"/>
        <v>0</v>
      </c>
      <c r="K13" s="212">
        <f t="shared" si="28"/>
        <v>0</v>
      </c>
      <c r="L13" s="187">
        <f t="shared" si="29"/>
        <v>0</v>
      </c>
      <c r="M13" s="191">
        <f t="shared" si="2"/>
        <v>0</v>
      </c>
      <c r="N13" s="162">
        <f t="shared" si="3"/>
        <v>0</v>
      </c>
      <c r="O13" s="192">
        <f t="shared" si="3"/>
        <v>0</v>
      </c>
      <c r="P13" s="188">
        <f t="shared" si="30"/>
        <v>0</v>
      </c>
      <c r="Q13" s="240">
        <f>IFERROR(VLOOKUP(FiscalYr &amp; $B13&amp;Q$4,tblForecast,Q$2,FALSE),0)</f>
        <v>0</v>
      </c>
      <c r="R13" s="193">
        <f>IFERROR(VLOOKUP(FiscalYr-IF(CompareVer="LY",1,0) &amp; $B13 + IF(FiscalYr=2018,1,0)&amp;R$4,tblForecast,R$2,FALSE),0)</f>
        <v>0</v>
      </c>
      <c r="S13" s="188">
        <f t="shared" si="4"/>
        <v>0</v>
      </c>
      <c r="T13" s="240">
        <f>IFERROR(VLOOKUP(FiscalYr &amp; $B13&amp;T$4,tblForecast,T$2,FALSE),0)</f>
        <v>0</v>
      </c>
      <c r="U13" s="193">
        <f>IFERROR(VLOOKUP(FiscalYr-IF(CompareVer="LY",1,0) &amp; $B13 + IF(FiscalYr=2018,1,0)&amp;U$4,tblForecast,U$2,FALSE),0)</f>
        <v>0</v>
      </c>
      <c r="V13" s="188">
        <f t="shared" si="5"/>
        <v>0</v>
      </c>
      <c r="W13" s="240">
        <f>IFERROR(VLOOKUP(FiscalYr &amp; $B13&amp;W$4,tblForecast,W$2,FALSE),0)</f>
        <v>0</v>
      </c>
      <c r="X13" s="193">
        <f>IFERROR(VLOOKUP(FiscalYr-IF(CompareVer="LY",1,0) &amp; $B13 + IF(FiscalYr=2018,1,0)&amp;X$4,tblForecast,X$2,FALSE),0)</f>
        <v>0</v>
      </c>
      <c r="Y13" s="188">
        <f t="shared" si="6"/>
        <v>0</v>
      </c>
      <c r="Z13" s="74">
        <f t="shared" si="7"/>
        <v>0</v>
      </c>
      <c r="AA13" s="194">
        <f t="shared" si="8"/>
        <v>0</v>
      </c>
      <c r="AB13" s="188">
        <f t="shared" si="31"/>
        <v>0</v>
      </c>
      <c r="AC13" s="209">
        <f t="shared" si="9"/>
        <v>0</v>
      </c>
      <c r="AD13" s="196">
        <f t="shared" si="10"/>
        <v>0</v>
      </c>
      <c r="AE13" s="197">
        <f t="shared" si="32"/>
        <v>0</v>
      </c>
      <c r="AF13" s="239">
        <f>IFERROR(VLOOKUP(FiscalYr &amp; $B13&amp;AF$4,tblForecast,AF$2,FALSE),0)</f>
        <v>0</v>
      </c>
      <c r="AG13" s="189">
        <f>IFERROR(VLOOKUP(FiscalYr-IF(CompareVer="LY",1,0) &amp; $B13 + IF(FiscalYr=2018,1,0)&amp;AG$4,tblForecast,AG$2,FALSE),0)</f>
        <v>0</v>
      </c>
      <c r="AH13" s="188">
        <f t="shared" si="11"/>
        <v>0</v>
      </c>
      <c r="AI13" s="239">
        <f t="shared" si="12"/>
        <v>0</v>
      </c>
      <c r="AJ13" s="189">
        <f t="shared" si="12"/>
        <v>0</v>
      </c>
      <c r="AK13" s="189">
        <f>IF($A13="a",IFERROR(VLOOKUP(FiscalYr &amp; $B13&amp;AK$4,tblForecast,AK$2,FALSE),0),AI13+AJ13)</f>
        <v>0</v>
      </c>
      <c r="AL13" s="189">
        <f>IFERROR(VLOOKUP(FiscalYr-IF(CompareVer="LY",1,0) &amp; $B13 + IF(FiscalYr=2018,1,0)&amp;AL$4,tblForecast,AL$2,FALSE),0)</f>
        <v>0</v>
      </c>
      <c r="AM13" s="188">
        <f t="shared" si="13"/>
        <v>0</v>
      </c>
      <c r="AN13" s="239">
        <f t="shared" si="14"/>
        <v>0</v>
      </c>
      <c r="AO13" s="189">
        <f t="shared" si="14"/>
        <v>0</v>
      </c>
      <c r="AP13" s="188">
        <f t="shared" si="15"/>
        <v>0</v>
      </c>
      <c r="AQ13" s="199">
        <f t="shared" si="16"/>
        <v>0</v>
      </c>
      <c r="AR13" s="210">
        <f t="shared" si="16"/>
        <v>0</v>
      </c>
      <c r="AS13" s="188">
        <f t="shared" si="33"/>
        <v>0</v>
      </c>
      <c r="AT13" s="239">
        <f>IFERROR(VLOOKUP(FiscalYr &amp; $B13&amp;AT$4,tblForecast,AT$2,FALSE),0)</f>
        <v>0</v>
      </c>
      <c r="AU13" s="189">
        <f t="shared" si="17"/>
        <v>0</v>
      </c>
      <c r="AV13" s="188">
        <f t="shared" si="18"/>
        <v>0</v>
      </c>
      <c r="AW13" s="201"/>
      <c r="AX13" s="202"/>
      <c r="AY13" s="188">
        <f t="shared" si="19"/>
        <v>0</v>
      </c>
      <c r="AZ13" s="203"/>
      <c r="BA13" s="189"/>
      <c r="BB13" s="188">
        <f t="shared" si="20"/>
        <v>0</v>
      </c>
      <c r="BC13" s="239">
        <f>IFERROR(VLOOKUP(FiscalYr &amp; $B13&amp;BC$4,tblForecast,BC$2,FALSE),0)</f>
        <v>0</v>
      </c>
      <c r="BD13" s="189">
        <f t="shared" si="21"/>
        <v>0</v>
      </c>
      <c r="BE13" s="188">
        <f t="shared" si="22"/>
        <v>0</v>
      </c>
      <c r="BF13" s="211">
        <f>IFERROR(VLOOKUP(FiscalYr &amp; $B13&amp;BF$4,tblForecast,BF$2,FALSE),0)</f>
        <v>0</v>
      </c>
      <c r="BG13" s="189">
        <f t="shared" si="23"/>
        <v>0</v>
      </c>
      <c r="BH13" s="188">
        <f t="shared" si="24"/>
        <v>0</v>
      </c>
      <c r="BI13" s="189">
        <f t="shared" si="25"/>
        <v>0</v>
      </c>
      <c r="BJ13" s="206">
        <f t="shared" si="25"/>
        <v>0</v>
      </c>
      <c r="BK13" s="194">
        <f t="shared" si="26"/>
        <v>0</v>
      </c>
      <c r="BL13" s="283">
        <f>IFERROR(VLOOKUP(Brand&amp;Channel&amp;Country&amp;$B13,tblDiscount,6,FALSE),0)</f>
        <v>0.3</v>
      </c>
      <c r="BM13" s="249">
        <f t="shared" si="34"/>
        <v>0</v>
      </c>
      <c r="BN13" s="249">
        <f>IFERROR(VLOOKUP(Brand&amp;Country &amp; Channel &amp; FC,tblFCSettings,8,FALSE),0)</f>
        <v>0</v>
      </c>
      <c r="BO13" s="284">
        <f>IFERROR(VLOOKUP(Brand&amp;Country &amp; Channel&amp;FC,tblFCSettings,9,FALSE),0)</f>
        <v>0</v>
      </c>
    </row>
    <row r="14" spans="1:67" ht="16.5" thickBot="1" x14ac:dyDescent="0.3">
      <c r="B14" s="241" t="s">
        <v>22</v>
      </c>
      <c r="C14" s="213">
        <f>SUM(C10:C13)</f>
        <v>0</v>
      </c>
      <c r="D14" s="214">
        <f>SUM(D10:D13)</f>
        <v>0</v>
      </c>
      <c r="E14" s="215">
        <f t="shared" si="0"/>
        <v>0</v>
      </c>
      <c r="F14" s="216">
        <f>SUM(F10:F13)</f>
        <v>0</v>
      </c>
      <c r="G14" s="217">
        <f>SUM(G10:G13)</f>
        <v>0</v>
      </c>
      <c r="H14" s="215">
        <f t="shared" si="1"/>
        <v>0</v>
      </c>
      <c r="I14" s="218">
        <f>IFERROR(IF(G76&lt;&gt;0,F14/G76,0),0)</f>
        <v>0</v>
      </c>
      <c r="J14" s="218">
        <v>0</v>
      </c>
      <c r="K14" s="213">
        <f>SUM(K10:K13)</f>
        <v>0</v>
      </c>
      <c r="L14" s="214">
        <f>SUM(L10:L13)</f>
        <v>0</v>
      </c>
      <c r="M14" s="219">
        <f t="shared" si="2"/>
        <v>0</v>
      </c>
      <c r="N14" s="220">
        <f>IFERROR(K14/C14,0)</f>
        <v>0</v>
      </c>
      <c r="O14" s="221">
        <f>IFERROR(L14/D14,0)</f>
        <v>0</v>
      </c>
      <c r="P14" s="215">
        <f t="shared" si="30"/>
        <v>0</v>
      </c>
      <c r="Q14" s="222">
        <f>IFERROR(C14/F14,0)</f>
        <v>0</v>
      </c>
      <c r="R14" s="223">
        <f>IFERROR(D14/G14,0)</f>
        <v>0</v>
      </c>
      <c r="S14" s="215">
        <f t="shared" si="4"/>
        <v>0</v>
      </c>
      <c r="T14" s="222">
        <f>IFERROR((C14*(1-N14))/F14,0)</f>
        <v>0</v>
      </c>
      <c r="U14" s="223">
        <f>IFERROR((D14*(1-O14))/G14,0)</f>
        <v>0</v>
      </c>
      <c r="V14" s="215">
        <f t="shared" si="5"/>
        <v>0</v>
      </c>
      <c r="W14" s="222">
        <f>IFERROR(SUMPRODUCT(W10:W13,F10:F13)/F14,0)</f>
        <v>0</v>
      </c>
      <c r="X14" s="223">
        <f>IFERROR(SUMPRODUCT(X10:X13,G10:G13)/G14,0)</f>
        <v>0</v>
      </c>
      <c r="Y14" s="215">
        <f t="shared" si="6"/>
        <v>0</v>
      </c>
      <c r="Z14" s="224">
        <f t="shared" si="7"/>
        <v>0</v>
      </c>
      <c r="AA14" s="225">
        <f t="shared" si="8"/>
        <v>0</v>
      </c>
      <c r="AB14" s="215">
        <f t="shared" si="31"/>
        <v>0</v>
      </c>
      <c r="AC14" s="226">
        <f t="shared" si="9"/>
        <v>0</v>
      </c>
      <c r="AD14" s="227">
        <f t="shared" si="10"/>
        <v>0</v>
      </c>
      <c r="AE14" s="228">
        <f t="shared" si="32"/>
        <v>0</v>
      </c>
      <c r="AF14" s="216">
        <f>AF13</f>
        <v>0</v>
      </c>
      <c r="AG14" s="217">
        <f>AG13</f>
        <v>0</v>
      </c>
      <c r="AH14" s="215">
        <f t="shared" si="11"/>
        <v>0</v>
      </c>
      <c r="AI14" s="216">
        <f>SUM(AI10:AI13)</f>
        <v>0</v>
      </c>
      <c r="AJ14" s="217">
        <f>SUM(AJ10:AJ13)</f>
        <v>0</v>
      </c>
      <c r="AK14" s="217">
        <f>SUM(AK10:AK13)</f>
        <v>0</v>
      </c>
      <c r="AL14" s="217">
        <f>SUM(AL10:AL13)</f>
        <v>0</v>
      </c>
      <c r="AM14" s="215">
        <f t="shared" si="13"/>
        <v>0</v>
      </c>
      <c r="AN14" s="216">
        <f>SUM(AN10:AN13)</f>
        <v>0</v>
      </c>
      <c r="AO14" s="217">
        <f t="shared" ref="AO14:AO59" si="36">IFERROR(VLOOKUP(FiscalYr-1 &amp; $B14&amp; FCLY,tblForecast,AN$2,FALSE),0)</f>
        <v>0</v>
      </c>
      <c r="AP14" s="215">
        <f t="shared" si="15"/>
        <v>0</v>
      </c>
      <c r="AQ14" s="229">
        <f>IF(F14&lt;&gt;0,(AF14*COUNTIF(AQ10:AQ13,"&lt;&gt;0")/F14),0)</f>
        <v>0</v>
      </c>
      <c r="AR14" s="230">
        <f>IF(G14&lt;&gt;0,(AG14*COUNTIF(AR10:AR13,"&lt;&gt;0")/G14),0)</f>
        <v>0</v>
      </c>
      <c r="AS14" s="215">
        <f t="shared" si="33"/>
        <v>0</v>
      </c>
      <c r="AT14" s="216">
        <f>SUM(AT10:AT13)</f>
        <v>0</v>
      </c>
      <c r="AU14" s="217">
        <f>SUM(AU10:AU13)</f>
        <v>0</v>
      </c>
      <c r="AV14" s="215">
        <f t="shared" si="18"/>
        <v>0</v>
      </c>
      <c r="AW14" s="231"/>
      <c r="AX14" s="232"/>
      <c r="AY14" s="215">
        <f t="shared" si="19"/>
        <v>0</v>
      </c>
      <c r="AZ14" s="233">
        <f>SUM(AZ10:AZ13)</f>
        <v>0</v>
      </c>
      <c r="BA14" s="217">
        <f>SUM(BA10:BA13)</f>
        <v>0</v>
      </c>
      <c r="BB14" s="215">
        <f t="shared" si="20"/>
        <v>0</v>
      </c>
      <c r="BC14" s="216">
        <f>SUM(BC10:BC13)</f>
        <v>0</v>
      </c>
      <c r="BD14" s="217">
        <f>SUM(BD10:BD13)</f>
        <v>0</v>
      </c>
      <c r="BE14" s="215">
        <f t="shared" si="22"/>
        <v>0</v>
      </c>
      <c r="BF14" s="234">
        <f>SUM(BF10:BF13)</f>
        <v>0</v>
      </c>
      <c r="BG14" s="235">
        <f>SUM(BG10:BG13)</f>
        <v>0</v>
      </c>
      <c r="BH14" s="215">
        <f t="shared" si="24"/>
        <v>0</v>
      </c>
      <c r="BI14" s="235">
        <f>IF(F14&lt;&gt;0,BF14*COUNTIF(BI10:BI13,"&lt;&gt;0")/F14,0)</f>
        <v>0</v>
      </c>
      <c r="BJ14" s="236">
        <f>IF(G14&lt;&gt;0,BG14*COUNTIF(BJ10:BJ13,"&lt;&gt;0")/G14,0)</f>
        <v>0</v>
      </c>
      <c r="BK14" s="225">
        <f t="shared" si="26"/>
        <v>0</v>
      </c>
      <c r="BL14" s="283"/>
      <c r="BM14" s="249"/>
      <c r="BN14" s="249"/>
      <c r="BO14" s="284"/>
    </row>
    <row r="15" spans="1:67" x14ac:dyDescent="0.25">
      <c r="A15" s="64" t="s">
        <v>375</v>
      </c>
      <c r="B15" s="185">
        <v>5</v>
      </c>
      <c r="C15" s="208">
        <f t="shared" ref="C15:D19" si="37">F15*Q15</f>
        <v>0</v>
      </c>
      <c r="D15" s="187">
        <f t="shared" si="37"/>
        <v>0</v>
      </c>
      <c r="E15" s="188">
        <f t="shared" si="0"/>
        <v>0</v>
      </c>
      <c r="F15" s="239">
        <f>IFERROR(VLOOKUP(FiscalYr &amp; $B15&amp;F$4,tblForecast,F$2,FALSE),0)</f>
        <v>0</v>
      </c>
      <c r="G15" s="189">
        <f>IFERROR(VLOOKUP(FiscalYr-IF(CompareVer="LY",1,0) &amp; $B15 + IF(FiscalYr=2018,1,0)&amp;G$4,tblForecast,G$2,FALSE),0)</f>
        <v>0</v>
      </c>
      <c r="H15" s="188">
        <f t="shared" si="1"/>
        <v>0</v>
      </c>
      <c r="I15" s="190">
        <f>IFERROR(IF(F13&gt;0,F15/F13,0),0)</f>
        <v>0</v>
      </c>
      <c r="J15" s="190">
        <f>IFERROR(IF(G13&gt;0,G15/G13,0),0)</f>
        <v>0</v>
      </c>
      <c r="K15" s="208">
        <f t="shared" ref="K15:K19" si="38">IFERROR(C15*N15,0)</f>
        <v>0</v>
      </c>
      <c r="L15" s="187">
        <f t="shared" ref="L15:L19" si="39">D15*O15</f>
        <v>0</v>
      </c>
      <c r="M15" s="191">
        <f t="shared" si="2"/>
        <v>0</v>
      </c>
      <c r="N15" s="162">
        <f t="shared" ref="N15:O19" si="40">IF(Q15&lt;&gt;0,1-T15/Q15,0)</f>
        <v>0</v>
      </c>
      <c r="O15" s="192">
        <f t="shared" si="40"/>
        <v>0</v>
      </c>
      <c r="P15" s="188">
        <f t="shared" si="30"/>
        <v>0</v>
      </c>
      <c r="Q15" s="240">
        <f>IFERROR(VLOOKUP(FiscalYr &amp; $B15&amp;Q$4,tblForecast,Q$2,FALSE),0)</f>
        <v>0</v>
      </c>
      <c r="R15" s="193">
        <f>IFERROR(VLOOKUP(FiscalYr-IF(CompareVer="LY",1,0) &amp; $B15 + IF(FiscalYr=2018,1,0)&amp;R$4,tblForecast,R$2,FALSE),0)</f>
        <v>0</v>
      </c>
      <c r="S15" s="188">
        <f t="shared" si="4"/>
        <v>0</v>
      </c>
      <c r="T15" s="240">
        <f>IFERROR(VLOOKUP(FiscalYr &amp; $B15&amp;T$4,tblForecast,T$2,FALSE),0)</f>
        <v>0</v>
      </c>
      <c r="U15" s="193">
        <f>IFERROR(VLOOKUP(FiscalYr-IF(CompareVer="LY",1,0) &amp; $B15 + IF(FiscalYr=2018,1,0)&amp;U$4,tblForecast,U$2,FALSE),0)</f>
        <v>0</v>
      </c>
      <c r="V15" s="188">
        <f t="shared" si="5"/>
        <v>0</v>
      </c>
      <c r="W15" s="240">
        <f>IFERROR(VLOOKUP(FiscalYr &amp; $B15&amp;W$4,tblForecast,W$2,FALSE),0)</f>
        <v>0</v>
      </c>
      <c r="X15" s="193">
        <f>IFERROR(VLOOKUP(FiscalYr-IF(CompareVer="LY",1,0) &amp; $B15 + IF(FiscalYr=2018,1,0)&amp;X$4,tblForecast,X$2,FALSE),0)</f>
        <v>0</v>
      </c>
      <c r="Y15" s="188">
        <f t="shared" si="6"/>
        <v>0</v>
      </c>
      <c r="Z15" s="74">
        <f t="shared" si="7"/>
        <v>0</v>
      </c>
      <c r="AA15" s="194">
        <f t="shared" si="8"/>
        <v>0</v>
      </c>
      <c r="AB15" s="188">
        <f t="shared" si="31"/>
        <v>0</v>
      </c>
      <c r="AC15" s="209">
        <f t="shared" si="9"/>
        <v>0</v>
      </c>
      <c r="AD15" s="196">
        <f t="shared" si="10"/>
        <v>0</v>
      </c>
      <c r="AE15" s="197">
        <f t="shared" si="32"/>
        <v>0</v>
      </c>
      <c r="AF15" s="239">
        <f>IFERROR(VLOOKUP(FiscalYr &amp; $B15&amp;AF$4,tblForecast,AF$2,FALSE),0)</f>
        <v>0</v>
      </c>
      <c r="AG15" s="189">
        <f>IFERROR(VLOOKUP(FiscalYr-IF(CompareVer="LY",1,0) &amp; $B15 + IF(FiscalYr=2018,1,0)&amp;AG$4,tblForecast,AG$2,FALSE),0)</f>
        <v>0</v>
      </c>
      <c r="AH15" s="188">
        <f t="shared" si="11"/>
        <v>0</v>
      </c>
      <c r="AI15" s="239">
        <f t="shared" ref="AI15:AJ19" si="41">IFERROR(VLOOKUP(FiscalYr &amp; $B15&amp;AI$4,tblForecast,AI$2,FALSE),0)</f>
        <v>0</v>
      </c>
      <c r="AJ15" s="189">
        <f t="shared" si="41"/>
        <v>0</v>
      </c>
      <c r="AK15" s="189">
        <f>IF($A15="a",IFERROR(VLOOKUP(FiscalYr &amp; $B15&amp;AK$4,tblForecast,AK$2,FALSE),0),AI15+AJ15)</f>
        <v>0</v>
      </c>
      <c r="AL15" s="189">
        <f>IFERROR(VLOOKUP(FiscalYr-IF(CompareVer="LY",1,0) &amp; $B15 + IF(FiscalYr=2018,1,0)&amp;AL$4,tblForecast,AL$2,FALSE),0)</f>
        <v>0</v>
      </c>
      <c r="AM15" s="188">
        <f t="shared" si="13"/>
        <v>0</v>
      </c>
      <c r="AN15" s="239">
        <f t="shared" ref="AN15:AO19" si="42">IFERROR(VLOOKUP(FiscalYr &amp; $B15&amp;AN$4,tblForecast,AN$2,FALSE),0)</f>
        <v>0</v>
      </c>
      <c r="AO15" s="189">
        <f t="shared" si="42"/>
        <v>0</v>
      </c>
      <c r="AP15" s="188">
        <f t="shared" si="15"/>
        <v>0</v>
      </c>
      <c r="AQ15" s="199">
        <f t="shared" ref="AQ15:AR19" si="43">IF(F15&lt;&gt;0,AF15/F15,0)</f>
        <v>0</v>
      </c>
      <c r="AR15" s="210">
        <f t="shared" si="43"/>
        <v>0</v>
      </c>
      <c r="AS15" s="188">
        <f t="shared" si="33"/>
        <v>0</v>
      </c>
      <c r="AT15" s="239">
        <f>IFERROR(VLOOKUP(FiscalYr &amp; $B15&amp;AT$4,tblForecast,AT$2,FALSE),0)</f>
        <v>0</v>
      </c>
      <c r="AU15" s="189">
        <f t="shared" si="17"/>
        <v>0</v>
      </c>
      <c r="AV15" s="188">
        <f t="shared" si="18"/>
        <v>0</v>
      </c>
      <c r="AW15" s="201"/>
      <c r="AX15" s="202"/>
      <c r="AY15" s="188">
        <f t="shared" si="19"/>
        <v>0</v>
      </c>
      <c r="AZ15" s="203"/>
      <c r="BA15" s="189"/>
      <c r="BB15" s="188">
        <f t="shared" si="20"/>
        <v>0</v>
      </c>
      <c r="BC15" s="239">
        <f>IFERROR(VLOOKUP(FiscalYr &amp; $B15&amp;BC$4,tblForecast,BC$2,FALSE),0)</f>
        <v>0</v>
      </c>
      <c r="BD15" s="189">
        <f t="shared" si="21"/>
        <v>0</v>
      </c>
      <c r="BE15" s="188">
        <f t="shared" si="22"/>
        <v>0</v>
      </c>
      <c r="BF15" s="211">
        <f>IFERROR(VLOOKUP(FiscalYr &amp; $B15&amp;BF$4,tblForecast,BF$2,FALSE),0)</f>
        <v>0</v>
      </c>
      <c r="BG15" s="189">
        <f t="shared" si="23"/>
        <v>0</v>
      </c>
      <c r="BH15" s="188">
        <f t="shared" si="24"/>
        <v>0</v>
      </c>
      <c r="BI15" s="189">
        <f t="shared" ref="BI15:BI24" si="44">IF(F15&lt;&gt;0,BF15/F15,0)</f>
        <v>0</v>
      </c>
      <c r="BJ15" s="206">
        <f t="shared" ref="BJ15:BJ24" si="45">IF(G15&lt;&gt;0,BG15/G15,0)</f>
        <v>0</v>
      </c>
      <c r="BK15" s="194">
        <f t="shared" si="26"/>
        <v>0</v>
      </c>
      <c r="BL15" s="283">
        <f>IFERROR(VLOOKUP(Brand&amp;Channel&amp;Country&amp;$B15,tblDiscount,6,FALSE),0)</f>
        <v>0.35</v>
      </c>
      <c r="BM15" s="249">
        <f>(1-BL15)*BN15</f>
        <v>0</v>
      </c>
      <c r="BN15" s="249">
        <f>IFERROR(VLOOKUP(Brand&amp;Country &amp; Channel &amp;FC,tblFCSettings,8,FALSE),0)</f>
        <v>0</v>
      </c>
      <c r="BO15" s="284">
        <f>IFERROR(VLOOKUP(Brand&amp;Country &amp; Channel &amp;FC,tblFCSettings,9,FALSE),0)</f>
        <v>0</v>
      </c>
    </row>
    <row r="16" spans="1:67" x14ac:dyDescent="0.25">
      <c r="A16" s="64" t="s">
        <v>375</v>
      </c>
      <c r="B16" s="185">
        <v>6</v>
      </c>
      <c r="C16" s="208">
        <f t="shared" si="37"/>
        <v>0</v>
      </c>
      <c r="D16" s="187">
        <f t="shared" si="37"/>
        <v>0</v>
      </c>
      <c r="E16" s="188">
        <f t="shared" si="0"/>
        <v>0</v>
      </c>
      <c r="F16" s="239">
        <f>IFERROR(VLOOKUP(FiscalYr &amp; $B16&amp;F$4,tblForecast,F$2,FALSE),0)</f>
        <v>0</v>
      </c>
      <c r="G16" s="189">
        <f>IFERROR(VLOOKUP(FiscalYr-IF(CompareVer="LY",1,0) &amp; $B16 + IF(FiscalYr=2018,1,0)&amp;G$4,tblForecast,G$2,FALSE),0)</f>
        <v>0</v>
      </c>
      <c r="H16" s="188">
        <f t="shared" si="1"/>
        <v>0</v>
      </c>
      <c r="I16" s="190">
        <f t="shared" ref="I16:J24" si="46">IFERROR(IF(F15&lt;&gt;0,F16/F15,0),0)</f>
        <v>0</v>
      </c>
      <c r="J16" s="190">
        <f t="shared" si="46"/>
        <v>0</v>
      </c>
      <c r="K16" s="208">
        <f t="shared" si="38"/>
        <v>0</v>
      </c>
      <c r="L16" s="187">
        <f t="shared" si="39"/>
        <v>0</v>
      </c>
      <c r="M16" s="191">
        <f t="shared" si="2"/>
        <v>0</v>
      </c>
      <c r="N16" s="162">
        <f t="shared" si="40"/>
        <v>0</v>
      </c>
      <c r="O16" s="192">
        <f t="shared" si="40"/>
        <v>0</v>
      </c>
      <c r="P16" s="188">
        <f t="shared" si="30"/>
        <v>0</v>
      </c>
      <c r="Q16" s="240">
        <f>IFERROR(VLOOKUP(FiscalYr &amp; $B16&amp;Q$4,tblForecast,Q$2,FALSE),0)</f>
        <v>0</v>
      </c>
      <c r="R16" s="193">
        <f>IFERROR(VLOOKUP(FiscalYr-IF(CompareVer="LY",1,0) &amp; $B16 + IF(FiscalYr=2018,1,0)&amp;R$4,tblForecast,R$2,FALSE),0)</f>
        <v>0</v>
      </c>
      <c r="S16" s="188">
        <f t="shared" si="4"/>
        <v>0</v>
      </c>
      <c r="T16" s="240">
        <f>IFERROR(VLOOKUP(FiscalYr &amp; $B16&amp;T$4,tblForecast,T$2,FALSE),0)</f>
        <v>0</v>
      </c>
      <c r="U16" s="193">
        <f>IFERROR(VLOOKUP(FiscalYr-IF(CompareVer="LY",1,0) &amp; $B16 + IF(FiscalYr=2018,1,0)&amp;U$4,tblForecast,U$2,FALSE),0)</f>
        <v>0</v>
      </c>
      <c r="V16" s="188">
        <f t="shared" si="5"/>
        <v>0</v>
      </c>
      <c r="W16" s="240">
        <f>IFERROR(VLOOKUP(FiscalYr &amp; $B16&amp;W$4,tblForecast,W$2,FALSE),0)</f>
        <v>0</v>
      </c>
      <c r="X16" s="193">
        <f>IFERROR(VLOOKUP(FiscalYr-IF(CompareVer="LY",1,0) &amp; $B16 + IF(FiscalYr=2018,1,0)&amp;X$4,tblForecast,X$2,FALSE),0)</f>
        <v>0</v>
      </c>
      <c r="Y16" s="188">
        <f t="shared" si="6"/>
        <v>0</v>
      </c>
      <c r="Z16" s="74">
        <f t="shared" si="7"/>
        <v>0</v>
      </c>
      <c r="AA16" s="194">
        <f t="shared" si="8"/>
        <v>0</v>
      </c>
      <c r="AB16" s="188">
        <f t="shared" si="31"/>
        <v>0</v>
      </c>
      <c r="AC16" s="209">
        <f t="shared" si="9"/>
        <v>0</v>
      </c>
      <c r="AD16" s="196">
        <f t="shared" si="10"/>
        <v>0</v>
      </c>
      <c r="AE16" s="197">
        <f t="shared" si="32"/>
        <v>0</v>
      </c>
      <c r="AF16" s="239">
        <f>IFERROR(VLOOKUP(FiscalYr &amp; $B16&amp;AF$4,tblForecast,AF$2,FALSE),0)</f>
        <v>0</v>
      </c>
      <c r="AG16" s="189">
        <f>IFERROR(VLOOKUP(FiscalYr-IF(CompareVer="LY",1,0) &amp; $B16 + IF(FiscalYr=2018,1,0)&amp;AG$4,tblForecast,AG$2,FALSE),0)</f>
        <v>0</v>
      </c>
      <c r="AH16" s="188">
        <f t="shared" si="11"/>
        <v>0</v>
      </c>
      <c r="AI16" s="239">
        <f t="shared" si="41"/>
        <v>0</v>
      </c>
      <c r="AJ16" s="189">
        <f t="shared" si="41"/>
        <v>0</v>
      </c>
      <c r="AK16" s="189">
        <f>IF($A16="a",IFERROR(VLOOKUP(FiscalYr &amp; $B16&amp;AK$4,tblForecast,AK$2,FALSE),0),AI16+AJ16)</f>
        <v>0</v>
      </c>
      <c r="AL16" s="189">
        <f>IFERROR(VLOOKUP(FiscalYr-IF(CompareVer="LY",1,0) &amp; $B16 + IF(FiscalYr=2018,1,0)&amp;AL$4,tblForecast,AL$2,FALSE),0)</f>
        <v>0</v>
      </c>
      <c r="AM16" s="188">
        <f t="shared" si="13"/>
        <v>0</v>
      </c>
      <c r="AN16" s="239">
        <f t="shared" si="42"/>
        <v>0</v>
      </c>
      <c r="AO16" s="189">
        <f t="shared" si="42"/>
        <v>0</v>
      </c>
      <c r="AP16" s="188">
        <f t="shared" si="15"/>
        <v>0</v>
      </c>
      <c r="AQ16" s="199">
        <f t="shared" si="43"/>
        <v>0</v>
      </c>
      <c r="AR16" s="210">
        <f t="shared" si="43"/>
        <v>0</v>
      </c>
      <c r="AS16" s="188">
        <f t="shared" si="33"/>
        <v>0</v>
      </c>
      <c r="AT16" s="239">
        <f>IFERROR(VLOOKUP(FiscalYr &amp; $B16&amp;AT$4,tblForecast,AT$2,FALSE),0)</f>
        <v>0</v>
      </c>
      <c r="AU16" s="189">
        <f t="shared" si="17"/>
        <v>0</v>
      </c>
      <c r="AV16" s="188">
        <f t="shared" si="18"/>
        <v>0</v>
      </c>
      <c r="AW16" s="201"/>
      <c r="AX16" s="202"/>
      <c r="AY16" s="188">
        <f t="shared" si="19"/>
        <v>0</v>
      </c>
      <c r="AZ16" s="203"/>
      <c r="BA16" s="189"/>
      <c r="BB16" s="188">
        <f t="shared" si="20"/>
        <v>0</v>
      </c>
      <c r="BC16" s="239">
        <f>IFERROR(VLOOKUP(FiscalYr &amp; $B16&amp;BC$4,tblForecast,BC$2,FALSE),0)</f>
        <v>0</v>
      </c>
      <c r="BD16" s="189">
        <f t="shared" si="21"/>
        <v>0</v>
      </c>
      <c r="BE16" s="188">
        <f t="shared" si="22"/>
        <v>0</v>
      </c>
      <c r="BF16" s="211">
        <f>IFERROR(VLOOKUP(FiscalYr &amp; $B16&amp;BF$4,tblForecast,BF$2,FALSE),0)</f>
        <v>0</v>
      </c>
      <c r="BG16" s="189">
        <f t="shared" si="23"/>
        <v>0</v>
      </c>
      <c r="BH16" s="188">
        <f t="shared" si="24"/>
        <v>0</v>
      </c>
      <c r="BI16" s="189">
        <f t="shared" si="44"/>
        <v>0</v>
      </c>
      <c r="BJ16" s="206">
        <f t="shared" si="45"/>
        <v>0</v>
      </c>
      <c r="BK16" s="194">
        <f t="shared" si="26"/>
        <v>0</v>
      </c>
      <c r="BL16" s="283">
        <f>IFERROR(VLOOKUP(Brand&amp;Channel&amp;Country&amp;$B16,tblDiscount,6,FALSE),0)</f>
        <v>0.35</v>
      </c>
      <c r="BM16" s="249">
        <f t="shared" ref="BM16:BM18" si="47">(1-BL16)*BN16</f>
        <v>0</v>
      </c>
      <c r="BN16" s="249">
        <f>IFERROR(VLOOKUP(Brand&amp;Country &amp; Channel &amp;FC,tblFCSettings,8,FALSE),0)</f>
        <v>0</v>
      </c>
      <c r="BO16" s="284">
        <f>IFERROR(VLOOKUP(Brand&amp;Country &amp; Channel &amp;FC,tblFCSettings,9,FALSE),0)</f>
        <v>0</v>
      </c>
    </row>
    <row r="17" spans="1:67" x14ac:dyDescent="0.25">
      <c r="A17" s="64" t="s">
        <v>375</v>
      </c>
      <c r="B17" s="185">
        <v>7</v>
      </c>
      <c r="C17" s="208">
        <f t="shared" si="37"/>
        <v>0</v>
      </c>
      <c r="D17" s="187">
        <f t="shared" si="37"/>
        <v>0</v>
      </c>
      <c r="E17" s="188">
        <f t="shared" si="0"/>
        <v>0</v>
      </c>
      <c r="F17" s="239">
        <f>IFERROR(VLOOKUP(FiscalYr &amp; $B17&amp;F$4,tblForecast,F$2,FALSE),0)</f>
        <v>0</v>
      </c>
      <c r="G17" s="189">
        <f>IFERROR(VLOOKUP(FiscalYr-IF(CompareVer="LY",1,0) &amp; $B17 + IF(FiscalYr=2018,1,0)&amp;G$4,tblForecast,G$2,FALSE),0)</f>
        <v>0</v>
      </c>
      <c r="H17" s="188">
        <f t="shared" si="1"/>
        <v>0</v>
      </c>
      <c r="I17" s="190">
        <f t="shared" si="46"/>
        <v>0</v>
      </c>
      <c r="J17" s="190">
        <f t="shared" si="46"/>
        <v>0</v>
      </c>
      <c r="K17" s="208">
        <f t="shared" si="38"/>
        <v>0</v>
      </c>
      <c r="L17" s="187">
        <f t="shared" si="39"/>
        <v>0</v>
      </c>
      <c r="M17" s="191">
        <f t="shared" si="2"/>
        <v>0</v>
      </c>
      <c r="N17" s="162">
        <f t="shared" si="40"/>
        <v>0</v>
      </c>
      <c r="O17" s="192">
        <f t="shared" si="40"/>
        <v>0</v>
      </c>
      <c r="P17" s="188">
        <f t="shared" si="30"/>
        <v>0</v>
      </c>
      <c r="Q17" s="240">
        <f>IFERROR(VLOOKUP(FiscalYr &amp; $B17&amp;Q$4,tblForecast,Q$2,FALSE),0)</f>
        <v>0</v>
      </c>
      <c r="R17" s="193">
        <f>IFERROR(VLOOKUP(FiscalYr-IF(CompareVer="LY",1,0) &amp; $B17 + IF(FiscalYr=2018,1,0)&amp;R$4,tblForecast,R$2,FALSE),0)</f>
        <v>0</v>
      </c>
      <c r="S17" s="188">
        <f t="shared" si="4"/>
        <v>0</v>
      </c>
      <c r="T17" s="240">
        <f>IFERROR(VLOOKUP(FiscalYr &amp; $B17&amp;T$4,tblForecast,T$2,FALSE),0)</f>
        <v>0</v>
      </c>
      <c r="U17" s="193">
        <f>IFERROR(VLOOKUP(FiscalYr-IF(CompareVer="LY",1,0) &amp; $B17 + IF(FiscalYr=2018,1,0)&amp;U$4,tblForecast,U$2,FALSE),0)</f>
        <v>0</v>
      </c>
      <c r="V17" s="188">
        <f t="shared" si="5"/>
        <v>0</v>
      </c>
      <c r="W17" s="240">
        <f>IFERROR(VLOOKUP(FiscalYr &amp; $B17&amp;W$4,tblForecast,W$2,FALSE),0)</f>
        <v>0</v>
      </c>
      <c r="X17" s="193">
        <f>IFERROR(VLOOKUP(FiscalYr-IF(CompareVer="LY",1,0) &amp; $B17 + IF(FiscalYr=2018,1,0)&amp;X$4,tblForecast,X$2,FALSE),0)</f>
        <v>0</v>
      </c>
      <c r="Y17" s="188">
        <f t="shared" si="6"/>
        <v>0</v>
      </c>
      <c r="Z17" s="74">
        <f t="shared" si="7"/>
        <v>0</v>
      </c>
      <c r="AA17" s="194">
        <f t="shared" si="8"/>
        <v>0</v>
      </c>
      <c r="AB17" s="188">
        <f t="shared" si="31"/>
        <v>0</v>
      </c>
      <c r="AC17" s="209">
        <f t="shared" si="9"/>
        <v>0</v>
      </c>
      <c r="AD17" s="196">
        <f t="shared" si="10"/>
        <v>0</v>
      </c>
      <c r="AE17" s="197">
        <f t="shared" si="32"/>
        <v>0</v>
      </c>
      <c r="AF17" s="239">
        <f>IFERROR(VLOOKUP(FiscalYr &amp; $B17&amp;AF$4,tblForecast,AF$2,FALSE),0)</f>
        <v>0</v>
      </c>
      <c r="AG17" s="189">
        <f>IFERROR(VLOOKUP(FiscalYr-IF(CompareVer="LY",1,0) &amp; $B17 + IF(FiscalYr=2018,1,0)&amp;AG$4,tblForecast,AG$2,FALSE),0)</f>
        <v>0</v>
      </c>
      <c r="AH17" s="188">
        <f t="shared" si="11"/>
        <v>0</v>
      </c>
      <c r="AI17" s="239">
        <f t="shared" si="41"/>
        <v>0</v>
      </c>
      <c r="AJ17" s="189">
        <f t="shared" si="41"/>
        <v>0</v>
      </c>
      <c r="AK17" s="189">
        <f>IF($A17="a",IFERROR(VLOOKUP(FiscalYr &amp; $B17&amp;AK$4,tblForecast,AK$2,FALSE),0),AI17+AJ17)</f>
        <v>0</v>
      </c>
      <c r="AL17" s="189">
        <f>IFERROR(VLOOKUP(FiscalYr-IF(CompareVer="LY",1,0) &amp; $B17 + IF(FiscalYr=2018,1,0)&amp;AL$4,tblForecast,AL$2,FALSE),0)</f>
        <v>0</v>
      </c>
      <c r="AM17" s="188">
        <f t="shared" si="13"/>
        <v>0</v>
      </c>
      <c r="AN17" s="239">
        <f t="shared" si="42"/>
        <v>0</v>
      </c>
      <c r="AO17" s="189">
        <f t="shared" si="42"/>
        <v>0</v>
      </c>
      <c r="AP17" s="188">
        <f t="shared" si="15"/>
        <v>0</v>
      </c>
      <c r="AQ17" s="199">
        <f t="shared" si="43"/>
        <v>0</v>
      </c>
      <c r="AR17" s="210">
        <f t="shared" si="43"/>
        <v>0</v>
      </c>
      <c r="AS17" s="188">
        <f t="shared" si="33"/>
        <v>0</v>
      </c>
      <c r="AT17" s="239">
        <f>IFERROR(VLOOKUP(FiscalYr &amp; $B17&amp;AT$4,tblForecast,AT$2,FALSE),0)</f>
        <v>0</v>
      </c>
      <c r="AU17" s="189">
        <f t="shared" si="17"/>
        <v>0</v>
      </c>
      <c r="AV17" s="188">
        <f t="shared" si="18"/>
        <v>0</v>
      </c>
      <c r="AW17" s="201"/>
      <c r="AX17" s="202"/>
      <c r="AY17" s="188">
        <f t="shared" si="19"/>
        <v>0</v>
      </c>
      <c r="AZ17" s="203"/>
      <c r="BA17" s="189"/>
      <c r="BB17" s="188">
        <f t="shared" si="20"/>
        <v>0</v>
      </c>
      <c r="BC17" s="239">
        <f>IFERROR(VLOOKUP(FiscalYr &amp; $B17&amp;BC$4,tblForecast,BC$2,FALSE),0)</f>
        <v>0</v>
      </c>
      <c r="BD17" s="189">
        <f t="shared" si="21"/>
        <v>0</v>
      </c>
      <c r="BE17" s="188">
        <f t="shared" si="22"/>
        <v>0</v>
      </c>
      <c r="BF17" s="211">
        <f>IFERROR(VLOOKUP(FiscalYr &amp; $B17&amp;BF$4,tblForecast,BF$2,FALSE),0)</f>
        <v>0</v>
      </c>
      <c r="BG17" s="189">
        <f t="shared" si="23"/>
        <v>0</v>
      </c>
      <c r="BH17" s="188">
        <f t="shared" si="24"/>
        <v>0</v>
      </c>
      <c r="BI17" s="189">
        <f t="shared" si="44"/>
        <v>0</v>
      </c>
      <c r="BJ17" s="206">
        <f t="shared" si="45"/>
        <v>0</v>
      </c>
      <c r="BK17" s="194">
        <f t="shared" si="26"/>
        <v>0</v>
      </c>
      <c r="BL17" s="283">
        <f>IFERROR(VLOOKUP(Brand&amp;Channel&amp;Country&amp;$B17,tblDiscount,6,FALSE),0)</f>
        <v>0.35</v>
      </c>
      <c r="BM17" s="249">
        <f t="shared" si="47"/>
        <v>0</v>
      </c>
      <c r="BN17" s="249">
        <f>IFERROR(VLOOKUP(Brand&amp;Country &amp; Channel &amp;FC,tblFCSettings,8,FALSE),0)</f>
        <v>0</v>
      </c>
      <c r="BO17" s="284">
        <f>IFERROR(VLOOKUP(Brand&amp;Country &amp; Channel &amp;FC,tblFCSettings,9,FALSE),0)</f>
        <v>0</v>
      </c>
    </row>
    <row r="18" spans="1:67" x14ac:dyDescent="0.25">
      <c r="A18" s="64" t="s">
        <v>375</v>
      </c>
      <c r="B18" s="185">
        <v>8</v>
      </c>
      <c r="C18" s="208">
        <f t="shared" si="37"/>
        <v>0</v>
      </c>
      <c r="D18" s="187">
        <f t="shared" si="37"/>
        <v>0</v>
      </c>
      <c r="E18" s="188">
        <f t="shared" si="0"/>
        <v>0</v>
      </c>
      <c r="F18" s="239">
        <f>IFERROR(VLOOKUP(FiscalYr &amp; $B18&amp;F$4,tblForecast,F$2,FALSE),0)</f>
        <v>0</v>
      </c>
      <c r="G18" s="189">
        <f>IFERROR(VLOOKUP(FiscalYr-IF(CompareVer="LY",1,0) &amp; $B18 + IF(FiscalYr=2018,1,0)&amp;G$4,tblForecast,G$2,FALSE),0)</f>
        <v>0</v>
      </c>
      <c r="H18" s="188">
        <f t="shared" si="1"/>
        <v>0</v>
      </c>
      <c r="I18" s="190">
        <f t="shared" si="46"/>
        <v>0</v>
      </c>
      <c r="J18" s="190">
        <f t="shared" si="46"/>
        <v>0</v>
      </c>
      <c r="K18" s="208">
        <f t="shared" si="38"/>
        <v>0</v>
      </c>
      <c r="L18" s="187">
        <f t="shared" si="39"/>
        <v>0</v>
      </c>
      <c r="M18" s="191">
        <f t="shared" si="2"/>
        <v>0</v>
      </c>
      <c r="N18" s="162">
        <f t="shared" si="40"/>
        <v>0</v>
      </c>
      <c r="O18" s="192">
        <f t="shared" si="40"/>
        <v>0</v>
      </c>
      <c r="P18" s="188">
        <f t="shared" si="30"/>
        <v>0</v>
      </c>
      <c r="Q18" s="240">
        <f>IFERROR(VLOOKUP(FiscalYr &amp; $B18&amp;Q$4,tblForecast,Q$2,FALSE),0)</f>
        <v>0</v>
      </c>
      <c r="R18" s="193">
        <f>IFERROR(VLOOKUP(FiscalYr-IF(CompareVer="LY",1,0) &amp; $B18 + IF(FiscalYr=2018,1,0)&amp;R$4,tblForecast,R$2,FALSE),0)</f>
        <v>0</v>
      </c>
      <c r="S18" s="188">
        <f t="shared" si="4"/>
        <v>0</v>
      </c>
      <c r="T18" s="240">
        <f>IFERROR(VLOOKUP(FiscalYr &amp; $B18&amp;T$4,tblForecast,T$2,FALSE),0)</f>
        <v>0</v>
      </c>
      <c r="U18" s="193">
        <f>IFERROR(VLOOKUP(FiscalYr-IF(CompareVer="LY",1,0) &amp; $B18 + IF(FiscalYr=2018,1,0)&amp;U$4,tblForecast,U$2,FALSE),0)</f>
        <v>0</v>
      </c>
      <c r="V18" s="188">
        <f t="shared" si="5"/>
        <v>0</v>
      </c>
      <c r="W18" s="240">
        <f>IFERROR(VLOOKUP(FiscalYr &amp; $B18&amp;W$4,tblForecast,W$2,FALSE),0)</f>
        <v>0</v>
      </c>
      <c r="X18" s="193">
        <f>IFERROR(VLOOKUP(FiscalYr-IF(CompareVer="LY",1,0) &amp; $B18 + IF(FiscalYr=2018,1,0)&amp;X$4,tblForecast,X$2,FALSE),0)</f>
        <v>0</v>
      </c>
      <c r="Y18" s="188">
        <f t="shared" si="6"/>
        <v>0</v>
      </c>
      <c r="Z18" s="74">
        <f t="shared" si="7"/>
        <v>0</v>
      </c>
      <c r="AA18" s="194">
        <f t="shared" si="8"/>
        <v>0</v>
      </c>
      <c r="AB18" s="188">
        <f t="shared" si="31"/>
        <v>0</v>
      </c>
      <c r="AC18" s="209">
        <f t="shared" si="9"/>
        <v>0</v>
      </c>
      <c r="AD18" s="196">
        <f t="shared" si="10"/>
        <v>0</v>
      </c>
      <c r="AE18" s="197">
        <f t="shared" si="32"/>
        <v>0</v>
      </c>
      <c r="AF18" s="239">
        <f>IFERROR(VLOOKUP(FiscalYr &amp; $B18&amp;AF$4,tblForecast,AF$2,FALSE),0)</f>
        <v>0</v>
      </c>
      <c r="AG18" s="189">
        <f>IFERROR(VLOOKUP(FiscalYr-IF(CompareVer="LY",1,0) &amp; $B18 + IF(FiscalYr=2018,1,0)&amp;AG$4,tblForecast,AG$2,FALSE),0)</f>
        <v>0</v>
      </c>
      <c r="AH18" s="188">
        <f t="shared" si="11"/>
        <v>0</v>
      </c>
      <c r="AI18" s="239">
        <f t="shared" si="41"/>
        <v>0</v>
      </c>
      <c r="AJ18" s="189">
        <f t="shared" si="41"/>
        <v>0</v>
      </c>
      <c r="AK18" s="189">
        <f>IF($A18="a",IFERROR(VLOOKUP(FiscalYr &amp; $B18&amp;AK$4,tblForecast,AK$2,FALSE),0),AI18+AJ18)</f>
        <v>0</v>
      </c>
      <c r="AL18" s="189">
        <f>IFERROR(VLOOKUP(FiscalYr-IF(CompareVer="LY",1,0) &amp; $B18 + IF(FiscalYr=2018,1,0)&amp;AL$4,tblForecast,AL$2,FALSE),0)</f>
        <v>0</v>
      </c>
      <c r="AM18" s="188">
        <f t="shared" si="13"/>
        <v>0</v>
      </c>
      <c r="AN18" s="239">
        <f t="shared" si="42"/>
        <v>0</v>
      </c>
      <c r="AO18" s="189">
        <f t="shared" si="42"/>
        <v>0</v>
      </c>
      <c r="AP18" s="188">
        <f t="shared" si="15"/>
        <v>0</v>
      </c>
      <c r="AQ18" s="199">
        <f t="shared" si="43"/>
        <v>0</v>
      </c>
      <c r="AR18" s="210">
        <f t="shared" si="43"/>
        <v>0</v>
      </c>
      <c r="AS18" s="188">
        <f t="shared" si="33"/>
        <v>0</v>
      </c>
      <c r="AT18" s="239">
        <f>IFERROR(VLOOKUP(FiscalYr &amp; $B18&amp;AT$4,tblForecast,AT$2,FALSE),0)</f>
        <v>0</v>
      </c>
      <c r="AU18" s="189">
        <f t="shared" si="17"/>
        <v>0</v>
      </c>
      <c r="AV18" s="188">
        <f t="shared" si="18"/>
        <v>0</v>
      </c>
      <c r="AW18" s="201"/>
      <c r="AX18" s="202"/>
      <c r="AY18" s="188">
        <f t="shared" si="19"/>
        <v>0</v>
      </c>
      <c r="AZ18" s="203"/>
      <c r="BA18" s="189"/>
      <c r="BB18" s="188">
        <f t="shared" si="20"/>
        <v>0</v>
      </c>
      <c r="BC18" s="239">
        <f>IFERROR(VLOOKUP(FiscalYr &amp; $B18&amp;BC$4,tblForecast,BC$2,FALSE),0)</f>
        <v>0</v>
      </c>
      <c r="BD18" s="189">
        <f t="shared" si="21"/>
        <v>0</v>
      </c>
      <c r="BE18" s="188">
        <f t="shared" si="22"/>
        <v>0</v>
      </c>
      <c r="BF18" s="211">
        <f>IFERROR(VLOOKUP(FiscalYr &amp; $B18&amp;BF$4,tblForecast,BF$2,FALSE),0)</f>
        <v>0</v>
      </c>
      <c r="BG18" s="189">
        <f t="shared" si="23"/>
        <v>0</v>
      </c>
      <c r="BH18" s="188">
        <f t="shared" si="24"/>
        <v>0</v>
      </c>
      <c r="BI18" s="189">
        <f t="shared" si="44"/>
        <v>0</v>
      </c>
      <c r="BJ18" s="206">
        <f t="shared" si="45"/>
        <v>0</v>
      </c>
      <c r="BK18" s="194">
        <f t="shared" si="26"/>
        <v>0</v>
      </c>
      <c r="BL18" s="283">
        <f>IFERROR(VLOOKUP(Brand&amp;Channel&amp;Country&amp;$B18,tblDiscount,6,FALSE),0)</f>
        <v>0.4</v>
      </c>
      <c r="BM18" s="249">
        <f t="shared" si="47"/>
        <v>0</v>
      </c>
      <c r="BN18" s="249">
        <f>IFERROR(VLOOKUP(Brand&amp;Country &amp; Channel &amp;FC,tblFCSettings,8,FALSE),0)</f>
        <v>0</v>
      </c>
      <c r="BO18" s="284">
        <f>IFERROR(VLOOKUP(Brand&amp;Country &amp; Channel &amp;FC,tblFCSettings,9,FALSE),0)</f>
        <v>0</v>
      </c>
    </row>
    <row r="19" spans="1:67" ht="16.5" thickBot="1" x14ac:dyDescent="0.3">
      <c r="A19" s="64" t="s">
        <v>375</v>
      </c>
      <c r="B19" s="185">
        <v>9</v>
      </c>
      <c r="C19" s="208">
        <f t="shared" si="37"/>
        <v>0</v>
      </c>
      <c r="D19" s="187">
        <f t="shared" si="37"/>
        <v>0</v>
      </c>
      <c r="E19" s="188">
        <f t="shared" si="0"/>
        <v>0</v>
      </c>
      <c r="F19" s="239">
        <f>IFERROR(VLOOKUP(FiscalYr &amp; $B19&amp;F$4,tblForecast,F$2,FALSE),0)</f>
        <v>0</v>
      </c>
      <c r="G19" s="189">
        <f>IFERROR(VLOOKUP(FiscalYr-IF(CompareVer="LY",1,0) &amp; $B19 + IF(FiscalYr=2018,1,0)&amp;G$4,tblForecast,G$2,FALSE),0)</f>
        <v>0</v>
      </c>
      <c r="H19" s="188">
        <f t="shared" si="1"/>
        <v>0</v>
      </c>
      <c r="I19" s="190">
        <f t="shared" si="46"/>
        <v>0</v>
      </c>
      <c r="J19" s="190">
        <f t="shared" si="46"/>
        <v>0</v>
      </c>
      <c r="K19" s="208">
        <f t="shared" si="38"/>
        <v>0</v>
      </c>
      <c r="L19" s="187">
        <f t="shared" si="39"/>
        <v>0</v>
      </c>
      <c r="M19" s="191">
        <f t="shared" si="2"/>
        <v>0</v>
      </c>
      <c r="N19" s="162">
        <f t="shared" si="40"/>
        <v>0</v>
      </c>
      <c r="O19" s="192">
        <f t="shared" si="40"/>
        <v>0</v>
      </c>
      <c r="P19" s="188">
        <f t="shared" si="30"/>
        <v>0</v>
      </c>
      <c r="Q19" s="240">
        <f>IFERROR(VLOOKUP(FiscalYr &amp; $B19&amp;Q$4,tblForecast,Q$2,FALSE),0)</f>
        <v>0</v>
      </c>
      <c r="R19" s="193">
        <f>IFERROR(VLOOKUP(FiscalYr-IF(CompareVer="LY",1,0) &amp; $B19 + IF(FiscalYr=2018,1,0)&amp;R$4,tblForecast,R$2,FALSE),0)</f>
        <v>0</v>
      </c>
      <c r="S19" s="188">
        <f t="shared" si="4"/>
        <v>0</v>
      </c>
      <c r="T19" s="240">
        <f>IFERROR(VLOOKUP(FiscalYr &amp; $B19&amp;T$4,tblForecast,T$2,FALSE),0)</f>
        <v>0</v>
      </c>
      <c r="U19" s="193">
        <f>IFERROR(VLOOKUP(FiscalYr-IF(CompareVer="LY",1,0) &amp; $B19 + IF(FiscalYr=2018,1,0)&amp;U$4,tblForecast,U$2,FALSE),0)</f>
        <v>0</v>
      </c>
      <c r="V19" s="188">
        <f t="shared" si="5"/>
        <v>0</v>
      </c>
      <c r="W19" s="240">
        <f>IFERROR(VLOOKUP(FiscalYr &amp; $B19&amp;W$4,tblForecast,W$2,FALSE),0)</f>
        <v>0</v>
      </c>
      <c r="X19" s="193">
        <f>IFERROR(VLOOKUP(FiscalYr-IF(CompareVer="LY",1,0) &amp; $B19 + IF(FiscalYr=2018,1,0)&amp;X$4,tblForecast,X$2,FALSE),0)</f>
        <v>0</v>
      </c>
      <c r="Y19" s="188">
        <f t="shared" si="6"/>
        <v>0</v>
      </c>
      <c r="Z19" s="74">
        <f t="shared" si="7"/>
        <v>0</v>
      </c>
      <c r="AA19" s="194">
        <f t="shared" si="8"/>
        <v>0</v>
      </c>
      <c r="AB19" s="188">
        <f t="shared" si="31"/>
        <v>0</v>
      </c>
      <c r="AC19" s="209">
        <f t="shared" si="9"/>
        <v>0</v>
      </c>
      <c r="AD19" s="196">
        <f t="shared" si="10"/>
        <v>0</v>
      </c>
      <c r="AE19" s="197">
        <f t="shared" si="32"/>
        <v>0</v>
      </c>
      <c r="AF19" s="239">
        <f>IFERROR(VLOOKUP(FiscalYr &amp; $B19&amp;AF$4,tblForecast,AF$2,FALSE),0)</f>
        <v>0</v>
      </c>
      <c r="AG19" s="189">
        <f>IFERROR(VLOOKUP(FiscalYr-IF(CompareVer="LY",1,0) &amp; $B19 + IF(FiscalYr=2018,1,0)&amp;AG$4,tblForecast,AG$2,FALSE),0)</f>
        <v>0</v>
      </c>
      <c r="AH19" s="188">
        <f t="shared" si="11"/>
        <v>0</v>
      </c>
      <c r="AI19" s="239">
        <f t="shared" si="41"/>
        <v>0</v>
      </c>
      <c r="AJ19" s="189">
        <f t="shared" si="41"/>
        <v>0</v>
      </c>
      <c r="AK19" s="189">
        <f>IF($A19="a",IFERROR(VLOOKUP(FiscalYr &amp; $B19&amp;AK$4,tblForecast,AK$2,FALSE),0),AI19+AJ19)</f>
        <v>0</v>
      </c>
      <c r="AL19" s="189">
        <f>IFERROR(VLOOKUP(FiscalYr-IF(CompareVer="LY",1,0) &amp; $B19 + IF(FiscalYr=2018,1,0)&amp;AL$4,tblForecast,AL$2,FALSE),0)</f>
        <v>0</v>
      </c>
      <c r="AM19" s="188">
        <f t="shared" si="13"/>
        <v>0</v>
      </c>
      <c r="AN19" s="239">
        <f t="shared" si="42"/>
        <v>0</v>
      </c>
      <c r="AO19" s="189">
        <f t="shared" si="42"/>
        <v>0</v>
      </c>
      <c r="AP19" s="188">
        <f t="shared" si="15"/>
        <v>0</v>
      </c>
      <c r="AQ19" s="199">
        <f t="shared" si="43"/>
        <v>0</v>
      </c>
      <c r="AR19" s="210">
        <f t="shared" si="43"/>
        <v>0</v>
      </c>
      <c r="AS19" s="188">
        <f t="shared" si="33"/>
        <v>0</v>
      </c>
      <c r="AT19" s="239">
        <f>IFERROR(VLOOKUP(FiscalYr &amp; $B19&amp;AT$4,tblForecast,AT$2,FALSE),0)</f>
        <v>0</v>
      </c>
      <c r="AU19" s="189">
        <f t="shared" si="17"/>
        <v>0</v>
      </c>
      <c r="AV19" s="188">
        <f t="shared" si="18"/>
        <v>0</v>
      </c>
      <c r="AW19" s="201"/>
      <c r="AX19" s="202"/>
      <c r="AY19" s="188">
        <f t="shared" si="19"/>
        <v>0</v>
      </c>
      <c r="AZ19" s="203"/>
      <c r="BA19" s="189"/>
      <c r="BB19" s="188">
        <f t="shared" si="20"/>
        <v>0</v>
      </c>
      <c r="BC19" s="239">
        <f>IFERROR(VLOOKUP(FiscalYr &amp; $B19&amp;BC$4,tblForecast,BC$2,FALSE),0)</f>
        <v>0</v>
      </c>
      <c r="BD19" s="189">
        <f t="shared" si="21"/>
        <v>0</v>
      </c>
      <c r="BE19" s="188">
        <f t="shared" si="22"/>
        <v>0</v>
      </c>
      <c r="BF19" s="211">
        <f>IFERROR(VLOOKUP(FiscalYr &amp; $B19&amp;BF$4,tblForecast,BF$2,FALSE),0)</f>
        <v>0</v>
      </c>
      <c r="BG19" s="189">
        <f t="shared" si="23"/>
        <v>0</v>
      </c>
      <c r="BH19" s="188">
        <f t="shared" si="24"/>
        <v>0</v>
      </c>
      <c r="BI19" s="189">
        <f t="shared" si="44"/>
        <v>0</v>
      </c>
      <c r="BJ19" s="206">
        <f t="shared" si="45"/>
        <v>0</v>
      </c>
      <c r="BK19" s="194">
        <f t="shared" si="26"/>
        <v>0</v>
      </c>
      <c r="BL19" s="283">
        <f>IFERROR(VLOOKUP(Brand&amp;Channel&amp;Country&amp;$B19,tblDiscount,6,FALSE),0)</f>
        <v>0.4</v>
      </c>
      <c r="BM19" s="249">
        <f>(1-BL19)*BN19</f>
        <v>0</v>
      </c>
      <c r="BN19" s="249">
        <f>IFERROR(VLOOKUP(Brand&amp;Country &amp; Channel &amp;FC,tblFCSettings,8,FALSE),0)</f>
        <v>0</v>
      </c>
      <c r="BO19" s="284">
        <f>IFERROR(VLOOKUP(Brand&amp;Country &amp; Channel &amp;FC,tblFCSettings,9,FALSE),0)</f>
        <v>0</v>
      </c>
    </row>
    <row r="20" spans="1:67" ht="16.5" thickBot="1" x14ac:dyDescent="0.3">
      <c r="B20" s="241" t="s">
        <v>23</v>
      </c>
      <c r="C20" s="213">
        <f>SUM(C15:C19)</f>
        <v>0</v>
      </c>
      <c r="D20" s="214">
        <f>SUM(D15:D19)</f>
        <v>0</v>
      </c>
      <c r="E20" s="215">
        <f t="shared" si="0"/>
        <v>0</v>
      </c>
      <c r="F20" s="216">
        <f>SUM(F15:F19)</f>
        <v>0</v>
      </c>
      <c r="G20" s="217">
        <f>SUM(G15:G19)</f>
        <v>0</v>
      </c>
      <c r="H20" s="215">
        <f t="shared" si="1"/>
        <v>0</v>
      </c>
      <c r="I20" s="218">
        <f>IF(F14&lt;&gt;0,F20/F14-1,0)</f>
        <v>0</v>
      </c>
      <c r="J20" s="218">
        <f>IF(G14&lt;&gt;0,G20/G14-1,0)</f>
        <v>0</v>
      </c>
      <c r="K20" s="213">
        <f>SUM(K15:K19)</f>
        <v>0</v>
      </c>
      <c r="L20" s="214">
        <f>SUM(L15:L19)</f>
        <v>0</v>
      </c>
      <c r="M20" s="219">
        <f t="shared" si="2"/>
        <v>0</v>
      </c>
      <c r="N20" s="220">
        <f>IFERROR(K20/C20,0)</f>
        <v>0</v>
      </c>
      <c r="O20" s="221">
        <f>IFERROR(L20/D20,0)</f>
        <v>0</v>
      </c>
      <c r="P20" s="215">
        <f t="shared" si="30"/>
        <v>0</v>
      </c>
      <c r="Q20" s="222">
        <f>IFERROR(C20/F20,0)</f>
        <v>0</v>
      </c>
      <c r="R20" s="223">
        <f>IFERROR(D20/G20,0)</f>
        <v>0</v>
      </c>
      <c r="S20" s="215">
        <f t="shared" si="4"/>
        <v>0</v>
      </c>
      <c r="T20" s="222">
        <f>IFERROR((C20*(1-N20))/F20,0)</f>
        <v>0</v>
      </c>
      <c r="U20" s="223">
        <f>IFERROR((D20*(1-O20))/G20,0)</f>
        <v>0</v>
      </c>
      <c r="V20" s="215">
        <f t="shared" si="5"/>
        <v>0</v>
      </c>
      <c r="W20" s="222">
        <f>IFERROR(SUMPRODUCT(W15:W19,F15:F19)/F20,0)</f>
        <v>0</v>
      </c>
      <c r="X20" s="223">
        <f>IFERROR(SUMPRODUCT(X15:X19,G15:G19)/G20,0)</f>
        <v>0</v>
      </c>
      <c r="Y20" s="215">
        <f t="shared" si="6"/>
        <v>0</v>
      </c>
      <c r="Z20" s="224">
        <f t="shared" si="7"/>
        <v>0</v>
      </c>
      <c r="AA20" s="225">
        <f t="shared" si="8"/>
        <v>0</v>
      </c>
      <c r="AB20" s="215">
        <f t="shared" si="31"/>
        <v>0</v>
      </c>
      <c r="AC20" s="226">
        <f t="shared" si="9"/>
        <v>0</v>
      </c>
      <c r="AD20" s="227">
        <f t="shared" si="10"/>
        <v>0</v>
      </c>
      <c r="AE20" s="228">
        <f t="shared" si="32"/>
        <v>0</v>
      </c>
      <c r="AF20" s="216">
        <f>AF19</f>
        <v>0</v>
      </c>
      <c r="AG20" s="217">
        <f>AG19</f>
        <v>0</v>
      </c>
      <c r="AH20" s="215">
        <f t="shared" si="11"/>
        <v>0</v>
      </c>
      <c r="AI20" s="216">
        <f t="shared" ref="AI20:AL20" si="48">SUM(AI15:AI19)</f>
        <v>0</v>
      </c>
      <c r="AJ20" s="217">
        <f t="shared" si="48"/>
        <v>0</v>
      </c>
      <c r="AK20" s="217">
        <f t="shared" si="48"/>
        <v>0</v>
      </c>
      <c r="AL20" s="217">
        <f t="shared" si="48"/>
        <v>0</v>
      </c>
      <c r="AM20" s="215">
        <f t="shared" si="13"/>
        <v>0</v>
      </c>
      <c r="AN20" s="216">
        <f>SUM(AN15:AN19)</f>
        <v>0</v>
      </c>
      <c r="AO20" s="217">
        <f>SUM(AO15:AO19)</f>
        <v>0</v>
      </c>
      <c r="AP20" s="215">
        <f t="shared" si="15"/>
        <v>0</v>
      </c>
      <c r="AQ20" s="229">
        <f>IF(F20&lt;&gt;0,(AF20*COUNTIF(AQ15:AQ19,"&lt;&gt;0")/F20),0)</f>
        <v>0</v>
      </c>
      <c r="AR20" s="230">
        <f>IF(G20&lt;&gt;0,(AG20*COUNTIF(AR15:AR19,"&lt;&gt;0")/G20),0)</f>
        <v>0</v>
      </c>
      <c r="AS20" s="215">
        <f t="shared" si="33"/>
        <v>0</v>
      </c>
      <c r="AT20" s="216">
        <f>SUM(AT15:AT19)</f>
        <v>0</v>
      </c>
      <c r="AU20" s="217">
        <f>SUM(AU15:AU19)</f>
        <v>0</v>
      </c>
      <c r="AV20" s="215">
        <f t="shared" si="18"/>
        <v>0</v>
      </c>
      <c r="AW20" s="231"/>
      <c r="AX20" s="232"/>
      <c r="AY20" s="215">
        <f t="shared" si="19"/>
        <v>0</v>
      </c>
      <c r="AZ20" s="216">
        <f>SUM(AZ15:AZ19)</f>
        <v>0</v>
      </c>
      <c r="BA20" s="217">
        <f>SUM(BA15:BA19)</f>
        <v>0</v>
      </c>
      <c r="BB20" s="215">
        <f t="shared" si="20"/>
        <v>0</v>
      </c>
      <c r="BC20" s="216">
        <f>SUM(BC15:BC19)</f>
        <v>0</v>
      </c>
      <c r="BD20" s="217">
        <f t="shared" si="21"/>
        <v>0</v>
      </c>
      <c r="BE20" s="215">
        <f t="shared" si="22"/>
        <v>0</v>
      </c>
      <c r="BF20" s="216">
        <f>SUM(BF15:BF19)</f>
        <v>0</v>
      </c>
      <c r="BG20" s="217">
        <f>SUM(BG15:BG19)</f>
        <v>0</v>
      </c>
      <c r="BH20" s="215">
        <f t="shared" si="24"/>
        <v>0</v>
      </c>
      <c r="BI20" s="235">
        <f t="shared" si="44"/>
        <v>0</v>
      </c>
      <c r="BJ20" s="236">
        <f t="shared" si="45"/>
        <v>0</v>
      </c>
      <c r="BK20" s="225">
        <f t="shared" si="26"/>
        <v>0</v>
      </c>
      <c r="BL20" s="283"/>
      <c r="BM20" s="249"/>
      <c r="BN20" s="249"/>
      <c r="BO20" s="284"/>
    </row>
    <row r="21" spans="1:67" x14ac:dyDescent="0.25">
      <c r="A21" s="64" t="s">
        <v>375</v>
      </c>
      <c r="B21" s="185">
        <v>10</v>
      </c>
      <c r="C21" s="208">
        <f t="shared" ref="C21:D24" si="49">F21*Q21</f>
        <v>0</v>
      </c>
      <c r="D21" s="187">
        <f t="shared" si="49"/>
        <v>0</v>
      </c>
      <c r="E21" s="188">
        <f t="shared" si="0"/>
        <v>0</v>
      </c>
      <c r="F21" s="239">
        <f>IFERROR(VLOOKUP(FiscalYr &amp; $B21&amp;F$4,tblForecast,F$2,FALSE),0)</f>
        <v>0</v>
      </c>
      <c r="G21" s="189">
        <f>IFERROR(VLOOKUP(FiscalYr-IF(CompareVer="LY",1,0) &amp; $B21 + IF(FiscalYr=2018,1,0)&amp;G$4,tblForecast,G$2,FALSE),0)</f>
        <v>0</v>
      </c>
      <c r="H21" s="188">
        <f t="shared" si="1"/>
        <v>0</v>
      </c>
      <c r="I21" s="190">
        <f>IFERROR(IF(F19&gt;0,F21/F19,0),0)</f>
        <v>0</v>
      </c>
      <c r="J21" s="190">
        <f>IFERROR(IF(G19&gt;0,G21/G19,0),0)</f>
        <v>0</v>
      </c>
      <c r="K21" s="208">
        <f t="shared" ref="K21:K24" si="50">IFERROR(C21*N21,0)</f>
        <v>0</v>
      </c>
      <c r="L21" s="187">
        <f t="shared" ref="L21:L24" si="51">D21*O21</f>
        <v>0</v>
      </c>
      <c r="M21" s="191">
        <f t="shared" si="2"/>
        <v>0</v>
      </c>
      <c r="N21" s="162">
        <f t="shared" ref="N21:O24" si="52">IF(Q21&lt;&gt;0,1-T21/Q21,0)</f>
        <v>0</v>
      </c>
      <c r="O21" s="192">
        <f t="shared" si="52"/>
        <v>0</v>
      </c>
      <c r="P21" s="188">
        <f t="shared" si="30"/>
        <v>0</v>
      </c>
      <c r="Q21" s="240">
        <f>IFERROR(VLOOKUP(FiscalYr &amp; $B21&amp;Q$4,tblForecast,Q$2,FALSE),0)</f>
        <v>0</v>
      </c>
      <c r="R21" s="193">
        <f>IFERROR(VLOOKUP(FiscalYr-IF(CompareVer="LY",1,0) &amp; $B21 + IF(FiscalYr=2018,1,0)&amp;R$4,tblForecast,R$2,FALSE),0)</f>
        <v>0</v>
      </c>
      <c r="S21" s="188">
        <f t="shared" si="4"/>
        <v>0</v>
      </c>
      <c r="T21" s="240">
        <f>IFERROR(VLOOKUP(FiscalYr &amp; $B21&amp;T$4,tblForecast,T$2,FALSE),0)</f>
        <v>0</v>
      </c>
      <c r="U21" s="193">
        <f>IFERROR(VLOOKUP(FiscalYr-IF(CompareVer="LY",1,0) &amp; $B21 + IF(FiscalYr=2018,1,0)&amp;U$4,tblForecast,U$2,FALSE),0)</f>
        <v>0</v>
      </c>
      <c r="V21" s="188">
        <f t="shared" si="5"/>
        <v>0</v>
      </c>
      <c r="W21" s="240">
        <f>IFERROR(VLOOKUP(FiscalYr &amp; $B21&amp;W$4,tblForecast,W$2,FALSE),0)</f>
        <v>0</v>
      </c>
      <c r="X21" s="193">
        <f>IFERROR(VLOOKUP(FiscalYr-IF(CompareVer="LY",1,0) &amp; $B21 + IF(FiscalYr=2018,1,0)&amp;X$4,tblForecast,X$2,FALSE),0)</f>
        <v>0</v>
      </c>
      <c r="Y21" s="188">
        <f t="shared" si="6"/>
        <v>0</v>
      </c>
      <c r="Z21" s="74">
        <f t="shared" si="7"/>
        <v>0</v>
      </c>
      <c r="AA21" s="194">
        <f t="shared" si="8"/>
        <v>0</v>
      </c>
      <c r="AB21" s="188">
        <f t="shared" si="31"/>
        <v>0</v>
      </c>
      <c r="AC21" s="209">
        <f t="shared" si="9"/>
        <v>0</v>
      </c>
      <c r="AD21" s="196">
        <f t="shared" si="10"/>
        <v>0</v>
      </c>
      <c r="AE21" s="197">
        <f t="shared" si="32"/>
        <v>0</v>
      </c>
      <c r="AF21" s="239">
        <f>IFERROR(VLOOKUP(FiscalYr &amp; $B21&amp;AF$4,tblForecast,AF$2,FALSE),0)</f>
        <v>0</v>
      </c>
      <c r="AG21" s="189">
        <f>IFERROR(VLOOKUP(FiscalYr-IF(CompareVer="LY",1,0) &amp; $B21 + IF(FiscalYr=2018,1,0)&amp;AG$4,tblForecast,AG$2,FALSE),0)</f>
        <v>0</v>
      </c>
      <c r="AH21" s="188">
        <f t="shared" si="11"/>
        <v>0</v>
      </c>
      <c r="AI21" s="239">
        <f t="shared" ref="AI21:AJ24" si="53">IFERROR(VLOOKUP(FiscalYr &amp; $B21&amp;AI$4,tblForecast,AI$2,FALSE),0)</f>
        <v>0</v>
      </c>
      <c r="AJ21" s="189">
        <f t="shared" si="53"/>
        <v>0</v>
      </c>
      <c r="AK21" s="189">
        <f>IF($A21="a",IFERROR(VLOOKUP(FiscalYr &amp; $B21&amp;AK$4,tblForecast,AK$2,FALSE),0),AI21+AJ21)</f>
        <v>0</v>
      </c>
      <c r="AL21" s="189">
        <f>IFERROR(VLOOKUP(FiscalYr-IF(CompareVer="LY",1,0) &amp; $B21 + IF(FiscalYr=2018,1,0)&amp;AL$4,tblForecast,AL$2,FALSE),0)</f>
        <v>0</v>
      </c>
      <c r="AM21" s="188">
        <f t="shared" si="13"/>
        <v>0</v>
      </c>
      <c r="AN21" s="239">
        <f t="shared" ref="AN21:AO24" si="54">IFERROR(VLOOKUP(FiscalYr &amp; $B21&amp;AN$4,tblForecast,AN$2,FALSE),0)</f>
        <v>0</v>
      </c>
      <c r="AO21" s="189">
        <f t="shared" si="54"/>
        <v>0</v>
      </c>
      <c r="AP21" s="188">
        <f t="shared" si="15"/>
        <v>0</v>
      </c>
      <c r="AQ21" s="199">
        <f t="shared" ref="AQ21:AR24" si="55">IF(F21&lt;&gt;0,AF21/F21,0)</f>
        <v>0</v>
      </c>
      <c r="AR21" s="210">
        <f t="shared" si="55"/>
        <v>0</v>
      </c>
      <c r="AS21" s="188">
        <f t="shared" si="33"/>
        <v>0</v>
      </c>
      <c r="AT21" s="239">
        <f>IFERROR(VLOOKUP(FiscalYr &amp; $B21&amp;AT$4,tblForecast,AT$2,FALSE),0)</f>
        <v>0</v>
      </c>
      <c r="AU21" s="189">
        <f t="shared" si="17"/>
        <v>0</v>
      </c>
      <c r="AV21" s="188">
        <f t="shared" si="18"/>
        <v>0</v>
      </c>
      <c r="AW21" s="201"/>
      <c r="AX21" s="202"/>
      <c r="AY21" s="188">
        <f t="shared" si="19"/>
        <v>0</v>
      </c>
      <c r="AZ21" s="203"/>
      <c r="BA21" s="189"/>
      <c r="BB21" s="188">
        <f t="shared" si="20"/>
        <v>0</v>
      </c>
      <c r="BC21" s="239">
        <f>IFERROR(VLOOKUP(FiscalYr &amp; $B21&amp;BC$4,tblForecast,BC$2,FALSE),0)</f>
        <v>0</v>
      </c>
      <c r="BD21" s="189">
        <f t="shared" si="21"/>
        <v>0</v>
      </c>
      <c r="BE21" s="188">
        <f t="shared" si="22"/>
        <v>0</v>
      </c>
      <c r="BF21" s="211">
        <f>IFERROR(VLOOKUP(FiscalYr &amp; $B21&amp;BF$4,tblForecast,BF$2,FALSE),0)</f>
        <v>0</v>
      </c>
      <c r="BG21" s="189">
        <f t="shared" si="23"/>
        <v>0</v>
      </c>
      <c r="BH21" s="188">
        <f t="shared" si="24"/>
        <v>0</v>
      </c>
      <c r="BI21" s="189">
        <f t="shared" si="44"/>
        <v>0</v>
      </c>
      <c r="BJ21" s="206">
        <f t="shared" si="45"/>
        <v>0</v>
      </c>
      <c r="BK21" s="194">
        <f t="shared" si="26"/>
        <v>0</v>
      </c>
      <c r="BL21" s="283">
        <f>IFERROR(VLOOKUP(Brand&amp;Channel&amp;Country&amp;$B21,tblDiscount,6,FALSE),0)</f>
        <v>0.4</v>
      </c>
      <c r="BM21" s="249">
        <f>(1-BL21)*BN21</f>
        <v>0</v>
      </c>
      <c r="BN21" s="249">
        <f>IFERROR(VLOOKUP(Brand&amp;Country &amp; Channel &amp;FC,tblFCSettings,8,FALSE),0)</f>
        <v>0</v>
      </c>
      <c r="BO21" s="284">
        <f>IFERROR(VLOOKUP(Brand&amp;Country &amp; Channel &amp;FC,tblFCSettings,9,FALSE),0)</f>
        <v>0</v>
      </c>
    </row>
    <row r="22" spans="1:67" x14ac:dyDescent="0.25">
      <c r="A22" s="64" t="s">
        <v>375</v>
      </c>
      <c r="B22" s="185">
        <v>11</v>
      </c>
      <c r="C22" s="208">
        <f t="shared" si="49"/>
        <v>0</v>
      </c>
      <c r="D22" s="187">
        <f t="shared" si="49"/>
        <v>0</v>
      </c>
      <c r="E22" s="188">
        <f t="shared" si="0"/>
        <v>0</v>
      </c>
      <c r="F22" s="239">
        <f>IFERROR(VLOOKUP(FiscalYr &amp; $B22&amp;F$4,tblForecast,F$2,FALSE),0)</f>
        <v>0</v>
      </c>
      <c r="G22" s="189">
        <f>IFERROR(VLOOKUP(FiscalYr-IF(CompareVer="LY",1,0) &amp; $B22 + IF(FiscalYr=2018,1,0)&amp;G$4,tblForecast,G$2,FALSE),0)</f>
        <v>0</v>
      </c>
      <c r="H22" s="188">
        <f t="shared" si="1"/>
        <v>0</v>
      </c>
      <c r="I22" s="190">
        <f t="shared" si="46"/>
        <v>0</v>
      </c>
      <c r="J22" s="190">
        <f t="shared" si="46"/>
        <v>0</v>
      </c>
      <c r="K22" s="208">
        <f t="shared" si="50"/>
        <v>0</v>
      </c>
      <c r="L22" s="187">
        <f t="shared" si="51"/>
        <v>0</v>
      </c>
      <c r="M22" s="191">
        <f t="shared" si="2"/>
        <v>0</v>
      </c>
      <c r="N22" s="162">
        <f t="shared" si="52"/>
        <v>0</v>
      </c>
      <c r="O22" s="192">
        <f t="shared" si="52"/>
        <v>0</v>
      </c>
      <c r="P22" s="188">
        <f t="shared" si="30"/>
        <v>0</v>
      </c>
      <c r="Q22" s="240">
        <f>IFERROR(VLOOKUP(FiscalYr &amp; $B22&amp;Q$4,tblForecast,Q$2,FALSE),0)</f>
        <v>0</v>
      </c>
      <c r="R22" s="193">
        <f>IFERROR(VLOOKUP(FiscalYr-IF(CompareVer="LY",1,0) &amp; $B22 + IF(FiscalYr=2018,1,0)&amp;R$4,tblForecast,R$2,FALSE),0)</f>
        <v>0</v>
      </c>
      <c r="S22" s="188">
        <f t="shared" si="4"/>
        <v>0</v>
      </c>
      <c r="T22" s="240">
        <f>IFERROR(VLOOKUP(FiscalYr &amp; $B22&amp;T$4,tblForecast,T$2,FALSE),0)</f>
        <v>0</v>
      </c>
      <c r="U22" s="193">
        <f>IFERROR(VLOOKUP(FiscalYr-IF(CompareVer="LY",1,0) &amp; $B22 + IF(FiscalYr=2018,1,0)&amp;U$4,tblForecast,U$2,FALSE),0)</f>
        <v>0</v>
      </c>
      <c r="V22" s="188">
        <f t="shared" si="5"/>
        <v>0</v>
      </c>
      <c r="W22" s="240">
        <f>IFERROR(VLOOKUP(FiscalYr &amp; $B22&amp;W$4,tblForecast,W$2,FALSE),0)</f>
        <v>0</v>
      </c>
      <c r="X22" s="193">
        <f>IFERROR(VLOOKUP(FiscalYr-IF(CompareVer="LY",1,0) &amp; $B22 + IF(FiscalYr=2018,1,0)&amp;X$4,tblForecast,X$2,FALSE),0)</f>
        <v>0</v>
      </c>
      <c r="Y22" s="188">
        <f t="shared" si="6"/>
        <v>0</v>
      </c>
      <c r="Z22" s="74">
        <f t="shared" si="7"/>
        <v>0</v>
      </c>
      <c r="AA22" s="194">
        <f t="shared" si="8"/>
        <v>0</v>
      </c>
      <c r="AB22" s="188">
        <f t="shared" si="31"/>
        <v>0</v>
      </c>
      <c r="AC22" s="209">
        <f t="shared" si="9"/>
        <v>0</v>
      </c>
      <c r="AD22" s="196">
        <f t="shared" si="10"/>
        <v>0</v>
      </c>
      <c r="AE22" s="197">
        <f t="shared" si="32"/>
        <v>0</v>
      </c>
      <c r="AF22" s="239">
        <f>IFERROR(VLOOKUP(FiscalYr &amp; $B22&amp;AF$4,tblForecast,AF$2,FALSE),0)</f>
        <v>0</v>
      </c>
      <c r="AG22" s="189">
        <f>IFERROR(VLOOKUP(FiscalYr-IF(CompareVer="LY",1,0) &amp; $B22 + IF(FiscalYr=2018,1,0)&amp;AG$4,tblForecast,AG$2,FALSE),0)</f>
        <v>0</v>
      </c>
      <c r="AH22" s="188">
        <f t="shared" si="11"/>
        <v>0</v>
      </c>
      <c r="AI22" s="239">
        <f t="shared" si="53"/>
        <v>0</v>
      </c>
      <c r="AJ22" s="189">
        <f t="shared" si="53"/>
        <v>0</v>
      </c>
      <c r="AK22" s="189">
        <f>IF($A22="a",IFERROR(VLOOKUP(FiscalYr &amp; $B22&amp;AK$4,tblForecast,AK$2,FALSE),0),AI22+AJ22)</f>
        <v>0</v>
      </c>
      <c r="AL22" s="189">
        <f>IFERROR(VLOOKUP(FiscalYr-IF(CompareVer="LY",1,0) &amp; $B22 + IF(FiscalYr=2018,1,0)&amp;AL$4,tblForecast,AL$2,FALSE),0)</f>
        <v>0</v>
      </c>
      <c r="AM22" s="188">
        <f t="shared" si="13"/>
        <v>0</v>
      </c>
      <c r="AN22" s="239">
        <f t="shared" si="54"/>
        <v>0</v>
      </c>
      <c r="AO22" s="189">
        <f t="shared" si="54"/>
        <v>0</v>
      </c>
      <c r="AP22" s="188">
        <f t="shared" si="15"/>
        <v>0</v>
      </c>
      <c r="AQ22" s="199">
        <f t="shared" si="55"/>
        <v>0</v>
      </c>
      <c r="AR22" s="210">
        <f t="shared" si="55"/>
        <v>0</v>
      </c>
      <c r="AS22" s="188">
        <f t="shared" si="33"/>
        <v>0</v>
      </c>
      <c r="AT22" s="239">
        <f>IFERROR(VLOOKUP(FiscalYr &amp; $B22&amp;AT$4,tblForecast,AT$2,FALSE),0)</f>
        <v>0</v>
      </c>
      <c r="AU22" s="189">
        <f t="shared" si="17"/>
        <v>0</v>
      </c>
      <c r="AV22" s="188">
        <f t="shared" si="18"/>
        <v>0</v>
      </c>
      <c r="AW22" s="201"/>
      <c r="AX22" s="202"/>
      <c r="AY22" s="188">
        <f t="shared" si="19"/>
        <v>0</v>
      </c>
      <c r="AZ22" s="203"/>
      <c r="BA22" s="189"/>
      <c r="BB22" s="188">
        <f t="shared" si="20"/>
        <v>0</v>
      </c>
      <c r="BC22" s="239">
        <f>IFERROR(VLOOKUP(FiscalYr &amp; $B22&amp;BC$4,tblForecast,BC$2,FALSE),0)</f>
        <v>0</v>
      </c>
      <c r="BD22" s="189">
        <f t="shared" si="21"/>
        <v>0</v>
      </c>
      <c r="BE22" s="188">
        <f t="shared" si="22"/>
        <v>0</v>
      </c>
      <c r="BF22" s="211">
        <f>IFERROR(VLOOKUP(FiscalYr &amp; $B22&amp;BF$4,tblForecast,BF$2,FALSE),0)</f>
        <v>0</v>
      </c>
      <c r="BG22" s="189">
        <f t="shared" si="23"/>
        <v>0</v>
      </c>
      <c r="BH22" s="188">
        <f t="shared" si="24"/>
        <v>0</v>
      </c>
      <c r="BI22" s="189">
        <f t="shared" si="44"/>
        <v>0</v>
      </c>
      <c r="BJ22" s="206">
        <f t="shared" si="45"/>
        <v>0</v>
      </c>
      <c r="BK22" s="194">
        <f t="shared" si="26"/>
        <v>0</v>
      </c>
      <c r="BL22" s="283">
        <f>IFERROR(VLOOKUP(Brand&amp;Channel&amp;Country&amp;$B22,tblDiscount,6,FALSE),0)</f>
        <v>0.45</v>
      </c>
      <c r="BM22" s="249">
        <f t="shared" ref="BM22:BM24" si="56">(1-BL22)*BN22</f>
        <v>0</v>
      </c>
      <c r="BN22" s="249">
        <f>IFERROR(VLOOKUP(Brand&amp;Country &amp; Channel &amp;FC,tblFCSettings,8,FALSE),0)</f>
        <v>0</v>
      </c>
      <c r="BO22" s="284">
        <f>IFERROR(VLOOKUP(Brand&amp;Country &amp; Channel &amp;FC,tblFCSettings,9,FALSE),0)</f>
        <v>0</v>
      </c>
    </row>
    <row r="23" spans="1:67" x14ac:dyDescent="0.25">
      <c r="A23" s="64" t="s">
        <v>375</v>
      </c>
      <c r="B23" s="185">
        <v>12</v>
      </c>
      <c r="C23" s="208">
        <f t="shared" si="49"/>
        <v>0</v>
      </c>
      <c r="D23" s="187">
        <f t="shared" si="49"/>
        <v>0</v>
      </c>
      <c r="E23" s="188">
        <f t="shared" si="0"/>
        <v>0</v>
      </c>
      <c r="F23" s="239">
        <f>IFERROR(VLOOKUP(FiscalYr &amp; $B23&amp;F$4,tblForecast,F$2,FALSE),0)</f>
        <v>0</v>
      </c>
      <c r="G23" s="189">
        <f>IFERROR(VLOOKUP(FiscalYr-IF(CompareVer="LY",1,0) &amp; $B23 + IF(FiscalYr=2018,1,0)&amp;G$4,tblForecast,G$2,FALSE),0)</f>
        <v>0</v>
      </c>
      <c r="H23" s="188">
        <f t="shared" si="1"/>
        <v>0</v>
      </c>
      <c r="I23" s="190">
        <f t="shared" si="46"/>
        <v>0</v>
      </c>
      <c r="J23" s="190">
        <f t="shared" si="46"/>
        <v>0</v>
      </c>
      <c r="K23" s="208">
        <f t="shared" si="50"/>
        <v>0</v>
      </c>
      <c r="L23" s="187">
        <f t="shared" si="51"/>
        <v>0</v>
      </c>
      <c r="M23" s="191">
        <f t="shared" si="2"/>
        <v>0</v>
      </c>
      <c r="N23" s="162">
        <f t="shared" si="52"/>
        <v>0</v>
      </c>
      <c r="O23" s="192">
        <f t="shared" si="52"/>
        <v>0</v>
      </c>
      <c r="P23" s="188">
        <f t="shared" si="30"/>
        <v>0</v>
      </c>
      <c r="Q23" s="240">
        <f>IFERROR(VLOOKUP(FiscalYr &amp; $B23&amp;Q$4,tblForecast,Q$2,FALSE),0)</f>
        <v>0</v>
      </c>
      <c r="R23" s="193">
        <f>IFERROR(VLOOKUP(FiscalYr-IF(CompareVer="LY",1,0) &amp; $B23 + IF(FiscalYr=2018,1,0)&amp;R$4,tblForecast,R$2,FALSE),0)</f>
        <v>0</v>
      </c>
      <c r="S23" s="188">
        <f t="shared" si="4"/>
        <v>0</v>
      </c>
      <c r="T23" s="240">
        <f>IFERROR(VLOOKUP(FiscalYr &amp; $B23&amp;T$4,tblForecast,T$2,FALSE),0)</f>
        <v>0</v>
      </c>
      <c r="U23" s="193">
        <f>IFERROR(VLOOKUP(FiscalYr-IF(CompareVer="LY",1,0) &amp; $B23 + IF(FiscalYr=2018,1,0)&amp;U$4,tblForecast,U$2,FALSE),0)</f>
        <v>0</v>
      </c>
      <c r="V23" s="188">
        <f t="shared" si="5"/>
        <v>0</v>
      </c>
      <c r="W23" s="240">
        <f>IFERROR(VLOOKUP(FiscalYr &amp; $B23&amp;W$4,tblForecast,W$2,FALSE),0)</f>
        <v>0</v>
      </c>
      <c r="X23" s="193">
        <f>IFERROR(VLOOKUP(FiscalYr-IF(CompareVer="LY",1,0) &amp; $B23 + IF(FiscalYr=2018,1,0)&amp;X$4,tblForecast,X$2,FALSE),0)</f>
        <v>0</v>
      </c>
      <c r="Y23" s="188">
        <f t="shared" si="6"/>
        <v>0</v>
      </c>
      <c r="Z23" s="74">
        <f t="shared" si="7"/>
        <v>0</v>
      </c>
      <c r="AA23" s="194">
        <f t="shared" si="8"/>
        <v>0</v>
      </c>
      <c r="AB23" s="188">
        <f t="shared" si="31"/>
        <v>0</v>
      </c>
      <c r="AC23" s="209">
        <f>IF(AF23&lt;&gt;0,F23/AF23,0)</f>
        <v>0</v>
      </c>
      <c r="AD23" s="196">
        <f t="shared" si="10"/>
        <v>0</v>
      </c>
      <c r="AE23" s="197">
        <f t="shared" si="32"/>
        <v>0</v>
      </c>
      <c r="AF23" s="239">
        <f>IFERROR(VLOOKUP(FiscalYr &amp; $B23&amp;AF$4,tblForecast,AF$2,FALSE),0)</f>
        <v>0</v>
      </c>
      <c r="AG23" s="189">
        <f>IFERROR(VLOOKUP(FiscalYr-IF(CompareVer="LY",1,0) &amp; $B23 + IF(FiscalYr=2018,1,0)&amp;AG$4,tblForecast,AG$2,FALSE),0)</f>
        <v>0</v>
      </c>
      <c r="AH23" s="188">
        <f t="shared" si="11"/>
        <v>0</v>
      </c>
      <c r="AI23" s="239">
        <f t="shared" si="53"/>
        <v>0</v>
      </c>
      <c r="AJ23" s="189">
        <f t="shared" si="53"/>
        <v>0</v>
      </c>
      <c r="AK23" s="189">
        <f>IF($A23="a",IFERROR(VLOOKUP(FiscalYr &amp; $B23&amp;AK$4,tblForecast,AK$2,FALSE),0),AI23+AJ23)</f>
        <v>0</v>
      </c>
      <c r="AL23" s="189">
        <f>IFERROR(VLOOKUP(FiscalYr-IF(CompareVer="LY",1,0) &amp; $B23 + IF(FiscalYr=2018,1,0)&amp;AL$4,tblForecast,AL$2,FALSE),0)</f>
        <v>0</v>
      </c>
      <c r="AM23" s="188">
        <f t="shared" si="13"/>
        <v>0</v>
      </c>
      <c r="AN23" s="239">
        <f t="shared" si="54"/>
        <v>0</v>
      </c>
      <c r="AO23" s="189">
        <f t="shared" si="54"/>
        <v>0</v>
      </c>
      <c r="AP23" s="188">
        <f t="shared" si="15"/>
        <v>0</v>
      </c>
      <c r="AQ23" s="199">
        <f t="shared" si="55"/>
        <v>0</v>
      </c>
      <c r="AR23" s="210">
        <f t="shared" si="55"/>
        <v>0</v>
      </c>
      <c r="AS23" s="188">
        <f t="shared" si="33"/>
        <v>0</v>
      </c>
      <c r="AT23" s="239">
        <f>IFERROR(VLOOKUP(FiscalYr &amp; $B23&amp;AT$4,tblForecast,AT$2,FALSE),0)</f>
        <v>0</v>
      </c>
      <c r="AU23" s="189">
        <f t="shared" si="17"/>
        <v>0</v>
      </c>
      <c r="AV23" s="188">
        <f t="shared" si="18"/>
        <v>0</v>
      </c>
      <c r="AW23" s="201"/>
      <c r="AX23" s="202"/>
      <c r="AY23" s="188">
        <f t="shared" si="19"/>
        <v>0</v>
      </c>
      <c r="AZ23" s="203"/>
      <c r="BA23" s="189"/>
      <c r="BB23" s="188">
        <f t="shared" si="20"/>
        <v>0</v>
      </c>
      <c r="BC23" s="239">
        <f>IFERROR(VLOOKUP(FiscalYr &amp; $B23&amp;BC$4,tblForecast,BC$2,FALSE),0)</f>
        <v>0</v>
      </c>
      <c r="BD23" s="189">
        <f t="shared" si="21"/>
        <v>0</v>
      </c>
      <c r="BE23" s="188">
        <f t="shared" si="22"/>
        <v>0</v>
      </c>
      <c r="BF23" s="211">
        <f>IFERROR(VLOOKUP(FiscalYr &amp; $B23&amp;BF$4,tblForecast,BF$2,FALSE),0)</f>
        <v>0</v>
      </c>
      <c r="BG23" s="189">
        <f t="shared" si="23"/>
        <v>0</v>
      </c>
      <c r="BH23" s="188">
        <f t="shared" si="24"/>
        <v>0</v>
      </c>
      <c r="BI23" s="189">
        <f t="shared" si="44"/>
        <v>0</v>
      </c>
      <c r="BJ23" s="206">
        <f t="shared" si="45"/>
        <v>0</v>
      </c>
      <c r="BK23" s="194">
        <f t="shared" si="26"/>
        <v>0</v>
      </c>
      <c r="BL23" s="283">
        <f>IFERROR(VLOOKUP(Brand&amp;Channel&amp;Country&amp;$B23,tblDiscount,6,FALSE),0)</f>
        <v>0.45</v>
      </c>
      <c r="BM23" s="249">
        <f t="shared" si="56"/>
        <v>0</v>
      </c>
      <c r="BN23" s="249">
        <f>IFERROR(VLOOKUP(Brand&amp;Country &amp; Channel &amp;FC,tblFCSettings,8,FALSE),0)</f>
        <v>0</v>
      </c>
      <c r="BO23" s="284">
        <f>IFERROR(VLOOKUP(Brand&amp;Country &amp; Channel &amp;FC,tblFCSettings,9,FALSE),0)</f>
        <v>0</v>
      </c>
    </row>
    <row r="24" spans="1:67" ht="16.5" thickBot="1" x14ac:dyDescent="0.3">
      <c r="A24" s="64" t="s">
        <v>375</v>
      </c>
      <c r="B24" s="185">
        <v>13</v>
      </c>
      <c r="C24" s="208">
        <f t="shared" si="49"/>
        <v>0</v>
      </c>
      <c r="D24" s="187">
        <f t="shared" si="49"/>
        <v>0</v>
      </c>
      <c r="E24" s="188">
        <f t="shared" si="0"/>
        <v>0</v>
      </c>
      <c r="F24" s="239">
        <f>IFERROR(VLOOKUP(FiscalYr &amp; $B24&amp;F$4,tblForecast,F$2,FALSE),0)</f>
        <v>0</v>
      </c>
      <c r="G24" s="189">
        <f>IFERROR(VLOOKUP(FiscalYr-IF(CompareVer="LY",1,0) &amp; $B24 + IF(FiscalYr=2018,1,0)&amp;G$4,tblForecast,G$2,FALSE),0)</f>
        <v>0</v>
      </c>
      <c r="H24" s="188">
        <f t="shared" si="1"/>
        <v>0</v>
      </c>
      <c r="I24" s="190">
        <f t="shared" si="46"/>
        <v>0</v>
      </c>
      <c r="J24" s="190">
        <f t="shared" si="46"/>
        <v>0</v>
      </c>
      <c r="K24" s="208">
        <f t="shared" si="50"/>
        <v>0</v>
      </c>
      <c r="L24" s="187">
        <f t="shared" si="51"/>
        <v>0</v>
      </c>
      <c r="M24" s="191">
        <f t="shared" si="2"/>
        <v>0</v>
      </c>
      <c r="N24" s="162">
        <f t="shared" si="52"/>
        <v>0</v>
      </c>
      <c r="O24" s="192">
        <f t="shared" si="52"/>
        <v>0</v>
      </c>
      <c r="P24" s="188">
        <f t="shared" si="30"/>
        <v>0</v>
      </c>
      <c r="Q24" s="240">
        <f>IFERROR(VLOOKUP(FiscalYr &amp; $B24&amp;Q$4,tblForecast,Q$2,FALSE),0)</f>
        <v>0</v>
      </c>
      <c r="R24" s="193">
        <f>IFERROR(VLOOKUP(FiscalYr-IF(CompareVer="LY",1,0) &amp; $B24 + IF(FiscalYr=2018,1,0)&amp;R$4,tblForecast,R$2,FALSE),0)</f>
        <v>0</v>
      </c>
      <c r="S24" s="188">
        <f t="shared" si="4"/>
        <v>0</v>
      </c>
      <c r="T24" s="240">
        <f>IFERROR(VLOOKUP(FiscalYr &amp; $B24&amp;T$4,tblForecast,T$2,FALSE),0)</f>
        <v>0</v>
      </c>
      <c r="U24" s="193">
        <f>IFERROR(VLOOKUP(FiscalYr-IF(CompareVer="LY",1,0) &amp; $B24 + IF(FiscalYr=2018,1,0)&amp;U$4,tblForecast,U$2,FALSE),0)</f>
        <v>0</v>
      </c>
      <c r="V24" s="188">
        <f t="shared" si="5"/>
        <v>0</v>
      </c>
      <c r="W24" s="240">
        <f>IFERROR(VLOOKUP(FiscalYr &amp; $B24&amp;W$4,tblForecast,W$2,FALSE),0)</f>
        <v>0</v>
      </c>
      <c r="X24" s="193">
        <f>IFERROR(VLOOKUP(FiscalYr-IF(CompareVer="LY",1,0) &amp; $B24 + IF(FiscalYr=2018,1,0)&amp;X$4,tblForecast,X$2,FALSE),0)</f>
        <v>0</v>
      </c>
      <c r="Y24" s="188">
        <f t="shared" si="6"/>
        <v>0</v>
      </c>
      <c r="Z24" s="74">
        <f t="shared" si="7"/>
        <v>0</v>
      </c>
      <c r="AA24" s="194">
        <f t="shared" si="8"/>
        <v>0</v>
      </c>
      <c r="AB24" s="188">
        <f t="shared" si="31"/>
        <v>0</v>
      </c>
      <c r="AC24" s="209">
        <f t="shared" si="9"/>
        <v>0</v>
      </c>
      <c r="AD24" s="196">
        <f t="shared" si="10"/>
        <v>0</v>
      </c>
      <c r="AE24" s="197">
        <f t="shared" si="32"/>
        <v>0</v>
      </c>
      <c r="AF24" s="239">
        <f>IFERROR(VLOOKUP(FiscalYr &amp; $B24&amp;AF$4,tblForecast,AF$2,FALSE),0)</f>
        <v>0</v>
      </c>
      <c r="AG24" s="189">
        <f>IFERROR(VLOOKUP(FiscalYr-IF(CompareVer="LY",1,0) &amp; $B24 + IF(FiscalYr=2018,1,0)&amp;AG$4,tblForecast,AG$2,FALSE),0)</f>
        <v>0</v>
      </c>
      <c r="AH24" s="188">
        <f t="shared" si="11"/>
        <v>0</v>
      </c>
      <c r="AI24" s="239">
        <f t="shared" si="53"/>
        <v>0</v>
      </c>
      <c r="AJ24" s="189">
        <f t="shared" si="53"/>
        <v>0</v>
      </c>
      <c r="AK24" s="189">
        <f>IF($A24="a",IFERROR(VLOOKUP(FiscalYr &amp; $B24&amp;AK$4,tblForecast,AK$2,FALSE),0),AI24+AJ24)</f>
        <v>0</v>
      </c>
      <c r="AL24" s="189">
        <f>IFERROR(VLOOKUP(FiscalYr-IF(CompareVer="LY",1,0) &amp; $B24 + IF(FiscalYr=2018,1,0)&amp;AL$4,tblForecast,AL$2,FALSE),0)</f>
        <v>0</v>
      </c>
      <c r="AM24" s="188">
        <f t="shared" si="13"/>
        <v>0</v>
      </c>
      <c r="AN24" s="239">
        <f t="shared" si="54"/>
        <v>0</v>
      </c>
      <c r="AO24" s="189">
        <f t="shared" si="54"/>
        <v>0</v>
      </c>
      <c r="AP24" s="188">
        <f t="shared" si="15"/>
        <v>0</v>
      </c>
      <c r="AQ24" s="199">
        <f t="shared" si="55"/>
        <v>0</v>
      </c>
      <c r="AR24" s="210">
        <f t="shared" si="55"/>
        <v>0</v>
      </c>
      <c r="AS24" s="188">
        <f t="shared" si="33"/>
        <v>0</v>
      </c>
      <c r="AT24" s="239">
        <f>IFERROR(VLOOKUP(FiscalYr &amp; $B24&amp;AT$4,tblForecast,AT$2,FALSE),0)</f>
        <v>0</v>
      </c>
      <c r="AU24" s="189">
        <f t="shared" si="17"/>
        <v>0</v>
      </c>
      <c r="AV24" s="188">
        <f t="shared" si="18"/>
        <v>0</v>
      </c>
      <c r="AW24" s="201"/>
      <c r="AX24" s="202"/>
      <c r="AY24" s="188">
        <f t="shared" si="19"/>
        <v>0</v>
      </c>
      <c r="AZ24" s="203"/>
      <c r="BA24" s="189"/>
      <c r="BB24" s="188">
        <f t="shared" si="20"/>
        <v>0</v>
      </c>
      <c r="BC24" s="239">
        <f>IFERROR(VLOOKUP(FiscalYr &amp; $B24&amp;BC$4,tblForecast,BC$2,FALSE),0)</f>
        <v>0</v>
      </c>
      <c r="BD24" s="189">
        <f t="shared" si="21"/>
        <v>0</v>
      </c>
      <c r="BE24" s="188">
        <f t="shared" si="22"/>
        <v>0</v>
      </c>
      <c r="BF24" s="211">
        <f>IFERROR(VLOOKUP(FiscalYr &amp; $B24&amp;BF$4,tblForecast,BF$2,FALSE),0)</f>
        <v>0</v>
      </c>
      <c r="BG24" s="189">
        <f t="shared" si="23"/>
        <v>0</v>
      </c>
      <c r="BH24" s="188">
        <f t="shared" si="24"/>
        <v>0</v>
      </c>
      <c r="BI24" s="189">
        <f t="shared" si="44"/>
        <v>0</v>
      </c>
      <c r="BJ24" s="206">
        <f t="shared" si="45"/>
        <v>0</v>
      </c>
      <c r="BK24" s="194">
        <f t="shared" si="26"/>
        <v>0</v>
      </c>
      <c r="BL24" s="283">
        <f>IFERROR(VLOOKUP(Brand&amp;Channel&amp;Country&amp;$B24,tblDiscount,6,FALSE),0)</f>
        <v>0.45</v>
      </c>
      <c r="BM24" s="249">
        <f t="shared" si="56"/>
        <v>0</v>
      </c>
      <c r="BN24" s="249">
        <f>IFERROR(VLOOKUP(Brand&amp;Country &amp; Channel &amp;FC,tblFCSettings,8,FALSE),0)</f>
        <v>0</v>
      </c>
      <c r="BO24" s="284">
        <f>IFERROR(VLOOKUP(Brand&amp;Country &amp; Channel &amp;FC,tblFCSettings,9,FALSE),0)</f>
        <v>0</v>
      </c>
    </row>
    <row r="25" spans="1:67" ht="16.5" thickBot="1" x14ac:dyDescent="0.3">
      <c r="B25" s="241" t="s">
        <v>24</v>
      </c>
      <c r="C25" s="92">
        <f>SUM(C21:C24)</f>
        <v>0</v>
      </c>
      <c r="D25" s="93">
        <f>SUM(D21:D24)</f>
        <v>0</v>
      </c>
      <c r="E25" s="94">
        <f t="shared" si="0"/>
        <v>0</v>
      </c>
      <c r="F25" s="95">
        <f>SUM(F21:F24)</f>
        <v>0</v>
      </c>
      <c r="G25" s="96">
        <f>SUM(G21:G24)</f>
        <v>0</v>
      </c>
      <c r="H25" s="94">
        <f t="shared" si="1"/>
        <v>0</v>
      </c>
      <c r="I25" s="178">
        <f>IF(F20&lt;&gt;0,F25/F20-1,0)</f>
        <v>0</v>
      </c>
      <c r="J25" s="178">
        <f>IF(G20&lt;&gt;0,G25/G20-1,0)</f>
        <v>0</v>
      </c>
      <c r="K25" s="92">
        <f>SUM(K21:K24)</f>
        <v>0</v>
      </c>
      <c r="L25" s="93">
        <f>SUM(L21:L24)</f>
        <v>0</v>
      </c>
      <c r="M25" s="97">
        <f t="shared" si="2"/>
        <v>0</v>
      </c>
      <c r="N25" s="164">
        <f>IFERROR(K25/C25,0)</f>
        <v>0</v>
      </c>
      <c r="O25" s="165">
        <f>IFERROR(L25/D25,0)</f>
        <v>0</v>
      </c>
      <c r="P25" s="94">
        <f t="shared" si="30"/>
        <v>0</v>
      </c>
      <c r="Q25" s="98">
        <f>IFERROR(C25/F25,0)</f>
        <v>0</v>
      </c>
      <c r="R25" s="99">
        <f>IFERROR(D25/G25,0)</f>
        <v>0</v>
      </c>
      <c r="S25" s="94">
        <f t="shared" si="4"/>
        <v>0</v>
      </c>
      <c r="T25" s="98">
        <f>IFERROR((C25*(1-N25))/F25,0)</f>
        <v>0</v>
      </c>
      <c r="U25" s="99">
        <f>IFERROR((D25*(1-O25))/G25,0)</f>
        <v>0</v>
      </c>
      <c r="V25" s="94">
        <f t="shared" si="5"/>
        <v>0</v>
      </c>
      <c r="W25" s="98">
        <f>IFERROR(SUMPRODUCT(W21:W24,F21:F24)/F25,0)</f>
        <v>0</v>
      </c>
      <c r="X25" s="99">
        <f>IFERROR(SUMPRODUCT(X21:X24,G21:G24)/G25,0)</f>
        <v>0</v>
      </c>
      <c r="Y25" s="94">
        <f t="shared" si="6"/>
        <v>0</v>
      </c>
      <c r="Z25" s="100">
        <f t="shared" si="7"/>
        <v>0</v>
      </c>
      <c r="AA25" s="101">
        <f t="shared" si="8"/>
        <v>0</v>
      </c>
      <c r="AB25" s="94">
        <f t="shared" si="31"/>
        <v>0</v>
      </c>
      <c r="AC25" s="102">
        <f t="shared" si="9"/>
        <v>0</v>
      </c>
      <c r="AD25" s="103">
        <f t="shared" si="10"/>
        <v>0</v>
      </c>
      <c r="AE25" s="104">
        <f t="shared" si="32"/>
        <v>0</v>
      </c>
      <c r="AF25" s="95">
        <f>AF24</f>
        <v>0</v>
      </c>
      <c r="AG25" s="96">
        <f>AG24</f>
        <v>0</v>
      </c>
      <c r="AH25" s="94">
        <f t="shared" si="11"/>
        <v>0</v>
      </c>
      <c r="AI25" s="95">
        <f>SUM(AI21:AI24)</f>
        <v>0</v>
      </c>
      <c r="AJ25" s="96">
        <f>SUM(AJ21:AJ24)</f>
        <v>0</v>
      </c>
      <c r="AK25" s="96">
        <f>SUM(AK21:AK24)</f>
        <v>0</v>
      </c>
      <c r="AL25" s="96">
        <f>SUM(AL21:AL24)</f>
        <v>0</v>
      </c>
      <c r="AM25" s="94">
        <f t="shared" si="13"/>
        <v>0</v>
      </c>
      <c r="AN25" s="95">
        <f>SUM(AN21:AN24)</f>
        <v>0</v>
      </c>
      <c r="AO25" s="96">
        <f t="shared" si="36"/>
        <v>0</v>
      </c>
      <c r="AP25" s="94">
        <f t="shared" si="15"/>
        <v>0</v>
      </c>
      <c r="AQ25" s="105">
        <f>IF(F25&lt;&gt;0,(AF25*COUNTIF(AQ21:AQ24,"&lt;&gt;0")/F25),0)</f>
        <v>0</v>
      </c>
      <c r="AR25" s="106">
        <f>IF(G25&lt;&gt;0,(AG25*COUNTIF(AR21:AR24,"&lt;&gt;0")/G25),0)</f>
        <v>0</v>
      </c>
      <c r="AS25" s="94">
        <f t="shared" si="33"/>
        <v>0</v>
      </c>
      <c r="AT25" s="95">
        <f>SUM(AT21:AT24)</f>
        <v>0</v>
      </c>
      <c r="AU25" s="96">
        <f>SUM(AU21:AU24)</f>
        <v>0</v>
      </c>
      <c r="AV25" s="94">
        <f t="shared" si="18"/>
        <v>0</v>
      </c>
      <c r="AW25" s="107"/>
      <c r="AX25" s="108"/>
      <c r="AY25" s="94">
        <f t="shared" si="19"/>
        <v>0</v>
      </c>
      <c r="AZ25" s="109">
        <f>SUM(AZ21:AZ24)</f>
        <v>0</v>
      </c>
      <c r="BA25" s="96">
        <f>SUM(BA21:BA24)</f>
        <v>0</v>
      </c>
      <c r="BB25" s="94">
        <f t="shared" si="20"/>
        <v>0</v>
      </c>
      <c r="BC25" s="95">
        <f>SUM(BC21:BC24)</f>
        <v>0</v>
      </c>
      <c r="BD25" s="96">
        <f>SUM(BD21:BD24)</f>
        <v>0</v>
      </c>
      <c r="BE25" s="94">
        <f t="shared" si="22"/>
        <v>0</v>
      </c>
      <c r="BF25" s="110">
        <f>SUM(BF21:BF24)</f>
        <v>0</v>
      </c>
      <c r="BG25" s="111">
        <f>SUM(BG21:BG24)</f>
        <v>0</v>
      </c>
      <c r="BH25" s="94">
        <f t="shared" si="24"/>
        <v>0</v>
      </c>
      <c r="BI25" s="111">
        <f>IF(F25&lt;&gt;0,BF25*COUNTIF(BI21:BI24,"&lt;&gt;0")/F25,0)</f>
        <v>0</v>
      </c>
      <c r="BJ25" s="112">
        <f>IF(G25&lt;&gt;0,BG25*COUNTIF(BJ21:BJ24,"&lt;&gt;0")/G25,0)</f>
        <v>0</v>
      </c>
      <c r="BK25" s="101">
        <f t="shared" si="26"/>
        <v>0</v>
      </c>
      <c r="BL25" s="283"/>
      <c r="BM25" s="249"/>
      <c r="BN25" s="249"/>
      <c r="BO25" s="284"/>
    </row>
    <row r="26" spans="1:67" ht="16.5" thickBot="1" x14ac:dyDescent="0.3">
      <c r="B26" s="242" t="s">
        <v>25</v>
      </c>
      <c r="C26" s="113">
        <f>C14+C20+C25</f>
        <v>0</v>
      </c>
      <c r="D26" s="114">
        <f>D14+D20+D25</f>
        <v>0</v>
      </c>
      <c r="E26" s="115">
        <f t="shared" si="0"/>
        <v>0</v>
      </c>
      <c r="F26" s="116">
        <f>F14+F20+F25</f>
        <v>0</v>
      </c>
      <c r="G26" s="117">
        <f>G14+G20+G25</f>
        <v>0</v>
      </c>
      <c r="H26" s="115">
        <f t="shared" si="1"/>
        <v>0</v>
      </c>
      <c r="I26" s="179">
        <f>IF(G77&lt;&gt;0,F26/G77-1,0)</f>
        <v>0</v>
      </c>
      <c r="J26" s="179">
        <v>0</v>
      </c>
      <c r="K26" s="113">
        <f>K14+K20+K25</f>
        <v>0</v>
      </c>
      <c r="L26" s="114">
        <f>L14+L20+L25</f>
        <v>0</v>
      </c>
      <c r="M26" s="118">
        <f t="shared" si="2"/>
        <v>0</v>
      </c>
      <c r="N26" s="166">
        <f>IFERROR(K26/C26,0)</f>
        <v>0</v>
      </c>
      <c r="O26" s="167">
        <f>IFERROR(L26/D26,0)</f>
        <v>0</v>
      </c>
      <c r="P26" s="115">
        <f t="shared" si="30"/>
        <v>0</v>
      </c>
      <c r="Q26" s="119">
        <f>IFERROR(C26/F26,0)</f>
        <v>0</v>
      </c>
      <c r="R26" s="120">
        <f>IFERROR(D26/G26,0)</f>
        <v>0</v>
      </c>
      <c r="S26" s="115">
        <f t="shared" si="4"/>
        <v>0</v>
      </c>
      <c r="T26" s="119">
        <f>IFERROR((C26*(1-N26))/F26,0)</f>
        <v>0</v>
      </c>
      <c r="U26" s="120">
        <f>IFERROR((D26*(1-O26))/G26,0)</f>
        <v>0</v>
      </c>
      <c r="V26" s="115">
        <f t="shared" si="5"/>
        <v>0</v>
      </c>
      <c r="W26" s="119">
        <f>IFERROR((W14*F14+W20*F20+W25*F25)/F26,0)</f>
        <v>0</v>
      </c>
      <c r="X26" s="120">
        <f>IFERROR((X14*G14+X20*G20+X25*G25)/G26,0)</f>
        <v>0</v>
      </c>
      <c r="Y26" s="115">
        <f t="shared" si="6"/>
        <v>0</v>
      </c>
      <c r="Z26" s="121">
        <f t="shared" si="7"/>
        <v>0</v>
      </c>
      <c r="AA26" s="122">
        <f t="shared" si="8"/>
        <v>0</v>
      </c>
      <c r="AB26" s="115">
        <f>IFERROR(Z26-AA26,)</f>
        <v>0</v>
      </c>
      <c r="AC26" s="123">
        <f t="shared" si="9"/>
        <v>0</v>
      </c>
      <c r="AD26" s="124">
        <f t="shared" si="10"/>
        <v>0</v>
      </c>
      <c r="AE26" s="125">
        <f t="shared" si="32"/>
        <v>0</v>
      </c>
      <c r="AF26" s="116">
        <f>AF25</f>
        <v>0</v>
      </c>
      <c r="AG26" s="117">
        <f>AG25</f>
        <v>0</v>
      </c>
      <c r="AH26" s="115">
        <f t="shared" si="11"/>
        <v>0</v>
      </c>
      <c r="AI26" s="116">
        <f t="shared" ref="AI26:AL26" si="57">AI14+AI20+AI25</f>
        <v>0</v>
      </c>
      <c r="AJ26" s="117">
        <f t="shared" si="57"/>
        <v>0</v>
      </c>
      <c r="AK26" s="117">
        <f t="shared" si="57"/>
        <v>0</v>
      </c>
      <c r="AL26" s="117">
        <f t="shared" si="57"/>
        <v>0</v>
      </c>
      <c r="AM26" s="115">
        <f t="shared" si="13"/>
        <v>0</v>
      </c>
      <c r="AN26" s="116">
        <f>AN14+AN20+AN25</f>
        <v>0</v>
      </c>
      <c r="AO26" s="117">
        <f>AO14+AO20+AO25</f>
        <v>0</v>
      </c>
      <c r="AP26" s="115">
        <f t="shared" si="15"/>
        <v>0</v>
      </c>
      <c r="AQ26" s="126">
        <f>IF(F26&lt;&gt;0,(AF26*$B$24/F26),0)</f>
        <v>0</v>
      </c>
      <c r="AR26" s="127">
        <f>IF(G26&lt;&gt;0,(AG26*$B$24/G26),0)</f>
        <v>0</v>
      </c>
      <c r="AS26" s="115">
        <f t="shared" si="33"/>
        <v>0</v>
      </c>
      <c r="AT26" s="116">
        <f>AT14+AT20+AT25</f>
        <v>0</v>
      </c>
      <c r="AU26" s="117">
        <f>AU14+AU20+AU25</f>
        <v>0</v>
      </c>
      <c r="AV26" s="115">
        <f t="shared" si="18"/>
        <v>0</v>
      </c>
      <c r="AW26" s="128"/>
      <c r="AX26" s="129"/>
      <c r="AY26" s="115">
        <f t="shared" si="19"/>
        <v>0</v>
      </c>
      <c r="AZ26" s="130">
        <f>AZ14+AZ20+AZ25</f>
        <v>0</v>
      </c>
      <c r="BA26" s="117">
        <f>BA14+BA20+BA25</f>
        <v>0</v>
      </c>
      <c r="BB26" s="115">
        <f t="shared" si="20"/>
        <v>0</v>
      </c>
      <c r="BC26" s="116">
        <f>BC14+BC20+BC25</f>
        <v>0</v>
      </c>
      <c r="BD26" s="117">
        <f>BD14+BD20+BD25</f>
        <v>0</v>
      </c>
      <c r="BE26" s="115">
        <f t="shared" si="22"/>
        <v>0</v>
      </c>
      <c r="BF26" s="131">
        <f>BF14+BF20+BF25</f>
        <v>0</v>
      </c>
      <c r="BG26" s="132">
        <f>BG14+BG20+BG25</f>
        <v>0</v>
      </c>
      <c r="BH26" s="115">
        <f t="shared" si="24"/>
        <v>0</v>
      </c>
      <c r="BI26" s="132">
        <f t="shared" ref="BI26:BI57" si="58">IF(F26&lt;&gt;0,BF26/F26,0)</f>
        <v>0</v>
      </c>
      <c r="BJ26" s="133">
        <f t="shared" ref="BJ26:BJ57" si="59">IF(G26&lt;&gt;0,BG26/G26,0)</f>
        <v>0</v>
      </c>
      <c r="BK26" s="122">
        <f t="shared" si="26"/>
        <v>0</v>
      </c>
      <c r="BL26" s="283"/>
      <c r="BM26" s="249"/>
      <c r="BN26" s="249"/>
      <c r="BO26" s="284"/>
    </row>
    <row r="27" spans="1:67" x14ac:dyDescent="0.25">
      <c r="A27" s="64" t="s">
        <v>375</v>
      </c>
      <c r="B27" s="185">
        <v>14</v>
      </c>
      <c r="C27" s="208">
        <f t="shared" ref="C27:D30" si="60">F27*Q27</f>
        <v>0</v>
      </c>
      <c r="D27" s="187">
        <f t="shared" si="60"/>
        <v>0</v>
      </c>
      <c r="E27" s="188">
        <f t="shared" si="0"/>
        <v>0</v>
      </c>
      <c r="F27" s="189">
        <f>IFERROR(VLOOKUP(FiscalYr &amp; $B27&amp;F$4,tblForecast,F$2,FALSE),0)</f>
        <v>0</v>
      </c>
      <c r="G27" s="189">
        <f>IFERROR(VLOOKUP(FiscalYr-IF(CompareVer="LY",1,0) &amp; $B27 + IF(FiscalYr=2018,1,0)&amp;G$4,tblForecast,G$2,FALSE),0)</f>
        <v>0</v>
      </c>
      <c r="H27" s="188">
        <f t="shared" si="1"/>
        <v>0</v>
      </c>
      <c r="I27" s="190">
        <f>IFERROR(IF(F24&lt;&gt;0,F27/F24,0),0)</f>
        <v>0</v>
      </c>
      <c r="J27" s="190">
        <f>IFERROR(IF(G24&lt;&gt;0,G27/G24,0),0)</f>
        <v>0</v>
      </c>
      <c r="K27" s="208">
        <f>IFERROR(C27*N27,0)</f>
        <v>0</v>
      </c>
      <c r="L27" s="187">
        <f t="shared" ref="L27:L30" si="61">D27*O27</f>
        <v>0</v>
      </c>
      <c r="M27" s="191">
        <f t="shared" si="2"/>
        <v>0</v>
      </c>
      <c r="N27" s="162">
        <f t="shared" ref="N27:O30" si="62">IF(Q27&lt;&gt;0,1-T27/Q27,0)</f>
        <v>0</v>
      </c>
      <c r="O27" s="192">
        <f t="shared" si="62"/>
        <v>0</v>
      </c>
      <c r="P27" s="188">
        <f>IFERROR(N27-O27,)</f>
        <v>0</v>
      </c>
      <c r="Q27" s="240">
        <f>IFERROR(VLOOKUP(FiscalYr &amp; $B27&amp;Q$4,tblForecast,Q$2,FALSE),0)</f>
        <v>0</v>
      </c>
      <c r="R27" s="193">
        <f>IFERROR(VLOOKUP(FiscalYr-IF(CompareVer="LY",1,0) &amp; $B27 + IF(FiscalYr=2018,1,0)&amp;R$4,tblForecast,R$2,FALSE),0)</f>
        <v>0</v>
      </c>
      <c r="S27" s="188">
        <f t="shared" si="4"/>
        <v>0</v>
      </c>
      <c r="T27" s="240">
        <f>IFERROR(VLOOKUP(FiscalYr &amp; $B27&amp;T$4,tblForecast,T$2,FALSE),0)</f>
        <v>0</v>
      </c>
      <c r="U27" s="193">
        <f>IFERROR(VLOOKUP(FiscalYr-IF(CompareVer="LY",1,0) &amp; $B27 + IF(FiscalYr=2018,1,0)&amp;U$4,tblForecast,U$2,FALSE),0)</f>
        <v>0</v>
      </c>
      <c r="V27" s="188">
        <f t="shared" si="5"/>
        <v>0</v>
      </c>
      <c r="W27" s="240">
        <f>IFERROR(VLOOKUP(FiscalYr &amp; $B27&amp;W$4,tblForecast,W$2,FALSE),0)</f>
        <v>0</v>
      </c>
      <c r="X27" s="193">
        <f>IFERROR(VLOOKUP(FiscalYr-IF(CompareVer="LY",1,0) &amp; $B27 + IF(FiscalYr=2018,1,0)&amp;X$4,tblForecast,X$2,FALSE),0)</f>
        <v>0</v>
      </c>
      <c r="Y27" s="188">
        <f t="shared" si="6"/>
        <v>0</v>
      </c>
      <c r="Z27" s="74">
        <f>IFERROR(1-Q27/W27,0)</f>
        <v>0</v>
      </c>
      <c r="AA27" s="194">
        <f t="shared" ref="AA27:AA58" si="63">IFERROR((R27/X27-1)*-1,0)</f>
        <v>0</v>
      </c>
      <c r="AB27" s="188">
        <f>IFERROR(Z27-AA27,)</f>
        <v>0</v>
      </c>
      <c r="AC27" s="209">
        <f t="shared" si="9"/>
        <v>0</v>
      </c>
      <c r="AD27" s="196">
        <f t="shared" si="10"/>
        <v>0</v>
      </c>
      <c r="AE27" s="197">
        <f t="shared" si="32"/>
        <v>0</v>
      </c>
      <c r="AF27" s="238">
        <f>IF(AF26+AK27+AN27-F27&lt;0,0,AF26+AK27+AN27-F27)</f>
        <v>0</v>
      </c>
      <c r="AG27" s="189">
        <f>IFERROR(VLOOKUP(FiscalYr-IF(CompareVer="LY",1,0) &amp; $B27 + IF(FiscalYr=2018,1,0)&amp;AG$4,tblForecast,AG$2,FALSE),0)</f>
        <v>0</v>
      </c>
      <c r="AH27" s="188">
        <f t="shared" si="11"/>
        <v>0</v>
      </c>
      <c r="AI27" s="239">
        <f t="shared" ref="AI27:AJ30" si="64">IFERROR(VLOOKUP(FiscalYr &amp; $B27&amp;AI$4,tblForecast,AI$2,FALSE),0)</f>
        <v>0</v>
      </c>
      <c r="AJ27" s="189">
        <f t="shared" si="64"/>
        <v>0</v>
      </c>
      <c r="AK27" s="189">
        <f>IF($A27="a",IFERROR(VLOOKUP(FiscalYr &amp; $B27&amp;AK$4,tblForecast,AK$2,FALSE),0),AI27+AJ27)</f>
        <v>0</v>
      </c>
      <c r="AL27" s="189">
        <f>IFERROR(VLOOKUP(FiscalYr-IF(CompareVer="LY",1,0) &amp; $B27 + IF(FiscalYr=2018,1,0)&amp;AL$4,tblForecast,AL$2,FALSE),0)</f>
        <v>0</v>
      </c>
      <c r="AM27" s="188">
        <f t="shared" si="13"/>
        <v>0</v>
      </c>
      <c r="AN27" s="239">
        <f t="shared" ref="AN27:AO30" si="65">IFERROR(VLOOKUP(FiscalYr &amp; $B27&amp;AN$4,tblForecast,AN$2,FALSE),0)</f>
        <v>0</v>
      </c>
      <c r="AO27" s="189">
        <f t="shared" si="65"/>
        <v>0</v>
      </c>
      <c r="AP27" s="188">
        <f t="shared" si="15"/>
        <v>0</v>
      </c>
      <c r="AQ27" s="199">
        <f t="shared" ref="AQ27:AR30" si="66">IF(F27&lt;&gt;0,AF27/F27,0)</f>
        <v>0</v>
      </c>
      <c r="AR27" s="210">
        <f t="shared" si="66"/>
        <v>0</v>
      </c>
      <c r="AS27" s="188">
        <f>IFERROR(AQ27/AR27-1,)</f>
        <v>0</v>
      </c>
      <c r="AT27" s="239">
        <f>IFERROR(VLOOKUP(FiscalYr &amp; $B27&amp;AT$4,tblForecast,AT$2,FALSE),0)</f>
        <v>0</v>
      </c>
      <c r="AU27" s="189">
        <f t="shared" si="17"/>
        <v>0</v>
      </c>
      <c r="AV27" s="188">
        <f t="shared" si="18"/>
        <v>0</v>
      </c>
      <c r="AW27" s="201"/>
      <c r="AX27" s="202"/>
      <c r="AY27" s="188">
        <f t="shared" si="19"/>
        <v>0</v>
      </c>
      <c r="AZ27" s="203"/>
      <c r="BA27" s="189"/>
      <c r="BB27" s="188">
        <f t="shared" si="20"/>
        <v>0</v>
      </c>
      <c r="BC27" s="239">
        <f>IFERROR(VLOOKUP(FiscalYr &amp; $B27&amp;BC$4,tblForecast,BC$2,FALSE),0)</f>
        <v>0</v>
      </c>
      <c r="BD27" s="189">
        <f t="shared" si="21"/>
        <v>0</v>
      </c>
      <c r="BE27" s="188">
        <f t="shared" si="22"/>
        <v>0</v>
      </c>
      <c r="BF27" s="211">
        <f>IFERROR(VLOOKUP(FiscalYr &amp; $B27&amp;BF$4,tblForecast,BF$2,FALSE),0)</f>
        <v>0</v>
      </c>
      <c r="BG27" s="189">
        <f t="shared" si="23"/>
        <v>0</v>
      </c>
      <c r="BH27" s="188">
        <f t="shared" si="24"/>
        <v>0</v>
      </c>
      <c r="BI27" s="189">
        <f t="shared" si="58"/>
        <v>0</v>
      </c>
      <c r="BJ27" s="206">
        <f t="shared" si="59"/>
        <v>0</v>
      </c>
      <c r="BK27" s="194">
        <f t="shared" si="26"/>
        <v>0</v>
      </c>
      <c r="BL27" s="283">
        <f>IFERROR(VLOOKUP(Brand&amp;Channel&amp;Country&amp;$B27,tblDiscount,6,FALSE),0)</f>
        <v>0.5</v>
      </c>
      <c r="BM27" s="249">
        <f>(1-BL27)*BN27</f>
        <v>0</v>
      </c>
      <c r="BN27" s="249">
        <f>IFERROR(VLOOKUP(Brand&amp;Country &amp; Channel &amp;FC,tblFCSettings,8,FALSE),0)</f>
        <v>0</v>
      </c>
      <c r="BO27" s="284">
        <f>IFERROR(VLOOKUP(Brand&amp;Country &amp; Channel &amp;FC,tblFCSettings,9,FALSE),0)</f>
        <v>0</v>
      </c>
    </row>
    <row r="28" spans="1:67" customFormat="1" x14ac:dyDescent="0.25">
      <c r="B28" s="185">
        <v>15</v>
      </c>
      <c r="C28" s="87">
        <f t="shared" si="60"/>
        <v>0</v>
      </c>
      <c r="D28" s="68">
        <f t="shared" si="60"/>
        <v>0</v>
      </c>
      <c r="E28" s="69">
        <f t="shared" si="0"/>
        <v>0</v>
      </c>
      <c r="F28" s="157">
        <f>IF(NewPlan=TRUE,IF(AF27-(G28*J28)&lt;0,AF27,G28*J28),IFERROR(VLOOKUP(FiscalYr &amp; $B28&amp;F$4,tblForecast,F$2,FALSE),0))</f>
        <v>0</v>
      </c>
      <c r="G28" s="189">
        <f>IFERROR(VLOOKUP(FiscalYr-IF(CompareVer="LY",1,0) &amp; $B28 + IF(FiscalYr=2018,1,0)&amp;G$4,tblForecast,G$2,FALSE),0)</f>
        <v>0</v>
      </c>
      <c r="H28" s="69">
        <f t="shared" si="1"/>
        <v>0</v>
      </c>
      <c r="I28" s="177">
        <f>IFERROR(IF(F27&lt;&gt;0,F28/F27,0),0)</f>
        <v>0</v>
      </c>
      <c r="J28" s="177">
        <f>IFERROR(IF(G27&lt;&gt;0,G28/G27,0),0)</f>
        <v>0</v>
      </c>
      <c r="K28" s="87">
        <f t="shared" ref="K28:K30" si="67">IFERROR(C28*N28,0)</f>
        <v>0</v>
      </c>
      <c r="L28" s="68">
        <f t="shared" si="61"/>
        <v>0</v>
      </c>
      <c r="M28" s="72">
        <f t="shared" si="2"/>
        <v>0</v>
      </c>
      <c r="N28" s="162">
        <f t="shared" si="62"/>
        <v>0</v>
      </c>
      <c r="O28" s="163">
        <f t="shared" si="62"/>
        <v>0</v>
      </c>
      <c r="P28" s="69">
        <f t="shared" ref="P28:P43" si="68">IFERROR(N28-O28,)</f>
        <v>0</v>
      </c>
      <c r="Q28" s="158">
        <f>IF(NewPlan=TRUE,IF(BM28=0,R28,BM28),IFERROR(VLOOKUP(FiscalYr&amp;$B28&amp;Q$4,tblForecast,Q$2,FALSE),0))</f>
        <v>0</v>
      </c>
      <c r="R28" s="73">
        <f>IFERROR(VLOOKUP(FiscalYr-IF(CompareVer="LY",1,0) &amp; $B28 + IF(FiscalYr=2018,1,0)&amp;R$4,tblForecast,R$2,FALSE),0)</f>
        <v>0</v>
      </c>
      <c r="S28" s="69">
        <f t="shared" si="4"/>
        <v>0</v>
      </c>
      <c r="T28" s="158">
        <f>IF(NewPlan=TRUE,IF(BO28=0,U28,BO28),IFERROR(VLOOKUP(FiscalYr &amp; $B28&amp;T$4,tblForecast,T$2,FALSE),0))</f>
        <v>0</v>
      </c>
      <c r="U28" s="73">
        <f>IFERROR(VLOOKUP(FiscalYr-IF(CompareVer="LY",1,0) &amp; $B28 + IF(FiscalYr=2018,1,0)&amp;U$4,tblForecast,U$2,FALSE),0)</f>
        <v>0</v>
      </c>
      <c r="V28" s="69">
        <f t="shared" si="5"/>
        <v>0</v>
      </c>
      <c r="W28" s="158">
        <f>IF(NewPlan=TRUE,IF(BN28=0,X28,BN28),IFERROR(VLOOKUP(FiscalYr &amp; $B28&amp;W$4,tblForecast,W$2,FALSE),0))</f>
        <v>0</v>
      </c>
      <c r="X28" s="73">
        <f>IFERROR(VLOOKUP(FiscalYr-IF(CompareVer="LY",1,0) &amp; $B28 + IF(FiscalYr=2018,1,0)&amp;X$4,tblForecast,X$2,FALSE),0)</f>
        <v>0</v>
      </c>
      <c r="Y28" s="69">
        <f t="shared" si="6"/>
        <v>0</v>
      </c>
      <c r="Z28" s="74">
        <f t="shared" ref="Z28:Z59" si="69">IFERROR((Q28/W28-1)*-1,0)</f>
        <v>0</v>
      </c>
      <c r="AA28" s="75">
        <f t="shared" si="63"/>
        <v>0</v>
      </c>
      <c r="AB28" s="69">
        <f t="shared" ref="AB28:AB42" si="70">IFERROR(Z28-AA28,)</f>
        <v>0</v>
      </c>
      <c r="AC28" s="88">
        <f t="shared" si="9"/>
        <v>0</v>
      </c>
      <c r="AD28" s="77">
        <f t="shared" si="10"/>
        <v>0</v>
      </c>
      <c r="AE28" s="78">
        <f t="shared" si="32"/>
        <v>0</v>
      </c>
      <c r="AF28" s="238">
        <f t="shared" ref="AF28:AF30" si="71">IF(AF27+AK28+AN28-F28&lt;0,0,AF27+AK28+AN28-F28)</f>
        <v>0</v>
      </c>
      <c r="AG28" s="71">
        <f>IFERROR(VLOOKUP(FiscalYr-IF(CompareVer="LY",1,0) &amp; $B28 + IF(FiscalYr=2018,1,0)&amp;AG$4,tblForecast,AG$2,FALSE),0)</f>
        <v>0</v>
      </c>
      <c r="AH28" s="69">
        <f t="shared" si="11"/>
        <v>0</v>
      </c>
      <c r="AI28" s="157">
        <f t="shared" si="64"/>
        <v>0</v>
      </c>
      <c r="AJ28" s="71">
        <f t="shared" si="64"/>
        <v>0</v>
      </c>
      <c r="AK28" s="71">
        <f>IF($A28="a",IFERROR(VLOOKUP(FiscalYr &amp; $B28&amp;AK$4,tblForecast,AK$2,FALSE),0),AI28+AJ28)</f>
        <v>0</v>
      </c>
      <c r="AL28" s="71">
        <f>IFERROR(VLOOKUP(FiscalYr-IF(CompareVer="LY",1,0) &amp; $B28 + IF(FiscalYr=2018,1,0)&amp;AL$4,tblForecast,AL$2,FALSE),0)</f>
        <v>0</v>
      </c>
      <c r="AM28" s="69">
        <f t="shared" si="13"/>
        <v>0</v>
      </c>
      <c r="AN28" s="157">
        <f t="shared" si="65"/>
        <v>0</v>
      </c>
      <c r="AO28" s="71">
        <f t="shared" si="65"/>
        <v>0</v>
      </c>
      <c r="AP28" s="69">
        <f t="shared" si="15"/>
        <v>0</v>
      </c>
      <c r="AQ28" s="80">
        <f t="shared" si="66"/>
        <v>0</v>
      </c>
      <c r="AR28" s="89">
        <f t="shared" si="66"/>
        <v>0</v>
      </c>
      <c r="AS28" s="69">
        <f t="shared" ref="AS28:AS41" si="72">IFERROR(AQ28/AR28-1,)</f>
        <v>0</v>
      </c>
      <c r="AT28" s="157">
        <f>IFERROR(VLOOKUP(FiscalYr &amp; $B28&amp;AT$4,tblForecast,AT$2,FALSE),0)</f>
        <v>0</v>
      </c>
      <c r="AU28" s="71">
        <f t="shared" si="17"/>
        <v>0</v>
      </c>
      <c r="AV28" s="69">
        <f t="shared" si="18"/>
        <v>0</v>
      </c>
      <c r="AW28" s="82"/>
      <c r="AX28" s="83"/>
      <c r="AY28" s="69">
        <f t="shared" si="19"/>
        <v>0</v>
      </c>
      <c r="AZ28" s="84"/>
      <c r="BA28" s="85"/>
      <c r="BB28" s="69">
        <f t="shared" si="20"/>
        <v>0</v>
      </c>
      <c r="BC28" s="157">
        <f>IFERROR(VLOOKUP(FiscalYr &amp; $B28&amp;BC$4,tblForecast,BC$2,FALSE),0)</f>
        <v>0</v>
      </c>
      <c r="BD28" s="71">
        <f t="shared" si="21"/>
        <v>0</v>
      </c>
      <c r="BE28" s="69">
        <f t="shared" si="22"/>
        <v>0</v>
      </c>
      <c r="BF28" s="90">
        <f>IFERROR(VLOOKUP(FiscalYr &amp; $B28&amp;BF$4,tblForecast,BF$2,FALSE),0)</f>
        <v>0</v>
      </c>
      <c r="BG28" s="85">
        <f t="shared" si="23"/>
        <v>0</v>
      </c>
      <c r="BH28" s="69">
        <f t="shared" si="24"/>
        <v>0</v>
      </c>
      <c r="BI28" s="85">
        <f t="shared" si="58"/>
        <v>0</v>
      </c>
      <c r="BJ28" s="86">
        <f t="shared" si="59"/>
        <v>0</v>
      </c>
      <c r="BK28" s="75">
        <f t="shared" si="26"/>
        <v>0</v>
      </c>
      <c r="BL28" s="283">
        <f>IFERROR(VLOOKUP(Brand&amp;Channel&amp;Country&amp;$B28,tblDiscount,6,FALSE),0)</f>
        <v>0.5</v>
      </c>
      <c r="BM28" s="249">
        <f t="shared" ref="BM28:BM30" si="73">(1-BL28)*BN28</f>
        <v>0</v>
      </c>
      <c r="BN28" s="249">
        <f>IFERROR(VLOOKUP(Brand&amp;Country &amp; Channel &amp;FC,tblFCSettings,8,FALSE),0)</f>
        <v>0</v>
      </c>
      <c r="BO28" s="284">
        <f>IFERROR(VLOOKUP(Brand&amp;Country &amp; Channel &amp;FC,tblFCSettings,9,FALSE),0)</f>
        <v>0</v>
      </c>
    </row>
    <row r="29" spans="1:67" customFormat="1" x14ac:dyDescent="0.25">
      <c r="B29" s="185">
        <v>16</v>
      </c>
      <c r="C29" s="87">
        <f t="shared" si="60"/>
        <v>0</v>
      </c>
      <c r="D29" s="68">
        <f t="shared" si="60"/>
        <v>0</v>
      </c>
      <c r="E29" s="69">
        <f t="shared" si="0"/>
        <v>0</v>
      </c>
      <c r="F29" s="157">
        <f>IF(NewPlan=TRUE,IF(AF28-(G29*J29)&lt;0,AF28,G29*J29),IFERROR(VLOOKUP(FiscalYr &amp; $B29&amp;F$4,tblForecast,F$2,FALSE),0))</f>
        <v>0</v>
      </c>
      <c r="G29" s="189">
        <f>IFERROR(VLOOKUP(FiscalYr-IF(CompareVer="LY",1,0) &amp; $B29 + IF(FiscalYr=2018,1,0)&amp;G$4,tblForecast,G$2,FALSE),0)</f>
        <v>0</v>
      </c>
      <c r="H29" s="69">
        <f t="shared" si="1"/>
        <v>0</v>
      </c>
      <c r="I29" s="177">
        <f t="shared" ref="I29:J30" si="74">IFERROR(IF(F28&lt;&gt;0,F29/F28,0),0)</f>
        <v>0</v>
      </c>
      <c r="J29" s="177">
        <f t="shared" si="74"/>
        <v>0</v>
      </c>
      <c r="K29" s="87">
        <f t="shared" si="67"/>
        <v>0</v>
      </c>
      <c r="L29" s="68">
        <f t="shared" si="61"/>
        <v>0</v>
      </c>
      <c r="M29" s="72">
        <f t="shared" si="2"/>
        <v>0</v>
      </c>
      <c r="N29" s="162">
        <f t="shared" si="62"/>
        <v>0</v>
      </c>
      <c r="O29" s="163">
        <f t="shared" si="62"/>
        <v>0</v>
      </c>
      <c r="P29" s="69">
        <f t="shared" si="68"/>
        <v>0</v>
      </c>
      <c r="Q29" s="158">
        <f>IF(NewPlan=TRUE,IF(BM29=0,R29,BM29),IFERROR(VLOOKUP(FiscalYr&amp;$B29&amp;Q$4,tblForecast,Q$2,FALSE),0))</f>
        <v>0</v>
      </c>
      <c r="R29" s="73">
        <f>IFERROR(VLOOKUP(FiscalYr-IF(CompareVer="LY",1,0) &amp; $B29 + IF(FiscalYr=2018,1,0)&amp;R$4,tblForecast,R$2,FALSE),0)</f>
        <v>0</v>
      </c>
      <c r="S29" s="69">
        <f t="shared" ref="S29:S30" si="75">IFERROR(Q29/R29-1,)</f>
        <v>0</v>
      </c>
      <c r="T29" s="158">
        <f>IF(NewPlan=TRUE,IF(BO29=0,U29,BO29),IFERROR(VLOOKUP(FiscalYr &amp; $B29&amp;T$4,tblForecast,T$2,FALSE),0))</f>
        <v>0</v>
      </c>
      <c r="U29" s="73">
        <f>IFERROR(VLOOKUP(FiscalYr-IF(CompareVer="LY",1,0) &amp; $B29 + IF(FiscalYr=2018,1,0)&amp;U$4,tblForecast,U$2,FALSE),0)</f>
        <v>0</v>
      </c>
      <c r="V29" s="69">
        <f t="shared" ref="V29:V30" si="76">IFERROR(T29/U29-1,)</f>
        <v>0</v>
      </c>
      <c r="W29" s="158">
        <f>IF(NewPlan=TRUE,IF(BN29=0,X29,BN29),IFERROR(VLOOKUP(FiscalYr &amp; $B29&amp;W$4,tblForecast,W$2,FALSE),0))</f>
        <v>0</v>
      </c>
      <c r="X29" s="73">
        <f>IFERROR(VLOOKUP(FiscalYr-IF(CompareVer="LY",1,0) &amp; $B29 + IF(FiscalYr=2018,1,0)&amp;X$4,tblForecast,X$2,FALSE),0)</f>
        <v>0</v>
      </c>
      <c r="Y29" s="69">
        <f t="shared" si="6"/>
        <v>0</v>
      </c>
      <c r="Z29" s="74">
        <f t="shared" si="69"/>
        <v>0</v>
      </c>
      <c r="AA29" s="75">
        <f t="shared" si="63"/>
        <v>0</v>
      </c>
      <c r="AB29" s="69">
        <f t="shared" si="70"/>
        <v>0</v>
      </c>
      <c r="AC29" s="88">
        <f t="shared" si="9"/>
        <v>0</v>
      </c>
      <c r="AD29" s="77">
        <f t="shared" si="10"/>
        <v>0</v>
      </c>
      <c r="AE29" s="78">
        <f t="shared" si="32"/>
        <v>0</v>
      </c>
      <c r="AF29" s="238">
        <f t="shared" si="71"/>
        <v>0</v>
      </c>
      <c r="AG29" s="71">
        <f>IFERROR(VLOOKUP(FiscalYr-IF(CompareVer="LY",1,0) &amp; $B29 + IF(FiscalYr=2018,1,0)&amp;AG$4,tblForecast,AG$2,FALSE),0)</f>
        <v>0</v>
      </c>
      <c r="AH29" s="69">
        <f t="shared" si="11"/>
        <v>0</v>
      </c>
      <c r="AI29" s="157">
        <f t="shared" si="64"/>
        <v>0</v>
      </c>
      <c r="AJ29" s="71">
        <f t="shared" si="64"/>
        <v>0</v>
      </c>
      <c r="AK29" s="71">
        <f>IF($A29="a",IFERROR(VLOOKUP(FiscalYr &amp; $B29&amp;AK$4,tblForecast,AK$2,FALSE),0),AI29+AJ29)</f>
        <v>0</v>
      </c>
      <c r="AL29" s="71">
        <f>IFERROR(VLOOKUP(FiscalYr-IF(CompareVer="LY",1,0) &amp; $B29 + IF(FiscalYr=2018,1,0)&amp;AL$4,tblForecast,AL$2,FALSE),0)</f>
        <v>0</v>
      </c>
      <c r="AM29" s="69">
        <f t="shared" si="13"/>
        <v>0</v>
      </c>
      <c r="AN29" s="157">
        <f t="shared" si="65"/>
        <v>0</v>
      </c>
      <c r="AO29" s="71">
        <f t="shared" si="65"/>
        <v>0</v>
      </c>
      <c r="AP29" s="69">
        <f t="shared" si="15"/>
        <v>0</v>
      </c>
      <c r="AQ29" s="80">
        <f t="shared" si="66"/>
        <v>0</v>
      </c>
      <c r="AR29" s="89">
        <f t="shared" si="66"/>
        <v>0</v>
      </c>
      <c r="AS29" s="69">
        <f t="shared" si="72"/>
        <v>0</v>
      </c>
      <c r="AT29" s="157">
        <f>IFERROR(VLOOKUP(FiscalYr &amp; $B29&amp;AT$4,tblForecast,AT$2,FALSE),0)</f>
        <v>0</v>
      </c>
      <c r="AU29" s="71">
        <f t="shared" si="17"/>
        <v>0</v>
      </c>
      <c r="AV29" s="69">
        <f t="shared" si="18"/>
        <v>0</v>
      </c>
      <c r="AW29" s="82"/>
      <c r="AX29" s="83"/>
      <c r="AY29" s="69">
        <f t="shared" si="19"/>
        <v>0</v>
      </c>
      <c r="AZ29" s="84"/>
      <c r="BA29" s="85"/>
      <c r="BB29" s="69">
        <f t="shared" si="20"/>
        <v>0</v>
      </c>
      <c r="BC29" s="157">
        <f>IFERROR(VLOOKUP(FiscalYr &amp; $B29&amp;BC$4,tblForecast,BC$2,FALSE),0)</f>
        <v>0</v>
      </c>
      <c r="BD29" s="71">
        <f t="shared" si="21"/>
        <v>0</v>
      </c>
      <c r="BE29" s="69">
        <f t="shared" si="22"/>
        <v>0</v>
      </c>
      <c r="BF29" s="90">
        <f>IFERROR(VLOOKUP(FiscalYr &amp; $B29&amp;BF$4,tblForecast,BF$2,FALSE),0)</f>
        <v>0</v>
      </c>
      <c r="BG29" s="85">
        <f t="shared" si="23"/>
        <v>0</v>
      </c>
      <c r="BH29" s="69">
        <f t="shared" si="24"/>
        <v>0</v>
      </c>
      <c r="BI29" s="85">
        <f t="shared" si="58"/>
        <v>0</v>
      </c>
      <c r="BJ29" s="86">
        <f t="shared" si="59"/>
        <v>0</v>
      </c>
      <c r="BK29" s="75">
        <f t="shared" si="26"/>
        <v>0</v>
      </c>
      <c r="BL29" s="283">
        <f>IFERROR(VLOOKUP(Brand&amp;Channel&amp;Country&amp;$B29,tblDiscount,6,FALSE),0)</f>
        <v>0.5</v>
      </c>
      <c r="BM29" s="249">
        <f t="shared" si="73"/>
        <v>0</v>
      </c>
      <c r="BN29" s="249">
        <f>IFERROR(VLOOKUP(Brand&amp;Country &amp; Channel &amp;FC,tblFCSettings,8,FALSE),0)</f>
        <v>0</v>
      </c>
      <c r="BO29" s="284">
        <f>IFERROR(VLOOKUP(Brand&amp;Country &amp; Channel &amp;FC,tblFCSettings,9,FALSE),0)</f>
        <v>0</v>
      </c>
    </row>
    <row r="30" spans="1:67" customFormat="1" ht="16.5" thickBot="1" x14ac:dyDescent="0.3">
      <c r="B30" s="185">
        <v>17</v>
      </c>
      <c r="C30" s="91">
        <f t="shared" si="60"/>
        <v>0</v>
      </c>
      <c r="D30" s="68">
        <f t="shared" si="60"/>
        <v>0</v>
      </c>
      <c r="E30" s="69">
        <f t="shared" si="0"/>
        <v>0</v>
      </c>
      <c r="F30" s="157">
        <f>IF(NewPlan=TRUE,IF(AF29-(G30*J30)&lt;0,AF29,G30*J30),IFERROR(VLOOKUP(FiscalYr &amp; $B30&amp;F$4,tblForecast,F$2,FALSE),0))</f>
        <v>0</v>
      </c>
      <c r="G30" s="189">
        <f>IFERROR(VLOOKUP(FiscalYr-IF(CompareVer="LY",1,0) &amp; $B30 + IF(FiscalYr=2018,1,0)&amp;G$4,tblForecast,G$2,FALSE),0)</f>
        <v>0</v>
      </c>
      <c r="H30" s="69">
        <f t="shared" si="1"/>
        <v>0</v>
      </c>
      <c r="I30" s="177">
        <f t="shared" si="74"/>
        <v>0</v>
      </c>
      <c r="J30" s="177">
        <f t="shared" si="74"/>
        <v>0</v>
      </c>
      <c r="K30" s="91">
        <f t="shared" si="67"/>
        <v>0</v>
      </c>
      <c r="L30" s="68">
        <f t="shared" si="61"/>
        <v>0</v>
      </c>
      <c r="M30" s="72">
        <f t="shared" si="2"/>
        <v>0</v>
      </c>
      <c r="N30" s="162">
        <f t="shared" si="62"/>
        <v>0</v>
      </c>
      <c r="O30" s="163">
        <f t="shared" si="62"/>
        <v>0</v>
      </c>
      <c r="P30" s="69">
        <f t="shared" si="68"/>
        <v>0</v>
      </c>
      <c r="Q30" s="158">
        <f>IF(NewPlan=TRUE,IF(BM30=0,R30,BM30),IFERROR(VLOOKUP(FiscalYr&amp;$B30&amp;Q$4,tblForecast,Q$2,FALSE),0))</f>
        <v>0</v>
      </c>
      <c r="R30" s="73">
        <f>IFERROR(VLOOKUP(FiscalYr-IF(CompareVer="LY",1,0) &amp; $B30 + IF(FiscalYr=2018,1,0)&amp;R$4,tblForecast,R$2,FALSE),0)</f>
        <v>0</v>
      </c>
      <c r="S30" s="69">
        <f t="shared" si="75"/>
        <v>0</v>
      </c>
      <c r="T30" s="158">
        <f>IF(NewPlan=TRUE,IF(BO30=0,U30,BO30),IFERROR(VLOOKUP(FiscalYr &amp; $B30&amp;T$4,tblForecast,T$2,FALSE),0))</f>
        <v>0</v>
      </c>
      <c r="U30" s="73">
        <f>IFERROR(VLOOKUP(FiscalYr-IF(CompareVer="LY",1,0) &amp; $B30 + IF(FiscalYr=2018,1,0)&amp;U$4,tblForecast,U$2,FALSE),0)</f>
        <v>0</v>
      </c>
      <c r="V30" s="69">
        <f t="shared" si="76"/>
        <v>0</v>
      </c>
      <c r="W30" s="158">
        <f>IF(NewPlan=TRUE,IF(BN30=0,X30,BN30),IFERROR(VLOOKUP(FiscalYr &amp; $B30&amp;W$4,tblForecast,W$2,FALSE),0))</f>
        <v>0</v>
      </c>
      <c r="X30" s="73">
        <f>IFERROR(VLOOKUP(FiscalYr-IF(CompareVer="LY",1,0) &amp; $B30 + IF(FiscalYr=2018,1,0)&amp;X$4,tblForecast,X$2,FALSE),0)</f>
        <v>0</v>
      </c>
      <c r="Y30" s="69">
        <f t="shared" si="6"/>
        <v>0</v>
      </c>
      <c r="Z30" s="74">
        <f t="shared" si="69"/>
        <v>0</v>
      </c>
      <c r="AA30" s="75">
        <f t="shared" si="63"/>
        <v>0</v>
      </c>
      <c r="AB30" s="69">
        <f t="shared" si="70"/>
        <v>0</v>
      </c>
      <c r="AC30" s="88">
        <f t="shared" si="9"/>
        <v>0</v>
      </c>
      <c r="AD30" s="77">
        <f t="shared" si="10"/>
        <v>0</v>
      </c>
      <c r="AE30" s="78">
        <f t="shared" si="32"/>
        <v>0</v>
      </c>
      <c r="AF30" s="238">
        <f t="shared" si="71"/>
        <v>0</v>
      </c>
      <c r="AG30" s="71">
        <f>IFERROR(VLOOKUP(FiscalYr-IF(CompareVer="LY",1,0) &amp; $B30 + IF(FiscalYr=2018,1,0)&amp;AG$4,tblForecast,AG$2,FALSE),0)</f>
        <v>0</v>
      </c>
      <c r="AH30" s="69">
        <f t="shared" si="11"/>
        <v>0</v>
      </c>
      <c r="AI30" s="157">
        <f t="shared" si="64"/>
        <v>0</v>
      </c>
      <c r="AJ30" s="71">
        <f t="shared" si="64"/>
        <v>0</v>
      </c>
      <c r="AK30" s="71">
        <f>IF($A30="a",IFERROR(VLOOKUP(FiscalYr &amp; $B30&amp;AK$4,tblForecast,AK$2,FALSE),0),AI30+AJ30)</f>
        <v>0</v>
      </c>
      <c r="AL30" s="71">
        <f>IFERROR(VLOOKUP(FiscalYr-IF(CompareVer="LY",1,0) &amp; $B30 + IF(FiscalYr=2018,1,0)&amp;AL$4,tblForecast,AL$2,FALSE),0)</f>
        <v>0</v>
      </c>
      <c r="AM30" s="69">
        <f t="shared" si="13"/>
        <v>0</v>
      </c>
      <c r="AN30" s="157">
        <f t="shared" si="65"/>
        <v>0</v>
      </c>
      <c r="AO30" s="71">
        <f t="shared" si="65"/>
        <v>0</v>
      </c>
      <c r="AP30" s="69">
        <f t="shared" si="15"/>
        <v>0</v>
      </c>
      <c r="AQ30" s="80">
        <f t="shared" si="66"/>
        <v>0</v>
      </c>
      <c r="AR30" s="89">
        <f t="shared" si="66"/>
        <v>0</v>
      </c>
      <c r="AS30" s="69">
        <f t="shared" si="72"/>
        <v>0</v>
      </c>
      <c r="AT30" s="157">
        <f>IFERROR(VLOOKUP(FiscalYr &amp; $B30&amp;AT$4,tblForecast,AT$2,FALSE),0)</f>
        <v>0</v>
      </c>
      <c r="AU30" s="71">
        <f t="shared" si="17"/>
        <v>0</v>
      </c>
      <c r="AV30" s="69">
        <f t="shared" si="18"/>
        <v>0</v>
      </c>
      <c r="AW30" s="82"/>
      <c r="AX30" s="83"/>
      <c r="AY30" s="69">
        <f t="shared" si="19"/>
        <v>0</v>
      </c>
      <c r="AZ30" s="84"/>
      <c r="BA30" s="85"/>
      <c r="BB30" s="69">
        <f t="shared" si="20"/>
        <v>0</v>
      </c>
      <c r="BC30" s="157">
        <f>IFERROR(VLOOKUP(FiscalYr &amp; $B30&amp;BC$4,tblForecast,BC$2,FALSE),0)</f>
        <v>0</v>
      </c>
      <c r="BD30" s="71">
        <f t="shared" si="21"/>
        <v>0</v>
      </c>
      <c r="BE30" s="69">
        <f t="shared" si="22"/>
        <v>0</v>
      </c>
      <c r="BF30" s="90">
        <f>IFERROR(VLOOKUP(FiscalYr &amp; $B30&amp;BF$4,tblForecast,BF$2,FALSE),0)</f>
        <v>0</v>
      </c>
      <c r="BG30" s="85">
        <f t="shared" si="23"/>
        <v>0</v>
      </c>
      <c r="BH30" s="69">
        <f t="shared" si="24"/>
        <v>0</v>
      </c>
      <c r="BI30" s="85">
        <f t="shared" si="58"/>
        <v>0</v>
      </c>
      <c r="BJ30" s="86">
        <f t="shared" si="59"/>
        <v>0</v>
      </c>
      <c r="BK30" s="75">
        <f t="shared" si="26"/>
        <v>0</v>
      </c>
      <c r="BL30" s="283">
        <f>IFERROR(VLOOKUP(Brand&amp;Channel&amp;Country&amp;$B30,tblDiscount,6,FALSE),0)</f>
        <v>0.55000000000000004</v>
      </c>
      <c r="BM30" s="249">
        <f t="shared" si="73"/>
        <v>0</v>
      </c>
      <c r="BN30" s="249">
        <f>IFERROR(VLOOKUP(Brand&amp;Country &amp; Channel &amp;FC,tblFCSettings,8,FALSE),0)</f>
        <v>0</v>
      </c>
      <c r="BO30" s="284">
        <f>IFERROR(VLOOKUP(Brand&amp;Country &amp; Channel &amp;FC,tblFCSettings,9,FALSE),0)</f>
        <v>0</v>
      </c>
    </row>
    <row r="31" spans="1:67" customFormat="1" ht="16.5" thickBot="1" x14ac:dyDescent="0.3">
      <c r="B31" s="6" t="s">
        <v>30</v>
      </c>
      <c r="C31" s="92">
        <f>SUM(C27:C30)</f>
        <v>0</v>
      </c>
      <c r="D31" s="93">
        <f>SUM(D27:D30)</f>
        <v>0</v>
      </c>
      <c r="E31" s="94">
        <f t="shared" si="0"/>
        <v>0</v>
      </c>
      <c r="F31" s="95">
        <f>SUM(F27:F30)</f>
        <v>0</v>
      </c>
      <c r="G31" s="96">
        <f>SUM(G27:G30)</f>
        <v>0</v>
      </c>
      <c r="H31" s="94">
        <f t="shared" si="1"/>
        <v>0</v>
      </c>
      <c r="I31" s="178">
        <f>IF(F25&lt;&gt;0,F31/F25-1,0)</f>
        <v>0</v>
      </c>
      <c r="J31" s="178">
        <f>IF(G25&lt;&gt;0,G31/G25-1,0)</f>
        <v>0</v>
      </c>
      <c r="K31" s="92">
        <f>SUM(K27:K30)</f>
        <v>0</v>
      </c>
      <c r="L31" s="93">
        <f>SUM(L27:L30)</f>
        <v>0</v>
      </c>
      <c r="M31" s="97">
        <f t="shared" si="2"/>
        <v>0</v>
      </c>
      <c r="N31" s="164">
        <f>IFERROR(K31/C31,0)</f>
        <v>0</v>
      </c>
      <c r="O31" s="165">
        <f>IFERROR(L31/D31,0)</f>
        <v>0</v>
      </c>
      <c r="P31" s="94">
        <f t="shared" si="68"/>
        <v>0</v>
      </c>
      <c r="Q31" s="98">
        <f>IFERROR(C31/F31,0)</f>
        <v>0</v>
      </c>
      <c r="R31" s="99">
        <f>IFERROR(D31/G31,0)</f>
        <v>0</v>
      </c>
      <c r="S31" s="94">
        <f t="shared" si="4"/>
        <v>0</v>
      </c>
      <c r="T31" s="98">
        <f>IFERROR((C31*(1-N31))/F31,0)</f>
        <v>0</v>
      </c>
      <c r="U31" s="99">
        <f>IFERROR((D31*(1-O31))/G31,0)</f>
        <v>0</v>
      </c>
      <c r="V31" s="94">
        <f t="shared" si="5"/>
        <v>0</v>
      </c>
      <c r="W31" s="98">
        <f>IFERROR(SUMPRODUCT(W27:W30,F27:F30)/F31,0)</f>
        <v>0</v>
      </c>
      <c r="X31" s="99">
        <f>IFERROR(SUMPRODUCT(X27:X30,G27:G30)/G31,0)</f>
        <v>0</v>
      </c>
      <c r="Y31" s="94">
        <f t="shared" si="6"/>
        <v>0</v>
      </c>
      <c r="Z31" s="100">
        <f t="shared" si="69"/>
        <v>0</v>
      </c>
      <c r="AA31" s="101">
        <f t="shared" si="63"/>
        <v>0</v>
      </c>
      <c r="AB31" s="94">
        <f t="shared" si="70"/>
        <v>0</v>
      </c>
      <c r="AC31" s="102">
        <f t="shared" si="9"/>
        <v>0</v>
      </c>
      <c r="AD31" s="103">
        <f t="shared" si="10"/>
        <v>0</v>
      </c>
      <c r="AE31" s="104">
        <f t="shared" si="32"/>
        <v>0</v>
      </c>
      <c r="AF31" s="95">
        <f>AF30</f>
        <v>0</v>
      </c>
      <c r="AG31" s="96">
        <f>AG30</f>
        <v>0</v>
      </c>
      <c r="AH31" s="94">
        <f t="shared" si="11"/>
        <v>0</v>
      </c>
      <c r="AI31" s="95">
        <f>SUM(AI27:AI30)</f>
        <v>0</v>
      </c>
      <c r="AJ31" s="96">
        <f>SUM(AJ27:AJ30)</f>
        <v>0</v>
      </c>
      <c r="AK31" s="96">
        <f>SUM(AK27:AK30)</f>
        <v>0</v>
      </c>
      <c r="AL31" s="96">
        <f>SUM(AL27:AL30)</f>
        <v>0</v>
      </c>
      <c r="AM31" s="94">
        <f t="shared" si="13"/>
        <v>0</v>
      </c>
      <c r="AN31" s="95">
        <f>SUM(AN27:AN30)</f>
        <v>0</v>
      </c>
      <c r="AO31" s="96">
        <f t="shared" ref="AO31" si="77">IFERROR(VLOOKUP(FiscalYr-1 &amp; $B31&amp; FCLY,tblForecast,AN$2,FALSE),0)</f>
        <v>0</v>
      </c>
      <c r="AP31" s="94">
        <f t="shared" si="15"/>
        <v>0</v>
      </c>
      <c r="AQ31" s="105">
        <f>IF(F31&lt;&gt;0,(AF31*COUNTIF(AQ27:AQ30,"&lt;&gt;0")/F31),0)</f>
        <v>0</v>
      </c>
      <c r="AR31" s="106">
        <f>IF(G31&lt;&gt;0,(AG31*COUNTIF(AR27:AR30,"&lt;&gt;0")/G31),0)</f>
        <v>0</v>
      </c>
      <c r="AS31" s="94">
        <f t="shared" si="72"/>
        <v>0</v>
      </c>
      <c r="AT31" s="95">
        <f>SUM(AT27:AT30)</f>
        <v>0</v>
      </c>
      <c r="AU31" s="96">
        <f t="shared" si="17"/>
        <v>0</v>
      </c>
      <c r="AV31" s="94">
        <f t="shared" si="18"/>
        <v>0</v>
      </c>
      <c r="AW31" s="107"/>
      <c r="AX31" s="108"/>
      <c r="AY31" s="94">
        <f t="shared" si="19"/>
        <v>0</v>
      </c>
      <c r="AZ31" s="134"/>
      <c r="BA31" s="111"/>
      <c r="BB31" s="94">
        <f t="shared" si="20"/>
        <v>0</v>
      </c>
      <c r="BC31" s="95">
        <f>SUM(BC27:BC30)</f>
        <v>0</v>
      </c>
      <c r="BD31" s="96">
        <f t="shared" si="21"/>
        <v>0</v>
      </c>
      <c r="BE31" s="94">
        <f t="shared" si="22"/>
        <v>0</v>
      </c>
      <c r="BF31" s="110">
        <f>SUM(BF27:BF30)</f>
        <v>0</v>
      </c>
      <c r="BG31" s="111">
        <f>SUM(BG27:BG30)</f>
        <v>0</v>
      </c>
      <c r="BH31" s="94">
        <f t="shared" si="24"/>
        <v>0</v>
      </c>
      <c r="BI31" s="111">
        <f t="shared" si="58"/>
        <v>0</v>
      </c>
      <c r="BJ31" s="112">
        <f t="shared" si="59"/>
        <v>0</v>
      </c>
      <c r="BK31" s="101">
        <f t="shared" si="26"/>
        <v>0</v>
      </c>
      <c r="BL31" s="283"/>
      <c r="BM31" s="249"/>
      <c r="BN31" s="249"/>
      <c r="BO31" s="284"/>
    </row>
    <row r="32" spans="1:67" customFormat="1" x14ac:dyDescent="0.25">
      <c r="B32" s="185">
        <v>18</v>
      </c>
      <c r="C32" s="87">
        <f t="shared" ref="C32:D36" si="78">F32*Q32</f>
        <v>0</v>
      </c>
      <c r="D32" s="68">
        <f t="shared" si="78"/>
        <v>0</v>
      </c>
      <c r="E32" s="69">
        <f t="shared" si="0"/>
        <v>0</v>
      </c>
      <c r="F32" s="157">
        <f>IF(NewPlan=TRUE,IF(AF31-(G32*J32)&lt;0,AF31,G32*J32),IFERROR(VLOOKUP(FiscalYr &amp; $B32&amp;F$4,tblForecast,F$2,FALSE),0))</f>
        <v>0</v>
      </c>
      <c r="G32" s="189">
        <f>IFERROR(VLOOKUP(FiscalYr-IF(CompareVer="LY",1,0) &amp; $B32 + IF(FiscalYr=2018,1,0)&amp;G$4,tblForecast,G$2,FALSE),0)</f>
        <v>0</v>
      </c>
      <c r="H32" s="69">
        <f t="shared" si="1"/>
        <v>0</v>
      </c>
      <c r="I32" s="177">
        <f>IFERROR(IF(F30&gt;0,F32/F30,0),0)</f>
        <v>0</v>
      </c>
      <c r="J32" s="177">
        <f>IFERROR(IF(G30&gt;0,G32/G30,0),0)</f>
        <v>0</v>
      </c>
      <c r="K32" s="87">
        <f t="shared" ref="K32:K36" si="79">IFERROR(C32*N32,0)</f>
        <v>0</v>
      </c>
      <c r="L32" s="68">
        <f t="shared" ref="L32:L36" si="80">D32*O32</f>
        <v>0</v>
      </c>
      <c r="M32" s="72">
        <f t="shared" si="2"/>
        <v>0</v>
      </c>
      <c r="N32" s="162">
        <f t="shared" ref="N32:O36" si="81">IF(Q32&lt;&gt;0,1-T32/Q32,0)</f>
        <v>0</v>
      </c>
      <c r="O32" s="163">
        <f t="shared" si="81"/>
        <v>0</v>
      </c>
      <c r="P32" s="69">
        <f t="shared" si="68"/>
        <v>0</v>
      </c>
      <c r="Q32" s="158">
        <f>IF(NewPlan=TRUE,IF(BM32=0,R32,BM32),IFERROR(VLOOKUP(FiscalYr&amp;$B32&amp;Q$4,tblForecast,Q$2,FALSE),0))</f>
        <v>0</v>
      </c>
      <c r="R32" s="73">
        <f>IFERROR(VLOOKUP(FiscalYr-IF(CompareVer="LY",1,0) &amp; $B32 + IF(FiscalYr=2018,1,0)&amp;R$4,tblForecast,R$2,FALSE),0)</f>
        <v>0</v>
      </c>
      <c r="S32" s="69">
        <f t="shared" ref="S32:S36" si="82">IFERROR(Q32/R32-1,)</f>
        <v>0</v>
      </c>
      <c r="T32" s="158">
        <f>IF(NewPlan=TRUE,IF(BO32=0,U32,BO32),IFERROR(VLOOKUP(FiscalYr &amp; $B32&amp;T$4,tblForecast,T$2,FALSE),0))</f>
        <v>0</v>
      </c>
      <c r="U32" s="73">
        <f>IFERROR(VLOOKUP(FiscalYr-IF(CompareVer="LY",1,0) &amp; $B32 + IF(FiscalYr=2018,1,0)&amp;U$4,tblForecast,U$2,FALSE),0)</f>
        <v>0</v>
      </c>
      <c r="V32" s="69">
        <f t="shared" ref="V32:V36" si="83">IFERROR(T32/U32-1,)</f>
        <v>0</v>
      </c>
      <c r="W32" s="158">
        <f>IF(NewPlan=TRUE,IF(BN32=0,X32,BN32),IFERROR(VLOOKUP(FiscalYr &amp; $B32&amp;W$4,tblForecast,W$2,FALSE),0))</f>
        <v>0</v>
      </c>
      <c r="X32" s="73">
        <f>IFERROR(VLOOKUP(FiscalYr-IF(CompareVer="LY",1,0) &amp; $B32 + IF(FiscalYr=2018,1,0)&amp;X$4,tblForecast,X$2,FALSE),0)</f>
        <v>0</v>
      </c>
      <c r="Y32" s="69">
        <f t="shared" si="6"/>
        <v>0</v>
      </c>
      <c r="Z32" s="74">
        <f t="shared" si="69"/>
        <v>0</v>
      </c>
      <c r="AA32" s="75">
        <f t="shared" si="63"/>
        <v>0</v>
      </c>
      <c r="AB32" s="69">
        <f t="shared" si="70"/>
        <v>0</v>
      </c>
      <c r="AC32" s="88">
        <f t="shared" si="9"/>
        <v>0</v>
      </c>
      <c r="AD32" s="77">
        <f t="shared" si="10"/>
        <v>0</v>
      </c>
      <c r="AE32" s="78">
        <f t="shared" si="32"/>
        <v>0</v>
      </c>
      <c r="AF32" s="238">
        <f t="shared" ref="AF32:AF36" si="84">IF(AF31+AK32+AN32-F32&lt;0,0,AF31+AK32+AN32-F32)</f>
        <v>0</v>
      </c>
      <c r="AG32" s="71">
        <f>IFERROR(VLOOKUP(FiscalYr-IF(CompareVer="LY",1,0) &amp; $B32 + IF(FiscalYr=2018,1,0)&amp;AG$4,tblForecast,AG$2,FALSE),0)</f>
        <v>0</v>
      </c>
      <c r="AH32" s="69">
        <f t="shared" si="11"/>
        <v>0</v>
      </c>
      <c r="AI32" s="157">
        <f t="shared" ref="AI32:AJ36" si="85">IFERROR(VLOOKUP(FiscalYr &amp; $B32&amp;AI$4,tblForecast,AI$2,FALSE),0)</f>
        <v>0</v>
      </c>
      <c r="AJ32" s="71">
        <f t="shared" si="85"/>
        <v>0</v>
      </c>
      <c r="AK32" s="71">
        <f>IF($A32="a",IFERROR(VLOOKUP(FiscalYr &amp; $B32&amp;AK$4,tblForecast,AK$2,FALSE),0),AI32+AJ32)</f>
        <v>0</v>
      </c>
      <c r="AL32" s="71">
        <f>IFERROR(VLOOKUP(FiscalYr-IF(CompareVer="LY",1,0) &amp; $B32 + IF(FiscalYr=2018,1,0)&amp;AL$4,tblForecast,AL$2,FALSE),0)</f>
        <v>0</v>
      </c>
      <c r="AM32" s="69">
        <f t="shared" si="13"/>
        <v>0</v>
      </c>
      <c r="AN32" s="157">
        <f t="shared" ref="AN32:AO36" si="86">IFERROR(VLOOKUP(FiscalYr &amp; $B32&amp;AN$4,tblForecast,AN$2,FALSE),0)</f>
        <v>0</v>
      </c>
      <c r="AO32" s="71">
        <f t="shared" si="86"/>
        <v>0</v>
      </c>
      <c r="AP32" s="69">
        <f t="shared" si="15"/>
        <v>0</v>
      </c>
      <c r="AQ32" s="80">
        <f t="shared" ref="AQ32:AR36" si="87">IF(F32&lt;&gt;0,AF32/F32,0)</f>
        <v>0</v>
      </c>
      <c r="AR32" s="89">
        <f t="shared" si="87"/>
        <v>0</v>
      </c>
      <c r="AS32" s="69">
        <f t="shared" si="72"/>
        <v>0</v>
      </c>
      <c r="AT32" s="157">
        <f>IFERROR(VLOOKUP(FiscalYr &amp; $B32&amp;AT$4,tblForecast,AT$2,FALSE),0)</f>
        <v>0</v>
      </c>
      <c r="AU32" s="71">
        <f t="shared" si="17"/>
        <v>0</v>
      </c>
      <c r="AV32" s="69">
        <f t="shared" si="18"/>
        <v>0</v>
      </c>
      <c r="AW32" s="82"/>
      <c r="AX32" s="83"/>
      <c r="AY32" s="69">
        <f t="shared" si="19"/>
        <v>0</v>
      </c>
      <c r="AZ32" s="84"/>
      <c r="BA32" s="85"/>
      <c r="BB32" s="69">
        <f t="shared" si="20"/>
        <v>0</v>
      </c>
      <c r="BC32" s="157">
        <f>IFERROR(VLOOKUP(FiscalYr &amp; $B32&amp;BC$4,tblForecast,BC$2,FALSE),0)</f>
        <v>0</v>
      </c>
      <c r="BD32" s="71">
        <f t="shared" si="21"/>
        <v>0</v>
      </c>
      <c r="BE32" s="69">
        <f t="shared" si="22"/>
        <v>0</v>
      </c>
      <c r="BF32" s="90">
        <f>IFERROR(VLOOKUP(FiscalYr &amp; $B32&amp;BF$4,tblForecast,BF$2,FALSE),0)</f>
        <v>0</v>
      </c>
      <c r="BG32" s="85">
        <f t="shared" si="23"/>
        <v>0</v>
      </c>
      <c r="BH32" s="69">
        <f t="shared" si="24"/>
        <v>0</v>
      </c>
      <c r="BI32" s="85">
        <f t="shared" si="58"/>
        <v>0</v>
      </c>
      <c r="BJ32" s="86">
        <f t="shared" si="59"/>
        <v>0</v>
      </c>
      <c r="BK32" s="75">
        <f t="shared" si="26"/>
        <v>0</v>
      </c>
      <c r="BL32" s="283">
        <f>IFERROR(VLOOKUP(Brand&amp;Channel&amp;Country&amp;$B32,tblDiscount,6,FALSE),0)</f>
        <v>0.55000000000000004</v>
      </c>
      <c r="BM32" s="249">
        <f>(1-BL32)*BN32</f>
        <v>0</v>
      </c>
      <c r="BN32" s="249">
        <f>IFERROR(VLOOKUP(Brand&amp;Country &amp; Channel &amp;FC,tblFCSettings,8,FALSE),0)</f>
        <v>0</v>
      </c>
      <c r="BO32" s="284">
        <f>IFERROR(VLOOKUP(Brand&amp;Country &amp; Channel &amp;FC,tblFCSettings,9,FALSE),0)</f>
        <v>0</v>
      </c>
    </row>
    <row r="33" spans="2:67" customFormat="1" x14ac:dyDescent="0.25">
      <c r="B33" s="185">
        <v>19</v>
      </c>
      <c r="C33" s="87">
        <f t="shared" si="78"/>
        <v>0</v>
      </c>
      <c r="D33" s="68">
        <f t="shared" si="78"/>
        <v>0</v>
      </c>
      <c r="E33" s="69">
        <f t="shared" si="0"/>
        <v>0</v>
      </c>
      <c r="F33" s="157">
        <f>IF(NewPlan=TRUE,IF(AF32-(G33*J33)&lt;0,AF32,G33*J33),IFERROR(VLOOKUP(FiscalYr &amp; $B33&amp;F$4,tblForecast,F$2,FALSE),0))</f>
        <v>0</v>
      </c>
      <c r="G33" s="189">
        <f>IFERROR(VLOOKUP(FiscalYr-IF(CompareVer="LY",1,0) &amp; $B33 + IF(FiscalYr=2018,1,0)&amp;G$4,tblForecast,G$2,FALSE),0)</f>
        <v>0</v>
      </c>
      <c r="H33" s="69">
        <f t="shared" si="1"/>
        <v>0</v>
      </c>
      <c r="I33" s="177">
        <f t="shared" ref="I33:J36" si="88">IFERROR(IF(F32&lt;&gt;0,F33/F32,0),0)</f>
        <v>0</v>
      </c>
      <c r="J33" s="177">
        <f t="shared" si="88"/>
        <v>0</v>
      </c>
      <c r="K33" s="87">
        <f t="shared" si="79"/>
        <v>0</v>
      </c>
      <c r="L33" s="68">
        <f t="shared" si="80"/>
        <v>0</v>
      </c>
      <c r="M33" s="72">
        <f t="shared" si="2"/>
        <v>0</v>
      </c>
      <c r="N33" s="162">
        <f t="shared" si="81"/>
        <v>0</v>
      </c>
      <c r="O33" s="163">
        <f t="shared" si="81"/>
        <v>0</v>
      </c>
      <c r="P33" s="69">
        <f t="shared" si="68"/>
        <v>0</v>
      </c>
      <c r="Q33" s="158">
        <f>IF(NewPlan=TRUE,IF(BM33=0,R33,BM33),IFERROR(VLOOKUP(FiscalYr&amp;$B33&amp;Q$4,tblForecast,Q$2,FALSE),0))</f>
        <v>0</v>
      </c>
      <c r="R33" s="73">
        <f>IFERROR(VLOOKUP(FiscalYr-IF(CompareVer="LY",1,0) &amp; $B33 + IF(FiscalYr=2018,1,0)&amp;R$4,tblForecast,R$2,FALSE),0)</f>
        <v>0</v>
      </c>
      <c r="S33" s="69">
        <f t="shared" si="82"/>
        <v>0</v>
      </c>
      <c r="T33" s="158">
        <f>IF(NewPlan=TRUE,IF(BO33=0,U33,BO33),IFERROR(VLOOKUP(FiscalYr &amp; $B33&amp;T$4,tblForecast,T$2,FALSE),0))</f>
        <v>0</v>
      </c>
      <c r="U33" s="73">
        <f>IFERROR(VLOOKUP(FiscalYr-IF(CompareVer="LY",1,0) &amp; $B33 + IF(FiscalYr=2018,1,0)&amp;U$4,tblForecast,U$2,FALSE),0)</f>
        <v>0</v>
      </c>
      <c r="V33" s="69">
        <f t="shared" si="83"/>
        <v>0</v>
      </c>
      <c r="W33" s="158">
        <f>IF(NewPlan=TRUE,IF(BN33=0,X33,BN33),IFERROR(VLOOKUP(FiscalYr &amp; $B33&amp;W$4,tblForecast,W$2,FALSE),0))</f>
        <v>0</v>
      </c>
      <c r="X33" s="73">
        <f>IFERROR(VLOOKUP(FiscalYr-IF(CompareVer="LY",1,0) &amp; $B33 + IF(FiscalYr=2018,1,0)&amp;X$4,tblForecast,X$2,FALSE),0)</f>
        <v>0</v>
      </c>
      <c r="Y33" s="69">
        <f t="shared" si="6"/>
        <v>0</v>
      </c>
      <c r="Z33" s="74">
        <f t="shared" si="69"/>
        <v>0</v>
      </c>
      <c r="AA33" s="75">
        <f t="shared" si="63"/>
        <v>0</v>
      </c>
      <c r="AB33" s="69">
        <f t="shared" si="70"/>
        <v>0</v>
      </c>
      <c r="AC33" s="88">
        <f t="shared" si="9"/>
        <v>0</v>
      </c>
      <c r="AD33" s="77">
        <f t="shared" si="10"/>
        <v>0</v>
      </c>
      <c r="AE33" s="78">
        <f t="shared" si="32"/>
        <v>0</v>
      </c>
      <c r="AF33" s="238">
        <f t="shared" si="84"/>
        <v>0</v>
      </c>
      <c r="AG33" s="71">
        <f>IFERROR(VLOOKUP(FiscalYr-IF(CompareVer="LY",1,0) &amp; $B33 + IF(FiscalYr=2018,1,0)&amp;AG$4,tblForecast,AG$2,FALSE),0)</f>
        <v>0</v>
      </c>
      <c r="AH33" s="69">
        <f t="shared" si="11"/>
        <v>0</v>
      </c>
      <c r="AI33" s="157">
        <f t="shared" si="85"/>
        <v>0</v>
      </c>
      <c r="AJ33" s="71">
        <f t="shared" si="85"/>
        <v>0</v>
      </c>
      <c r="AK33" s="71">
        <f>IF($A33="a",IFERROR(VLOOKUP(FiscalYr &amp; $B33&amp;AK$4,tblForecast,AK$2,FALSE),0),AI33+AJ33)</f>
        <v>0</v>
      </c>
      <c r="AL33" s="71">
        <f>IFERROR(VLOOKUP(FiscalYr-IF(CompareVer="LY",1,0) &amp; $B33 + IF(FiscalYr=2018,1,0)&amp;AL$4,tblForecast,AL$2,FALSE),0)</f>
        <v>0</v>
      </c>
      <c r="AM33" s="69">
        <f t="shared" si="13"/>
        <v>0</v>
      </c>
      <c r="AN33" s="157">
        <f t="shared" si="86"/>
        <v>0</v>
      </c>
      <c r="AO33" s="71">
        <f t="shared" si="86"/>
        <v>0</v>
      </c>
      <c r="AP33" s="69">
        <f t="shared" si="15"/>
        <v>0</v>
      </c>
      <c r="AQ33" s="80">
        <f t="shared" si="87"/>
        <v>0</v>
      </c>
      <c r="AR33" s="89">
        <f t="shared" si="87"/>
        <v>0</v>
      </c>
      <c r="AS33" s="69">
        <f t="shared" si="72"/>
        <v>0</v>
      </c>
      <c r="AT33" s="157">
        <f>IFERROR(VLOOKUP(FiscalYr &amp; $B33&amp;AT$4,tblForecast,AT$2,FALSE),0)</f>
        <v>0</v>
      </c>
      <c r="AU33" s="71">
        <f t="shared" si="17"/>
        <v>0</v>
      </c>
      <c r="AV33" s="69">
        <f t="shared" si="18"/>
        <v>0</v>
      </c>
      <c r="AW33" s="82"/>
      <c r="AX33" s="83"/>
      <c r="AY33" s="69">
        <f t="shared" si="19"/>
        <v>0</v>
      </c>
      <c r="AZ33" s="84"/>
      <c r="BA33" s="85"/>
      <c r="BB33" s="69">
        <f t="shared" si="20"/>
        <v>0</v>
      </c>
      <c r="BC33" s="157">
        <f>IFERROR(VLOOKUP(FiscalYr &amp; $B33&amp;BC$4,tblForecast,BC$2,FALSE),0)</f>
        <v>0</v>
      </c>
      <c r="BD33" s="71">
        <f t="shared" si="21"/>
        <v>0</v>
      </c>
      <c r="BE33" s="69">
        <f t="shared" si="22"/>
        <v>0</v>
      </c>
      <c r="BF33" s="90">
        <f>IFERROR(VLOOKUP(FiscalYr &amp; $B33&amp;BF$4,tblForecast,BF$2,FALSE),0)</f>
        <v>0</v>
      </c>
      <c r="BG33" s="85">
        <f t="shared" si="23"/>
        <v>0</v>
      </c>
      <c r="BH33" s="69">
        <f t="shared" si="24"/>
        <v>0</v>
      </c>
      <c r="BI33" s="85">
        <f t="shared" si="58"/>
        <v>0</v>
      </c>
      <c r="BJ33" s="86">
        <f t="shared" si="59"/>
        <v>0</v>
      </c>
      <c r="BK33" s="75">
        <f t="shared" si="26"/>
        <v>0</v>
      </c>
      <c r="BL33" s="283">
        <f>IFERROR(VLOOKUP(Brand&amp;Channel&amp;Country&amp;$B33,tblDiscount,6,FALSE),0)</f>
        <v>0.55000000000000004</v>
      </c>
      <c r="BM33" s="249">
        <f t="shared" ref="BM33:BM35" si="89">(1-BL33)*BN33</f>
        <v>0</v>
      </c>
      <c r="BN33" s="249">
        <f>IFERROR(VLOOKUP(Brand&amp;Country &amp; Channel &amp;FC,tblFCSettings,8,FALSE),0)</f>
        <v>0</v>
      </c>
      <c r="BO33" s="284">
        <f>IFERROR(VLOOKUP(Brand&amp;Country &amp; Channel &amp;FC,tblFCSettings,9,FALSE),0)</f>
        <v>0</v>
      </c>
    </row>
    <row r="34" spans="2:67" customFormat="1" x14ac:dyDescent="0.25">
      <c r="B34" s="185">
        <v>20</v>
      </c>
      <c r="C34" s="87">
        <f t="shared" si="78"/>
        <v>0</v>
      </c>
      <c r="D34" s="68">
        <f t="shared" si="78"/>
        <v>0</v>
      </c>
      <c r="E34" s="69">
        <f t="shared" si="0"/>
        <v>0</v>
      </c>
      <c r="F34" s="157">
        <f>IF(NewPlan=TRUE,IF(AF33-(G34*J34)&lt;0,AF33,G34*J34),IFERROR(VLOOKUP(FiscalYr &amp; $B34&amp;F$4,tblForecast,F$2,FALSE),0))</f>
        <v>0</v>
      </c>
      <c r="G34" s="189">
        <f>IFERROR(VLOOKUP(FiscalYr-IF(CompareVer="LY",1,0) &amp; $B34 + IF(FiscalYr=2018,1,0)&amp;G$4,tblForecast,G$2,FALSE),0)</f>
        <v>0</v>
      </c>
      <c r="H34" s="69">
        <f t="shared" si="1"/>
        <v>0</v>
      </c>
      <c r="I34" s="177">
        <f t="shared" si="88"/>
        <v>0</v>
      </c>
      <c r="J34" s="177">
        <f t="shared" si="88"/>
        <v>0</v>
      </c>
      <c r="K34" s="87">
        <f t="shared" si="79"/>
        <v>0</v>
      </c>
      <c r="L34" s="68">
        <f t="shared" si="80"/>
        <v>0</v>
      </c>
      <c r="M34" s="72">
        <f t="shared" si="2"/>
        <v>0</v>
      </c>
      <c r="N34" s="162">
        <f t="shared" si="81"/>
        <v>0</v>
      </c>
      <c r="O34" s="163">
        <f t="shared" si="81"/>
        <v>0</v>
      </c>
      <c r="P34" s="69">
        <f t="shared" si="68"/>
        <v>0</v>
      </c>
      <c r="Q34" s="158">
        <f>IF(NewPlan=TRUE,IF(BM34=0,R34,BM34),IFERROR(VLOOKUP(FiscalYr&amp;$B34&amp;Q$4,tblForecast,Q$2,FALSE),0))</f>
        <v>0</v>
      </c>
      <c r="R34" s="73">
        <f>IFERROR(VLOOKUP(FiscalYr-IF(CompareVer="LY",1,0) &amp; $B34 + IF(FiscalYr=2018,1,0)&amp;R$4,tblForecast,R$2,FALSE),0)</f>
        <v>0</v>
      </c>
      <c r="S34" s="69">
        <f t="shared" si="82"/>
        <v>0</v>
      </c>
      <c r="T34" s="158">
        <f>IF(NewPlan=TRUE,IF(BO34=0,U34,BO34),IFERROR(VLOOKUP(FiscalYr &amp; $B34&amp;T$4,tblForecast,T$2,FALSE),0))</f>
        <v>0</v>
      </c>
      <c r="U34" s="73">
        <f>IFERROR(VLOOKUP(FiscalYr-IF(CompareVer="LY",1,0) &amp; $B34 + IF(FiscalYr=2018,1,0)&amp;U$4,tblForecast,U$2,FALSE),0)</f>
        <v>0</v>
      </c>
      <c r="V34" s="69">
        <f t="shared" si="83"/>
        <v>0</v>
      </c>
      <c r="W34" s="158">
        <f>IF(NewPlan=TRUE,IF(BN34=0,X34,BN34),IFERROR(VLOOKUP(FiscalYr &amp; $B34&amp;W$4,tblForecast,W$2,FALSE),0))</f>
        <v>0</v>
      </c>
      <c r="X34" s="73">
        <f>IFERROR(VLOOKUP(FiscalYr-IF(CompareVer="LY",1,0) &amp; $B34 + IF(FiscalYr=2018,1,0)&amp;X$4,tblForecast,X$2,FALSE),0)</f>
        <v>0</v>
      </c>
      <c r="Y34" s="69">
        <f t="shared" si="6"/>
        <v>0</v>
      </c>
      <c r="Z34" s="74">
        <f t="shared" si="69"/>
        <v>0</v>
      </c>
      <c r="AA34" s="75">
        <f t="shared" si="63"/>
        <v>0</v>
      </c>
      <c r="AB34" s="69">
        <f t="shared" si="70"/>
        <v>0</v>
      </c>
      <c r="AC34" s="88">
        <f t="shared" si="9"/>
        <v>0</v>
      </c>
      <c r="AD34" s="77">
        <f t="shared" si="10"/>
        <v>0</v>
      </c>
      <c r="AE34" s="78">
        <f t="shared" si="32"/>
        <v>0</v>
      </c>
      <c r="AF34" s="238">
        <f t="shared" si="84"/>
        <v>0</v>
      </c>
      <c r="AG34" s="71">
        <f>IFERROR(VLOOKUP(FiscalYr-IF(CompareVer="LY",1,0) &amp; $B34 + IF(FiscalYr=2018,1,0)&amp;AG$4,tblForecast,AG$2,FALSE),0)</f>
        <v>0</v>
      </c>
      <c r="AH34" s="69">
        <f t="shared" si="11"/>
        <v>0</v>
      </c>
      <c r="AI34" s="157">
        <f t="shared" si="85"/>
        <v>0</v>
      </c>
      <c r="AJ34" s="71">
        <f t="shared" si="85"/>
        <v>0</v>
      </c>
      <c r="AK34" s="71">
        <f>IF($A34="a",IFERROR(VLOOKUP(FiscalYr &amp; $B34&amp;AK$4,tblForecast,AK$2,FALSE),0),AI34+AJ34)</f>
        <v>0</v>
      </c>
      <c r="AL34" s="71">
        <f>IFERROR(VLOOKUP(FiscalYr-IF(CompareVer="LY",1,0) &amp; $B34 + IF(FiscalYr=2018,1,0)&amp;AL$4,tblForecast,AL$2,FALSE),0)</f>
        <v>0</v>
      </c>
      <c r="AM34" s="69">
        <f t="shared" si="13"/>
        <v>0</v>
      </c>
      <c r="AN34" s="157">
        <f t="shared" si="86"/>
        <v>0</v>
      </c>
      <c r="AO34" s="71">
        <f t="shared" si="86"/>
        <v>0</v>
      </c>
      <c r="AP34" s="69">
        <f t="shared" si="15"/>
        <v>0</v>
      </c>
      <c r="AQ34" s="80">
        <f t="shared" si="87"/>
        <v>0</v>
      </c>
      <c r="AR34" s="89">
        <f t="shared" si="87"/>
        <v>0</v>
      </c>
      <c r="AS34" s="69">
        <f t="shared" si="72"/>
        <v>0</v>
      </c>
      <c r="AT34" s="157">
        <f>IFERROR(VLOOKUP(FiscalYr &amp; $B34&amp;AT$4,tblForecast,AT$2,FALSE),0)</f>
        <v>0</v>
      </c>
      <c r="AU34" s="71">
        <f t="shared" si="17"/>
        <v>0</v>
      </c>
      <c r="AV34" s="69">
        <f t="shared" si="18"/>
        <v>0</v>
      </c>
      <c r="AW34" s="82"/>
      <c r="AX34" s="83"/>
      <c r="AY34" s="69">
        <f t="shared" si="19"/>
        <v>0</v>
      </c>
      <c r="AZ34" s="84"/>
      <c r="BA34" s="85"/>
      <c r="BB34" s="69">
        <f t="shared" si="20"/>
        <v>0</v>
      </c>
      <c r="BC34" s="157">
        <f>IFERROR(VLOOKUP(FiscalYr &amp; $B34&amp;BC$4,tblForecast,BC$2,FALSE),0)</f>
        <v>0</v>
      </c>
      <c r="BD34" s="71">
        <f t="shared" si="21"/>
        <v>0</v>
      </c>
      <c r="BE34" s="69">
        <f t="shared" si="22"/>
        <v>0</v>
      </c>
      <c r="BF34" s="90">
        <f>IFERROR(VLOOKUP(FiscalYr &amp; $B34&amp;BF$4,tblForecast,BF$2,FALSE),0)</f>
        <v>0</v>
      </c>
      <c r="BG34" s="85">
        <f t="shared" si="23"/>
        <v>0</v>
      </c>
      <c r="BH34" s="69">
        <f t="shared" si="24"/>
        <v>0</v>
      </c>
      <c r="BI34" s="85">
        <f t="shared" si="58"/>
        <v>0</v>
      </c>
      <c r="BJ34" s="86">
        <f t="shared" si="59"/>
        <v>0</v>
      </c>
      <c r="BK34" s="75">
        <f t="shared" si="26"/>
        <v>0</v>
      </c>
      <c r="BL34" s="283">
        <f>IFERROR(VLOOKUP(Brand&amp;Channel&amp;Country&amp;$B34,tblDiscount,6,FALSE),0)</f>
        <v>0.6</v>
      </c>
      <c r="BM34" s="249">
        <f t="shared" si="89"/>
        <v>0</v>
      </c>
      <c r="BN34" s="249">
        <f>IFERROR(VLOOKUP(Brand&amp;Country &amp; Channel &amp;FC,tblFCSettings,8,FALSE),0)</f>
        <v>0</v>
      </c>
      <c r="BO34" s="284">
        <f>IFERROR(VLOOKUP(Brand&amp;Country &amp; Channel &amp;FC,tblFCSettings,9,FALSE),0)</f>
        <v>0</v>
      </c>
    </row>
    <row r="35" spans="2:67" customFormat="1" x14ac:dyDescent="0.25">
      <c r="B35" s="185">
        <v>21</v>
      </c>
      <c r="C35" s="87">
        <f t="shared" si="78"/>
        <v>0</v>
      </c>
      <c r="D35" s="68">
        <f t="shared" si="78"/>
        <v>0</v>
      </c>
      <c r="E35" s="69">
        <f t="shared" si="0"/>
        <v>0</v>
      </c>
      <c r="F35" s="157">
        <f>IF(NewPlan=TRUE,IF(AF34-(G35*J35)&lt;0,AF34,G35*J35),IFERROR(VLOOKUP(FiscalYr &amp; $B35&amp;F$4,tblForecast,F$2,FALSE),0))</f>
        <v>0</v>
      </c>
      <c r="G35" s="189">
        <f>IFERROR(VLOOKUP(FiscalYr-IF(CompareVer="LY",1,0) &amp; $B35 + IF(FiscalYr=2018,1,0)&amp;G$4,tblForecast,G$2,FALSE),0)</f>
        <v>0</v>
      </c>
      <c r="H35" s="69">
        <f t="shared" si="1"/>
        <v>0</v>
      </c>
      <c r="I35" s="177">
        <f t="shared" si="88"/>
        <v>0</v>
      </c>
      <c r="J35" s="177">
        <f t="shared" si="88"/>
        <v>0</v>
      </c>
      <c r="K35" s="87">
        <f t="shared" si="79"/>
        <v>0</v>
      </c>
      <c r="L35" s="68">
        <f t="shared" si="80"/>
        <v>0</v>
      </c>
      <c r="M35" s="72">
        <f t="shared" si="2"/>
        <v>0</v>
      </c>
      <c r="N35" s="162">
        <f t="shared" si="81"/>
        <v>0</v>
      </c>
      <c r="O35" s="163">
        <f t="shared" si="81"/>
        <v>0</v>
      </c>
      <c r="P35" s="69">
        <f t="shared" si="68"/>
        <v>0</v>
      </c>
      <c r="Q35" s="158">
        <f>IF(NewPlan=TRUE,IF(BM35=0,R35,BM35),IFERROR(VLOOKUP(FiscalYr&amp;$B35&amp;Q$4,tblForecast,Q$2,FALSE),0))</f>
        <v>0</v>
      </c>
      <c r="R35" s="73">
        <f>IFERROR(VLOOKUP(FiscalYr-IF(CompareVer="LY",1,0) &amp; $B35 + IF(FiscalYr=2018,1,0)&amp;R$4,tblForecast,R$2,FALSE),0)</f>
        <v>0</v>
      </c>
      <c r="S35" s="69">
        <f t="shared" si="82"/>
        <v>0</v>
      </c>
      <c r="T35" s="158">
        <f>IF(NewPlan=TRUE,IF(BO35=0,U35,BO35),IFERROR(VLOOKUP(FiscalYr &amp; $B35&amp;T$4,tblForecast,T$2,FALSE),0))</f>
        <v>0</v>
      </c>
      <c r="U35" s="73">
        <f>IFERROR(VLOOKUP(FiscalYr-IF(CompareVer="LY",1,0) &amp; $B35 + IF(FiscalYr=2018,1,0)&amp;U$4,tblForecast,U$2,FALSE),0)</f>
        <v>0</v>
      </c>
      <c r="V35" s="69">
        <f t="shared" si="83"/>
        <v>0</v>
      </c>
      <c r="W35" s="158">
        <f>IF(NewPlan=TRUE,IF(BN35=0,X35,BN35),IFERROR(VLOOKUP(FiscalYr &amp; $B35&amp;W$4,tblForecast,W$2,FALSE),0))</f>
        <v>0</v>
      </c>
      <c r="X35" s="73">
        <f>IFERROR(VLOOKUP(FiscalYr-IF(CompareVer="LY",1,0) &amp; $B35 + IF(FiscalYr=2018,1,0)&amp;X$4,tblForecast,X$2,FALSE),0)</f>
        <v>0</v>
      </c>
      <c r="Y35" s="69">
        <f t="shared" si="6"/>
        <v>0</v>
      </c>
      <c r="Z35" s="74">
        <f t="shared" si="69"/>
        <v>0</v>
      </c>
      <c r="AA35" s="75">
        <f t="shared" si="63"/>
        <v>0</v>
      </c>
      <c r="AB35" s="69">
        <f t="shared" si="70"/>
        <v>0</v>
      </c>
      <c r="AC35" s="88">
        <f t="shared" si="9"/>
        <v>0</v>
      </c>
      <c r="AD35" s="77">
        <f t="shared" si="10"/>
        <v>0</v>
      </c>
      <c r="AE35" s="78">
        <f t="shared" si="32"/>
        <v>0</v>
      </c>
      <c r="AF35" s="238">
        <f t="shared" si="84"/>
        <v>0</v>
      </c>
      <c r="AG35" s="71">
        <f>IFERROR(VLOOKUP(FiscalYr-IF(CompareVer="LY",1,0) &amp; $B35 + IF(FiscalYr=2018,1,0)&amp;AG$4,tblForecast,AG$2,FALSE),0)</f>
        <v>0</v>
      </c>
      <c r="AH35" s="69">
        <f t="shared" si="11"/>
        <v>0</v>
      </c>
      <c r="AI35" s="157">
        <f t="shared" si="85"/>
        <v>0</v>
      </c>
      <c r="AJ35" s="71">
        <f t="shared" si="85"/>
        <v>0</v>
      </c>
      <c r="AK35" s="71">
        <f>IF($A35="a",IFERROR(VLOOKUP(FiscalYr &amp; $B35&amp;AK$4,tblForecast,AK$2,FALSE),0),AI35+AJ35)</f>
        <v>0</v>
      </c>
      <c r="AL35" s="71">
        <f>IFERROR(VLOOKUP(FiscalYr-IF(CompareVer="LY",1,0) &amp; $B35 + IF(FiscalYr=2018,1,0)&amp;AL$4,tblForecast,AL$2,FALSE),0)</f>
        <v>0</v>
      </c>
      <c r="AM35" s="69">
        <f t="shared" si="13"/>
        <v>0</v>
      </c>
      <c r="AN35" s="157">
        <f t="shared" si="86"/>
        <v>0</v>
      </c>
      <c r="AO35" s="71">
        <f t="shared" si="86"/>
        <v>0</v>
      </c>
      <c r="AP35" s="69">
        <f t="shared" si="15"/>
        <v>0</v>
      </c>
      <c r="AQ35" s="80">
        <f t="shared" si="87"/>
        <v>0</v>
      </c>
      <c r="AR35" s="89">
        <f t="shared" si="87"/>
        <v>0</v>
      </c>
      <c r="AS35" s="69">
        <f t="shared" si="72"/>
        <v>0</v>
      </c>
      <c r="AT35" s="157">
        <f>IFERROR(VLOOKUP(FiscalYr &amp; $B35&amp;AT$4,tblForecast,AT$2,FALSE),0)</f>
        <v>0</v>
      </c>
      <c r="AU35" s="71">
        <f t="shared" si="17"/>
        <v>0</v>
      </c>
      <c r="AV35" s="69">
        <f t="shared" si="18"/>
        <v>0</v>
      </c>
      <c r="AW35" s="82"/>
      <c r="AX35" s="83"/>
      <c r="AY35" s="69">
        <f t="shared" si="19"/>
        <v>0</v>
      </c>
      <c r="AZ35" s="84"/>
      <c r="BA35" s="85"/>
      <c r="BB35" s="69">
        <f t="shared" si="20"/>
        <v>0</v>
      </c>
      <c r="BC35" s="157">
        <f>IFERROR(VLOOKUP(FiscalYr &amp; $B35&amp;BC$4,tblForecast,BC$2,FALSE),0)</f>
        <v>0</v>
      </c>
      <c r="BD35" s="71">
        <f t="shared" si="21"/>
        <v>0</v>
      </c>
      <c r="BE35" s="69">
        <f t="shared" si="22"/>
        <v>0</v>
      </c>
      <c r="BF35" s="90">
        <f>IFERROR(VLOOKUP(FiscalYr &amp; $B35&amp;BF$4,tblForecast,BF$2,FALSE),0)</f>
        <v>0</v>
      </c>
      <c r="BG35" s="85">
        <f t="shared" si="23"/>
        <v>0</v>
      </c>
      <c r="BH35" s="69">
        <f t="shared" si="24"/>
        <v>0</v>
      </c>
      <c r="BI35" s="85">
        <f t="shared" si="58"/>
        <v>0</v>
      </c>
      <c r="BJ35" s="86">
        <f t="shared" si="59"/>
        <v>0</v>
      </c>
      <c r="BK35" s="75">
        <f t="shared" si="26"/>
        <v>0</v>
      </c>
      <c r="BL35" s="283">
        <f>IFERROR(VLOOKUP(Brand&amp;Channel&amp;Country&amp;$B35,tblDiscount,6,FALSE),0)</f>
        <v>0.6</v>
      </c>
      <c r="BM35" s="249">
        <f t="shared" si="89"/>
        <v>0</v>
      </c>
      <c r="BN35" s="249">
        <f>IFERROR(VLOOKUP(Brand&amp;Country &amp; Channel &amp;FC,tblFCSettings,8,FALSE),0)</f>
        <v>0</v>
      </c>
      <c r="BO35" s="284">
        <f>IFERROR(VLOOKUP(Brand&amp;Country &amp; Channel &amp;FC,tblFCSettings,9,FALSE),0)</f>
        <v>0</v>
      </c>
    </row>
    <row r="36" spans="2:67" customFormat="1" ht="16.5" thickBot="1" x14ac:dyDescent="0.3">
      <c r="B36" s="185">
        <v>22</v>
      </c>
      <c r="C36" s="87">
        <f t="shared" si="78"/>
        <v>0</v>
      </c>
      <c r="D36" s="68">
        <f t="shared" si="78"/>
        <v>0</v>
      </c>
      <c r="E36" s="69">
        <f t="shared" si="0"/>
        <v>0</v>
      </c>
      <c r="F36" s="157">
        <f>IF(NewPlan=TRUE,IF(AF35-(G36*J36)&lt;0,AF35,G36*J36),IFERROR(VLOOKUP(FiscalYr &amp; $B36&amp;F$4,tblForecast,F$2,FALSE),0))</f>
        <v>0</v>
      </c>
      <c r="G36" s="189">
        <f>IFERROR(VLOOKUP(FiscalYr-IF(CompareVer="LY",1,0) &amp; $B36 + IF(FiscalYr=2018,1,0)&amp;G$4,tblForecast,G$2,FALSE),0)</f>
        <v>0</v>
      </c>
      <c r="H36" s="69">
        <f t="shared" si="1"/>
        <v>0</v>
      </c>
      <c r="I36" s="177">
        <f t="shared" si="88"/>
        <v>0</v>
      </c>
      <c r="J36" s="177">
        <f t="shared" si="88"/>
        <v>0</v>
      </c>
      <c r="K36" s="87">
        <f t="shared" si="79"/>
        <v>0</v>
      </c>
      <c r="L36" s="68">
        <f t="shared" si="80"/>
        <v>0</v>
      </c>
      <c r="M36" s="72">
        <f t="shared" si="2"/>
        <v>0</v>
      </c>
      <c r="N36" s="162">
        <f t="shared" si="81"/>
        <v>0</v>
      </c>
      <c r="O36" s="163">
        <f t="shared" si="81"/>
        <v>0</v>
      </c>
      <c r="P36" s="69">
        <f t="shared" si="68"/>
        <v>0</v>
      </c>
      <c r="Q36" s="158">
        <f>IF(NewPlan=TRUE,IF(BM36=0,R36,BM36),IFERROR(VLOOKUP(FiscalYr&amp;$B36&amp;Q$4,tblForecast,Q$2,FALSE),0))</f>
        <v>0</v>
      </c>
      <c r="R36" s="73">
        <f>IFERROR(VLOOKUP(FiscalYr-IF(CompareVer="LY",1,0) &amp; $B36 + IF(FiscalYr=2018,1,0)&amp;R$4,tblForecast,R$2,FALSE),0)</f>
        <v>0</v>
      </c>
      <c r="S36" s="69">
        <f t="shared" si="82"/>
        <v>0</v>
      </c>
      <c r="T36" s="158">
        <f>IF(NewPlan=TRUE,IF(BO36=0,U36,BO36),IFERROR(VLOOKUP(FiscalYr &amp; $B36&amp;T$4,tblForecast,T$2,FALSE),0))</f>
        <v>0</v>
      </c>
      <c r="U36" s="73">
        <f>IFERROR(VLOOKUP(FiscalYr-IF(CompareVer="LY",1,0) &amp; $B36 + IF(FiscalYr=2018,1,0)&amp;U$4,tblForecast,U$2,FALSE),0)</f>
        <v>0</v>
      </c>
      <c r="V36" s="69">
        <f t="shared" si="83"/>
        <v>0</v>
      </c>
      <c r="W36" s="158">
        <f>IF(NewPlan=TRUE,IF(BN36=0,X36,BN36),IFERROR(VLOOKUP(FiscalYr &amp; $B36&amp;W$4,tblForecast,W$2,FALSE),0))</f>
        <v>0</v>
      </c>
      <c r="X36" s="73">
        <f>IFERROR(VLOOKUP(FiscalYr-IF(CompareVer="LY",1,0) &amp; $B36 + IF(FiscalYr=2018,1,0)&amp;X$4,tblForecast,X$2,FALSE),0)</f>
        <v>0</v>
      </c>
      <c r="Y36" s="69">
        <f t="shared" si="6"/>
        <v>0</v>
      </c>
      <c r="Z36" s="74">
        <f t="shared" si="69"/>
        <v>0</v>
      </c>
      <c r="AA36" s="75">
        <f t="shared" si="63"/>
        <v>0</v>
      </c>
      <c r="AB36" s="69">
        <f t="shared" si="70"/>
        <v>0</v>
      </c>
      <c r="AC36" s="88">
        <f t="shared" si="9"/>
        <v>0</v>
      </c>
      <c r="AD36" s="77">
        <f t="shared" si="10"/>
        <v>0</v>
      </c>
      <c r="AE36" s="78">
        <f t="shared" si="32"/>
        <v>0</v>
      </c>
      <c r="AF36" s="238">
        <f t="shared" si="84"/>
        <v>0</v>
      </c>
      <c r="AG36" s="71">
        <f>IFERROR(VLOOKUP(FiscalYr-IF(CompareVer="LY",1,0) &amp; $B36 + IF(FiscalYr=2018,1,0)&amp;AG$4,tblForecast,AG$2,FALSE),0)</f>
        <v>0</v>
      </c>
      <c r="AH36" s="69">
        <f t="shared" si="11"/>
        <v>0</v>
      </c>
      <c r="AI36" s="157">
        <f t="shared" si="85"/>
        <v>0</v>
      </c>
      <c r="AJ36" s="71">
        <f t="shared" si="85"/>
        <v>0</v>
      </c>
      <c r="AK36" s="71">
        <f>IF($A36="a",IFERROR(VLOOKUP(FiscalYr &amp; $B36&amp;AK$4,tblForecast,AK$2,FALSE),0),AI36+AJ36)</f>
        <v>0</v>
      </c>
      <c r="AL36" s="71">
        <f>IFERROR(VLOOKUP(FiscalYr-IF(CompareVer="LY",1,0) &amp; $B36 + IF(FiscalYr=2018,1,0)&amp;AL$4,tblForecast,AL$2,FALSE),0)</f>
        <v>0</v>
      </c>
      <c r="AM36" s="69">
        <f t="shared" si="13"/>
        <v>0</v>
      </c>
      <c r="AN36" s="157">
        <f t="shared" si="86"/>
        <v>0</v>
      </c>
      <c r="AO36" s="71">
        <f t="shared" si="86"/>
        <v>0</v>
      </c>
      <c r="AP36" s="69">
        <f t="shared" si="15"/>
        <v>0</v>
      </c>
      <c r="AQ36" s="80">
        <f t="shared" si="87"/>
        <v>0</v>
      </c>
      <c r="AR36" s="89">
        <f t="shared" si="87"/>
        <v>0</v>
      </c>
      <c r="AS36" s="69">
        <f t="shared" si="72"/>
        <v>0</v>
      </c>
      <c r="AT36" s="157">
        <f>IFERROR(VLOOKUP(FiscalYr &amp; $B36&amp;AT$4,tblForecast,AT$2,FALSE),0)</f>
        <v>0</v>
      </c>
      <c r="AU36" s="71">
        <f t="shared" si="17"/>
        <v>0</v>
      </c>
      <c r="AV36" s="69">
        <f t="shared" si="18"/>
        <v>0</v>
      </c>
      <c r="AW36" s="82"/>
      <c r="AX36" s="83"/>
      <c r="AY36" s="69">
        <f t="shared" si="19"/>
        <v>0</v>
      </c>
      <c r="AZ36" s="84"/>
      <c r="BA36" s="85"/>
      <c r="BB36" s="69">
        <f t="shared" si="20"/>
        <v>0</v>
      </c>
      <c r="BC36" s="157">
        <f>IFERROR(VLOOKUP(FiscalYr &amp; $B36&amp;BC$4,tblForecast,BC$2,FALSE),0)</f>
        <v>0</v>
      </c>
      <c r="BD36" s="71">
        <f t="shared" si="21"/>
        <v>0</v>
      </c>
      <c r="BE36" s="69">
        <f t="shared" si="22"/>
        <v>0</v>
      </c>
      <c r="BF36" s="90">
        <f>IFERROR(VLOOKUP(FiscalYr &amp; $B36&amp;BF$4,tblForecast,BF$2,FALSE),0)</f>
        <v>0</v>
      </c>
      <c r="BG36" s="85">
        <f t="shared" si="23"/>
        <v>0</v>
      </c>
      <c r="BH36" s="69">
        <f t="shared" si="24"/>
        <v>0</v>
      </c>
      <c r="BI36" s="85">
        <f t="shared" si="58"/>
        <v>0</v>
      </c>
      <c r="BJ36" s="86">
        <f t="shared" si="59"/>
        <v>0</v>
      </c>
      <c r="BK36" s="75">
        <f t="shared" si="26"/>
        <v>0</v>
      </c>
      <c r="BL36" s="283">
        <f>IFERROR(VLOOKUP(Brand&amp;Channel&amp;Country&amp;$B36,tblDiscount,6,FALSE),0)</f>
        <v>0.6</v>
      </c>
      <c r="BM36" s="249">
        <f>(1-BL36)*BN36</f>
        <v>0</v>
      </c>
      <c r="BN36" s="249">
        <f>IFERROR(VLOOKUP(Brand&amp;Country &amp; Channel &amp;FC,tblFCSettings,8,FALSE),0)</f>
        <v>0</v>
      </c>
      <c r="BO36" s="284">
        <f>IFERROR(VLOOKUP(Brand&amp;Country &amp; Channel &amp;FC,tblFCSettings,9,FALSE),0)</f>
        <v>0</v>
      </c>
    </row>
    <row r="37" spans="2:67" customFormat="1" ht="16.5" thickBot="1" x14ac:dyDescent="0.3">
      <c r="B37" s="6" t="s">
        <v>31</v>
      </c>
      <c r="C37" s="92">
        <f>SUM(C32:C36)</f>
        <v>0</v>
      </c>
      <c r="D37" s="93">
        <f>SUM(D32:D36)</f>
        <v>0</v>
      </c>
      <c r="E37" s="94">
        <f t="shared" si="0"/>
        <v>0</v>
      </c>
      <c r="F37" s="95">
        <f>SUM(F32:F36)</f>
        <v>0</v>
      </c>
      <c r="G37" s="96">
        <f>SUM(G32:G36)</f>
        <v>0</v>
      </c>
      <c r="H37" s="94">
        <f t="shared" si="1"/>
        <v>0</v>
      </c>
      <c r="I37" s="178">
        <f>IF(F31&lt;&gt;0,F37/F31-1,0)</f>
        <v>0</v>
      </c>
      <c r="J37" s="178">
        <f>IF(G31&lt;&gt;0,G37/G31-1,0)</f>
        <v>0</v>
      </c>
      <c r="K37" s="92">
        <f>SUM(K32:K36)</f>
        <v>0</v>
      </c>
      <c r="L37" s="93">
        <f>SUM(L32:L36)</f>
        <v>0</v>
      </c>
      <c r="M37" s="97">
        <f t="shared" si="2"/>
        <v>0</v>
      </c>
      <c r="N37" s="164">
        <f>IFERROR(K37/C37,0)</f>
        <v>0</v>
      </c>
      <c r="O37" s="165">
        <f>IFERROR(L37/D37,0)</f>
        <v>0</v>
      </c>
      <c r="P37" s="94">
        <f t="shared" si="68"/>
        <v>0</v>
      </c>
      <c r="Q37" s="98">
        <f>IFERROR(C37/F37,0)</f>
        <v>0</v>
      </c>
      <c r="R37" s="99">
        <f>IFERROR(D37/G37,0)</f>
        <v>0</v>
      </c>
      <c r="S37" s="94">
        <f t="shared" si="4"/>
        <v>0</v>
      </c>
      <c r="T37" s="98">
        <f>IFERROR((C37*(1-N37))/F37,0)</f>
        <v>0</v>
      </c>
      <c r="U37" s="99">
        <f>IFERROR((D37*(1-O37))/G37,0)</f>
        <v>0</v>
      </c>
      <c r="V37" s="94">
        <f t="shared" si="5"/>
        <v>0</v>
      </c>
      <c r="W37" s="98">
        <f>IFERROR(SUMPRODUCT(W32:W36,F32:F36)/F37,0)</f>
        <v>0</v>
      </c>
      <c r="X37" s="99">
        <f>IFERROR(SUMPRODUCT(X32:X36,G32:G36)/G37,0)</f>
        <v>0</v>
      </c>
      <c r="Y37" s="94">
        <f t="shared" si="6"/>
        <v>0</v>
      </c>
      <c r="Z37" s="100">
        <f t="shared" si="69"/>
        <v>0</v>
      </c>
      <c r="AA37" s="101">
        <f t="shared" si="63"/>
        <v>0</v>
      </c>
      <c r="AB37" s="94">
        <f t="shared" si="70"/>
        <v>0</v>
      </c>
      <c r="AC37" s="102">
        <f t="shared" si="9"/>
        <v>0</v>
      </c>
      <c r="AD37" s="103">
        <f t="shared" si="10"/>
        <v>0</v>
      </c>
      <c r="AE37" s="104">
        <f t="shared" si="32"/>
        <v>0</v>
      </c>
      <c r="AF37" s="95">
        <f>AF36</f>
        <v>0</v>
      </c>
      <c r="AG37" s="96">
        <f>AG36</f>
        <v>0</v>
      </c>
      <c r="AH37" s="94">
        <f t="shared" si="11"/>
        <v>0</v>
      </c>
      <c r="AI37" s="95">
        <f t="shared" ref="AI37:AL37" si="90">SUM(AI32:AI36)</f>
        <v>0</v>
      </c>
      <c r="AJ37" s="96">
        <f t="shared" si="90"/>
        <v>0</v>
      </c>
      <c r="AK37" s="96">
        <f t="shared" si="90"/>
        <v>0</v>
      </c>
      <c r="AL37" s="96">
        <f t="shared" si="90"/>
        <v>0</v>
      </c>
      <c r="AM37" s="94">
        <f t="shared" si="13"/>
        <v>0</v>
      </c>
      <c r="AN37" s="95">
        <f>SUM(AN32:AN36)</f>
        <v>0</v>
      </c>
      <c r="AO37" s="96">
        <f>SUM(AO32:AO36)</f>
        <v>0</v>
      </c>
      <c r="AP37" s="94">
        <f t="shared" si="15"/>
        <v>0</v>
      </c>
      <c r="AQ37" s="105">
        <f>IF(F37&lt;&gt;0,(AF37*COUNTIF(AQ32:AQ36,"&lt;&gt;0")/F37),0)</f>
        <v>0</v>
      </c>
      <c r="AR37" s="106">
        <f>IF(G37&lt;&gt;0,(AG37*COUNTIF(AR32:AR36,"&lt;&gt;0")/G37),0)</f>
        <v>0</v>
      </c>
      <c r="AS37" s="94">
        <f t="shared" si="72"/>
        <v>0</v>
      </c>
      <c r="AT37" s="95">
        <f>SUM(AT32:AT36)</f>
        <v>0</v>
      </c>
      <c r="AU37" s="96">
        <f t="shared" si="17"/>
        <v>0</v>
      </c>
      <c r="AV37" s="94">
        <f t="shared" si="18"/>
        <v>0</v>
      </c>
      <c r="AW37" s="107"/>
      <c r="AX37" s="108"/>
      <c r="AY37" s="94">
        <f t="shared" si="19"/>
        <v>0</v>
      </c>
      <c r="AZ37" s="134"/>
      <c r="BA37" s="111"/>
      <c r="BB37" s="94">
        <f t="shared" si="20"/>
        <v>0</v>
      </c>
      <c r="BC37" s="95">
        <f>SUM(BC32:BC36)</f>
        <v>0</v>
      </c>
      <c r="BD37" s="96">
        <f t="shared" si="21"/>
        <v>0</v>
      </c>
      <c r="BE37" s="94">
        <f t="shared" si="22"/>
        <v>0</v>
      </c>
      <c r="BF37" s="95">
        <f>SUM(BF32:BF36)</f>
        <v>0</v>
      </c>
      <c r="BG37" s="96">
        <f>SUM(BG32:BG36)</f>
        <v>0</v>
      </c>
      <c r="BH37" s="94">
        <f t="shared" si="24"/>
        <v>0</v>
      </c>
      <c r="BI37" s="111">
        <f t="shared" si="58"/>
        <v>0</v>
      </c>
      <c r="BJ37" s="112">
        <f t="shared" si="59"/>
        <v>0</v>
      </c>
      <c r="BK37" s="101">
        <f t="shared" si="26"/>
        <v>0</v>
      </c>
      <c r="BL37" s="283"/>
      <c r="BM37" s="249"/>
      <c r="BN37" s="249"/>
      <c r="BO37" s="284"/>
    </row>
    <row r="38" spans="2:67" customFormat="1" x14ac:dyDescent="0.25">
      <c r="B38" s="185">
        <v>23</v>
      </c>
      <c r="C38" s="87">
        <f t="shared" ref="C38:D41" si="91">F38*Q38</f>
        <v>0</v>
      </c>
      <c r="D38" s="68">
        <f t="shared" si="91"/>
        <v>0</v>
      </c>
      <c r="E38" s="69">
        <f t="shared" si="0"/>
        <v>0</v>
      </c>
      <c r="F38" s="157">
        <f>IF(NewPlan=TRUE,IF(AF37-(G38*J38)&lt;0,AF37,G38*J38),IFERROR(VLOOKUP(FiscalYr &amp; $B38&amp;F$4,tblForecast,F$2,FALSE),0))</f>
        <v>0</v>
      </c>
      <c r="G38" s="189">
        <f>IFERROR(VLOOKUP(FiscalYr-IF(CompareVer="LY",1,0) &amp; $B38 + IF(FiscalYr=2018,1,0)&amp;G$4,tblForecast,G$2,FALSE),0)</f>
        <v>0</v>
      </c>
      <c r="H38" s="69">
        <f t="shared" si="1"/>
        <v>0</v>
      </c>
      <c r="I38" s="177">
        <f>IFERROR(IF(F36&gt;0,F38/F36,0),0)</f>
        <v>0</v>
      </c>
      <c r="J38" s="177">
        <f>IFERROR(IF(G36&gt;0,G38/G36,0),0)</f>
        <v>0</v>
      </c>
      <c r="K38" s="87">
        <f t="shared" ref="K38:K41" si="92">IFERROR(C38*N38,0)</f>
        <v>0</v>
      </c>
      <c r="L38" s="68">
        <f t="shared" ref="L38:L41" si="93">D38*O38</f>
        <v>0</v>
      </c>
      <c r="M38" s="72">
        <f t="shared" si="2"/>
        <v>0</v>
      </c>
      <c r="N38" s="162">
        <f t="shared" ref="N38:O41" si="94">IF(Q38&lt;&gt;0,1-T38/Q38,0)</f>
        <v>0</v>
      </c>
      <c r="O38" s="163">
        <f t="shared" si="94"/>
        <v>0</v>
      </c>
      <c r="P38" s="69">
        <f t="shared" si="68"/>
        <v>0</v>
      </c>
      <c r="Q38" s="158">
        <f>IF(NewPlan=TRUE,IF(BM38=0,R38,BM38),IFERROR(VLOOKUP(FiscalYr&amp;$B38&amp;Q$4,tblForecast,Q$2,FALSE),0))</f>
        <v>0</v>
      </c>
      <c r="R38" s="73">
        <f>IFERROR(VLOOKUP(FiscalYr-IF(CompareVer="LY",1,0) &amp; $B38 + IF(FiscalYr=2018,1,0)&amp;R$4,tblForecast,R$2,FALSE),0)</f>
        <v>0</v>
      </c>
      <c r="S38" s="69">
        <f t="shared" ref="S38:S41" si="95">IFERROR(Q38/R38-1,)</f>
        <v>0</v>
      </c>
      <c r="T38" s="158">
        <f>IF(NewPlan=TRUE,IF(BO38=0,U38,BO38),IFERROR(VLOOKUP(FiscalYr &amp; $B38&amp;T$4,tblForecast,T$2,FALSE),0))</f>
        <v>0</v>
      </c>
      <c r="U38" s="73">
        <f>IFERROR(VLOOKUP(FiscalYr-IF(CompareVer="LY",1,0) &amp; $B38 + IF(FiscalYr=2018,1,0)&amp;U$4,tblForecast,U$2,FALSE),0)</f>
        <v>0</v>
      </c>
      <c r="V38" s="69">
        <f t="shared" ref="V38:V41" si="96">IFERROR(T38/U38-1,)</f>
        <v>0</v>
      </c>
      <c r="W38" s="158">
        <f>IF(NewPlan=TRUE,IF(BN38=0,X38,BN38),IFERROR(VLOOKUP(FiscalYr &amp; $B38&amp;W$4,tblForecast,W$2,FALSE),0))</f>
        <v>0</v>
      </c>
      <c r="X38" s="73">
        <f>IFERROR(VLOOKUP(FiscalYr-IF(CompareVer="LY",1,0) &amp; $B38 + IF(FiscalYr=2018,1,0)&amp;X$4,tblForecast,X$2,FALSE),0)</f>
        <v>0</v>
      </c>
      <c r="Y38" s="69">
        <f t="shared" si="6"/>
        <v>0</v>
      </c>
      <c r="Z38" s="74">
        <f t="shared" si="69"/>
        <v>0</v>
      </c>
      <c r="AA38" s="75">
        <f t="shared" si="63"/>
        <v>0</v>
      </c>
      <c r="AB38" s="69">
        <f t="shared" si="70"/>
        <v>0</v>
      </c>
      <c r="AC38" s="88">
        <f t="shared" si="9"/>
        <v>0</v>
      </c>
      <c r="AD38" s="77">
        <f t="shared" si="10"/>
        <v>0</v>
      </c>
      <c r="AE38" s="78">
        <f t="shared" si="32"/>
        <v>0</v>
      </c>
      <c r="AF38" s="238">
        <f t="shared" ref="AF38:AF41" si="97">IF(AF37+AK38+AN38-F38&lt;0,0,AF37+AK38+AN38-F38)</f>
        <v>0</v>
      </c>
      <c r="AG38" s="71">
        <f>IFERROR(VLOOKUP(FiscalYr-IF(CompareVer="LY",1,0) &amp; $B38 + IF(FiscalYr=2018,1,0)&amp;AG$4,tblForecast,AG$2,FALSE),0)</f>
        <v>0</v>
      </c>
      <c r="AH38" s="69">
        <f t="shared" si="11"/>
        <v>0</v>
      </c>
      <c r="AI38" s="157">
        <f t="shared" ref="AI38:AJ41" si="98">IFERROR(VLOOKUP(FiscalYr &amp; $B38&amp;AI$4,tblForecast,AI$2,FALSE),0)</f>
        <v>0</v>
      </c>
      <c r="AJ38" s="71">
        <f t="shared" si="98"/>
        <v>0</v>
      </c>
      <c r="AK38" s="71">
        <f>IF($A38="a",IFERROR(VLOOKUP(FiscalYr &amp; $B38&amp;AK$4,tblForecast,AK$2,FALSE),0),AI38+AJ38)</f>
        <v>0</v>
      </c>
      <c r="AL38" s="71">
        <f>IFERROR(VLOOKUP(FiscalYr-IF(CompareVer="LY",1,0) &amp; $B38 + IF(FiscalYr=2018,1,0)&amp;AL$4,tblForecast,AL$2,FALSE),0)</f>
        <v>0</v>
      </c>
      <c r="AM38" s="69">
        <f t="shared" si="13"/>
        <v>0</v>
      </c>
      <c r="AN38" s="157">
        <f t="shared" ref="AN38:AO41" si="99">IFERROR(VLOOKUP(FiscalYr &amp; $B38&amp;AN$4,tblForecast,AN$2,FALSE),0)</f>
        <v>0</v>
      </c>
      <c r="AO38" s="71">
        <f t="shared" si="99"/>
        <v>0</v>
      </c>
      <c r="AP38" s="69">
        <f t="shared" si="15"/>
        <v>0</v>
      </c>
      <c r="AQ38" s="80">
        <f t="shared" ref="AQ38:AR41" si="100">IF(F38&lt;&gt;0,AF38/F38,0)</f>
        <v>0</v>
      </c>
      <c r="AR38" s="89">
        <f t="shared" si="100"/>
        <v>0</v>
      </c>
      <c r="AS38" s="69">
        <f t="shared" si="72"/>
        <v>0</v>
      </c>
      <c r="AT38" s="157">
        <f>IFERROR(VLOOKUP(FiscalYr &amp; $B38&amp;AT$4,tblForecast,AT$2,FALSE),0)</f>
        <v>0</v>
      </c>
      <c r="AU38" s="71">
        <f t="shared" si="17"/>
        <v>0</v>
      </c>
      <c r="AV38" s="69">
        <f t="shared" si="18"/>
        <v>0</v>
      </c>
      <c r="AW38" s="82"/>
      <c r="AX38" s="83"/>
      <c r="AY38" s="69">
        <f t="shared" si="19"/>
        <v>0</v>
      </c>
      <c r="AZ38" s="84"/>
      <c r="BA38" s="85"/>
      <c r="BB38" s="69">
        <f t="shared" si="20"/>
        <v>0</v>
      </c>
      <c r="BC38" s="157">
        <f>IFERROR(VLOOKUP(FiscalYr &amp; $B38&amp;BC$4,tblForecast,BC$2,FALSE),0)</f>
        <v>0</v>
      </c>
      <c r="BD38" s="71">
        <f t="shared" si="21"/>
        <v>0</v>
      </c>
      <c r="BE38" s="69">
        <f t="shared" si="22"/>
        <v>0</v>
      </c>
      <c r="BF38" s="90">
        <f>IFERROR(VLOOKUP(FiscalYr &amp; $B38&amp;BF$4,tblForecast,BF$2,FALSE),0)</f>
        <v>0</v>
      </c>
      <c r="BG38" s="85">
        <f t="shared" si="23"/>
        <v>0</v>
      </c>
      <c r="BH38" s="69">
        <f t="shared" si="24"/>
        <v>0</v>
      </c>
      <c r="BI38" s="85">
        <f t="shared" si="58"/>
        <v>0</v>
      </c>
      <c r="BJ38" s="86">
        <f t="shared" si="59"/>
        <v>0</v>
      </c>
      <c r="BK38" s="75">
        <f t="shared" si="26"/>
        <v>0</v>
      </c>
      <c r="BL38" s="283">
        <f>IFERROR(VLOOKUP(Brand&amp;Channel&amp;Country&amp;$B38,tblDiscount,6,FALSE),0)</f>
        <v>0.65</v>
      </c>
      <c r="BM38" s="249">
        <f>(1-BL38)*BN38</f>
        <v>0</v>
      </c>
      <c r="BN38" s="249">
        <f>IFERROR(VLOOKUP(Brand&amp;Country &amp; Channel &amp;FC,tblFCSettings,8,FALSE),0)</f>
        <v>0</v>
      </c>
      <c r="BO38" s="284">
        <f>IFERROR(VLOOKUP(Brand&amp;Country &amp; Channel &amp;FC,tblFCSettings,9,FALSE),0)</f>
        <v>0</v>
      </c>
    </row>
    <row r="39" spans="2:67" customFormat="1" x14ac:dyDescent="0.25">
      <c r="B39" s="185">
        <v>24</v>
      </c>
      <c r="C39" s="87">
        <f t="shared" si="91"/>
        <v>0</v>
      </c>
      <c r="D39" s="68">
        <f t="shared" si="91"/>
        <v>0</v>
      </c>
      <c r="E39" s="69">
        <f t="shared" si="0"/>
        <v>0</v>
      </c>
      <c r="F39" s="157">
        <f>IF(NewPlan=TRUE,IF(AF38-(G39*J39)&lt;0,AF38,G39*J39),IFERROR(VLOOKUP(FiscalYr &amp; $B39&amp;F$4,tblForecast,F$2,FALSE),0))</f>
        <v>0</v>
      </c>
      <c r="G39" s="189">
        <f>IFERROR(VLOOKUP(FiscalYr-IF(CompareVer="LY",1,0) &amp; $B39 + IF(FiscalYr=2018,1,0)&amp;G$4,tblForecast,G$2,FALSE),0)</f>
        <v>0</v>
      </c>
      <c r="H39" s="69">
        <f t="shared" si="1"/>
        <v>0</v>
      </c>
      <c r="I39" s="177">
        <f t="shared" ref="I39:J41" si="101">IFERROR(IF(F38&lt;&gt;0,F39/F38,0),0)</f>
        <v>0</v>
      </c>
      <c r="J39" s="177">
        <f t="shared" si="101"/>
        <v>0</v>
      </c>
      <c r="K39" s="87">
        <f t="shared" si="92"/>
        <v>0</v>
      </c>
      <c r="L39" s="68">
        <f t="shared" si="93"/>
        <v>0</v>
      </c>
      <c r="M39" s="72">
        <f t="shared" si="2"/>
        <v>0</v>
      </c>
      <c r="N39" s="162">
        <f t="shared" si="94"/>
        <v>0</v>
      </c>
      <c r="O39" s="163">
        <f t="shared" si="94"/>
        <v>0</v>
      </c>
      <c r="P39" s="69">
        <f t="shared" si="68"/>
        <v>0</v>
      </c>
      <c r="Q39" s="158">
        <f>IF(NewPlan=TRUE,IF(BM39=0,R39,BM39),IFERROR(VLOOKUP(FiscalYr&amp;$B39&amp;Q$4,tblForecast,Q$2,FALSE),0))</f>
        <v>0</v>
      </c>
      <c r="R39" s="73">
        <f>IFERROR(VLOOKUP(FiscalYr-IF(CompareVer="LY",1,0) &amp; $B39 + IF(FiscalYr=2018,1,0)&amp;R$4,tblForecast,R$2,FALSE),0)</f>
        <v>0</v>
      </c>
      <c r="S39" s="69">
        <f t="shared" si="95"/>
        <v>0</v>
      </c>
      <c r="T39" s="158">
        <f>IF(NewPlan=TRUE,IF(BO39=0,U39,BO39),IFERROR(VLOOKUP(FiscalYr &amp; $B39&amp;T$4,tblForecast,T$2,FALSE),0))</f>
        <v>0</v>
      </c>
      <c r="U39" s="73">
        <f>IFERROR(VLOOKUP(FiscalYr-IF(CompareVer="LY",1,0) &amp; $B39 + IF(FiscalYr=2018,1,0)&amp;U$4,tblForecast,U$2,FALSE),0)</f>
        <v>0</v>
      </c>
      <c r="V39" s="69">
        <f t="shared" si="96"/>
        <v>0</v>
      </c>
      <c r="W39" s="158">
        <f>IF(NewPlan=TRUE,IF(BN39=0,X39,BN39),IFERROR(VLOOKUP(FiscalYr &amp; $B39&amp;W$4,tblForecast,W$2,FALSE),0))</f>
        <v>0</v>
      </c>
      <c r="X39" s="73">
        <f>IFERROR(VLOOKUP(FiscalYr-IF(CompareVer="LY",1,0) &amp; $B39 + IF(FiscalYr=2018,1,0)&amp;X$4,tblForecast,X$2,FALSE),0)</f>
        <v>0</v>
      </c>
      <c r="Y39" s="69">
        <f t="shared" si="6"/>
        <v>0</v>
      </c>
      <c r="Z39" s="74">
        <f t="shared" si="69"/>
        <v>0</v>
      </c>
      <c r="AA39" s="75">
        <f t="shared" si="63"/>
        <v>0</v>
      </c>
      <c r="AB39" s="69">
        <f t="shared" si="70"/>
        <v>0</v>
      </c>
      <c r="AC39" s="88">
        <f t="shared" si="9"/>
        <v>0</v>
      </c>
      <c r="AD39" s="77">
        <f t="shared" si="10"/>
        <v>0</v>
      </c>
      <c r="AE39" s="78">
        <f t="shared" si="32"/>
        <v>0</v>
      </c>
      <c r="AF39" s="238">
        <f t="shared" si="97"/>
        <v>0</v>
      </c>
      <c r="AG39" s="71">
        <f>IFERROR(VLOOKUP(FiscalYr-IF(CompareVer="LY",1,0) &amp; $B39 + IF(FiscalYr=2018,1,0)&amp;AG$4,tblForecast,AG$2,FALSE),0)</f>
        <v>0</v>
      </c>
      <c r="AH39" s="69">
        <f t="shared" si="11"/>
        <v>0</v>
      </c>
      <c r="AI39" s="157">
        <f t="shared" si="98"/>
        <v>0</v>
      </c>
      <c r="AJ39" s="71">
        <f t="shared" si="98"/>
        <v>0</v>
      </c>
      <c r="AK39" s="71">
        <f>IF($A39="a",IFERROR(VLOOKUP(FiscalYr &amp; $B39&amp;AK$4,tblForecast,AK$2,FALSE),0),AI39+AJ39)</f>
        <v>0</v>
      </c>
      <c r="AL39" s="71">
        <f>IFERROR(VLOOKUP(FiscalYr-IF(CompareVer="LY",1,0) &amp; $B39 + IF(FiscalYr=2018,1,0)&amp;AL$4,tblForecast,AL$2,FALSE),0)</f>
        <v>0</v>
      </c>
      <c r="AM39" s="69">
        <f t="shared" si="13"/>
        <v>0</v>
      </c>
      <c r="AN39" s="157">
        <f t="shared" si="99"/>
        <v>0</v>
      </c>
      <c r="AO39" s="71">
        <f t="shared" si="99"/>
        <v>0</v>
      </c>
      <c r="AP39" s="69">
        <f t="shared" si="15"/>
        <v>0</v>
      </c>
      <c r="AQ39" s="80">
        <f t="shared" si="100"/>
        <v>0</v>
      </c>
      <c r="AR39" s="89">
        <f t="shared" si="100"/>
        <v>0</v>
      </c>
      <c r="AS39" s="69">
        <f t="shared" si="72"/>
        <v>0</v>
      </c>
      <c r="AT39" s="157">
        <f>IFERROR(VLOOKUP(FiscalYr &amp; $B39&amp;AT$4,tblForecast,AT$2,FALSE),0)</f>
        <v>0</v>
      </c>
      <c r="AU39" s="71">
        <f t="shared" si="17"/>
        <v>0</v>
      </c>
      <c r="AV39" s="69">
        <f t="shared" si="18"/>
        <v>0</v>
      </c>
      <c r="AW39" s="82"/>
      <c r="AX39" s="83"/>
      <c r="AY39" s="69">
        <f t="shared" si="19"/>
        <v>0</v>
      </c>
      <c r="AZ39" s="84"/>
      <c r="BA39" s="85"/>
      <c r="BB39" s="69">
        <f t="shared" si="20"/>
        <v>0</v>
      </c>
      <c r="BC39" s="157">
        <f>IFERROR(VLOOKUP(FiscalYr &amp; $B39&amp;BC$4,tblForecast,BC$2,FALSE),0)</f>
        <v>0</v>
      </c>
      <c r="BD39" s="71">
        <f t="shared" si="21"/>
        <v>0</v>
      </c>
      <c r="BE39" s="69">
        <f t="shared" si="22"/>
        <v>0</v>
      </c>
      <c r="BF39" s="90">
        <f>IFERROR(VLOOKUP(FiscalYr &amp; $B39&amp;BF$4,tblForecast,BF$2,FALSE),0)</f>
        <v>0</v>
      </c>
      <c r="BG39" s="85">
        <f t="shared" si="23"/>
        <v>0</v>
      </c>
      <c r="BH39" s="69">
        <f t="shared" si="24"/>
        <v>0</v>
      </c>
      <c r="BI39" s="85">
        <f t="shared" si="58"/>
        <v>0</v>
      </c>
      <c r="BJ39" s="86">
        <f t="shared" si="59"/>
        <v>0</v>
      </c>
      <c r="BK39" s="75">
        <f t="shared" si="26"/>
        <v>0</v>
      </c>
      <c r="BL39" s="283">
        <f>IFERROR(VLOOKUP(Brand&amp;Channel&amp;Country&amp;$B39,tblDiscount,6,FALSE),0)</f>
        <v>0.65</v>
      </c>
      <c r="BM39" s="249">
        <f t="shared" ref="BM39:BM41" si="102">(1-BL39)*BN39</f>
        <v>0</v>
      </c>
      <c r="BN39" s="249">
        <f>IFERROR(VLOOKUP(Brand&amp;Country &amp; Channel &amp;FC,tblFCSettings,8,FALSE),0)</f>
        <v>0</v>
      </c>
      <c r="BO39" s="284">
        <f>IFERROR(VLOOKUP(Brand&amp;Country &amp; Channel &amp;FC,tblFCSettings,9,FALSE),0)</f>
        <v>0</v>
      </c>
    </row>
    <row r="40" spans="2:67" customFormat="1" x14ac:dyDescent="0.25">
      <c r="B40" s="185">
        <v>25</v>
      </c>
      <c r="C40" s="87">
        <f t="shared" si="91"/>
        <v>0</v>
      </c>
      <c r="D40" s="68">
        <f t="shared" si="91"/>
        <v>0</v>
      </c>
      <c r="E40" s="69">
        <f t="shared" si="0"/>
        <v>0</v>
      </c>
      <c r="F40" s="157">
        <f>IF(NewPlan=TRUE,IF(AF39-(G40*J40)&lt;0,AF39,G40*J40),IFERROR(VLOOKUP(FiscalYr &amp; $B40&amp;F$4,tblForecast,F$2,FALSE),0))</f>
        <v>0</v>
      </c>
      <c r="G40" s="189">
        <f>IFERROR(VLOOKUP(FiscalYr-IF(CompareVer="LY",1,0) &amp; $B40 + IF(FiscalYr=2018,1,0)&amp;G$4,tblForecast,G$2,FALSE),0)</f>
        <v>0</v>
      </c>
      <c r="H40" s="69">
        <f t="shared" si="1"/>
        <v>0</v>
      </c>
      <c r="I40" s="177">
        <f t="shared" si="101"/>
        <v>0</v>
      </c>
      <c r="J40" s="177">
        <f t="shared" si="101"/>
        <v>0</v>
      </c>
      <c r="K40" s="87">
        <f t="shared" si="92"/>
        <v>0</v>
      </c>
      <c r="L40" s="68">
        <f t="shared" si="93"/>
        <v>0</v>
      </c>
      <c r="M40" s="72">
        <f t="shared" si="2"/>
        <v>0</v>
      </c>
      <c r="N40" s="162">
        <f t="shared" si="94"/>
        <v>0</v>
      </c>
      <c r="O40" s="163">
        <f t="shared" si="94"/>
        <v>0</v>
      </c>
      <c r="P40" s="69">
        <f t="shared" si="68"/>
        <v>0</v>
      </c>
      <c r="Q40" s="158">
        <f>IF(NewPlan=TRUE,IF(BM40=0,R40,BM40),IFERROR(VLOOKUP(FiscalYr&amp;$B40&amp;Q$4,tblForecast,Q$2,FALSE),0))</f>
        <v>0</v>
      </c>
      <c r="R40" s="73">
        <f>IFERROR(VLOOKUP(FiscalYr-IF(CompareVer="LY",1,0) &amp; $B40 + IF(FiscalYr=2018,1,0)&amp;R$4,tblForecast,R$2,FALSE),0)</f>
        <v>0</v>
      </c>
      <c r="S40" s="69">
        <f t="shared" si="95"/>
        <v>0</v>
      </c>
      <c r="T40" s="158">
        <f>IF(NewPlan=TRUE,IF(BO40=0,U40,BO40),IFERROR(VLOOKUP(FiscalYr &amp; $B40&amp;T$4,tblForecast,T$2,FALSE),0))</f>
        <v>0</v>
      </c>
      <c r="U40" s="73">
        <f>IFERROR(VLOOKUP(FiscalYr-IF(CompareVer="LY",1,0) &amp; $B40 + IF(FiscalYr=2018,1,0)&amp;U$4,tblForecast,U$2,FALSE),0)</f>
        <v>0</v>
      </c>
      <c r="V40" s="69">
        <f t="shared" si="96"/>
        <v>0</v>
      </c>
      <c r="W40" s="158">
        <f>IF(NewPlan=TRUE,IF(BN40=0,X40,BN40),IFERROR(VLOOKUP(FiscalYr &amp; $B40&amp;W$4,tblForecast,W$2,FALSE),0))</f>
        <v>0</v>
      </c>
      <c r="X40" s="73">
        <f>IFERROR(VLOOKUP(FiscalYr-IF(CompareVer="LY",1,0) &amp; $B40 + IF(FiscalYr=2018,1,0)&amp;X$4,tblForecast,X$2,FALSE),0)</f>
        <v>0</v>
      </c>
      <c r="Y40" s="69">
        <f t="shared" si="6"/>
        <v>0</v>
      </c>
      <c r="Z40" s="74">
        <f t="shared" si="69"/>
        <v>0</v>
      </c>
      <c r="AA40" s="75">
        <f t="shared" si="63"/>
        <v>0</v>
      </c>
      <c r="AB40" s="69">
        <f t="shared" si="70"/>
        <v>0</v>
      </c>
      <c r="AC40" s="88">
        <f t="shared" si="9"/>
        <v>0</v>
      </c>
      <c r="AD40" s="77">
        <f t="shared" si="10"/>
        <v>0</v>
      </c>
      <c r="AE40" s="78">
        <f t="shared" si="32"/>
        <v>0</v>
      </c>
      <c r="AF40" s="238">
        <f t="shared" si="97"/>
        <v>0</v>
      </c>
      <c r="AG40" s="71">
        <f>IFERROR(VLOOKUP(FiscalYr-IF(CompareVer="LY",1,0) &amp; $B40 + IF(FiscalYr=2018,1,0)&amp;AG$4,tblForecast,AG$2,FALSE),0)</f>
        <v>0</v>
      </c>
      <c r="AH40" s="69">
        <f t="shared" si="11"/>
        <v>0</v>
      </c>
      <c r="AI40" s="157">
        <f t="shared" si="98"/>
        <v>0</v>
      </c>
      <c r="AJ40" s="71">
        <f t="shared" si="98"/>
        <v>0</v>
      </c>
      <c r="AK40" s="71">
        <f>IF($A40="a",IFERROR(VLOOKUP(FiscalYr &amp; $B40&amp;AK$4,tblForecast,AK$2,FALSE),0),AI40+AJ40)</f>
        <v>0</v>
      </c>
      <c r="AL40" s="71">
        <f>IFERROR(VLOOKUP(FiscalYr-IF(CompareVer="LY",1,0) &amp; $B40 + IF(FiscalYr=2018,1,0)&amp;AL$4,tblForecast,AL$2,FALSE),0)</f>
        <v>0</v>
      </c>
      <c r="AM40" s="69">
        <f t="shared" si="13"/>
        <v>0</v>
      </c>
      <c r="AN40" s="157">
        <f t="shared" si="99"/>
        <v>0</v>
      </c>
      <c r="AO40" s="71">
        <f t="shared" si="99"/>
        <v>0</v>
      </c>
      <c r="AP40" s="69">
        <f t="shared" si="15"/>
        <v>0</v>
      </c>
      <c r="AQ40" s="80">
        <f t="shared" si="100"/>
        <v>0</v>
      </c>
      <c r="AR40" s="89">
        <f t="shared" si="100"/>
        <v>0</v>
      </c>
      <c r="AS40" s="69">
        <f t="shared" si="72"/>
        <v>0</v>
      </c>
      <c r="AT40" s="157">
        <f>IFERROR(VLOOKUP(FiscalYr &amp; $B40&amp;AT$4,tblForecast,AT$2,FALSE),0)</f>
        <v>0</v>
      </c>
      <c r="AU40" s="71">
        <f t="shared" si="17"/>
        <v>0</v>
      </c>
      <c r="AV40" s="69">
        <f t="shared" si="18"/>
        <v>0</v>
      </c>
      <c r="AW40" s="82"/>
      <c r="AX40" s="83"/>
      <c r="AY40" s="69">
        <f t="shared" si="19"/>
        <v>0</v>
      </c>
      <c r="AZ40" s="84"/>
      <c r="BA40" s="85"/>
      <c r="BB40" s="69">
        <f t="shared" si="20"/>
        <v>0</v>
      </c>
      <c r="BC40" s="157">
        <f>IFERROR(VLOOKUP(FiscalYr &amp; $B40&amp;BC$4,tblForecast,BC$2,FALSE),0)</f>
        <v>0</v>
      </c>
      <c r="BD40" s="71">
        <f t="shared" si="21"/>
        <v>0</v>
      </c>
      <c r="BE40" s="69">
        <f t="shared" si="22"/>
        <v>0</v>
      </c>
      <c r="BF40" s="90">
        <f>IFERROR(VLOOKUP(FiscalYr &amp; $B40&amp;BF$4,tblForecast,BF$2,FALSE),0)</f>
        <v>0</v>
      </c>
      <c r="BG40" s="85">
        <f t="shared" si="23"/>
        <v>0</v>
      </c>
      <c r="BH40" s="69">
        <f t="shared" si="24"/>
        <v>0</v>
      </c>
      <c r="BI40" s="85">
        <f t="shared" si="58"/>
        <v>0</v>
      </c>
      <c r="BJ40" s="86">
        <f t="shared" si="59"/>
        <v>0</v>
      </c>
      <c r="BK40" s="75">
        <f t="shared" si="26"/>
        <v>0</v>
      </c>
      <c r="BL40" s="283">
        <f>IFERROR(VLOOKUP(Brand&amp;Channel&amp;Country&amp;$B40,tblDiscount,6,FALSE),0)</f>
        <v>0.65</v>
      </c>
      <c r="BM40" s="249">
        <f t="shared" si="102"/>
        <v>0</v>
      </c>
      <c r="BN40" s="249">
        <f>IFERROR(VLOOKUP(Brand&amp;Country &amp; Channel &amp;FC,tblFCSettings,8,FALSE),0)</f>
        <v>0</v>
      </c>
      <c r="BO40" s="284">
        <f>IFERROR(VLOOKUP(Brand&amp;Country &amp; Channel &amp;FC,tblFCSettings,9,FALSE),0)</f>
        <v>0</v>
      </c>
    </row>
    <row r="41" spans="2:67" customFormat="1" ht="16.5" thickBot="1" x14ac:dyDescent="0.3">
      <c r="B41" s="185">
        <v>26</v>
      </c>
      <c r="C41" s="87">
        <f t="shared" si="91"/>
        <v>0</v>
      </c>
      <c r="D41" s="68">
        <f t="shared" si="91"/>
        <v>0</v>
      </c>
      <c r="E41" s="69">
        <f t="shared" si="0"/>
        <v>0</v>
      </c>
      <c r="F41" s="157">
        <f>IF(NewPlan=TRUE,IF(AF40-(G41*J41)&lt;0,AF40,G41*J41),IFERROR(VLOOKUP(FiscalYr &amp; $B41&amp;F$4,tblForecast,F$2,FALSE),0))</f>
        <v>0</v>
      </c>
      <c r="G41" s="189">
        <f>IFERROR(VLOOKUP(FiscalYr-IF(CompareVer="LY",1,0) &amp; $B41 + IF(FiscalYr=2018,1,0)&amp;G$4,tblForecast,G$2,FALSE),0)</f>
        <v>0</v>
      </c>
      <c r="H41" s="69">
        <f t="shared" si="1"/>
        <v>0</v>
      </c>
      <c r="I41" s="177">
        <f t="shared" si="101"/>
        <v>0</v>
      </c>
      <c r="J41" s="177">
        <f t="shared" si="101"/>
        <v>0</v>
      </c>
      <c r="K41" s="87">
        <f t="shared" si="92"/>
        <v>0</v>
      </c>
      <c r="L41" s="68">
        <f t="shared" si="93"/>
        <v>0</v>
      </c>
      <c r="M41" s="72">
        <f t="shared" si="2"/>
        <v>0</v>
      </c>
      <c r="N41" s="162">
        <f t="shared" si="94"/>
        <v>0</v>
      </c>
      <c r="O41" s="163">
        <f t="shared" si="94"/>
        <v>0</v>
      </c>
      <c r="P41" s="69">
        <f t="shared" si="68"/>
        <v>0</v>
      </c>
      <c r="Q41" s="158">
        <f>IF(NewPlan=TRUE,IF(BM41=0,R41,BM41),IFERROR(VLOOKUP(FiscalYr&amp;$B41&amp;Q$4,tblForecast,Q$2,FALSE),0))</f>
        <v>0</v>
      </c>
      <c r="R41" s="73">
        <f>IFERROR(VLOOKUP(FiscalYr-IF(CompareVer="LY",1,0) &amp; $B41 + IF(FiscalYr=2018,1,0)&amp;R$4,tblForecast,R$2,FALSE),0)</f>
        <v>0</v>
      </c>
      <c r="S41" s="69">
        <f t="shared" si="95"/>
        <v>0</v>
      </c>
      <c r="T41" s="158">
        <f>IF(NewPlan=TRUE,IF(BO41=0,U41,BO41),IFERROR(VLOOKUP(FiscalYr &amp; $B41&amp;T$4,tblForecast,T$2,FALSE),0))</f>
        <v>0</v>
      </c>
      <c r="U41" s="73">
        <f>IFERROR(VLOOKUP(FiscalYr-IF(CompareVer="LY",1,0) &amp; $B41 + IF(FiscalYr=2018,1,0)&amp;U$4,tblForecast,U$2,FALSE),0)</f>
        <v>0</v>
      </c>
      <c r="V41" s="69">
        <f t="shared" si="96"/>
        <v>0</v>
      </c>
      <c r="W41" s="158">
        <f>IF(NewPlan=TRUE,IF(BN41=0,X41,BN41),IFERROR(VLOOKUP(FiscalYr &amp; $B41&amp;W$4,tblForecast,W$2,FALSE),0))</f>
        <v>0</v>
      </c>
      <c r="X41" s="73">
        <f>IFERROR(VLOOKUP(FiscalYr-IF(CompareVer="LY",1,0) &amp; $B41 + IF(FiscalYr=2018,1,0)&amp;X$4,tblForecast,X$2,FALSE),0)</f>
        <v>0</v>
      </c>
      <c r="Y41" s="69">
        <f t="shared" si="6"/>
        <v>0</v>
      </c>
      <c r="Z41" s="74">
        <f t="shared" si="69"/>
        <v>0</v>
      </c>
      <c r="AA41" s="75">
        <f t="shared" si="63"/>
        <v>0</v>
      </c>
      <c r="AB41" s="69">
        <f t="shared" si="70"/>
        <v>0</v>
      </c>
      <c r="AC41" s="88">
        <f t="shared" si="9"/>
        <v>0</v>
      </c>
      <c r="AD41" s="77">
        <f t="shared" si="10"/>
        <v>0</v>
      </c>
      <c r="AE41" s="78">
        <f t="shared" si="32"/>
        <v>0</v>
      </c>
      <c r="AF41" s="238">
        <f t="shared" si="97"/>
        <v>0</v>
      </c>
      <c r="AG41" s="71">
        <f>IFERROR(VLOOKUP(FiscalYr-IF(CompareVer="LY",1,0) &amp; $B41 + IF(FiscalYr=2018,1,0)&amp;AG$4,tblForecast,AG$2,FALSE),0)</f>
        <v>0</v>
      </c>
      <c r="AH41" s="69">
        <f t="shared" si="11"/>
        <v>0</v>
      </c>
      <c r="AI41" s="157">
        <f t="shared" si="98"/>
        <v>0</v>
      </c>
      <c r="AJ41" s="71">
        <f t="shared" si="98"/>
        <v>0</v>
      </c>
      <c r="AK41" s="71">
        <f>IF($A41="a",IFERROR(VLOOKUP(FiscalYr &amp; $B41&amp;AK$4,tblForecast,AK$2,FALSE),0),AI41+AJ41)</f>
        <v>0</v>
      </c>
      <c r="AL41" s="71">
        <f>IFERROR(VLOOKUP(FiscalYr-IF(CompareVer="LY",1,0) &amp; $B41 + IF(FiscalYr=2018,1,0)&amp;AL$4,tblForecast,AL$2,FALSE),0)</f>
        <v>0</v>
      </c>
      <c r="AM41" s="69">
        <f t="shared" si="13"/>
        <v>0</v>
      </c>
      <c r="AN41" s="157">
        <f t="shared" si="99"/>
        <v>0</v>
      </c>
      <c r="AO41" s="71">
        <f t="shared" si="99"/>
        <v>0</v>
      </c>
      <c r="AP41" s="69">
        <f t="shared" si="15"/>
        <v>0</v>
      </c>
      <c r="AQ41" s="80">
        <f t="shared" si="100"/>
        <v>0</v>
      </c>
      <c r="AR41" s="89">
        <f t="shared" si="100"/>
        <v>0</v>
      </c>
      <c r="AS41" s="69">
        <f t="shared" si="72"/>
        <v>0</v>
      </c>
      <c r="AT41" s="157">
        <f>IFERROR(VLOOKUP(FiscalYr &amp; $B41&amp;AT$4,tblForecast,AT$2,FALSE),0)</f>
        <v>0</v>
      </c>
      <c r="AU41" s="71">
        <f t="shared" si="17"/>
        <v>0</v>
      </c>
      <c r="AV41" s="69">
        <f t="shared" si="18"/>
        <v>0</v>
      </c>
      <c r="AW41" s="82"/>
      <c r="AX41" s="83"/>
      <c r="AY41" s="69">
        <f t="shared" si="19"/>
        <v>0</v>
      </c>
      <c r="AZ41" s="84"/>
      <c r="BA41" s="85"/>
      <c r="BB41" s="69">
        <f t="shared" si="20"/>
        <v>0</v>
      </c>
      <c r="BC41" s="157">
        <f>IFERROR(VLOOKUP(FiscalYr &amp; $B41&amp;BC$4,tblForecast,BC$2,FALSE),0)</f>
        <v>0</v>
      </c>
      <c r="BD41" s="71">
        <f t="shared" si="21"/>
        <v>0</v>
      </c>
      <c r="BE41" s="69">
        <f t="shared" si="22"/>
        <v>0</v>
      </c>
      <c r="BF41" s="90">
        <f>IFERROR(VLOOKUP(FiscalYr &amp; $B41&amp;BF$4,tblForecast,BF$2,FALSE),0)</f>
        <v>0</v>
      </c>
      <c r="BG41" s="85">
        <f t="shared" si="23"/>
        <v>0</v>
      </c>
      <c r="BH41" s="69">
        <f t="shared" si="24"/>
        <v>0</v>
      </c>
      <c r="BI41" s="85">
        <f t="shared" si="58"/>
        <v>0</v>
      </c>
      <c r="BJ41" s="86">
        <f t="shared" si="59"/>
        <v>0</v>
      </c>
      <c r="BK41" s="75">
        <f t="shared" si="26"/>
        <v>0</v>
      </c>
      <c r="BL41" s="283">
        <f>IFERROR(VLOOKUP(Brand&amp;Channel&amp;Country&amp;$B41,tblDiscount,6,FALSE),0)</f>
        <v>0.7</v>
      </c>
      <c r="BM41" s="249">
        <f t="shared" si="102"/>
        <v>0</v>
      </c>
      <c r="BN41" s="249">
        <f>IFERROR(VLOOKUP(Brand&amp;Country &amp; Channel &amp;FC,tblFCSettings,8,FALSE),0)</f>
        <v>0</v>
      </c>
      <c r="BO41" s="284">
        <f>IFERROR(VLOOKUP(Brand&amp;Country &amp; Channel &amp;FC,tblFCSettings,9,FALSE),0)</f>
        <v>0</v>
      </c>
    </row>
    <row r="42" spans="2:67" customFormat="1" ht="16.5" thickBot="1" x14ac:dyDescent="0.3">
      <c r="B42" s="6" t="s">
        <v>47</v>
      </c>
      <c r="C42" s="92">
        <f>SUM(C38:C41)</f>
        <v>0</v>
      </c>
      <c r="D42" s="93">
        <f>SUM(D38:D41)</f>
        <v>0</v>
      </c>
      <c r="E42" s="94">
        <f t="shared" si="0"/>
        <v>0</v>
      </c>
      <c r="F42" s="95">
        <f>SUM(F38:F41)</f>
        <v>0</v>
      </c>
      <c r="G42" s="96">
        <f>SUM(G38:G41)</f>
        <v>0</v>
      </c>
      <c r="H42" s="94">
        <f t="shared" si="1"/>
        <v>0</v>
      </c>
      <c r="I42" s="178">
        <f>IF(F37&lt;&gt;0,F42/F37-1,0)</f>
        <v>0</v>
      </c>
      <c r="J42" s="178">
        <f>IF(G37&lt;&gt;0,G42/G37-1,0)</f>
        <v>0</v>
      </c>
      <c r="K42" s="92">
        <f>SUM(K38:K41)</f>
        <v>0</v>
      </c>
      <c r="L42" s="93">
        <f>SUM(L38:L41)</f>
        <v>0</v>
      </c>
      <c r="M42" s="97">
        <f t="shared" si="2"/>
        <v>0</v>
      </c>
      <c r="N42" s="164">
        <f>IFERROR(K42/C42,0)</f>
        <v>0</v>
      </c>
      <c r="O42" s="165">
        <f>IFERROR(L42/D42,0)</f>
        <v>0</v>
      </c>
      <c r="P42" s="94">
        <f t="shared" si="68"/>
        <v>0</v>
      </c>
      <c r="Q42" s="98">
        <f>IFERROR(C42/F42,0)</f>
        <v>0</v>
      </c>
      <c r="R42" s="99">
        <f>IFERROR(D42/G42,0)</f>
        <v>0</v>
      </c>
      <c r="S42" s="94">
        <f t="shared" si="4"/>
        <v>0</v>
      </c>
      <c r="T42" s="98">
        <f>IFERROR((C42*(1-N42))/F42,0)</f>
        <v>0</v>
      </c>
      <c r="U42" s="99">
        <f>IFERROR((D42*(1-O42))/G42,0)</f>
        <v>0</v>
      </c>
      <c r="V42" s="94">
        <f t="shared" si="5"/>
        <v>0</v>
      </c>
      <c r="W42" s="98">
        <f>IFERROR(SUMPRODUCT(W38:W41,F38:F41)/F42,0)</f>
        <v>0</v>
      </c>
      <c r="X42" s="99">
        <f>IFERROR(SUMPRODUCT(X38:X41,G38:G41)/G42,0)</f>
        <v>0</v>
      </c>
      <c r="Y42" s="94">
        <f t="shared" si="6"/>
        <v>0</v>
      </c>
      <c r="Z42" s="100">
        <f t="shared" si="69"/>
        <v>0</v>
      </c>
      <c r="AA42" s="101">
        <f t="shared" si="63"/>
        <v>0</v>
      </c>
      <c r="AB42" s="94">
        <f t="shared" si="70"/>
        <v>0</v>
      </c>
      <c r="AC42" s="102">
        <f t="shared" ref="AC42:AC73" si="103">IF(AF42&lt;&gt;0,F42/AF42,0)</f>
        <v>0</v>
      </c>
      <c r="AD42" s="103">
        <f t="shared" ref="AD42:AD73" si="104">IF(AG42&lt;&gt;0,G42/AG42,0)</f>
        <v>0</v>
      </c>
      <c r="AE42" s="104">
        <f t="shared" si="32"/>
        <v>0</v>
      </c>
      <c r="AF42" s="95">
        <f>AF41</f>
        <v>0</v>
      </c>
      <c r="AG42" s="96">
        <f>AG41</f>
        <v>0</v>
      </c>
      <c r="AH42" s="94">
        <f t="shared" si="11"/>
        <v>0</v>
      </c>
      <c r="AI42" s="95">
        <f t="shared" ref="AI42:AL42" si="105">SUM(AI38:AI41)</f>
        <v>0</v>
      </c>
      <c r="AJ42" s="96">
        <f t="shared" ref="AJ42" si="106">SUM(AJ38:AJ41)</f>
        <v>0</v>
      </c>
      <c r="AK42" s="96">
        <f t="shared" si="105"/>
        <v>0</v>
      </c>
      <c r="AL42" s="96">
        <f t="shared" si="105"/>
        <v>0</v>
      </c>
      <c r="AM42" s="94">
        <f t="shared" si="13"/>
        <v>0</v>
      </c>
      <c r="AN42" s="95">
        <f>SUM(AN38:AN41)</f>
        <v>0</v>
      </c>
      <c r="AO42" s="96">
        <f t="shared" si="36"/>
        <v>0</v>
      </c>
      <c r="AP42" s="94">
        <f t="shared" si="15"/>
        <v>0</v>
      </c>
      <c r="AQ42" s="105">
        <f>IF(F42&lt;&gt;0,(AF42*COUNT(AQ38:AQ41)/F42),0)</f>
        <v>0</v>
      </c>
      <c r="AR42" s="106">
        <f>IF(G42&lt;&gt;0,(AG42*COUNT(AR38:AR41)/G42),0)</f>
        <v>0</v>
      </c>
      <c r="AS42" s="94">
        <f t="shared" si="33"/>
        <v>0</v>
      </c>
      <c r="AT42" s="95">
        <f>SUM(AT38:AT41)</f>
        <v>0</v>
      </c>
      <c r="AU42" s="96">
        <f t="shared" si="17"/>
        <v>0</v>
      </c>
      <c r="AV42" s="94">
        <f t="shared" si="18"/>
        <v>0</v>
      </c>
      <c r="AW42" s="107"/>
      <c r="AX42" s="108"/>
      <c r="AY42" s="94">
        <f t="shared" si="19"/>
        <v>0</v>
      </c>
      <c r="AZ42" s="110">
        <f>SUM(AZ38:AZ41)</f>
        <v>0</v>
      </c>
      <c r="BA42" s="111">
        <f>SUM(BA38:BA41)</f>
        <v>0</v>
      </c>
      <c r="BB42" s="94">
        <f t="shared" si="20"/>
        <v>0</v>
      </c>
      <c r="BC42" s="95">
        <f>SUM(BC38:BC41)</f>
        <v>0</v>
      </c>
      <c r="BD42" s="96">
        <f t="shared" si="21"/>
        <v>0</v>
      </c>
      <c r="BE42" s="94">
        <f t="shared" si="22"/>
        <v>0</v>
      </c>
      <c r="BF42" s="110">
        <f>SUM(BF38:BF41)</f>
        <v>0</v>
      </c>
      <c r="BG42" s="111">
        <f>SUM(BG38:BG41)</f>
        <v>0</v>
      </c>
      <c r="BH42" s="94">
        <f t="shared" si="24"/>
        <v>0</v>
      </c>
      <c r="BI42" s="111">
        <f t="shared" si="58"/>
        <v>0</v>
      </c>
      <c r="BJ42" s="112">
        <f t="shared" si="59"/>
        <v>0</v>
      </c>
      <c r="BK42" s="101">
        <f t="shared" si="26"/>
        <v>0</v>
      </c>
      <c r="BL42" s="283"/>
      <c r="BM42" s="249"/>
      <c r="BN42" s="249"/>
      <c r="BO42" s="284"/>
    </row>
    <row r="43" spans="2:67" customFormat="1" ht="16.5" thickBot="1" x14ac:dyDescent="0.3">
      <c r="B43" s="7" t="s">
        <v>341</v>
      </c>
      <c r="C43" s="113">
        <f>C31+C37+C42</f>
        <v>0</v>
      </c>
      <c r="D43" s="114">
        <f>D31+D37+D42</f>
        <v>0</v>
      </c>
      <c r="E43" s="115">
        <f t="shared" si="0"/>
        <v>0</v>
      </c>
      <c r="F43" s="116">
        <f>F31+F37+F42</f>
        <v>0</v>
      </c>
      <c r="G43" s="117">
        <f>G31+G37+G42</f>
        <v>0</v>
      </c>
      <c r="H43" s="115">
        <f t="shared" si="1"/>
        <v>0</v>
      </c>
      <c r="I43" s="179">
        <f>IF(F26&lt;&gt;0,F43/F26,0)</f>
        <v>0</v>
      </c>
      <c r="J43" s="179">
        <f>IF(G26&lt;&gt;0,G43/G26,0)</f>
        <v>0</v>
      </c>
      <c r="K43" s="113">
        <f>K31+K37+K42</f>
        <v>0</v>
      </c>
      <c r="L43" s="114">
        <f>L31+L37+L42</f>
        <v>0</v>
      </c>
      <c r="M43" s="118">
        <f t="shared" si="2"/>
        <v>0</v>
      </c>
      <c r="N43" s="166">
        <f>IFERROR(K43/C43,0)</f>
        <v>0</v>
      </c>
      <c r="O43" s="167">
        <f>IFERROR(L43/D43,0)</f>
        <v>0</v>
      </c>
      <c r="P43" s="115">
        <f t="shared" si="68"/>
        <v>0</v>
      </c>
      <c r="Q43" s="119">
        <f>IFERROR(C43/F43,0)</f>
        <v>0</v>
      </c>
      <c r="R43" s="120">
        <f>IFERROR(D43/G43,0)</f>
        <v>0</v>
      </c>
      <c r="S43" s="115">
        <f t="shared" si="4"/>
        <v>0</v>
      </c>
      <c r="T43" s="119">
        <f>IFERROR((C43*(1-N43))/F43,0)</f>
        <v>0</v>
      </c>
      <c r="U43" s="120">
        <f>IFERROR((D43*(1-O43))/G43,0)</f>
        <v>0</v>
      </c>
      <c r="V43" s="115">
        <f t="shared" si="5"/>
        <v>0</v>
      </c>
      <c r="W43" s="119">
        <f>IFERROR((W31*F31+W37*F37+W42*F42)/F43,0)</f>
        <v>0</v>
      </c>
      <c r="X43" s="120">
        <f>IFERROR((X31*G31+X37*G37+X42*G42)/G43,0)</f>
        <v>0</v>
      </c>
      <c r="Y43" s="115">
        <f t="shared" si="6"/>
        <v>0</v>
      </c>
      <c r="Z43" s="121">
        <f t="shared" si="69"/>
        <v>0</v>
      </c>
      <c r="AA43" s="122">
        <f t="shared" si="63"/>
        <v>0</v>
      </c>
      <c r="AB43" s="115">
        <f>IFERROR(Z43-AA43,)</f>
        <v>0</v>
      </c>
      <c r="AC43" s="123">
        <f t="shared" si="103"/>
        <v>0</v>
      </c>
      <c r="AD43" s="124">
        <f t="shared" si="104"/>
        <v>0</v>
      </c>
      <c r="AE43" s="125">
        <f t="shared" si="32"/>
        <v>0</v>
      </c>
      <c r="AF43" s="116">
        <f>AF42</f>
        <v>0</v>
      </c>
      <c r="AG43" s="117">
        <f>AG42</f>
        <v>0</v>
      </c>
      <c r="AH43" s="115">
        <f t="shared" si="11"/>
        <v>0</v>
      </c>
      <c r="AI43" s="116">
        <f t="shared" ref="AI43:AL43" si="107">AI31+AI37+AI42</f>
        <v>0</v>
      </c>
      <c r="AJ43" s="117">
        <f t="shared" si="107"/>
        <v>0</v>
      </c>
      <c r="AK43" s="117">
        <f t="shared" si="107"/>
        <v>0</v>
      </c>
      <c r="AL43" s="117">
        <f t="shared" si="107"/>
        <v>0</v>
      </c>
      <c r="AM43" s="115">
        <f t="shared" si="13"/>
        <v>0</v>
      </c>
      <c r="AN43" s="116">
        <f>AN31+AN37+AN42</f>
        <v>0</v>
      </c>
      <c r="AO43" s="117">
        <f>AO31+AO37+AO42</f>
        <v>0</v>
      </c>
      <c r="AP43" s="115">
        <f t="shared" si="15"/>
        <v>0</v>
      </c>
      <c r="AQ43" s="126">
        <f>IF(F43&lt;&gt;0,(AF43*$B$24/F43),0)</f>
        <v>0</v>
      </c>
      <c r="AR43" s="127">
        <f>IF(G43&lt;&gt;0,(AG43*$B$24/G43),0)</f>
        <v>0</v>
      </c>
      <c r="AS43" s="115">
        <f t="shared" si="33"/>
        <v>0</v>
      </c>
      <c r="AT43" s="116">
        <f>AT31+AT37+AT42</f>
        <v>0</v>
      </c>
      <c r="AU43" s="117">
        <f>AU31+AU37+AU42</f>
        <v>0</v>
      </c>
      <c r="AV43" s="115">
        <f t="shared" si="18"/>
        <v>0</v>
      </c>
      <c r="AW43" s="128"/>
      <c r="AX43" s="129"/>
      <c r="AY43" s="115">
        <f t="shared" si="19"/>
        <v>0</v>
      </c>
      <c r="AZ43" s="130">
        <f>AZ31+AZ37+AZ42</f>
        <v>0</v>
      </c>
      <c r="BA43" s="117">
        <f>BA31+BA37+BA42</f>
        <v>0</v>
      </c>
      <c r="BB43" s="115">
        <f t="shared" si="20"/>
        <v>0</v>
      </c>
      <c r="BC43" s="116">
        <f>BC31+BC37+BC42</f>
        <v>0</v>
      </c>
      <c r="BD43" s="117">
        <f>BD31+BD37+BD42</f>
        <v>0</v>
      </c>
      <c r="BE43" s="115">
        <f t="shared" si="22"/>
        <v>0</v>
      </c>
      <c r="BF43" s="131">
        <f>BF31+BF37+BF42</f>
        <v>0</v>
      </c>
      <c r="BG43" s="132">
        <f>BG31+BG37+BG42</f>
        <v>0</v>
      </c>
      <c r="BH43" s="115">
        <f t="shared" si="24"/>
        <v>0</v>
      </c>
      <c r="BI43" s="132">
        <f t="shared" si="58"/>
        <v>0</v>
      </c>
      <c r="BJ43" s="133">
        <f t="shared" si="59"/>
        <v>0</v>
      </c>
      <c r="BK43" s="122">
        <f t="shared" si="26"/>
        <v>0</v>
      </c>
      <c r="BL43" s="283"/>
      <c r="BM43" s="249"/>
      <c r="BN43" s="249"/>
      <c r="BO43" s="284"/>
    </row>
    <row r="44" spans="2:67" customFormat="1" x14ac:dyDescent="0.25">
      <c r="B44" s="185">
        <v>27</v>
      </c>
      <c r="C44" s="67">
        <f t="shared" ref="C44:D47" si="108">F44*Q44</f>
        <v>0</v>
      </c>
      <c r="D44" s="68">
        <f t="shared" si="108"/>
        <v>0</v>
      </c>
      <c r="E44" s="69">
        <f t="shared" si="0"/>
        <v>0</v>
      </c>
      <c r="F44" s="157">
        <f>IF(NewPlan=TRUE,IF(AF43-(G44*J44)&lt;0,AF43,G44*J44),IFERROR(VLOOKUP(FiscalYr &amp; $B44&amp;F$4,tblForecast,F$2,FALSE),0))</f>
        <v>0</v>
      </c>
      <c r="G44" s="189">
        <f>IFERROR(VLOOKUP(FiscalYr-IF(CompareVer="LY",1,0) &amp; $B44 + IF(FiscalYr=2018,1,0)&amp;G$4,tblForecast,G$2,FALSE),0)</f>
        <v>0</v>
      </c>
      <c r="H44" s="69">
        <f t="shared" si="1"/>
        <v>0</v>
      </c>
      <c r="I44" s="177">
        <f>IFERROR(IF(F41&lt;&gt;0,F44/F41,0),0)</f>
        <v>0</v>
      </c>
      <c r="J44" s="177">
        <f>IFERROR(IF(G41&lt;&gt;0,G44/G41,0),0)</f>
        <v>0</v>
      </c>
      <c r="K44" s="67">
        <f>IFERROR(C44*N44,0)</f>
        <v>0</v>
      </c>
      <c r="L44" s="68">
        <f t="shared" ref="L44:L47" si="109">D44*O44</f>
        <v>0</v>
      </c>
      <c r="M44" s="72">
        <f t="shared" si="2"/>
        <v>0</v>
      </c>
      <c r="N44" s="162">
        <f t="shared" ref="N44:O47" si="110">IF(Q44&lt;&gt;0,1-T44/Q44,0)</f>
        <v>0</v>
      </c>
      <c r="O44" s="163">
        <f t="shared" si="110"/>
        <v>0</v>
      </c>
      <c r="P44" s="69">
        <f>IFERROR(N44-O44,)</f>
        <v>0</v>
      </c>
      <c r="Q44" s="158">
        <f>IF(NewPlan=TRUE,IF(BM44=0,R44,BM44),IFERROR(VLOOKUP(FiscalYr&amp;$B44&amp;Q$4,tblForecast,Q$2,FALSE),0))</f>
        <v>0</v>
      </c>
      <c r="R44" s="73">
        <f>IFERROR(VLOOKUP(FiscalYr-IF(CompareVer="LY",1,0) &amp; $B44 + IF(FiscalYr=2018,1,0)&amp;R$4,tblForecast,R$2,FALSE),0)</f>
        <v>0</v>
      </c>
      <c r="S44" s="69">
        <f t="shared" ref="S44:S47" si="111">IFERROR(Q44/R44-1,)</f>
        <v>0</v>
      </c>
      <c r="T44" s="158">
        <f>IF(NewPlan=TRUE,IF(BO44=0,U44,BO44),IFERROR(VLOOKUP(FiscalYr &amp; $B44&amp;T$4,tblForecast,T$2,FALSE),0))</f>
        <v>0</v>
      </c>
      <c r="U44" s="73">
        <f>IFERROR(VLOOKUP(FiscalYr-IF(CompareVer="LY",1,0) &amp; $B44 + IF(FiscalYr=2018,1,0)&amp;U$4,tblForecast,U$2,FALSE),0)</f>
        <v>0</v>
      </c>
      <c r="V44" s="69">
        <f t="shared" ref="V44:V47" si="112">IFERROR(T44/U44-1,)</f>
        <v>0</v>
      </c>
      <c r="W44" s="158">
        <f>IF(NewPlan=TRUE,IF(BN44=0,X44,BN44),IFERROR(VLOOKUP(FiscalYr &amp; $B44&amp;W$4,tblForecast,W$2,FALSE),0))</f>
        <v>0</v>
      </c>
      <c r="X44" s="73">
        <f>IFERROR(VLOOKUP(FiscalYr-IF(CompareVer="LY",1,0) &amp; $B44 + IF(FiscalYr=2018,1,0)&amp;X$4,tblForecast,X$2,FALSE),0)</f>
        <v>0</v>
      </c>
      <c r="Y44" s="69">
        <f t="shared" si="6"/>
        <v>0</v>
      </c>
      <c r="Z44" s="74">
        <f t="shared" si="69"/>
        <v>0</v>
      </c>
      <c r="AA44" s="75">
        <f t="shared" si="63"/>
        <v>0</v>
      </c>
      <c r="AB44" s="69">
        <f>IFERROR(Z44-AA44,)</f>
        <v>0</v>
      </c>
      <c r="AC44" s="76">
        <f t="shared" si="103"/>
        <v>0</v>
      </c>
      <c r="AD44" s="77">
        <f t="shared" si="104"/>
        <v>0</v>
      </c>
      <c r="AE44" s="78">
        <f t="shared" si="32"/>
        <v>0</v>
      </c>
      <c r="AF44" s="238">
        <f>IF(AF43+AK44+AN44-F44&lt;0,0,AF43+AK44+AN44-F44)</f>
        <v>0</v>
      </c>
      <c r="AG44" s="71">
        <f>IFERROR(VLOOKUP(FiscalYr-IF(CompareVer="LY",1,0) &amp; $B44 + IF(FiscalYr=2018,1,0)&amp;AG$4,tblForecast,AG$2,FALSE),0)</f>
        <v>0</v>
      </c>
      <c r="AH44" s="69">
        <f t="shared" si="11"/>
        <v>0</v>
      </c>
      <c r="AI44" s="157">
        <f t="shared" ref="AI44:AJ47" si="113">IFERROR(VLOOKUP(FiscalYr &amp; $B44&amp;AI$4,tblForecast,AI$2,FALSE),0)</f>
        <v>0</v>
      </c>
      <c r="AJ44" s="71">
        <f t="shared" si="113"/>
        <v>0</v>
      </c>
      <c r="AK44" s="79">
        <f>IF($A44="a",IFERROR(VLOOKUP(FiscalYr &amp; $B44&amp;AK$4,tblForecast,AK$2,FALSE),0),AI44+AJ44)</f>
        <v>0</v>
      </c>
      <c r="AL44" s="71">
        <f>IFERROR(VLOOKUP(FiscalYr-IF(CompareVer="LY",1,0) &amp; $B44 + IF(FiscalYr=2018,1,0)&amp;AL$4,tblForecast,AL$2,FALSE),0)</f>
        <v>0</v>
      </c>
      <c r="AM44" s="69">
        <f t="shared" si="13"/>
        <v>0</v>
      </c>
      <c r="AN44" s="157">
        <f t="shared" ref="AN44:AO47" si="114">IFERROR(VLOOKUP(FiscalYr &amp; $B44&amp;AN$4,tblForecast,AN$2,FALSE),0)</f>
        <v>0</v>
      </c>
      <c r="AO44" s="71">
        <f t="shared" si="114"/>
        <v>0</v>
      </c>
      <c r="AP44" s="69">
        <f t="shared" si="15"/>
        <v>0</v>
      </c>
      <c r="AQ44" s="80">
        <f t="shared" ref="AQ44:AR47" si="115">IF(F44&lt;&gt;0,AF44/F44,0)</f>
        <v>0</v>
      </c>
      <c r="AR44" s="81">
        <f t="shared" si="115"/>
        <v>0</v>
      </c>
      <c r="AS44" s="69">
        <f>IFERROR(AQ44/AR44-1,)</f>
        <v>0</v>
      </c>
      <c r="AT44" s="157">
        <f>IFERROR(VLOOKUP(FiscalYr &amp; $B44&amp;AT$4,tblForecast,AT$2,FALSE),0)</f>
        <v>0</v>
      </c>
      <c r="AU44" s="71">
        <f t="shared" ref="AU44:AU76" si="116">IFERROR(VLOOKUP(FiscalYr-1 &amp; $B44&amp; FCLY,tblForecast,AT$2,FALSE),0)</f>
        <v>0</v>
      </c>
      <c r="AV44" s="69">
        <f t="shared" si="18"/>
        <v>0</v>
      </c>
      <c r="AW44" s="82"/>
      <c r="AX44" s="83"/>
      <c r="AY44" s="69">
        <f t="shared" si="19"/>
        <v>0</v>
      </c>
      <c r="AZ44" s="84"/>
      <c r="BA44" s="85"/>
      <c r="BB44" s="69">
        <f t="shared" si="20"/>
        <v>0</v>
      </c>
      <c r="BC44" s="157">
        <f>IFERROR(VLOOKUP(FiscalYr &amp; $B44&amp;BC$4,tblForecast,BC$2,FALSE),0)</f>
        <v>0</v>
      </c>
      <c r="BD44" s="71">
        <f t="shared" ref="BD44:BD76" si="117">IFERROR(VLOOKUP(FiscalYr-1 &amp; $B44&amp; FCLY,tblForecast,BC$2,FALSE),0)</f>
        <v>0</v>
      </c>
      <c r="BE44" s="69">
        <f t="shared" si="22"/>
        <v>0</v>
      </c>
      <c r="BF44" s="90">
        <f>IFERROR(VLOOKUP(FiscalYr &amp; $B44&amp;BF$4,tblForecast,BF$2,FALSE),0)</f>
        <v>0</v>
      </c>
      <c r="BG44" s="85">
        <f t="shared" ref="BG44:BG47" si="118">IFERROR(VLOOKUP(FiscalYr-1 &amp; $B44&amp; FCLY,tblForecast,BF$2,FALSE),0)</f>
        <v>0</v>
      </c>
      <c r="BH44" s="69">
        <f t="shared" si="24"/>
        <v>0</v>
      </c>
      <c r="BI44" s="85">
        <f t="shared" si="58"/>
        <v>0</v>
      </c>
      <c r="BJ44" s="86">
        <f t="shared" si="59"/>
        <v>0</v>
      </c>
      <c r="BK44" s="75">
        <f t="shared" si="26"/>
        <v>0</v>
      </c>
      <c r="BL44" s="283">
        <f>IFERROR(VLOOKUP(Brand&amp;Channel&amp;Country&amp;$B44,tblDiscount,6,FALSE),0)</f>
        <v>0.7</v>
      </c>
      <c r="BM44" s="249">
        <f>(1-BL44)*BN44</f>
        <v>0</v>
      </c>
      <c r="BN44" s="249">
        <f>IFERROR(VLOOKUP(Brand&amp;Country &amp; Channel &amp;FC,tblFCSettings,8,FALSE),0)</f>
        <v>0</v>
      </c>
      <c r="BO44" s="284">
        <f>IFERROR(VLOOKUP(Brand&amp;Country &amp; Channel &amp;FC,tblFCSettings,9,FALSE),0)</f>
        <v>0</v>
      </c>
    </row>
    <row r="45" spans="2:67" customFormat="1" x14ac:dyDescent="0.25">
      <c r="B45" s="185">
        <v>28</v>
      </c>
      <c r="C45" s="87">
        <f t="shared" si="108"/>
        <v>0</v>
      </c>
      <c r="D45" s="68">
        <f t="shared" si="108"/>
        <v>0</v>
      </c>
      <c r="E45" s="69">
        <f t="shared" si="0"/>
        <v>0</v>
      </c>
      <c r="F45" s="157">
        <f>IF(NewPlan=TRUE,IF(AF44-(G45*J45)&lt;0,AF44,G45*J45),IFERROR(VLOOKUP(FiscalYr &amp; $B45&amp;F$4,tblForecast,F$2,FALSE),0))</f>
        <v>0</v>
      </c>
      <c r="G45" s="189">
        <f>IFERROR(VLOOKUP(FiscalYr-IF(CompareVer="LY",1,0) &amp; $B45 + IF(FiscalYr=2018,1,0)&amp;G$4,tblForecast,G$2,FALSE),0)</f>
        <v>0</v>
      </c>
      <c r="H45" s="69">
        <f t="shared" si="1"/>
        <v>0</v>
      </c>
      <c r="I45" s="177">
        <f>IFERROR(IF(F44&lt;&gt;0,F45/F44,0),0)</f>
        <v>0</v>
      </c>
      <c r="J45" s="177">
        <f>IFERROR(IF(G44&lt;&gt;0,G45/G44,0),0)</f>
        <v>0</v>
      </c>
      <c r="K45" s="87">
        <f t="shared" ref="K45:K47" si="119">IFERROR(C45*N45,0)</f>
        <v>0</v>
      </c>
      <c r="L45" s="68">
        <f t="shared" si="109"/>
        <v>0</v>
      </c>
      <c r="M45" s="72">
        <f t="shared" si="2"/>
        <v>0</v>
      </c>
      <c r="N45" s="162">
        <f t="shared" si="110"/>
        <v>0</v>
      </c>
      <c r="O45" s="163">
        <f t="shared" si="110"/>
        <v>0</v>
      </c>
      <c r="P45" s="69">
        <f t="shared" ref="P45:P60" si="120">IFERROR(N45-O45,)</f>
        <v>0</v>
      </c>
      <c r="Q45" s="158">
        <f>IF(NewPlan=TRUE,IF(BM45=0,R45,BM45),IFERROR(VLOOKUP(FiscalYr&amp;$B45&amp;Q$4,tblForecast,Q$2,FALSE),0))</f>
        <v>0</v>
      </c>
      <c r="R45" s="73">
        <f>IFERROR(VLOOKUP(FiscalYr-IF(CompareVer="LY",1,0) &amp; $B45 + IF(FiscalYr=2018,1,0)&amp;R$4,tblForecast,R$2,FALSE),0)</f>
        <v>0</v>
      </c>
      <c r="S45" s="69">
        <f t="shared" si="111"/>
        <v>0</v>
      </c>
      <c r="T45" s="158">
        <f>IF(NewPlan=TRUE,IF(BO45=0,U45,BO45),IFERROR(VLOOKUP(FiscalYr &amp; $B45&amp;T$4,tblForecast,T$2,FALSE),0))</f>
        <v>0</v>
      </c>
      <c r="U45" s="73">
        <f>IFERROR(VLOOKUP(FiscalYr-IF(CompareVer="LY",1,0) &amp; $B45 + IF(FiscalYr=2018,1,0)&amp;U$4,tblForecast,U$2,FALSE),0)</f>
        <v>0</v>
      </c>
      <c r="V45" s="69">
        <f t="shared" si="112"/>
        <v>0</v>
      </c>
      <c r="W45" s="158">
        <f>IF(NewPlan=TRUE,IF(BN45=0,X45,BN45),IFERROR(VLOOKUP(FiscalYr &amp; $B45&amp;W$4,tblForecast,W$2,FALSE),0))</f>
        <v>0</v>
      </c>
      <c r="X45" s="73">
        <f>IFERROR(VLOOKUP(FiscalYr-IF(CompareVer="LY",1,0) &amp; $B45 + IF(FiscalYr=2018,1,0)&amp;X$4,tblForecast,X$2,FALSE),0)</f>
        <v>0</v>
      </c>
      <c r="Y45" s="69">
        <f t="shared" si="6"/>
        <v>0</v>
      </c>
      <c r="Z45" s="74">
        <f t="shared" si="69"/>
        <v>0</v>
      </c>
      <c r="AA45" s="75">
        <f t="shared" si="63"/>
        <v>0</v>
      </c>
      <c r="AB45" s="69">
        <f t="shared" ref="AB45:AB59" si="121">IFERROR(Z45-AA45,)</f>
        <v>0</v>
      </c>
      <c r="AC45" s="88">
        <f t="shared" si="103"/>
        <v>0</v>
      </c>
      <c r="AD45" s="77">
        <f t="shared" si="104"/>
        <v>0</v>
      </c>
      <c r="AE45" s="78">
        <f t="shared" si="32"/>
        <v>0</v>
      </c>
      <c r="AF45" s="238">
        <f t="shared" ref="AF45:AF47" si="122">IF(AF44+AK45+AN45-F45&lt;0,0,AF44+AK45+AN45-F45)</f>
        <v>0</v>
      </c>
      <c r="AG45" s="71">
        <f>IFERROR(VLOOKUP(FiscalYr-IF(CompareVer="LY",1,0) &amp; $B45 + IF(FiscalYr=2018,1,0)&amp;AG$4,tblForecast,AG$2,FALSE),0)</f>
        <v>0</v>
      </c>
      <c r="AH45" s="69">
        <f t="shared" si="11"/>
        <v>0</v>
      </c>
      <c r="AI45" s="157">
        <f t="shared" si="113"/>
        <v>0</v>
      </c>
      <c r="AJ45" s="71">
        <f t="shared" si="113"/>
        <v>0</v>
      </c>
      <c r="AK45" s="71">
        <f>IF($A45="a",IFERROR(VLOOKUP(FiscalYr &amp; $B45&amp;AK$4,tblForecast,AK$2,FALSE),0),AI45+AJ45)</f>
        <v>0</v>
      </c>
      <c r="AL45" s="71">
        <f>IFERROR(VLOOKUP(FiscalYr-IF(CompareVer="LY",1,0) &amp; $B45 + IF(FiscalYr=2018,1,0)&amp;AL$4,tblForecast,AL$2,FALSE),0)</f>
        <v>0</v>
      </c>
      <c r="AM45" s="69">
        <f t="shared" si="13"/>
        <v>0</v>
      </c>
      <c r="AN45" s="157">
        <f t="shared" si="114"/>
        <v>0</v>
      </c>
      <c r="AO45" s="71">
        <f t="shared" si="114"/>
        <v>0</v>
      </c>
      <c r="AP45" s="69">
        <f t="shared" si="15"/>
        <v>0</v>
      </c>
      <c r="AQ45" s="80">
        <f t="shared" si="115"/>
        <v>0</v>
      </c>
      <c r="AR45" s="89">
        <f t="shared" si="115"/>
        <v>0</v>
      </c>
      <c r="AS45" s="69">
        <f t="shared" ref="AS45:AS58" si="123">IFERROR(AQ45/AR45-1,)</f>
        <v>0</v>
      </c>
      <c r="AT45" s="157">
        <f>IFERROR(VLOOKUP(FiscalYr &amp; $B45&amp;AT$4,tblForecast,AT$2,FALSE),0)</f>
        <v>0</v>
      </c>
      <c r="AU45" s="71">
        <f t="shared" si="116"/>
        <v>0</v>
      </c>
      <c r="AV45" s="69">
        <f t="shared" si="18"/>
        <v>0</v>
      </c>
      <c r="AW45" s="82"/>
      <c r="AX45" s="83"/>
      <c r="AY45" s="69">
        <f t="shared" si="19"/>
        <v>0</v>
      </c>
      <c r="AZ45" s="84"/>
      <c r="BA45" s="85"/>
      <c r="BB45" s="69">
        <f t="shared" si="20"/>
        <v>0</v>
      </c>
      <c r="BC45" s="157">
        <f>IFERROR(VLOOKUP(FiscalYr &amp; $B45&amp;BC$4,tblForecast,BC$2,FALSE),0)</f>
        <v>0</v>
      </c>
      <c r="BD45" s="71">
        <f t="shared" si="117"/>
        <v>0</v>
      </c>
      <c r="BE45" s="69">
        <f t="shared" si="22"/>
        <v>0</v>
      </c>
      <c r="BF45" s="90">
        <f>IFERROR(VLOOKUP(FiscalYr &amp; $B45&amp;BF$4,tblForecast,BF$2,FALSE),0)</f>
        <v>0</v>
      </c>
      <c r="BG45" s="85">
        <f t="shared" si="118"/>
        <v>0</v>
      </c>
      <c r="BH45" s="69">
        <f t="shared" si="24"/>
        <v>0</v>
      </c>
      <c r="BI45" s="85">
        <f t="shared" si="58"/>
        <v>0</v>
      </c>
      <c r="BJ45" s="86">
        <f t="shared" si="59"/>
        <v>0</v>
      </c>
      <c r="BK45" s="75">
        <f t="shared" si="26"/>
        <v>0</v>
      </c>
      <c r="BL45" s="283">
        <f>IFERROR(VLOOKUP(Brand&amp;Channel&amp;Country&amp;$B45,tblDiscount,6,FALSE),0)</f>
        <v>0.7</v>
      </c>
      <c r="BM45" s="249">
        <f t="shared" ref="BM45:BM47" si="124">(1-BL45)*BN45</f>
        <v>0</v>
      </c>
      <c r="BN45" s="249">
        <f>IFERROR(VLOOKUP(Brand&amp;Country &amp; Channel &amp;FC,tblFCSettings,8,FALSE),0)</f>
        <v>0</v>
      </c>
      <c r="BO45" s="284">
        <f>IFERROR(VLOOKUP(Brand&amp;Country &amp; Channel &amp;FC,tblFCSettings,9,FALSE),0)</f>
        <v>0</v>
      </c>
    </row>
    <row r="46" spans="2:67" customFormat="1" x14ac:dyDescent="0.25">
      <c r="B46" s="185">
        <v>29</v>
      </c>
      <c r="C46" s="87">
        <f t="shared" si="108"/>
        <v>0</v>
      </c>
      <c r="D46" s="68">
        <f t="shared" si="108"/>
        <v>0</v>
      </c>
      <c r="E46" s="69">
        <f t="shared" si="0"/>
        <v>0</v>
      </c>
      <c r="F46" s="157">
        <f>IF(NewPlan=TRUE,IF(AF45-(G46*J46)&lt;0,AF45,G46*J46),IFERROR(VLOOKUP(FiscalYr &amp; $B46&amp;F$4,tblForecast,F$2,FALSE),0))</f>
        <v>0</v>
      </c>
      <c r="G46" s="189">
        <f>IFERROR(VLOOKUP(FiscalYr-IF(CompareVer="LY",1,0) &amp; $B46 + IF(FiscalYr=2018,1,0)&amp;G$4,tblForecast,G$2,FALSE),0)</f>
        <v>0</v>
      </c>
      <c r="H46" s="69">
        <f t="shared" si="1"/>
        <v>0</v>
      </c>
      <c r="I46" s="177">
        <f t="shared" ref="I46:J47" si="125">IFERROR(IF(F45&lt;&gt;0,F46/F45,0),0)</f>
        <v>0</v>
      </c>
      <c r="J46" s="177">
        <f t="shared" si="125"/>
        <v>0</v>
      </c>
      <c r="K46" s="87">
        <f t="shared" si="119"/>
        <v>0</v>
      </c>
      <c r="L46" s="68">
        <f t="shared" si="109"/>
        <v>0</v>
      </c>
      <c r="M46" s="72">
        <f t="shared" si="2"/>
        <v>0</v>
      </c>
      <c r="N46" s="162">
        <f t="shared" si="110"/>
        <v>0</v>
      </c>
      <c r="O46" s="163">
        <f t="shared" si="110"/>
        <v>0</v>
      </c>
      <c r="P46" s="69">
        <f t="shared" si="120"/>
        <v>0</v>
      </c>
      <c r="Q46" s="158">
        <f>IF(NewPlan=TRUE,IF(BM46=0,R46,BM46),IFERROR(VLOOKUP(FiscalYr&amp;$B46&amp;Q$4,tblForecast,Q$2,FALSE),0))</f>
        <v>0</v>
      </c>
      <c r="R46" s="73">
        <f>IFERROR(VLOOKUP(FiscalYr-IF(CompareVer="LY",1,0) &amp; $B46 + IF(FiscalYr=2018,1,0)&amp;R$4,tblForecast,R$2,FALSE),0)</f>
        <v>0</v>
      </c>
      <c r="S46" s="69">
        <f t="shared" si="111"/>
        <v>0</v>
      </c>
      <c r="T46" s="158">
        <f>IF(NewPlan=TRUE,IF(BO46=0,U46,BO46),IFERROR(VLOOKUP(FiscalYr &amp; $B46&amp;T$4,tblForecast,T$2,FALSE),0))</f>
        <v>0</v>
      </c>
      <c r="U46" s="73">
        <f>IFERROR(VLOOKUP(FiscalYr-IF(CompareVer="LY",1,0) &amp; $B46 + IF(FiscalYr=2018,1,0)&amp;U$4,tblForecast,U$2,FALSE),0)</f>
        <v>0</v>
      </c>
      <c r="V46" s="69">
        <f t="shared" si="112"/>
        <v>0</v>
      </c>
      <c r="W46" s="158">
        <f>IF(NewPlan=TRUE,IF(BN46=0,X46,BN46),IFERROR(VLOOKUP(FiscalYr &amp; $B46&amp;W$4,tblForecast,W$2,FALSE),0))</f>
        <v>0</v>
      </c>
      <c r="X46" s="73">
        <f>IFERROR(VLOOKUP(FiscalYr-IF(CompareVer="LY",1,0) &amp; $B46 + IF(FiscalYr=2018,1,0)&amp;X$4,tblForecast,X$2,FALSE),0)</f>
        <v>0</v>
      </c>
      <c r="Y46" s="69">
        <f t="shared" si="6"/>
        <v>0</v>
      </c>
      <c r="Z46" s="74">
        <f t="shared" si="69"/>
        <v>0</v>
      </c>
      <c r="AA46" s="75">
        <f t="shared" si="63"/>
        <v>0</v>
      </c>
      <c r="AB46" s="69">
        <f t="shared" si="121"/>
        <v>0</v>
      </c>
      <c r="AC46" s="88">
        <f t="shared" si="103"/>
        <v>0</v>
      </c>
      <c r="AD46" s="77">
        <f t="shared" si="104"/>
        <v>0</v>
      </c>
      <c r="AE46" s="78">
        <f t="shared" si="32"/>
        <v>0</v>
      </c>
      <c r="AF46" s="238">
        <f t="shared" si="122"/>
        <v>0</v>
      </c>
      <c r="AG46" s="71">
        <f>IFERROR(VLOOKUP(FiscalYr-IF(CompareVer="LY",1,0) &amp; $B46 + IF(FiscalYr=2018,1,0)&amp;AG$4,tblForecast,AG$2,FALSE),0)</f>
        <v>0</v>
      </c>
      <c r="AH46" s="69">
        <f t="shared" si="11"/>
        <v>0</v>
      </c>
      <c r="AI46" s="157">
        <f t="shared" si="113"/>
        <v>0</v>
      </c>
      <c r="AJ46" s="71">
        <f t="shared" si="113"/>
        <v>0</v>
      </c>
      <c r="AK46" s="71">
        <f>IF($A46="a",IFERROR(VLOOKUP(FiscalYr &amp; $B46&amp;AK$4,tblForecast,AK$2,FALSE),0),AI46+AJ46)</f>
        <v>0</v>
      </c>
      <c r="AL46" s="71">
        <f>IFERROR(VLOOKUP(FiscalYr-IF(CompareVer="LY",1,0) &amp; $B46 + IF(FiscalYr=2018,1,0)&amp;AL$4,tblForecast,AL$2,FALSE),0)</f>
        <v>0</v>
      </c>
      <c r="AM46" s="69">
        <f t="shared" si="13"/>
        <v>0</v>
      </c>
      <c r="AN46" s="157">
        <f t="shared" si="114"/>
        <v>0</v>
      </c>
      <c r="AO46" s="71">
        <f t="shared" si="114"/>
        <v>0</v>
      </c>
      <c r="AP46" s="69">
        <f t="shared" si="15"/>
        <v>0</v>
      </c>
      <c r="AQ46" s="80">
        <f t="shared" si="115"/>
        <v>0</v>
      </c>
      <c r="AR46" s="89">
        <f t="shared" si="115"/>
        <v>0</v>
      </c>
      <c r="AS46" s="69">
        <f t="shared" si="123"/>
        <v>0</v>
      </c>
      <c r="AT46" s="157">
        <f>IFERROR(VLOOKUP(FiscalYr &amp; $B46&amp;AT$4,tblForecast,AT$2,FALSE),0)</f>
        <v>0</v>
      </c>
      <c r="AU46" s="71">
        <f t="shared" si="116"/>
        <v>0</v>
      </c>
      <c r="AV46" s="69">
        <f t="shared" si="18"/>
        <v>0</v>
      </c>
      <c r="AW46" s="82"/>
      <c r="AX46" s="83"/>
      <c r="AY46" s="69">
        <f t="shared" si="19"/>
        <v>0</v>
      </c>
      <c r="AZ46" s="84"/>
      <c r="BA46" s="85"/>
      <c r="BB46" s="69">
        <f t="shared" si="20"/>
        <v>0</v>
      </c>
      <c r="BC46" s="157">
        <f>IFERROR(VLOOKUP(FiscalYr &amp; $B46&amp;BC$4,tblForecast,BC$2,FALSE),0)</f>
        <v>0</v>
      </c>
      <c r="BD46" s="71">
        <f t="shared" si="117"/>
        <v>0</v>
      </c>
      <c r="BE46" s="69">
        <f t="shared" si="22"/>
        <v>0</v>
      </c>
      <c r="BF46" s="90">
        <f>IFERROR(VLOOKUP(FiscalYr &amp; $B46&amp;BF$4,tblForecast,BF$2,FALSE),0)</f>
        <v>0</v>
      </c>
      <c r="BG46" s="85">
        <f t="shared" si="118"/>
        <v>0</v>
      </c>
      <c r="BH46" s="69">
        <f t="shared" si="24"/>
        <v>0</v>
      </c>
      <c r="BI46" s="85">
        <f t="shared" si="58"/>
        <v>0</v>
      </c>
      <c r="BJ46" s="86">
        <f t="shared" si="59"/>
        <v>0</v>
      </c>
      <c r="BK46" s="75">
        <f t="shared" si="26"/>
        <v>0</v>
      </c>
      <c r="BL46" s="283">
        <f>IFERROR(VLOOKUP(Brand&amp;Channel&amp;Country&amp;$B46,tblDiscount,6,FALSE),0)</f>
        <v>0.75</v>
      </c>
      <c r="BM46" s="249">
        <f t="shared" si="124"/>
        <v>0</v>
      </c>
      <c r="BN46" s="249">
        <f>IFERROR(VLOOKUP(Brand&amp;Country &amp; Channel &amp;FC,tblFCSettings,8,FALSE),0)</f>
        <v>0</v>
      </c>
      <c r="BO46" s="284">
        <f>IFERROR(VLOOKUP(Brand&amp;Country &amp; Channel &amp;FC,tblFCSettings,9,FALSE),0)</f>
        <v>0</v>
      </c>
    </row>
    <row r="47" spans="2:67" customFormat="1" ht="16.5" thickBot="1" x14ac:dyDescent="0.3">
      <c r="B47" s="185">
        <v>30</v>
      </c>
      <c r="C47" s="91">
        <f t="shared" si="108"/>
        <v>0</v>
      </c>
      <c r="D47" s="68">
        <f t="shared" si="108"/>
        <v>0</v>
      </c>
      <c r="E47" s="69">
        <f t="shared" si="0"/>
        <v>0</v>
      </c>
      <c r="F47" s="157">
        <f>IF(NewPlan=TRUE,IF(AF46-(G47*J47)&lt;0,AF46,G47*J47),IFERROR(VLOOKUP(FiscalYr &amp; $B47&amp;F$4,tblForecast,F$2,FALSE),0))</f>
        <v>0</v>
      </c>
      <c r="G47" s="189">
        <f>IFERROR(VLOOKUP(FiscalYr-IF(CompareVer="LY",1,0) &amp; $B47 + IF(FiscalYr=2018,1,0)&amp;G$4,tblForecast,G$2,FALSE),0)</f>
        <v>0</v>
      </c>
      <c r="H47" s="69">
        <f t="shared" si="1"/>
        <v>0</v>
      </c>
      <c r="I47" s="177">
        <f t="shared" si="125"/>
        <v>0</v>
      </c>
      <c r="J47" s="177">
        <f t="shared" si="125"/>
        <v>0</v>
      </c>
      <c r="K47" s="91">
        <f t="shared" si="119"/>
        <v>0</v>
      </c>
      <c r="L47" s="68">
        <f t="shared" si="109"/>
        <v>0</v>
      </c>
      <c r="M47" s="72">
        <f t="shared" si="2"/>
        <v>0</v>
      </c>
      <c r="N47" s="162">
        <f t="shared" si="110"/>
        <v>0</v>
      </c>
      <c r="O47" s="163">
        <f t="shared" si="110"/>
        <v>0</v>
      </c>
      <c r="P47" s="69">
        <f t="shared" si="120"/>
        <v>0</v>
      </c>
      <c r="Q47" s="158">
        <f>IF(NewPlan=TRUE,IF(BM47=0,R47,BM47),IFERROR(VLOOKUP(FiscalYr&amp;$B47&amp;Q$4,tblForecast,Q$2,FALSE),0))</f>
        <v>0</v>
      </c>
      <c r="R47" s="73">
        <f>IFERROR(VLOOKUP(FiscalYr-IF(CompareVer="LY",1,0) &amp; $B47 + IF(FiscalYr=2018,1,0)&amp;R$4,tblForecast,R$2,FALSE),0)</f>
        <v>0</v>
      </c>
      <c r="S47" s="69">
        <f t="shared" si="111"/>
        <v>0</v>
      </c>
      <c r="T47" s="158">
        <f>IF(NewPlan=TRUE,IF(BO47=0,U47,BO47),IFERROR(VLOOKUP(FiscalYr &amp; $B47&amp;T$4,tblForecast,T$2,FALSE),0))</f>
        <v>0</v>
      </c>
      <c r="U47" s="73">
        <f>IFERROR(VLOOKUP(FiscalYr-IF(CompareVer="LY",1,0) &amp; $B47 + IF(FiscalYr=2018,1,0)&amp;U$4,tblForecast,U$2,FALSE),0)</f>
        <v>0</v>
      </c>
      <c r="V47" s="69">
        <f t="shared" si="112"/>
        <v>0</v>
      </c>
      <c r="W47" s="158">
        <f>IF(NewPlan=TRUE,IF(BN47=0,X47,BN47),IFERROR(VLOOKUP(FiscalYr &amp; $B47&amp;W$4,tblForecast,W$2,FALSE),0))</f>
        <v>0</v>
      </c>
      <c r="X47" s="73">
        <f>IFERROR(VLOOKUP(FiscalYr-IF(CompareVer="LY",1,0) &amp; $B47 + IF(FiscalYr=2018,1,0)&amp;X$4,tblForecast,X$2,FALSE),0)</f>
        <v>0</v>
      </c>
      <c r="Y47" s="69">
        <f t="shared" si="6"/>
        <v>0</v>
      </c>
      <c r="Z47" s="74">
        <f t="shared" si="69"/>
        <v>0</v>
      </c>
      <c r="AA47" s="75">
        <f t="shared" si="63"/>
        <v>0</v>
      </c>
      <c r="AB47" s="69">
        <f t="shared" si="121"/>
        <v>0</v>
      </c>
      <c r="AC47" s="88">
        <f t="shared" si="103"/>
        <v>0</v>
      </c>
      <c r="AD47" s="77">
        <f t="shared" si="104"/>
        <v>0</v>
      </c>
      <c r="AE47" s="78">
        <f t="shared" si="32"/>
        <v>0</v>
      </c>
      <c r="AF47" s="238">
        <f t="shared" si="122"/>
        <v>0</v>
      </c>
      <c r="AG47" s="71">
        <f>IFERROR(VLOOKUP(FiscalYr-IF(CompareVer="LY",1,0) &amp; $B47 + IF(FiscalYr=2018,1,0)&amp;AG$4,tblForecast,AG$2,FALSE),0)</f>
        <v>0</v>
      </c>
      <c r="AH47" s="69">
        <f t="shared" si="11"/>
        <v>0</v>
      </c>
      <c r="AI47" s="157">
        <f t="shared" si="113"/>
        <v>0</v>
      </c>
      <c r="AJ47" s="71">
        <f t="shared" si="113"/>
        <v>0</v>
      </c>
      <c r="AK47" s="71">
        <f>IF($A47="a",IFERROR(VLOOKUP(FiscalYr &amp; $B47&amp;AK$4,tblForecast,AK$2,FALSE),0),AI47+AJ47)</f>
        <v>0</v>
      </c>
      <c r="AL47" s="71">
        <f>IFERROR(VLOOKUP(FiscalYr-IF(CompareVer="LY",1,0) &amp; $B47 + IF(FiscalYr=2018,1,0)&amp;AL$4,tblForecast,AL$2,FALSE),0)</f>
        <v>0</v>
      </c>
      <c r="AM47" s="69">
        <f t="shared" si="13"/>
        <v>0</v>
      </c>
      <c r="AN47" s="157">
        <f t="shared" si="114"/>
        <v>0</v>
      </c>
      <c r="AO47" s="71">
        <f t="shared" si="114"/>
        <v>0</v>
      </c>
      <c r="AP47" s="69">
        <f t="shared" si="15"/>
        <v>0</v>
      </c>
      <c r="AQ47" s="80">
        <f t="shared" si="115"/>
        <v>0</v>
      </c>
      <c r="AR47" s="89">
        <f t="shared" si="115"/>
        <v>0</v>
      </c>
      <c r="AS47" s="69">
        <f t="shared" si="123"/>
        <v>0</v>
      </c>
      <c r="AT47" s="157">
        <f>IFERROR(VLOOKUP(FiscalYr &amp; $B47&amp;AT$4,tblForecast,AT$2,FALSE),0)</f>
        <v>0</v>
      </c>
      <c r="AU47" s="71">
        <f t="shared" si="116"/>
        <v>0</v>
      </c>
      <c r="AV47" s="69">
        <f t="shared" si="18"/>
        <v>0</v>
      </c>
      <c r="AW47" s="82"/>
      <c r="AX47" s="83"/>
      <c r="AY47" s="69">
        <f t="shared" si="19"/>
        <v>0</v>
      </c>
      <c r="AZ47" s="84"/>
      <c r="BA47" s="85"/>
      <c r="BB47" s="69">
        <f t="shared" si="20"/>
        <v>0</v>
      </c>
      <c r="BC47" s="157">
        <f>IFERROR(VLOOKUP(FiscalYr &amp; $B47&amp;BC$4,tblForecast,BC$2,FALSE),0)</f>
        <v>0</v>
      </c>
      <c r="BD47" s="71">
        <f t="shared" si="117"/>
        <v>0</v>
      </c>
      <c r="BE47" s="69">
        <f t="shared" si="22"/>
        <v>0</v>
      </c>
      <c r="BF47" s="90">
        <f>IFERROR(VLOOKUP(FiscalYr &amp; $B47&amp;BF$4,tblForecast,BF$2,FALSE),0)</f>
        <v>0</v>
      </c>
      <c r="BG47" s="85">
        <f t="shared" si="118"/>
        <v>0</v>
      </c>
      <c r="BH47" s="69">
        <f t="shared" si="24"/>
        <v>0</v>
      </c>
      <c r="BI47" s="85">
        <f t="shared" si="58"/>
        <v>0</v>
      </c>
      <c r="BJ47" s="86">
        <f t="shared" si="59"/>
        <v>0</v>
      </c>
      <c r="BK47" s="75">
        <f t="shared" si="26"/>
        <v>0</v>
      </c>
      <c r="BL47" s="283">
        <f>IFERROR(VLOOKUP(Brand&amp;Channel&amp;Country&amp;$B47,tblDiscount,6,FALSE),0)</f>
        <v>0.75</v>
      </c>
      <c r="BM47" s="249">
        <f t="shared" si="124"/>
        <v>0</v>
      </c>
      <c r="BN47" s="249">
        <f>IFERROR(VLOOKUP(Brand&amp;Country &amp; Channel &amp;FC,tblFCSettings,8,FALSE),0)</f>
        <v>0</v>
      </c>
      <c r="BO47" s="284">
        <f>IFERROR(VLOOKUP(Brand&amp;Country &amp; Channel &amp;FC,tblFCSettings,9,FALSE),0)</f>
        <v>0</v>
      </c>
    </row>
    <row r="48" spans="2:67" customFormat="1" ht="16.5" thickBot="1" x14ac:dyDescent="0.3">
      <c r="B48" s="6" t="s">
        <v>342</v>
      </c>
      <c r="C48" s="92">
        <f>SUM(C44:C47)</f>
        <v>0</v>
      </c>
      <c r="D48" s="93">
        <f>SUM(D44:D47)</f>
        <v>0</v>
      </c>
      <c r="E48" s="94">
        <f t="shared" si="0"/>
        <v>0</v>
      </c>
      <c r="F48" s="95">
        <f>SUM(F44:F47)</f>
        <v>0</v>
      </c>
      <c r="G48" s="96">
        <f>SUM(G44:G47)</f>
        <v>0</v>
      </c>
      <c r="H48" s="94">
        <f t="shared" si="1"/>
        <v>0</v>
      </c>
      <c r="I48" s="178">
        <f>IF(F42&lt;&gt;0,F48/F42-1,0)</f>
        <v>0</v>
      </c>
      <c r="J48" s="178">
        <f>IF(G42&lt;&gt;0,G48/G42-1,0)</f>
        <v>0</v>
      </c>
      <c r="K48" s="92">
        <f>SUM(K44:K47)</f>
        <v>0</v>
      </c>
      <c r="L48" s="93">
        <f>SUM(L44:L47)</f>
        <v>0</v>
      </c>
      <c r="M48" s="97">
        <f t="shared" si="2"/>
        <v>0</v>
      </c>
      <c r="N48" s="164">
        <f>IFERROR(K48/C48,0)</f>
        <v>0</v>
      </c>
      <c r="O48" s="165">
        <f>IFERROR(L48/D48,0)</f>
        <v>0</v>
      </c>
      <c r="P48" s="94">
        <f t="shared" si="120"/>
        <v>0</v>
      </c>
      <c r="Q48" s="98">
        <f>IFERROR(C48/F48,0)</f>
        <v>0</v>
      </c>
      <c r="R48" s="99">
        <f>IFERROR(D48/G48,0)</f>
        <v>0</v>
      </c>
      <c r="S48" s="94">
        <f t="shared" si="4"/>
        <v>0</v>
      </c>
      <c r="T48" s="98">
        <f>IFERROR((C48*(1-N48))/F48,0)</f>
        <v>0</v>
      </c>
      <c r="U48" s="99">
        <f>IFERROR((D48*(1-O48))/G48,0)</f>
        <v>0</v>
      </c>
      <c r="V48" s="94">
        <f t="shared" si="5"/>
        <v>0</v>
      </c>
      <c r="W48" s="98">
        <f>IFERROR(SUMPRODUCT(W44:W47,F44:F47)/F48,0)</f>
        <v>0</v>
      </c>
      <c r="X48" s="99">
        <f>IFERROR(SUMPRODUCT(X44:X47,G44:G47)/G48,0)</f>
        <v>0</v>
      </c>
      <c r="Y48" s="94">
        <f t="shared" si="6"/>
        <v>0</v>
      </c>
      <c r="Z48" s="100">
        <f t="shared" si="69"/>
        <v>0</v>
      </c>
      <c r="AA48" s="101">
        <f t="shared" si="63"/>
        <v>0</v>
      </c>
      <c r="AB48" s="94">
        <f t="shared" si="121"/>
        <v>0</v>
      </c>
      <c r="AC48" s="102">
        <f t="shared" si="103"/>
        <v>0</v>
      </c>
      <c r="AD48" s="103">
        <f t="shared" si="104"/>
        <v>0</v>
      </c>
      <c r="AE48" s="104">
        <f t="shared" si="32"/>
        <v>0</v>
      </c>
      <c r="AF48" s="95">
        <f>AF47</f>
        <v>0</v>
      </c>
      <c r="AG48" s="96">
        <f>AG47</f>
        <v>0</v>
      </c>
      <c r="AH48" s="94">
        <f t="shared" si="11"/>
        <v>0</v>
      </c>
      <c r="AI48" s="95">
        <f>SUM(AI44:AI47)</f>
        <v>0</v>
      </c>
      <c r="AJ48" s="96">
        <f>SUM(AJ44:AJ47)</f>
        <v>0</v>
      </c>
      <c r="AK48" s="96">
        <f>SUM(AK44:AK47)</f>
        <v>0</v>
      </c>
      <c r="AL48" s="96">
        <f>SUM(AL44:AL47)</f>
        <v>0</v>
      </c>
      <c r="AM48" s="94">
        <f t="shared" si="13"/>
        <v>0</v>
      </c>
      <c r="AN48" s="95">
        <f>SUM(AN44:AN47)</f>
        <v>0</v>
      </c>
      <c r="AO48" s="96">
        <f t="shared" ref="AO48" si="126">IFERROR(VLOOKUP(FiscalYr-1 &amp; $B48&amp; FCLY,tblForecast,AN$2,FALSE),0)</f>
        <v>0</v>
      </c>
      <c r="AP48" s="94">
        <f t="shared" si="15"/>
        <v>0</v>
      </c>
      <c r="AQ48" s="105">
        <f>IF(F48&lt;&gt;0,(AF48*COUNTIF(AQ44:AQ47,"&lt;&gt;0")/F48),0)</f>
        <v>0</v>
      </c>
      <c r="AR48" s="106">
        <f>IF(G48&lt;&gt;0,(AG48*COUNTIF(AR44:AR47,"&lt;&gt;0")/G48),0)</f>
        <v>0</v>
      </c>
      <c r="AS48" s="94">
        <f t="shared" si="123"/>
        <v>0</v>
      </c>
      <c r="AT48" s="95">
        <f>SUM(AT44:AT47)</f>
        <v>0</v>
      </c>
      <c r="AU48" s="96">
        <f t="shared" si="116"/>
        <v>0</v>
      </c>
      <c r="AV48" s="94">
        <f t="shared" si="18"/>
        <v>0</v>
      </c>
      <c r="AW48" s="107"/>
      <c r="AX48" s="108"/>
      <c r="AY48" s="94">
        <f t="shared" si="19"/>
        <v>0</v>
      </c>
      <c r="AZ48" s="134"/>
      <c r="BA48" s="111"/>
      <c r="BB48" s="94">
        <f t="shared" si="20"/>
        <v>0</v>
      </c>
      <c r="BC48" s="95">
        <f>SUM(BC44:BC47)</f>
        <v>0</v>
      </c>
      <c r="BD48" s="96">
        <f t="shared" si="117"/>
        <v>0</v>
      </c>
      <c r="BE48" s="94">
        <f t="shared" si="22"/>
        <v>0</v>
      </c>
      <c r="BF48" s="110">
        <f>SUM(BF44:BF47)</f>
        <v>0</v>
      </c>
      <c r="BG48" s="111">
        <f>SUM(BG44:BG47)</f>
        <v>0</v>
      </c>
      <c r="BH48" s="94">
        <f t="shared" si="24"/>
        <v>0</v>
      </c>
      <c r="BI48" s="111">
        <f t="shared" si="58"/>
        <v>0</v>
      </c>
      <c r="BJ48" s="112">
        <f t="shared" si="59"/>
        <v>0</v>
      </c>
      <c r="BK48" s="101">
        <f t="shared" si="26"/>
        <v>0</v>
      </c>
      <c r="BL48" s="283"/>
      <c r="BM48" s="249"/>
      <c r="BN48" s="249"/>
      <c r="BO48" s="284"/>
    </row>
    <row r="49" spans="2:67" customFormat="1" x14ac:dyDescent="0.25">
      <c r="B49" s="185">
        <v>31</v>
      </c>
      <c r="C49" s="87">
        <f t="shared" ref="C49:D53" si="127">F49*Q49</f>
        <v>0</v>
      </c>
      <c r="D49" s="68">
        <f t="shared" si="127"/>
        <v>0</v>
      </c>
      <c r="E49" s="69">
        <f t="shared" si="0"/>
        <v>0</v>
      </c>
      <c r="F49" s="157">
        <f>IF(NewPlan=TRUE,IF(AF48-(G49*J49)&lt;0,AF48,G49*J49),IFERROR(VLOOKUP(FiscalYr &amp; $B49&amp;F$4,tblForecast,F$2,FALSE),0))</f>
        <v>0</v>
      </c>
      <c r="G49" s="189">
        <f>IFERROR(VLOOKUP(FiscalYr-IF(CompareVer="LY",1,0) &amp; $B49 + IF(FiscalYr=2018,1,0)&amp;G$4,tblForecast,G$2,FALSE),0)</f>
        <v>0</v>
      </c>
      <c r="H49" s="69">
        <f t="shared" si="1"/>
        <v>0</v>
      </c>
      <c r="I49" s="177">
        <f>IFERROR(IF(F47&gt;0,F49/F47,0),0)</f>
        <v>0</v>
      </c>
      <c r="J49" s="177">
        <f>IFERROR(IF(G47&gt;0,G49/G47,0),0)</f>
        <v>0</v>
      </c>
      <c r="K49" s="87">
        <f t="shared" ref="K49:K53" si="128">IFERROR(C49*N49,0)</f>
        <v>0</v>
      </c>
      <c r="L49" s="68">
        <f t="shared" ref="L49:L53" si="129">D49*O49</f>
        <v>0</v>
      </c>
      <c r="M49" s="72">
        <f t="shared" si="2"/>
        <v>0</v>
      </c>
      <c r="N49" s="162">
        <f t="shared" ref="N49:O53" si="130">IF(Q49&lt;&gt;0,1-T49/Q49,0)</f>
        <v>0</v>
      </c>
      <c r="O49" s="163">
        <f t="shared" si="130"/>
        <v>0</v>
      </c>
      <c r="P49" s="69">
        <f t="shared" si="120"/>
        <v>0</v>
      </c>
      <c r="Q49" s="158">
        <f>IF(NewPlan=TRUE,IF(BM49=0,R49,BM49),IFERROR(VLOOKUP(FiscalYr&amp;$B49&amp;Q$4,tblForecast,Q$2,FALSE),0))</f>
        <v>0</v>
      </c>
      <c r="R49" s="73">
        <f>IFERROR(VLOOKUP(FiscalYr-IF(CompareVer="LY",1,0) &amp; $B49 + IF(FiscalYr=2018,1,0)&amp;R$4,tblForecast,R$2,FALSE),0)</f>
        <v>0</v>
      </c>
      <c r="S49" s="69">
        <f t="shared" ref="S49:S53" si="131">IFERROR(Q49/R49-1,)</f>
        <v>0</v>
      </c>
      <c r="T49" s="158">
        <f>IF(NewPlan=TRUE,IF(BO49=0,U49,BO49),IFERROR(VLOOKUP(FiscalYr &amp; $B49&amp;T$4,tblForecast,T$2,FALSE),0))</f>
        <v>0</v>
      </c>
      <c r="U49" s="73">
        <f>IFERROR(VLOOKUP(FiscalYr-IF(CompareVer="LY",1,0) &amp; $B49 + IF(FiscalYr=2018,1,0)&amp;U$4,tblForecast,U$2,FALSE),0)</f>
        <v>0</v>
      </c>
      <c r="V49" s="69">
        <f t="shared" ref="V49:V53" si="132">IFERROR(T49/U49-1,)</f>
        <v>0</v>
      </c>
      <c r="W49" s="158">
        <f>IF(NewPlan=TRUE,IF(BN49=0,X49,BN49),IFERROR(VLOOKUP(FiscalYr &amp; $B49&amp;W$4,tblForecast,W$2,FALSE),0))</f>
        <v>0</v>
      </c>
      <c r="X49" s="73">
        <f>IFERROR(VLOOKUP(FiscalYr-IF(CompareVer="LY",1,0) &amp; $B49 + IF(FiscalYr=2018,1,0)&amp;X$4,tblForecast,X$2,FALSE),0)</f>
        <v>0</v>
      </c>
      <c r="Y49" s="69">
        <f t="shared" si="6"/>
        <v>0</v>
      </c>
      <c r="Z49" s="74">
        <f t="shared" si="69"/>
        <v>0</v>
      </c>
      <c r="AA49" s="75">
        <f t="shared" si="63"/>
        <v>0</v>
      </c>
      <c r="AB49" s="69">
        <f t="shared" si="121"/>
        <v>0</v>
      </c>
      <c r="AC49" s="88">
        <f t="shared" si="103"/>
        <v>0</v>
      </c>
      <c r="AD49" s="77">
        <f t="shared" si="104"/>
        <v>0</v>
      </c>
      <c r="AE49" s="78">
        <f t="shared" si="32"/>
        <v>0</v>
      </c>
      <c r="AF49" s="238">
        <f t="shared" ref="AF49:AF53" si="133">IF(AF48+AK49+AN49-F49&lt;0,0,AF48+AK49+AN49-F49)</f>
        <v>0</v>
      </c>
      <c r="AG49" s="71">
        <f>IFERROR(VLOOKUP(FiscalYr-IF(CompareVer="LY",1,0) &amp; $B49 + IF(FiscalYr=2018,1,0)&amp;AG$4,tblForecast,AG$2,FALSE),0)</f>
        <v>0</v>
      </c>
      <c r="AH49" s="69">
        <f t="shared" si="11"/>
        <v>0</v>
      </c>
      <c r="AI49" s="157">
        <f t="shared" ref="AI49:AJ53" si="134">IFERROR(VLOOKUP(FiscalYr &amp; $B49&amp;AI$4,tblForecast,AI$2,FALSE),0)</f>
        <v>0</v>
      </c>
      <c r="AJ49" s="71">
        <f t="shared" si="134"/>
        <v>0</v>
      </c>
      <c r="AK49" s="71">
        <f>IF($A49="a",IFERROR(VLOOKUP(FiscalYr &amp; $B49&amp;AK$4,tblForecast,AK$2,FALSE),0),AI49+AJ49)</f>
        <v>0</v>
      </c>
      <c r="AL49" s="71">
        <f>IFERROR(VLOOKUP(FiscalYr-IF(CompareVer="LY",1,0) &amp; $B49 + IF(FiscalYr=2018,1,0)&amp;AL$4,tblForecast,AL$2,FALSE),0)</f>
        <v>0</v>
      </c>
      <c r="AM49" s="69">
        <f t="shared" si="13"/>
        <v>0</v>
      </c>
      <c r="AN49" s="157">
        <f t="shared" ref="AN49:AO53" si="135">IFERROR(VLOOKUP(FiscalYr &amp; $B49&amp;AN$4,tblForecast,AN$2,FALSE),0)</f>
        <v>0</v>
      </c>
      <c r="AO49" s="71">
        <f t="shared" si="135"/>
        <v>0</v>
      </c>
      <c r="AP49" s="69">
        <f t="shared" si="15"/>
        <v>0</v>
      </c>
      <c r="AQ49" s="80">
        <f t="shared" ref="AQ49:AR53" si="136">IF(F49&lt;&gt;0,AF49/F49,0)</f>
        <v>0</v>
      </c>
      <c r="AR49" s="89">
        <f t="shared" si="136"/>
        <v>0</v>
      </c>
      <c r="AS49" s="69">
        <f t="shared" si="123"/>
        <v>0</v>
      </c>
      <c r="AT49" s="157">
        <f>IFERROR(VLOOKUP(FiscalYr &amp; $B49&amp;AT$4,tblForecast,AT$2,FALSE),0)</f>
        <v>0</v>
      </c>
      <c r="AU49" s="71">
        <f t="shared" si="116"/>
        <v>0</v>
      </c>
      <c r="AV49" s="69">
        <f t="shared" si="18"/>
        <v>0</v>
      </c>
      <c r="AW49" s="82"/>
      <c r="AX49" s="83"/>
      <c r="AY49" s="69">
        <f t="shared" si="19"/>
        <v>0</v>
      </c>
      <c r="AZ49" s="84"/>
      <c r="BA49" s="85"/>
      <c r="BB49" s="69">
        <f t="shared" si="20"/>
        <v>0</v>
      </c>
      <c r="BC49" s="157">
        <f>IFERROR(VLOOKUP(FiscalYr &amp; $B49&amp;BC$4,tblForecast,BC$2,FALSE),0)</f>
        <v>0</v>
      </c>
      <c r="BD49" s="71">
        <f t="shared" si="117"/>
        <v>0</v>
      </c>
      <c r="BE49" s="69">
        <f t="shared" si="22"/>
        <v>0</v>
      </c>
      <c r="BF49" s="90">
        <f>IFERROR(VLOOKUP(FiscalYr &amp; $B49&amp;BF$4,tblForecast,BF$2,FALSE),0)</f>
        <v>0</v>
      </c>
      <c r="BG49" s="85">
        <f t="shared" ref="BG49:BG53" si="137">IFERROR(VLOOKUP(FiscalYr-1 &amp; $B49&amp; FCLY,tblForecast,BF$2,FALSE),0)</f>
        <v>0</v>
      </c>
      <c r="BH49" s="69">
        <f t="shared" si="24"/>
        <v>0</v>
      </c>
      <c r="BI49" s="85">
        <f t="shared" si="58"/>
        <v>0</v>
      </c>
      <c r="BJ49" s="86">
        <f t="shared" si="59"/>
        <v>0</v>
      </c>
      <c r="BK49" s="75">
        <f t="shared" si="26"/>
        <v>0</v>
      </c>
      <c r="BL49" s="283">
        <f>IFERROR(VLOOKUP(Brand&amp;Channel&amp;Country&amp;$B49,tblDiscount,6,FALSE),0)</f>
        <v>0.75</v>
      </c>
      <c r="BM49" s="249">
        <f>(1-BL49)*BN49</f>
        <v>0</v>
      </c>
      <c r="BN49" s="249">
        <f>IFERROR(VLOOKUP(Brand&amp;Country &amp; Channel &amp;FC,tblFCSettings,8,FALSE),0)</f>
        <v>0</v>
      </c>
      <c r="BO49" s="284">
        <f>IFERROR(VLOOKUP(Brand&amp;Country &amp; Channel &amp;FC,tblFCSettings,9,FALSE),0)</f>
        <v>0</v>
      </c>
    </row>
    <row r="50" spans="2:67" customFormat="1" x14ac:dyDescent="0.25">
      <c r="B50" s="185">
        <v>32</v>
      </c>
      <c r="C50" s="87">
        <f t="shared" si="127"/>
        <v>0</v>
      </c>
      <c r="D50" s="68">
        <f t="shared" si="127"/>
        <v>0</v>
      </c>
      <c r="E50" s="69">
        <f t="shared" si="0"/>
        <v>0</v>
      </c>
      <c r="F50" s="157">
        <f>IF(NewPlan=TRUE,IF(AF49-(G50*J50)&lt;0,AF49,G50*J50),IFERROR(VLOOKUP(FiscalYr &amp; $B50&amp;F$4,tblForecast,F$2,FALSE),0))</f>
        <v>0</v>
      </c>
      <c r="G50" s="189">
        <f>IFERROR(VLOOKUP(FiscalYr-IF(CompareVer="LY",1,0) &amp; $B50 + IF(FiscalYr=2018,1,0)&amp;G$4,tblForecast,G$2,FALSE),0)</f>
        <v>0</v>
      </c>
      <c r="H50" s="69">
        <f t="shared" si="1"/>
        <v>0</v>
      </c>
      <c r="I50" s="177">
        <f t="shared" ref="I50:J53" si="138">IFERROR(IF(F49&lt;&gt;0,F50/F49,0),0)</f>
        <v>0</v>
      </c>
      <c r="J50" s="177">
        <f t="shared" si="138"/>
        <v>0</v>
      </c>
      <c r="K50" s="87">
        <f t="shared" si="128"/>
        <v>0</v>
      </c>
      <c r="L50" s="68">
        <f t="shared" si="129"/>
        <v>0</v>
      </c>
      <c r="M50" s="72">
        <f t="shared" si="2"/>
        <v>0</v>
      </c>
      <c r="N50" s="162">
        <f t="shared" si="130"/>
        <v>0</v>
      </c>
      <c r="O50" s="163">
        <f t="shared" si="130"/>
        <v>0</v>
      </c>
      <c r="P50" s="69">
        <f t="shared" si="120"/>
        <v>0</v>
      </c>
      <c r="Q50" s="158">
        <f>IF(NewPlan=TRUE,IF(BM50=0,R50,BM50),IFERROR(VLOOKUP(FiscalYr&amp;$B50&amp;Q$4,tblForecast,Q$2,FALSE),0))</f>
        <v>0</v>
      </c>
      <c r="R50" s="73">
        <f>IFERROR(VLOOKUP(FiscalYr-IF(CompareVer="LY",1,0) &amp; $B50 + IF(FiscalYr=2018,1,0)&amp;R$4,tblForecast,R$2,FALSE),0)</f>
        <v>0</v>
      </c>
      <c r="S50" s="69">
        <f t="shared" si="131"/>
        <v>0</v>
      </c>
      <c r="T50" s="158">
        <f>IF(NewPlan=TRUE,IF(BO50=0,U50,BO50),IFERROR(VLOOKUP(FiscalYr &amp; $B50&amp;T$4,tblForecast,T$2,FALSE),0))</f>
        <v>0</v>
      </c>
      <c r="U50" s="73">
        <f>IFERROR(VLOOKUP(FiscalYr-IF(CompareVer="LY",1,0) &amp; $B50 + IF(FiscalYr=2018,1,0)&amp;U$4,tblForecast,U$2,FALSE),0)</f>
        <v>0</v>
      </c>
      <c r="V50" s="69">
        <f t="shared" si="132"/>
        <v>0</v>
      </c>
      <c r="W50" s="158">
        <f>IF(NewPlan=TRUE,IF(BN50=0,X50,BN50),IFERROR(VLOOKUP(FiscalYr &amp; $B50&amp;W$4,tblForecast,W$2,FALSE),0))</f>
        <v>0</v>
      </c>
      <c r="X50" s="73">
        <f>IFERROR(VLOOKUP(FiscalYr-IF(CompareVer="LY",1,0) &amp; $B50 + IF(FiscalYr=2018,1,0)&amp;X$4,tblForecast,X$2,FALSE),0)</f>
        <v>0</v>
      </c>
      <c r="Y50" s="69">
        <f t="shared" si="6"/>
        <v>0</v>
      </c>
      <c r="Z50" s="74">
        <f t="shared" si="69"/>
        <v>0</v>
      </c>
      <c r="AA50" s="75">
        <f t="shared" si="63"/>
        <v>0</v>
      </c>
      <c r="AB50" s="69">
        <f t="shared" si="121"/>
        <v>0</v>
      </c>
      <c r="AC50" s="88">
        <f t="shared" si="103"/>
        <v>0</v>
      </c>
      <c r="AD50" s="77">
        <f t="shared" si="104"/>
        <v>0</v>
      </c>
      <c r="AE50" s="78">
        <f t="shared" si="32"/>
        <v>0</v>
      </c>
      <c r="AF50" s="238">
        <f t="shared" si="133"/>
        <v>0</v>
      </c>
      <c r="AG50" s="71">
        <f>IFERROR(VLOOKUP(FiscalYr-IF(CompareVer="LY",1,0) &amp; $B50 + IF(FiscalYr=2018,1,0)&amp;AG$4,tblForecast,AG$2,FALSE),0)</f>
        <v>0</v>
      </c>
      <c r="AH50" s="69">
        <f t="shared" si="11"/>
        <v>0</v>
      </c>
      <c r="AI50" s="157">
        <f t="shared" si="134"/>
        <v>0</v>
      </c>
      <c r="AJ50" s="71">
        <f t="shared" si="134"/>
        <v>0</v>
      </c>
      <c r="AK50" s="71">
        <f>IF($A50="a",IFERROR(VLOOKUP(FiscalYr &amp; $B50&amp;AK$4,tblForecast,AK$2,FALSE),0),AI50+AJ50)</f>
        <v>0</v>
      </c>
      <c r="AL50" s="71">
        <f>IFERROR(VLOOKUP(FiscalYr-IF(CompareVer="LY",1,0) &amp; $B50 + IF(FiscalYr=2018,1,0)&amp;AL$4,tblForecast,AL$2,FALSE),0)</f>
        <v>0</v>
      </c>
      <c r="AM50" s="69">
        <f t="shared" si="13"/>
        <v>0</v>
      </c>
      <c r="AN50" s="157">
        <f t="shared" si="135"/>
        <v>0</v>
      </c>
      <c r="AO50" s="71">
        <f t="shared" si="135"/>
        <v>0</v>
      </c>
      <c r="AP50" s="69">
        <f t="shared" si="15"/>
        <v>0</v>
      </c>
      <c r="AQ50" s="80">
        <f t="shared" si="136"/>
        <v>0</v>
      </c>
      <c r="AR50" s="89">
        <f t="shared" si="136"/>
        <v>0</v>
      </c>
      <c r="AS50" s="69">
        <f t="shared" si="123"/>
        <v>0</v>
      </c>
      <c r="AT50" s="157">
        <f>IFERROR(VLOOKUP(FiscalYr &amp; $B50&amp;AT$4,tblForecast,AT$2,FALSE),0)</f>
        <v>0</v>
      </c>
      <c r="AU50" s="71">
        <f t="shared" si="116"/>
        <v>0</v>
      </c>
      <c r="AV50" s="69">
        <f t="shared" si="18"/>
        <v>0</v>
      </c>
      <c r="AW50" s="82"/>
      <c r="AX50" s="83"/>
      <c r="AY50" s="69">
        <f t="shared" si="19"/>
        <v>0</v>
      </c>
      <c r="AZ50" s="84"/>
      <c r="BA50" s="85"/>
      <c r="BB50" s="69">
        <f t="shared" si="20"/>
        <v>0</v>
      </c>
      <c r="BC50" s="157">
        <f>IFERROR(VLOOKUP(FiscalYr &amp; $B50&amp;BC$4,tblForecast,BC$2,FALSE),0)</f>
        <v>0</v>
      </c>
      <c r="BD50" s="71">
        <f t="shared" si="117"/>
        <v>0</v>
      </c>
      <c r="BE50" s="69">
        <f t="shared" si="22"/>
        <v>0</v>
      </c>
      <c r="BF50" s="90">
        <f>IFERROR(VLOOKUP(FiscalYr &amp; $B50&amp;BF$4,tblForecast,BF$2,FALSE),0)</f>
        <v>0</v>
      </c>
      <c r="BG50" s="85">
        <f t="shared" si="137"/>
        <v>0</v>
      </c>
      <c r="BH50" s="69">
        <f t="shared" si="24"/>
        <v>0</v>
      </c>
      <c r="BI50" s="85">
        <f t="shared" si="58"/>
        <v>0</v>
      </c>
      <c r="BJ50" s="86">
        <f t="shared" si="59"/>
        <v>0</v>
      </c>
      <c r="BK50" s="75">
        <f t="shared" si="26"/>
        <v>0</v>
      </c>
      <c r="BL50" s="283">
        <f>IFERROR(VLOOKUP(Brand&amp;Channel&amp;Country&amp;$B50,tblDiscount,6,FALSE),0)</f>
        <v>0.75</v>
      </c>
      <c r="BM50" s="249">
        <f t="shared" ref="BM50:BM52" si="139">(1-BL50)*BN50</f>
        <v>0</v>
      </c>
      <c r="BN50" s="249">
        <f>IFERROR(VLOOKUP(Brand&amp;Country &amp; Channel &amp;FC,tblFCSettings,8,FALSE),0)</f>
        <v>0</v>
      </c>
      <c r="BO50" s="284">
        <f>IFERROR(VLOOKUP(Brand&amp;Country &amp; Channel &amp;FC,tblFCSettings,9,FALSE),0)</f>
        <v>0</v>
      </c>
    </row>
    <row r="51" spans="2:67" customFormat="1" x14ac:dyDescent="0.25">
      <c r="B51" s="185">
        <v>33</v>
      </c>
      <c r="C51" s="87">
        <f t="shared" si="127"/>
        <v>0</v>
      </c>
      <c r="D51" s="68">
        <f t="shared" si="127"/>
        <v>0</v>
      </c>
      <c r="E51" s="69">
        <f t="shared" si="0"/>
        <v>0</v>
      </c>
      <c r="F51" s="157">
        <f>IF(NewPlan=TRUE,IF(AF50-(G51*J51)&lt;0,AF50,G51*J51),IFERROR(VLOOKUP(FiscalYr &amp; $B51&amp;F$4,tblForecast,F$2,FALSE),0))</f>
        <v>0</v>
      </c>
      <c r="G51" s="189">
        <f>IFERROR(VLOOKUP(FiscalYr-IF(CompareVer="LY",1,0) &amp; $B51 + IF(FiscalYr=2018,1,0)&amp;G$4,tblForecast,G$2,FALSE),0)</f>
        <v>0</v>
      </c>
      <c r="H51" s="69">
        <f t="shared" si="1"/>
        <v>0</v>
      </c>
      <c r="I51" s="177">
        <f t="shared" si="138"/>
        <v>0</v>
      </c>
      <c r="J51" s="177">
        <f t="shared" si="138"/>
        <v>0</v>
      </c>
      <c r="K51" s="87">
        <f t="shared" si="128"/>
        <v>0</v>
      </c>
      <c r="L51" s="68">
        <f t="shared" si="129"/>
        <v>0</v>
      </c>
      <c r="M51" s="72">
        <f t="shared" si="2"/>
        <v>0</v>
      </c>
      <c r="N51" s="162">
        <f t="shared" si="130"/>
        <v>0</v>
      </c>
      <c r="O51" s="163">
        <f t="shared" si="130"/>
        <v>0</v>
      </c>
      <c r="P51" s="69">
        <f t="shared" si="120"/>
        <v>0</v>
      </c>
      <c r="Q51" s="158">
        <f>IF(NewPlan=TRUE,IF(BM51=0,R51,BM51),IFERROR(VLOOKUP(FiscalYr&amp;$B51&amp;Q$4,tblForecast,Q$2,FALSE),0))</f>
        <v>0</v>
      </c>
      <c r="R51" s="73">
        <f>IFERROR(VLOOKUP(FiscalYr-IF(CompareVer="LY",1,0) &amp; $B51 + IF(FiscalYr=2018,1,0)&amp;R$4,tblForecast,R$2,FALSE),0)</f>
        <v>0</v>
      </c>
      <c r="S51" s="69">
        <f t="shared" si="131"/>
        <v>0</v>
      </c>
      <c r="T51" s="158">
        <f>IF(NewPlan=TRUE,IF(BO51=0,U51,BO51),IFERROR(VLOOKUP(FiscalYr &amp; $B51&amp;T$4,tblForecast,T$2,FALSE),0))</f>
        <v>0</v>
      </c>
      <c r="U51" s="73">
        <f>IFERROR(VLOOKUP(FiscalYr-IF(CompareVer="LY",1,0) &amp; $B51 + IF(FiscalYr=2018,1,0)&amp;U$4,tblForecast,U$2,FALSE),0)</f>
        <v>0</v>
      </c>
      <c r="V51" s="69">
        <f t="shared" si="132"/>
        <v>0</v>
      </c>
      <c r="W51" s="158">
        <f>IF(NewPlan=TRUE,IF(BN51=0,X51,BN51),IFERROR(VLOOKUP(FiscalYr &amp; $B51&amp;W$4,tblForecast,W$2,FALSE),0))</f>
        <v>0</v>
      </c>
      <c r="X51" s="73">
        <f>IFERROR(VLOOKUP(FiscalYr-IF(CompareVer="LY",1,0) &amp; $B51 + IF(FiscalYr=2018,1,0)&amp;X$4,tblForecast,X$2,FALSE),0)</f>
        <v>0</v>
      </c>
      <c r="Y51" s="69">
        <f t="shared" si="6"/>
        <v>0</v>
      </c>
      <c r="Z51" s="74">
        <f t="shared" si="69"/>
        <v>0</v>
      </c>
      <c r="AA51" s="75">
        <f t="shared" si="63"/>
        <v>0</v>
      </c>
      <c r="AB51" s="69">
        <f t="shared" si="121"/>
        <v>0</v>
      </c>
      <c r="AC51" s="88">
        <f t="shared" si="103"/>
        <v>0</v>
      </c>
      <c r="AD51" s="77">
        <f t="shared" si="104"/>
        <v>0</v>
      </c>
      <c r="AE51" s="78">
        <f t="shared" si="32"/>
        <v>0</v>
      </c>
      <c r="AF51" s="238">
        <f t="shared" si="133"/>
        <v>0</v>
      </c>
      <c r="AG51" s="71">
        <f>IFERROR(VLOOKUP(FiscalYr-IF(CompareVer="LY",1,0) &amp; $B51 + IF(FiscalYr=2018,1,0)&amp;AG$4,tblForecast,AG$2,FALSE),0)</f>
        <v>0</v>
      </c>
      <c r="AH51" s="69">
        <f t="shared" si="11"/>
        <v>0</v>
      </c>
      <c r="AI51" s="157">
        <f t="shared" si="134"/>
        <v>0</v>
      </c>
      <c r="AJ51" s="71">
        <f t="shared" si="134"/>
        <v>0</v>
      </c>
      <c r="AK51" s="71">
        <f>IF($A51="a",IFERROR(VLOOKUP(FiscalYr &amp; $B51&amp;AK$4,tblForecast,AK$2,FALSE),0),AI51+AJ51)</f>
        <v>0</v>
      </c>
      <c r="AL51" s="71">
        <f>IFERROR(VLOOKUP(FiscalYr-IF(CompareVer="LY",1,0) &amp; $B51 + IF(FiscalYr=2018,1,0)&amp;AL$4,tblForecast,AL$2,FALSE),0)</f>
        <v>0</v>
      </c>
      <c r="AM51" s="69">
        <f t="shared" si="13"/>
        <v>0</v>
      </c>
      <c r="AN51" s="157">
        <f t="shared" si="135"/>
        <v>0</v>
      </c>
      <c r="AO51" s="71">
        <f t="shared" si="135"/>
        <v>0</v>
      </c>
      <c r="AP51" s="69">
        <f t="shared" si="15"/>
        <v>0</v>
      </c>
      <c r="AQ51" s="80">
        <f t="shared" si="136"/>
        <v>0</v>
      </c>
      <c r="AR51" s="89">
        <f t="shared" si="136"/>
        <v>0</v>
      </c>
      <c r="AS51" s="69">
        <f t="shared" si="123"/>
        <v>0</v>
      </c>
      <c r="AT51" s="157">
        <f>IFERROR(VLOOKUP(FiscalYr &amp; $B51&amp;AT$4,tblForecast,AT$2,FALSE),0)</f>
        <v>0</v>
      </c>
      <c r="AU51" s="71">
        <f t="shared" si="116"/>
        <v>0</v>
      </c>
      <c r="AV51" s="69">
        <f t="shared" si="18"/>
        <v>0</v>
      </c>
      <c r="AW51" s="82"/>
      <c r="AX51" s="83"/>
      <c r="AY51" s="69">
        <f t="shared" si="19"/>
        <v>0</v>
      </c>
      <c r="AZ51" s="84"/>
      <c r="BA51" s="85"/>
      <c r="BB51" s="69">
        <f t="shared" si="20"/>
        <v>0</v>
      </c>
      <c r="BC51" s="157">
        <f>IFERROR(VLOOKUP(FiscalYr &amp; $B51&amp;BC$4,tblForecast,BC$2,FALSE),0)</f>
        <v>0</v>
      </c>
      <c r="BD51" s="71">
        <f t="shared" si="117"/>
        <v>0</v>
      </c>
      <c r="BE51" s="69">
        <f t="shared" si="22"/>
        <v>0</v>
      </c>
      <c r="BF51" s="90">
        <f>IFERROR(VLOOKUP(FiscalYr &amp; $B51&amp;BF$4,tblForecast,BF$2,FALSE),0)</f>
        <v>0</v>
      </c>
      <c r="BG51" s="85">
        <f t="shared" si="137"/>
        <v>0</v>
      </c>
      <c r="BH51" s="69">
        <f t="shared" si="24"/>
        <v>0</v>
      </c>
      <c r="BI51" s="85">
        <f t="shared" si="58"/>
        <v>0</v>
      </c>
      <c r="BJ51" s="86">
        <f t="shared" si="59"/>
        <v>0</v>
      </c>
      <c r="BK51" s="75">
        <f t="shared" si="26"/>
        <v>0</v>
      </c>
      <c r="BL51" s="283">
        <f>IFERROR(VLOOKUP(Brand&amp;Channel&amp;Country&amp;$B51,tblDiscount,6,FALSE),0)</f>
        <v>0.8</v>
      </c>
      <c r="BM51" s="249">
        <f t="shared" si="139"/>
        <v>0</v>
      </c>
      <c r="BN51" s="249">
        <f>IFERROR(VLOOKUP(Brand&amp;Country &amp; Channel &amp;FC,tblFCSettings,8,FALSE),0)</f>
        <v>0</v>
      </c>
      <c r="BO51" s="284">
        <f>IFERROR(VLOOKUP(Brand&amp;Country &amp; Channel &amp;FC,tblFCSettings,9,FALSE),0)</f>
        <v>0</v>
      </c>
    </row>
    <row r="52" spans="2:67" customFormat="1" x14ac:dyDescent="0.25">
      <c r="B52" s="185">
        <v>34</v>
      </c>
      <c r="C52" s="87">
        <f t="shared" si="127"/>
        <v>0</v>
      </c>
      <c r="D52" s="68">
        <f t="shared" si="127"/>
        <v>0</v>
      </c>
      <c r="E52" s="69">
        <f t="shared" si="0"/>
        <v>0</v>
      </c>
      <c r="F52" s="157">
        <f>IF(NewPlan=TRUE,IF(AF51-(G52*J52)&lt;0,AF51,G52*J52),IFERROR(VLOOKUP(FiscalYr &amp; $B52&amp;F$4,tblForecast,F$2,FALSE),0))</f>
        <v>0</v>
      </c>
      <c r="G52" s="189">
        <f>IFERROR(VLOOKUP(FiscalYr-IF(CompareVer="LY",1,0) &amp; $B52 + IF(FiscalYr=2018,1,0)&amp;G$4,tblForecast,G$2,FALSE),0)</f>
        <v>0</v>
      </c>
      <c r="H52" s="69">
        <f t="shared" si="1"/>
        <v>0</v>
      </c>
      <c r="I52" s="177">
        <f t="shared" si="138"/>
        <v>0</v>
      </c>
      <c r="J52" s="177">
        <f t="shared" si="138"/>
        <v>0</v>
      </c>
      <c r="K52" s="87">
        <f t="shared" si="128"/>
        <v>0</v>
      </c>
      <c r="L52" s="68">
        <f t="shared" si="129"/>
        <v>0</v>
      </c>
      <c r="M52" s="72">
        <f t="shared" si="2"/>
        <v>0</v>
      </c>
      <c r="N52" s="162">
        <f t="shared" si="130"/>
        <v>0</v>
      </c>
      <c r="O52" s="163">
        <f t="shared" si="130"/>
        <v>0</v>
      </c>
      <c r="P52" s="69">
        <f t="shared" si="120"/>
        <v>0</v>
      </c>
      <c r="Q52" s="158">
        <f>IF(NewPlan=TRUE,IF(BM52=0,R52,BM52),IFERROR(VLOOKUP(FiscalYr&amp;$B52&amp;Q$4,tblForecast,Q$2,FALSE),0))</f>
        <v>0</v>
      </c>
      <c r="R52" s="73">
        <f>IFERROR(VLOOKUP(FiscalYr-IF(CompareVer="LY",1,0) &amp; $B52 + IF(FiscalYr=2018,1,0)&amp;R$4,tblForecast,R$2,FALSE),0)</f>
        <v>0</v>
      </c>
      <c r="S52" s="69">
        <f t="shared" si="131"/>
        <v>0</v>
      </c>
      <c r="T52" s="158">
        <f>IF(NewPlan=TRUE,IF(BO52=0,U52,BO52),IFERROR(VLOOKUP(FiscalYr &amp; $B52&amp;T$4,tblForecast,T$2,FALSE),0))</f>
        <v>0</v>
      </c>
      <c r="U52" s="73">
        <f>IFERROR(VLOOKUP(FiscalYr-IF(CompareVer="LY",1,0) &amp; $B52 + IF(FiscalYr=2018,1,0)&amp;U$4,tblForecast,U$2,FALSE),0)</f>
        <v>0</v>
      </c>
      <c r="V52" s="69">
        <f t="shared" si="132"/>
        <v>0</v>
      </c>
      <c r="W52" s="158">
        <f>IF(NewPlan=TRUE,IF(BN52=0,X52,BN52),IFERROR(VLOOKUP(FiscalYr &amp; $B52&amp;W$4,tblForecast,W$2,FALSE),0))</f>
        <v>0</v>
      </c>
      <c r="X52" s="73">
        <f>IFERROR(VLOOKUP(FiscalYr-IF(CompareVer="LY",1,0) &amp; $B52 + IF(FiscalYr=2018,1,0)&amp;X$4,tblForecast,X$2,FALSE),0)</f>
        <v>0</v>
      </c>
      <c r="Y52" s="69">
        <f t="shared" si="6"/>
        <v>0</v>
      </c>
      <c r="Z52" s="74">
        <f t="shared" si="69"/>
        <v>0</v>
      </c>
      <c r="AA52" s="75">
        <f t="shared" si="63"/>
        <v>0</v>
      </c>
      <c r="AB52" s="69">
        <f t="shared" si="121"/>
        <v>0</v>
      </c>
      <c r="AC52" s="88">
        <f t="shared" si="103"/>
        <v>0</v>
      </c>
      <c r="AD52" s="77">
        <f t="shared" si="104"/>
        <v>0</v>
      </c>
      <c r="AE52" s="78">
        <f t="shared" si="32"/>
        <v>0</v>
      </c>
      <c r="AF52" s="238">
        <f t="shared" si="133"/>
        <v>0</v>
      </c>
      <c r="AG52" s="71">
        <f>IFERROR(VLOOKUP(FiscalYr-IF(CompareVer="LY",1,0) &amp; $B52 + IF(FiscalYr=2018,1,0)&amp;AG$4,tblForecast,AG$2,FALSE),0)</f>
        <v>0</v>
      </c>
      <c r="AH52" s="69">
        <f t="shared" si="11"/>
        <v>0</v>
      </c>
      <c r="AI52" s="157">
        <f t="shared" si="134"/>
        <v>0</v>
      </c>
      <c r="AJ52" s="71">
        <f t="shared" si="134"/>
        <v>0</v>
      </c>
      <c r="AK52" s="71">
        <f>IF($A52="a",IFERROR(VLOOKUP(FiscalYr &amp; $B52&amp;AK$4,tblForecast,AK$2,FALSE),0),AI52+AJ52)</f>
        <v>0</v>
      </c>
      <c r="AL52" s="71">
        <f>IFERROR(VLOOKUP(FiscalYr-IF(CompareVer="LY",1,0) &amp; $B52 + IF(FiscalYr=2018,1,0)&amp;AL$4,tblForecast,AL$2,FALSE),0)</f>
        <v>0</v>
      </c>
      <c r="AM52" s="69">
        <f t="shared" si="13"/>
        <v>0</v>
      </c>
      <c r="AN52" s="157">
        <f t="shared" si="135"/>
        <v>0</v>
      </c>
      <c r="AO52" s="71">
        <f t="shared" si="135"/>
        <v>0</v>
      </c>
      <c r="AP52" s="69">
        <f t="shared" si="15"/>
        <v>0</v>
      </c>
      <c r="AQ52" s="80">
        <f t="shared" si="136"/>
        <v>0</v>
      </c>
      <c r="AR52" s="89">
        <f t="shared" si="136"/>
        <v>0</v>
      </c>
      <c r="AS52" s="69">
        <f t="shared" si="123"/>
        <v>0</v>
      </c>
      <c r="AT52" s="157">
        <f>IFERROR(VLOOKUP(FiscalYr &amp; $B52&amp;AT$4,tblForecast,AT$2,FALSE),0)</f>
        <v>0</v>
      </c>
      <c r="AU52" s="71">
        <f t="shared" si="116"/>
        <v>0</v>
      </c>
      <c r="AV52" s="69">
        <f t="shared" si="18"/>
        <v>0</v>
      </c>
      <c r="AW52" s="82"/>
      <c r="AX52" s="83"/>
      <c r="AY52" s="69">
        <f t="shared" si="19"/>
        <v>0</v>
      </c>
      <c r="AZ52" s="84"/>
      <c r="BA52" s="85"/>
      <c r="BB52" s="69">
        <f t="shared" si="20"/>
        <v>0</v>
      </c>
      <c r="BC52" s="157">
        <f>IFERROR(VLOOKUP(FiscalYr &amp; $B52&amp;BC$4,tblForecast,BC$2,FALSE),0)</f>
        <v>0</v>
      </c>
      <c r="BD52" s="71">
        <f t="shared" si="117"/>
        <v>0</v>
      </c>
      <c r="BE52" s="69">
        <f t="shared" si="22"/>
        <v>0</v>
      </c>
      <c r="BF52" s="90">
        <f>IFERROR(VLOOKUP(FiscalYr &amp; $B52&amp;BF$4,tblForecast,BF$2,FALSE),0)</f>
        <v>0</v>
      </c>
      <c r="BG52" s="85">
        <f t="shared" si="137"/>
        <v>0</v>
      </c>
      <c r="BH52" s="69">
        <f t="shared" si="24"/>
        <v>0</v>
      </c>
      <c r="BI52" s="85">
        <f t="shared" si="58"/>
        <v>0</v>
      </c>
      <c r="BJ52" s="86">
        <f t="shared" si="59"/>
        <v>0</v>
      </c>
      <c r="BK52" s="75">
        <f t="shared" si="26"/>
        <v>0</v>
      </c>
      <c r="BL52" s="283">
        <f>IFERROR(VLOOKUP(Brand&amp;Channel&amp;Country&amp;$B52,tblDiscount,6,FALSE),0)</f>
        <v>0.8</v>
      </c>
      <c r="BM52" s="249">
        <f t="shared" si="139"/>
        <v>0</v>
      </c>
      <c r="BN52" s="249">
        <f>IFERROR(VLOOKUP(Brand&amp;Country &amp; Channel &amp;FC,tblFCSettings,8,FALSE),0)</f>
        <v>0</v>
      </c>
      <c r="BO52" s="284">
        <f>IFERROR(VLOOKUP(Brand&amp;Country &amp; Channel &amp;FC,tblFCSettings,9,FALSE),0)</f>
        <v>0</v>
      </c>
    </row>
    <row r="53" spans="2:67" customFormat="1" ht="16.5" thickBot="1" x14ac:dyDescent="0.3">
      <c r="B53" s="185">
        <v>35</v>
      </c>
      <c r="C53" s="87">
        <f t="shared" si="127"/>
        <v>0</v>
      </c>
      <c r="D53" s="68">
        <f t="shared" si="127"/>
        <v>0</v>
      </c>
      <c r="E53" s="69">
        <f t="shared" si="0"/>
        <v>0</v>
      </c>
      <c r="F53" s="157">
        <f>IF(NewPlan=TRUE,IF(AF52-(G53*J53)&lt;0,AF52,G53*J53),IFERROR(VLOOKUP(FiscalYr &amp; $B53&amp;F$4,tblForecast,F$2,FALSE),0))</f>
        <v>0</v>
      </c>
      <c r="G53" s="189">
        <f>IFERROR(VLOOKUP(FiscalYr-IF(CompareVer="LY",1,0) &amp; $B53 + IF(FiscalYr=2018,1,0)&amp;G$4,tblForecast,G$2,FALSE),0)</f>
        <v>0</v>
      </c>
      <c r="H53" s="69">
        <f t="shared" si="1"/>
        <v>0</v>
      </c>
      <c r="I53" s="177">
        <f t="shared" si="138"/>
        <v>0</v>
      </c>
      <c r="J53" s="177">
        <f t="shared" si="138"/>
        <v>0</v>
      </c>
      <c r="K53" s="87">
        <f t="shared" si="128"/>
        <v>0</v>
      </c>
      <c r="L53" s="68">
        <f t="shared" si="129"/>
        <v>0</v>
      </c>
      <c r="M53" s="72">
        <f t="shared" si="2"/>
        <v>0</v>
      </c>
      <c r="N53" s="162">
        <f t="shared" si="130"/>
        <v>0</v>
      </c>
      <c r="O53" s="163">
        <f t="shared" si="130"/>
        <v>0</v>
      </c>
      <c r="P53" s="69">
        <f t="shared" si="120"/>
        <v>0</v>
      </c>
      <c r="Q53" s="158">
        <f>IF(NewPlan=TRUE,IF(BM53=0,R53,BM53),IFERROR(VLOOKUP(FiscalYr&amp;$B53&amp;Q$4,tblForecast,Q$2,FALSE),0))</f>
        <v>0</v>
      </c>
      <c r="R53" s="73">
        <f>IFERROR(VLOOKUP(FiscalYr-IF(CompareVer="LY",1,0) &amp; $B53 + IF(FiscalYr=2018,1,0)&amp;R$4,tblForecast,R$2,FALSE),0)</f>
        <v>0</v>
      </c>
      <c r="S53" s="69">
        <f t="shared" si="131"/>
        <v>0</v>
      </c>
      <c r="T53" s="158">
        <f>IF(NewPlan=TRUE,IF(BO53=0,U53,BO53),IFERROR(VLOOKUP(FiscalYr &amp; $B53&amp;T$4,tblForecast,T$2,FALSE),0))</f>
        <v>0</v>
      </c>
      <c r="U53" s="73">
        <f>IFERROR(VLOOKUP(FiscalYr-IF(CompareVer="LY",1,0) &amp; $B53 + IF(FiscalYr=2018,1,0)&amp;U$4,tblForecast,U$2,FALSE),0)</f>
        <v>0</v>
      </c>
      <c r="V53" s="69">
        <f t="shared" si="132"/>
        <v>0</v>
      </c>
      <c r="W53" s="158">
        <f>IF(NewPlan=TRUE,IF(BN53=0,X53,BN53),IFERROR(VLOOKUP(FiscalYr &amp; $B53&amp;W$4,tblForecast,W$2,FALSE),0))</f>
        <v>0</v>
      </c>
      <c r="X53" s="73">
        <f>IFERROR(VLOOKUP(FiscalYr-IF(CompareVer="LY",1,0) &amp; $B53 + IF(FiscalYr=2018,1,0)&amp;X$4,tblForecast,X$2,FALSE),0)</f>
        <v>0</v>
      </c>
      <c r="Y53" s="69">
        <f t="shared" si="6"/>
        <v>0</v>
      </c>
      <c r="Z53" s="74">
        <f t="shared" si="69"/>
        <v>0</v>
      </c>
      <c r="AA53" s="75">
        <f t="shared" si="63"/>
        <v>0</v>
      </c>
      <c r="AB53" s="69">
        <f t="shared" si="121"/>
        <v>0</v>
      </c>
      <c r="AC53" s="88">
        <f t="shared" si="103"/>
        <v>0</v>
      </c>
      <c r="AD53" s="77">
        <f t="shared" si="104"/>
        <v>0</v>
      </c>
      <c r="AE53" s="78">
        <f t="shared" si="32"/>
        <v>0</v>
      </c>
      <c r="AF53" s="238">
        <f t="shared" si="133"/>
        <v>0</v>
      </c>
      <c r="AG53" s="71">
        <f>IFERROR(VLOOKUP(FiscalYr-IF(CompareVer="LY",1,0) &amp; $B53 + IF(FiscalYr=2018,1,0)&amp;AG$4,tblForecast,AG$2,FALSE),0)</f>
        <v>0</v>
      </c>
      <c r="AH53" s="69">
        <f t="shared" si="11"/>
        <v>0</v>
      </c>
      <c r="AI53" s="157">
        <f t="shared" si="134"/>
        <v>0</v>
      </c>
      <c r="AJ53" s="71">
        <f t="shared" si="134"/>
        <v>0</v>
      </c>
      <c r="AK53" s="71">
        <f>IF($A53="a",IFERROR(VLOOKUP(FiscalYr &amp; $B53&amp;AK$4,tblForecast,AK$2,FALSE),0),AI53+AJ53)</f>
        <v>0</v>
      </c>
      <c r="AL53" s="71">
        <f>IFERROR(VLOOKUP(FiscalYr-IF(CompareVer="LY",1,0) &amp; $B53 + IF(FiscalYr=2018,1,0)&amp;AL$4,tblForecast,AL$2,FALSE),0)</f>
        <v>0</v>
      </c>
      <c r="AM53" s="69">
        <f t="shared" si="13"/>
        <v>0</v>
      </c>
      <c r="AN53" s="157">
        <f t="shared" si="135"/>
        <v>0</v>
      </c>
      <c r="AO53" s="71">
        <f t="shared" si="135"/>
        <v>0</v>
      </c>
      <c r="AP53" s="69">
        <f t="shared" si="15"/>
        <v>0</v>
      </c>
      <c r="AQ53" s="80">
        <f t="shared" si="136"/>
        <v>0</v>
      </c>
      <c r="AR53" s="89">
        <f t="shared" si="136"/>
        <v>0</v>
      </c>
      <c r="AS53" s="69">
        <f t="shared" si="123"/>
        <v>0</v>
      </c>
      <c r="AT53" s="157">
        <f>IFERROR(VLOOKUP(FiscalYr &amp; $B53&amp;AT$4,tblForecast,AT$2,FALSE),0)</f>
        <v>0</v>
      </c>
      <c r="AU53" s="71">
        <f t="shared" si="116"/>
        <v>0</v>
      </c>
      <c r="AV53" s="69">
        <f t="shared" si="18"/>
        <v>0</v>
      </c>
      <c r="AW53" s="82"/>
      <c r="AX53" s="83"/>
      <c r="AY53" s="69">
        <f t="shared" si="19"/>
        <v>0</v>
      </c>
      <c r="AZ53" s="84"/>
      <c r="BA53" s="85"/>
      <c r="BB53" s="69">
        <f t="shared" si="20"/>
        <v>0</v>
      </c>
      <c r="BC53" s="157">
        <f>IFERROR(VLOOKUP(FiscalYr &amp; $B53&amp;BC$4,tblForecast,BC$2,FALSE),0)</f>
        <v>0</v>
      </c>
      <c r="BD53" s="71">
        <f t="shared" si="117"/>
        <v>0</v>
      </c>
      <c r="BE53" s="69">
        <f t="shared" si="22"/>
        <v>0</v>
      </c>
      <c r="BF53" s="90">
        <f>IFERROR(VLOOKUP(FiscalYr &amp; $B53&amp;BF$4,tblForecast,BF$2,FALSE),0)</f>
        <v>0</v>
      </c>
      <c r="BG53" s="85">
        <f t="shared" si="137"/>
        <v>0</v>
      </c>
      <c r="BH53" s="69">
        <f t="shared" si="24"/>
        <v>0</v>
      </c>
      <c r="BI53" s="85">
        <f t="shared" si="58"/>
        <v>0</v>
      </c>
      <c r="BJ53" s="86">
        <f t="shared" si="59"/>
        <v>0</v>
      </c>
      <c r="BK53" s="75">
        <f t="shared" si="26"/>
        <v>0</v>
      </c>
      <c r="BL53" s="283">
        <f>IFERROR(VLOOKUP(Brand&amp;Channel&amp;Country&amp;$B53,tblDiscount,6,FALSE),0)</f>
        <v>0.8</v>
      </c>
      <c r="BM53" s="249">
        <f>(1-BL53)*BN53</f>
        <v>0</v>
      </c>
      <c r="BN53" s="249">
        <f>IFERROR(VLOOKUP(Brand&amp;Country &amp; Channel &amp;FC,tblFCSettings,8,FALSE),0)</f>
        <v>0</v>
      </c>
      <c r="BO53" s="284">
        <f>IFERROR(VLOOKUP(Brand&amp;Country &amp; Channel &amp;FC,tblFCSettings,9,FALSE),0)</f>
        <v>0</v>
      </c>
    </row>
    <row r="54" spans="2:67" customFormat="1" ht="16.5" thickBot="1" x14ac:dyDescent="0.3">
      <c r="B54" s="6" t="s">
        <v>343</v>
      </c>
      <c r="C54" s="92">
        <f>SUM(C49:C53)</f>
        <v>0</v>
      </c>
      <c r="D54" s="93">
        <f>SUM(D49:D53)</f>
        <v>0</v>
      </c>
      <c r="E54" s="94">
        <f t="shared" si="0"/>
        <v>0</v>
      </c>
      <c r="F54" s="95">
        <f>SUM(F49:F53)</f>
        <v>0</v>
      </c>
      <c r="G54" s="96">
        <f>SUM(G49:G53)</f>
        <v>0</v>
      </c>
      <c r="H54" s="94">
        <f t="shared" si="1"/>
        <v>0</v>
      </c>
      <c r="I54" s="178">
        <f>IF(F48&lt;&gt;0,F54/F48-1,0)</f>
        <v>0</v>
      </c>
      <c r="J54" s="178">
        <f>IF(G48&lt;&gt;0,G54/G48-1,0)</f>
        <v>0</v>
      </c>
      <c r="K54" s="92">
        <f>SUM(K49:K53)</f>
        <v>0</v>
      </c>
      <c r="L54" s="93">
        <f>SUM(L49:L53)</f>
        <v>0</v>
      </c>
      <c r="M54" s="97">
        <f t="shared" si="2"/>
        <v>0</v>
      </c>
      <c r="N54" s="164">
        <f>IFERROR(K54/C54,0)</f>
        <v>0</v>
      </c>
      <c r="O54" s="165">
        <f>IFERROR(L54/D54,0)</f>
        <v>0</v>
      </c>
      <c r="P54" s="94">
        <f t="shared" si="120"/>
        <v>0</v>
      </c>
      <c r="Q54" s="98">
        <f>IFERROR(C54/F54,0)</f>
        <v>0</v>
      </c>
      <c r="R54" s="99">
        <f>IFERROR(D54/G54,0)</f>
        <v>0</v>
      </c>
      <c r="S54" s="94">
        <f t="shared" si="4"/>
        <v>0</v>
      </c>
      <c r="T54" s="98">
        <f>IFERROR((C54*(1-N54))/F54,0)</f>
        <v>0</v>
      </c>
      <c r="U54" s="99">
        <f>IFERROR((D54*(1-O54))/G54,0)</f>
        <v>0</v>
      </c>
      <c r="V54" s="94">
        <f t="shared" si="5"/>
        <v>0</v>
      </c>
      <c r="W54" s="98">
        <f>IFERROR(SUMPRODUCT(W49:W53,F49:F53)/F54,0)</f>
        <v>0</v>
      </c>
      <c r="X54" s="99">
        <f>IFERROR(SUMPRODUCT(X49:X53,G49:G53)/G54,0)</f>
        <v>0</v>
      </c>
      <c r="Y54" s="94">
        <f t="shared" si="6"/>
        <v>0</v>
      </c>
      <c r="Z54" s="100">
        <f t="shared" si="69"/>
        <v>0</v>
      </c>
      <c r="AA54" s="101">
        <f t="shared" si="63"/>
        <v>0</v>
      </c>
      <c r="AB54" s="94">
        <f t="shared" si="121"/>
        <v>0</v>
      </c>
      <c r="AC54" s="102">
        <f t="shared" si="103"/>
        <v>0</v>
      </c>
      <c r="AD54" s="103">
        <f t="shared" si="104"/>
        <v>0</v>
      </c>
      <c r="AE54" s="104">
        <f t="shared" si="32"/>
        <v>0</v>
      </c>
      <c r="AF54" s="95">
        <f>AF53</f>
        <v>0</v>
      </c>
      <c r="AG54" s="96">
        <f>AG53</f>
        <v>0</v>
      </c>
      <c r="AH54" s="94">
        <f t="shared" si="11"/>
        <v>0</v>
      </c>
      <c r="AI54" s="95">
        <f t="shared" ref="AI54:AL54" si="140">SUM(AI49:AI53)</f>
        <v>0</v>
      </c>
      <c r="AJ54" s="96">
        <f t="shared" si="140"/>
        <v>0</v>
      </c>
      <c r="AK54" s="96">
        <f t="shared" si="140"/>
        <v>0</v>
      </c>
      <c r="AL54" s="96">
        <f t="shared" si="140"/>
        <v>0</v>
      </c>
      <c r="AM54" s="94">
        <f t="shared" si="13"/>
        <v>0</v>
      </c>
      <c r="AN54" s="95">
        <f>SUM(AN49:AN53)</f>
        <v>0</v>
      </c>
      <c r="AO54" s="96">
        <f>SUM(AO49:AO53)</f>
        <v>0</v>
      </c>
      <c r="AP54" s="94">
        <f t="shared" si="15"/>
        <v>0</v>
      </c>
      <c r="AQ54" s="105">
        <f>IF(F54&lt;&gt;0,(AF54*COUNTIF(AQ49:AQ53,"&lt;&gt;0")/F54),0)</f>
        <v>0</v>
      </c>
      <c r="AR54" s="106">
        <f>IF(G54&lt;&gt;0,(AG54*COUNTIF(AR49:AR53,"&lt;&gt;0")/G54),0)</f>
        <v>0</v>
      </c>
      <c r="AS54" s="94">
        <f t="shared" si="123"/>
        <v>0</v>
      </c>
      <c r="AT54" s="95">
        <f>SUM(AT49:AT53)</f>
        <v>0</v>
      </c>
      <c r="AU54" s="96">
        <f t="shared" si="116"/>
        <v>0</v>
      </c>
      <c r="AV54" s="94">
        <f t="shared" si="18"/>
        <v>0</v>
      </c>
      <c r="AW54" s="107"/>
      <c r="AX54" s="108"/>
      <c r="AY54" s="94">
        <f t="shared" si="19"/>
        <v>0</v>
      </c>
      <c r="AZ54" s="134"/>
      <c r="BA54" s="111"/>
      <c r="BB54" s="94">
        <f t="shared" si="20"/>
        <v>0</v>
      </c>
      <c r="BC54" s="95">
        <f>SUM(BC49:BC53)</f>
        <v>0</v>
      </c>
      <c r="BD54" s="96">
        <f t="shared" si="117"/>
        <v>0</v>
      </c>
      <c r="BE54" s="94">
        <f t="shared" si="22"/>
        <v>0</v>
      </c>
      <c r="BF54" s="110">
        <f>SUM(BF49:BF53)</f>
        <v>0</v>
      </c>
      <c r="BG54" s="111">
        <f>SUM(BG49:BG53)</f>
        <v>0</v>
      </c>
      <c r="BH54" s="94">
        <f t="shared" si="24"/>
        <v>0</v>
      </c>
      <c r="BI54" s="111">
        <f t="shared" si="58"/>
        <v>0</v>
      </c>
      <c r="BJ54" s="112">
        <f t="shared" si="59"/>
        <v>0</v>
      </c>
      <c r="BK54" s="101">
        <f t="shared" si="26"/>
        <v>0</v>
      </c>
      <c r="BL54" s="283"/>
      <c r="BM54" s="249"/>
      <c r="BN54" s="249"/>
      <c r="BO54" s="284"/>
    </row>
    <row r="55" spans="2:67" customFormat="1" x14ac:dyDescent="0.25">
      <c r="B55" s="185">
        <v>36</v>
      </c>
      <c r="C55" s="87">
        <f t="shared" ref="C55:D58" si="141">F55*Q55</f>
        <v>0</v>
      </c>
      <c r="D55" s="68">
        <f t="shared" si="141"/>
        <v>0</v>
      </c>
      <c r="E55" s="69">
        <f t="shared" si="0"/>
        <v>0</v>
      </c>
      <c r="F55" s="157">
        <f>IF(NewPlan=TRUE,IF(AF54-(G55*J55)&lt;0,AF54,G55*J55),IFERROR(VLOOKUP(FiscalYr &amp; $B55&amp;F$4,tblForecast,F$2,FALSE),0))</f>
        <v>0</v>
      </c>
      <c r="G55" s="189">
        <f>IFERROR(VLOOKUP(FiscalYr-IF(CompareVer="LY",1,0) &amp; $B55 + IF(FiscalYr=2018,1,0)&amp;G$4,tblForecast,G$2,FALSE),0)</f>
        <v>0</v>
      </c>
      <c r="H55" s="69">
        <f t="shared" si="1"/>
        <v>0</v>
      </c>
      <c r="I55" s="177">
        <f>IFERROR(IF(F53&gt;0,F55/F53,0),0)</f>
        <v>0</v>
      </c>
      <c r="J55" s="177">
        <f>IFERROR(IF(G53&gt;0,G55/G53,0),0)</f>
        <v>0</v>
      </c>
      <c r="K55" s="87">
        <f t="shared" ref="K55:K58" si="142">IFERROR(C55*N55,0)</f>
        <v>0</v>
      </c>
      <c r="L55" s="68">
        <f t="shared" ref="L55:L58" si="143">D55*O55</f>
        <v>0</v>
      </c>
      <c r="M55" s="72">
        <f t="shared" si="2"/>
        <v>0</v>
      </c>
      <c r="N55" s="162">
        <f t="shared" ref="N55:O58" si="144">IF(Q55&lt;&gt;0,1-T55/Q55,0)</f>
        <v>0</v>
      </c>
      <c r="O55" s="163">
        <f t="shared" si="144"/>
        <v>0</v>
      </c>
      <c r="P55" s="69">
        <f t="shared" si="120"/>
        <v>0</v>
      </c>
      <c r="Q55" s="158">
        <f>IF(NewPlan=TRUE,IF(BM55=0,R55,BM55),IFERROR(VLOOKUP(FiscalYr&amp;$B55&amp;Q$4,tblForecast,Q$2,FALSE),0))</f>
        <v>0</v>
      </c>
      <c r="R55" s="73">
        <f>IFERROR(VLOOKUP(FiscalYr-IF(CompareVer="LY",1,0) &amp; $B55 + IF(FiscalYr=2018,1,0)&amp;R$4,tblForecast,R$2,FALSE),0)</f>
        <v>0</v>
      </c>
      <c r="S55" s="69">
        <f t="shared" ref="S55:S58" si="145">IFERROR(Q55/R55-1,)</f>
        <v>0</v>
      </c>
      <c r="T55" s="158">
        <f>IF(NewPlan=TRUE,IF(BO55=0,U55,BO55),IFERROR(VLOOKUP(FiscalYr &amp; $B55&amp;T$4,tblForecast,T$2,FALSE),0))</f>
        <v>0</v>
      </c>
      <c r="U55" s="73">
        <f>IFERROR(VLOOKUP(FiscalYr-IF(CompareVer="LY",1,0) &amp; $B55 + IF(FiscalYr=2018,1,0)&amp;U$4,tblForecast,U$2,FALSE),0)</f>
        <v>0</v>
      </c>
      <c r="V55" s="69">
        <f t="shared" ref="V55:V58" si="146">IFERROR(T55/U55-1,)</f>
        <v>0</v>
      </c>
      <c r="W55" s="158">
        <f>IF(NewPlan=TRUE,IF(BN55=0,X55,BN55),IFERROR(VLOOKUP(FiscalYr &amp; $B55&amp;W$4,tblForecast,W$2,FALSE),0))</f>
        <v>0</v>
      </c>
      <c r="X55" s="73">
        <f>IFERROR(VLOOKUP(FiscalYr-IF(CompareVer="LY",1,0) &amp; $B55 + IF(FiscalYr=2018,1,0)&amp;X$4,tblForecast,X$2,FALSE),0)</f>
        <v>0</v>
      </c>
      <c r="Y55" s="69">
        <f t="shared" si="6"/>
        <v>0</v>
      </c>
      <c r="Z55" s="74">
        <f t="shared" si="69"/>
        <v>0</v>
      </c>
      <c r="AA55" s="75">
        <f t="shared" si="63"/>
        <v>0</v>
      </c>
      <c r="AB55" s="69">
        <f t="shared" si="121"/>
        <v>0</v>
      </c>
      <c r="AC55" s="88">
        <f t="shared" si="103"/>
        <v>0</v>
      </c>
      <c r="AD55" s="77">
        <f t="shared" si="104"/>
        <v>0</v>
      </c>
      <c r="AE55" s="78">
        <f t="shared" si="32"/>
        <v>0</v>
      </c>
      <c r="AF55" s="238">
        <f t="shared" ref="AF55:AF58" si="147">IF(AF54+AK55+AN55-F55&lt;0,0,AF54+AK55+AN55-F55)</f>
        <v>0</v>
      </c>
      <c r="AG55" s="71">
        <f>IFERROR(VLOOKUP(FiscalYr-IF(CompareVer="LY",1,0) &amp; $B55 + IF(FiscalYr=2018,1,0)&amp;AG$4,tblForecast,AG$2,FALSE),0)</f>
        <v>0</v>
      </c>
      <c r="AH55" s="69">
        <f t="shared" si="11"/>
        <v>0</v>
      </c>
      <c r="AI55" s="157">
        <f t="shared" ref="AI55:AJ58" si="148">IFERROR(VLOOKUP(FiscalYr &amp; $B55&amp;AI$4,tblForecast,AI$2,FALSE),0)</f>
        <v>0</v>
      </c>
      <c r="AJ55" s="71">
        <f t="shared" si="148"/>
        <v>0</v>
      </c>
      <c r="AK55" s="71">
        <f>IF($A55="a",IFERROR(VLOOKUP(FiscalYr &amp; $B55&amp;AK$4,tblForecast,AK$2,FALSE),0),AI55+AJ55)</f>
        <v>0</v>
      </c>
      <c r="AL55" s="71">
        <f>IFERROR(VLOOKUP(FiscalYr-IF(CompareVer="LY",1,0) &amp; $B55 + IF(FiscalYr=2018,1,0)&amp;AL$4,tblForecast,AL$2,FALSE),0)</f>
        <v>0</v>
      </c>
      <c r="AM55" s="69">
        <f t="shared" si="13"/>
        <v>0</v>
      </c>
      <c r="AN55" s="157">
        <f t="shared" ref="AN55:AO58" si="149">IFERROR(VLOOKUP(FiscalYr &amp; $B55&amp;AN$4,tblForecast,AN$2,FALSE),0)</f>
        <v>0</v>
      </c>
      <c r="AO55" s="71">
        <f t="shared" si="149"/>
        <v>0</v>
      </c>
      <c r="AP55" s="69">
        <f t="shared" si="15"/>
        <v>0</v>
      </c>
      <c r="AQ55" s="80">
        <f t="shared" ref="AQ55:AR58" si="150">IF(F55&lt;&gt;0,AF55/F55,0)</f>
        <v>0</v>
      </c>
      <c r="AR55" s="89">
        <f t="shared" si="150"/>
        <v>0</v>
      </c>
      <c r="AS55" s="69">
        <f t="shared" si="123"/>
        <v>0</v>
      </c>
      <c r="AT55" s="157">
        <f>IFERROR(VLOOKUP(FiscalYr &amp; $B55&amp;AT$4,tblForecast,AT$2,FALSE),0)</f>
        <v>0</v>
      </c>
      <c r="AU55" s="71">
        <f t="shared" si="116"/>
        <v>0</v>
      </c>
      <c r="AV55" s="69">
        <f t="shared" si="18"/>
        <v>0</v>
      </c>
      <c r="AW55" s="82"/>
      <c r="AX55" s="83"/>
      <c r="AY55" s="69">
        <f t="shared" si="19"/>
        <v>0</v>
      </c>
      <c r="AZ55" s="84"/>
      <c r="BA55" s="85"/>
      <c r="BB55" s="69">
        <f t="shared" si="20"/>
        <v>0</v>
      </c>
      <c r="BC55" s="157">
        <f>IFERROR(VLOOKUP(FiscalYr &amp; $B55&amp;BC$4,tblForecast,BC$2,FALSE),0)</f>
        <v>0</v>
      </c>
      <c r="BD55" s="71">
        <f t="shared" si="117"/>
        <v>0</v>
      </c>
      <c r="BE55" s="69">
        <f t="shared" si="22"/>
        <v>0</v>
      </c>
      <c r="BF55" s="90">
        <f>IFERROR(VLOOKUP(FiscalYr &amp; $B55&amp;BF$4,tblForecast,BF$2,FALSE),0)</f>
        <v>0</v>
      </c>
      <c r="BG55" s="85">
        <f t="shared" ref="BG55:BG58" si="151">IFERROR(VLOOKUP(FiscalYr-1 &amp; $B55&amp; FCLY,tblForecast,BF$2,FALSE),0)</f>
        <v>0</v>
      </c>
      <c r="BH55" s="69">
        <f t="shared" si="24"/>
        <v>0</v>
      </c>
      <c r="BI55" s="85">
        <f t="shared" si="58"/>
        <v>0</v>
      </c>
      <c r="BJ55" s="86">
        <f t="shared" si="59"/>
        <v>0</v>
      </c>
      <c r="BK55" s="75">
        <f t="shared" si="26"/>
        <v>0</v>
      </c>
      <c r="BL55" s="283">
        <f>IFERROR(VLOOKUP(Brand&amp;Channel&amp;Country&amp;$B55,tblDiscount,6,FALSE),0)</f>
        <v>0.8</v>
      </c>
      <c r="BM55" s="249">
        <f>(1-BL55)*BN55</f>
        <v>0</v>
      </c>
      <c r="BN55" s="249">
        <f>IFERROR(VLOOKUP(Brand&amp;Country &amp; Channel &amp;FC,tblFCSettings,8,FALSE),0)</f>
        <v>0</v>
      </c>
      <c r="BO55" s="284">
        <f>IFERROR(VLOOKUP(Brand&amp;Country &amp; Channel &amp;FC,tblFCSettings,9,FALSE),0)</f>
        <v>0</v>
      </c>
    </row>
    <row r="56" spans="2:67" customFormat="1" x14ac:dyDescent="0.25">
      <c r="B56" s="185">
        <v>37</v>
      </c>
      <c r="C56" s="87">
        <f t="shared" si="141"/>
        <v>0</v>
      </c>
      <c r="D56" s="68">
        <f t="shared" si="141"/>
        <v>0</v>
      </c>
      <c r="E56" s="69">
        <f t="shared" si="0"/>
        <v>0</v>
      </c>
      <c r="F56" s="157">
        <f>IF(NewPlan=TRUE,IF(AF55-(G56*J56)&lt;0,AF55,G56*J56),IFERROR(VLOOKUP(FiscalYr &amp; $B56&amp;F$4,tblForecast,F$2,FALSE),0))</f>
        <v>0</v>
      </c>
      <c r="G56" s="189">
        <f>IFERROR(VLOOKUP(FiscalYr-IF(CompareVer="LY",1,0) &amp; $B56 + IF(FiscalYr=2018,1,0)&amp;G$4,tblForecast,G$2,FALSE),0)</f>
        <v>0</v>
      </c>
      <c r="H56" s="69">
        <f t="shared" si="1"/>
        <v>0</v>
      </c>
      <c r="I56" s="177">
        <f t="shared" ref="I56:J58" si="152">IFERROR(IF(F55&lt;&gt;0,F56/F55,0),0)</f>
        <v>0</v>
      </c>
      <c r="J56" s="177">
        <f t="shared" si="152"/>
        <v>0</v>
      </c>
      <c r="K56" s="87">
        <f t="shared" si="142"/>
        <v>0</v>
      </c>
      <c r="L56" s="68">
        <f t="shared" si="143"/>
        <v>0</v>
      </c>
      <c r="M56" s="72">
        <f t="shared" si="2"/>
        <v>0</v>
      </c>
      <c r="N56" s="162">
        <f t="shared" si="144"/>
        <v>0</v>
      </c>
      <c r="O56" s="163">
        <f t="shared" si="144"/>
        <v>0</v>
      </c>
      <c r="P56" s="69">
        <f t="shared" si="120"/>
        <v>0</v>
      </c>
      <c r="Q56" s="158">
        <f>IF(NewPlan=TRUE,IF(BM56=0,R56,BM56),IFERROR(VLOOKUP(FiscalYr&amp;$B56&amp;Q$4,tblForecast,Q$2,FALSE),0))</f>
        <v>0</v>
      </c>
      <c r="R56" s="73">
        <f>IFERROR(VLOOKUP(FiscalYr-IF(CompareVer="LY",1,0) &amp; $B56 + IF(FiscalYr=2018,1,0)&amp;R$4,tblForecast,R$2,FALSE),0)</f>
        <v>0</v>
      </c>
      <c r="S56" s="69">
        <f t="shared" si="145"/>
        <v>0</v>
      </c>
      <c r="T56" s="158">
        <f>IF(NewPlan=TRUE,IF(BO56=0,U56,BO56),IFERROR(VLOOKUP(FiscalYr &amp; $B56&amp;T$4,tblForecast,T$2,FALSE),0))</f>
        <v>0</v>
      </c>
      <c r="U56" s="73">
        <f>IFERROR(VLOOKUP(FiscalYr-IF(CompareVer="LY",1,0) &amp; $B56 + IF(FiscalYr=2018,1,0)&amp;U$4,tblForecast,U$2,FALSE),0)</f>
        <v>0</v>
      </c>
      <c r="V56" s="69">
        <f t="shared" si="146"/>
        <v>0</v>
      </c>
      <c r="W56" s="158">
        <f>IF(NewPlan=TRUE,IF(BN56=0,X56,BN56),IFERROR(VLOOKUP(FiscalYr &amp; $B56&amp;W$4,tblForecast,W$2,FALSE),0))</f>
        <v>0</v>
      </c>
      <c r="X56" s="73">
        <f>IFERROR(VLOOKUP(FiscalYr-IF(CompareVer="LY",1,0) &amp; $B56 + IF(FiscalYr=2018,1,0)&amp;X$4,tblForecast,X$2,FALSE),0)</f>
        <v>0</v>
      </c>
      <c r="Y56" s="69">
        <f t="shared" si="6"/>
        <v>0</v>
      </c>
      <c r="Z56" s="74">
        <f t="shared" si="69"/>
        <v>0</v>
      </c>
      <c r="AA56" s="75">
        <f t="shared" si="63"/>
        <v>0</v>
      </c>
      <c r="AB56" s="69">
        <f t="shared" si="121"/>
        <v>0</v>
      </c>
      <c r="AC56" s="88">
        <f t="shared" si="103"/>
        <v>0</v>
      </c>
      <c r="AD56" s="77">
        <f t="shared" si="104"/>
        <v>0</v>
      </c>
      <c r="AE56" s="78">
        <f t="shared" si="32"/>
        <v>0</v>
      </c>
      <c r="AF56" s="238">
        <f t="shared" si="147"/>
        <v>0</v>
      </c>
      <c r="AG56" s="71">
        <f>IFERROR(VLOOKUP(FiscalYr-IF(CompareVer="LY",1,0) &amp; $B56 + IF(FiscalYr=2018,1,0)&amp;AG$4,tblForecast,AG$2,FALSE),0)</f>
        <v>0</v>
      </c>
      <c r="AH56" s="69">
        <f t="shared" si="11"/>
        <v>0</v>
      </c>
      <c r="AI56" s="157">
        <f t="shared" si="148"/>
        <v>0</v>
      </c>
      <c r="AJ56" s="71">
        <f t="shared" si="148"/>
        <v>0</v>
      </c>
      <c r="AK56" s="71">
        <f>IF($A56="a",IFERROR(VLOOKUP(FiscalYr &amp; $B56&amp;AK$4,tblForecast,AK$2,FALSE),0),AI56+AJ56)</f>
        <v>0</v>
      </c>
      <c r="AL56" s="71">
        <f>IFERROR(VLOOKUP(FiscalYr-IF(CompareVer="LY",1,0) &amp; $B56 + IF(FiscalYr=2018,1,0)&amp;AL$4,tblForecast,AL$2,FALSE),0)</f>
        <v>0</v>
      </c>
      <c r="AM56" s="69">
        <f t="shared" si="13"/>
        <v>0</v>
      </c>
      <c r="AN56" s="157">
        <f t="shared" si="149"/>
        <v>0</v>
      </c>
      <c r="AO56" s="71">
        <f t="shared" si="149"/>
        <v>0</v>
      </c>
      <c r="AP56" s="69">
        <f t="shared" si="15"/>
        <v>0</v>
      </c>
      <c r="AQ56" s="80">
        <f t="shared" si="150"/>
        <v>0</v>
      </c>
      <c r="AR56" s="89">
        <f t="shared" si="150"/>
        <v>0</v>
      </c>
      <c r="AS56" s="69">
        <f t="shared" si="123"/>
        <v>0</v>
      </c>
      <c r="AT56" s="157">
        <f>IFERROR(VLOOKUP(FiscalYr &amp; $B56&amp;AT$4,tblForecast,AT$2,FALSE),0)</f>
        <v>0</v>
      </c>
      <c r="AU56" s="71">
        <f t="shared" si="116"/>
        <v>0</v>
      </c>
      <c r="AV56" s="69">
        <f t="shared" si="18"/>
        <v>0</v>
      </c>
      <c r="AW56" s="82"/>
      <c r="AX56" s="83"/>
      <c r="AY56" s="69">
        <f t="shared" si="19"/>
        <v>0</v>
      </c>
      <c r="AZ56" s="84"/>
      <c r="BA56" s="85"/>
      <c r="BB56" s="69">
        <f t="shared" si="20"/>
        <v>0</v>
      </c>
      <c r="BC56" s="157">
        <f>IFERROR(VLOOKUP(FiscalYr &amp; $B56&amp;BC$4,tblForecast,BC$2,FALSE),0)</f>
        <v>0</v>
      </c>
      <c r="BD56" s="71">
        <f t="shared" si="117"/>
        <v>0</v>
      </c>
      <c r="BE56" s="69">
        <f t="shared" si="22"/>
        <v>0</v>
      </c>
      <c r="BF56" s="90">
        <f>IFERROR(VLOOKUP(FiscalYr &amp; $B56&amp;BF$4,tblForecast,BF$2,FALSE),0)</f>
        <v>0</v>
      </c>
      <c r="BG56" s="85">
        <f t="shared" si="151"/>
        <v>0</v>
      </c>
      <c r="BH56" s="69">
        <f t="shared" si="24"/>
        <v>0</v>
      </c>
      <c r="BI56" s="85">
        <f t="shared" si="58"/>
        <v>0</v>
      </c>
      <c r="BJ56" s="86">
        <f t="shared" si="59"/>
        <v>0</v>
      </c>
      <c r="BK56" s="75">
        <f t="shared" si="26"/>
        <v>0</v>
      </c>
      <c r="BL56" s="283">
        <f>IFERROR(VLOOKUP(Brand&amp;Channel&amp;Country&amp;$B56,tblDiscount,6,FALSE),0)</f>
        <v>0.8</v>
      </c>
      <c r="BM56" s="249">
        <f t="shared" ref="BM56:BM58" si="153">(1-BL56)*BN56</f>
        <v>0</v>
      </c>
      <c r="BN56" s="249">
        <f>IFERROR(VLOOKUP(Brand&amp;Country &amp; Channel &amp;FC,tblFCSettings,8,FALSE),0)</f>
        <v>0</v>
      </c>
      <c r="BO56" s="284">
        <f>IFERROR(VLOOKUP(Brand&amp;Country &amp; Channel &amp;FC,tblFCSettings,9,FALSE),0)</f>
        <v>0</v>
      </c>
    </row>
    <row r="57" spans="2:67" customFormat="1" x14ac:dyDescent="0.25">
      <c r="B57" s="185">
        <v>38</v>
      </c>
      <c r="C57" s="87">
        <f t="shared" si="141"/>
        <v>0</v>
      </c>
      <c r="D57" s="68">
        <f t="shared" si="141"/>
        <v>0</v>
      </c>
      <c r="E57" s="69">
        <f t="shared" si="0"/>
        <v>0</v>
      </c>
      <c r="F57" s="157">
        <f>IF(NewPlan=TRUE,IF(AF56-(G57*J57)&lt;0,AF56,G57*J57),IFERROR(VLOOKUP(FiscalYr &amp; $B57&amp;F$4,tblForecast,F$2,FALSE),0))</f>
        <v>0</v>
      </c>
      <c r="G57" s="189">
        <f>IFERROR(VLOOKUP(FiscalYr-IF(CompareVer="LY",1,0) &amp; $B57 + IF(FiscalYr=2018,1,0)&amp;G$4,tblForecast,G$2,FALSE),0)</f>
        <v>0</v>
      </c>
      <c r="H57" s="69">
        <f t="shared" si="1"/>
        <v>0</v>
      </c>
      <c r="I57" s="177">
        <f t="shared" si="152"/>
        <v>0</v>
      </c>
      <c r="J57" s="177">
        <f t="shared" si="152"/>
        <v>0</v>
      </c>
      <c r="K57" s="87">
        <f t="shared" si="142"/>
        <v>0</v>
      </c>
      <c r="L57" s="68">
        <f t="shared" si="143"/>
        <v>0</v>
      </c>
      <c r="M57" s="72">
        <f t="shared" si="2"/>
        <v>0</v>
      </c>
      <c r="N57" s="162">
        <f t="shared" si="144"/>
        <v>0</v>
      </c>
      <c r="O57" s="163">
        <f t="shared" si="144"/>
        <v>0</v>
      </c>
      <c r="P57" s="69">
        <f t="shared" si="120"/>
        <v>0</v>
      </c>
      <c r="Q57" s="158">
        <f>IF(NewPlan=TRUE,IF(BM57=0,R57,BM57),IFERROR(VLOOKUP(FiscalYr&amp;$B57&amp;Q$4,tblForecast,Q$2,FALSE),0))</f>
        <v>0</v>
      </c>
      <c r="R57" s="73">
        <f>IFERROR(VLOOKUP(FiscalYr-IF(CompareVer="LY",1,0) &amp; $B57 + IF(FiscalYr=2018,1,0)&amp;R$4,tblForecast,R$2,FALSE),0)</f>
        <v>0</v>
      </c>
      <c r="S57" s="69">
        <f t="shared" si="145"/>
        <v>0</v>
      </c>
      <c r="T57" s="158">
        <f>IF(NewPlan=TRUE,IF(BO57=0,U57,BO57),IFERROR(VLOOKUP(FiscalYr &amp; $B57&amp;T$4,tblForecast,T$2,FALSE),0))</f>
        <v>0</v>
      </c>
      <c r="U57" s="73">
        <f>IFERROR(VLOOKUP(FiscalYr-IF(CompareVer="LY",1,0) &amp; $B57 + IF(FiscalYr=2018,1,0)&amp;U$4,tblForecast,U$2,FALSE),0)</f>
        <v>0</v>
      </c>
      <c r="V57" s="69">
        <f t="shared" si="146"/>
        <v>0</v>
      </c>
      <c r="W57" s="158">
        <f>IF(NewPlan=TRUE,IF(BN57=0,X57,BN57),IFERROR(VLOOKUP(FiscalYr &amp; $B57&amp;W$4,tblForecast,W$2,FALSE),0))</f>
        <v>0</v>
      </c>
      <c r="X57" s="73">
        <f>IFERROR(VLOOKUP(FiscalYr-IF(CompareVer="LY",1,0) &amp; $B57 + IF(FiscalYr=2018,1,0)&amp;X$4,tblForecast,X$2,FALSE),0)</f>
        <v>0</v>
      </c>
      <c r="Y57" s="69">
        <f t="shared" si="6"/>
        <v>0</v>
      </c>
      <c r="Z57" s="74">
        <f t="shared" si="69"/>
        <v>0</v>
      </c>
      <c r="AA57" s="75">
        <f t="shared" si="63"/>
        <v>0</v>
      </c>
      <c r="AB57" s="69">
        <f t="shared" si="121"/>
        <v>0</v>
      </c>
      <c r="AC57" s="88">
        <f t="shared" si="103"/>
        <v>0</v>
      </c>
      <c r="AD57" s="77">
        <f t="shared" si="104"/>
        <v>0</v>
      </c>
      <c r="AE57" s="78">
        <f t="shared" si="32"/>
        <v>0</v>
      </c>
      <c r="AF57" s="238">
        <f t="shared" si="147"/>
        <v>0</v>
      </c>
      <c r="AG57" s="71">
        <f>IFERROR(VLOOKUP(FiscalYr-IF(CompareVer="LY",1,0) &amp; $B57 + IF(FiscalYr=2018,1,0)&amp;AG$4,tblForecast,AG$2,FALSE),0)</f>
        <v>0</v>
      </c>
      <c r="AH57" s="69">
        <f t="shared" si="11"/>
        <v>0</v>
      </c>
      <c r="AI57" s="157">
        <f t="shared" si="148"/>
        <v>0</v>
      </c>
      <c r="AJ57" s="71">
        <f t="shared" si="148"/>
        <v>0</v>
      </c>
      <c r="AK57" s="71">
        <f>IF($A57="a",IFERROR(VLOOKUP(FiscalYr &amp; $B57&amp;AK$4,tblForecast,AK$2,FALSE),0),AI57+AJ57)</f>
        <v>0</v>
      </c>
      <c r="AL57" s="71">
        <f>IFERROR(VLOOKUP(FiscalYr-IF(CompareVer="LY",1,0) &amp; $B57 + IF(FiscalYr=2018,1,0)&amp;AL$4,tblForecast,AL$2,FALSE),0)</f>
        <v>0</v>
      </c>
      <c r="AM57" s="69">
        <f t="shared" si="13"/>
        <v>0</v>
      </c>
      <c r="AN57" s="157">
        <f t="shared" si="149"/>
        <v>0</v>
      </c>
      <c r="AO57" s="71">
        <f t="shared" si="149"/>
        <v>0</v>
      </c>
      <c r="AP57" s="69">
        <f t="shared" si="15"/>
        <v>0</v>
      </c>
      <c r="AQ57" s="80">
        <f t="shared" si="150"/>
        <v>0</v>
      </c>
      <c r="AR57" s="89">
        <f t="shared" si="150"/>
        <v>0</v>
      </c>
      <c r="AS57" s="69">
        <f t="shared" si="123"/>
        <v>0</v>
      </c>
      <c r="AT57" s="157">
        <f>IFERROR(VLOOKUP(FiscalYr &amp; $B57&amp;AT$4,tblForecast,AT$2,FALSE),0)</f>
        <v>0</v>
      </c>
      <c r="AU57" s="71">
        <f t="shared" si="116"/>
        <v>0</v>
      </c>
      <c r="AV57" s="69">
        <f t="shared" si="18"/>
        <v>0</v>
      </c>
      <c r="AW57" s="82"/>
      <c r="AX57" s="83"/>
      <c r="AY57" s="69">
        <f t="shared" si="19"/>
        <v>0</v>
      </c>
      <c r="AZ57" s="84"/>
      <c r="BA57" s="85"/>
      <c r="BB57" s="69">
        <f t="shared" si="20"/>
        <v>0</v>
      </c>
      <c r="BC57" s="157">
        <f>IFERROR(VLOOKUP(FiscalYr &amp; $B57&amp;BC$4,tblForecast,BC$2,FALSE),0)</f>
        <v>0</v>
      </c>
      <c r="BD57" s="71">
        <f t="shared" si="117"/>
        <v>0</v>
      </c>
      <c r="BE57" s="69">
        <f t="shared" si="22"/>
        <v>0</v>
      </c>
      <c r="BF57" s="90">
        <f>IFERROR(VLOOKUP(FiscalYr &amp; $B57&amp;BF$4,tblForecast,BF$2,FALSE),0)</f>
        <v>0</v>
      </c>
      <c r="BG57" s="85">
        <f t="shared" si="151"/>
        <v>0</v>
      </c>
      <c r="BH57" s="69">
        <f t="shared" si="24"/>
        <v>0</v>
      </c>
      <c r="BI57" s="85">
        <f t="shared" si="58"/>
        <v>0</v>
      </c>
      <c r="BJ57" s="86">
        <f t="shared" si="59"/>
        <v>0</v>
      </c>
      <c r="BK57" s="75">
        <f t="shared" si="26"/>
        <v>0</v>
      </c>
      <c r="BL57" s="283">
        <f>IFERROR(VLOOKUP(Brand&amp;Channel&amp;Country&amp;$B57,tblDiscount,6,FALSE),0)</f>
        <v>0.8</v>
      </c>
      <c r="BM57" s="249">
        <f t="shared" si="153"/>
        <v>0</v>
      </c>
      <c r="BN57" s="249">
        <f>IFERROR(VLOOKUP(Brand&amp;Country &amp; Channel &amp;FC,tblFCSettings,8,FALSE),0)</f>
        <v>0</v>
      </c>
      <c r="BO57" s="284">
        <f>IFERROR(VLOOKUP(Brand&amp;Country &amp; Channel &amp;FC,tblFCSettings,9,FALSE),0)</f>
        <v>0</v>
      </c>
    </row>
    <row r="58" spans="2:67" customFormat="1" ht="16.5" thickBot="1" x14ac:dyDescent="0.3">
      <c r="B58" s="185">
        <v>39</v>
      </c>
      <c r="C58" s="87">
        <f t="shared" si="141"/>
        <v>0</v>
      </c>
      <c r="D58" s="68">
        <f t="shared" si="141"/>
        <v>0</v>
      </c>
      <c r="E58" s="69">
        <f t="shared" si="0"/>
        <v>0</v>
      </c>
      <c r="F58" s="157">
        <f>IF(NewPlan=TRUE,IF(AF57-(G58*J58)&lt;0,AF57,G58*J58),IFERROR(VLOOKUP(FiscalYr &amp; $B58&amp;F$4,tblForecast,F$2,FALSE),0))</f>
        <v>0</v>
      </c>
      <c r="G58" s="189">
        <f>IFERROR(VLOOKUP(FiscalYr-IF(CompareVer="LY",1,0) &amp; $B58 + IF(FiscalYr=2018,1,0)&amp;G$4,tblForecast,G$2,FALSE),0)</f>
        <v>0</v>
      </c>
      <c r="H58" s="69">
        <f t="shared" si="1"/>
        <v>0</v>
      </c>
      <c r="I58" s="177">
        <f t="shared" si="152"/>
        <v>0</v>
      </c>
      <c r="J58" s="177">
        <f t="shared" si="152"/>
        <v>0</v>
      </c>
      <c r="K58" s="87">
        <f t="shared" si="142"/>
        <v>0</v>
      </c>
      <c r="L58" s="68">
        <f t="shared" si="143"/>
        <v>0</v>
      </c>
      <c r="M58" s="72">
        <f t="shared" si="2"/>
        <v>0</v>
      </c>
      <c r="N58" s="162">
        <f t="shared" si="144"/>
        <v>0</v>
      </c>
      <c r="O58" s="163">
        <f t="shared" si="144"/>
        <v>0</v>
      </c>
      <c r="P58" s="69">
        <f t="shared" si="120"/>
        <v>0</v>
      </c>
      <c r="Q58" s="158">
        <f>IF(NewPlan=TRUE,IF(BM58=0,R58,BM58),IFERROR(VLOOKUP(FiscalYr&amp;$B58&amp;Q$4,tblForecast,Q$2,FALSE),0))</f>
        <v>0</v>
      </c>
      <c r="R58" s="73">
        <f>IFERROR(VLOOKUP(FiscalYr-IF(CompareVer="LY",1,0) &amp; $B58 + IF(FiscalYr=2018,1,0)&amp;R$4,tblForecast,R$2,FALSE),0)</f>
        <v>0</v>
      </c>
      <c r="S58" s="69">
        <f t="shared" si="145"/>
        <v>0</v>
      </c>
      <c r="T58" s="158">
        <f>IF(NewPlan=TRUE,IF(BO58=0,U58,BO58),IFERROR(VLOOKUP(FiscalYr &amp; $B58&amp;T$4,tblForecast,T$2,FALSE),0))</f>
        <v>0</v>
      </c>
      <c r="U58" s="73">
        <f>IFERROR(VLOOKUP(FiscalYr-IF(CompareVer="LY",1,0) &amp; $B58 + IF(FiscalYr=2018,1,0)&amp;U$4,tblForecast,U$2,FALSE),0)</f>
        <v>0</v>
      </c>
      <c r="V58" s="69">
        <f t="shared" si="146"/>
        <v>0</v>
      </c>
      <c r="W58" s="158">
        <f>IF(NewPlan=TRUE,IF(BN58=0,X58,BN58),IFERROR(VLOOKUP(FiscalYr &amp; $B58&amp;W$4,tblForecast,W$2,FALSE),0))</f>
        <v>0</v>
      </c>
      <c r="X58" s="73">
        <f>IFERROR(VLOOKUP(FiscalYr-IF(CompareVer="LY",1,0) &amp; $B58 + IF(FiscalYr=2018,1,0)&amp;X$4,tblForecast,X$2,FALSE),0)</f>
        <v>0</v>
      </c>
      <c r="Y58" s="69">
        <f t="shared" si="6"/>
        <v>0</v>
      </c>
      <c r="Z58" s="74">
        <f t="shared" si="69"/>
        <v>0</v>
      </c>
      <c r="AA58" s="75">
        <f t="shared" si="63"/>
        <v>0</v>
      </c>
      <c r="AB58" s="69">
        <f t="shared" si="121"/>
        <v>0</v>
      </c>
      <c r="AC58" s="88">
        <f t="shared" si="103"/>
        <v>0</v>
      </c>
      <c r="AD58" s="77">
        <f t="shared" si="104"/>
        <v>0</v>
      </c>
      <c r="AE58" s="78">
        <f t="shared" si="32"/>
        <v>0</v>
      </c>
      <c r="AF58" s="238">
        <f t="shared" si="147"/>
        <v>0</v>
      </c>
      <c r="AG58" s="71">
        <f>IFERROR(VLOOKUP(FiscalYr-IF(CompareVer="LY",1,0) &amp; $B58 + IF(FiscalYr=2018,1,0)&amp;AG$4,tblForecast,AG$2,FALSE),0)</f>
        <v>0</v>
      </c>
      <c r="AH58" s="69">
        <f t="shared" si="11"/>
        <v>0</v>
      </c>
      <c r="AI58" s="157">
        <f t="shared" si="148"/>
        <v>0</v>
      </c>
      <c r="AJ58" s="71">
        <f t="shared" si="148"/>
        <v>0</v>
      </c>
      <c r="AK58" s="71">
        <f>IF($A58="a",IFERROR(VLOOKUP(FiscalYr &amp; $B58&amp;AK$4,tblForecast,AK$2,FALSE),0),AI58+AJ58)</f>
        <v>0</v>
      </c>
      <c r="AL58" s="71">
        <f>IFERROR(VLOOKUP(FiscalYr-IF(CompareVer="LY",1,0) &amp; $B58 + IF(FiscalYr=2018,1,0)&amp;AL$4,tblForecast,AL$2,FALSE),0)</f>
        <v>0</v>
      </c>
      <c r="AM58" s="69">
        <f t="shared" si="13"/>
        <v>0</v>
      </c>
      <c r="AN58" s="157">
        <f t="shared" si="149"/>
        <v>0</v>
      </c>
      <c r="AO58" s="71">
        <f t="shared" si="149"/>
        <v>0</v>
      </c>
      <c r="AP58" s="69">
        <f t="shared" si="15"/>
        <v>0</v>
      </c>
      <c r="AQ58" s="80">
        <f t="shared" si="150"/>
        <v>0</v>
      </c>
      <c r="AR58" s="89">
        <f t="shared" si="150"/>
        <v>0</v>
      </c>
      <c r="AS58" s="69">
        <f t="shared" si="123"/>
        <v>0</v>
      </c>
      <c r="AT58" s="157">
        <f>IFERROR(VLOOKUP(FiscalYr &amp; $B58&amp;AT$4,tblForecast,AT$2,FALSE),0)</f>
        <v>0</v>
      </c>
      <c r="AU58" s="71">
        <f t="shared" si="116"/>
        <v>0</v>
      </c>
      <c r="AV58" s="69">
        <f t="shared" si="18"/>
        <v>0</v>
      </c>
      <c r="AW58" s="82"/>
      <c r="AX58" s="83"/>
      <c r="AY58" s="69">
        <f t="shared" si="19"/>
        <v>0</v>
      </c>
      <c r="AZ58" s="84"/>
      <c r="BA58" s="85"/>
      <c r="BB58" s="69">
        <f t="shared" si="20"/>
        <v>0</v>
      </c>
      <c r="BC58" s="157">
        <f>IFERROR(VLOOKUP(FiscalYr &amp; $B58&amp;BC$4,tblForecast,BC$2,FALSE),0)</f>
        <v>0</v>
      </c>
      <c r="BD58" s="71">
        <f t="shared" si="117"/>
        <v>0</v>
      </c>
      <c r="BE58" s="69">
        <f t="shared" si="22"/>
        <v>0</v>
      </c>
      <c r="BF58" s="90">
        <f>IFERROR(VLOOKUP(FiscalYr &amp; $B58&amp;BF$4,tblForecast,BF$2,FALSE),0)</f>
        <v>0</v>
      </c>
      <c r="BG58" s="85">
        <f t="shared" si="151"/>
        <v>0</v>
      </c>
      <c r="BH58" s="69">
        <f t="shared" si="24"/>
        <v>0</v>
      </c>
      <c r="BI58" s="85">
        <f t="shared" ref="BI58:BI78" si="154">IF(F58&lt;&gt;0,BF58/F58,0)</f>
        <v>0</v>
      </c>
      <c r="BJ58" s="86">
        <f t="shared" ref="BJ58:BJ78" si="155">IF(G58&lt;&gt;0,BG58/G58,0)</f>
        <v>0</v>
      </c>
      <c r="BK58" s="75">
        <f t="shared" si="26"/>
        <v>0</v>
      </c>
      <c r="BL58" s="283">
        <f>IFERROR(VLOOKUP(Brand&amp;Channel&amp;Country&amp;$B58,tblDiscount,6,FALSE),0)</f>
        <v>0.8</v>
      </c>
      <c r="BM58" s="249">
        <f t="shared" si="153"/>
        <v>0</v>
      </c>
      <c r="BN58" s="249">
        <f>IFERROR(VLOOKUP(Brand&amp;Country &amp; Channel &amp;FC,tblFCSettings,8,FALSE),0)</f>
        <v>0</v>
      </c>
      <c r="BO58" s="284">
        <f>IFERROR(VLOOKUP(Brand&amp;Country &amp; Channel &amp;FC,tblFCSettings,9,FALSE),0)</f>
        <v>0</v>
      </c>
    </row>
    <row r="59" spans="2:67" customFormat="1" ht="16.5" thickBot="1" x14ac:dyDescent="0.3">
      <c r="B59" s="6" t="s">
        <v>344</v>
      </c>
      <c r="C59" s="92">
        <f>SUM(C55:C58)</f>
        <v>0</v>
      </c>
      <c r="D59" s="93">
        <f>SUM(D55:D58)</f>
        <v>0</v>
      </c>
      <c r="E59" s="94">
        <f t="shared" si="0"/>
        <v>0</v>
      </c>
      <c r="F59" s="95">
        <f>SUM(F55:F58)</f>
        <v>0</v>
      </c>
      <c r="G59" s="96">
        <f>SUM(G55:G58)</f>
        <v>0</v>
      </c>
      <c r="H59" s="94">
        <f t="shared" si="1"/>
        <v>0</v>
      </c>
      <c r="I59" s="178">
        <f>IF(F54&lt;&gt;0,F59/F54-1,0)</f>
        <v>0</v>
      </c>
      <c r="J59" s="178">
        <f>IF(G54&lt;&gt;0,G59/G54-1,0)</f>
        <v>0</v>
      </c>
      <c r="K59" s="92">
        <f>SUM(K55:K58)</f>
        <v>0</v>
      </c>
      <c r="L59" s="93">
        <f>SUM(L55:L58)</f>
        <v>0</v>
      </c>
      <c r="M59" s="97">
        <f t="shared" si="2"/>
        <v>0</v>
      </c>
      <c r="N59" s="164">
        <f>IFERROR(K59/C59,0)</f>
        <v>0</v>
      </c>
      <c r="O59" s="165">
        <f>IFERROR(L59/D59,0)</f>
        <v>0</v>
      </c>
      <c r="P59" s="94">
        <f t="shared" si="120"/>
        <v>0</v>
      </c>
      <c r="Q59" s="98">
        <f>IFERROR(C59/F59,0)</f>
        <v>0</v>
      </c>
      <c r="R59" s="99">
        <f>IFERROR(D59/G59,0)</f>
        <v>0</v>
      </c>
      <c r="S59" s="94">
        <f t="shared" si="4"/>
        <v>0</v>
      </c>
      <c r="T59" s="98">
        <f>IFERROR((C59*(1-N59))/F59,0)</f>
        <v>0</v>
      </c>
      <c r="U59" s="99">
        <f>IFERROR((D59*(1-O59))/G59,0)</f>
        <v>0</v>
      </c>
      <c r="V59" s="94">
        <f t="shared" si="5"/>
        <v>0</v>
      </c>
      <c r="W59" s="98">
        <f>IFERROR(SUMPRODUCT(W55:W58,F55:F58)/F59,0)</f>
        <v>0</v>
      </c>
      <c r="X59" s="99">
        <f>IFERROR(SUMPRODUCT(X55:X58,G55:G58)/G59,0)</f>
        <v>0</v>
      </c>
      <c r="Y59" s="94">
        <f t="shared" si="6"/>
        <v>0</v>
      </c>
      <c r="Z59" s="100">
        <f t="shared" si="69"/>
        <v>0</v>
      </c>
      <c r="AA59" s="101">
        <f t="shared" ref="AA59:AA78" si="156">IFERROR((R59/X59-1)*-1,0)</f>
        <v>0</v>
      </c>
      <c r="AB59" s="94">
        <f t="shared" si="121"/>
        <v>0</v>
      </c>
      <c r="AC59" s="102">
        <f t="shared" si="103"/>
        <v>0</v>
      </c>
      <c r="AD59" s="103">
        <f t="shared" si="104"/>
        <v>0</v>
      </c>
      <c r="AE59" s="104">
        <f t="shared" si="32"/>
        <v>0</v>
      </c>
      <c r="AF59" s="95">
        <f>AF58</f>
        <v>0</v>
      </c>
      <c r="AG59" s="96">
        <f>AG58</f>
        <v>0</v>
      </c>
      <c r="AH59" s="94">
        <f t="shared" si="11"/>
        <v>0</v>
      </c>
      <c r="AI59" s="95">
        <f t="shared" ref="AI59:AL59" si="157">SUM(AI55:AI58)</f>
        <v>0</v>
      </c>
      <c r="AJ59" s="96">
        <f t="shared" si="157"/>
        <v>0</v>
      </c>
      <c r="AK59" s="96">
        <f t="shared" si="157"/>
        <v>0</v>
      </c>
      <c r="AL59" s="96">
        <f t="shared" si="157"/>
        <v>0</v>
      </c>
      <c r="AM59" s="94">
        <f t="shared" si="13"/>
        <v>0</v>
      </c>
      <c r="AN59" s="95">
        <f>SUM(AN55:AN58)</f>
        <v>0</v>
      </c>
      <c r="AO59" s="96">
        <f t="shared" si="36"/>
        <v>0</v>
      </c>
      <c r="AP59" s="94">
        <f t="shared" si="15"/>
        <v>0</v>
      </c>
      <c r="AQ59" s="105">
        <f>IF(F59&lt;&gt;0,(AF59*COUNT(AQ55:AQ58)/F59),0)</f>
        <v>0</v>
      </c>
      <c r="AR59" s="106">
        <f>IF(G59&lt;&gt;0,(AG59*COUNT(AR55:AR58)/G59),0)</f>
        <v>0</v>
      </c>
      <c r="AS59" s="94">
        <f t="shared" si="33"/>
        <v>0</v>
      </c>
      <c r="AT59" s="95">
        <f>SUM(AT55:AT58)</f>
        <v>0</v>
      </c>
      <c r="AU59" s="96">
        <f t="shared" si="116"/>
        <v>0</v>
      </c>
      <c r="AV59" s="94">
        <f t="shared" si="18"/>
        <v>0</v>
      </c>
      <c r="AW59" s="107"/>
      <c r="AX59" s="108"/>
      <c r="AY59" s="94">
        <f t="shared" si="19"/>
        <v>0</v>
      </c>
      <c r="AZ59" s="134">
        <f>SUM(AZ55:AZ58)</f>
        <v>0</v>
      </c>
      <c r="BA59" s="111">
        <f>SUM(BA55:BA58)</f>
        <v>0</v>
      </c>
      <c r="BB59" s="94">
        <f t="shared" si="20"/>
        <v>0</v>
      </c>
      <c r="BC59" s="95">
        <f>SUM(BC55:BC58)</f>
        <v>0</v>
      </c>
      <c r="BD59" s="96">
        <f t="shared" si="117"/>
        <v>0</v>
      </c>
      <c r="BE59" s="94">
        <f t="shared" si="22"/>
        <v>0</v>
      </c>
      <c r="BF59" s="110">
        <f>SUM(BF55:BF58)</f>
        <v>0</v>
      </c>
      <c r="BG59" s="111">
        <f>SUM(BG55:BG58)</f>
        <v>0</v>
      </c>
      <c r="BH59" s="94">
        <f t="shared" si="24"/>
        <v>0</v>
      </c>
      <c r="BI59" s="111">
        <f t="shared" si="154"/>
        <v>0</v>
      </c>
      <c r="BJ59" s="112">
        <f t="shared" si="155"/>
        <v>0</v>
      </c>
      <c r="BK59" s="101">
        <f t="shared" si="26"/>
        <v>0</v>
      </c>
      <c r="BL59" s="283"/>
      <c r="BM59" s="249"/>
      <c r="BN59" s="249"/>
      <c r="BO59" s="284"/>
    </row>
    <row r="60" spans="2:67" customFormat="1" ht="16.5" thickBot="1" x14ac:dyDescent="0.3">
      <c r="B60" s="7" t="s">
        <v>49</v>
      </c>
      <c r="C60" s="113">
        <f>C48+C54+C59</f>
        <v>0</v>
      </c>
      <c r="D60" s="114">
        <f>D48+D54+D59</f>
        <v>0</v>
      </c>
      <c r="E60" s="115">
        <f t="shared" si="0"/>
        <v>0</v>
      </c>
      <c r="F60" s="116">
        <f>F48+F54+F59</f>
        <v>0</v>
      </c>
      <c r="G60" s="117">
        <f>G48+G54+G59</f>
        <v>0</v>
      </c>
      <c r="H60" s="115">
        <f t="shared" si="1"/>
        <v>0</v>
      </c>
      <c r="I60" s="179">
        <f>IF(F43&lt;&gt;0,F60/F43,0)</f>
        <v>0</v>
      </c>
      <c r="J60" s="179">
        <f>IF(G43&lt;&gt;0,G60/G43,0)</f>
        <v>0</v>
      </c>
      <c r="K60" s="113">
        <f>K48+K54+K59</f>
        <v>0</v>
      </c>
      <c r="L60" s="114">
        <f>L48+L54+L59</f>
        <v>0</v>
      </c>
      <c r="M60" s="118">
        <f t="shared" si="2"/>
        <v>0</v>
      </c>
      <c r="N60" s="166">
        <f>IFERROR(K60/C60,0)</f>
        <v>0</v>
      </c>
      <c r="O60" s="167">
        <f>IFERROR(L60/D60,0)</f>
        <v>0</v>
      </c>
      <c r="P60" s="115">
        <f t="shared" si="120"/>
        <v>0</v>
      </c>
      <c r="Q60" s="119">
        <f>IFERROR(C60/F60,0)</f>
        <v>0</v>
      </c>
      <c r="R60" s="120">
        <f>IFERROR(D60/G60,0)</f>
        <v>0</v>
      </c>
      <c r="S60" s="115">
        <f t="shared" si="4"/>
        <v>0</v>
      </c>
      <c r="T60" s="119">
        <f>IFERROR((C60*(1-N60))/F60,0)</f>
        <v>0</v>
      </c>
      <c r="U60" s="120">
        <f>IFERROR((D60*(1-O60))/G60,0)</f>
        <v>0</v>
      </c>
      <c r="V60" s="115">
        <f t="shared" si="5"/>
        <v>0</v>
      </c>
      <c r="W60" s="119">
        <f>IFERROR((W48*F48+W54*F54+W59*F59)/F60,0)</f>
        <v>0</v>
      </c>
      <c r="X60" s="120">
        <f>IFERROR((X48*G48+X54*G54+X59*G59)/G60,0)</f>
        <v>0</v>
      </c>
      <c r="Y60" s="115">
        <f t="shared" si="6"/>
        <v>0</v>
      </c>
      <c r="Z60" s="121">
        <f t="shared" ref="Z60:Z78" si="158">IFERROR((Q60/W60-1)*-1,0)</f>
        <v>0</v>
      </c>
      <c r="AA60" s="122">
        <f t="shared" si="156"/>
        <v>0</v>
      </c>
      <c r="AB60" s="115">
        <f>IFERROR(Z60-AA60,)</f>
        <v>0</v>
      </c>
      <c r="AC60" s="123">
        <f t="shared" si="103"/>
        <v>0</v>
      </c>
      <c r="AD60" s="124">
        <f t="shared" si="104"/>
        <v>0</v>
      </c>
      <c r="AE60" s="125">
        <f t="shared" si="32"/>
        <v>0</v>
      </c>
      <c r="AF60" s="116">
        <f>AF59</f>
        <v>0</v>
      </c>
      <c r="AG60" s="117">
        <f>AG59</f>
        <v>0</v>
      </c>
      <c r="AH60" s="115">
        <f t="shared" si="11"/>
        <v>0</v>
      </c>
      <c r="AI60" s="116">
        <f t="shared" ref="AI60:AL60" si="159">AI48+AI54+AI59</f>
        <v>0</v>
      </c>
      <c r="AJ60" s="117">
        <f t="shared" si="159"/>
        <v>0</v>
      </c>
      <c r="AK60" s="117">
        <f t="shared" si="159"/>
        <v>0</v>
      </c>
      <c r="AL60" s="117">
        <f t="shared" si="159"/>
        <v>0</v>
      </c>
      <c r="AM60" s="115">
        <f t="shared" si="13"/>
        <v>0</v>
      </c>
      <c r="AN60" s="116">
        <f t="shared" ref="AN60:AO60" si="160">AN48+AN54+AN59</f>
        <v>0</v>
      </c>
      <c r="AO60" s="117">
        <f t="shared" si="160"/>
        <v>0</v>
      </c>
      <c r="AP60" s="115">
        <f t="shared" si="15"/>
        <v>0</v>
      </c>
      <c r="AQ60" s="126">
        <f>IF(F60&lt;&gt;0,(AF60*$B$24/F60),0)</f>
        <v>0</v>
      </c>
      <c r="AR60" s="127">
        <f>IF(G60&lt;&gt;0,(AG60*$B$24/G60),0)</f>
        <v>0</v>
      </c>
      <c r="AS60" s="115">
        <f t="shared" si="33"/>
        <v>0</v>
      </c>
      <c r="AT60" s="116">
        <f>AT48+AT54+AT59</f>
        <v>0</v>
      </c>
      <c r="AU60" s="117">
        <f>AU48+AU54+AU59</f>
        <v>0</v>
      </c>
      <c r="AV60" s="115">
        <f t="shared" si="18"/>
        <v>0</v>
      </c>
      <c r="AW60" s="128"/>
      <c r="AX60" s="129"/>
      <c r="AY60" s="115">
        <f t="shared" si="19"/>
        <v>0</v>
      </c>
      <c r="AZ60" s="130">
        <f>AZ48+AZ54+AZ59</f>
        <v>0</v>
      </c>
      <c r="BA60" s="117">
        <f>BA48+BA54+BA59</f>
        <v>0</v>
      </c>
      <c r="BB60" s="115">
        <f t="shared" si="20"/>
        <v>0</v>
      </c>
      <c r="BC60" s="116">
        <f t="shared" ref="BC60:BD60" si="161">BC48+BC54+BC59</f>
        <v>0</v>
      </c>
      <c r="BD60" s="117">
        <f t="shared" si="161"/>
        <v>0</v>
      </c>
      <c r="BE60" s="115">
        <f t="shared" si="22"/>
        <v>0</v>
      </c>
      <c r="BF60" s="131">
        <f>BF48+BF54+BF59</f>
        <v>0</v>
      </c>
      <c r="BG60" s="132">
        <f>BG48+BG54+BG59</f>
        <v>0</v>
      </c>
      <c r="BH60" s="115">
        <f t="shared" si="24"/>
        <v>0</v>
      </c>
      <c r="BI60" s="132">
        <f t="shared" si="154"/>
        <v>0</v>
      </c>
      <c r="BJ60" s="133">
        <f t="shared" si="155"/>
        <v>0</v>
      </c>
      <c r="BK60" s="122">
        <f t="shared" si="26"/>
        <v>0</v>
      </c>
      <c r="BL60" s="283"/>
      <c r="BM60" s="249"/>
      <c r="BN60" s="249"/>
      <c r="BO60" s="284"/>
    </row>
    <row r="61" spans="2:67" customFormat="1" x14ac:dyDescent="0.25">
      <c r="B61" s="185">
        <v>40</v>
      </c>
      <c r="C61" s="67">
        <f t="shared" ref="C61:D64" si="162">F61*Q61</f>
        <v>0</v>
      </c>
      <c r="D61" s="68">
        <f t="shared" si="162"/>
        <v>0</v>
      </c>
      <c r="E61" s="69">
        <f t="shared" si="0"/>
        <v>0</v>
      </c>
      <c r="F61" s="157">
        <f>IF(NewPlan=TRUE,IF(AF60-(G61*J61)&lt;0,AF60,G61*J61),IFERROR(VLOOKUP(FiscalYr &amp; $B61&amp;F$4,tblForecast,F$2,FALSE),0))</f>
        <v>0</v>
      </c>
      <c r="G61" s="189">
        <f>IFERROR(VLOOKUP(FiscalYr-IF(CompareVer="LY",1,0) &amp; $B61 + IF(FiscalYr=2018,1,0)&amp;G$4,tblForecast,G$2,FALSE),0)</f>
        <v>0</v>
      </c>
      <c r="H61" s="69">
        <f t="shared" si="1"/>
        <v>0</v>
      </c>
      <c r="I61" s="177">
        <f>IFERROR(IF(F58&lt;&gt;0,F61/F58,0),0)</f>
        <v>0</v>
      </c>
      <c r="J61" s="177">
        <f>IFERROR(IF(G58&lt;&gt;0,G61/G58,0),0)</f>
        <v>0</v>
      </c>
      <c r="K61" s="67">
        <f>IFERROR(C61*N61,0)</f>
        <v>0</v>
      </c>
      <c r="L61" s="68">
        <f t="shared" ref="L61:L64" si="163">D61*O61</f>
        <v>0</v>
      </c>
      <c r="M61" s="72">
        <f t="shared" si="2"/>
        <v>0</v>
      </c>
      <c r="N61" s="162">
        <f t="shared" ref="N61:O64" si="164">IF(Q61&lt;&gt;0,1-T61/Q61,0)</f>
        <v>0</v>
      </c>
      <c r="O61" s="163">
        <f>IF(R61&lt;&gt;0,1-U61/R61,0)</f>
        <v>0</v>
      </c>
      <c r="P61" s="69">
        <f>IFERROR(N61-O61,)</f>
        <v>0</v>
      </c>
      <c r="Q61" s="158">
        <f>IF(NewPlan=TRUE,IF(BM61=0,R61,BM61),IFERROR(VLOOKUP(FiscalYr&amp;$B61&amp;Q$4,tblForecast,Q$2,FALSE),0))</f>
        <v>0</v>
      </c>
      <c r="R61" s="73">
        <f>IFERROR(VLOOKUP(FiscalYr-IF(CompareVer="LY",1,0) &amp; $B61 + IF(FiscalYr=2018,1,0)&amp;R$4,tblForecast,R$2,FALSE),0)</f>
        <v>0</v>
      </c>
      <c r="S61" s="69">
        <f t="shared" ref="S61:S64" si="165">IFERROR(Q61/R61-1,)</f>
        <v>0</v>
      </c>
      <c r="T61" s="158">
        <f>IF(NewPlan=TRUE,IF(BO61=0,U61,BO61),IFERROR(VLOOKUP(FiscalYr &amp; $B61&amp;T$4,tblForecast,T$2,FALSE),0))</f>
        <v>0</v>
      </c>
      <c r="U61" s="73">
        <f>IFERROR(VLOOKUP(FiscalYr-IF(CompareVer="LY",1,0) &amp; $B61 + IF(FiscalYr=2018,1,0)&amp;U$4,tblForecast,U$2,FALSE),0)</f>
        <v>0</v>
      </c>
      <c r="V61" s="69">
        <f t="shared" ref="V61:V64" si="166">IFERROR(T61/U61-1,)</f>
        <v>0</v>
      </c>
      <c r="W61" s="158">
        <f>IF(NewPlan=TRUE,IF(BN61=0,X61,BN61),IFERROR(VLOOKUP(FiscalYr &amp; $B61&amp;W$4,tblForecast,W$2,FALSE),0))</f>
        <v>0</v>
      </c>
      <c r="X61" s="73">
        <f>IFERROR(VLOOKUP(FiscalYr-IF(CompareVer="LY",1,0) &amp; $B61 + IF(FiscalYr=2018,1,0)&amp;X$4,tblForecast,X$2,FALSE),0)</f>
        <v>0</v>
      </c>
      <c r="Y61" s="69">
        <f t="shared" si="6"/>
        <v>0</v>
      </c>
      <c r="Z61" s="74">
        <f t="shared" si="158"/>
        <v>0</v>
      </c>
      <c r="AA61" s="75">
        <f t="shared" si="156"/>
        <v>0</v>
      </c>
      <c r="AB61" s="69">
        <f>IFERROR(Z61-AA61,)</f>
        <v>0</v>
      </c>
      <c r="AC61" s="76">
        <f t="shared" si="103"/>
        <v>0</v>
      </c>
      <c r="AD61" s="77">
        <f t="shared" si="104"/>
        <v>0</v>
      </c>
      <c r="AE61" s="78">
        <f t="shared" si="32"/>
        <v>0</v>
      </c>
      <c r="AF61" s="238">
        <f>IF(AF60+AK61+AN61-F61&lt;0,0,AF60+AK61+AN61-F61)</f>
        <v>0</v>
      </c>
      <c r="AG61" s="71">
        <f>IFERROR(VLOOKUP(FiscalYr-IF(CompareVer="LY",1,0) &amp; $B61 + IF(FiscalYr=2018,1,0)&amp;AG$4,tblForecast,AG$2,FALSE),0)</f>
        <v>0</v>
      </c>
      <c r="AH61" s="69">
        <f t="shared" si="11"/>
        <v>0</v>
      </c>
      <c r="AI61" s="157">
        <f t="shared" ref="AI61:AJ64" si="167">IFERROR(VLOOKUP(FiscalYr &amp; $B61&amp;AI$4,tblForecast,AI$2,FALSE),0)</f>
        <v>0</v>
      </c>
      <c r="AJ61" s="71">
        <f t="shared" si="167"/>
        <v>0</v>
      </c>
      <c r="AK61" s="79">
        <f>IF($A61="a",IFERROR(VLOOKUP(FiscalYr &amp; $B61&amp;AK$4,tblForecast,AK$2,FALSE),0),AI61+AJ61)</f>
        <v>0</v>
      </c>
      <c r="AL61" s="71">
        <f>IFERROR(VLOOKUP(FiscalYr-IF(CompareVer="LY",1,0) &amp; $B61 + IF(FiscalYr=2018,1,0)&amp;AL$4,tblForecast,AL$2,FALSE),0)</f>
        <v>0</v>
      </c>
      <c r="AM61" s="69">
        <f t="shared" si="13"/>
        <v>0</v>
      </c>
      <c r="AN61" s="157">
        <f t="shared" ref="AN61:AO64" si="168">IFERROR(VLOOKUP(FiscalYr &amp; $B61&amp;AN$4,tblForecast,AN$2,FALSE),0)</f>
        <v>0</v>
      </c>
      <c r="AO61" s="71">
        <f t="shared" si="168"/>
        <v>0</v>
      </c>
      <c r="AP61" s="69">
        <f t="shared" si="15"/>
        <v>0</v>
      </c>
      <c r="AQ61" s="80">
        <f t="shared" ref="AQ61:AR64" si="169">IF(F61&lt;&gt;0,AF61/F61,0)</f>
        <v>0</v>
      </c>
      <c r="AR61" s="81">
        <f t="shared" si="169"/>
        <v>0</v>
      </c>
      <c r="AS61" s="69">
        <f>IFERROR(AQ61/AR61-1,)</f>
        <v>0</v>
      </c>
      <c r="AT61" s="157">
        <f>IFERROR(VLOOKUP(FiscalYr &amp; $B61&amp;AT$4,tblForecast,AT$2,FALSE),0)</f>
        <v>0</v>
      </c>
      <c r="AU61" s="71">
        <f t="shared" si="116"/>
        <v>0</v>
      </c>
      <c r="AV61" s="69">
        <f t="shared" si="18"/>
        <v>0</v>
      </c>
      <c r="AW61" s="82"/>
      <c r="AX61" s="83"/>
      <c r="AY61" s="69">
        <f t="shared" si="19"/>
        <v>0</v>
      </c>
      <c r="AZ61" s="84"/>
      <c r="BA61" s="85"/>
      <c r="BB61" s="69">
        <f t="shared" si="20"/>
        <v>0</v>
      </c>
      <c r="BC61" s="157">
        <f>IFERROR(VLOOKUP(FiscalYr &amp; $B61&amp;BC$4,tblForecast,BC$2,FALSE),0)</f>
        <v>0</v>
      </c>
      <c r="BD61" s="71">
        <f t="shared" si="117"/>
        <v>0</v>
      </c>
      <c r="BE61" s="69">
        <f t="shared" si="22"/>
        <v>0</v>
      </c>
      <c r="BF61" s="90">
        <f>IFERROR(VLOOKUP(FiscalYr &amp; $B61&amp;BF$4,tblForecast,BF$2,FALSE),0)</f>
        <v>0</v>
      </c>
      <c r="BG61" s="85">
        <f t="shared" ref="BG61:BG64" si="170">IFERROR(VLOOKUP(FiscalYr-1 &amp; $B61&amp; FCLY,tblForecast,BF$2,FALSE),0)</f>
        <v>0</v>
      </c>
      <c r="BH61" s="69">
        <f t="shared" si="24"/>
        <v>0</v>
      </c>
      <c r="BI61" s="85">
        <f t="shared" si="154"/>
        <v>0</v>
      </c>
      <c r="BJ61" s="86">
        <f t="shared" si="155"/>
        <v>0</v>
      </c>
      <c r="BK61" s="75">
        <f t="shared" si="26"/>
        <v>0</v>
      </c>
      <c r="BL61" s="283">
        <f>IFERROR(VLOOKUP(Brand&amp;Channel&amp;Country&amp;$B61,tblDiscount,6,FALSE),0)</f>
        <v>0.8</v>
      </c>
      <c r="BM61" s="249">
        <f>(1-BL61)*BN61</f>
        <v>0</v>
      </c>
      <c r="BN61" s="249">
        <f>IFERROR(VLOOKUP(Brand&amp;Country &amp; Channel &amp;FC,tblFCSettings,8,FALSE),0)</f>
        <v>0</v>
      </c>
      <c r="BO61" s="284">
        <f>IFERROR(VLOOKUP(Brand&amp;Country &amp; Channel &amp;FC,tblFCSettings,9,FALSE),0)</f>
        <v>0</v>
      </c>
    </row>
    <row r="62" spans="2:67" customFormat="1" x14ac:dyDescent="0.25">
      <c r="B62" s="185">
        <v>41</v>
      </c>
      <c r="C62" s="87">
        <f t="shared" si="162"/>
        <v>0</v>
      </c>
      <c r="D62" s="68">
        <f t="shared" si="162"/>
        <v>0</v>
      </c>
      <c r="E62" s="69">
        <f t="shared" si="0"/>
        <v>0</v>
      </c>
      <c r="F62" s="157">
        <f>IF(NewPlan=TRUE,IF(AF61-(G62*J62)&lt;0,AF61,G62*J62),IFERROR(VLOOKUP(FiscalYr &amp; $B62&amp;F$4,tblForecast,F$2,FALSE),0))</f>
        <v>0</v>
      </c>
      <c r="G62" s="189">
        <f>IFERROR(VLOOKUP(FiscalYr-IF(CompareVer="LY",1,0) &amp; $B62 + IF(FiscalYr=2018,1,0)&amp;G$4,tblForecast,G$2,FALSE),0)</f>
        <v>0</v>
      </c>
      <c r="H62" s="69">
        <f t="shared" si="1"/>
        <v>0</v>
      </c>
      <c r="I62" s="177">
        <f>IFERROR(IF(F61&lt;&gt;0,F62/F61,0),0)</f>
        <v>0</v>
      </c>
      <c r="J62" s="177">
        <f>IFERROR(IF(G61&lt;&gt;0,G62/G61,0),0)</f>
        <v>0</v>
      </c>
      <c r="K62" s="87">
        <f t="shared" ref="K62:K64" si="171">IFERROR(C62*N62,0)</f>
        <v>0</v>
      </c>
      <c r="L62" s="68">
        <f t="shared" si="163"/>
        <v>0</v>
      </c>
      <c r="M62" s="72">
        <f t="shared" si="2"/>
        <v>0</v>
      </c>
      <c r="N62" s="162">
        <f t="shared" si="164"/>
        <v>0</v>
      </c>
      <c r="O62" s="163">
        <f t="shared" si="164"/>
        <v>0</v>
      </c>
      <c r="P62" s="69">
        <f t="shared" ref="P62:P78" si="172">IFERROR(N62-O62,)</f>
        <v>0</v>
      </c>
      <c r="Q62" s="158">
        <f>IF(NewPlan=TRUE,IF(BM62=0,R62,BM62),IFERROR(VLOOKUP(FiscalYr&amp;$B62&amp;Q$4,tblForecast,Q$2,FALSE),0))</f>
        <v>0</v>
      </c>
      <c r="R62" s="73">
        <f>IFERROR(VLOOKUP(FiscalYr-IF(CompareVer="LY",1,0) &amp; $B62 + IF(FiscalYr=2018,1,0)&amp;R$4,tblForecast,R$2,FALSE),0)</f>
        <v>0</v>
      </c>
      <c r="S62" s="69">
        <f t="shared" si="165"/>
        <v>0</v>
      </c>
      <c r="T62" s="158">
        <f>IF(NewPlan=TRUE,IF(BO62=0,U62,BO62),IFERROR(VLOOKUP(FiscalYr &amp; $B62&amp;T$4,tblForecast,T$2,FALSE),0))</f>
        <v>0</v>
      </c>
      <c r="U62" s="73">
        <f>IFERROR(VLOOKUP(FiscalYr-IF(CompareVer="LY",1,0) &amp; $B62 + IF(FiscalYr=2018,1,0)&amp;U$4,tblForecast,U$2,FALSE),0)</f>
        <v>0</v>
      </c>
      <c r="V62" s="69">
        <f t="shared" si="166"/>
        <v>0</v>
      </c>
      <c r="W62" s="158">
        <f>IF(NewPlan=TRUE,IF(BN62=0,X62,BN62),IFERROR(VLOOKUP(FiscalYr &amp; $B62&amp;W$4,tblForecast,W$2,FALSE),0))</f>
        <v>0</v>
      </c>
      <c r="X62" s="73">
        <f>IFERROR(VLOOKUP(FiscalYr-IF(CompareVer="LY",1,0) &amp; $B62 + IF(FiscalYr=2018,1,0)&amp;X$4,tblForecast,X$2,FALSE),0)</f>
        <v>0</v>
      </c>
      <c r="Y62" s="69">
        <f t="shared" si="6"/>
        <v>0</v>
      </c>
      <c r="Z62" s="74">
        <f t="shared" si="158"/>
        <v>0</v>
      </c>
      <c r="AA62" s="75">
        <f t="shared" si="156"/>
        <v>0</v>
      </c>
      <c r="AB62" s="69">
        <f t="shared" ref="AB62:AB76" si="173">IFERROR(Z62-AA62,)</f>
        <v>0</v>
      </c>
      <c r="AC62" s="88">
        <f t="shared" si="103"/>
        <v>0</v>
      </c>
      <c r="AD62" s="77">
        <f t="shared" si="104"/>
        <v>0</v>
      </c>
      <c r="AE62" s="78">
        <f t="shared" si="32"/>
        <v>0</v>
      </c>
      <c r="AF62" s="238">
        <f t="shared" ref="AF62:AF64" si="174">IF(AF61+AK62+AN62-F62&lt;0,0,AF61+AK62+AN62-F62)</f>
        <v>0</v>
      </c>
      <c r="AG62" s="71">
        <f>IFERROR(VLOOKUP(FiscalYr-IF(CompareVer="LY",1,0) &amp; $B62 + IF(FiscalYr=2018,1,0)&amp;AG$4,tblForecast,AG$2,FALSE),0)</f>
        <v>0</v>
      </c>
      <c r="AH62" s="69">
        <f t="shared" si="11"/>
        <v>0</v>
      </c>
      <c r="AI62" s="157">
        <f t="shared" si="167"/>
        <v>0</v>
      </c>
      <c r="AJ62" s="71">
        <f t="shared" si="167"/>
        <v>0</v>
      </c>
      <c r="AK62" s="71">
        <f>IF($A62="a",IFERROR(VLOOKUP(FiscalYr &amp; $B62&amp;AK$4,tblForecast,AK$2,FALSE),0),AI62+AJ62)</f>
        <v>0</v>
      </c>
      <c r="AL62" s="71">
        <f>IFERROR(VLOOKUP(FiscalYr-IF(CompareVer="LY",1,0) &amp; $B62 + IF(FiscalYr=2018,1,0)&amp;AL$4,tblForecast,AL$2,FALSE),0)</f>
        <v>0</v>
      </c>
      <c r="AM62" s="69">
        <f t="shared" si="13"/>
        <v>0</v>
      </c>
      <c r="AN62" s="157">
        <f t="shared" si="168"/>
        <v>0</v>
      </c>
      <c r="AO62" s="71">
        <f t="shared" si="168"/>
        <v>0</v>
      </c>
      <c r="AP62" s="69">
        <f t="shared" si="15"/>
        <v>0</v>
      </c>
      <c r="AQ62" s="80">
        <f t="shared" si="169"/>
        <v>0</v>
      </c>
      <c r="AR62" s="89">
        <f t="shared" si="169"/>
        <v>0</v>
      </c>
      <c r="AS62" s="69">
        <f t="shared" ref="AS62:AS78" si="175">IFERROR(AQ62/AR62-1,)</f>
        <v>0</v>
      </c>
      <c r="AT62" s="157">
        <f>IFERROR(VLOOKUP(FiscalYr &amp; $B62&amp;AT$4,tblForecast,AT$2,FALSE),0)</f>
        <v>0</v>
      </c>
      <c r="AU62" s="71">
        <f t="shared" si="116"/>
        <v>0</v>
      </c>
      <c r="AV62" s="69">
        <f t="shared" si="18"/>
        <v>0</v>
      </c>
      <c r="AW62" s="82"/>
      <c r="AX62" s="83"/>
      <c r="AY62" s="69">
        <f t="shared" si="19"/>
        <v>0</v>
      </c>
      <c r="AZ62" s="84"/>
      <c r="BA62" s="85"/>
      <c r="BB62" s="69">
        <f t="shared" si="20"/>
        <v>0</v>
      </c>
      <c r="BC62" s="157">
        <f>IFERROR(VLOOKUP(FiscalYr &amp; $B62&amp;BC$4,tblForecast,BC$2,FALSE),0)</f>
        <v>0</v>
      </c>
      <c r="BD62" s="71">
        <f t="shared" si="117"/>
        <v>0</v>
      </c>
      <c r="BE62" s="69">
        <f t="shared" si="22"/>
        <v>0</v>
      </c>
      <c r="BF62" s="90">
        <f>IFERROR(VLOOKUP(FiscalYr &amp; $B62&amp;BF$4,tblForecast,BF$2,FALSE),0)</f>
        <v>0</v>
      </c>
      <c r="BG62" s="85">
        <f t="shared" si="170"/>
        <v>0</v>
      </c>
      <c r="BH62" s="69">
        <f t="shared" si="24"/>
        <v>0</v>
      </c>
      <c r="BI62" s="85">
        <f t="shared" si="154"/>
        <v>0</v>
      </c>
      <c r="BJ62" s="86">
        <f t="shared" si="155"/>
        <v>0</v>
      </c>
      <c r="BK62" s="75">
        <f t="shared" si="26"/>
        <v>0</v>
      </c>
      <c r="BL62" s="283">
        <f>IFERROR(VLOOKUP(Brand&amp;Channel&amp;Country&amp;$B62,tblDiscount,6,FALSE),0)</f>
        <v>0.8</v>
      </c>
      <c r="BM62" s="249">
        <f t="shared" ref="BM62:BM64" si="176">(1-BL62)*BN62</f>
        <v>0</v>
      </c>
      <c r="BN62" s="249">
        <f>IFERROR(VLOOKUP(Brand&amp;Country &amp; Channel &amp;FC,tblFCSettings,8,FALSE),0)</f>
        <v>0</v>
      </c>
      <c r="BO62" s="284">
        <f>IFERROR(VLOOKUP(Brand&amp;Country &amp; Channel &amp;FC,tblFCSettings,9,FALSE),0)</f>
        <v>0</v>
      </c>
    </row>
    <row r="63" spans="2:67" customFormat="1" x14ac:dyDescent="0.25">
      <c r="B63" s="185">
        <v>42</v>
      </c>
      <c r="C63" s="87">
        <f t="shared" si="162"/>
        <v>0</v>
      </c>
      <c r="D63" s="68">
        <f t="shared" si="162"/>
        <v>0</v>
      </c>
      <c r="E63" s="69">
        <f t="shared" si="0"/>
        <v>0</v>
      </c>
      <c r="F63" s="157">
        <f>IF(NewPlan=TRUE,IF(AF62-(G63*J63)&lt;0,AF62,G63*J63),IFERROR(VLOOKUP(FiscalYr &amp; $B63&amp;F$4,tblForecast,F$2,FALSE),0))</f>
        <v>0</v>
      </c>
      <c r="G63" s="189">
        <f>IFERROR(VLOOKUP(FiscalYr-IF(CompareVer="LY",1,0) &amp; $B63 + IF(FiscalYr=2018,1,0)&amp;G$4,tblForecast,G$2,FALSE),0)</f>
        <v>0</v>
      </c>
      <c r="H63" s="69">
        <f t="shared" si="1"/>
        <v>0</v>
      </c>
      <c r="I63" s="177">
        <f t="shared" ref="I63:J64" si="177">IFERROR(IF(F62&lt;&gt;0,F63/F62,0),0)</f>
        <v>0</v>
      </c>
      <c r="J63" s="177">
        <f t="shared" si="177"/>
        <v>0</v>
      </c>
      <c r="K63" s="87">
        <f t="shared" si="171"/>
        <v>0</v>
      </c>
      <c r="L63" s="68">
        <f t="shared" si="163"/>
        <v>0</v>
      </c>
      <c r="M63" s="72">
        <f t="shared" si="2"/>
        <v>0</v>
      </c>
      <c r="N63" s="162">
        <f t="shared" si="164"/>
        <v>0</v>
      </c>
      <c r="O63" s="163">
        <f t="shared" si="164"/>
        <v>0</v>
      </c>
      <c r="P63" s="69">
        <f t="shared" si="172"/>
        <v>0</v>
      </c>
      <c r="Q63" s="158">
        <f>IF(NewPlan=TRUE,IF(BM63=0,R63,BM63),IFERROR(VLOOKUP(FiscalYr&amp;$B63&amp;Q$4,tblForecast,Q$2,FALSE),0))</f>
        <v>0</v>
      </c>
      <c r="R63" s="73">
        <f>IFERROR(VLOOKUP(FiscalYr-IF(CompareVer="LY",1,0) &amp; $B63 + IF(FiscalYr=2018,1,0)&amp;R$4,tblForecast,R$2,FALSE),0)</f>
        <v>0</v>
      </c>
      <c r="S63" s="69">
        <f t="shared" si="165"/>
        <v>0</v>
      </c>
      <c r="T63" s="158">
        <f>IF(NewPlan=TRUE,IF(BO63=0,U63,BO63),IFERROR(VLOOKUP(FiscalYr &amp; $B63&amp;T$4,tblForecast,T$2,FALSE),0))</f>
        <v>0</v>
      </c>
      <c r="U63" s="73">
        <f>IFERROR(VLOOKUP(FiscalYr-IF(CompareVer="LY",1,0) &amp; $B63 + IF(FiscalYr=2018,1,0)&amp;U$4,tblForecast,U$2,FALSE),0)</f>
        <v>0</v>
      </c>
      <c r="V63" s="69">
        <f t="shared" si="166"/>
        <v>0</v>
      </c>
      <c r="W63" s="158">
        <f>IF(NewPlan=TRUE,IF(BN63=0,X63,BN63),IFERROR(VLOOKUP(FiscalYr &amp; $B63&amp;W$4,tblForecast,W$2,FALSE),0))</f>
        <v>0</v>
      </c>
      <c r="X63" s="73">
        <f>IFERROR(VLOOKUP(FiscalYr-IF(CompareVer="LY",1,0) &amp; $B63 + IF(FiscalYr=2018,1,0)&amp;X$4,tblForecast,X$2,FALSE),0)</f>
        <v>0</v>
      </c>
      <c r="Y63" s="69">
        <f t="shared" si="6"/>
        <v>0</v>
      </c>
      <c r="Z63" s="74">
        <f t="shared" si="158"/>
        <v>0</v>
      </c>
      <c r="AA63" s="75">
        <f t="shared" si="156"/>
        <v>0</v>
      </c>
      <c r="AB63" s="69">
        <f t="shared" si="173"/>
        <v>0</v>
      </c>
      <c r="AC63" s="88">
        <f t="shared" si="103"/>
        <v>0</v>
      </c>
      <c r="AD63" s="77">
        <f t="shared" si="104"/>
        <v>0</v>
      </c>
      <c r="AE63" s="78">
        <f t="shared" si="32"/>
        <v>0</v>
      </c>
      <c r="AF63" s="238">
        <f t="shared" si="174"/>
        <v>0</v>
      </c>
      <c r="AG63" s="71">
        <f>IFERROR(VLOOKUP(FiscalYr-IF(CompareVer="LY",1,0) &amp; $B63 + IF(FiscalYr=2018,1,0)&amp;AG$4,tblForecast,AG$2,FALSE),0)</f>
        <v>0</v>
      </c>
      <c r="AH63" s="69">
        <f t="shared" si="11"/>
        <v>0</v>
      </c>
      <c r="AI63" s="157">
        <f t="shared" si="167"/>
        <v>0</v>
      </c>
      <c r="AJ63" s="71">
        <f t="shared" si="167"/>
        <v>0</v>
      </c>
      <c r="AK63" s="71">
        <f>IF($A63="a",IFERROR(VLOOKUP(FiscalYr &amp; $B63&amp;AK$4,tblForecast,AK$2,FALSE),0),AI63+AJ63)</f>
        <v>0</v>
      </c>
      <c r="AL63" s="71">
        <f>IFERROR(VLOOKUP(FiscalYr-IF(CompareVer="LY",1,0) &amp; $B63 + IF(FiscalYr=2018,1,0)&amp;AL$4,tblForecast,AL$2,FALSE),0)</f>
        <v>0</v>
      </c>
      <c r="AM63" s="69">
        <f t="shared" si="13"/>
        <v>0</v>
      </c>
      <c r="AN63" s="157">
        <f t="shared" si="168"/>
        <v>0</v>
      </c>
      <c r="AO63" s="71">
        <f t="shared" si="168"/>
        <v>0</v>
      </c>
      <c r="AP63" s="69">
        <f t="shared" si="15"/>
        <v>0</v>
      </c>
      <c r="AQ63" s="80">
        <f t="shared" si="169"/>
        <v>0</v>
      </c>
      <c r="AR63" s="89">
        <f t="shared" si="169"/>
        <v>0</v>
      </c>
      <c r="AS63" s="69">
        <f t="shared" si="175"/>
        <v>0</v>
      </c>
      <c r="AT63" s="157">
        <f>IFERROR(VLOOKUP(FiscalYr &amp; $B63&amp;AT$4,tblForecast,AT$2,FALSE),0)</f>
        <v>0</v>
      </c>
      <c r="AU63" s="71">
        <f t="shared" si="116"/>
        <v>0</v>
      </c>
      <c r="AV63" s="69">
        <f t="shared" si="18"/>
        <v>0</v>
      </c>
      <c r="AW63" s="82"/>
      <c r="AX63" s="83"/>
      <c r="AY63" s="69">
        <f t="shared" si="19"/>
        <v>0</v>
      </c>
      <c r="AZ63" s="84"/>
      <c r="BA63" s="85"/>
      <c r="BB63" s="69">
        <f t="shared" si="20"/>
        <v>0</v>
      </c>
      <c r="BC63" s="157">
        <f>IFERROR(VLOOKUP(FiscalYr &amp; $B63&amp;BC$4,tblForecast,BC$2,FALSE),0)</f>
        <v>0</v>
      </c>
      <c r="BD63" s="71">
        <f t="shared" si="117"/>
        <v>0</v>
      </c>
      <c r="BE63" s="69">
        <f t="shared" si="22"/>
        <v>0</v>
      </c>
      <c r="BF63" s="90">
        <f>IFERROR(VLOOKUP(FiscalYr &amp; $B63&amp;BF$4,tblForecast,BF$2,FALSE),0)</f>
        <v>0</v>
      </c>
      <c r="BG63" s="85">
        <f t="shared" si="170"/>
        <v>0</v>
      </c>
      <c r="BH63" s="69">
        <f t="shared" si="24"/>
        <v>0</v>
      </c>
      <c r="BI63" s="85">
        <f t="shared" si="154"/>
        <v>0</v>
      </c>
      <c r="BJ63" s="86">
        <f t="shared" si="155"/>
        <v>0</v>
      </c>
      <c r="BK63" s="75">
        <f t="shared" si="26"/>
        <v>0</v>
      </c>
      <c r="BL63" s="283">
        <f>IFERROR(VLOOKUP(Brand&amp;Channel&amp;Country&amp;$B63,tblDiscount,6,FALSE),0)</f>
        <v>0.8</v>
      </c>
      <c r="BM63" s="249">
        <f t="shared" si="176"/>
        <v>0</v>
      </c>
      <c r="BN63" s="249">
        <f>IFERROR(VLOOKUP(Brand&amp;Country &amp; Channel &amp;FC,tblFCSettings,8,FALSE),0)</f>
        <v>0</v>
      </c>
      <c r="BO63" s="284">
        <f>IFERROR(VLOOKUP(Brand&amp;Country &amp; Channel &amp;FC,tblFCSettings,9,FALSE),0)</f>
        <v>0</v>
      </c>
    </row>
    <row r="64" spans="2:67" customFormat="1" ht="16.5" thickBot="1" x14ac:dyDescent="0.3">
      <c r="B64" s="185">
        <v>43</v>
      </c>
      <c r="C64" s="91">
        <f t="shared" si="162"/>
        <v>0</v>
      </c>
      <c r="D64" s="68">
        <f t="shared" si="162"/>
        <v>0</v>
      </c>
      <c r="E64" s="69">
        <f t="shared" si="0"/>
        <v>0</v>
      </c>
      <c r="F64" s="157">
        <f>IF(NewPlan=TRUE,IF(AF63-(G64*J64)&lt;0,AF63,G64*J64),IFERROR(VLOOKUP(FiscalYr &amp; $B64&amp;F$4,tblForecast,F$2,FALSE),0))</f>
        <v>0</v>
      </c>
      <c r="G64" s="189">
        <f>IFERROR(VLOOKUP(FiscalYr-IF(CompareVer="LY",1,0) &amp; $B64 + IF(FiscalYr=2018,1,0)&amp;G$4,tblForecast,G$2,FALSE),0)</f>
        <v>0</v>
      </c>
      <c r="H64" s="69">
        <f t="shared" si="1"/>
        <v>0</v>
      </c>
      <c r="I64" s="177">
        <f t="shared" si="177"/>
        <v>0</v>
      </c>
      <c r="J64" s="177">
        <f t="shared" si="177"/>
        <v>0</v>
      </c>
      <c r="K64" s="91">
        <f t="shared" si="171"/>
        <v>0</v>
      </c>
      <c r="L64" s="68">
        <f t="shared" si="163"/>
        <v>0</v>
      </c>
      <c r="M64" s="72">
        <f t="shared" si="2"/>
        <v>0</v>
      </c>
      <c r="N64" s="162">
        <f t="shared" si="164"/>
        <v>0</v>
      </c>
      <c r="O64" s="163">
        <f t="shared" si="164"/>
        <v>0</v>
      </c>
      <c r="P64" s="69">
        <f t="shared" si="172"/>
        <v>0</v>
      </c>
      <c r="Q64" s="158">
        <f>IF(NewPlan=TRUE,IF(BM64=0,R64,BM64),IFERROR(VLOOKUP(FiscalYr&amp;$B64&amp;Q$4,tblForecast,Q$2,FALSE),0))</f>
        <v>0</v>
      </c>
      <c r="R64" s="73">
        <f>IFERROR(VLOOKUP(FiscalYr-IF(CompareVer="LY",1,0) &amp; $B64 + IF(FiscalYr=2018,1,0)&amp;R$4,tblForecast,R$2,FALSE),0)</f>
        <v>0</v>
      </c>
      <c r="S64" s="69">
        <f t="shared" si="165"/>
        <v>0</v>
      </c>
      <c r="T64" s="158">
        <f>IF(NewPlan=TRUE,IF(BO64=0,U64,BO64),IFERROR(VLOOKUP(FiscalYr &amp; $B64&amp;T$4,tblForecast,T$2,FALSE),0))</f>
        <v>0</v>
      </c>
      <c r="U64" s="73">
        <f>IFERROR(VLOOKUP(FiscalYr-IF(CompareVer="LY",1,0) &amp; $B64 + IF(FiscalYr=2018,1,0)&amp;U$4,tblForecast,U$2,FALSE),0)</f>
        <v>0</v>
      </c>
      <c r="V64" s="69">
        <f t="shared" si="166"/>
        <v>0</v>
      </c>
      <c r="W64" s="158">
        <f>IF(NewPlan=TRUE,IF(BN64=0,X64,BN64),IFERROR(VLOOKUP(FiscalYr &amp; $B64&amp;W$4,tblForecast,W$2,FALSE),0))</f>
        <v>0</v>
      </c>
      <c r="X64" s="73">
        <f>IFERROR(VLOOKUP(FiscalYr-IF(CompareVer="LY",1,0) &amp; $B64 + IF(FiscalYr=2018,1,0)&amp;X$4,tblForecast,X$2,FALSE),0)</f>
        <v>0</v>
      </c>
      <c r="Y64" s="69">
        <f t="shared" si="6"/>
        <v>0</v>
      </c>
      <c r="Z64" s="74">
        <f t="shared" si="158"/>
        <v>0</v>
      </c>
      <c r="AA64" s="75">
        <f t="shared" si="156"/>
        <v>0</v>
      </c>
      <c r="AB64" s="69">
        <f t="shared" si="173"/>
        <v>0</v>
      </c>
      <c r="AC64" s="88">
        <f t="shared" si="103"/>
        <v>0</v>
      </c>
      <c r="AD64" s="77">
        <f t="shared" si="104"/>
        <v>0</v>
      </c>
      <c r="AE64" s="78">
        <f t="shared" si="32"/>
        <v>0</v>
      </c>
      <c r="AF64" s="238">
        <f t="shared" si="174"/>
        <v>0</v>
      </c>
      <c r="AG64" s="71">
        <f>IFERROR(VLOOKUP(FiscalYr-IF(CompareVer="LY",1,0) &amp; $B64 + IF(FiscalYr=2018,1,0)&amp;AG$4,tblForecast,AG$2,FALSE),0)</f>
        <v>0</v>
      </c>
      <c r="AH64" s="69">
        <f t="shared" si="11"/>
        <v>0</v>
      </c>
      <c r="AI64" s="157">
        <f t="shared" si="167"/>
        <v>0</v>
      </c>
      <c r="AJ64" s="71">
        <f t="shared" si="167"/>
        <v>0</v>
      </c>
      <c r="AK64" s="71">
        <f>IF($A64="a",IFERROR(VLOOKUP(FiscalYr &amp; $B64&amp;AK$4,tblForecast,AK$2,FALSE),0),AI64+AJ64)</f>
        <v>0</v>
      </c>
      <c r="AL64" s="71">
        <f>IFERROR(VLOOKUP(FiscalYr-IF(CompareVer="LY",1,0) &amp; $B64 + IF(FiscalYr=2018,1,0)&amp;AL$4,tblForecast,AL$2,FALSE),0)</f>
        <v>0</v>
      </c>
      <c r="AM64" s="69">
        <f t="shared" si="13"/>
        <v>0</v>
      </c>
      <c r="AN64" s="157">
        <f t="shared" si="168"/>
        <v>0</v>
      </c>
      <c r="AO64" s="71">
        <f t="shared" si="168"/>
        <v>0</v>
      </c>
      <c r="AP64" s="69">
        <f t="shared" si="15"/>
        <v>0</v>
      </c>
      <c r="AQ64" s="80">
        <f t="shared" si="169"/>
        <v>0</v>
      </c>
      <c r="AR64" s="89">
        <f t="shared" si="169"/>
        <v>0</v>
      </c>
      <c r="AS64" s="69">
        <f t="shared" si="175"/>
        <v>0</v>
      </c>
      <c r="AT64" s="157">
        <f>IFERROR(VLOOKUP(FiscalYr &amp; $B64&amp;AT$4,tblForecast,AT$2,FALSE),0)</f>
        <v>0</v>
      </c>
      <c r="AU64" s="71">
        <f t="shared" si="116"/>
        <v>0</v>
      </c>
      <c r="AV64" s="69">
        <f t="shared" si="18"/>
        <v>0</v>
      </c>
      <c r="AW64" s="82"/>
      <c r="AX64" s="83"/>
      <c r="AY64" s="69">
        <f t="shared" si="19"/>
        <v>0</v>
      </c>
      <c r="AZ64" s="84"/>
      <c r="BA64" s="85"/>
      <c r="BB64" s="69">
        <f t="shared" si="20"/>
        <v>0</v>
      </c>
      <c r="BC64" s="157">
        <f>IFERROR(VLOOKUP(FiscalYr &amp; $B64&amp;BC$4,tblForecast,BC$2,FALSE),0)</f>
        <v>0</v>
      </c>
      <c r="BD64" s="71">
        <f t="shared" si="117"/>
        <v>0</v>
      </c>
      <c r="BE64" s="69">
        <f t="shared" si="22"/>
        <v>0</v>
      </c>
      <c r="BF64" s="90">
        <f>IFERROR(VLOOKUP(FiscalYr &amp; $B64&amp;BF$4,tblForecast,BF$2,FALSE),0)</f>
        <v>0</v>
      </c>
      <c r="BG64" s="85">
        <f t="shared" si="170"/>
        <v>0</v>
      </c>
      <c r="BH64" s="69">
        <f t="shared" si="24"/>
        <v>0</v>
      </c>
      <c r="BI64" s="85">
        <f t="shared" si="154"/>
        <v>0</v>
      </c>
      <c r="BJ64" s="86">
        <f t="shared" si="155"/>
        <v>0</v>
      </c>
      <c r="BK64" s="75">
        <f t="shared" si="26"/>
        <v>0</v>
      </c>
      <c r="BL64" s="283">
        <f>IFERROR(VLOOKUP(Brand&amp;Channel&amp;Country&amp;$B64,tblDiscount,6,FALSE),0)</f>
        <v>0.8</v>
      </c>
      <c r="BM64" s="249">
        <f t="shared" si="176"/>
        <v>0</v>
      </c>
      <c r="BN64" s="249">
        <f>IFERROR(VLOOKUP(Brand&amp;Country &amp; Channel &amp;FC,tblFCSettings,8,FALSE),0)</f>
        <v>0</v>
      </c>
      <c r="BO64" s="284">
        <f>IFERROR(VLOOKUP(Brand&amp;Country &amp; Channel &amp;FC,tblFCSettings,9,FALSE),0)</f>
        <v>0</v>
      </c>
    </row>
    <row r="65" spans="2:67" customFormat="1" ht="16.5" thickBot="1" x14ac:dyDescent="0.3">
      <c r="B65" s="6" t="s">
        <v>345</v>
      </c>
      <c r="C65" s="92">
        <f>SUM(C61:C64)</f>
        <v>0</v>
      </c>
      <c r="D65" s="93">
        <f>SUM(D61:D64)</f>
        <v>0</v>
      </c>
      <c r="E65" s="94">
        <f t="shared" si="0"/>
        <v>0</v>
      </c>
      <c r="F65" s="95">
        <f>SUM(F61:F64)</f>
        <v>0</v>
      </c>
      <c r="G65" s="96">
        <f>SUM(G61:G64)</f>
        <v>0</v>
      </c>
      <c r="H65" s="94">
        <f t="shared" si="1"/>
        <v>0</v>
      </c>
      <c r="I65" s="178">
        <f>IF(F59&lt;&gt;0,F65/F59-1,0)</f>
        <v>0</v>
      </c>
      <c r="J65" s="178">
        <f>IF(G59&lt;&gt;0,G65/G59-1,0)</f>
        <v>0</v>
      </c>
      <c r="K65" s="92">
        <f>SUM(K61:K64)</f>
        <v>0</v>
      </c>
      <c r="L65" s="93">
        <f>SUM(L61:L64)</f>
        <v>0</v>
      </c>
      <c r="M65" s="97">
        <f t="shared" si="2"/>
        <v>0</v>
      </c>
      <c r="N65" s="164">
        <f>IFERROR(K65/C65,0)</f>
        <v>0</v>
      </c>
      <c r="O65" s="165">
        <f>IFERROR(L65/D65,0)</f>
        <v>0</v>
      </c>
      <c r="P65" s="94">
        <f t="shared" si="172"/>
        <v>0</v>
      </c>
      <c r="Q65" s="98">
        <f>IFERROR(C65/F65,0)</f>
        <v>0</v>
      </c>
      <c r="R65" s="99">
        <f>IFERROR(D65/G65,0)</f>
        <v>0</v>
      </c>
      <c r="S65" s="94">
        <f t="shared" si="4"/>
        <v>0</v>
      </c>
      <c r="T65" s="98">
        <f>IFERROR((C65*(1-N65))/F65,0)</f>
        <v>0</v>
      </c>
      <c r="U65" s="99">
        <f>IFERROR((D65*(1-O65))/G65,0)</f>
        <v>0</v>
      </c>
      <c r="V65" s="94">
        <f t="shared" si="5"/>
        <v>0</v>
      </c>
      <c r="W65" s="98">
        <f>IFERROR(SUMPRODUCT(W61:W64,F61:F64)/F65,0)</f>
        <v>0</v>
      </c>
      <c r="X65" s="99">
        <f>IFERROR(SUMPRODUCT(X61:X64,G61:G64)/G65,0)</f>
        <v>0</v>
      </c>
      <c r="Y65" s="94">
        <f t="shared" si="6"/>
        <v>0</v>
      </c>
      <c r="Z65" s="100">
        <f t="shared" si="158"/>
        <v>0</v>
      </c>
      <c r="AA65" s="101">
        <f t="shared" si="156"/>
        <v>0</v>
      </c>
      <c r="AB65" s="94">
        <f t="shared" si="173"/>
        <v>0</v>
      </c>
      <c r="AC65" s="102">
        <f t="shared" si="103"/>
        <v>0</v>
      </c>
      <c r="AD65" s="103">
        <f t="shared" si="104"/>
        <v>0</v>
      </c>
      <c r="AE65" s="104">
        <f t="shared" si="32"/>
        <v>0</v>
      </c>
      <c r="AF65" s="95">
        <f>AF64</f>
        <v>0</v>
      </c>
      <c r="AG65" s="96">
        <f>AG64</f>
        <v>0</v>
      </c>
      <c r="AH65" s="94">
        <f t="shared" si="11"/>
        <v>0</v>
      </c>
      <c r="AI65" s="95">
        <f>SUM(AI61:AI64)</f>
        <v>0</v>
      </c>
      <c r="AJ65" s="96">
        <f>SUM(AJ61:AJ64)</f>
        <v>0</v>
      </c>
      <c r="AK65" s="96">
        <f>SUM(AK61:AK64)</f>
        <v>0</v>
      </c>
      <c r="AL65" s="96">
        <f>SUM(AL61:AL64)</f>
        <v>0</v>
      </c>
      <c r="AM65" s="94">
        <f t="shared" si="13"/>
        <v>0</v>
      </c>
      <c r="AN65" s="95">
        <f>SUM(AN61:AN64)</f>
        <v>0</v>
      </c>
      <c r="AO65" s="96">
        <f t="shared" ref="AO65" si="178">IFERROR(VLOOKUP(FiscalYr-1 &amp; $B65&amp; FCLY,tblForecast,AN$2,FALSE),0)</f>
        <v>0</v>
      </c>
      <c r="AP65" s="94">
        <f t="shared" si="15"/>
        <v>0</v>
      </c>
      <c r="AQ65" s="105">
        <f>IF(F65&lt;&gt;0,(AF65*COUNTIF(AQ61:AQ64,"&lt;&gt;0")/F65),0)</f>
        <v>0</v>
      </c>
      <c r="AR65" s="106">
        <f>IF(G65&lt;&gt;0,(AG65*COUNTIF(AR61:AR64,"&lt;&gt;0")/G65),0)</f>
        <v>0</v>
      </c>
      <c r="AS65" s="94">
        <f t="shared" si="175"/>
        <v>0</v>
      </c>
      <c r="AT65" s="95">
        <f>SUM(AT61:AT64)</f>
        <v>0</v>
      </c>
      <c r="AU65" s="96">
        <f t="shared" si="116"/>
        <v>0</v>
      </c>
      <c r="AV65" s="94">
        <f t="shared" si="18"/>
        <v>0</v>
      </c>
      <c r="AW65" s="107"/>
      <c r="AX65" s="108"/>
      <c r="AY65" s="94">
        <f t="shared" si="19"/>
        <v>0</v>
      </c>
      <c r="AZ65" s="134"/>
      <c r="BA65" s="111"/>
      <c r="BB65" s="94">
        <f t="shared" si="20"/>
        <v>0</v>
      </c>
      <c r="BC65" s="95">
        <f>SUM(BC61:BC64)</f>
        <v>0</v>
      </c>
      <c r="BD65" s="96">
        <f t="shared" si="117"/>
        <v>0</v>
      </c>
      <c r="BE65" s="94">
        <f t="shared" si="22"/>
        <v>0</v>
      </c>
      <c r="BF65" s="110">
        <f>SUM(BF61:BF64)</f>
        <v>0</v>
      </c>
      <c r="BG65" s="111">
        <f>SUM(BG61:BG64)</f>
        <v>0</v>
      </c>
      <c r="BH65" s="94">
        <f t="shared" si="24"/>
        <v>0</v>
      </c>
      <c r="BI65" s="111">
        <f t="shared" si="154"/>
        <v>0</v>
      </c>
      <c r="BJ65" s="112">
        <f t="shared" si="155"/>
        <v>0</v>
      </c>
      <c r="BK65" s="101">
        <f t="shared" si="26"/>
        <v>0</v>
      </c>
      <c r="BL65" s="283"/>
      <c r="BM65" s="249"/>
      <c r="BN65" s="249"/>
      <c r="BO65" s="284"/>
    </row>
    <row r="66" spans="2:67" customFormat="1" x14ac:dyDescent="0.25">
      <c r="B66" s="185">
        <v>44</v>
      </c>
      <c r="C66" s="87">
        <f t="shared" ref="C66:D70" si="179">F66*Q66</f>
        <v>0</v>
      </c>
      <c r="D66" s="68">
        <f t="shared" si="179"/>
        <v>0</v>
      </c>
      <c r="E66" s="69">
        <f t="shared" si="0"/>
        <v>0</v>
      </c>
      <c r="F66" s="157">
        <f>IF(NewPlan=TRUE,IF(AF65-(G66*J66)&lt;0,AF65,G66*J66),IFERROR(VLOOKUP(FiscalYr &amp; $B66&amp;F$4,tblForecast,F$2,FALSE),0))</f>
        <v>0</v>
      </c>
      <c r="G66" s="189">
        <f>IFERROR(VLOOKUP(FiscalYr-IF(CompareVer="LY",1,0) &amp; $B66 + IF(FiscalYr=2018,1,0)&amp;G$4,tblForecast,G$2,FALSE),0)</f>
        <v>0</v>
      </c>
      <c r="H66" s="69">
        <f t="shared" si="1"/>
        <v>0</v>
      </c>
      <c r="I66" s="177">
        <f>IFERROR(IF(F64&gt;0,F66/F64,0),0)</f>
        <v>0</v>
      </c>
      <c r="J66" s="177">
        <f>IFERROR(IF(G64&gt;0,G66/G64,0),0)</f>
        <v>0</v>
      </c>
      <c r="K66" s="87">
        <f t="shared" ref="K66:K70" si="180">IFERROR(C66*N66,0)</f>
        <v>0</v>
      </c>
      <c r="L66" s="68">
        <f t="shared" ref="L66:L70" si="181">D66*O66</f>
        <v>0</v>
      </c>
      <c r="M66" s="72">
        <f t="shared" si="2"/>
        <v>0</v>
      </c>
      <c r="N66" s="162">
        <f t="shared" ref="N66:O70" si="182">IF(Q66&lt;&gt;0,1-T66/Q66,0)</f>
        <v>0</v>
      </c>
      <c r="O66" s="163">
        <f t="shared" si="182"/>
        <v>0</v>
      </c>
      <c r="P66" s="69">
        <f t="shared" si="172"/>
        <v>0</v>
      </c>
      <c r="Q66" s="158">
        <f>IF(NewPlan=TRUE,IF(BM66=0,R66,BM66),IFERROR(VLOOKUP(FiscalYr&amp;$B66&amp;Q$4,tblForecast,Q$2,FALSE),0))</f>
        <v>0</v>
      </c>
      <c r="R66" s="73">
        <f>IFERROR(VLOOKUP(FiscalYr-IF(CompareVer="LY",1,0) &amp; $B66 + IF(FiscalYr=2018,1,0)&amp;R$4,tblForecast,R$2,FALSE),0)</f>
        <v>0</v>
      </c>
      <c r="S66" s="69">
        <f t="shared" ref="S66:S70" si="183">IFERROR(Q66/R66-1,)</f>
        <v>0</v>
      </c>
      <c r="T66" s="158">
        <f>IF(NewPlan=TRUE,IF(BO66=0,U66,BO66),IFERROR(VLOOKUP(FiscalYr &amp; $B66&amp;T$4,tblForecast,T$2,FALSE),0))</f>
        <v>0</v>
      </c>
      <c r="U66" s="73">
        <f>IFERROR(VLOOKUP(FiscalYr-IF(CompareVer="LY",1,0) &amp; $B66 + IF(FiscalYr=2018,1,0)&amp;U$4,tblForecast,U$2,FALSE),0)</f>
        <v>0</v>
      </c>
      <c r="V66" s="69">
        <f t="shared" ref="V66:V70" si="184">IFERROR(T66/U66-1,)</f>
        <v>0</v>
      </c>
      <c r="W66" s="158">
        <f>IF(NewPlan=TRUE,IF(BN66=0,X66,BN66),IFERROR(VLOOKUP(FiscalYr &amp; $B66&amp;W$4,tblForecast,W$2,FALSE),0))</f>
        <v>0</v>
      </c>
      <c r="X66" s="73">
        <f>IFERROR(VLOOKUP(FiscalYr-IF(CompareVer="LY",1,0) &amp; $B66 + IF(FiscalYr=2018,1,0)&amp;X$4,tblForecast,X$2,FALSE),0)</f>
        <v>0</v>
      </c>
      <c r="Y66" s="69">
        <f t="shared" si="6"/>
        <v>0</v>
      </c>
      <c r="Z66" s="74">
        <f t="shared" si="158"/>
        <v>0</v>
      </c>
      <c r="AA66" s="75">
        <f t="shared" si="156"/>
        <v>0</v>
      </c>
      <c r="AB66" s="69">
        <f t="shared" si="173"/>
        <v>0</v>
      </c>
      <c r="AC66" s="88">
        <f t="shared" si="103"/>
        <v>0</v>
      </c>
      <c r="AD66" s="77">
        <f t="shared" si="104"/>
        <v>0</v>
      </c>
      <c r="AE66" s="78">
        <f t="shared" si="32"/>
        <v>0</v>
      </c>
      <c r="AF66" s="238">
        <f t="shared" ref="AF66:AF70" si="185">IF(AF65+AK66+AN66-F66&lt;0,0,AF65+AK66+AN66-F66)</f>
        <v>0</v>
      </c>
      <c r="AG66" s="71">
        <f>IFERROR(VLOOKUP(FiscalYr-IF(CompareVer="LY",1,0) &amp; $B66 + IF(FiscalYr=2018,1,0)&amp;AG$4,tblForecast,AG$2,FALSE),0)</f>
        <v>0</v>
      </c>
      <c r="AH66" s="69">
        <f t="shared" si="11"/>
        <v>0</v>
      </c>
      <c r="AI66" s="157">
        <f t="shared" ref="AI66:AJ70" si="186">IFERROR(VLOOKUP(FiscalYr &amp; $B66&amp;AI$4,tblForecast,AI$2,FALSE),0)</f>
        <v>0</v>
      </c>
      <c r="AJ66" s="71">
        <f t="shared" si="186"/>
        <v>0</v>
      </c>
      <c r="AK66" s="71">
        <f>IF($A66="a",IFERROR(VLOOKUP(FiscalYr &amp; $B66&amp;AK$4,tblForecast,AK$2,FALSE),0),AI66+AJ66)</f>
        <v>0</v>
      </c>
      <c r="AL66" s="71">
        <f>IFERROR(VLOOKUP(FiscalYr-IF(CompareVer="LY",1,0) &amp; $B66 + IF(FiscalYr=2018,1,0)&amp;AL$4,tblForecast,AL$2,FALSE),0)</f>
        <v>0</v>
      </c>
      <c r="AM66" s="69">
        <f t="shared" si="13"/>
        <v>0</v>
      </c>
      <c r="AN66" s="157">
        <f t="shared" ref="AN66:AO70" si="187">IFERROR(VLOOKUP(FiscalYr &amp; $B66&amp;AN$4,tblForecast,AN$2,FALSE),0)</f>
        <v>0</v>
      </c>
      <c r="AO66" s="71">
        <f t="shared" si="187"/>
        <v>0</v>
      </c>
      <c r="AP66" s="69">
        <f t="shared" si="15"/>
        <v>0</v>
      </c>
      <c r="AQ66" s="80">
        <f t="shared" ref="AQ66:AR70" si="188">IF(F66&lt;&gt;0,AF66/F66,0)</f>
        <v>0</v>
      </c>
      <c r="AR66" s="89">
        <f t="shared" si="188"/>
        <v>0</v>
      </c>
      <c r="AS66" s="69">
        <f t="shared" si="175"/>
        <v>0</v>
      </c>
      <c r="AT66" s="70">
        <f>IFERROR(VLOOKUP(FiscalYr &amp; $B66&amp;AT$4,tblForecast,AT$2,FALSE),0)</f>
        <v>0</v>
      </c>
      <c r="AU66" s="71">
        <f t="shared" si="116"/>
        <v>0</v>
      </c>
      <c r="AV66" s="69">
        <f t="shared" si="18"/>
        <v>0</v>
      </c>
      <c r="AW66" s="82"/>
      <c r="AX66" s="83"/>
      <c r="AY66" s="69">
        <f t="shared" si="19"/>
        <v>0</v>
      </c>
      <c r="AZ66" s="84"/>
      <c r="BA66" s="85"/>
      <c r="BB66" s="69">
        <f t="shared" si="20"/>
        <v>0</v>
      </c>
      <c r="BC66" s="70">
        <f>IFERROR(VLOOKUP(FiscalYr &amp; $B66&amp;BC$4,tblForecast,BC$2,FALSE),0)</f>
        <v>0</v>
      </c>
      <c r="BD66" s="71">
        <f t="shared" si="117"/>
        <v>0</v>
      </c>
      <c r="BE66" s="69">
        <f t="shared" si="22"/>
        <v>0</v>
      </c>
      <c r="BF66" s="90">
        <f>IFERROR(VLOOKUP(FiscalYr &amp; $B66&amp;BF$4,tblForecast,BF$2,FALSE),0)</f>
        <v>0</v>
      </c>
      <c r="BG66" s="85">
        <f t="shared" ref="BG66:BG70" si="189">IFERROR(VLOOKUP(FiscalYr-1 &amp; $B66&amp; FCLY,tblForecast,BF$2,FALSE),0)</f>
        <v>0</v>
      </c>
      <c r="BH66" s="69">
        <f t="shared" si="24"/>
        <v>0</v>
      </c>
      <c r="BI66" s="85">
        <f t="shared" si="154"/>
        <v>0</v>
      </c>
      <c r="BJ66" s="86">
        <f t="shared" si="155"/>
        <v>0</v>
      </c>
      <c r="BK66" s="75">
        <f t="shared" si="26"/>
        <v>0</v>
      </c>
      <c r="BL66" s="283">
        <f>IFERROR(VLOOKUP(Brand&amp;Channel&amp;Country&amp;$B66,tblDiscount,6,FALSE),0)</f>
        <v>0.8</v>
      </c>
      <c r="BM66" s="249">
        <f>(1-BL66)*BN66</f>
        <v>0</v>
      </c>
      <c r="BN66" s="249">
        <f>IFERROR(VLOOKUP(Brand&amp;Country &amp; Channel &amp;FC,tblFCSettings,8,FALSE),0)</f>
        <v>0</v>
      </c>
      <c r="BO66" s="284">
        <f>IFERROR(VLOOKUP(Brand&amp;Country &amp; Channel &amp;FC,tblFCSettings,9,FALSE),0)</f>
        <v>0</v>
      </c>
    </row>
    <row r="67" spans="2:67" customFormat="1" x14ac:dyDescent="0.25">
      <c r="B67" s="185">
        <v>45</v>
      </c>
      <c r="C67" s="87">
        <f t="shared" si="179"/>
        <v>0</v>
      </c>
      <c r="D67" s="68">
        <f t="shared" si="179"/>
        <v>0</v>
      </c>
      <c r="E67" s="69">
        <f t="shared" si="0"/>
        <v>0</v>
      </c>
      <c r="F67" s="157">
        <f>IF(NewPlan=TRUE,IF(AF66-(G67*J67)&lt;0,AF66,G67*J67),IFERROR(VLOOKUP(FiscalYr &amp; $B67&amp;F$4,tblForecast,F$2,FALSE),0))</f>
        <v>0</v>
      </c>
      <c r="G67" s="189">
        <f>IFERROR(VLOOKUP(FiscalYr-IF(CompareVer="LY",1,0) &amp; $B67 + IF(FiscalYr=2018,1,0)&amp;G$4,tblForecast,G$2,FALSE),0)</f>
        <v>0</v>
      </c>
      <c r="H67" s="69">
        <f t="shared" si="1"/>
        <v>0</v>
      </c>
      <c r="I67" s="177">
        <f t="shared" ref="I67:J70" si="190">IFERROR(IF(F66&lt;&gt;0,F67/F66,0),0)</f>
        <v>0</v>
      </c>
      <c r="J67" s="177">
        <f t="shared" si="190"/>
        <v>0</v>
      </c>
      <c r="K67" s="87">
        <f t="shared" si="180"/>
        <v>0</v>
      </c>
      <c r="L67" s="68">
        <f t="shared" si="181"/>
        <v>0</v>
      </c>
      <c r="M67" s="72">
        <f t="shared" si="2"/>
        <v>0</v>
      </c>
      <c r="N67" s="162">
        <f t="shared" si="182"/>
        <v>0</v>
      </c>
      <c r="O67" s="163">
        <f t="shared" si="182"/>
        <v>0</v>
      </c>
      <c r="P67" s="69">
        <f t="shared" si="172"/>
        <v>0</v>
      </c>
      <c r="Q67" s="158">
        <f>IF(NewPlan=TRUE,IF(BM67=0,R67,BM67),IFERROR(VLOOKUP(FiscalYr&amp;$B67&amp;Q$4,tblForecast,Q$2,FALSE),0))</f>
        <v>0</v>
      </c>
      <c r="R67" s="73">
        <f>IFERROR(VLOOKUP(FiscalYr-IF(CompareVer="LY",1,0) &amp; $B67 + IF(FiscalYr=2018,1,0)&amp;R$4,tblForecast,R$2,FALSE),0)</f>
        <v>0</v>
      </c>
      <c r="S67" s="69">
        <f t="shared" si="183"/>
        <v>0</v>
      </c>
      <c r="T67" s="158">
        <f>IF(NewPlan=TRUE,IF(BO67=0,U67,BO67),IFERROR(VLOOKUP(FiscalYr &amp; $B67&amp;T$4,tblForecast,T$2,FALSE),0))</f>
        <v>0</v>
      </c>
      <c r="U67" s="73">
        <f>IFERROR(VLOOKUP(FiscalYr-IF(CompareVer="LY",1,0) &amp; $B67 + IF(FiscalYr=2018,1,0)&amp;U$4,tblForecast,U$2,FALSE),0)</f>
        <v>0</v>
      </c>
      <c r="V67" s="69">
        <f t="shared" si="184"/>
        <v>0</v>
      </c>
      <c r="W67" s="158">
        <f>IF(NewPlan=TRUE,IF(BN67=0,X67,BN67),IFERROR(VLOOKUP(FiscalYr &amp; $B67&amp;W$4,tblForecast,W$2,FALSE),0))</f>
        <v>0</v>
      </c>
      <c r="X67" s="73">
        <f>IFERROR(VLOOKUP(FiscalYr-IF(CompareVer="LY",1,0) &amp; $B67 + IF(FiscalYr=2018,1,0)&amp;X$4,tblForecast,X$2,FALSE),0)</f>
        <v>0</v>
      </c>
      <c r="Y67" s="69">
        <f t="shared" si="6"/>
        <v>0</v>
      </c>
      <c r="Z67" s="74">
        <f t="shared" si="158"/>
        <v>0</v>
      </c>
      <c r="AA67" s="75">
        <f t="shared" si="156"/>
        <v>0</v>
      </c>
      <c r="AB67" s="69">
        <f t="shared" si="173"/>
        <v>0</v>
      </c>
      <c r="AC67" s="88">
        <f t="shared" si="103"/>
        <v>0</v>
      </c>
      <c r="AD67" s="77">
        <f t="shared" si="104"/>
        <v>0</v>
      </c>
      <c r="AE67" s="78">
        <f t="shared" si="32"/>
        <v>0</v>
      </c>
      <c r="AF67" s="238">
        <f t="shared" si="185"/>
        <v>0</v>
      </c>
      <c r="AG67" s="71">
        <f>IFERROR(VLOOKUP(FiscalYr-IF(CompareVer="LY",1,0) &amp; $B67 + IF(FiscalYr=2018,1,0)&amp;AG$4,tblForecast,AG$2,FALSE),0)</f>
        <v>0</v>
      </c>
      <c r="AH67" s="69">
        <f t="shared" si="11"/>
        <v>0</v>
      </c>
      <c r="AI67" s="157">
        <f t="shared" si="186"/>
        <v>0</v>
      </c>
      <c r="AJ67" s="71">
        <f t="shared" si="186"/>
        <v>0</v>
      </c>
      <c r="AK67" s="71">
        <f>IF($A67="a",IFERROR(VLOOKUP(FiscalYr &amp; $B67&amp;AK$4,tblForecast,AK$2,FALSE),0),AI67+AJ67)</f>
        <v>0</v>
      </c>
      <c r="AL67" s="71">
        <f>IFERROR(VLOOKUP(FiscalYr-IF(CompareVer="LY",1,0) &amp; $B67 + IF(FiscalYr=2018,1,0)&amp;AL$4,tblForecast,AL$2,FALSE),0)</f>
        <v>0</v>
      </c>
      <c r="AM67" s="69">
        <f t="shared" si="13"/>
        <v>0</v>
      </c>
      <c r="AN67" s="157">
        <f t="shared" si="187"/>
        <v>0</v>
      </c>
      <c r="AO67" s="71">
        <f t="shared" si="187"/>
        <v>0</v>
      </c>
      <c r="AP67" s="69">
        <f t="shared" si="15"/>
        <v>0</v>
      </c>
      <c r="AQ67" s="80">
        <f t="shared" si="188"/>
        <v>0</v>
      </c>
      <c r="AR67" s="89">
        <f t="shared" si="188"/>
        <v>0</v>
      </c>
      <c r="AS67" s="69">
        <f t="shared" si="175"/>
        <v>0</v>
      </c>
      <c r="AT67" s="70">
        <f>IFERROR(VLOOKUP(FiscalYr &amp; $B67&amp;AT$4,tblForecast,AT$2,FALSE),0)</f>
        <v>0</v>
      </c>
      <c r="AU67" s="71">
        <f t="shared" si="116"/>
        <v>0</v>
      </c>
      <c r="AV67" s="69">
        <f t="shared" si="18"/>
        <v>0</v>
      </c>
      <c r="AW67" s="82"/>
      <c r="AX67" s="83"/>
      <c r="AY67" s="69">
        <f t="shared" si="19"/>
        <v>0</v>
      </c>
      <c r="AZ67" s="84"/>
      <c r="BA67" s="85"/>
      <c r="BB67" s="69">
        <f t="shared" si="20"/>
        <v>0</v>
      </c>
      <c r="BC67" s="70">
        <f>IFERROR(VLOOKUP(FiscalYr &amp; $B67&amp;BC$4,tblForecast,BC$2,FALSE),0)</f>
        <v>0</v>
      </c>
      <c r="BD67" s="71">
        <f t="shared" si="117"/>
        <v>0</v>
      </c>
      <c r="BE67" s="69">
        <f t="shared" si="22"/>
        <v>0</v>
      </c>
      <c r="BF67" s="90">
        <f>IFERROR(VLOOKUP(FiscalYr &amp; $B67&amp;BF$4,tblForecast,BF$2,FALSE),0)</f>
        <v>0</v>
      </c>
      <c r="BG67" s="85">
        <f t="shared" si="189"/>
        <v>0</v>
      </c>
      <c r="BH67" s="69">
        <f t="shared" si="24"/>
        <v>0</v>
      </c>
      <c r="BI67" s="85">
        <f t="shared" si="154"/>
        <v>0</v>
      </c>
      <c r="BJ67" s="86">
        <f t="shared" si="155"/>
        <v>0</v>
      </c>
      <c r="BK67" s="75">
        <f t="shared" si="26"/>
        <v>0</v>
      </c>
      <c r="BL67" s="283">
        <f>IFERROR(VLOOKUP(Brand&amp;Channel&amp;Country&amp;$B67,tblDiscount,6,FALSE),0)</f>
        <v>0.8</v>
      </c>
      <c r="BM67" s="249">
        <f t="shared" ref="BM67:BM69" si="191">(1-BL67)*BN67</f>
        <v>0</v>
      </c>
      <c r="BN67" s="249">
        <f>IFERROR(VLOOKUP(Brand&amp;Country &amp; Channel &amp;FC,tblFCSettings,8,FALSE),0)</f>
        <v>0</v>
      </c>
      <c r="BO67" s="284">
        <f>IFERROR(VLOOKUP(Brand&amp;Country &amp; Channel &amp;FC,tblFCSettings,9,FALSE),0)</f>
        <v>0</v>
      </c>
    </row>
    <row r="68" spans="2:67" customFormat="1" x14ac:dyDescent="0.25">
      <c r="B68" s="185">
        <v>46</v>
      </c>
      <c r="C68" s="87">
        <f t="shared" si="179"/>
        <v>0</v>
      </c>
      <c r="D68" s="68">
        <f t="shared" si="179"/>
        <v>0</v>
      </c>
      <c r="E68" s="69">
        <f t="shared" si="0"/>
        <v>0</v>
      </c>
      <c r="F68" s="157">
        <f>IF(NewPlan=TRUE,IF(AF67-(G68*J68)&lt;0,AF67,G68*J68),IFERROR(VLOOKUP(FiscalYr &amp; $B68&amp;F$4,tblForecast,F$2,FALSE),0))</f>
        <v>0</v>
      </c>
      <c r="G68" s="189">
        <f>IFERROR(VLOOKUP(FiscalYr-IF(CompareVer="LY",1,0) &amp; $B68 + IF(FiscalYr=2018,1,0)&amp;G$4,tblForecast,G$2,FALSE),0)</f>
        <v>0</v>
      </c>
      <c r="H68" s="69">
        <f t="shared" si="1"/>
        <v>0</v>
      </c>
      <c r="I68" s="177">
        <f t="shared" si="190"/>
        <v>0</v>
      </c>
      <c r="J68" s="177">
        <f t="shared" si="190"/>
        <v>0</v>
      </c>
      <c r="K68" s="87">
        <f t="shared" si="180"/>
        <v>0</v>
      </c>
      <c r="L68" s="68">
        <f t="shared" si="181"/>
        <v>0</v>
      </c>
      <c r="M68" s="72">
        <f t="shared" si="2"/>
        <v>0</v>
      </c>
      <c r="N68" s="162">
        <f t="shared" si="182"/>
        <v>0</v>
      </c>
      <c r="O68" s="163">
        <f t="shared" si="182"/>
        <v>0</v>
      </c>
      <c r="P68" s="69">
        <f t="shared" si="172"/>
        <v>0</v>
      </c>
      <c r="Q68" s="158">
        <f>IF(NewPlan=TRUE,IF(BM68=0,R68,BM68),IFERROR(VLOOKUP(FiscalYr&amp;$B68&amp;Q$4,tblForecast,Q$2,FALSE),0))</f>
        <v>0</v>
      </c>
      <c r="R68" s="73">
        <f>IFERROR(VLOOKUP(FiscalYr-IF(CompareVer="LY",1,0) &amp; $B68 + IF(FiscalYr=2018,1,0)&amp;R$4,tblForecast,R$2,FALSE),0)</f>
        <v>0</v>
      </c>
      <c r="S68" s="69">
        <f t="shared" si="183"/>
        <v>0</v>
      </c>
      <c r="T68" s="158">
        <f>IF(NewPlan=TRUE,IF(BO68=0,U68,BO68),IFERROR(VLOOKUP(FiscalYr &amp; $B68&amp;T$4,tblForecast,T$2,FALSE),0))</f>
        <v>0</v>
      </c>
      <c r="U68" s="73">
        <f>IFERROR(VLOOKUP(FiscalYr-IF(CompareVer="LY",1,0) &amp; $B68 + IF(FiscalYr=2018,1,0)&amp;U$4,tblForecast,U$2,FALSE),0)</f>
        <v>0</v>
      </c>
      <c r="V68" s="69">
        <f t="shared" si="184"/>
        <v>0</v>
      </c>
      <c r="W68" s="158">
        <f>IF(NewPlan=TRUE,IF(BN68=0,X68,BN68),IFERROR(VLOOKUP(FiscalYr &amp; $B68&amp;W$4,tblForecast,W$2,FALSE),0))</f>
        <v>0</v>
      </c>
      <c r="X68" s="73">
        <f>IFERROR(VLOOKUP(FiscalYr-IF(CompareVer="LY",1,0) &amp; $B68 + IF(FiscalYr=2018,1,0)&amp;X$4,tblForecast,X$2,FALSE),0)</f>
        <v>0</v>
      </c>
      <c r="Y68" s="69">
        <f t="shared" si="6"/>
        <v>0</v>
      </c>
      <c r="Z68" s="74">
        <f t="shared" si="158"/>
        <v>0</v>
      </c>
      <c r="AA68" s="75">
        <f t="shared" si="156"/>
        <v>0</v>
      </c>
      <c r="AB68" s="69">
        <f t="shared" si="173"/>
        <v>0</v>
      </c>
      <c r="AC68" s="88">
        <f t="shared" si="103"/>
        <v>0</v>
      </c>
      <c r="AD68" s="77">
        <f t="shared" si="104"/>
        <v>0</v>
      </c>
      <c r="AE68" s="78">
        <f t="shared" si="32"/>
        <v>0</v>
      </c>
      <c r="AF68" s="238">
        <f t="shared" si="185"/>
        <v>0</v>
      </c>
      <c r="AG68" s="71">
        <f>IFERROR(VLOOKUP(FiscalYr-IF(CompareVer="LY",1,0) &amp; $B68 + IF(FiscalYr=2018,1,0)&amp;AG$4,tblForecast,AG$2,FALSE),0)</f>
        <v>0</v>
      </c>
      <c r="AH68" s="69">
        <f t="shared" si="11"/>
        <v>0</v>
      </c>
      <c r="AI68" s="157">
        <f t="shared" si="186"/>
        <v>0</v>
      </c>
      <c r="AJ68" s="71">
        <f t="shared" si="186"/>
        <v>0</v>
      </c>
      <c r="AK68" s="71">
        <f>IF($A68="a",IFERROR(VLOOKUP(FiscalYr &amp; $B68&amp;AK$4,tblForecast,AK$2,FALSE),0),AI68+AJ68)</f>
        <v>0</v>
      </c>
      <c r="AL68" s="71">
        <f>IFERROR(VLOOKUP(FiscalYr-IF(CompareVer="LY",1,0) &amp; $B68 + IF(FiscalYr=2018,1,0)&amp;AL$4,tblForecast,AL$2,FALSE),0)</f>
        <v>0</v>
      </c>
      <c r="AM68" s="69">
        <f t="shared" si="13"/>
        <v>0</v>
      </c>
      <c r="AN68" s="157">
        <f t="shared" si="187"/>
        <v>0</v>
      </c>
      <c r="AO68" s="71">
        <f t="shared" si="187"/>
        <v>0</v>
      </c>
      <c r="AP68" s="69">
        <f t="shared" si="15"/>
        <v>0</v>
      </c>
      <c r="AQ68" s="80">
        <f t="shared" si="188"/>
        <v>0</v>
      </c>
      <c r="AR68" s="89">
        <f t="shared" si="188"/>
        <v>0</v>
      </c>
      <c r="AS68" s="69">
        <f t="shared" si="175"/>
        <v>0</v>
      </c>
      <c r="AT68" s="70">
        <f>IFERROR(VLOOKUP(FiscalYr &amp; $B68&amp;AT$4,tblForecast,AT$2,FALSE),0)</f>
        <v>0</v>
      </c>
      <c r="AU68" s="71">
        <f t="shared" si="116"/>
        <v>0</v>
      </c>
      <c r="AV68" s="69">
        <f t="shared" si="18"/>
        <v>0</v>
      </c>
      <c r="AW68" s="82"/>
      <c r="AX68" s="83"/>
      <c r="AY68" s="69">
        <f t="shared" si="19"/>
        <v>0</v>
      </c>
      <c r="AZ68" s="84"/>
      <c r="BA68" s="85"/>
      <c r="BB68" s="69">
        <f t="shared" si="20"/>
        <v>0</v>
      </c>
      <c r="BC68" s="70">
        <f>IFERROR(VLOOKUP(FiscalYr &amp; $B68&amp;BC$4,tblForecast,BC$2,FALSE),0)</f>
        <v>0</v>
      </c>
      <c r="BD68" s="71">
        <f t="shared" si="117"/>
        <v>0</v>
      </c>
      <c r="BE68" s="69">
        <f t="shared" si="22"/>
        <v>0</v>
      </c>
      <c r="BF68" s="90">
        <f>IFERROR(VLOOKUP(FiscalYr &amp; $B68&amp;BF$4,tblForecast,BF$2,FALSE),0)</f>
        <v>0</v>
      </c>
      <c r="BG68" s="85">
        <f t="shared" si="189"/>
        <v>0</v>
      </c>
      <c r="BH68" s="69">
        <f t="shared" si="24"/>
        <v>0</v>
      </c>
      <c r="BI68" s="85">
        <f t="shared" si="154"/>
        <v>0</v>
      </c>
      <c r="BJ68" s="86">
        <f t="shared" si="155"/>
        <v>0</v>
      </c>
      <c r="BK68" s="75">
        <f t="shared" si="26"/>
        <v>0</v>
      </c>
      <c r="BL68" s="283">
        <f>IFERROR(VLOOKUP(Brand&amp;Channel&amp;Country&amp;$B68,tblDiscount,6,FALSE),0)</f>
        <v>0.8</v>
      </c>
      <c r="BM68" s="249">
        <f t="shared" si="191"/>
        <v>0</v>
      </c>
      <c r="BN68" s="249">
        <f>IFERROR(VLOOKUP(Brand&amp;Country &amp; Channel &amp;FC,tblFCSettings,8,FALSE),0)</f>
        <v>0</v>
      </c>
      <c r="BO68" s="284">
        <f>IFERROR(VLOOKUP(Brand&amp;Country &amp; Channel &amp;FC,tblFCSettings,9,FALSE),0)</f>
        <v>0</v>
      </c>
    </row>
    <row r="69" spans="2:67" customFormat="1" x14ac:dyDescent="0.25">
      <c r="B69" s="185">
        <v>47</v>
      </c>
      <c r="C69" s="87">
        <f t="shared" si="179"/>
        <v>0</v>
      </c>
      <c r="D69" s="68">
        <f t="shared" si="179"/>
        <v>0</v>
      </c>
      <c r="E69" s="69">
        <f t="shared" si="0"/>
        <v>0</v>
      </c>
      <c r="F69" s="157">
        <f>IF(NewPlan=TRUE,IF(AF68-(G69*J69)&lt;0,AF68,G69*J69),IFERROR(VLOOKUP(FiscalYr &amp; $B69&amp;F$4,tblForecast,F$2,FALSE),0))</f>
        <v>0</v>
      </c>
      <c r="G69" s="189">
        <f>IFERROR(VLOOKUP(FiscalYr-IF(CompareVer="LY",1,0) &amp; $B69 + IF(FiscalYr=2018,1,0)&amp;G$4,tblForecast,G$2,FALSE),0)</f>
        <v>0</v>
      </c>
      <c r="H69" s="69">
        <f t="shared" si="1"/>
        <v>0</v>
      </c>
      <c r="I69" s="177">
        <f t="shared" si="190"/>
        <v>0</v>
      </c>
      <c r="J69" s="177">
        <f t="shared" si="190"/>
        <v>0</v>
      </c>
      <c r="K69" s="87">
        <f t="shared" si="180"/>
        <v>0</v>
      </c>
      <c r="L69" s="68">
        <f t="shared" si="181"/>
        <v>0</v>
      </c>
      <c r="M69" s="72">
        <f t="shared" si="2"/>
        <v>0</v>
      </c>
      <c r="N69" s="162">
        <f t="shared" si="182"/>
        <v>0</v>
      </c>
      <c r="O69" s="163">
        <f t="shared" si="182"/>
        <v>0</v>
      </c>
      <c r="P69" s="69">
        <f t="shared" si="172"/>
        <v>0</v>
      </c>
      <c r="Q69" s="158">
        <f>IF(NewPlan=TRUE,IF(BM69=0,R69,BM69),IFERROR(VLOOKUP(FiscalYr&amp;$B69&amp;Q$4,tblForecast,Q$2,FALSE),0))</f>
        <v>0</v>
      </c>
      <c r="R69" s="73">
        <f>IFERROR(VLOOKUP(FiscalYr-IF(CompareVer="LY",1,0) &amp; $B69 + IF(FiscalYr=2018,1,0)&amp;R$4,tblForecast,R$2,FALSE),0)</f>
        <v>0</v>
      </c>
      <c r="S69" s="69">
        <f t="shared" si="183"/>
        <v>0</v>
      </c>
      <c r="T69" s="158">
        <f>IF(NewPlan=TRUE,IF(BO69=0,U69,BO69),IFERROR(VLOOKUP(FiscalYr &amp; $B69&amp;T$4,tblForecast,T$2,FALSE),0))</f>
        <v>0</v>
      </c>
      <c r="U69" s="73">
        <f>IFERROR(VLOOKUP(FiscalYr-IF(CompareVer="LY",1,0) &amp; $B69 + IF(FiscalYr=2018,1,0)&amp;U$4,tblForecast,U$2,FALSE),0)</f>
        <v>0</v>
      </c>
      <c r="V69" s="69">
        <f t="shared" si="184"/>
        <v>0</v>
      </c>
      <c r="W69" s="158">
        <f>IF(NewPlan=TRUE,IF(BN69=0,X69,BN69),IFERROR(VLOOKUP(FiscalYr &amp; $B69&amp;W$4,tblForecast,W$2,FALSE),0))</f>
        <v>0</v>
      </c>
      <c r="X69" s="73">
        <f>IFERROR(VLOOKUP(FiscalYr-IF(CompareVer="LY",1,0) &amp; $B69 + IF(FiscalYr=2018,1,0)&amp;X$4,tblForecast,X$2,FALSE),0)</f>
        <v>0</v>
      </c>
      <c r="Y69" s="69">
        <f t="shared" si="6"/>
        <v>0</v>
      </c>
      <c r="Z69" s="74">
        <f t="shared" si="158"/>
        <v>0</v>
      </c>
      <c r="AA69" s="75">
        <f t="shared" si="156"/>
        <v>0</v>
      </c>
      <c r="AB69" s="69">
        <f t="shared" si="173"/>
        <v>0</v>
      </c>
      <c r="AC69" s="88">
        <f t="shared" si="103"/>
        <v>0</v>
      </c>
      <c r="AD69" s="77">
        <f t="shared" si="104"/>
        <v>0</v>
      </c>
      <c r="AE69" s="78">
        <f t="shared" si="32"/>
        <v>0</v>
      </c>
      <c r="AF69" s="238">
        <f t="shared" si="185"/>
        <v>0</v>
      </c>
      <c r="AG69" s="71">
        <f>IFERROR(VLOOKUP(FiscalYr-IF(CompareVer="LY",1,0) &amp; $B69 + IF(FiscalYr=2018,1,0)&amp;AG$4,tblForecast,AG$2,FALSE),0)</f>
        <v>0</v>
      </c>
      <c r="AH69" s="69">
        <f t="shared" si="11"/>
        <v>0</v>
      </c>
      <c r="AI69" s="157">
        <f t="shared" si="186"/>
        <v>0</v>
      </c>
      <c r="AJ69" s="71">
        <f t="shared" si="186"/>
        <v>0</v>
      </c>
      <c r="AK69" s="71">
        <f>IF($A69="a",IFERROR(VLOOKUP(FiscalYr &amp; $B69&amp;AK$4,tblForecast,AK$2,FALSE),0),AI69+AJ69)</f>
        <v>0</v>
      </c>
      <c r="AL69" s="71">
        <f>IFERROR(VLOOKUP(FiscalYr-IF(CompareVer="LY",1,0) &amp; $B69 + IF(FiscalYr=2018,1,0)&amp;AL$4,tblForecast,AL$2,FALSE),0)</f>
        <v>0</v>
      </c>
      <c r="AM69" s="69">
        <f t="shared" si="13"/>
        <v>0</v>
      </c>
      <c r="AN69" s="157">
        <f t="shared" si="187"/>
        <v>0</v>
      </c>
      <c r="AO69" s="71">
        <f t="shared" si="187"/>
        <v>0</v>
      </c>
      <c r="AP69" s="69">
        <f t="shared" si="15"/>
        <v>0</v>
      </c>
      <c r="AQ69" s="80">
        <f t="shared" si="188"/>
        <v>0</v>
      </c>
      <c r="AR69" s="89">
        <f t="shared" si="188"/>
        <v>0</v>
      </c>
      <c r="AS69" s="69">
        <f t="shared" si="175"/>
        <v>0</v>
      </c>
      <c r="AT69" s="70">
        <f>IFERROR(VLOOKUP(FiscalYr &amp; $B69&amp;AT$4,tblForecast,AT$2,FALSE),0)</f>
        <v>0</v>
      </c>
      <c r="AU69" s="71">
        <f t="shared" si="116"/>
        <v>0</v>
      </c>
      <c r="AV69" s="69">
        <f t="shared" si="18"/>
        <v>0</v>
      </c>
      <c r="AW69" s="82"/>
      <c r="AX69" s="83"/>
      <c r="AY69" s="69">
        <f t="shared" si="19"/>
        <v>0</v>
      </c>
      <c r="AZ69" s="84"/>
      <c r="BA69" s="85"/>
      <c r="BB69" s="69">
        <f t="shared" si="20"/>
        <v>0</v>
      </c>
      <c r="BC69" s="70">
        <f>IFERROR(VLOOKUP(FiscalYr &amp; $B69&amp;BC$4,tblForecast,BC$2,FALSE),0)</f>
        <v>0</v>
      </c>
      <c r="BD69" s="71">
        <f t="shared" si="117"/>
        <v>0</v>
      </c>
      <c r="BE69" s="69">
        <f t="shared" si="22"/>
        <v>0</v>
      </c>
      <c r="BF69" s="90">
        <f>IFERROR(VLOOKUP(FiscalYr &amp; $B69&amp;BF$4,tblForecast,BF$2,FALSE),0)</f>
        <v>0</v>
      </c>
      <c r="BG69" s="85">
        <f t="shared" si="189"/>
        <v>0</v>
      </c>
      <c r="BH69" s="69">
        <f t="shared" si="24"/>
        <v>0</v>
      </c>
      <c r="BI69" s="85">
        <f t="shared" si="154"/>
        <v>0</v>
      </c>
      <c r="BJ69" s="86">
        <f t="shared" si="155"/>
        <v>0</v>
      </c>
      <c r="BK69" s="75">
        <f t="shared" si="26"/>
        <v>0</v>
      </c>
      <c r="BL69" s="283">
        <f>IFERROR(VLOOKUP(Brand&amp;Channel&amp;Country&amp;$B69,tblDiscount,6,FALSE),0)</f>
        <v>0.8</v>
      </c>
      <c r="BM69" s="249">
        <f t="shared" si="191"/>
        <v>0</v>
      </c>
      <c r="BN69" s="249">
        <f>IFERROR(VLOOKUP(Brand&amp;Country &amp; Channel &amp;FC,tblFCSettings,8,FALSE),0)</f>
        <v>0</v>
      </c>
      <c r="BO69" s="284">
        <f>IFERROR(VLOOKUP(Brand&amp;Country &amp; Channel &amp;FC,tblFCSettings,9,FALSE),0)</f>
        <v>0</v>
      </c>
    </row>
    <row r="70" spans="2:67" customFormat="1" ht="16.5" thickBot="1" x14ac:dyDescent="0.3">
      <c r="B70" s="185">
        <v>48</v>
      </c>
      <c r="C70" s="87">
        <f t="shared" si="179"/>
        <v>0</v>
      </c>
      <c r="D70" s="68">
        <f t="shared" si="179"/>
        <v>0</v>
      </c>
      <c r="E70" s="69">
        <f t="shared" si="0"/>
        <v>0</v>
      </c>
      <c r="F70" s="157">
        <f>IF(NewPlan=TRUE,IF(AF69-(G70*J70)&lt;0,AF69,G70*J70),IFERROR(VLOOKUP(FiscalYr &amp; $B70&amp;F$4,tblForecast,F$2,FALSE),0))</f>
        <v>0</v>
      </c>
      <c r="G70" s="189">
        <f>IFERROR(VLOOKUP(FiscalYr-IF(CompareVer="LY",1,0) &amp; $B70 + IF(FiscalYr=2018,1,0)&amp;G$4,tblForecast,G$2,FALSE),0)</f>
        <v>0</v>
      </c>
      <c r="H70" s="69">
        <f t="shared" si="1"/>
        <v>0</v>
      </c>
      <c r="I70" s="177">
        <f t="shared" si="190"/>
        <v>0</v>
      </c>
      <c r="J70" s="177">
        <f t="shared" si="190"/>
        <v>0</v>
      </c>
      <c r="K70" s="87">
        <f t="shared" si="180"/>
        <v>0</v>
      </c>
      <c r="L70" s="68">
        <f t="shared" si="181"/>
        <v>0</v>
      </c>
      <c r="M70" s="72">
        <f t="shared" si="2"/>
        <v>0</v>
      </c>
      <c r="N70" s="162">
        <f t="shared" si="182"/>
        <v>0</v>
      </c>
      <c r="O70" s="163">
        <f t="shared" si="182"/>
        <v>0</v>
      </c>
      <c r="P70" s="69">
        <f t="shared" si="172"/>
        <v>0</v>
      </c>
      <c r="Q70" s="158">
        <f>IF(NewPlan=TRUE,IF(BM70=0,R70,BM70),IFERROR(VLOOKUP(FiscalYr&amp;$B70&amp;Q$4,tblForecast,Q$2,FALSE),0))</f>
        <v>0</v>
      </c>
      <c r="R70" s="73">
        <f>IFERROR(VLOOKUP(FiscalYr-IF(CompareVer="LY",1,0) &amp; $B70 + IF(FiscalYr=2018,1,0)&amp;R$4,tblForecast,R$2,FALSE),0)</f>
        <v>0</v>
      </c>
      <c r="S70" s="69">
        <f t="shared" si="183"/>
        <v>0</v>
      </c>
      <c r="T70" s="158">
        <f>IF(NewPlan=TRUE,IF(BO70=0,U70,BO70),IFERROR(VLOOKUP(FiscalYr &amp; $B70&amp;T$4,tblForecast,T$2,FALSE),0))</f>
        <v>0</v>
      </c>
      <c r="U70" s="73">
        <f>IFERROR(VLOOKUP(FiscalYr-IF(CompareVer="LY",1,0) &amp; $B70 + IF(FiscalYr=2018,1,0)&amp;U$4,tblForecast,U$2,FALSE),0)</f>
        <v>0</v>
      </c>
      <c r="V70" s="69">
        <f t="shared" si="184"/>
        <v>0</v>
      </c>
      <c r="W70" s="158">
        <f>IF(NewPlan=TRUE,IF(BN70=0,X70,BN70),IFERROR(VLOOKUP(FiscalYr &amp; $B70&amp;W$4,tblForecast,W$2,FALSE),0))</f>
        <v>0</v>
      </c>
      <c r="X70" s="73">
        <f>IFERROR(VLOOKUP(FiscalYr-IF(CompareVer="LY",1,0) &amp; $B70 + IF(FiscalYr=2018,1,0)&amp;X$4,tblForecast,X$2,FALSE),0)</f>
        <v>0</v>
      </c>
      <c r="Y70" s="69">
        <f t="shared" si="6"/>
        <v>0</v>
      </c>
      <c r="Z70" s="74">
        <f t="shared" si="158"/>
        <v>0</v>
      </c>
      <c r="AA70" s="75">
        <f t="shared" si="156"/>
        <v>0</v>
      </c>
      <c r="AB70" s="69">
        <f t="shared" si="173"/>
        <v>0</v>
      </c>
      <c r="AC70" s="88">
        <f t="shared" si="103"/>
        <v>0</v>
      </c>
      <c r="AD70" s="77">
        <f t="shared" si="104"/>
        <v>0</v>
      </c>
      <c r="AE70" s="78">
        <f t="shared" si="32"/>
        <v>0</v>
      </c>
      <c r="AF70" s="238">
        <f t="shared" si="185"/>
        <v>0</v>
      </c>
      <c r="AG70" s="71">
        <f>IFERROR(VLOOKUP(FiscalYr-IF(CompareVer="LY",1,0) &amp; $B70 + IF(FiscalYr=2018,1,0)&amp;AG$4,tblForecast,AG$2,FALSE),0)</f>
        <v>0</v>
      </c>
      <c r="AH70" s="69">
        <f t="shared" si="11"/>
        <v>0</v>
      </c>
      <c r="AI70" s="157">
        <f t="shared" si="186"/>
        <v>0</v>
      </c>
      <c r="AJ70" s="71">
        <f t="shared" si="186"/>
        <v>0</v>
      </c>
      <c r="AK70" s="71">
        <f>IF($A70="a",IFERROR(VLOOKUP(FiscalYr &amp; $B70&amp;AK$4,tblForecast,AK$2,FALSE),0),AI70+AJ70)</f>
        <v>0</v>
      </c>
      <c r="AL70" s="71">
        <f>IFERROR(VLOOKUP(FiscalYr-IF(CompareVer="LY",1,0) &amp; $B70 + IF(FiscalYr=2018,1,0)&amp;AL$4,tblForecast,AL$2,FALSE),0)</f>
        <v>0</v>
      </c>
      <c r="AM70" s="69">
        <f t="shared" si="13"/>
        <v>0</v>
      </c>
      <c r="AN70" s="157">
        <f t="shared" si="187"/>
        <v>0</v>
      </c>
      <c r="AO70" s="71">
        <f t="shared" si="187"/>
        <v>0</v>
      </c>
      <c r="AP70" s="69">
        <f t="shared" si="15"/>
        <v>0</v>
      </c>
      <c r="AQ70" s="80">
        <f t="shared" si="188"/>
        <v>0</v>
      </c>
      <c r="AR70" s="89">
        <f t="shared" si="188"/>
        <v>0</v>
      </c>
      <c r="AS70" s="69">
        <f t="shared" si="175"/>
        <v>0</v>
      </c>
      <c r="AT70" s="70">
        <f>IFERROR(VLOOKUP(FiscalYr &amp; $B70&amp;AT$4,tblForecast,AT$2,FALSE),0)</f>
        <v>0</v>
      </c>
      <c r="AU70" s="71">
        <f t="shared" si="116"/>
        <v>0</v>
      </c>
      <c r="AV70" s="69">
        <f t="shared" si="18"/>
        <v>0</v>
      </c>
      <c r="AW70" s="82"/>
      <c r="AX70" s="83"/>
      <c r="AY70" s="69">
        <f t="shared" si="19"/>
        <v>0</v>
      </c>
      <c r="AZ70" s="84"/>
      <c r="BA70" s="85"/>
      <c r="BB70" s="69">
        <f t="shared" si="20"/>
        <v>0</v>
      </c>
      <c r="BC70" s="70">
        <f>IFERROR(VLOOKUP(FiscalYr &amp; $B70&amp;BC$4,tblForecast,BC$2,FALSE),0)</f>
        <v>0</v>
      </c>
      <c r="BD70" s="71">
        <f t="shared" si="117"/>
        <v>0</v>
      </c>
      <c r="BE70" s="69">
        <f t="shared" si="22"/>
        <v>0</v>
      </c>
      <c r="BF70" s="90">
        <f>IFERROR(VLOOKUP(FiscalYr &amp; $B70&amp;BF$4,tblForecast,BF$2,FALSE),0)</f>
        <v>0</v>
      </c>
      <c r="BG70" s="85">
        <f t="shared" si="189"/>
        <v>0</v>
      </c>
      <c r="BH70" s="69">
        <f t="shared" si="24"/>
        <v>0</v>
      </c>
      <c r="BI70" s="85">
        <f t="shared" si="154"/>
        <v>0</v>
      </c>
      <c r="BJ70" s="86">
        <f t="shared" si="155"/>
        <v>0</v>
      </c>
      <c r="BK70" s="75">
        <f t="shared" si="26"/>
        <v>0</v>
      </c>
      <c r="BL70" s="283">
        <f>IFERROR(VLOOKUP(Brand&amp;Channel&amp;Country&amp;$B70,tblDiscount,6,FALSE),0)</f>
        <v>0.8</v>
      </c>
      <c r="BM70" s="249">
        <f>(1-BL70)*BN70</f>
        <v>0</v>
      </c>
      <c r="BN70" s="249">
        <f>IFERROR(VLOOKUP(Brand&amp;Country &amp; Channel &amp;FC,tblFCSettings,8,FALSE),0)</f>
        <v>0</v>
      </c>
      <c r="BO70" s="284">
        <f>IFERROR(VLOOKUP(Brand&amp;Country &amp; Channel &amp;FC,tblFCSettings,9,FALSE),0)</f>
        <v>0</v>
      </c>
    </row>
    <row r="71" spans="2:67" customFormat="1" ht="16.5" thickBot="1" x14ac:dyDescent="0.3">
      <c r="B71" s="6" t="s">
        <v>346</v>
      </c>
      <c r="C71" s="92">
        <f>SUM(C66:C70)</f>
        <v>0</v>
      </c>
      <c r="D71" s="93">
        <f>SUM(D66:D70)</f>
        <v>0</v>
      </c>
      <c r="E71" s="94">
        <f t="shared" si="0"/>
        <v>0</v>
      </c>
      <c r="F71" s="95">
        <f>SUM(F66:F70)</f>
        <v>0</v>
      </c>
      <c r="G71" s="96">
        <f>SUM(G66:G70)</f>
        <v>0</v>
      </c>
      <c r="H71" s="94">
        <f t="shared" si="1"/>
        <v>0</v>
      </c>
      <c r="I71" s="178">
        <f>IF(F65&lt;&gt;0,F71/F65-1,0)</f>
        <v>0</v>
      </c>
      <c r="J71" s="178">
        <f>IF(G65&lt;&gt;0,G71/G65-1,0)</f>
        <v>0</v>
      </c>
      <c r="K71" s="92">
        <f>SUM(K66:K70)</f>
        <v>0</v>
      </c>
      <c r="L71" s="93">
        <f>SUM(L66:L70)</f>
        <v>0</v>
      </c>
      <c r="M71" s="97">
        <f t="shared" si="2"/>
        <v>0</v>
      </c>
      <c r="N71" s="164">
        <f>IFERROR(K71/C71,0)</f>
        <v>0</v>
      </c>
      <c r="O71" s="165">
        <f>IFERROR(L71/D71,0)</f>
        <v>0</v>
      </c>
      <c r="P71" s="94">
        <f t="shared" si="172"/>
        <v>0</v>
      </c>
      <c r="Q71" s="98">
        <f>IFERROR(C71/F71,0)</f>
        <v>0</v>
      </c>
      <c r="R71" s="99">
        <f>IFERROR(D71/G71,0)</f>
        <v>0</v>
      </c>
      <c r="S71" s="94">
        <f t="shared" si="4"/>
        <v>0</v>
      </c>
      <c r="T71" s="98">
        <f>IFERROR((C71*(1-N71))/F71,0)</f>
        <v>0</v>
      </c>
      <c r="U71" s="99">
        <f>IFERROR((D71*(1-O71))/G71,0)</f>
        <v>0</v>
      </c>
      <c r="V71" s="94">
        <f t="shared" si="5"/>
        <v>0</v>
      </c>
      <c r="W71" s="98">
        <f>IFERROR(SUMPRODUCT(W66:W70,F66:F70)/F71,0)</f>
        <v>0</v>
      </c>
      <c r="X71" s="99">
        <f>IFERROR(SUMPRODUCT(X66:X70,G66:G70)/G71,0)</f>
        <v>0</v>
      </c>
      <c r="Y71" s="94">
        <f t="shared" si="6"/>
        <v>0</v>
      </c>
      <c r="Z71" s="100">
        <f t="shared" si="158"/>
        <v>0</v>
      </c>
      <c r="AA71" s="101">
        <f t="shared" si="156"/>
        <v>0</v>
      </c>
      <c r="AB71" s="94">
        <f t="shared" si="173"/>
        <v>0</v>
      </c>
      <c r="AC71" s="102">
        <f t="shared" si="103"/>
        <v>0</v>
      </c>
      <c r="AD71" s="103">
        <f t="shared" si="104"/>
        <v>0</v>
      </c>
      <c r="AE71" s="104">
        <f t="shared" si="32"/>
        <v>0</v>
      </c>
      <c r="AF71" s="95">
        <f>AF70</f>
        <v>0</v>
      </c>
      <c r="AG71" s="96">
        <f>AG70</f>
        <v>0</v>
      </c>
      <c r="AH71" s="94">
        <f t="shared" si="11"/>
        <v>0</v>
      </c>
      <c r="AI71" s="95">
        <f t="shared" ref="AI71:AL71" si="192">SUM(AI66:AI70)</f>
        <v>0</v>
      </c>
      <c r="AJ71" s="96">
        <f t="shared" si="192"/>
        <v>0</v>
      </c>
      <c r="AK71" s="96">
        <f t="shared" si="192"/>
        <v>0</v>
      </c>
      <c r="AL71" s="96">
        <f t="shared" si="192"/>
        <v>0</v>
      </c>
      <c r="AM71" s="94">
        <f t="shared" si="13"/>
        <v>0</v>
      </c>
      <c r="AN71" s="95">
        <f>SUM(AN66:AN70)</f>
        <v>0</v>
      </c>
      <c r="AO71" s="96">
        <f>SUM(AO66:AO70)</f>
        <v>0</v>
      </c>
      <c r="AP71" s="94">
        <f t="shared" si="15"/>
        <v>0</v>
      </c>
      <c r="AQ71" s="105">
        <f>IF(F71&lt;&gt;0,(AF71*COUNTIF(AQ66:AQ70,"&lt;&gt;0")/F71),0)</f>
        <v>0</v>
      </c>
      <c r="AR71" s="106">
        <f>IF(G71&lt;&gt;0,(AG71*COUNTIF(AR66:AR70,"&lt;&gt;0")/G71),0)</f>
        <v>0</v>
      </c>
      <c r="AS71" s="94">
        <f t="shared" si="175"/>
        <v>0</v>
      </c>
      <c r="AT71" s="95">
        <f>SUM(AT66:AT70)</f>
        <v>0</v>
      </c>
      <c r="AU71" s="96">
        <f t="shared" si="116"/>
        <v>0</v>
      </c>
      <c r="AV71" s="94">
        <f t="shared" si="18"/>
        <v>0</v>
      </c>
      <c r="AW71" s="107"/>
      <c r="AX71" s="108"/>
      <c r="AY71" s="94">
        <f t="shared" si="19"/>
        <v>0</v>
      </c>
      <c r="AZ71" s="134"/>
      <c r="BA71" s="111"/>
      <c r="BB71" s="94">
        <f t="shared" si="20"/>
        <v>0</v>
      </c>
      <c r="BC71" s="95">
        <f>SUM(BC66:BC70)</f>
        <v>0</v>
      </c>
      <c r="BD71" s="96">
        <f t="shared" si="117"/>
        <v>0</v>
      </c>
      <c r="BE71" s="94">
        <f t="shared" si="22"/>
        <v>0</v>
      </c>
      <c r="BF71" s="110">
        <f>SUM(BF66:BF70)</f>
        <v>0</v>
      </c>
      <c r="BG71" s="111">
        <f>SUM(BG66:BG70)</f>
        <v>0</v>
      </c>
      <c r="BH71" s="94">
        <f t="shared" si="24"/>
        <v>0</v>
      </c>
      <c r="BI71" s="111">
        <f t="shared" si="154"/>
        <v>0</v>
      </c>
      <c r="BJ71" s="112">
        <f t="shared" si="155"/>
        <v>0</v>
      </c>
      <c r="BK71" s="101">
        <f t="shared" si="26"/>
        <v>0</v>
      </c>
      <c r="BL71" s="283"/>
      <c r="BM71" s="249"/>
      <c r="BN71" s="249"/>
      <c r="BO71" s="284"/>
    </row>
    <row r="72" spans="2:67" customFormat="1" x14ac:dyDescent="0.25">
      <c r="B72" s="185">
        <v>49</v>
      </c>
      <c r="C72" s="87">
        <f t="shared" ref="C72:D75" si="193">F72*Q72</f>
        <v>0</v>
      </c>
      <c r="D72" s="68">
        <f t="shared" si="193"/>
        <v>0</v>
      </c>
      <c r="E72" s="69">
        <f t="shared" si="0"/>
        <v>0</v>
      </c>
      <c r="F72" s="157">
        <f>IF(NewPlan=TRUE,IF(AF71-(G72*J72)&lt;0,AF71,G72*J72),IFERROR(VLOOKUP(FiscalYr &amp; $B72&amp;F$4,tblForecast,F$2,FALSE),0))</f>
        <v>0</v>
      </c>
      <c r="G72" s="189">
        <f>IFERROR(VLOOKUP(FiscalYr-IF(CompareVer="LY",1,0) &amp; $B72 + IF(FiscalYr=2018,1,0)&amp;G$4,tblForecast,G$2,FALSE),0)</f>
        <v>0</v>
      </c>
      <c r="H72" s="69">
        <f t="shared" si="1"/>
        <v>0</v>
      </c>
      <c r="I72" s="177">
        <f>IFERROR(IF(F70&gt;0,F72/F70,0),0)</f>
        <v>0</v>
      </c>
      <c r="J72" s="177">
        <f>IFERROR(IF(G70&gt;0,G72/G70,0),0)</f>
        <v>0</v>
      </c>
      <c r="K72" s="87">
        <f t="shared" ref="K72:K75" si="194">IFERROR(C72*N72,0)</f>
        <v>0</v>
      </c>
      <c r="L72" s="68">
        <f t="shared" ref="L72:L75" si="195">D72*O72</f>
        <v>0</v>
      </c>
      <c r="M72" s="72">
        <f t="shared" si="2"/>
        <v>0</v>
      </c>
      <c r="N72" s="162">
        <f t="shared" ref="N72:O75" si="196">IF(Q72&lt;&gt;0,1-T72/Q72,0)</f>
        <v>0</v>
      </c>
      <c r="O72" s="163">
        <f t="shared" si="196"/>
        <v>0</v>
      </c>
      <c r="P72" s="69">
        <f t="shared" si="172"/>
        <v>0</v>
      </c>
      <c r="Q72" s="158">
        <f>IF(NewPlan=TRUE,IF(BM72=0,R72,BM72),IFERROR(VLOOKUP(FiscalYr&amp;$B72&amp;Q$4,tblForecast,Q$2,FALSE),0))</f>
        <v>0</v>
      </c>
      <c r="R72" s="73">
        <f>IFERROR(VLOOKUP(FiscalYr-IF(CompareVer="LY",1,0) &amp; $B72 + IF(FiscalYr=2018,1,0)&amp;R$4,tblForecast,R$2,FALSE),0)</f>
        <v>0</v>
      </c>
      <c r="S72" s="69">
        <f t="shared" ref="S72:S75" si="197">IFERROR(Q72/R72-1,)</f>
        <v>0</v>
      </c>
      <c r="T72" s="158">
        <f>IF(NewPlan=TRUE,IF(BO72=0,U72,BO72),IFERROR(VLOOKUP(FiscalYr &amp; $B72&amp;T$4,tblForecast,T$2,FALSE),0))</f>
        <v>0</v>
      </c>
      <c r="U72" s="73">
        <f>IFERROR(VLOOKUP(FiscalYr-IF(CompareVer="LY",1,0) &amp; $B72 + IF(FiscalYr=2018,1,0)&amp;U$4,tblForecast,U$2,FALSE),0)</f>
        <v>0</v>
      </c>
      <c r="V72" s="69">
        <f t="shared" ref="V72:V75" si="198">IFERROR(T72/U72-1,)</f>
        <v>0</v>
      </c>
      <c r="W72" s="158">
        <f>IF(NewPlan=TRUE,IF(BN72=0,X72,BN72),IFERROR(VLOOKUP(FiscalYr &amp; $B72&amp;W$4,tblForecast,W$2,FALSE),0))</f>
        <v>0</v>
      </c>
      <c r="X72" s="73">
        <f>IFERROR(VLOOKUP(FiscalYr-IF(CompareVer="LY",1,0) &amp; $B72 + IF(FiscalYr=2018,1,0)&amp;X$4,tblForecast,X$2,FALSE),0)</f>
        <v>0</v>
      </c>
      <c r="Y72" s="69">
        <f t="shared" si="6"/>
        <v>0</v>
      </c>
      <c r="Z72" s="74">
        <f t="shared" si="158"/>
        <v>0</v>
      </c>
      <c r="AA72" s="75">
        <f t="shared" si="156"/>
        <v>0</v>
      </c>
      <c r="AB72" s="69">
        <f t="shared" si="173"/>
        <v>0</v>
      </c>
      <c r="AC72" s="88">
        <f t="shared" si="103"/>
        <v>0</v>
      </c>
      <c r="AD72" s="77">
        <f t="shared" si="104"/>
        <v>0</v>
      </c>
      <c r="AE72" s="78">
        <f t="shared" si="32"/>
        <v>0</v>
      </c>
      <c r="AF72" s="238">
        <f t="shared" ref="AF72:AF75" si="199">IF(AF71+AK72+AN72-F72&lt;0,0,AF71+AK72+AN72-F72)</f>
        <v>0</v>
      </c>
      <c r="AG72" s="71">
        <f>IFERROR(VLOOKUP(FiscalYr-IF(CompareVer="LY",1,0) &amp; $B72 + IF(FiscalYr=2018,1,0)&amp;AG$4,tblForecast,AG$2,FALSE),0)</f>
        <v>0</v>
      </c>
      <c r="AH72" s="69">
        <f t="shared" si="11"/>
        <v>0</v>
      </c>
      <c r="AI72" s="157">
        <f t="shared" ref="AI72:AJ75" si="200">IFERROR(VLOOKUP(FiscalYr &amp; $B72&amp;AI$4,tblForecast,AI$2,FALSE),0)</f>
        <v>0</v>
      </c>
      <c r="AJ72" s="71">
        <f t="shared" si="200"/>
        <v>0</v>
      </c>
      <c r="AK72" s="71">
        <f>IF($A72="a",IFERROR(VLOOKUP(FiscalYr &amp; $B72&amp;AK$4,tblForecast,AK$2,FALSE),0),AI72+AJ72)</f>
        <v>0</v>
      </c>
      <c r="AL72" s="71">
        <f>IFERROR(VLOOKUP(FiscalYr-IF(CompareVer="LY",1,0) &amp; $B72 + IF(FiscalYr=2018,1,0)&amp;AL$4,tblForecast,AL$2,FALSE),0)</f>
        <v>0</v>
      </c>
      <c r="AM72" s="69">
        <f t="shared" si="13"/>
        <v>0</v>
      </c>
      <c r="AN72" s="157">
        <f t="shared" ref="AN72:AO75" si="201">IFERROR(VLOOKUP(FiscalYr &amp; $B72&amp;AN$4,tblForecast,AN$2,FALSE),0)</f>
        <v>0</v>
      </c>
      <c r="AO72" s="71">
        <f t="shared" si="201"/>
        <v>0</v>
      </c>
      <c r="AP72" s="69">
        <f t="shared" si="15"/>
        <v>0</v>
      </c>
      <c r="AQ72" s="80">
        <f t="shared" ref="AQ72:AR75" si="202">IF(F72&lt;&gt;0,AF72/F72,0)</f>
        <v>0</v>
      </c>
      <c r="AR72" s="89">
        <f t="shared" si="202"/>
        <v>0</v>
      </c>
      <c r="AS72" s="69">
        <f t="shared" si="175"/>
        <v>0</v>
      </c>
      <c r="AT72" s="157">
        <f>IFERROR(VLOOKUP(FiscalYr &amp; $B72&amp;AT$4,tblForecast,AT$2,FALSE),0)</f>
        <v>0</v>
      </c>
      <c r="AU72" s="71">
        <f t="shared" si="116"/>
        <v>0</v>
      </c>
      <c r="AV72" s="69">
        <f t="shared" si="18"/>
        <v>0</v>
      </c>
      <c r="AW72" s="82"/>
      <c r="AX72" s="83"/>
      <c r="AY72" s="69">
        <f t="shared" si="19"/>
        <v>0</v>
      </c>
      <c r="AZ72" s="84"/>
      <c r="BA72" s="85"/>
      <c r="BB72" s="69">
        <f t="shared" si="20"/>
        <v>0</v>
      </c>
      <c r="BC72" s="157">
        <f>IFERROR(VLOOKUP(FiscalYr &amp; $B72&amp;BC$4,tblForecast,BC$2,FALSE),0)</f>
        <v>0</v>
      </c>
      <c r="BD72" s="71">
        <f t="shared" si="117"/>
        <v>0</v>
      </c>
      <c r="BE72" s="69">
        <f t="shared" si="22"/>
        <v>0</v>
      </c>
      <c r="BF72" s="90">
        <f>IFERROR(VLOOKUP(FiscalYr &amp; $B72&amp;BF$4,tblForecast,BF$2,FALSE),0)</f>
        <v>0</v>
      </c>
      <c r="BG72" s="85">
        <f t="shared" ref="BG72:BG75" si="203">IFERROR(VLOOKUP(FiscalYr-1 &amp; $B72&amp; FCLY,tblForecast,BF$2,FALSE),0)</f>
        <v>0</v>
      </c>
      <c r="BH72" s="69">
        <f t="shared" si="24"/>
        <v>0</v>
      </c>
      <c r="BI72" s="85">
        <f t="shared" si="154"/>
        <v>0</v>
      </c>
      <c r="BJ72" s="86">
        <f t="shared" si="155"/>
        <v>0</v>
      </c>
      <c r="BK72" s="75">
        <f t="shared" si="26"/>
        <v>0</v>
      </c>
      <c r="BL72" s="283">
        <f>IFERROR(VLOOKUP(Brand&amp;Channel&amp;Country&amp;$B72,tblDiscount,6,FALSE),0)</f>
        <v>0.8</v>
      </c>
      <c r="BM72" s="249">
        <f>(1-BL72)*BN72</f>
        <v>0</v>
      </c>
      <c r="BN72" s="249">
        <f>IFERROR(VLOOKUP(Brand&amp;Country &amp; Channel &amp;FC,tblFCSettings,8,FALSE),0)</f>
        <v>0</v>
      </c>
      <c r="BO72" s="284">
        <f>IFERROR(VLOOKUP(Brand&amp;Country &amp; Channel &amp;FC,tblFCSettings,9,FALSE),0)</f>
        <v>0</v>
      </c>
    </row>
    <row r="73" spans="2:67" customFormat="1" x14ac:dyDescent="0.25">
      <c r="B73" s="185">
        <v>50</v>
      </c>
      <c r="C73" s="87">
        <f t="shared" si="193"/>
        <v>0</v>
      </c>
      <c r="D73" s="68">
        <f t="shared" si="193"/>
        <v>0</v>
      </c>
      <c r="E73" s="69">
        <f t="shared" si="0"/>
        <v>0</v>
      </c>
      <c r="F73" s="157">
        <f>IF(NewPlan=TRUE,IF(AF72-(G73*J73)&lt;0,AF72,G73*J73),IFERROR(VLOOKUP(FiscalYr &amp; $B73&amp;F$4,tblForecast,F$2,FALSE),0))</f>
        <v>0</v>
      </c>
      <c r="G73" s="189">
        <f>IFERROR(VLOOKUP(FiscalYr-IF(CompareVer="LY",1,0) &amp; $B73 + IF(FiscalYr=2018,1,0)&amp;G$4,tblForecast,G$2,FALSE),0)</f>
        <v>0</v>
      </c>
      <c r="H73" s="69">
        <f t="shared" si="1"/>
        <v>0</v>
      </c>
      <c r="I73" s="177">
        <f t="shared" ref="I73:J75" si="204">IFERROR(IF(F72&lt;&gt;0,F73/F72,0),0)</f>
        <v>0</v>
      </c>
      <c r="J73" s="177">
        <f t="shared" si="204"/>
        <v>0</v>
      </c>
      <c r="K73" s="87">
        <f t="shared" si="194"/>
        <v>0</v>
      </c>
      <c r="L73" s="68">
        <f t="shared" si="195"/>
        <v>0</v>
      </c>
      <c r="M73" s="72">
        <f t="shared" si="2"/>
        <v>0</v>
      </c>
      <c r="N73" s="162">
        <f t="shared" si="196"/>
        <v>0</v>
      </c>
      <c r="O73" s="163">
        <f t="shared" si="196"/>
        <v>0</v>
      </c>
      <c r="P73" s="69">
        <f t="shared" si="172"/>
        <v>0</v>
      </c>
      <c r="Q73" s="158">
        <f>IF(NewPlan=TRUE,IF(BM73=0,R73,BM73),IFERROR(VLOOKUP(FiscalYr&amp;$B73&amp;Q$4,tblForecast,Q$2,FALSE),0))</f>
        <v>0</v>
      </c>
      <c r="R73" s="73">
        <f>IFERROR(VLOOKUP(FiscalYr-IF(CompareVer="LY",1,0) &amp; $B73 + IF(FiscalYr=2018,1,0)&amp;R$4,tblForecast,R$2,FALSE),0)</f>
        <v>0</v>
      </c>
      <c r="S73" s="69">
        <f t="shared" si="197"/>
        <v>0</v>
      </c>
      <c r="T73" s="158">
        <f>IF(NewPlan=TRUE,IF(BO73=0,U73,BO73),IFERROR(VLOOKUP(FiscalYr &amp; $B73&amp;T$4,tblForecast,T$2,FALSE),0))</f>
        <v>0</v>
      </c>
      <c r="U73" s="73">
        <f>IFERROR(VLOOKUP(FiscalYr-IF(CompareVer="LY",1,0) &amp; $B73 + IF(FiscalYr=2018,1,0)&amp;U$4,tblForecast,U$2,FALSE),0)</f>
        <v>0</v>
      </c>
      <c r="V73" s="69">
        <f t="shared" si="198"/>
        <v>0</v>
      </c>
      <c r="W73" s="158">
        <f>IF(NewPlan=TRUE,IF(BN73=0,X73,BN73),IFERROR(VLOOKUP(FiscalYr &amp; $B73&amp;W$4,tblForecast,W$2,FALSE),0))</f>
        <v>0</v>
      </c>
      <c r="X73" s="73">
        <f>IFERROR(VLOOKUP(FiscalYr-IF(CompareVer="LY",1,0) &amp; $B73 + IF(FiscalYr=2018,1,0)&amp;X$4,tblForecast,X$2,FALSE),0)</f>
        <v>0</v>
      </c>
      <c r="Y73" s="69">
        <f t="shared" si="6"/>
        <v>0</v>
      </c>
      <c r="Z73" s="74">
        <f t="shared" si="158"/>
        <v>0</v>
      </c>
      <c r="AA73" s="75">
        <f t="shared" si="156"/>
        <v>0</v>
      </c>
      <c r="AB73" s="69">
        <f t="shared" si="173"/>
        <v>0</v>
      </c>
      <c r="AC73" s="88">
        <f t="shared" si="103"/>
        <v>0</v>
      </c>
      <c r="AD73" s="77">
        <f t="shared" si="104"/>
        <v>0</v>
      </c>
      <c r="AE73" s="78">
        <f t="shared" si="32"/>
        <v>0</v>
      </c>
      <c r="AF73" s="238">
        <f t="shared" si="199"/>
        <v>0</v>
      </c>
      <c r="AG73" s="71">
        <f>IFERROR(VLOOKUP(FiscalYr-IF(CompareVer="LY",1,0) &amp; $B73 + IF(FiscalYr=2018,1,0)&amp;AG$4,tblForecast,AG$2,FALSE),0)</f>
        <v>0</v>
      </c>
      <c r="AH73" s="69">
        <f t="shared" si="11"/>
        <v>0</v>
      </c>
      <c r="AI73" s="157">
        <f t="shared" si="200"/>
        <v>0</v>
      </c>
      <c r="AJ73" s="71">
        <f t="shared" si="200"/>
        <v>0</v>
      </c>
      <c r="AK73" s="71">
        <f>IF($A73="a",IFERROR(VLOOKUP(FiscalYr &amp; $B73&amp;AK$4,tblForecast,AK$2,FALSE),0),AI73+AJ73)</f>
        <v>0</v>
      </c>
      <c r="AL73" s="71">
        <f>IFERROR(VLOOKUP(FiscalYr-IF(CompareVer="LY",1,0) &amp; $B73 + IF(FiscalYr=2018,1,0)&amp;AL$4,tblForecast,AL$2,FALSE),0)</f>
        <v>0</v>
      </c>
      <c r="AM73" s="69">
        <f t="shared" si="13"/>
        <v>0</v>
      </c>
      <c r="AN73" s="157">
        <f t="shared" si="201"/>
        <v>0</v>
      </c>
      <c r="AO73" s="71">
        <f t="shared" si="201"/>
        <v>0</v>
      </c>
      <c r="AP73" s="69">
        <f t="shared" si="15"/>
        <v>0</v>
      </c>
      <c r="AQ73" s="80">
        <f t="shared" si="202"/>
        <v>0</v>
      </c>
      <c r="AR73" s="89">
        <f t="shared" si="202"/>
        <v>0</v>
      </c>
      <c r="AS73" s="69">
        <f t="shared" si="175"/>
        <v>0</v>
      </c>
      <c r="AT73" s="157">
        <f>IFERROR(VLOOKUP(FiscalYr &amp; $B73&amp;AT$4,tblForecast,AT$2,FALSE),0)</f>
        <v>0</v>
      </c>
      <c r="AU73" s="71">
        <f t="shared" si="116"/>
        <v>0</v>
      </c>
      <c r="AV73" s="69">
        <f t="shared" si="18"/>
        <v>0</v>
      </c>
      <c r="AW73" s="82"/>
      <c r="AX73" s="83"/>
      <c r="AY73" s="69">
        <f t="shared" si="19"/>
        <v>0</v>
      </c>
      <c r="AZ73" s="84"/>
      <c r="BA73" s="85"/>
      <c r="BB73" s="69">
        <f t="shared" si="20"/>
        <v>0</v>
      </c>
      <c r="BC73" s="157">
        <f>IFERROR(VLOOKUP(FiscalYr &amp; $B73&amp;BC$4,tblForecast,BC$2,FALSE),0)</f>
        <v>0</v>
      </c>
      <c r="BD73" s="71">
        <f t="shared" si="117"/>
        <v>0</v>
      </c>
      <c r="BE73" s="69">
        <f t="shared" si="22"/>
        <v>0</v>
      </c>
      <c r="BF73" s="90">
        <f>IFERROR(VLOOKUP(FiscalYr &amp; $B73&amp;BF$4,tblForecast,BF$2,FALSE),0)</f>
        <v>0</v>
      </c>
      <c r="BG73" s="85">
        <f t="shared" si="203"/>
        <v>0</v>
      </c>
      <c r="BH73" s="69">
        <f t="shared" si="24"/>
        <v>0</v>
      </c>
      <c r="BI73" s="85">
        <f t="shared" si="154"/>
        <v>0</v>
      </c>
      <c r="BJ73" s="86">
        <f t="shared" si="155"/>
        <v>0</v>
      </c>
      <c r="BK73" s="75">
        <f t="shared" si="26"/>
        <v>0</v>
      </c>
      <c r="BL73" s="283">
        <f>IFERROR(VLOOKUP(Brand&amp;Channel&amp;Country&amp;$B73,tblDiscount,6,FALSE),0)</f>
        <v>0.8</v>
      </c>
      <c r="BM73" s="249">
        <f t="shared" ref="BM73:BM75" si="205">(1-BL73)*BN73</f>
        <v>0</v>
      </c>
      <c r="BN73" s="249">
        <f>IFERROR(VLOOKUP(Brand&amp;Country &amp; Channel &amp;FC,tblFCSettings,8,FALSE),0)</f>
        <v>0</v>
      </c>
      <c r="BO73" s="284">
        <f>IFERROR(VLOOKUP(Brand&amp;Country &amp; Channel &amp;FC,tblFCSettings,9,FALSE),0)</f>
        <v>0</v>
      </c>
    </row>
    <row r="74" spans="2:67" customFormat="1" x14ac:dyDescent="0.25">
      <c r="B74" s="185">
        <v>51</v>
      </c>
      <c r="C74" s="87">
        <f t="shared" si="193"/>
        <v>0</v>
      </c>
      <c r="D74" s="68">
        <f t="shared" si="193"/>
        <v>0</v>
      </c>
      <c r="E74" s="69">
        <f t="shared" ref="E74:E78" si="206">IFERROR(C74/D74-1,)</f>
        <v>0</v>
      </c>
      <c r="F74" s="157">
        <f>IF(NewPlan=TRUE,IF(AF73-(G74*J74)&lt;0,AF73,G74*J74),IFERROR(VLOOKUP(FiscalYr &amp; $B74&amp;F$4,tblForecast,F$2,FALSE),0))</f>
        <v>0</v>
      </c>
      <c r="G74" s="189">
        <f>IFERROR(VLOOKUP(FiscalYr-IF(CompareVer="LY",1,0) &amp; $B74 + IF(FiscalYr=2018,1,0)&amp;G$4,tblForecast,G$2,FALSE),0)</f>
        <v>0</v>
      </c>
      <c r="H74" s="69">
        <f t="shared" ref="H74:H78" si="207">IFERROR(F74/G74-1,)</f>
        <v>0</v>
      </c>
      <c r="I74" s="177">
        <f t="shared" si="204"/>
        <v>0</v>
      </c>
      <c r="J74" s="177">
        <f t="shared" si="204"/>
        <v>0</v>
      </c>
      <c r="K74" s="87">
        <f t="shared" si="194"/>
        <v>0</v>
      </c>
      <c r="L74" s="68">
        <f t="shared" si="195"/>
        <v>0</v>
      </c>
      <c r="M74" s="72">
        <f t="shared" ref="M74:M78" si="208">IFERROR(K74/L74-1,)</f>
        <v>0</v>
      </c>
      <c r="N74" s="162">
        <f t="shared" si="196"/>
        <v>0</v>
      </c>
      <c r="O74" s="163">
        <f t="shared" si="196"/>
        <v>0</v>
      </c>
      <c r="P74" s="69">
        <f t="shared" si="172"/>
        <v>0</v>
      </c>
      <c r="Q74" s="158">
        <f>IF(NewPlan=TRUE,IF(BM74=0,R74,BM74),IFERROR(VLOOKUP(FiscalYr&amp;$B74&amp;Q$4,tblForecast,Q$2,FALSE),0))</f>
        <v>0</v>
      </c>
      <c r="R74" s="73">
        <f>IFERROR(VLOOKUP(FiscalYr-IF(CompareVer="LY",1,0) &amp; $B74 + IF(FiscalYr=2018,1,0)&amp;R$4,tblForecast,R$2,FALSE),0)</f>
        <v>0</v>
      </c>
      <c r="S74" s="69">
        <f t="shared" si="197"/>
        <v>0</v>
      </c>
      <c r="T74" s="158">
        <f>IF(NewPlan=TRUE,IF(BO74=0,U74,BO74),IFERROR(VLOOKUP(FiscalYr &amp; $B74&amp;T$4,tblForecast,T$2,FALSE),0))</f>
        <v>0</v>
      </c>
      <c r="U74" s="73">
        <f>IFERROR(VLOOKUP(FiscalYr-IF(CompareVer="LY",1,0) &amp; $B74 + IF(FiscalYr=2018,1,0)&amp;U$4,tblForecast,U$2,FALSE),0)</f>
        <v>0</v>
      </c>
      <c r="V74" s="69">
        <f t="shared" si="198"/>
        <v>0</v>
      </c>
      <c r="W74" s="158">
        <f>IF(NewPlan=TRUE,IF(BN74=0,X74,BN74),IFERROR(VLOOKUP(FiscalYr &amp; $B74&amp;W$4,tblForecast,W$2,FALSE),0))</f>
        <v>0</v>
      </c>
      <c r="X74" s="73">
        <f>IFERROR(VLOOKUP(FiscalYr-IF(CompareVer="LY",1,0) &amp; $B74 + IF(FiscalYr=2018,1,0)&amp;X$4,tblForecast,X$2,FALSE),0)</f>
        <v>0</v>
      </c>
      <c r="Y74" s="69">
        <f t="shared" ref="Y74:Y78" si="209">IFERROR(W74/X74-1,)</f>
        <v>0</v>
      </c>
      <c r="Z74" s="74">
        <f t="shared" si="158"/>
        <v>0</v>
      </c>
      <c r="AA74" s="75">
        <f t="shared" si="156"/>
        <v>0</v>
      </c>
      <c r="AB74" s="69">
        <f t="shared" si="173"/>
        <v>0</v>
      </c>
      <c r="AC74" s="88">
        <f t="shared" ref="AC74:AC78" si="210">IF(AF74&lt;&gt;0,F74/AF74,0)</f>
        <v>0</v>
      </c>
      <c r="AD74" s="77">
        <f t="shared" ref="AD74:AD78" si="211">IF(AG74&lt;&gt;0,G74/AG74,0)</f>
        <v>0</v>
      </c>
      <c r="AE74" s="78">
        <f t="shared" si="32"/>
        <v>0</v>
      </c>
      <c r="AF74" s="238">
        <f t="shared" si="199"/>
        <v>0</v>
      </c>
      <c r="AG74" s="71">
        <f>IFERROR(VLOOKUP(FiscalYr-IF(CompareVer="LY",1,0) &amp; $B74 + IF(FiscalYr=2018,1,0)&amp;AG$4,tblForecast,AG$2,FALSE),0)</f>
        <v>0</v>
      </c>
      <c r="AH74" s="69">
        <f t="shared" ref="AH74:AH78" si="212">IFERROR(AF74/AG74-1,)</f>
        <v>0</v>
      </c>
      <c r="AI74" s="157">
        <f t="shared" si="200"/>
        <v>0</v>
      </c>
      <c r="AJ74" s="71">
        <f t="shared" si="200"/>
        <v>0</v>
      </c>
      <c r="AK74" s="71">
        <f>IF($A74="a",IFERROR(VLOOKUP(FiscalYr &amp; $B74&amp;AK$4,tblForecast,AK$2,FALSE),0),AI74+AJ74)</f>
        <v>0</v>
      </c>
      <c r="AL74" s="71">
        <f>IFERROR(VLOOKUP(FiscalYr-IF(CompareVer="LY",1,0) &amp; $B74 + IF(FiscalYr=2018,1,0)&amp;AL$4,tblForecast,AL$2,FALSE),0)</f>
        <v>0</v>
      </c>
      <c r="AM74" s="69">
        <f t="shared" ref="AM74:AM78" si="213">IFERROR(AK74/AL74-1,)</f>
        <v>0</v>
      </c>
      <c r="AN74" s="157">
        <f t="shared" si="201"/>
        <v>0</v>
      </c>
      <c r="AO74" s="71">
        <f t="shared" si="201"/>
        <v>0</v>
      </c>
      <c r="AP74" s="69">
        <f t="shared" ref="AP74:AP78" si="214">IFERROR(AN74/AO74-1,)</f>
        <v>0</v>
      </c>
      <c r="AQ74" s="80">
        <f t="shared" si="202"/>
        <v>0</v>
      </c>
      <c r="AR74" s="89">
        <f t="shared" si="202"/>
        <v>0</v>
      </c>
      <c r="AS74" s="69">
        <f t="shared" si="175"/>
        <v>0</v>
      </c>
      <c r="AT74" s="157">
        <f>IFERROR(VLOOKUP(FiscalYr &amp; $B74&amp;AT$4,tblForecast,AT$2,FALSE),0)</f>
        <v>0</v>
      </c>
      <c r="AU74" s="71">
        <f t="shared" si="116"/>
        <v>0</v>
      </c>
      <c r="AV74" s="69">
        <f t="shared" ref="AV74:AV78" si="215">IFERROR(AT74/AU74-1,)</f>
        <v>0</v>
      </c>
      <c r="AW74" s="82"/>
      <c r="AX74" s="83"/>
      <c r="AY74" s="69">
        <f t="shared" ref="AY74:AY78" si="216">IFERROR(AW74/AX74-1,)</f>
        <v>0</v>
      </c>
      <c r="AZ74" s="84"/>
      <c r="BA74" s="85"/>
      <c r="BB74" s="69">
        <f t="shared" ref="BB74:BB78" si="217">IFERROR(AZ74/BA74-1,)</f>
        <v>0</v>
      </c>
      <c r="BC74" s="157">
        <f>IFERROR(VLOOKUP(FiscalYr &amp; $B74&amp;BC$4,tblForecast,BC$2,FALSE),0)</f>
        <v>0</v>
      </c>
      <c r="BD74" s="71">
        <f t="shared" si="117"/>
        <v>0</v>
      </c>
      <c r="BE74" s="69">
        <f t="shared" ref="BE74:BE78" si="218">IFERROR(BC74/BD74-1,)</f>
        <v>0</v>
      </c>
      <c r="BF74" s="90">
        <f>IFERROR(VLOOKUP(FiscalYr &amp; $B74&amp;BF$4,tblForecast,BF$2,FALSE),0)</f>
        <v>0</v>
      </c>
      <c r="BG74" s="85">
        <f t="shared" si="203"/>
        <v>0</v>
      </c>
      <c r="BH74" s="69">
        <f t="shared" ref="BH74:BH78" si="219">IFERROR(BF74/BG74-1,)</f>
        <v>0</v>
      </c>
      <c r="BI74" s="85">
        <f t="shared" si="154"/>
        <v>0</v>
      </c>
      <c r="BJ74" s="86">
        <f t="shared" si="155"/>
        <v>0</v>
      </c>
      <c r="BK74" s="75">
        <f t="shared" ref="BK74:BK78" si="220">IFERROR(BI74/BJ74-1,)</f>
        <v>0</v>
      </c>
      <c r="BL74" s="283">
        <f>IFERROR(VLOOKUP(Brand&amp;Channel&amp;Country&amp;$B74,tblDiscount,6,FALSE),0)</f>
        <v>0.8</v>
      </c>
      <c r="BM74" s="249">
        <f t="shared" si="205"/>
        <v>0</v>
      </c>
      <c r="BN74" s="249">
        <f>IFERROR(VLOOKUP(Brand&amp;Country &amp; Channel &amp;FC,tblFCSettings,8,FALSE),0)</f>
        <v>0</v>
      </c>
      <c r="BO74" s="284">
        <f>IFERROR(VLOOKUP(Brand&amp;Country &amp; Channel &amp;FC,tblFCSettings,9,FALSE),0)</f>
        <v>0</v>
      </c>
    </row>
    <row r="75" spans="2:67" customFormat="1" ht="16.5" thickBot="1" x14ac:dyDescent="0.3">
      <c r="B75" s="185">
        <v>52</v>
      </c>
      <c r="C75" s="87">
        <f t="shared" si="193"/>
        <v>0</v>
      </c>
      <c r="D75" s="68">
        <f t="shared" si="193"/>
        <v>0</v>
      </c>
      <c r="E75" s="69">
        <f t="shared" si="206"/>
        <v>0</v>
      </c>
      <c r="F75" s="157">
        <f>IF(NewPlan=TRUE,IF(AF74-(G75*J75)&lt;0,AF74,G75*J75),IFERROR(VLOOKUP(FiscalYr &amp; $B75&amp;F$4,tblForecast,F$2,FALSE),0))</f>
        <v>0</v>
      </c>
      <c r="G75" s="189">
        <f>IFERROR(VLOOKUP(FiscalYr-IF(CompareVer="LY",1,0) &amp; $B75 + IF(FiscalYr=2018,1,0)&amp;G$4,tblForecast,G$2,FALSE),0)</f>
        <v>0</v>
      </c>
      <c r="H75" s="69">
        <f t="shared" si="207"/>
        <v>0</v>
      </c>
      <c r="I75" s="177">
        <f t="shared" si="204"/>
        <v>0</v>
      </c>
      <c r="J75" s="177">
        <f t="shared" si="204"/>
        <v>0</v>
      </c>
      <c r="K75" s="87">
        <f t="shared" si="194"/>
        <v>0</v>
      </c>
      <c r="L75" s="68">
        <f t="shared" si="195"/>
        <v>0</v>
      </c>
      <c r="M75" s="72">
        <f t="shared" si="208"/>
        <v>0</v>
      </c>
      <c r="N75" s="162">
        <f t="shared" si="196"/>
        <v>0</v>
      </c>
      <c r="O75" s="163">
        <f t="shared" si="196"/>
        <v>0</v>
      </c>
      <c r="P75" s="69">
        <f t="shared" si="172"/>
        <v>0</v>
      </c>
      <c r="Q75" s="158">
        <f>IF(NewPlan=TRUE,IF(BM75=0,R75,BM75),IFERROR(VLOOKUP(FiscalYr&amp;$B75&amp;Q$4,tblForecast,Q$2,FALSE),0))</f>
        <v>0</v>
      </c>
      <c r="R75" s="73">
        <f>IFERROR(VLOOKUP(FiscalYr-IF(CompareVer="LY",1,0) &amp; $B75 + IF(FiscalYr=2018,1,0)&amp;R$4,tblForecast,R$2,FALSE),0)</f>
        <v>0</v>
      </c>
      <c r="S75" s="69">
        <f t="shared" si="197"/>
        <v>0</v>
      </c>
      <c r="T75" s="158">
        <f>IF(NewPlan=TRUE,IF(BO75=0,U75,BO75),IFERROR(VLOOKUP(FiscalYr &amp; $B75&amp;T$4,tblForecast,T$2,FALSE),0))</f>
        <v>0</v>
      </c>
      <c r="U75" s="73">
        <f>IFERROR(VLOOKUP(FiscalYr-IF(CompareVer="LY",1,0) &amp; $B75 + IF(FiscalYr=2018,1,0)&amp;U$4,tblForecast,U$2,FALSE),0)</f>
        <v>0</v>
      </c>
      <c r="V75" s="69">
        <f t="shared" si="198"/>
        <v>0</v>
      </c>
      <c r="W75" s="158">
        <f>IF(NewPlan=TRUE,IF(BN75=0,X75,BN75),IFERROR(VLOOKUP(FiscalYr &amp; $B75&amp;W$4,tblForecast,W$2,FALSE),0))</f>
        <v>0</v>
      </c>
      <c r="X75" s="73">
        <f>IFERROR(VLOOKUP(FiscalYr-IF(CompareVer="LY",1,0) &amp; $B75 + IF(FiscalYr=2018,1,0)&amp;X$4,tblForecast,X$2,FALSE),0)</f>
        <v>0</v>
      </c>
      <c r="Y75" s="69">
        <f t="shared" si="209"/>
        <v>0</v>
      </c>
      <c r="Z75" s="74">
        <f t="shared" si="158"/>
        <v>0</v>
      </c>
      <c r="AA75" s="75">
        <f t="shared" si="156"/>
        <v>0</v>
      </c>
      <c r="AB75" s="69">
        <f t="shared" si="173"/>
        <v>0</v>
      </c>
      <c r="AC75" s="88">
        <f t="shared" si="210"/>
        <v>0</v>
      </c>
      <c r="AD75" s="77">
        <f t="shared" si="211"/>
        <v>0</v>
      </c>
      <c r="AE75" s="78">
        <f t="shared" ref="AE75:AE78" si="221">AC75-AD75</f>
        <v>0</v>
      </c>
      <c r="AF75" s="238">
        <f t="shared" si="199"/>
        <v>0</v>
      </c>
      <c r="AG75" s="71">
        <f>IFERROR(VLOOKUP(FiscalYr-IF(CompareVer="LY",1,0) &amp; $B75 + IF(FiscalYr=2018,1,0)&amp;AG$4,tblForecast,AG$2,FALSE),0)</f>
        <v>0</v>
      </c>
      <c r="AH75" s="69">
        <f t="shared" si="212"/>
        <v>0</v>
      </c>
      <c r="AI75" s="157">
        <f t="shared" si="200"/>
        <v>0</v>
      </c>
      <c r="AJ75" s="71">
        <f t="shared" si="200"/>
        <v>0</v>
      </c>
      <c r="AK75" s="71">
        <f>IF($A75="a",IFERROR(VLOOKUP(FiscalYr &amp; $B75&amp;AK$4,tblForecast,AK$2,FALSE),0),AI75+AJ75)</f>
        <v>0</v>
      </c>
      <c r="AL75" s="71">
        <f>IFERROR(VLOOKUP(FiscalYr-IF(CompareVer="LY",1,0) &amp; $B75 + IF(FiscalYr=2018,1,0)&amp;AL$4,tblForecast,AL$2,FALSE),0)</f>
        <v>0</v>
      </c>
      <c r="AM75" s="69">
        <f t="shared" si="213"/>
        <v>0</v>
      </c>
      <c r="AN75" s="157">
        <f t="shared" si="201"/>
        <v>0</v>
      </c>
      <c r="AO75" s="71">
        <f t="shared" si="201"/>
        <v>0</v>
      </c>
      <c r="AP75" s="69">
        <f t="shared" si="214"/>
        <v>0</v>
      </c>
      <c r="AQ75" s="80">
        <f t="shared" si="202"/>
        <v>0</v>
      </c>
      <c r="AR75" s="89">
        <f t="shared" si="202"/>
        <v>0</v>
      </c>
      <c r="AS75" s="69">
        <f t="shared" si="175"/>
        <v>0</v>
      </c>
      <c r="AT75" s="157">
        <f>IFERROR(VLOOKUP(FiscalYr &amp; $B75&amp;AT$4,tblForecast,AT$2,FALSE),0)</f>
        <v>0</v>
      </c>
      <c r="AU75" s="71">
        <f t="shared" si="116"/>
        <v>0</v>
      </c>
      <c r="AV75" s="69">
        <f t="shared" si="215"/>
        <v>0</v>
      </c>
      <c r="AW75" s="82"/>
      <c r="AX75" s="83"/>
      <c r="AY75" s="69">
        <f t="shared" si="216"/>
        <v>0</v>
      </c>
      <c r="AZ75" s="84"/>
      <c r="BA75" s="85"/>
      <c r="BB75" s="69">
        <f t="shared" si="217"/>
        <v>0</v>
      </c>
      <c r="BC75" s="157">
        <f>IFERROR(VLOOKUP(FiscalYr &amp; $B75&amp;BC$4,tblForecast,BC$2,FALSE),0)</f>
        <v>0</v>
      </c>
      <c r="BD75" s="71">
        <f t="shared" si="117"/>
        <v>0</v>
      </c>
      <c r="BE75" s="69">
        <f t="shared" si="218"/>
        <v>0</v>
      </c>
      <c r="BF75" s="90">
        <f>IFERROR(VLOOKUP(FiscalYr &amp; $B75&amp;BF$4,tblForecast,BF$2,FALSE),0)</f>
        <v>0</v>
      </c>
      <c r="BG75" s="85">
        <f t="shared" si="203"/>
        <v>0</v>
      </c>
      <c r="BH75" s="69">
        <f t="shared" si="219"/>
        <v>0</v>
      </c>
      <c r="BI75" s="85">
        <f t="shared" si="154"/>
        <v>0</v>
      </c>
      <c r="BJ75" s="86">
        <f t="shared" si="155"/>
        <v>0</v>
      </c>
      <c r="BK75" s="75">
        <f t="shared" si="220"/>
        <v>0</v>
      </c>
      <c r="BL75" s="283">
        <f>IFERROR(VLOOKUP(Brand&amp;Channel&amp;Country&amp;$B75,tblDiscount,6,FALSE),0)</f>
        <v>0.8</v>
      </c>
      <c r="BM75" s="249">
        <f t="shared" si="205"/>
        <v>0</v>
      </c>
      <c r="BN75" s="249">
        <f>IFERROR(VLOOKUP(Brand&amp;Country &amp; Channel &amp;FC,tblFCSettings,8,FALSE),0)</f>
        <v>0</v>
      </c>
      <c r="BO75" s="284">
        <f>IFERROR(VLOOKUP(Brand&amp;Country &amp; Channel &amp;FC,tblFCSettings,9,FALSE),0)</f>
        <v>0</v>
      </c>
    </row>
    <row r="76" spans="2:67" customFormat="1" ht="16.5" thickBot="1" x14ac:dyDescent="0.3">
      <c r="B76" s="6" t="s">
        <v>347</v>
      </c>
      <c r="C76" s="92">
        <f>SUM(C72:C75)</f>
        <v>0</v>
      </c>
      <c r="D76" s="93">
        <f>SUM(D72:D75)</f>
        <v>0</v>
      </c>
      <c r="E76" s="94">
        <f t="shared" si="206"/>
        <v>0</v>
      </c>
      <c r="F76" s="95">
        <f>SUM(F72:F75)</f>
        <v>0</v>
      </c>
      <c r="G76" s="96">
        <f>SUM(G72:G75)</f>
        <v>0</v>
      </c>
      <c r="H76" s="94">
        <f t="shared" si="207"/>
        <v>0</v>
      </c>
      <c r="I76" s="178">
        <f>IF(F60&lt;&gt;0,F76/F60,0)</f>
        <v>0</v>
      </c>
      <c r="J76" s="178">
        <f>IF(G60&lt;&gt;0,G76/G60,0)</f>
        <v>0</v>
      </c>
      <c r="K76" s="92">
        <f>SUM(K72:K75)</f>
        <v>0</v>
      </c>
      <c r="L76" s="93">
        <f>SUM(L72:L75)</f>
        <v>0</v>
      </c>
      <c r="M76" s="97">
        <f t="shared" si="208"/>
        <v>0</v>
      </c>
      <c r="N76" s="164">
        <f t="shared" ref="N76:O78" si="222">IFERROR(K76/C76,0)</f>
        <v>0</v>
      </c>
      <c r="O76" s="165">
        <f t="shared" si="222"/>
        <v>0</v>
      </c>
      <c r="P76" s="94">
        <f t="shared" si="172"/>
        <v>0</v>
      </c>
      <c r="Q76" s="98">
        <f t="shared" ref="Q76:R78" si="223">IFERROR(C76/F76,0)</f>
        <v>0</v>
      </c>
      <c r="R76" s="99">
        <f t="shared" si="223"/>
        <v>0</v>
      </c>
      <c r="S76" s="94">
        <f t="shared" ref="S76:S78" si="224">IFERROR(Q76/R76-1,)</f>
        <v>0</v>
      </c>
      <c r="T76" s="98">
        <f>IFERROR((C76*(1-N76))/F76,0)</f>
        <v>0</v>
      </c>
      <c r="U76" s="99">
        <f>IFERROR((D76*(1-O76))/G76,0)</f>
        <v>0</v>
      </c>
      <c r="V76" s="94">
        <f t="shared" ref="V76:V78" si="225">IFERROR(T76/U76-1,)</f>
        <v>0</v>
      </c>
      <c r="W76" s="98">
        <f>IFERROR(SUMPRODUCT(W72:W75,F72:F75)/F76,0)</f>
        <v>0</v>
      </c>
      <c r="X76" s="99">
        <f>IFERROR(SUMPRODUCT(X72:X75,G72:G75)/G76,0)</f>
        <v>0</v>
      </c>
      <c r="Y76" s="94">
        <f t="shared" si="209"/>
        <v>0</v>
      </c>
      <c r="Z76" s="100">
        <f t="shared" si="158"/>
        <v>0</v>
      </c>
      <c r="AA76" s="101">
        <f t="shared" si="156"/>
        <v>0</v>
      </c>
      <c r="AB76" s="94">
        <f t="shared" si="173"/>
        <v>0</v>
      </c>
      <c r="AC76" s="102" t="e">
        <f t="shared" si="210"/>
        <v>#REF!</v>
      </c>
      <c r="AD76" s="103" t="e">
        <f t="shared" si="211"/>
        <v>#REF!</v>
      </c>
      <c r="AE76" s="104" t="e">
        <f t="shared" si="221"/>
        <v>#REF!</v>
      </c>
      <c r="AF76" s="95" t="e">
        <f>#REF!</f>
        <v>#REF!</v>
      </c>
      <c r="AG76" s="96" t="e">
        <f>#REF!</f>
        <v>#REF!</v>
      </c>
      <c r="AH76" s="94">
        <f t="shared" si="212"/>
        <v>0</v>
      </c>
      <c r="AI76" s="95">
        <f>SUM(AI73:AI75)</f>
        <v>0</v>
      </c>
      <c r="AJ76" s="96">
        <f>SUM(AJ73:AJ75)</f>
        <v>0</v>
      </c>
      <c r="AK76" s="96">
        <f>SUM(AK72:AK75)</f>
        <v>0</v>
      </c>
      <c r="AL76" s="96">
        <f>SUM(AL72:AL75)</f>
        <v>0</v>
      </c>
      <c r="AM76" s="94">
        <f t="shared" si="213"/>
        <v>0</v>
      </c>
      <c r="AN76" s="95">
        <f>SUM(AN72:AN75)</f>
        <v>0</v>
      </c>
      <c r="AO76" s="96">
        <f t="shared" ref="AO76" si="226">IFERROR(VLOOKUP(FiscalYr-1 &amp; $B76&amp; FCLY,tblForecast,AN$2,FALSE),0)</f>
        <v>0</v>
      </c>
      <c r="AP76" s="94">
        <f t="shared" si="214"/>
        <v>0</v>
      </c>
      <c r="AQ76" s="105">
        <f>IF(F76&lt;&gt;0,(AF76*COUNT(AQ72:AQ75)/F76),0)</f>
        <v>0</v>
      </c>
      <c r="AR76" s="106">
        <f>IF(G76&lt;&gt;0,(AG76*COUNT(AR72:AR75)/G76),0)</f>
        <v>0</v>
      </c>
      <c r="AS76" s="94">
        <f t="shared" si="175"/>
        <v>0</v>
      </c>
      <c r="AT76" s="95">
        <f>SUM(AT72:AT75)</f>
        <v>0</v>
      </c>
      <c r="AU76" s="96">
        <f t="shared" si="116"/>
        <v>0</v>
      </c>
      <c r="AV76" s="94">
        <f t="shared" si="215"/>
        <v>0</v>
      </c>
      <c r="AW76" s="107"/>
      <c r="AX76" s="108"/>
      <c r="AY76" s="94">
        <f t="shared" si="216"/>
        <v>0</v>
      </c>
      <c r="AZ76" s="134"/>
      <c r="BA76" s="111"/>
      <c r="BB76" s="94">
        <f t="shared" si="217"/>
        <v>0</v>
      </c>
      <c r="BC76" s="95">
        <f>SUM(BC72:BC75)</f>
        <v>0</v>
      </c>
      <c r="BD76" s="96">
        <f t="shared" si="117"/>
        <v>0</v>
      </c>
      <c r="BE76" s="94">
        <f t="shared" si="218"/>
        <v>0</v>
      </c>
      <c r="BF76" s="110">
        <f>SUM(BF72:BF75)</f>
        <v>0</v>
      </c>
      <c r="BG76" s="111">
        <f>SUM(BG72:BG75)</f>
        <v>0</v>
      </c>
      <c r="BH76" s="94">
        <f t="shared" si="219"/>
        <v>0</v>
      </c>
      <c r="BI76" s="111">
        <f t="shared" si="154"/>
        <v>0</v>
      </c>
      <c r="BJ76" s="112">
        <f t="shared" si="155"/>
        <v>0</v>
      </c>
      <c r="BK76" s="101">
        <f t="shared" si="220"/>
        <v>0</v>
      </c>
      <c r="BL76" s="290"/>
      <c r="BM76" s="291"/>
      <c r="BN76" s="291"/>
      <c r="BO76" s="292"/>
    </row>
    <row r="77" spans="2:67" customFormat="1" ht="16.5" thickBot="1" x14ac:dyDescent="0.3">
      <c r="B77" s="7" t="s">
        <v>50</v>
      </c>
      <c r="C77" s="113">
        <f>C65+C71+C76</f>
        <v>0</v>
      </c>
      <c r="D77" s="114">
        <f>D65+D71+D76</f>
        <v>0</v>
      </c>
      <c r="E77" s="115">
        <f t="shared" si="206"/>
        <v>0</v>
      </c>
      <c r="F77" s="116">
        <f>F65+F71+F76</f>
        <v>0</v>
      </c>
      <c r="G77" s="117">
        <f>G65+G71+G76</f>
        <v>0</v>
      </c>
      <c r="H77" s="115">
        <f t="shared" si="207"/>
        <v>0</v>
      </c>
      <c r="I77" s="179">
        <f>IF(F60&lt;&gt;0,F77/F60-1,0)</f>
        <v>0</v>
      </c>
      <c r="J77" s="179">
        <f>IF(G60&lt;&gt;0,G77/G60-1,0)</f>
        <v>0</v>
      </c>
      <c r="K77" s="113">
        <f>K65+K71+K76</f>
        <v>0</v>
      </c>
      <c r="L77" s="114">
        <f>L65+L71+L76</f>
        <v>0</v>
      </c>
      <c r="M77" s="118">
        <f t="shared" si="208"/>
        <v>0</v>
      </c>
      <c r="N77" s="166">
        <f t="shared" si="222"/>
        <v>0</v>
      </c>
      <c r="O77" s="167">
        <f t="shared" si="222"/>
        <v>0</v>
      </c>
      <c r="P77" s="115">
        <f t="shared" si="172"/>
        <v>0</v>
      </c>
      <c r="Q77" s="119">
        <f t="shared" si="223"/>
        <v>0</v>
      </c>
      <c r="R77" s="120">
        <f t="shared" si="223"/>
        <v>0</v>
      </c>
      <c r="S77" s="115">
        <f t="shared" si="224"/>
        <v>0</v>
      </c>
      <c r="T77" s="119">
        <f>IFERROR((C77*(1-N77))/F77,0)</f>
        <v>0</v>
      </c>
      <c r="U77" s="120">
        <f>IFERROR((D77*(1-O77))/G77,0)</f>
        <v>0</v>
      </c>
      <c r="V77" s="115">
        <f t="shared" si="225"/>
        <v>0</v>
      </c>
      <c r="W77" s="119">
        <f>IFERROR((W65*F65+W71*F71+W76*F76)/F77,0)</f>
        <v>0</v>
      </c>
      <c r="X77" s="120">
        <f>IFERROR((X65*G65+X71*G71)/G77,0)</f>
        <v>0</v>
      </c>
      <c r="Y77" s="115">
        <f t="shared" si="209"/>
        <v>0</v>
      </c>
      <c r="Z77" s="121">
        <f t="shared" si="158"/>
        <v>0</v>
      </c>
      <c r="AA77" s="122">
        <f t="shared" si="156"/>
        <v>0</v>
      </c>
      <c r="AB77" s="115">
        <f>IFERROR(Z77-AA77,)</f>
        <v>0</v>
      </c>
      <c r="AC77" s="123" t="e">
        <f t="shared" si="210"/>
        <v>#REF!</v>
      </c>
      <c r="AD77" s="124" t="e">
        <f t="shared" si="211"/>
        <v>#REF!</v>
      </c>
      <c r="AE77" s="125" t="e">
        <f t="shared" si="221"/>
        <v>#REF!</v>
      </c>
      <c r="AF77" s="116" t="e">
        <f t="shared" ref="AF77:AF78" si="227">AF76</f>
        <v>#REF!</v>
      </c>
      <c r="AG77" s="117" t="e">
        <f t="shared" ref="AG77:AG78" si="228">AG76</f>
        <v>#REF!</v>
      </c>
      <c r="AH77" s="115">
        <f t="shared" si="212"/>
        <v>0</v>
      </c>
      <c r="AI77" s="116">
        <f>AI65+AI71+AI76</f>
        <v>0</v>
      </c>
      <c r="AJ77" s="117">
        <f>AJ65+AJ71+AJ76</f>
        <v>0</v>
      </c>
      <c r="AK77" s="117">
        <f>AK65+AK71+AK76</f>
        <v>0</v>
      </c>
      <c r="AL77" s="117">
        <f>AL65+AL71+AL76</f>
        <v>0</v>
      </c>
      <c r="AM77" s="115">
        <f t="shared" si="213"/>
        <v>0</v>
      </c>
      <c r="AN77" s="116">
        <f>AN65+AN71+AN76</f>
        <v>0</v>
      </c>
      <c r="AO77" s="117">
        <f>AO65+AO71+AO76</f>
        <v>0</v>
      </c>
      <c r="AP77" s="115">
        <f t="shared" si="214"/>
        <v>0</v>
      </c>
      <c r="AQ77" s="126">
        <f>IF(F77&lt;&gt;0,(AF77*$B$24/F77),0)</f>
        <v>0</v>
      </c>
      <c r="AR77" s="127">
        <f>IF(G77&lt;&gt;0,(AG77*$B$24/G77),0)</f>
        <v>0</v>
      </c>
      <c r="AS77" s="115">
        <f t="shared" si="175"/>
        <v>0</v>
      </c>
      <c r="AT77" s="116">
        <f>AT65+AT71+AT76</f>
        <v>0</v>
      </c>
      <c r="AU77" s="117">
        <f>AU65+AU71+AU76</f>
        <v>0</v>
      </c>
      <c r="AV77" s="115">
        <f t="shared" si="215"/>
        <v>0</v>
      </c>
      <c r="AW77" s="128"/>
      <c r="AX77" s="129"/>
      <c r="AY77" s="115">
        <f t="shared" si="216"/>
        <v>0</v>
      </c>
      <c r="AZ77" s="130">
        <f>AZ65+AZ71+AZ76</f>
        <v>0</v>
      </c>
      <c r="BA77" s="117">
        <f>BA65+BA71+BA76</f>
        <v>0</v>
      </c>
      <c r="BB77" s="115">
        <f t="shared" si="217"/>
        <v>0</v>
      </c>
      <c r="BC77" s="116">
        <f>BC65+BC71+BC76</f>
        <v>0</v>
      </c>
      <c r="BD77" s="117">
        <f>BD65+BD71+BD76</f>
        <v>0</v>
      </c>
      <c r="BE77" s="115">
        <f t="shared" si="218"/>
        <v>0</v>
      </c>
      <c r="BF77" s="131">
        <f>BF65+BF71+BF76</f>
        <v>0</v>
      </c>
      <c r="BG77" s="132">
        <f>BG65+BG71+BG76</f>
        <v>0</v>
      </c>
      <c r="BH77" s="115">
        <f t="shared" si="219"/>
        <v>0</v>
      </c>
      <c r="BI77" s="132">
        <f t="shared" si="154"/>
        <v>0</v>
      </c>
      <c r="BJ77" s="133">
        <f t="shared" si="155"/>
        <v>0</v>
      </c>
      <c r="BK77" s="122">
        <f t="shared" si="220"/>
        <v>0</v>
      </c>
      <c r="BL77" s="285"/>
      <c r="BM77" s="1"/>
      <c r="BN77" s="1"/>
      <c r="BO77" s="286"/>
    </row>
    <row r="78" spans="2:67" customFormat="1" ht="16.5" thickBot="1" x14ac:dyDescent="0.3">
      <c r="B78" s="8" t="s">
        <v>48</v>
      </c>
      <c r="C78" s="135">
        <f>C26+C43+C60+C77</f>
        <v>0</v>
      </c>
      <c r="D78" s="136">
        <f>D26+D43+D60+D77</f>
        <v>0</v>
      </c>
      <c r="E78" s="137">
        <f t="shared" si="206"/>
        <v>0</v>
      </c>
      <c r="F78" s="138">
        <f>F26+F43+F60+F77</f>
        <v>0</v>
      </c>
      <c r="G78" s="139">
        <f>G26+G43+G60+G77</f>
        <v>0</v>
      </c>
      <c r="H78" s="137">
        <f t="shared" si="207"/>
        <v>0</v>
      </c>
      <c r="I78" s="237">
        <f>IF(G78&lt;&gt;0,F78/G78-1,0)</f>
        <v>0</v>
      </c>
      <c r="J78" s="237">
        <v>0</v>
      </c>
      <c r="K78" s="135">
        <f>K26+K43+K60+K77</f>
        <v>0</v>
      </c>
      <c r="L78" s="136">
        <f>L26+L43+L60+L77</f>
        <v>0</v>
      </c>
      <c r="M78" s="140">
        <f t="shared" si="208"/>
        <v>0</v>
      </c>
      <c r="N78" s="168">
        <f t="shared" si="222"/>
        <v>0</v>
      </c>
      <c r="O78" s="169">
        <f t="shared" si="222"/>
        <v>0</v>
      </c>
      <c r="P78" s="137">
        <f t="shared" si="172"/>
        <v>0</v>
      </c>
      <c r="Q78" s="141">
        <f t="shared" si="223"/>
        <v>0</v>
      </c>
      <c r="R78" s="142">
        <f t="shared" si="223"/>
        <v>0</v>
      </c>
      <c r="S78" s="137">
        <f t="shared" si="224"/>
        <v>0</v>
      </c>
      <c r="T78" s="141">
        <f>IF(F78&lt;&gt;0,(C78-K78)/F78,0)</f>
        <v>0</v>
      </c>
      <c r="U78" s="142">
        <f>IFERROR((D78*(1-O78))/G78,0)</f>
        <v>0</v>
      </c>
      <c r="V78" s="137">
        <f t="shared" si="225"/>
        <v>0</v>
      </c>
      <c r="W78" s="141">
        <f>IFERROR((W26*F26+W43*F43+W60*F60+W77*F77)/F78,0)</f>
        <v>0</v>
      </c>
      <c r="X78" s="142">
        <f>IFERROR((X26*G26+X43*G43+X60*G60+X77*G77)/G78,0)</f>
        <v>0</v>
      </c>
      <c r="Y78" s="137">
        <f t="shared" si="209"/>
        <v>0</v>
      </c>
      <c r="Z78" s="143">
        <f t="shared" si="158"/>
        <v>0</v>
      </c>
      <c r="AA78" s="144">
        <f t="shared" si="156"/>
        <v>0</v>
      </c>
      <c r="AB78" s="137">
        <f>IFERROR(Z78-AA78,)</f>
        <v>0</v>
      </c>
      <c r="AC78" s="145" t="e">
        <f t="shared" si="210"/>
        <v>#REF!</v>
      </c>
      <c r="AD78" s="146" t="e">
        <f t="shared" si="211"/>
        <v>#REF!</v>
      </c>
      <c r="AE78" s="147" t="e">
        <f t="shared" si="221"/>
        <v>#REF!</v>
      </c>
      <c r="AF78" s="138" t="e">
        <f t="shared" si="227"/>
        <v>#REF!</v>
      </c>
      <c r="AG78" s="139" t="e">
        <f t="shared" si="228"/>
        <v>#REF!</v>
      </c>
      <c r="AH78" s="137">
        <f t="shared" si="212"/>
        <v>0</v>
      </c>
      <c r="AI78" s="138">
        <f>AI26+AI43+AI60+AI77</f>
        <v>0</v>
      </c>
      <c r="AJ78" s="139">
        <f>AJ26+AJ43+AJ60+AJ77</f>
        <v>0</v>
      </c>
      <c r="AK78" s="139">
        <f>AK26+AK43+AK60+AK77</f>
        <v>0</v>
      </c>
      <c r="AL78" s="139">
        <f>AL26+AL43+AL60+AL77</f>
        <v>0</v>
      </c>
      <c r="AM78" s="137">
        <f t="shared" si="213"/>
        <v>0</v>
      </c>
      <c r="AN78" s="138">
        <f>AN26+AN43+AN60+AN77</f>
        <v>0</v>
      </c>
      <c r="AO78" s="139">
        <f>AO26+AO43+AO60+AO77</f>
        <v>0</v>
      </c>
      <c r="AP78" s="137">
        <f t="shared" si="214"/>
        <v>0</v>
      </c>
      <c r="AQ78" s="148">
        <f>IF(F78&lt;&gt;0,(AF78*#REF!/F78),0)</f>
        <v>0</v>
      </c>
      <c r="AR78" s="149">
        <f>IF(G78&lt;&gt;0,(AG78*#REF!/G78),0)</f>
        <v>0</v>
      </c>
      <c r="AS78" s="137">
        <f t="shared" si="175"/>
        <v>0</v>
      </c>
      <c r="AT78" s="138">
        <f>AT26+AT43+AT60+AT77</f>
        <v>0</v>
      </c>
      <c r="AU78" s="150">
        <f>AU26+AU43+AU60+AU77</f>
        <v>0</v>
      </c>
      <c r="AV78" s="137">
        <f t="shared" si="215"/>
        <v>0</v>
      </c>
      <c r="AW78" s="151"/>
      <c r="AX78" s="152"/>
      <c r="AY78" s="137">
        <f t="shared" si="216"/>
        <v>0</v>
      </c>
      <c r="AZ78" s="153">
        <f>AZ26+AZ43+AZ60+AZ77</f>
        <v>0</v>
      </c>
      <c r="BA78" s="150">
        <f>BA26+BA43+BA60+BA77</f>
        <v>0</v>
      </c>
      <c r="BB78" s="137">
        <f t="shared" si="217"/>
        <v>0</v>
      </c>
      <c r="BC78" s="138">
        <f>BC26+BC43+BC60+BC77</f>
        <v>0</v>
      </c>
      <c r="BD78" s="150">
        <f>BD26+BD43+BD60+BD77</f>
        <v>0</v>
      </c>
      <c r="BE78" s="137">
        <f t="shared" si="218"/>
        <v>0</v>
      </c>
      <c r="BF78" s="154">
        <f>BF26+BF43+BF60+BF77</f>
        <v>0</v>
      </c>
      <c r="BG78" s="155">
        <f>BG26+BG43+BG60+BG77</f>
        <v>0</v>
      </c>
      <c r="BH78" s="137">
        <f t="shared" si="219"/>
        <v>0</v>
      </c>
      <c r="BI78" s="155">
        <f t="shared" si="154"/>
        <v>0</v>
      </c>
      <c r="BJ78" s="156">
        <f t="shared" si="155"/>
        <v>0</v>
      </c>
      <c r="BK78" s="144">
        <f t="shared" si="220"/>
        <v>0</v>
      </c>
      <c r="BL78" s="287"/>
      <c r="BM78" s="288"/>
      <c r="BN78" s="288"/>
      <c r="BO78" s="289"/>
    </row>
  </sheetData>
  <mergeCells count="24">
    <mergeCell ref="BI8:BK8"/>
    <mergeCell ref="BC8:BE8"/>
    <mergeCell ref="BF8:BH8"/>
    <mergeCell ref="BL8:BO8"/>
    <mergeCell ref="T8:V8"/>
    <mergeCell ref="W8:Y8"/>
    <mergeCell ref="Z8:AB8"/>
    <mergeCell ref="AC8:AE8"/>
    <mergeCell ref="AF7:AS7"/>
    <mergeCell ref="C7:AE7"/>
    <mergeCell ref="AT7:BK7"/>
    <mergeCell ref="C8:E8"/>
    <mergeCell ref="F8:H8"/>
    <mergeCell ref="AZ8:BB8"/>
    <mergeCell ref="AT8:AV8"/>
    <mergeCell ref="AW8:AY8"/>
    <mergeCell ref="AF8:AH8"/>
    <mergeCell ref="AI8:AM8"/>
    <mergeCell ref="AN8:AP8"/>
    <mergeCell ref="AQ8:AS8"/>
    <mergeCell ref="I8:J8"/>
    <mergeCell ref="K8:M8"/>
    <mergeCell ref="N8:P8"/>
    <mergeCell ref="Q8:S8"/>
  </mergeCells>
  <conditionalFormatting sqref="B10:B13 B72:B75">
    <cfRule type="expression" dxfId="8" priority="10">
      <formula>$A10="A"</formula>
    </cfRule>
  </conditionalFormatting>
  <conditionalFormatting sqref="B15:B19">
    <cfRule type="expression" dxfId="7" priority="9">
      <formula>$A15="A"</formula>
    </cfRule>
  </conditionalFormatting>
  <conditionalFormatting sqref="B21:B24">
    <cfRule type="expression" dxfId="6" priority="8">
      <formula>$A21="A"</formula>
    </cfRule>
  </conditionalFormatting>
  <conditionalFormatting sqref="B28:B30 B44:B47">
    <cfRule type="expression" dxfId="5" priority="7">
      <formula>$A28="A"</formula>
    </cfRule>
  </conditionalFormatting>
  <conditionalFormatting sqref="B32:B36 B49:B53">
    <cfRule type="expression" dxfId="4" priority="6">
      <formula>$A32="A"</formula>
    </cfRule>
  </conditionalFormatting>
  <conditionalFormatting sqref="B38:B41 B55:B58">
    <cfRule type="expression" dxfId="3" priority="5">
      <formula>$A38="A"</formula>
    </cfRule>
  </conditionalFormatting>
  <conditionalFormatting sqref="B66:B70">
    <cfRule type="expression" dxfId="2" priority="4">
      <formula>$A66="A"</formula>
    </cfRule>
  </conditionalFormatting>
  <conditionalFormatting sqref="B61:B64">
    <cfRule type="expression" dxfId="1" priority="2">
      <formula>$A61="A"</formula>
    </cfRule>
  </conditionalFormatting>
  <conditionalFormatting sqref="B27">
    <cfRule type="expression" dxfId="0" priority="1">
      <formula>$A27="A"</formula>
    </cfRule>
  </conditionalFormatting>
  <pageMargins left="0.7" right="0.7" top="0.75" bottom="0.75" header="0.3" footer="0.3"/>
  <pageSetup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lForecast" enableFormatConditionsCalculation="0">
    <tabColor theme="9" tint="0.59999389629810485"/>
  </sheetPr>
  <dimension ref="A1:O5"/>
  <sheetViews>
    <sheetView showGridLines="0" zoomScale="90" zoomScaleNormal="90" zoomScalePageLayoutView="80" workbookViewId="0">
      <selection activeCell="A6" sqref="A6"/>
    </sheetView>
  </sheetViews>
  <sheetFormatPr defaultColWidth="11" defaultRowHeight="15.75" x14ac:dyDescent="0.25"/>
  <cols>
    <col min="1" max="1" width="14.25" style="1" customWidth="1"/>
    <col min="2" max="4" width="12" style="170" customWidth="1"/>
    <col min="5" max="5" width="9.25" style="1" bestFit="1" customWidth="1"/>
    <col min="6" max="14" width="7.875" style="1" customWidth="1"/>
    <col min="15" max="15" width="7.875" style="247" customWidth="1"/>
    <col min="16" max="16384" width="11" style="1"/>
  </cols>
  <sheetData>
    <row r="1" spans="1:15" s="248" customFormat="1" x14ac:dyDescent="0.25">
      <c r="B1" s="248" t="s">
        <v>362</v>
      </c>
      <c r="C1" s="248" t="s">
        <v>363</v>
      </c>
      <c r="E1" s="248" t="s">
        <v>364</v>
      </c>
      <c r="F1" s="248" t="s">
        <v>365</v>
      </c>
      <c r="G1" s="248" t="s">
        <v>366</v>
      </c>
      <c r="H1" s="248" t="s">
        <v>367</v>
      </c>
      <c r="I1" s="248" t="s">
        <v>368</v>
      </c>
      <c r="J1" s="248" t="s">
        <v>369</v>
      </c>
      <c r="K1" s="248" t="s">
        <v>370</v>
      </c>
      <c r="L1" s="248" t="s">
        <v>371</v>
      </c>
      <c r="M1" s="248" t="s">
        <v>372</v>
      </c>
    </row>
    <row r="2" spans="1:15" s="248" customFormat="1" x14ac:dyDescent="0.25">
      <c r="D2" s="248">
        <v>4</v>
      </c>
      <c r="E2" s="248">
        <f>D2+1</f>
        <v>5</v>
      </c>
      <c r="F2" s="248">
        <f t="shared" ref="F2:O2" si="0">E2+1</f>
        <v>6</v>
      </c>
      <c r="G2" s="248">
        <f t="shared" si="0"/>
        <v>7</v>
      </c>
      <c r="H2" s="248">
        <f t="shared" si="0"/>
        <v>8</v>
      </c>
      <c r="I2" s="248">
        <f t="shared" si="0"/>
        <v>9</v>
      </c>
      <c r="J2" s="248">
        <f t="shared" si="0"/>
        <v>10</v>
      </c>
      <c r="K2" s="248">
        <f t="shared" si="0"/>
        <v>11</v>
      </c>
      <c r="L2" s="248">
        <f t="shared" si="0"/>
        <v>12</v>
      </c>
      <c r="M2" s="248">
        <f t="shared" si="0"/>
        <v>13</v>
      </c>
      <c r="N2" s="248">
        <f t="shared" si="0"/>
        <v>14</v>
      </c>
      <c r="O2" s="248">
        <f t="shared" si="0"/>
        <v>15</v>
      </c>
    </row>
    <row r="3" spans="1:15" ht="46.5" x14ac:dyDescent="0.7">
      <c r="B3" s="351" t="s">
        <v>37</v>
      </c>
      <c r="C3" s="351"/>
      <c r="D3" s="246"/>
    </row>
    <row r="4" spans="1:15" ht="21" x14ac:dyDescent="0.35">
      <c r="A4" s="180"/>
      <c r="B4" s="250"/>
      <c r="C4" s="251"/>
      <c r="D4" s="250"/>
      <c r="E4" s="352"/>
      <c r="F4" s="353"/>
      <c r="G4" s="353"/>
      <c r="H4" s="353"/>
      <c r="I4" s="353"/>
      <c r="J4" s="353"/>
      <c r="K4" s="353"/>
      <c r="L4" s="353"/>
      <c r="M4" s="353"/>
      <c r="N4" s="353"/>
      <c r="O4" s="354"/>
    </row>
    <row r="5" spans="1:15" s="171" customFormat="1" ht="35.25" customHeight="1" x14ac:dyDescent="0.25">
      <c r="A5" s="252"/>
      <c r="B5" s="253" t="s">
        <v>21</v>
      </c>
      <c r="C5" s="253" t="s">
        <v>0</v>
      </c>
      <c r="D5" s="253" t="s">
        <v>377</v>
      </c>
      <c r="E5" s="254" t="s">
        <v>8</v>
      </c>
      <c r="F5" s="255" t="s">
        <v>1</v>
      </c>
      <c r="G5" s="256" t="s">
        <v>2</v>
      </c>
      <c r="H5" s="255" t="s">
        <v>3</v>
      </c>
      <c r="I5" s="257" t="s">
        <v>356</v>
      </c>
      <c r="J5" s="257" t="s">
        <v>348</v>
      </c>
      <c r="K5" s="258" t="s">
        <v>54</v>
      </c>
      <c r="L5" s="257" t="s">
        <v>9</v>
      </c>
      <c r="M5" s="258" t="s">
        <v>355</v>
      </c>
      <c r="N5" s="257" t="s">
        <v>357</v>
      </c>
      <c r="O5" s="259" t="s">
        <v>358</v>
      </c>
    </row>
  </sheetData>
  <sortState ref="A6:Y96">
    <sortCondition ref="D6:D96"/>
    <sortCondition ref="B6:B96"/>
    <sortCondition ref="C6:C96"/>
  </sortState>
  <mergeCells count="2">
    <mergeCell ref="B3:C3"/>
    <mergeCell ref="E4:O4"/>
  </mergeCells>
  <pageMargins left="0.7" right="0.7" top="0.75" bottom="0.75" header="0.3" footer="0.3"/>
  <pageSetup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topLeftCell="N1" zoomScale="80" zoomScaleNormal="80" zoomScalePageLayoutView="80" workbookViewId="0">
      <selection activeCell="Q2" sqref="Q2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15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15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16" t="s">
        <v>10</v>
      </c>
      <c r="B1" s="17"/>
      <c r="C1" s="18" t="s">
        <v>11</v>
      </c>
      <c r="D1" s="17"/>
      <c r="E1" s="16" t="s">
        <v>21</v>
      </c>
      <c r="F1" s="19"/>
      <c r="G1" s="16" t="s">
        <v>12</v>
      </c>
      <c r="H1" s="20"/>
      <c r="I1" s="16" t="s">
        <v>43</v>
      </c>
      <c r="K1" s="355" t="s">
        <v>64</v>
      </c>
      <c r="L1" s="356"/>
      <c r="N1" s="357" t="s">
        <v>338</v>
      </c>
      <c r="O1" s="358"/>
      <c r="Q1" s="261" t="s">
        <v>65</v>
      </c>
      <c r="R1" s="21" t="s">
        <v>65</v>
      </c>
      <c r="S1" s="303" t="s">
        <v>66</v>
      </c>
      <c r="T1" s="302" t="s">
        <v>10</v>
      </c>
      <c r="U1" s="22" t="s">
        <v>67</v>
      </c>
      <c r="V1" s="22" t="s">
        <v>68</v>
      </c>
      <c r="W1" s="22" t="s">
        <v>69</v>
      </c>
      <c r="Y1" s="23" t="s">
        <v>70</v>
      </c>
      <c r="Z1" s="24" t="s">
        <v>71</v>
      </c>
      <c r="AA1" s="24" t="s">
        <v>72</v>
      </c>
      <c r="AB1" s="25" t="s">
        <v>73</v>
      </c>
      <c r="AF1" s="268" t="s">
        <v>65</v>
      </c>
      <c r="AG1" s="269" t="s">
        <v>10</v>
      </c>
      <c r="AH1" s="269" t="s">
        <v>11</v>
      </c>
      <c r="AI1" s="269" t="s">
        <v>335</v>
      </c>
      <c r="AJ1" s="269" t="s">
        <v>0</v>
      </c>
      <c r="AK1" s="270" t="s">
        <v>7</v>
      </c>
      <c r="AM1" s="296" t="s">
        <v>65</v>
      </c>
      <c r="AN1" s="274" t="s">
        <v>580</v>
      </c>
      <c r="AO1" s="274" t="s">
        <v>582</v>
      </c>
      <c r="AP1" s="274" t="s">
        <v>581</v>
      </c>
      <c r="AQ1" s="274" t="s">
        <v>362</v>
      </c>
      <c r="AR1" s="274" t="s">
        <v>583</v>
      </c>
      <c r="AS1" s="274" t="s">
        <v>584</v>
      </c>
      <c r="AT1" s="274" t="s">
        <v>365</v>
      </c>
      <c r="AU1" s="274" t="s">
        <v>367</v>
      </c>
      <c r="AV1" s="274" t="s">
        <v>585</v>
      </c>
      <c r="AW1" s="274" t="s">
        <v>586</v>
      </c>
      <c r="AX1" s="274" t="s">
        <v>587</v>
      </c>
      <c r="AY1" s="274" t="s">
        <v>588</v>
      </c>
      <c r="AZ1" s="275" t="s">
        <v>589</v>
      </c>
    </row>
    <row r="2" spans="1:52" x14ac:dyDescent="0.25">
      <c r="A2" s="26" t="s">
        <v>14</v>
      </c>
      <c r="B2" s="1"/>
      <c r="C2" s="182" t="s">
        <v>5</v>
      </c>
      <c r="D2" s="27"/>
      <c r="E2" s="26">
        <v>2018</v>
      </c>
      <c r="F2" s="26"/>
      <c r="G2" s="26" t="s">
        <v>16</v>
      </c>
      <c r="H2" s="1"/>
      <c r="I2" s="182" t="s">
        <v>44</v>
      </c>
      <c r="K2" s="180" t="s">
        <v>14</v>
      </c>
      <c r="L2" s="181" t="s">
        <v>5</v>
      </c>
      <c r="M2" s="49"/>
      <c r="N2" s="50" t="s">
        <v>14</v>
      </c>
      <c r="O2" s="17" t="s">
        <v>336</v>
      </c>
      <c r="P2" s="20"/>
      <c r="Q2" s="266" t="str">
        <f t="shared" ref="Q2:Q65" si="0">T2&amp;V2</f>
        <v>Crazy 8GY C8 17 SB1</v>
      </c>
      <c r="R2" s="267" t="str">
        <f t="shared" ref="R2:R65" si="1">S2&amp;T2&amp;U2</f>
        <v>2018Crazy 8Basics</v>
      </c>
      <c r="S2" s="1">
        <v>2018</v>
      </c>
      <c r="T2" s="264" t="s">
        <v>74</v>
      </c>
      <c r="U2" s="264" t="s">
        <v>41</v>
      </c>
      <c r="V2" s="264" t="s">
        <v>76</v>
      </c>
      <c r="W2" s="265" t="s">
        <v>432</v>
      </c>
      <c r="X2" s="30"/>
      <c r="Y2" s="31" t="s">
        <v>77</v>
      </c>
      <c r="Z2" s="32">
        <f ca="1">MATCH(FiscalYr&amp;Brand&amp;Season,OFFSET(tblFC,,,,1),0)</f>
        <v>81</v>
      </c>
      <c r="AA2" s="32">
        <f ca="1">COUNTIF(OFFSET(tblFC,,,,1),FiscalYr&amp;Brand&amp;Season)</f>
        <v>7</v>
      </c>
      <c r="AB2" s="33" t="e">
        <f ca="1">OFFSET(OFFSET(tblFC,,4,,1),MATCH(FiscalYr&amp;Brand&amp;Season,OFFSET(tblFC,,,,1),0)-1,,COUNTIF(OFFSET(tblFC,,,,1),FiscalYr&amp;Brand&amp;Season),1)</f>
        <v>#VALUE!</v>
      </c>
      <c r="AF2" s="271" t="str">
        <f>AG2&amp;AH2&amp;AI2&amp;AJ2</f>
        <v>OutletOutletUSA1</v>
      </c>
      <c r="AG2" s="272" t="s">
        <v>17</v>
      </c>
      <c r="AH2" s="272" t="s">
        <v>17</v>
      </c>
      <c r="AI2" s="272" t="s">
        <v>336</v>
      </c>
      <c r="AJ2" s="272">
        <v>1</v>
      </c>
      <c r="AK2" s="273">
        <v>0.4</v>
      </c>
      <c r="AM2" s="297" t="str">
        <f>AN2&amp;AP2&amp;AO2&amp;AS2</f>
        <v>OutletUSAOutletGY 18 OUTLET SB1</v>
      </c>
      <c r="AN2" s="272" t="s">
        <v>17</v>
      </c>
      <c r="AO2" s="272" t="s">
        <v>17</v>
      </c>
      <c r="AP2" s="272" t="s">
        <v>336</v>
      </c>
      <c r="AQ2" s="309">
        <v>2018</v>
      </c>
      <c r="AR2" s="309" t="s">
        <v>85</v>
      </c>
      <c r="AS2" s="309" t="s">
        <v>257</v>
      </c>
      <c r="AT2" s="272">
        <v>16.510000000000002</v>
      </c>
      <c r="AU2" s="272">
        <v>3.13</v>
      </c>
      <c r="AV2" s="272">
        <v>641592</v>
      </c>
      <c r="AW2" s="272">
        <v>0.66</v>
      </c>
      <c r="AX2" s="272">
        <v>201751</v>
      </c>
      <c r="AY2" s="272">
        <v>20</v>
      </c>
      <c r="AZ2" s="273" t="s">
        <v>258</v>
      </c>
    </row>
    <row r="3" spans="1:52" x14ac:dyDescent="0.25">
      <c r="A3" s="26" t="s">
        <v>17</v>
      </c>
      <c r="B3" s="1"/>
      <c r="C3" s="26" t="s">
        <v>15</v>
      </c>
      <c r="D3" s="27"/>
      <c r="E3" s="26">
        <v>2019</v>
      </c>
      <c r="F3" s="26"/>
      <c r="G3" s="26" t="s">
        <v>18</v>
      </c>
      <c r="H3" s="1"/>
      <c r="I3" s="26" t="s">
        <v>45</v>
      </c>
      <c r="K3" s="28" t="s">
        <v>14</v>
      </c>
      <c r="L3" s="29" t="s">
        <v>15</v>
      </c>
      <c r="M3" s="49"/>
      <c r="N3" s="28" t="s">
        <v>14</v>
      </c>
      <c r="O3" s="51" t="s">
        <v>337</v>
      </c>
      <c r="P3" s="20"/>
      <c r="Q3" s="262" t="str">
        <f t="shared" si="0"/>
        <v>Crazy 8GY C8 17 SB2</v>
      </c>
      <c r="R3" s="35" t="str">
        <f t="shared" si="1"/>
        <v>2018Crazy 8Basics</v>
      </c>
      <c r="S3" s="1">
        <v>2018</v>
      </c>
      <c r="T3" s="1" t="s">
        <v>74</v>
      </c>
      <c r="U3" s="1" t="s">
        <v>41</v>
      </c>
      <c r="V3" s="1" t="s">
        <v>80</v>
      </c>
      <c r="W3" s="27" t="s">
        <v>434</v>
      </c>
      <c r="X3" s="30"/>
      <c r="Y3" s="36" t="s">
        <v>11</v>
      </c>
      <c r="Z3" s="37">
        <f ca="1">MATCH(Brand,OFFSET(tblBrandChannel,,,,1),0)-1</f>
        <v>0</v>
      </c>
      <c r="AA3" s="37">
        <f ca="1">COUNTIF(OFFSET(tblBrandChannel,,,,1),Brand)</f>
        <v>2</v>
      </c>
      <c r="AB3" s="34" t="str">
        <f ca="1">OFFSET(OFFSET(tblBrandChannel,,1,,1),MATCH(Brand,OFFSET(tblBrandChannel,,,,1),0)-1,,COUNTIF(OFFSET(tblBrandChannel,,,,1),Brand),1)</f>
        <v>Web</v>
      </c>
      <c r="AF3" s="35" t="str">
        <f t="shared" ref="AF3:AF66" si="2">AG3&amp;AH3&amp;AI3&amp;AJ3</f>
        <v>OutletOutletUSA2</v>
      </c>
      <c r="AG3" s="1" t="s">
        <v>17</v>
      </c>
      <c r="AH3" s="1" t="s">
        <v>17</v>
      </c>
      <c r="AI3" s="1" t="s">
        <v>336</v>
      </c>
      <c r="AJ3" s="1">
        <v>2</v>
      </c>
      <c r="AK3" s="27">
        <v>0.4</v>
      </c>
      <c r="AM3" s="262" t="str">
        <f t="shared" ref="AM3:AM66" si="3">AN3&amp;AP3&amp;AO3&amp;AS3</f>
        <v>OutletUSAOutletGY 18 OUTLET SB2</v>
      </c>
      <c r="AN3" s="1" t="s">
        <v>17</v>
      </c>
      <c r="AO3" s="1" t="s">
        <v>17</v>
      </c>
      <c r="AP3" s="1" t="s">
        <v>336</v>
      </c>
      <c r="AQ3" s="310">
        <v>2018</v>
      </c>
      <c r="AR3" s="310" t="s">
        <v>85</v>
      </c>
      <c r="AS3" s="310" t="s">
        <v>259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27" t="s">
        <v>260</v>
      </c>
    </row>
    <row r="4" spans="1:52" x14ac:dyDescent="0.25">
      <c r="A4" s="26" t="s">
        <v>74</v>
      </c>
      <c r="B4" s="1"/>
      <c r="C4" s="38" t="s">
        <v>17</v>
      </c>
      <c r="E4" s="26"/>
      <c r="F4" s="26"/>
      <c r="G4" s="26" t="s">
        <v>39</v>
      </c>
      <c r="H4" s="1"/>
      <c r="I4" s="26" t="s">
        <v>46</v>
      </c>
      <c r="K4" s="28" t="s">
        <v>17</v>
      </c>
      <c r="L4" s="27" t="s">
        <v>17</v>
      </c>
      <c r="M4" s="1"/>
      <c r="N4" s="28" t="s">
        <v>17</v>
      </c>
      <c r="O4" s="27" t="s">
        <v>336</v>
      </c>
      <c r="P4" s="1"/>
      <c r="Q4" s="262" t="str">
        <f t="shared" si="0"/>
        <v>Crazy 8GY C8 17 UNIFORM CAP</v>
      </c>
      <c r="R4" s="35" t="str">
        <f t="shared" si="1"/>
        <v>2018Crazy 8Basics</v>
      </c>
      <c r="S4" s="1">
        <v>2018</v>
      </c>
      <c r="T4" s="1" t="s">
        <v>74</v>
      </c>
      <c r="U4" s="1" t="s">
        <v>41</v>
      </c>
      <c r="V4" s="1" t="s">
        <v>423</v>
      </c>
      <c r="W4" s="27" t="s">
        <v>433</v>
      </c>
      <c r="X4" s="30"/>
      <c r="Y4" s="36" t="s">
        <v>335</v>
      </c>
      <c r="Z4" s="37">
        <f ca="1">MATCH(Brand,OFFSET(tblBrandCountry,,,,1),0)-1</f>
        <v>0</v>
      </c>
      <c r="AA4" s="37">
        <f ca="1">COUNTIF(OFFSET(tblBrandCountry,,,,1),Brand)</f>
        <v>2</v>
      </c>
      <c r="AB4" s="34" t="e">
        <f ca="1">OFFSET(OFFSET(tblBrandCountry,,1,,1),MATCH(Brand,OFFSET(tblBrandCountry,,,,1),0)-1,,COUNTIF(OFFSET(tblBrandCountry,,,,1),Brand),1)</f>
        <v>#VALUE!</v>
      </c>
      <c r="AF4" s="35" t="str">
        <f t="shared" si="2"/>
        <v>OutletOutletUSA3</v>
      </c>
      <c r="AG4" s="1" t="s">
        <v>17</v>
      </c>
      <c r="AH4" s="1" t="s">
        <v>17</v>
      </c>
      <c r="AI4" s="1" t="s">
        <v>336</v>
      </c>
      <c r="AJ4" s="1">
        <v>3</v>
      </c>
      <c r="AK4" s="27">
        <v>0.4</v>
      </c>
      <c r="AM4" s="262" t="str">
        <f t="shared" si="3"/>
        <v>OutletUSAOutletGY 18 OUTLET SPR GYM TRANSFERS</v>
      </c>
      <c r="AN4" s="1" t="s">
        <v>17</v>
      </c>
      <c r="AO4" s="1" t="s">
        <v>17</v>
      </c>
      <c r="AP4" s="1" t="s">
        <v>336</v>
      </c>
      <c r="AQ4" s="1">
        <v>2018</v>
      </c>
      <c r="AR4" s="1" t="s">
        <v>320</v>
      </c>
      <c r="AS4" s="1" t="s">
        <v>590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27" t="s">
        <v>591</v>
      </c>
    </row>
    <row r="5" spans="1:52" x14ac:dyDescent="0.25">
      <c r="A5" s="38" t="s">
        <v>38</v>
      </c>
      <c r="B5" s="1"/>
      <c r="E5" s="38"/>
      <c r="G5" s="26" t="s">
        <v>40</v>
      </c>
      <c r="H5" s="1"/>
      <c r="I5" s="183" t="s">
        <v>20</v>
      </c>
      <c r="K5" s="28" t="s">
        <v>74</v>
      </c>
      <c r="L5" s="29" t="s">
        <v>5</v>
      </c>
      <c r="M5" s="49"/>
      <c r="N5" s="28" t="s">
        <v>74</v>
      </c>
      <c r="O5" s="27" t="s">
        <v>336</v>
      </c>
      <c r="P5" s="1"/>
      <c r="Q5" s="262" t="str">
        <f t="shared" si="0"/>
        <v>Crazy 8GY C8 18 SB1</v>
      </c>
      <c r="R5" s="35" t="str">
        <f t="shared" si="1"/>
        <v>2018Crazy 8Basics</v>
      </c>
      <c r="S5" s="1">
        <v>2018</v>
      </c>
      <c r="T5" s="1" t="s">
        <v>74</v>
      </c>
      <c r="U5" s="1" t="s">
        <v>41</v>
      </c>
      <c r="V5" s="1" t="s">
        <v>75</v>
      </c>
      <c r="W5" s="27" t="s">
        <v>76</v>
      </c>
      <c r="X5" s="30"/>
      <c r="AF5" s="35" t="str">
        <f t="shared" si="2"/>
        <v>OutletOutletUSA4</v>
      </c>
      <c r="AG5" s="1" t="s">
        <v>17</v>
      </c>
      <c r="AH5" s="1" t="s">
        <v>17</v>
      </c>
      <c r="AI5" s="1" t="s">
        <v>336</v>
      </c>
      <c r="AJ5" s="1">
        <v>4</v>
      </c>
      <c r="AK5" s="27">
        <v>0.4</v>
      </c>
      <c r="AM5" s="262" t="str">
        <f t="shared" si="3"/>
        <v>OutletUSAOutletGY 18 OUTLET VDAY</v>
      </c>
      <c r="AN5" s="1" t="s">
        <v>17</v>
      </c>
      <c r="AO5" s="1" t="s">
        <v>17</v>
      </c>
      <c r="AP5" s="1" t="s">
        <v>336</v>
      </c>
      <c r="AQ5" s="1">
        <v>2018</v>
      </c>
      <c r="AR5" s="1" t="s">
        <v>16</v>
      </c>
      <c r="AS5" s="1" t="s">
        <v>261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27" t="s">
        <v>262</v>
      </c>
    </row>
    <row r="6" spans="1:52" x14ac:dyDescent="0.25">
      <c r="G6" s="26" t="s">
        <v>41</v>
      </c>
      <c r="H6" s="1"/>
      <c r="I6" s="183" t="s">
        <v>603</v>
      </c>
      <c r="K6" s="28" t="s">
        <v>74</v>
      </c>
      <c r="L6" s="29" t="s">
        <v>15</v>
      </c>
      <c r="M6" s="49"/>
      <c r="N6" s="39" t="s">
        <v>38</v>
      </c>
      <c r="O6" s="40" t="s">
        <v>336</v>
      </c>
      <c r="P6" s="49"/>
      <c r="Q6" s="262" t="str">
        <f t="shared" si="0"/>
        <v>Crazy 8GY C8 18 SB2</v>
      </c>
      <c r="R6" s="35" t="str">
        <f t="shared" si="1"/>
        <v>2018Crazy 8Basics</v>
      </c>
      <c r="S6" s="1">
        <v>2018</v>
      </c>
      <c r="T6" s="1" t="s">
        <v>74</v>
      </c>
      <c r="U6" s="1" t="s">
        <v>41</v>
      </c>
      <c r="V6" s="1" t="s">
        <v>79</v>
      </c>
      <c r="W6" s="27" t="s">
        <v>80</v>
      </c>
      <c r="X6" s="30"/>
      <c r="AF6" s="35" t="str">
        <f t="shared" si="2"/>
        <v>OutletOutletUSA5</v>
      </c>
      <c r="AG6" s="1" t="s">
        <v>17</v>
      </c>
      <c r="AH6" s="1" t="s">
        <v>17</v>
      </c>
      <c r="AI6" s="1" t="s">
        <v>336</v>
      </c>
      <c r="AJ6" s="1">
        <v>5</v>
      </c>
      <c r="AK6" s="27">
        <v>0.4</v>
      </c>
      <c r="AM6" s="262" t="str">
        <f t="shared" si="3"/>
        <v>OutletUSAOutletGY 18 OUTLET SPR</v>
      </c>
      <c r="AN6" s="1" t="s">
        <v>17</v>
      </c>
      <c r="AO6" s="1" t="s">
        <v>17</v>
      </c>
      <c r="AP6" s="1" t="s">
        <v>336</v>
      </c>
      <c r="AQ6" s="1">
        <v>2018</v>
      </c>
      <c r="AR6" s="1" t="s">
        <v>16</v>
      </c>
      <c r="AS6" s="1" t="s">
        <v>263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27" t="s">
        <v>264</v>
      </c>
    </row>
    <row r="7" spans="1:52" x14ac:dyDescent="0.25">
      <c r="G7" s="26" t="s">
        <v>85</v>
      </c>
      <c r="H7" s="1"/>
      <c r="K7" s="28" t="s">
        <v>38</v>
      </c>
      <c r="L7" s="29" t="s">
        <v>5</v>
      </c>
      <c r="M7" s="49"/>
      <c r="N7" s="49"/>
      <c r="O7" s="49"/>
      <c r="P7" s="49"/>
      <c r="Q7" s="262" t="str">
        <f t="shared" si="0"/>
        <v>Crazy 8GY C8 18 UNIFORM CAP</v>
      </c>
      <c r="R7" s="35" t="str">
        <f t="shared" si="1"/>
        <v>2018Crazy 8Basics</v>
      </c>
      <c r="S7" s="1">
        <v>2018</v>
      </c>
      <c r="T7" s="1" t="s">
        <v>74</v>
      </c>
      <c r="U7" s="1" t="s">
        <v>41</v>
      </c>
      <c r="V7" s="1" t="s">
        <v>78</v>
      </c>
      <c r="W7" s="27" t="s">
        <v>423</v>
      </c>
      <c r="X7" s="30"/>
      <c r="AF7" s="35" t="str">
        <f t="shared" si="2"/>
        <v>OutletOutletUSA6</v>
      </c>
      <c r="AG7" s="1" t="s">
        <v>17</v>
      </c>
      <c r="AH7" s="1" t="s">
        <v>17</v>
      </c>
      <c r="AI7" s="1" t="s">
        <v>336</v>
      </c>
      <c r="AJ7" s="1">
        <v>6</v>
      </c>
      <c r="AK7" s="27">
        <v>0.4</v>
      </c>
      <c r="AM7" s="262" t="str">
        <f t="shared" si="3"/>
        <v>OutletUSAOutletGY 18 OUTLET SWIM 1</v>
      </c>
      <c r="AN7" s="1" t="s">
        <v>17</v>
      </c>
      <c r="AO7" s="1" t="s">
        <v>17</v>
      </c>
      <c r="AP7" s="1" t="s">
        <v>336</v>
      </c>
      <c r="AQ7" s="1">
        <v>2018</v>
      </c>
      <c r="AR7" s="1" t="s">
        <v>16</v>
      </c>
      <c r="AS7" s="1" t="s">
        <v>592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27" t="s">
        <v>280</v>
      </c>
    </row>
    <row r="8" spans="1:52" x14ac:dyDescent="0.25">
      <c r="A8" s="244" t="s">
        <v>20</v>
      </c>
      <c r="C8" s="260">
        <f>FiscalYr-1</f>
        <v>2017</v>
      </c>
      <c r="G8" s="38" t="s">
        <v>361</v>
      </c>
      <c r="K8" s="28" t="s">
        <v>38</v>
      </c>
      <c r="L8" s="29" t="s">
        <v>15</v>
      </c>
      <c r="M8" s="49"/>
      <c r="N8" s="49"/>
      <c r="O8" s="49"/>
      <c r="P8" s="49"/>
      <c r="Q8" s="262" t="str">
        <f t="shared" si="0"/>
        <v>Crazy 8GY C8 YRLY BASICS</v>
      </c>
      <c r="R8" s="35" t="str">
        <f t="shared" si="1"/>
        <v>2018Crazy 8Basics</v>
      </c>
      <c r="S8" s="1">
        <v>2018</v>
      </c>
      <c r="T8" s="1" t="s">
        <v>74</v>
      </c>
      <c r="U8" s="1" t="s">
        <v>41</v>
      </c>
      <c r="V8" s="1" t="s">
        <v>318</v>
      </c>
      <c r="W8" s="27" t="s">
        <v>318</v>
      </c>
      <c r="X8" s="30"/>
      <c r="AF8" s="35" t="str">
        <f t="shared" si="2"/>
        <v>OutletOutletUSA7</v>
      </c>
      <c r="AG8" s="1" t="s">
        <v>17</v>
      </c>
      <c r="AH8" s="1" t="s">
        <v>17</v>
      </c>
      <c r="AI8" s="1" t="s">
        <v>336</v>
      </c>
      <c r="AJ8" s="1">
        <v>7</v>
      </c>
      <c r="AK8" s="27">
        <v>0.4</v>
      </c>
      <c r="AM8" s="262" t="str">
        <f t="shared" si="3"/>
        <v>OutletUSAOutletGY 18 OUTLET SPRING 1</v>
      </c>
      <c r="AN8" s="1" t="s">
        <v>17</v>
      </c>
      <c r="AO8" s="1" t="s">
        <v>17</v>
      </c>
      <c r="AP8" s="1" t="s">
        <v>336</v>
      </c>
      <c r="AQ8" s="1">
        <v>2018</v>
      </c>
      <c r="AR8" s="1" t="s">
        <v>16</v>
      </c>
      <c r="AS8" s="1" t="s">
        <v>273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27" t="s">
        <v>274</v>
      </c>
    </row>
    <row r="9" spans="1:52" x14ac:dyDescent="0.25">
      <c r="A9" s="244" t="s">
        <v>376</v>
      </c>
      <c r="C9" s="243" t="b">
        <v>1</v>
      </c>
      <c r="K9" s="39" t="s">
        <v>38</v>
      </c>
      <c r="L9" s="40" t="s">
        <v>17</v>
      </c>
      <c r="Q9" s="262" t="str">
        <f t="shared" si="0"/>
        <v>Crazy 8GY C8 YRLY DENIM</v>
      </c>
      <c r="R9" s="35" t="str">
        <f t="shared" si="1"/>
        <v>2018Crazy 8Basics</v>
      </c>
      <c r="S9" s="1">
        <v>2018</v>
      </c>
      <c r="T9" s="1" t="s">
        <v>74</v>
      </c>
      <c r="U9" s="1" t="s">
        <v>41</v>
      </c>
      <c r="V9" s="1" t="s">
        <v>319</v>
      </c>
      <c r="W9" s="27" t="s">
        <v>319</v>
      </c>
      <c r="X9" s="30"/>
      <c r="AF9" s="35" t="str">
        <f t="shared" si="2"/>
        <v>OutletOutletUSA8</v>
      </c>
      <c r="AG9" s="1" t="s">
        <v>17</v>
      </c>
      <c r="AH9" s="1" t="s">
        <v>17</v>
      </c>
      <c r="AI9" s="1" t="s">
        <v>336</v>
      </c>
      <c r="AJ9" s="1">
        <v>8</v>
      </c>
      <c r="AK9" s="27">
        <v>0.4</v>
      </c>
      <c r="AM9" s="262" t="str">
        <f t="shared" si="3"/>
        <v>OutletUSAOutletGY 18 OUTLET BNB SPRING</v>
      </c>
      <c r="AN9" s="1" t="s">
        <v>17</v>
      </c>
      <c r="AO9" s="1" t="s">
        <v>17</v>
      </c>
      <c r="AP9" s="1" t="s">
        <v>336</v>
      </c>
      <c r="AQ9" s="1">
        <v>2018</v>
      </c>
      <c r="AR9" s="1" t="s">
        <v>16</v>
      </c>
      <c r="AS9" s="1" t="s">
        <v>593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27" t="s">
        <v>266</v>
      </c>
    </row>
    <row r="10" spans="1:52" x14ac:dyDescent="0.25">
      <c r="A10" s="244" t="s">
        <v>382</v>
      </c>
      <c r="C10" s="260" t="str">
        <f>VLOOKUP(Brand&amp;FC,tblLYFC,7,FALSE)</f>
        <v>GY 17 FALL BASICS</v>
      </c>
      <c r="Q10" s="262" t="str">
        <f t="shared" si="0"/>
        <v>Crazy 8GY C8 17 BTS</v>
      </c>
      <c r="R10" s="35" t="str">
        <f t="shared" si="1"/>
        <v>2018Crazy 8Fall</v>
      </c>
      <c r="S10" s="1">
        <v>2018</v>
      </c>
      <c r="T10" s="1" t="s">
        <v>74</v>
      </c>
      <c r="U10" s="1" t="s">
        <v>39</v>
      </c>
      <c r="V10" s="1" t="s">
        <v>89</v>
      </c>
      <c r="W10" s="27" t="s">
        <v>435</v>
      </c>
      <c r="X10" s="30"/>
      <c r="AF10" s="35" t="str">
        <f t="shared" si="2"/>
        <v>OutletOutletUSA9</v>
      </c>
      <c r="AG10" s="1" t="s">
        <v>17</v>
      </c>
      <c r="AH10" s="1" t="s">
        <v>17</v>
      </c>
      <c r="AI10" s="1" t="s">
        <v>336</v>
      </c>
      <c r="AJ10" s="1">
        <v>9</v>
      </c>
      <c r="AK10" s="27">
        <v>0.4</v>
      </c>
      <c r="AM10" s="262" t="str">
        <f t="shared" si="3"/>
        <v>OutletUSAOutletGY 18 OUTLET EASTER</v>
      </c>
      <c r="AN10" s="1" t="s">
        <v>17</v>
      </c>
      <c r="AO10" s="1" t="s">
        <v>17</v>
      </c>
      <c r="AP10" s="1" t="s">
        <v>336</v>
      </c>
      <c r="AQ10" s="1">
        <v>2018</v>
      </c>
      <c r="AR10" s="1" t="s">
        <v>16</v>
      </c>
      <c r="AS10" s="1" t="s">
        <v>594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27" t="s">
        <v>270</v>
      </c>
    </row>
    <row r="11" spans="1:52" x14ac:dyDescent="0.25">
      <c r="Q11" s="262" t="str">
        <f t="shared" si="0"/>
        <v>Crazy 8GY C8 17 BTS CAP</v>
      </c>
      <c r="R11" s="35" t="str">
        <f t="shared" si="1"/>
        <v>2018Crazy 8Fall</v>
      </c>
      <c r="S11" s="1">
        <v>2018</v>
      </c>
      <c r="T11" s="1" t="s">
        <v>74</v>
      </c>
      <c r="U11" s="1" t="s">
        <v>39</v>
      </c>
      <c r="V11" s="1" t="s">
        <v>87</v>
      </c>
      <c r="W11" s="27" t="s">
        <v>436</v>
      </c>
      <c r="X11" s="30"/>
      <c r="AF11" s="35" t="str">
        <f t="shared" si="2"/>
        <v>OutletOutletUSA10</v>
      </c>
      <c r="AG11" s="1" t="s">
        <v>17</v>
      </c>
      <c r="AH11" s="1" t="s">
        <v>17</v>
      </c>
      <c r="AI11" s="1" t="s">
        <v>336</v>
      </c>
      <c r="AJ11" s="1">
        <v>10</v>
      </c>
      <c r="AK11" s="27">
        <v>0.4</v>
      </c>
      <c r="AM11" s="262" t="str">
        <f t="shared" si="3"/>
        <v>OutletUSAOutletGY 18 OUTLET SPR FASHION CAP</v>
      </c>
      <c r="AN11" s="1" t="s">
        <v>17</v>
      </c>
      <c r="AO11" s="1" t="s">
        <v>17</v>
      </c>
      <c r="AP11" s="1" t="s">
        <v>336</v>
      </c>
      <c r="AQ11" s="1">
        <v>2018</v>
      </c>
      <c r="AR11" s="1" t="s">
        <v>16</v>
      </c>
      <c r="AS11" s="1" t="s">
        <v>595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27" t="s">
        <v>272</v>
      </c>
    </row>
    <row r="12" spans="1:52" x14ac:dyDescent="0.25">
      <c r="Q12" s="262" t="str">
        <f t="shared" si="0"/>
        <v>Crazy 8GY C8 17 FAL</v>
      </c>
      <c r="R12" s="35" t="str">
        <f t="shared" si="1"/>
        <v>2018Crazy 8Fall</v>
      </c>
      <c r="S12" s="1">
        <v>2018</v>
      </c>
      <c r="T12" s="1" t="s">
        <v>74</v>
      </c>
      <c r="U12" s="1" t="s">
        <v>39</v>
      </c>
      <c r="V12" s="1" t="s">
        <v>82</v>
      </c>
      <c r="W12" s="27" t="s">
        <v>437</v>
      </c>
      <c r="X12" s="30"/>
      <c r="AF12" s="35" t="str">
        <f t="shared" si="2"/>
        <v>OutletOutletUSA11</v>
      </c>
      <c r="AG12" s="1" t="s">
        <v>17</v>
      </c>
      <c r="AH12" s="1" t="s">
        <v>17</v>
      </c>
      <c r="AI12" s="1" t="s">
        <v>336</v>
      </c>
      <c r="AJ12" s="1">
        <v>11</v>
      </c>
      <c r="AK12" s="27">
        <v>0.4</v>
      </c>
      <c r="AM12" s="262" t="str">
        <f t="shared" si="3"/>
        <v>OutletUSAOutletGY 18 OUTLET SPRING 2</v>
      </c>
      <c r="AN12" s="1" t="s">
        <v>17</v>
      </c>
      <c r="AO12" s="1" t="s">
        <v>17</v>
      </c>
      <c r="AP12" s="1" t="s">
        <v>336</v>
      </c>
      <c r="AQ12" s="1">
        <v>2018</v>
      </c>
      <c r="AR12" s="1" t="s">
        <v>16</v>
      </c>
      <c r="AS12" s="1" t="s">
        <v>596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27" t="s">
        <v>276</v>
      </c>
    </row>
    <row r="13" spans="1:52" x14ac:dyDescent="0.25">
      <c r="A13" s="41" t="s">
        <v>340</v>
      </c>
      <c r="B13" s="42"/>
      <c r="C13" s="359" t="s">
        <v>373</v>
      </c>
      <c r="D13" s="360"/>
      <c r="E13" s="360"/>
      <c r="F13" s="360"/>
      <c r="G13" s="361"/>
      <c r="Q13" s="262" t="str">
        <f t="shared" si="0"/>
        <v>Crazy 8GY C8 17 FAL DOORBUSTER</v>
      </c>
      <c r="R13" s="35" t="str">
        <f t="shared" si="1"/>
        <v>2018Crazy 8Fall</v>
      </c>
      <c r="S13" s="1">
        <v>2018</v>
      </c>
      <c r="T13" s="1" t="s">
        <v>74</v>
      </c>
      <c r="U13" s="1" t="s">
        <v>39</v>
      </c>
      <c r="V13" s="1" t="s">
        <v>84</v>
      </c>
      <c r="W13" s="27" t="s">
        <v>438</v>
      </c>
      <c r="X13" s="30"/>
      <c r="AF13" s="35" t="str">
        <f t="shared" si="2"/>
        <v>OutletOutletUSA12</v>
      </c>
      <c r="AG13" s="1" t="s">
        <v>17</v>
      </c>
      <c r="AH13" s="1" t="s">
        <v>17</v>
      </c>
      <c r="AI13" s="1" t="s">
        <v>336</v>
      </c>
      <c r="AJ13" s="1">
        <v>12</v>
      </c>
      <c r="AK13" s="27">
        <v>0.4</v>
      </c>
      <c r="AM13" s="262" t="str">
        <f t="shared" si="3"/>
        <v>OutletUSAOutletGY 18 OUTLET SPRING ACTIVE</v>
      </c>
      <c r="AN13" s="1" t="s">
        <v>17</v>
      </c>
      <c r="AO13" s="1" t="s">
        <v>17</v>
      </c>
      <c r="AP13" s="1" t="s">
        <v>336</v>
      </c>
      <c r="AQ13" s="1">
        <v>2018</v>
      </c>
      <c r="AR13" s="1" t="s">
        <v>16</v>
      </c>
      <c r="AS13" s="1" t="s">
        <v>267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27" t="s">
        <v>268</v>
      </c>
    </row>
    <row r="14" spans="1:52" x14ac:dyDescent="0.25">
      <c r="A14" s="41" t="s">
        <v>100</v>
      </c>
      <c r="B14" s="184"/>
      <c r="C14" s="304" t="str">
        <f>"http://"&amp;IF(Environ="Test","localhost","172.24.115.30")&amp;"/api/"</f>
        <v>http://172.24.115.30/api/</v>
      </c>
      <c r="D14" s="304"/>
      <c r="E14" s="305"/>
      <c r="F14" s="304"/>
      <c r="G14" s="306"/>
      <c r="I14" s="1"/>
      <c r="Q14" s="262" t="str">
        <f t="shared" si="0"/>
        <v>Crazy 8GY C8 17 FALL 1</v>
      </c>
      <c r="R14" s="35" t="str">
        <f t="shared" si="1"/>
        <v>2018Crazy 8Fall</v>
      </c>
      <c r="S14" s="1">
        <v>2018</v>
      </c>
      <c r="T14" s="1" t="s">
        <v>74</v>
      </c>
      <c r="U14" s="1" t="s">
        <v>39</v>
      </c>
      <c r="V14" s="1" t="s">
        <v>91</v>
      </c>
      <c r="W14" s="27" t="s">
        <v>439</v>
      </c>
      <c r="X14" s="30"/>
      <c r="AF14" s="35" t="str">
        <f t="shared" si="2"/>
        <v>OutletOutletUSA13</v>
      </c>
      <c r="AG14" s="1" t="s">
        <v>17</v>
      </c>
      <c r="AH14" s="1" t="s">
        <v>17</v>
      </c>
      <c r="AI14" s="1" t="s">
        <v>336</v>
      </c>
      <c r="AJ14" s="1">
        <v>13</v>
      </c>
      <c r="AK14" s="27">
        <v>0.4</v>
      </c>
      <c r="AM14" s="262" t="str">
        <f t="shared" si="3"/>
        <v>OutletUSAOutletGY 18 OUTLET SPRING 3</v>
      </c>
      <c r="AN14" s="1" t="s">
        <v>17</v>
      </c>
      <c r="AO14" s="1" t="s">
        <v>17</v>
      </c>
      <c r="AP14" s="1" t="s">
        <v>336</v>
      </c>
      <c r="AQ14" s="1">
        <v>2018</v>
      </c>
      <c r="AR14" s="1" t="s">
        <v>16</v>
      </c>
      <c r="AS14" s="1" t="s">
        <v>597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27" t="s">
        <v>278</v>
      </c>
    </row>
    <row r="15" spans="1:52" x14ac:dyDescent="0.25">
      <c r="H15" s="1"/>
      <c r="Q15" s="262" t="str">
        <f t="shared" si="0"/>
        <v>Crazy 8GY C8 17 FALL 2</v>
      </c>
      <c r="R15" s="35" t="str">
        <f t="shared" si="1"/>
        <v>2018Crazy 8Fall</v>
      </c>
      <c r="S15" s="1">
        <v>2018</v>
      </c>
      <c r="T15" s="1" t="s">
        <v>74</v>
      </c>
      <c r="U15" s="1" t="s">
        <v>39</v>
      </c>
      <c r="V15" s="1" t="s">
        <v>95</v>
      </c>
      <c r="W15" s="27" t="s">
        <v>440</v>
      </c>
      <c r="X15" s="30"/>
      <c r="AF15" s="35" t="str">
        <f t="shared" si="2"/>
        <v>OutletOutletUSA14</v>
      </c>
      <c r="AG15" s="1" t="s">
        <v>17</v>
      </c>
      <c r="AH15" s="1" t="s">
        <v>17</v>
      </c>
      <c r="AI15" s="1" t="s">
        <v>336</v>
      </c>
      <c r="AJ15" s="1">
        <v>14</v>
      </c>
      <c r="AK15" s="27">
        <v>0.5</v>
      </c>
      <c r="AM15" s="262" t="str">
        <f t="shared" si="3"/>
        <v>OutletUSAOutletGY 18 OUTLET SWIM 2</v>
      </c>
      <c r="AN15" s="1" t="s">
        <v>17</v>
      </c>
      <c r="AO15" s="1" t="s">
        <v>17</v>
      </c>
      <c r="AP15" s="1" t="s">
        <v>336</v>
      </c>
      <c r="AQ15" s="1">
        <v>2018</v>
      </c>
      <c r="AR15" s="1" t="s">
        <v>16</v>
      </c>
      <c r="AS15" s="1" t="s">
        <v>598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27" t="s">
        <v>282</v>
      </c>
    </row>
    <row r="16" spans="1:52" x14ac:dyDescent="0.25">
      <c r="Q16" s="262" t="str">
        <f t="shared" si="0"/>
        <v>Crazy 8GY C8 17 HALLOWEEN CAP</v>
      </c>
      <c r="R16" s="35" t="str">
        <f t="shared" si="1"/>
        <v>2018Crazy 8Fall</v>
      </c>
      <c r="S16" s="1">
        <v>2018</v>
      </c>
      <c r="T16" s="1" t="s">
        <v>74</v>
      </c>
      <c r="U16" s="1" t="s">
        <v>39</v>
      </c>
      <c r="V16" s="1" t="s">
        <v>93</v>
      </c>
      <c r="W16" s="27" t="s">
        <v>441</v>
      </c>
      <c r="X16" s="30"/>
      <c r="AF16" s="35" t="str">
        <f t="shared" si="2"/>
        <v>OutletOutletUSA15</v>
      </c>
      <c r="AG16" s="1" t="s">
        <v>17</v>
      </c>
      <c r="AH16" s="1" t="s">
        <v>17</v>
      </c>
      <c r="AI16" s="1" t="s">
        <v>336</v>
      </c>
      <c r="AJ16" s="1">
        <v>15</v>
      </c>
      <c r="AK16" s="27">
        <v>0.5</v>
      </c>
      <c r="AM16" s="262" t="str">
        <f t="shared" si="3"/>
        <v>OutletUSAOutletGY 18 OUTLET SUMMER 1</v>
      </c>
      <c r="AN16" s="1" t="s">
        <v>17</v>
      </c>
      <c r="AO16" s="1" t="s">
        <v>17</v>
      </c>
      <c r="AP16" s="1" t="s">
        <v>336</v>
      </c>
      <c r="AQ16" s="1">
        <v>2018</v>
      </c>
      <c r="AR16" s="1" t="s">
        <v>18</v>
      </c>
      <c r="AS16" s="1" t="s">
        <v>599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27" t="s">
        <v>292</v>
      </c>
    </row>
    <row r="17" spans="1:52" x14ac:dyDescent="0.25">
      <c r="Q17" s="262" t="str">
        <f t="shared" si="0"/>
        <v>Crazy 8GY C8 17 PARTY CAP</v>
      </c>
      <c r="R17" s="35" t="str">
        <f t="shared" si="1"/>
        <v>2018Crazy 8Fall</v>
      </c>
      <c r="S17" s="1">
        <v>2018</v>
      </c>
      <c r="T17" s="1" t="s">
        <v>74</v>
      </c>
      <c r="U17" s="1" t="s">
        <v>39</v>
      </c>
      <c r="V17" s="1" t="s">
        <v>102</v>
      </c>
      <c r="W17" s="27" t="s">
        <v>442</v>
      </c>
      <c r="X17" s="30"/>
      <c r="AF17" s="35" t="str">
        <f t="shared" si="2"/>
        <v>OutletOutletUSA16</v>
      </c>
      <c r="AG17" s="1" t="s">
        <v>17</v>
      </c>
      <c r="AH17" s="1" t="s">
        <v>17</v>
      </c>
      <c r="AI17" s="1" t="s">
        <v>336</v>
      </c>
      <c r="AJ17" s="1">
        <v>16</v>
      </c>
      <c r="AK17" s="27">
        <v>0.5</v>
      </c>
      <c r="AM17" s="262" t="str">
        <f t="shared" si="3"/>
        <v>OutletUSAOutletGY 18 OUTLET SMR</v>
      </c>
      <c r="AN17" s="1" t="s">
        <v>17</v>
      </c>
      <c r="AO17" s="1" t="s">
        <v>17</v>
      </c>
      <c r="AP17" s="1" t="s">
        <v>336</v>
      </c>
      <c r="AQ17" s="1">
        <v>2018</v>
      </c>
      <c r="AR17" s="1" t="s">
        <v>18</v>
      </c>
      <c r="AS17" s="1" t="s">
        <v>285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27" t="s">
        <v>286</v>
      </c>
    </row>
    <row r="18" spans="1:52" x14ac:dyDescent="0.25">
      <c r="A18" t="s">
        <v>359</v>
      </c>
      <c r="Q18" s="262" t="str">
        <f t="shared" si="0"/>
        <v>Crazy 8GY C8 17 PICTURE CAP</v>
      </c>
      <c r="R18" s="35" t="str">
        <f t="shared" si="1"/>
        <v>2018Crazy 8Fall</v>
      </c>
      <c r="S18" s="1">
        <v>2018</v>
      </c>
      <c r="T18" s="1" t="s">
        <v>74</v>
      </c>
      <c r="U18" s="1" t="s">
        <v>39</v>
      </c>
      <c r="V18" s="1" t="s">
        <v>97</v>
      </c>
      <c r="W18" s="27" t="s">
        <v>443</v>
      </c>
      <c r="X18" s="30"/>
      <c r="AF18" s="35" t="str">
        <f t="shared" si="2"/>
        <v>OutletOutletUSA17</v>
      </c>
      <c r="AG18" s="1" t="s">
        <v>17</v>
      </c>
      <c r="AH18" s="1" t="s">
        <v>17</v>
      </c>
      <c r="AI18" s="1" t="s">
        <v>336</v>
      </c>
      <c r="AJ18" s="1">
        <v>17</v>
      </c>
      <c r="AK18" s="27">
        <v>0.5</v>
      </c>
      <c r="AM18" s="262" t="str">
        <f t="shared" si="3"/>
        <v>OutletUSAOutletGY 18 OUTLET SUMMER 2</v>
      </c>
      <c r="AN18" s="1" t="s">
        <v>17</v>
      </c>
      <c r="AO18" s="1" t="s">
        <v>17</v>
      </c>
      <c r="AP18" s="1" t="s">
        <v>336</v>
      </c>
      <c r="AQ18" s="1">
        <v>2018</v>
      </c>
      <c r="AR18" s="1" t="s">
        <v>18</v>
      </c>
      <c r="AS18" s="1" t="s">
        <v>293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27" t="s">
        <v>294</v>
      </c>
    </row>
    <row r="19" spans="1:52" x14ac:dyDescent="0.25">
      <c r="A19" t="s">
        <v>360</v>
      </c>
      <c r="Q19" s="262" t="str">
        <f t="shared" si="0"/>
        <v>Crazy 8GY C8 17 SEASONAL</v>
      </c>
      <c r="R19" s="35" t="str">
        <f t="shared" si="1"/>
        <v>2018Crazy 8Fall</v>
      </c>
      <c r="S19" s="1">
        <v>2018</v>
      </c>
      <c r="T19" s="1" t="s">
        <v>74</v>
      </c>
      <c r="U19" s="1" t="s">
        <v>39</v>
      </c>
      <c r="V19" s="1" t="s">
        <v>99</v>
      </c>
      <c r="W19" s="27" t="s">
        <v>444</v>
      </c>
      <c r="X19" s="30"/>
      <c r="AF19" s="35" t="str">
        <f t="shared" si="2"/>
        <v>OutletOutletUSA18</v>
      </c>
      <c r="AG19" s="1" t="s">
        <v>17</v>
      </c>
      <c r="AH19" s="1" t="s">
        <v>17</v>
      </c>
      <c r="AI19" s="1" t="s">
        <v>336</v>
      </c>
      <c r="AJ19" s="1">
        <v>18</v>
      </c>
      <c r="AK19" s="27">
        <v>0.5</v>
      </c>
      <c r="AM19" s="262" t="str">
        <f t="shared" si="3"/>
        <v>OutletUSAOutletGY 18 OUTLET SWIM 3</v>
      </c>
      <c r="AN19" s="1" t="s">
        <v>17</v>
      </c>
      <c r="AO19" s="1" t="s">
        <v>17</v>
      </c>
      <c r="AP19" s="1" t="s">
        <v>336</v>
      </c>
      <c r="AQ19" s="1">
        <v>2018</v>
      </c>
      <c r="AR19" s="1" t="s">
        <v>18</v>
      </c>
      <c r="AS19" s="1" t="s">
        <v>283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27" t="s">
        <v>284</v>
      </c>
    </row>
    <row r="20" spans="1:52" x14ac:dyDescent="0.25">
      <c r="Q20" s="262" t="str">
        <f t="shared" si="0"/>
        <v>Crazy 8GY C8 18 AUG</v>
      </c>
      <c r="R20" s="35" t="str">
        <f t="shared" si="1"/>
        <v>2018Crazy 8Fall</v>
      </c>
      <c r="S20" s="1">
        <v>2018</v>
      </c>
      <c r="T20" s="1" t="s">
        <v>74</v>
      </c>
      <c r="U20" s="1" t="s">
        <v>39</v>
      </c>
      <c r="V20" s="1" t="s">
        <v>90</v>
      </c>
      <c r="W20" s="27" t="s">
        <v>91</v>
      </c>
      <c r="X20" s="30"/>
      <c r="AF20" s="35" t="str">
        <f t="shared" si="2"/>
        <v>OutletOutletUSA19</v>
      </c>
      <c r="AG20" s="1" t="s">
        <v>17</v>
      </c>
      <c r="AH20" s="1" t="s">
        <v>17</v>
      </c>
      <c r="AI20" s="1" t="s">
        <v>336</v>
      </c>
      <c r="AJ20" s="1">
        <v>19</v>
      </c>
      <c r="AK20" s="27">
        <v>0.5</v>
      </c>
      <c r="AM20" s="262" t="str">
        <f t="shared" si="3"/>
        <v>OutletUSAOutletGY 18 OUTLET BNB SUMMER</v>
      </c>
      <c r="AN20" s="1" t="s">
        <v>17</v>
      </c>
      <c r="AO20" s="1" t="s">
        <v>17</v>
      </c>
      <c r="AP20" s="1" t="s">
        <v>336</v>
      </c>
      <c r="AQ20" s="1">
        <v>2018</v>
      </c>
      <c r="AR20" s="1" t="s">
        <v>18</v>
      </c>
      <c r="AS20" s="1" t="s">
        <v>287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27" t="s">
        <v>288</v>
      </c>
    </row>
    <row r="21" spans="1:52" x14ac:dyDescent="0.25">
      <c r="Q21" s="262" t="str">
        <f t="shared" si="0"/>
        <v>Crazy 8GY C8 18 AUG CAP</v>
      </c>
      <c r="R21" s="35" t="str">
        <f t="shared" si="1"/>
        <v>2018Crazy 8Fall</v>
      </c>
      <c r="S21" s="1">
        <v>2018</v>
      </c>
      <c r="T21" s="1" t="s">
        <v>74</v>
      </c>
      <c r="U21" s="1" t="s">
        <v>39</v>
      </c>
      <c r="V21" s="1" t="s">
        <v>86</v>
      </c>
      <c r="W21" s="27" t="s">
        <v>87</v>
      </c>
      <c r="X21" s="30"/>
      <c r="AF21" s="35" t="str">
        <f t="shared" si="2"/>
        <v>OutletOutletUSA20</v>
      </c>
      <c r="AG21" s="1" t="s">
        <v>17</v>
      </c>
      <c r="AH21" s="1" t="s">
        <v>17</v>
      </c>
      <c r="AI21" s="1" t="s">
        <v>336</v>
      </c>
      <c r="AJ21" s="1">
        <v>20</v>
      </c>
      <c r="AK21" s="27">
        <v>0.5</v>
      </c>
      <c r="AM21" s="262" t="str">
        <f t="shared" si="3"/>
        <v>OutletUSAOutletGY 18 OUTLET SUMMER 3</v>
      </c>
      <c r="AN21" s="1" t="s">
        <v>17</v>
      </c>
      <c r="AO21" s="1" t="s">
        <v>17</v>
      </c>
      <c r="AP21" s="1" t="s">
        <v>336</v>
      </c>
      <c r="AQ21" s="1">
        <v>2018</v>
      </c>
      <c r="AR21" s="1" t="s">
        <v>18</v>
      </c>
      <c r="AS21" s="1" t="s">
        <v>295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27" t="s">
        <v>296</v>
      </c>
    </row>
    <row r="22" spans="1:52" x14ac:dyDescent="0.25">
      <c r="Q22" s="262" t="str">
        <f t="shared" si="0"/>
        <v>Crazy 8GY C8 18 FAL</v>
      </c>
      <c r="R22" s="35" t="str">
        <f t="shared" si="1"/>
        <v>2018Crazy 8Fall</v>
      </c>
      <c r="S22" s="1">
        <v>2018</v>
      </c>
      <c r="T22" s="1" t="s">
        <v>74</v>
      </c>
      <c r="U22" s="1" t="s">
        <v>39</v>
      </c>
      <c r="V22" s="1" t="s">
        <v>81</v>
      </c>
      <c r="W22" s="27" t="s">
        <v>82</v>
      </c>
      <c r="X22" s="30"/>
      <c r="AF22" s="35" t="str">
        <f t="shared" si="2"/>
        <v>OutletOutletUSA21</v>
      </c>
      <c r="AG22" s="1" t="s">
        <v>17</v>
      </c>
      <c r="AH22" s="1" t="s">
        <v>17</v>
      </c>
      <c r="AI22" s="1" t="s">
        <v>336</v>
      </c>
      <c r="AJ22" s="1">
        <v>21</v>
      </c>
      <c r="AK22" s="27">
        <v>0.5</v>
      </c>
      <c r="AM22" s="262" t="str">
        <f t="shared" si="3"/>
        <v>OutletUSAOutletGY 18 OUTLET SUMMER 4</v>
      </c>
      <c r="AN22" s="1" t="s">
        <v>17</v>
      </c>
      <c r="AO22" s="1" t="s">
        <v>17</v>
      </c>
      <c r="AP22" s="1" t="s">
        <v>336</v>
      </c>
      <c r="AQ22" s="1">
        <v>2018</v>
      </c>
      <c r="AR22" s="1" t="s">
        <v>18</v>
      </c>
      <c r="AS22" s="1" t="s">
        <v>297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27" t="s">
        <v>298</v>
      </c>
    </row>
    <row r="23" spans="1:52" x14ac:dyDescent="0.25">
      <c r="Q23" s="262" t="str">
        <f t="shared" si="0"/>
        <v>Crazy 8GY C8 18 FAL DOORBUSTER</v>
      </c>
      <c r="R23" s="35" t="str">
        <f t="shared" si="1"/>
        <v>2018Crazy 8Fall</v>
      </c>
      <c r="S23" s="1">
        <v>2018</v>
      </c>
      <c r="T23" s="1" t="s">
        <v>74</v>
      </c>
      <c r="U23" s="1" t="s">
        <v>39</v>
      </c>
      <c r="V23" s="1" t="s">
        <v>83</v>
      </c>
      <c r="W23" s="27" t="s">
        <v>84</v>
      </c>
      <c r="X23" s="30"/>
      <c r="AF23" s="35" t="str">
        <f t="shared" si="2"/>
        <v>OutletOutletUSA22</v>
      </c>
      <c r="AG23" s="1" t="s">
        <v>17</v>
      </c>
      <c r="AH23" s="1" t="s">
        <v>17</v>
      </c>
      <c r="AI23" s="1" t="s">
        <v>336</v>
      </c>
      <c r="AJ23" s="1">
        <v>22</v>
      </c>
      <c r="AK23" s="27">
        <v>0.5</v>
      </c>
      <c r="AM23" s="262" t="str">
        <f t="shared" si="3"/>
        <v>OutletUSAOutletGY 18 OUTLET UNIFORM</v>
      </c>
      <c r="AN23" s="1" t="s">
        <v>17</v>
      </c>
      <c r="AO23" s="1" t="s">
        <v>17</v>
      </c>
      <c r="AP23" s="1" t="s">
        <v>336</v>
      </c>
      <c r="AQ23" s="1">
        <v>2018</v>
      </c>
      <c r="AR23" s="1" t="s">
        <v>18</v>
      </c>
      <c r="AS23" s="1" t="s">
        <v>299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27" t="s">
        <v>300</v>
      </c>
    </row>
    <row r="24" spans="1:52" x14ac:dyDescent="0.25">
      <c r="Q24" s="262" t="str">
        <f t="shared" si="0"/>
        <v>Crazy 8GY C8 18 HALLOWEEN CAP</v>
      </c>
      <c r="R24" s="35" t="str">
        <f t="shared" si="1"/>
        <v>2018Crazy 8Fall</v>
      </c>
      <c r="S24" s="1">
        <v>2018</v>
      </c>
      <c r="T24" s="1" t="s">
        <v>74</v>
      </c>
      <c r="U24" s="1" t="s">
        <v>39</v>
      </c>
      <c r="V24" s="1" t="s">
        <v>92</v>
      </c>
      <c r="W24" s="27" t="s">
        <v>93</v>
      </c>
      <c r="X24" s="30"/>
      <c r="AF24" s="35" t="str">
        <f t="shared" si="2"/>
        <v>OutletOutletUSA23</v>
      </c>
      <c r="AG24" s="1" t="s">
        <v>17</v>
      </c>
      <c r="AH24" s="1" t="s">
        <v>17</v>
      </c>
      <c r="AI24" s="1" t="s">
        <v>336</v>
      </c>
      <c r="AJ24" s="1">
        <v>23</v>
      </c>
      <c r="AK24" s="27">
        <v>0.5</v>
      </c>
      <c r="AM24" s="262" t="str">
        <f t="shared" si="3"/>
        <v>OutletUSAOutletGY 18 OUTLET TRANSITION</v>
      </c>
      <c r="AN24" s="1" t="s">
        <v>17</v>
      </c>
      <c r="AO24" s="1" t="s">
        <v>17</v>
      </c>
      <c r="AP24" s="1" t="s">
        <v>336</v>
      </c>
      <c r="AQ24" s="1">
        <v>2018</v>
      </c>
      <c r="AR24" s="1" t="s">
        <v>18</v>
      </c>
      <c r="AS24" s="1" t="s">
        <v>301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27" t="s">
        <v>302</v>
      </c>
    </row>
    <row r="25" spans="1:52" x14ac:dyDescent="0.25">
      <c r="Q25" s="262" t="str">
        <f t="shared" si="0"/>
        <v>Crazy 8GY C8 18 JULY</v>
      </c>
      <c r="R25" s="35" t="str">
        <f t="shared" si="1"/>
        <v>2018Crazy 8Fall</v>
      </c>
      <c r="S25" s="1">
        <v>2018</v>
      </c>
      <c r="T25" s="1" t="s">
        <v>74</v>
      </c>
      <c r="U25" s="1" t="s">
        <v>39</v>
      </c>
      <c r="V25" s="1" t="s">
        <v>88</v>
      </c>
      <c r="W25" s="27" t="s">
        <v>89</v>
      </c>
      <c r="X25" s="30"/>
      <c r="AF25" s="35" t="str">
        <f t="shared" si="2"/>
        <v>OutletOutletUSA24</v>
      </c>
      <c r="AG25" s="1" t="s">
        <v>17</v>
      </c>
      <c r="AH25" s="1" t="s">
        <v>17</v>
      </c>
      <c r="AI25" s="1" t="s">
        <v>336</v>
      </c>
      <c r="AJ25" s="1">
        <v>24</v>
      </c>
      <c r="AK25" s="27">
        <v>0.5</v>
      </c>
      <c r="AM25" s="262" t="str">
        <f t="shared" si="3"/>
        <v>OutletUSAOutletGY 18 OUTLET FAL</v>
      </c>
      <c r="AN25" s="1" t="s">
        <v>17</v>
      </c>
      <c r="AO25" s="1" t="s">
        <v>17</v>
      </c>
      <c r="AP25" s="1" t="s">
        <v>336</v>
      </c>
      <c r="AQ25" s="1">
        <v>2018</v>
      </c>
      <c r="AR25" s="1" t="s">
        <v>39</v>
      </c>
      <c r="AS25" s="1" t="s">
        <v>242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27" t="s">
        <v>243</v>
      </c>
    </row>
    <row r="26" spans="1:52" x14ac:dyDescent="0.25">
      <c r="Q26" s="262" t="str">
        <f t="shared" si="0"/>
        <v>Crazy 8GY C8 18 OCT</v>
      </c>
      <c r="R26" s="35" t="str">
        <f t="shared" si="1"/>
        <v>2018Crazy 8Fall</v>
      </c>
      <c r="S26" s="1">
        <v>2018</v>
      </c>
      <c r="T26" s="1" t="s">
        <v>74</v>
      </c>
      <c r="U26" s="1" t="s">
        <v>39</v>
      </c>
      <c r="V26" s="1" t="s">
        <v>98</v>
      </c>
      <c r="W26" s="27" t="s">
        <v>99</v>
      </c>
      <c r="X26" s="30"/>
      <c r="AF26" s="35" t="str">
        <f t="shared" si="2"/>
        <v>OutletOutletUSA25</v>
      </c>
      <c r="AG26" s="1" t="s">
        <v>17</v>
      </c>
      <c r="AH26" s="1" t="s">
        <v>17</v>
      </c>
      <c r="AI26" s="1" t="s">
        <v>336</v>
      </c>
      <c r="AJ26" s="1">
        <v>25</v>
      </c>
      <c r="AK26" s="27">
        <v>0.6</v>
      </c>
      <c r="AM26" s="262" t="str">
        <f t="shared" si="3"/>
        <v>OutletUSAOutletGY 18 OUTLET BTS 1</v>
      </c>
      <c r="AN26" s="1" t="s">
        <v>17</v>
      </c>
      <c r="AO26" s="1" t="s">
        <v>17</v>
      </c>
      <c r="AP26" s="1" t="s">
        <v>336</v>
      </c>
      <c r="AQ26" s="1">
        <v>2018</v>
      </c>
      <c r="AR26" s="1" t="s">
        <v>39</v>
      </c>
      <c r="AS26" s="1" t="s">
        <v>244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27" t="s">
        <v>245</v>
      </c>
    </row>
    <row r="27" spans="1:52" x14ac:dyDescent="0.25">
      <c r="Q27" s="262" t="str">
        <f t="shared" si="0"/>
        <v>Crazy 8GY C8 18 OCTOBER CAP</v>
      </c>
      <c r="R27" s="35" t="str">
        <f t="shared" si="1"/>
        <v>2018Crazy 8Fall</v>
      </c>
      <c r="S27" s="1">
        <v>2018</v>
      </c>
      <c r="T27" s="1" t="s">
        <v>74</v>
      </c>
      <c r="U27" s="1" t="s">
        <v>39</v>
      </c>
      <c r="V27" s="1" t="s">
        <v>101</v>
      </c>
      <c r="W27" s="27" t="s">
        <v>102</v>
      </c>
      <c r="X27" s="30"/>
      <c r="AF27" s="35" t="str">
        <f t="shared" si="2"/>
        <v>OutletOutletUSA26</v>
      </c>
      <c r="AG27" s="1" t="s">
        <v>17</v>
      </c>
      <c r="AH27" s="1" t="s">
        <v>17</v>
      </c>
      <c r="AI27" s="1" t="s">
        <v>336</v>
      </c>
      <c r="AJ27" s="1">
        <v>26</v>
      </c>
      <c r="AK27" s="27">
        <v>0.6</v>
      </c>
      <c r="AM27" s="262" t="str">
        <f t="shared" si="3"/>
        <v>OutletUSAOutletGY 18 OUTLET BTS 2</v>
      </c>
      <c r="AN27" s="1" t="s">
        <v>17</v>
      </c>
      <c r="AO27" s="1" t="s">
        <v>17</v>
      </c>
      <c r="AP27" s="1" t="s">
        <v>336</v>
      </c>
      <c r="AQ27" s="1">
        <v>2018</v>
      </c>
      <c r="AR27" s="1" t="s">
        <v>39</v>
      </c>
      <c r="AS27" s="1" t="s">
        <v>246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27" t="s">
        <v>247</v>
      </c>
    </row>
    <row r="28" spans="1:52" x14ac:dyDescent="0.25">
      <c r="Q28" s="262" t="str">
        <f t="shared" si="0"/>
        <v>Crazy 8GY C8 18 SEP</v>
      </c>
      <c r="R28" s="35" t="str">
        <f t="shared" si="1"/>
        <v>2018Crazy 8Fall</v>
      </c>
      <c r="S28" s="1">
        <v>2018</v>
      </c>
      <c r="T28" s="1" t="s">
        <v>74</v>
      </c>
      <c r="U28" s="1" t="s">
        <v>39</v>
      </c>
      <c r="V28" s="1" t="s">
        <v>94</v>
      </c>
      <c r="W28" s="27" t="s">
        <v>95</v>
      </c>
      <c r="X28" s="30"/>
      <c r="AF28" s="35" t="str">
        <f t="shared" si="2"/>
        <v>OutletOutletUSA27</v>
      </c>
      <c r="AG28" s="1" t="s">
        <v>17</v>
      </c>
      <c r="AH28" s="1" t="s">
        <v>17</v>
      </c>
      <c r="AI28" s="1" t="s">
        <v>336</v>
      </c>
      <c r="AJ28" s="1">
        <v>27</v>
      </c>
      <c r="AK28" s="27">
        <v>0.6</v>
      </c>
      <c r="AM28" s="262" t="str">
        <f t="shared" si="3"/>
        <v>OutletUSAOutletGY 18 OUTLET BNB FAL</v>
      </c>
      <c r="AN28" s="1" t="s">
        <v>17</v>
      </c>
      <c r="AO28" s="1" t="s">
        <v>17</v>
      </c>
      <c r="AP28" s="1" t="s">
        <v>336</v>
      </c>
      <c r="AQ28" s="1">
        <v>2018</v>
      </c>
      <c r="AR28" s="1" t="s">
        <v>39</v>
      </c>
      <c r="AS28" s="1" t="s">
        <v>248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27" t="s">
        <v>249</v>
      </c>
    </row>
    <row r="29" spans="1:52" x14ac:dyDescent="0.25">
      <c r="Q29" s="262" t="str">
        <f t="shared" si="0"/>
        <v>Crazy 8GY C8 18 SEP CAP</v>
      </c>
      <c r="R29" s="35" t="str">
        <f t="shared" si="1"/>
        <v>2018Crazy 8Fall</v>
      </c>
      <c r="S29" s="1">
        <v>2018</v>
      </c>
      <c r="T29" s="1" t="s">
        <v>74</v>
      </c>
      <c r="U29" s="1" t="s">
        <v>39</v>
      </c>
      <c r="V29" s="1" t="s">
        <v>96</v>
      </c>
      <c r="W29" s="27" t="s">
        <v>97</v>
      </c>
      <c r="X29" s="30"/>
      <c r="AF29" s="35" t="str">
        <f t="shared" si="2"/>
        <v>OutletOutletUSA28</v>
      </c>
      <c r="AG29" s="1" t="s">
        <v>17</v>
      </c>
      <c r="AH29" s="1" t="s">
        <v>17</v>
      </c>
      <c r="AI29" s="1" t="s">
        <v>336</v>
      </c>
      <c r="AJ29" s="1">
        <v>28</v>
      </c>
      <c r="AK29" s="27">
        <v>0.6</v>
      </c>
      <c r="AM29" s="262" t="str">
        <f t="shared" si="3"/>
        <v>OutletUSAOutletGY 18 OUTLET FALL 1</v>
      </c>
      <c r="AN29" s="1" t="s">
        <v>17</v>
      </c>
      <c r="AO29" s="1" t="s">
        <v>17</v>
      </c>
      <c r="AP29" s="1" t="s">
        <v>336</v>
      </c>
      <c r="AQ29" s="1">
        <v>2018</v>
      </c>
      <c r="AR29" s="1" t="s">
        <v>39</v>
      </c>
      <c r="AS29" s="1" t="s">
        <v>250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27" t="s">
        <v>251</v>
      </c>
    </row>
    <row r="30" spans="1:52" x14ac:dyDescent="0.25">
      <c r="Q30" s="262" t="str">
        <f t="shared" si="0"/>
        <v>Crazy 8GY C8 GIVEAWAY</v>
      </c>
      <c r="R30" s="35" t="str">
        <f t="shared" si="1"/>
        <v>2018Crazy 8Other</v>
      </c>
      <c r="S30" s="1">
        <v>2018</v>
      </c>
      <c r="T30" s="1" t="s">
        <v>74</v>
      </c>
      <c r="U30" s="1" t="s">
        <v>320</v>
      </c>
      <c r="V30" s="1" t="s">
        <v>322</v>
      </c>
      <c r="W30" s="27"/>
      <c r="X30" s="30"/>
      <c r="AF30" s="35" t="str">
        <f t="shared" si="2"/>
        <v>OutletOutletUSA29</v>
      </c>
      <c r="AG30" s="1" t="s">
        <v>17</v>
      </c>
      <c r="AH30" s="1" t="s">
        <v>17</v>
      </c>
      <c r="AI30" s="1" t="s">
        <v>336</v>
      </c>
      <c r="AJ30" s="1">
        <v>29</v>
      </c>
      <c r="AK30" s="27">
        <v>0.6</v>
      </c>
      <c r="AM30" s="262" t="str">
        <f t="shared" si="3"/>
        <v>OutletUSAOutletGY 18 OUTLET HARVEST</v>
      </c>
      <c r="AN30" s="1" t="s">
        <v>17</v>
      </c>
      <c r="AO30" s="1" t="s">
        <v>17</v>
      </c>
      <c r="AP30" s="1" t="s">
        <v>336</v>
      </c>
      <c r="AQ30" s="1">
        <v>2018</v>
      </c>
      <c r="AR30" s="1" t="s">
        <v>39</v>
      </c>
      <c r="AS30" s="1" t="s">
        <v>252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27" t="s">
        <v>251</v>
      </c>
    </row>
    <row r="31" spans="1:52" x14ac:dyDescent="0.25">
      <c r="Q31" s="262" t="str">
        <f t="shared" si="0"/>
        <v>Crazy 8GY C8 WEB RELATED</v>
      </c>
      <c r="R31" s="35" t="str">
        <f t="shared" si="1"/>
        <v>2018Crazy 8Other</v>
      </c>
      <c r="S31" s="1">
        <v>2018</v>
      </c>
      <c r="T31" s="1" t="s">
        <v>74</v>
      </c>
      <c r="U31" s="1" t="s">
        <v>320</v>
      </c>
      <c r="V31" s="1" t="s">
        <v>321</v>
      </c>
      <c r="W31" s="27" t="s">
        <v>321</v>
      </c>
      <c r="X31" s="30"/>
      <c r="AF31" s="35" t="str">
        <f t="shared" si="2"/>
        <v>OutletOutletUSA30</v>
      </c>
      <c r="AG31" s="1" t="s">
        <v>17</v>
      </c>
      <c r="AH31" s="1" t="s">
        <v>17</v>
      </c>
      <c r="AI31" s="1" t="s">
        <v>336</v>
      </c>
      <c r="AJ31" s="1">
        <v>30</v>
      </c>
      <c r="AK31" s="27">
        <v>0.6</v>
      </c>
      <c r="AM31" s="262" t="str">
        <f t="shared" si="3"/>
        <v>OutletUSAOutletGY 18 OUTLET FALL 2</v>
      </c>
      <c r="AN31" s="1" t="s">
        <v>17</v>
      </c>
      <c r="AO31" s="1" t="s">
        <v>17</v>
      </c>
      <c r="AP31" s="1" t="s">
        <v>336</v>
      </c>
      <c r="AQ31" s="1">
        <v>2018</v>
      </c>
      <c r="AR31" s="1" t="s">
        <v>39</v>
      </c>
      <c r="AS31" s="1" t="s">
        <v>253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27" t="s">
        <v>254</v>
      </c>
    </row>
    <row r="32" spans="1:52" x14ac:dyDescent="0.25">
      <c r="Q32" s="262" t="str">
        <f t="shared" si="0"/>
        <v>Crazy 8GY C8 17 EASTER CAP</v>
      </c>
      <c r="R32" s="35" t="str">
        <f t="shared" si="1"/>
        <v>2018Crazy 8Spring</v>
      </c>
      <c r="S32" s="1">
        <v>2018</v>
      </c>
      <c r="T32" s="1" t="s">
        <v>74</v>
      </c>
      <c r="U32" s="1" t="s">
        <v>16</v>
      </c>
      <c r="V32" s="1" t="s">
        <v>122</v>
      </c>
      <c r="W32" s="27" t="s">
        <v>449</v>
      </c>
      <c r="X32" s="30"/>
      <c r="AF32" s="35" t="str">
        <f t="shared" si="2"/>
        <v>OutletOutletUSA31</v>
      </c>
      <c r="AG32" s="1" t="s">
        <v>17</v>
      </c>
      <c r="AH32" s="1" t="s">
        <v>17</v>
      </c>
      <c r="AI32" s="1" t="s">
        <v>336</v>
      </c>
      <c r="AJ32" s="1">
        <v>31</v>
      </c>
      <c r="AK32" s="27">
        <v>0.6</v>
      </c>
      <c r="AM32" s="262" t="str">
        <f t="shared" si="3"/>
        <v>OutletUSAOutletGY 18 OUTLET HOLIDAY DRESSY</v>
      </c>
      <c r="AN32" s="1" t="s">
        <v>17</v>
      </c>
      <c r="AO32" s="1" t="s">
        <v>17</v>
      </c>
      <c r="AP32" s="1" t="s">
        <v>336</v>
      </c>
      <c r="AQ32" s="1">
        <v>2018</v>
      </c>
      <c r="AR32" s="1" t="s">
        <v>39</v>
      </c>
      <c r="AS32" s="1" t="s">
        <v>255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27" t="s">
        <v>256</v>
      </c>
    </row>
    <row r="33" spans="17:52" x14ac:dyDescent="0.25">
      <c r="Q33" s="262" t="str">
        <f t="shared" si="0"/>
        <v>Crazy 8GY C8 17 PRE SUMMER</v>
      </c>
      <c r="R33" s="35" t="str">
        <f t="shared" si="1"/>
        <v>2018Crazy 8Spring</v>
      </c>
      <c r="S33" s="1">
        <v>2018</v>
      </c>
      <c r="T33" s="1" t="s">
        <v>74</v>
      </c>
      <c r="U33" s="1" t="s">
        <v>16</v>
      </c>
      <c r="V33" s="1" t="s">
        <v>124</v>
      </c>
      <c r="W33" s="27" t="s">
        <v>450</v>
      </c>
      <c r="X33" s="30"/>
      <c r="AF33" s="35" t="str">
        <f t="shared" si="2"/>
        <v>OutletOutletUSA32</v>
      </c>
      <c r="AG33" s="1" t="s">
        <v>17</v>
      </c>
      <c r="AH33" s="1" t="s">
        <v>17</v>
      </c>
      <c r="AI33" s="1" t="s">
        <v>336</v>
      </c>
      <c r="AJ33" s="1">
        <v>32</v>
      </c>
      <c r="AK33" s="27">
        <v>0.6</v>
      </c>
      <c r="AM33" s="262" t="str">
        <f t="shared" si="3"/>
        <v>Janie &amp; JackUSARetailJJ 3RD PARTY</v>
      </c>
      <c r="AN33" s="1" t="s">
        <v>38</v>
      </c>
      <c r="AO33" s="1" t="s">
        <v>5</v>
      </c>
      <c r="AP33" s="1" t="s">
        <v>336</v>
      </c>
      <c r="AQ33" s="1">
        <v>2018</v>
      </c>
      <c r="AR33" s="1" t="s">
        <v>41</v>
      </c>
      <c r="AS33" s="1" t="s">
        <v>330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27" t="s">
        <v>330</v>
      </c>
    </row>
    <row r="34" spans="17:52" x14ac:dyDescent="0.25">
      <c r="Q34" s="262" t="str">
        <f t="shared" si="0"/>
        <v>Crazy 8GY C8 17 SPR</v>
      </c>
      <c r="R34" s="35" t="str">
        <f t="shared" si="1"/>
        <v>2018Crazy 8Spring</v>
      </c>
      <c r="S34" s="1">
        <v>2018</v>
      </c>
      <c r="T34" s="1" t="s">
        <v>74</v>
      </c>
      <c r="U34" s="1" t="s">
        <v>16</v>
      </c>
      <c r="V34" s="1" t="s">
        <v>104</v>
      </c>
      <c r="W34" s="27" t="s">
        <v>451</v>
      </c>
      <c r="X34" s="30"/>
      <c r="AF34" s="35" t="str">
        <f t="shared" si="2"/>
        <v>OutletOutletUSA33</v>
      </c>
      <c r="AG34" s="1" t="s">
        <v>17</v>
      </c>
      <c r="AH34" s="1" t="s">
        <v>17</v>
      </c>
      <c r="AI34" s="1" t="s">
        <v>336</v>
      </c>
      <c r="AJ34" s="1">
        <v>33</v>
      </c>
      <c r="AK34" s="27">
        <v>0.6</v>
      </c>
      <c r="AM34" s="262" t="str">
        <f t="shared" si="3"/>
        <v>Janie &amp; JackUSARetailJJ 18 JULY SB2</v>
      </c>
      <c r="AN34" s="1" t="s">
        <v>38</v>
      </c>
      <c r="AO34" s="1" t="s">
        <v>5</v>
      </c>
      <c r="AP34" s="1" t="s">
        <v>336</v>
      </c>
      <c r="AQ34" s="1">
        <v>2018</v>
      </c>
      <c r="AR34" s="1" t="s">
        <v>41</v>
      </c>
      <c r="AS34" s="1" t="s">
        <v>197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27" t="s">
        <v>198</v>
      </c>
    </row>
    <row r="35" spans="17:52" x14ac:dyDescent="0.25">
      <c r="Q35" s="262" t="str">
        <f t="shared" si="0"/>
        <v>Crazy 8GY C8 17 SPR DOORBUSTER</v>
      </c>
      <c r="R35" s="35" t="str">
        <f t="shared" si="1"/>
        <v>2018Crazy 8Spring</v>
      </c>
      <c r="S35" s="1">
        <v>2018</v>
      </c>
      <c r="T35" s="1" t="s">
        <v>74</v>
      </c>
      <c r="U35" s="1" t="s">
        <v>16</v>
      </c>
      <c r="V35" s="1" t="s">
        <v>110</v>
      </c>
      <c r="W35" s="27"/>
      <c r="X35" s="30"/>
      <c r="AF35" s="35" t="str">
        <f t="shared" si="2"/>
        <v>OutletOutletUSA34</v>
      </c>
      <c r="AG35" s="1" t="s">
        <v>17</v>
      </c>
      <c r="AH35" s="1" t="s">
        <v>17</v>
      </c>
      <c r="AI35" s="1" t="s">
        <v>336</v>
      </c>
      <c r="AJ35" s="1">
        <v>34</v>
      </c>
      <c r="AK35" s="27">
        <v>0.6</v>
      </c>
      <c r="AM35" s="262" t="str">
        <f t="shared" si="3"/>
        <v>Janie &amp; JackUSARetailJJ 18 AUG FALL 0</v>
      </c>
      <c r="AN35" s="1" t="s">
        <v>38</v>
      </c>
      <c r="AO35" s="1" t="s">
        <v>5</v>
      </c>
      <c r="AP35" s="1" t="s">
        <v>336</v>
      </c>
      <c r="AQ35" s="1">
        <v>2018</v>
      </c>
      <c r="AR35" s="1" t="s">
        <v>39</v>
      </c>
      <c r="AS35" s="1" t="s">
        <v>179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27" t="s">
        <v>180</v>
      </c>
    </row>
    <row r="36" spans="17:52" x14ac:dyDescent="0.25">
      <c r="Q36" s="262" t="str">
        <f t="shared" si="0"/>
        <v>Crazy 8GY C8 17 SPRING</v>
      </c>
      <c r="R36" s="35" t="str">
        <f t="shared" si="1"/>
        <v>2018Crazy 8Spring</v>
      </c>
      <c r="S36" s="1">
        <v>2018</v>
      </c>
      <c r="T36" s="1" t="s">
        <v>74</v>
      </c>
      <c r="U36" s="1" t="s">
        <v>16</v>
      </c>
      <c r="V36" s="1" t="s">
        <v>112</v>
      </c>
      <c r="W36" s="27" t="s">
        <v>452</v>
      </c>
      <c r="X36" s="30"/>
      <c r="AF36" s="35" t="str">
        <f t="shared" si="2"/>
        <v>OutletOutletUSA35</v>
      </c>
      <c r="AG36" s="1" t="s">
        <v>17</v>
      </c>
      <c r="AH36" s="1" t="s">
        <v>17</v>
      </c>
      <c r="AI36" s="1" t="s">
        <v>336</v>
      </c>
      <c r="AJ36" s="1">
        <v>35</v>
      </c>
      <c r="AK36" s="27">
        <v>0.6</v>
      </c>
      <c r="AM36" s="262" t="str">
        <f t="shared" si="3"/>
        <v>Janie &amp; JackUSARetailJJ 18 LAY SIGNATURE 1</v>
      </c>
      <c r="AN36" s="1" t="s">
        <v>38</v>
      </c>
      <c r="AO36" s="1" t="s">
        <v>5</v>
      </c>
      <c r="AP36" s="1" t="s">
        <v>336</v>
      </c>
      <c r="AQ36" s="1">
        <v>2018</v>
      </c>
      <c r="AR36" s="1" t="s">
        <v>16</v>
      </c>
      <c r="AS36" s="1" t="s">
        <v>194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27" t="s">
        <v>591</v>
      </c>
    </row>
    <row r="37" spans="17:52" x14ac:dyDescent="0.25">
      <c r="Q37" s="262" t="str">
        <f t="shared" si="0"/>
        <v>Crazy 8GY C8 17 SPRING BREAK</v>
      </c>
      <c r="R37" s="35" t="str">
        <f t="shared" si="1"/>
        <v>2018Crazy 8Spring</v>
      </c>
      <c r="S37" s="1">
        <v>2018</v>
      </c>
      <c r="T37" s="1" t="s">
        <v>74</v>
      </c>
      <c r="U37" s="1" t="s">
        <v>16</v>
      </c>
      <c r="V37" s="1" t="s">
        <v>118</v>
      </c>
      <c r="W37" s="27" t="s">
        <v>453</v>
      </c>
      <c r="X37" s="30"/>
      <c r="AF37" s="35" t="str">
        <f t="shared" si="2"/>
        <v>OutletOutletUSA36</v>
      </c>
      <c r="AG37" s="1" t="s">
        <v>17</v>
      </c>
      <c r="AH37" s="1" t="s">
        <v>17</v>
      </c>
      <c r="AI37" s="1" t="s">
        <v>336</v>
      </c>
      <c r="AJ37" s="1">
        <v>36</v>
      </c>
      <c r="AK37" s="27">
        <v>0.6</v>
      </c>
      <c r="AM37" s="262" t="str">
        <f t="shared" si="3"/>
        <v>Janie &amp; JackUSARetailJJ 18 DEC SWIM</v>
      </c>
      <c r="AN37" s="1" t="s">
        <v>38</v>
      </c>
      <c r="AO37" s="1" t="s">
        <v>5</v>
      </c>
      <c r="AP37" s="1" t="s">
        <v>336</v>
      </c>
      <c r="AQ37" s="1">
        <v>2018</v>
      </c>
      <c r="AR37" s="1" t="s">
        <v>16</v>
      </c>
      <c r="AS37" s="1" t="s">
        <v>182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27" t="s">
        <v>183</v>
      </c>
    </row>
    <row r="38" spans="17:52" x14ac:dyDescent="0.25">
      <c r="Q38" s="262" t="str">
        <f t="shared" si="0"/>
        <v>Crazy 8GY C8 17 SPRING CAP</v>
      </c>
      <c r="R38" s="35" t="str">
        <f t="shared" si="1"/>
        <v>2018Crazy 8Spring</v>
      </c>
      <c r="S38" s="1">
        <v>2018</v>
      </c>
      <c r="T38" s="1" t="s">
        <v>74</v>
      </c>
      <c r="U38" s="1" t="s">
        <v>16</v>
      </c>
      <c r="V38" s="1" t="s">
        <v>116</v>
      </c>
      <c r="W38" s="27" t="s">
        <v>454</v>
      </c>
      <c r="X38" s="30"/>
      <c r="AF38" s="35" t="str">
        <f t="shared" si="2"/>
        <v>OutletOutletUSA37</v>
      </c>
      <c r="AG38" s="1" t="s">
        <v>17</v>
      </c>
      <c r="AH38" s="1" t="s">
        <v>17</v>
      </c>
      <c r="AI38" s="1" t="s">
        <v>336</v>
      </c>
      <c r="AJ38" s="1">
        <v>37</v>
      </c>
      <c r="AK38" s="27">
        <v>0.6</v>
      </c>
      <c r="AM38" s="262" t="str">
        <f t="shared" si="3"/>
        <v>Janie &amp; JackUSARetailJJ 18 DEC VDAY</v>
      </c>
      <c r="AN38" s="1" t="s">
        <v>38</v>
      </c>
      <c r="AO38" s="1" t="s">
        <v>5</v>
      </c>
      <c r="AP38" s="1" t="s">
        <v>336</v>
      </c>
      <c r="AQ38" s="1">
        <v>2018</v>
      </c>
      <c r="AR38" s="1" t="s">
        <v>16</v>
      </c>
      <c r="AS38" s="1" t="s">
        <v>204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27" t="s">
        <v>205</v>
      </c>
    </row>
    <row r="39" spans="17:52" x14ac:dyDescent="0.25">
      <c r="Q39" s="262" t="str">
        <f t="shared" si="0"/>
        <v>Crazy 8GY C8 17 SPRING TRANS</v>
      </c>
      <c r="R39" s="35" t="str">
        <f t="shared" si="1"/>
        <v>2018Crazy 8Spring</v>
      </c>
      <c r="S39" s="1">
        <v>2018</v>
      </c>
      <c r="T39" s="1" t="s">
        <v>74</v>
      </c>
      <c r="U39" s="1" t="s">
        <v>16</v>
      </c>
      <c r="V39" s="1" t="s">
        <v>108</v>
      </c>
      <c r="W39" s="27" t="s">
        <v>455</v>
      </c>
      <c r="X39" s="30"/>
      <c r="AF39" s="35" t="str">
        <f t="shared" si="2"/>
        <v>OutletOutletUSA38</v>
      </c>
      <c r="AG39" s="1" t="s">
        <v>17</v>
      </c>
      <c r="AH39" s="1" t="s">
        <v>17</v>
      </c>
      <c r="AI39" s="1" t="s">
        <v>336</v>
      </c>
      <c r="AJ39" s="1">
        <v>38</v>
      </c>
      <c r="AK39" s="27">
        <v>0.6</v>
      </c>
      <c r="AM39" s="262" t="str">
        <f t="shared" si="3"/>
        <v>Janie &amp; JackUSARetailJJ 18 DEC RESORT 2</v>
      </c>
      <c r="AN39" s="1" t="s">
        <v>38</v>
      </c>
      <c r="AO39" s="1" t="s">
        <v>5</v>
      </c>
      <c r="AP39" s="1" t="s">
        <v>336</v>
      </c>
      <c r="AQ39" s="1">
        <v>2018</v>
      </c>
      <c r="AR39" s="1" t="s">
        <v>16</v>
      </c>
      <c r="AS39" s="1" t="s">
        <v>206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27" t="s">
        <v>207</v>
      </c>
    </row>
    <row r="40" spans="17:52" x14ac:dyDescent="0.25">
      <c r="Q40" s="262" t="str">
        <f t="shared" si="0"/>
        <v>Crazy 8GY C8 17 SWIM 1</v>
      </c>
      <c r="R40" s="35" t="str">
        <f t="shared" si="1"/>
        <v>2018Crazy 8Spring</v>
      </c>
      <c r="S40" s="1">
        <v>2018</v>
      </c>
      <c r="T40" s="1" t="s">
        <v>74</v>
      </c>
      <c r="U40" s="1" t="s">
        <v>16</v>
      </c>
      <c r="V40" s="1" t="s">
        <v>114</v>
      </c>
      <c r="W40" s="27" t="s">
        <v>445</v>
      </c>
      <c r="X40" s="30"/>
      <c r="AF40" s="35" t="str">
        <f t="shared" si="2"/>
        <v>OutletOutletUSA39</v>
      </c>
      <c r="AG40" s="1" t="s">
        <v>17</v>
      </c>
      <c r="AH40" s="1" t="s">
        <v>17</v>
      </c>
      <c r="AI40" s="1" t="s">
        <v>336</v>
      </c>
      <c r="AJ40" s="1">
        <v>39</v>
      </c>
      <c r="AK40" s="27">
        <v>0.6</v>
      </c>
      <c r="AM40" s="262" t="str">
        <f t="shared" si="3"/>
        <v>Janie &amp; JackUSARetailJJ 18 JAN SPRING TRANS</v>
      </c>
      <c r="AN40" s="1" t="s">
        <v>38</v>
      </c>
      <c r="AO40" s="1" t="s">
        <v>5</v>
      </c>
      <c r="AP40" s="1" t="s">
        <v>336</v>
      </c>
      <c r="AQ40" s="1">
        <v>2018</v>
      </c>
      <c r="AR40" s="1" t="s">
        <v>16</v>
      </c>
      <c r="AS40" s="1" t="s">
        <v>212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27" t="s">
        <v>213</v>
      </c>
    </row>
    <row r="41" spans="17:52" x14ac:dyDescent="0.25">
      <c r="Q41" s="262" t="str">
        <f t="shared" si="0"/>
        <v>Crazy 8GY C8 17 SWIM 2</v>
      </c>
      <c r="R41" s="35" t="str">
        <f t="shared" si="1"/>
        <v>2018Crazy 8Spring</v>
      </c>
      <c r="S41" s="1">
        <v>2018</v>
      </c>
      <c r="T41" s="1" t="s">
        <v>74</v>
      </c>
      <c r="U41" s="1" t="s">
        <v>16</v>
      </c>
      <c r="V41" s="1" t="s">
        <v>120</v>
      </c>
      <c r="W41" s="27" t="s">
        <v>446</v>
      </c>
      <c r="X41" s="30"/>
      <c r="AF41" s="35" t="str">
        <f t="shared" si="2"/>
        <v>OutletOutletUSA40</v>
      </c>
      <c r="AG41" s="1" t="s">
        <v>17</v>
      </c>
      <c r="AH41" s="1" t="s">
        <v>17</v>
      </c>
      <c r="AI41" s="1" t="s">
        <v>336</v>
      </c>
      <c r="AJ41" s="1">
        <v>40</v>
      </c>
      <c r="AK41" s="27">
        <v>0.7</v>
      </c>
      <c r="AM41" s="262" t="str">
        <f t="shared" si="3"/>
        <v>Janie &amp; JackUSARetailJJ 18 SB1</v>
      </c>
      <c r="AN41" s="1" t="s">
        <v>38</v>
      </c>
      <c r="AO41" s="1" t="s">
        <v>5</v>
      </c>
      <c r="AP41" s="1" t="s">
        <v>336</v>
      </c>
      <c r="AQ41" s="1">
        <v>2018</v>
      </c>
      <c r="AR41" s="1" t="s">
        <v>16</v>
      </c>
      <c r="AS41" s="1" t="s">
        <v>184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27" t="s">
        <v>185</v>
      </c>
    </row>
    <row r="42" spans="17:52" x14ac:dyDescent="0.25">
      <c r="Q42" s="262" t="str">
        <f t="shared" si="0"/>
        <v>Crazy 8GY C8 17 SWIM 3</v>
      </c>
      <c r="R42" s="35" t="str">
        <f t="shared" si="1"/>
        <v>2018Crazy 8Spring</v>
      </c>
      <c r="S42" s="1">
        <v>2018</v>
      </c>
      <c r="T42" s="1" t="s">
        <v>74</v>
      </c>
      <c r="U42" s="1" t="s">
        <v>16</v>
      </c>
      <c r="V42" s="1" t="s">
        <v>126</v>
      </c>
      <c r="W42" s="27" t="s">
        <v>447</v>
      </c>
      <c r="X42" s="30"/>
      <c r="AF42" s="35" t="str">
        <f t="shared" si="2"/>
        <v>OutletOutletUSA41</v>
      </c>
      <c r="AG42" s="1" t="s">
        <v>17</v>
      </c>
      <c r="AH42" s="1" t="s">
        <v>17</v>
      </c>
      <c r="AI42" s="1" t="s">
        <v>336</v>
      </c>
      <c r="AJ42" s="1">
        <v>41</v>
      </c>
      <c r="AK42" s="27">
        <v>0.7</v>
      </c>
      <c r="AM42" s="262" t="str">
        <f t="shared" si="3"/>
        <v>Janie &amp; JackUSARetailJJ 18 SWIM 2</v>
      </c>
      <c r="AN42" s="1" t="s">
        <v>38</v>
      </c>
      <c r="AO42" s="1" t="s">
        <v>5</v>
      </c>
      <c r="AP42" s="1" t="s">
        <v>336</v>
      </c>
      <c r="AQ42" s="1">
        <v>2018</v>
      </c>
      <c r="AR42" s="1" t="s">
        <v>16</v>
      </c>
      <c r="AS42" s="1" t="s">
        <v>186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27" t="s">
        <v>187</v>
      </c>
    </row>
    <row r="43" spans="17:52" x14ac:dyDescent="0.25">
      <c r="Q43" s="262" t="str">
        <f t="shared" si="0"/>
        <v>Crazy 8GY C8 17 VDAY CAP</v>
      </c>
      <c r="R43" s="35" t="str">
        <f t="shared" si="1"/>
        <v>2018Crazy 8Spring</v>
      </c>
      <c r="S43" s="1">
        <v>2018</v>
      </c>
      <c r="T43" s="1" t="s">
        <v>74</v>
      </c>
      <c r="U43" s="1" t="s">
        <v>16</v>
      </c>
      <c r="V43" s="1" t="s">
        <v>106</v>
      </c>
      <c r="W43" s="27" t="s">
        <v>448</v>
      </c>
      <c r="X43" s="30"/>
      <c r="AF43" s="35" t="str">
        <f t="shared" si="2"/>
        <v>OutletOutletUSA42</v>
      </c>
      <c r="AG43" s="1" t="s">
        <v>17</v>
      </c>
      <c r="AH43" s="1" t="s">
        <v>17</v>
      </c>
      <c r="AI43" s="1" t="s">
        <v>336</v>
      </c>
      <c r="AJ43" s="1">
        <v>42</v>
      </c>
      <c r="AK43" s="27">
        <v>0.7</v>
      </c>
      <c r="AM43" s="262" t="str">
        <f t="shared" si="3"/>
        <v>Janie &amp; JackUSARetailJJ 18 JAN SPR GIFTING LAY</v>
      </c>
      <c r="AN43" s="1" t="s">
        <v>38</v>
      </c>
      <c r="AO43" s="1" t="s">
        <v>5</v>
      </c>
      <c r="AP43" s="1" t="s">
        <v>336</v>
      </c>
      <c r="AQ43" s="1">
        <v>2018</v>
      </c>
      <c r="AR43" s="1" t="s">
        <v>16</v>
      </c>
      <c r="AS43" s="1" t="s">
        <v>216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27" t="s">
        <v>217</v>
      </c>
    </row>
    <row r="44" spans="17:52" x14ac:dyDescent="0.25">
      <c r="Q44" s="262" t="str">
        <f t="shared" si="0"/>
        <v>Crazy 8GY C8 18 EASTER CAP</v>
      </c>
      <c r="R44" s="35" t="str">
        <f t="shared" si="1"/>
        <v>2018Crazy 8Spring</v>
      </c>
      <c r="S44" s="1">
        <v>2018</v>
      </c>
      <c r="T44" s="1" t="s">
        <v>74</v>
      </c>
      <c r="U44" s="1" t="s">
        <v>16</v>
      </c>
      <c r="V44" s="1" t="s">
        <v>115</v>
      </c>
      <c r="W44" s="27" t="s">
        <v>116</v>
      </c>
      <c r="X44" s="30"/>
      <c r="AF44" s="35" t="str">
        <f t="shared" si="2"/>
        <v>OutletOutletUSA43</v>
      </c>
      <c r="AG44" s="1" t="s">
        <v>17</v>
      </c>
      <c r="AH44" s="1" t="s">
        <v>17</v>
      </c>
      <c r="AI44" s="1" t="s">
        <v>336</v>
      </c>
      <c r="AJ44" s="1">
        <v>43</v>
      </c>
      <c r="AK44" s="27">
        <v>0.7</v>
      </c>
      <c r="AM44" s="262" t="str">
        <f t="shared" si="3"/>
        <v>Janie &amp; JackUSARetailJJ 18 JAN SPRING 1</v>
      </c>
      <c r="AN44" s="1" t="s">
        <v>38</v>
      </c>
      <c r="AO44" s="1" t="s">
        <v>5</v>
      </c>
      <c r="AP44" s="1" t="s">
        <v>336</v>
      </c>
      <c r="AQ44" s="1">
        <v>2018</v>
      </c>
      <c r="AR44" s="1" t="s">
        <v>16</v>
      </c>
      <c r="AS44" s="1" t="s">
        <v>202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27" t="s">
        <v>203</v>
      </c>
    </row>
    <row r="45" spans="17:52" x14ac:dyDescent="0.25">
      <c r="Q45" s="262" t="str">
        <f t="shared" si="0"/>
        <v>Crazy 8GY C8 18 EASTER REFRESH</v>
      </c>
      <c r="R45" s="35" t="str">
        <f t="shared" si="1"/>
        <v>2018Crazy 8Spring</v>
      </c>
      <c r="S45" s="1">
        <v>2018</v>
      </c>
      <c r="T45" s="1" t="s">
        <v>74</v>
      </c>
      <c r="U45" s="1" t="s">
        <v>16</v>
      </c>
      <c r="V45" s="1" t="s">
        <v>121</v>
      </c>
      <c r="W45" s="27" t="s">
        <v>122</v>
      </c>
      <c r="X45" s="30"/>
      <c r="AF45" s="35" t="str">
        <f t="shared" si="2"/>
        <v>OutletOutletUSA44</v>
      </c>
      <c r="AG45" s="1" t="s">
        <v>17</v>
      </c>
      <c r="AH45" s="1" t="s">
        <v>17</v>
      </c>
      <c r="AI45" s="1" t="s">
        <v>336</v>
      </c>
      <c r="AJ45" s="1">
        <v>44</v>
      </c>
      <c r="AK45" s="27">
        <v>0.7</v>
      </c>
      <c r="AM45" s="262" t="str">
        <f t="shared" si="3"/>
        <v>Janie &amp; JackUSARetailJJ 18 JAN SO SB1</v>
      </c>
      <c r="AN45" s="1" t="s">
        <v>38</v>
      </c>
      <c r="AO45" s="1" t="s">
        <v>5</v>
      </c>
      <c r="AP45" s="1" t="s">
        <v>336</v>
      </c>
      <c r="AQ45" s="1">
        <v>2018</v>
      </c>
      <c r="AR45" s="1" t="s">
        <v>16</v>
      </c>
      <c r="AS45" s="1" t="s">
        <v>188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27" t="s">
        <v>189</v>
      </c>
    </row>
    <row r="46" spans="17:52" x14ac:dyDescent="0.25">
      <c r="Q46" s="262" t="str">
        <f t="shared" si="0"/>
        <v>Crazy 8GY C8 18 PRE SUMMER</v>
      </c>
      <c r="R46" s="35" t="str">
        <f t="shared" si="1"/>
        <v>2018Crazy 8Spring</v>
      </c>
      <c r="S46" s="1">
        <v>2018</v>
      </c>
      <c r="T46" s="1" t="s">
        <v>74</v>
      </c>
      <c r="U46" s="1" t="s">
        <v>16</v>
      </c>
      <c r="V46" s="1" t="s">
        <v>123</v>
      </c>
      <c r="W46" s="27" t="s">
        <v>124</v>
      </c>
      <c r="X46" s="30"/>
      <c r="AF46" s="35" t="str">
        <f t="shared" si="2"/>
        <v>OutletOutletUSA45</v>
      </c>
      <c r="AG46" s="1" t="s">
        <v>17</v>
      </c>
      <c r="AH46" s="1" t="s">
        <v>17</v>
      </c>
      <c r="AI46" s="1" t="s">
        <v>336</v>
      </c>
      <c r="AJ46" s="1">
        <v>45</v>
      </c>
      <c r="AK46" s="27">
        <v>0.7</v>
      </c>
      <c r="AM46" s="262" t="str">
        <f t="shared" si="3"/>
        <v>Janie &amp; JackUSARetailJJ 18 FEB EASTER 1</v>
      </c>
      <c r="AN46" s="1" t="s">
        <v>38</v>
      </c>
      <c r="AO46" s="1" t="s">
        <v>5</v>
      </c>
      <c r="AP46" s="1" t="s">
        <v>336</v>
      </c>
      <c r="AQ46" s="1">
        <v>2018</v>
      </c>
      <c r="AR46" s="1" t="s">
        <v>16</v>
      </c>
      <c r="AS46" s="1" t="s">
        <v>208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27" t="s">
        <v>209</v>
      </c>
    </row>
    <row r="47" spans="17:52" x14ac:dyDescent="0.25">
      <c r="Q47" s="262" t="str">
        <f t="shared" si="0"/>
        <v>Crazy 8GY C8 18 SPR</v>
      </c>
      <c r="R47" s="35" t="str">
        <f t="shared" si="1"/>
        <v>2018Crazy 8Spring</v>
      </c>
      <c r="S47" s="1">
        <v>2018</v>
      </c>
      <c r="T47" s="1" t="s">
        <v>74</v>
      </c>
      <c r="U47" s="1" t="s">
        <v>16</v>
      </c>
      <c r="V47" s="1" t="s">
        <v>103</v>
      </c>
      <c r="W47" s="27" t="s">
        <v>104</v>
      </c>
      <c r="X47" s="30"/>
      <c r="AF47" s="35" t="str">
        <f t="shared" si="2"/>
        <v>OutletOutletUSA46</v>
      </c>
      <c r="AG47" s="1" t="s">
        <v>17</v>
      </c>
      <c r="AH47" s="1" t="s">
        <v>17</v>
      </c>
      <c r="AI47" s="1" t="s">
        <v>336</v>
      </c>
      <c r="AJ47" s="1">
        <v>46</v>
      </c>
      <c r="AK47" s="27">
        <v>0.7</v>
      </c>
      <c r="AM47" s="262" t="str">
        <f t="shared" si="3"/>
        <v>Janie &amp; JackUSARetailJJ 18 FEB EASTER GIFT LAY</v>
      </c>
      <c r="AN47" s="1" t="s">
        <v>38</v>
      </c>
      <c r="AO47" s="1" t="s">
        <v>5</v>
      </c>
      <c r="AP47" s="1" t="s">
        <v>336</v>
      </c>
      <c r="AQ47" s="1">
        <v>2018</v>
      </c>
      <c r="AR47" s="1" t="s">
        <v>16</v>
      </c>
      <c r="AS47" s="1" t="s">
        <v>210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27" t="s">
        <v>211</v>
      </c>
    </row>
    <row r="48" spans="17:52" x14ac:dyDescent="0.25">
      <c r="Q48" s="262" t="str">
        <f t="shared" si="0"/>
        <v>Crazy 8GY C8 18 SPR DOORBUSTER</v>
      </c>
      <c r="R48" s="35" t="str">
        <f t="shared" si="1"/>
        <v>2018Crazy 8Spring</v>
      </c>
      <c r="S48" s="1">
        <v>2018</v>
      </c>
      <c r="T48" s="1" t="s">
        <v>74</v>
      </c>
      <c r="U48" s="1" t="s">
        <v>16</v>
      </c>
      <c r="V48" s="1" t="s">
        <v>109</v>
      </c>
      <c r="W48" s="27" t="s">
        <v>110</v>
      </c>
      <c r="X48" s="30"/>
      <c r="AF48" s="35" t="str">
        <f t="shared" si="2"/>
        <v>OutletOutletUSA47</v>
      </c>
      <c r="AG48" s="1" t="s">
        <v>17</v>
      </c>
      <c r="AH48" s="1" t="s">
        <v>17</v>
      </c>
      <c r="AI48" s="1" t="s">
        <v>336</v>
      </c>
      <c r="AJ48" s="1">
        <v>47</v>
      </c>
      <c r="AK48" s="27">
        <v>0.7</v>
      </c>
      <c r="AM48" s="262" t="str">
        <f t="shared" si="3"/>
        <v>Janie &amp; JackUSARetailJJ 18 MAR EASTER 2</v>
      </c>
      <c r="AN48" s="1" t="s">
        <v>38</v>
      </c>
      <c r="AO48" s="1" t="s">
        <v>5</v>
      </c>
      <c r="AP48" s="1" t="s">
        <v>336</v>
      </c>
      <c r="AQ48" s="1">
        <v>2018</v>
      </c>
      <c r="AR48" s="1" t="s">
        <v>16</v>
      </c>
      <c r="AS48" s="1" t="s">
        <v>214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27" t="s">
        <v>215</v>
      </c>
    </row>
    <row r="49" spans="17:52" x14ac:dyDescent="0.25">
      <c r="Q49" s="262" t="str">
        <f t="shared" si="0"/>
        <v>Crazy 8GY C8 18 SPRING</v>
      </c>
      <c r="R49" s="35" t="str">
        <f t="shared" si="1"/>
        <v>2018Crazy 8Spring</v>
      </c>
      <c r="S49" s="1">
        <v>2018</v>
      </c>
      <c r="T49" s="1" t="s">
        <v>74</v>
      </c>
      <c r="U49" s="1" t="s">
        <v>16</v>
      </c>
      <c r="V49" s="1" t="s">
        <v>111</v>
      </c>
      <c r="W49" s="27" t="s">
        <v>112</v>
      </c>
      <c r="X49" s="30"/>
      <c r="AF49" s="35" t="str">
        <f t="shared" si="2"/>
        <v>OutletOutletUSA48</v>
      </c>
      <c r="AG49" s="1" t="s">
        <v>17</v>
      </c>
      <c r="AH49" s="1" t="s">
        <v>17</v>
      </c>
      <c r="AI49" s="1" t="s">
        <v>336</v>
      </c>
      <c r="AJ49" s="1">
        <v>48</v>
      </c>
      <c r="AK49" s="27">
        <v>0.7</v>
      </c>
      <c r="AM49" s="262" t="str">
        <f t="shared" si="3"/>
        <v>Janie &amp; JackUSARetailJJ 18 SPR SO REFRESH</v>
      </c>
      <c r="AN49" s="1" t="s">
        <v>38</v>
      </c>
      <c r="AO49" s="1" t="s">
        <v>5</v>
      </c>
      <c r="AP49" s="1" t="s">
        <v>336</v>
      </c>
      <c r="AQ49" s="1">
        <v>2018</v>
      </c>
      <c r="AR49" s="1" t="s">
        <v>16</v>
      </c>
      <c r="AS49" s="1" t="s">
        <v>190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27" t="s">
        <v>191</v>
      </c>
    </row>
    <row r="50" spans="17:52" x14ac:dyDescent="0.25">
      <c r="Q50" s="262" t="str">
        <f t="shared" si="0"/>
        <v>Crazy 8GY C8 18 SPRING BREAK</v>
      </c>
      <c r="R50" s="35" t="str">
        <f t="shared" si="1"/>
        <v>2018Crazy 8Spring</v>
      </c>
      <c r="S50" s="1">
        <v>2018</v>
      </c>
      <c r="T50" s="1" t="s">
        <v>74</v>
      </c>
      <c r="U50" s="1" t="s">
        <v>16</v>
      </c>
      <c r="V50" s="1" t="s">
        <v>117</v>
      </c>
      <c r="W50" s="27" t="s">
        <v>118</v>
      </c>
      <c r="X50" s="30"/>
      <c r="AF50" s="35" t="str">
        <f t="shared" si="2"/>
        <v>OutletOutletUSA49</v>
      </c>
      <c r="AG50" s="1" t="s">
        <v>17</v>
      </c>
      <c r="AH50" s="1" t="s">
        <v>17</v>
      </c>
      <c r="AI50" s="1" t="s">
        <v>336</v>
      </c>
      <c r="AJ50" s="1">
        <v>49</v>
      </c>
      <c r="AK50" s="27">
        <v>0.8</v>
      </c>
      <c r="AM50" s="262" t="str">
        <f t="shared" si="3"/>
        <v>Janie &amp; JackUSARetailJJ 18 MAR SPR 2</v>
      </c>
      <c r="AN50" s="1" t="s">
        <v>38</v>
      </c>
      <c r="AO50" s="1" t="s">
        <v>5</v>
      </c>
      <c r="AP50" s="1" t="s">
        <v>336</v>
      </c>
      <c r="AQ50" s="1">
        <v>2018</v>
      </c>
      <c r="AR50" s="1" t="s">
        <v>16</v>
      </c>
      <c r="AS50" s="1" t="s">
        <v>218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27" t="s">
        <v>219</v>
      </c>
    </row>
    <row r="51" spans="17:52" x14ac:dyDescent="0.25">
      <c r="Q51" s="262" t="str">
        <f t="shared" si="0"/>
        <v>Crazy 8GY C8 18 SPRING TRANS</v>
      </c>
      <c r="R51" s="35" t="str">
        <f t="shared" si="1"/>
        <v>2018Crazy 8Spring</v>
      </c>
      <c r="S51" s="1">
        <v>2018</v>
      </c>
      <c r="T51" s="1" t="s">
        <v>74</v>
      </c>
      <c r="U51" s="1" t="s">
        <v>16</v>
      </c>
      <c r="V51" s="1" t="s">
        <v>107</v>
      </c>
      <c r="W51" s="27" t="s">
        <v>108</v>
      </c>
      <c r="X51" s="30"/>
      <c r="AF51" s="35" t="str">
        <f t="shared" si="2"/>
        <v>OutletOutletUSA50</v>
      </c>
      <c r="AG51" s="1" t="s">
        <v>17</v>
      </c>
      <c r="AH51" s="1" t="s">
        <v>17</v>
      </c>
      <c r="AI51" s="1" t="s">
        <v>336</v>
      </c>
      <c r="AJ51" s="1">
        <v>50</v>
      </c>
      <c r="AK51" s="27">
        <v>0.8</v>
      </c>
      <c r="AM51" s="262" t="str">
        <f t="shared" si="3"/>
        <v>Janie &amp; JackUSARetailJJ 18 MAR LAY SWIM</v>
      </c>
      <c r="AN51" s="1" t="s">
        <v>38</v>
      </c>
      <c r="AO51" s="1" t="s">
        <v>5</v>
      </c>
      <c r="AP51" s="1" t="s">
        <v>336</v>
      </c>
      <c r="AQ51" s="1">
        <v>2018</v>
      </c>
      <c r="AR51" s="1" t="s">
        <v>16</v>
      </c>
      <c r="AS51" s="1" t="s">
        <v>195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27" t="s">
        <v>196</v>
      </c>
    </row>
    <row r="52" spans="17:52" x14ac:dyDescent="0.25">
      <c r="Q52" s="262" t="str">
        <f t="shared" si="0"/>
        <v>Crazy 8GY C8 18 SWIM 1</v>
      </c>
      <c r="R52" s="35" t="str">
        <f t="shared" si="1"/>
        <v>2018Crazy 8Spring</v>
      </c>
      <c r="S52" s="1">
        <v>2018</v>
      </c>
      <c r="T52" s="1" t="s">
        <v>74</v>
      </c>
      <c r="U52" s="1" t="s">
        <v>16</v>
      </c>
      <c r="V52" s="1" t="s">
        <v>113</v>
      </c>
      <c r="W52" s="27" t="s">
        <v>114</v>
      </c>
      <c r="X52" s="30"/>
      <c r="AF52" s="35" t="str">
        <f t="shared" si="2"/>
        <v>OutletOutletUSA51</v>
      </c>
      <c r="AG52" s="1" t="s">
        <v>17</v>
      </c>
      <c r="AH52" s="1" t="s">
        <v>17</v>
      </c>
      <c r="AI52" s="1" t="s">
        <v>336</v>
      </c>
      <c r="AJ52" s="1">
        <v>51</v>
      </c>
      <c r="AK52" s="27">
        <v>0.8</v>
      </c>
      <c r="AM52" s="262" t="str">
        <f t="shared" si="3"/>
        <v>Janie &amp; JackUSARetailJJ 18 FEB SPRING LIMITED EDITION</v>
      </c>
      <c r="AN52" s="1" t="s">
        <v>38</v>
      </c>
      <c r="AO52" s="1" t="s">
        <v>5</v>
      </c>
      <c r="AP52" s="1" t="s">
        <v>336</v>
      </c>
      <c r="AQ52" s="1">
        <v>2018</v>
      </c>
      <c r="AR52" s="1" t="s">
        <v>16</v>
      </c>
      <c r="AS52" s="1" t="s">
        <v>220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27" t="s">
        <v>591</v>
      </c>
    </row>
    <row r="53" spans="17:52" x14ac:dyDescent="0.25">
      <c r="Q53" s="262" t="str">
        <f t="shared" si="0"/>
        <v>Crazy 8GY C8 18 SWIM 2</v>
      </c>
      <c r="R53" s="35" t="str">
        <f t="shared" si="1"/>
        <v>2018Crazy 8Spring</v>
      </c>
      <c r="S53" s="1">
        <v>2018</v>
      </c>
      <c r="T53" s="1" t="s">
        <v>74</v>
      </c>
      <c r="U53" s="1" t="s">
        <v>16</v>
      </c>
      <c r="V53" s="1" t="s">
        <v>119</v>
      </c>
      <c r="W53" s="27" t="s">
        <v>120</v>
      </c>
      <c r="X53" s="30"/>
      <c r="AF53" s="35" t="str">
        <f t="shared" si="2"/>
        <v>OutletOutletUSA52</v>
      </c>
      <c r="AG53" s="1" t="s">
        <v>17</v>
      </c>
      <c r="AH53" s="1" t="s">
        <v>17</v>
      </c>
      <c r="AI53" s="1" t="s">
        <v>336</v>
      </c>
      <c r="AJ53" s="1">
        <v>52</v>
      </c>
      <c r="AK53" s="27">
        <v>0.8</v>
      </c>
      <c r="AM53" s="262" t="str">
        <f t="shared" si="3"/>
        <v>Janie &amp; JackUSARetailJJ 18 MAR SUMMER 0</v>
      </c>
      <c r="AN53" s="1" t="s">
        <v>38</v>
      </c>
      <c r="AO53" s="1" t="s">
        <v>5</v>
      </c>
      <c r="AP53" s="1" t="s">
        <v>336</v>
      </c>
      <c r="AQ53" s="1">
        <v>2018</v>
      </c>
      <c r="AR53" s="1" t="s">
        <v>18</v>
      </c>
      <c r="AS53" s="1" t="s">
        <v>222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27" t="s">
        <v>223</v>
      </c>
    </row>
    <row r="54" spans="17:52" x14ac:dyDescent="0.25">
      <c r="Q54" s="262" t="str">
        <f t="shared" si="0"/>
        <v>Crazy 8GY C8 18 SWIM 3</v>
      </c>
      <c r="R54" s="35" t="str">
        <f t="shared" si="1"/>
        <v>2018Crazy 8Spring</v>
      </c>
      <c r="S54" s="1">
        <v>2018</v>
      </c>
      <c r="T54" s="1" t="s">
        <v>74</v>
      </c>
      <c r="U54" s="1" t="s">
        <v>16</v>
      </c>
      <c r="V54" s="1" t="s">
        <v>125</v>
      </c>
      <c r="W54" s="27" t="s">
        <v>126</v>
      </c>
      <c r="X54" s="30"/>
      <c r="AF54" s="35" t="str">
        <f t="shared" si="2"/>
        <v>OutletOutletUSA53</v>
      </c>
      <c r="AG54" s="1" t="s">
        <v>17</v>
      </c>
      <c r="AH54" s="1" t="s">
        <v>17</v>
      </c>
      <c r="AI54" s="1" t="s">
        <v>336</v>
      </c>
      <c r="AJ54" s="1">
        <v>53</v>
      </c>
      <c r="AK54" s="27">
        <v>0.8</v>
      </c>
      <c r="AM54" s="262" t="str">
        <f t="shared" si="3"/>
        <v>Janie &amp; JackUSARetailJJ 18 APR SMR 1</v>
      </c>
      <c r="AN54" s="1" t="s">
        <v>38</v>
      </c>
      <c r="AO54" s="1" t="s">
        <v>5</v>
      </c>
      <c r="AP54" s="1" t="s">
        <v>336</v>
      </c>
      <c r="AQ54" s="1">
        <v>2018</v>
      </c>
      <c r="AR54" s="1" t="s">
        <v>18</v>
      </c>
      <c r="AS54" s="1" t="s">
        <v>224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27" t="s">
        <v>225</v>
      </c>
    </row>
    <row r="55" spans="17:52" x14ac:dyDescent="0.25">
      <c r="Q55" s="262" t="str">
        <f t="shared" si="0"/>
        <v>Crazy 8GY C8 18 VDAY CAP</v>
      </c>
      <c r="R55" s="35" t="str">
        <f t="shared" si="1"/>
        <v>2018Crazy 8Spring</v>
      </c>
      <c r="S55" s="1">
        <v>2018</v>
      </c>
      <c r="T55" s="1" t="s">
        <v>74</v>
      </c>
      <c r="U55" s="1" t="s">
        <v>16</v>
      </c>
      <c r="V55" s="1" t="s">
        <v>105</v>
      </c>
      <c r="W55" s="27" t="s">
        <v>106</v>
      </c>
      <c r="X55" s="30"/>
      <c r="AF55" s="35" t="str">
        <f t="shared" si="2"/>
        <v>Janie &amp; JackRetailUSA1</v>
      </c>
      <c r="AG55" s="1" t="s">
        <v>38</v>
      </c>
      <c r="AH55" s="1" t="s">
        <v>5</v>
      </c>
      <c r="AI55" s="1" t="s">
        <v>336</v>
      </c>
      <c r="AJ55" s="1">
        <v>1</v>
      </c>
      <c r="AK55" s="27">
        <v>0.2</v>
      </c>
      <c r="AM55" s="262" t="str">
        <f t="shared" si="3"/>
        <v>Janie &amp; JackUSARetailJJ 18 SMR BASICS</v>
      </c>
      <c r="AN55" s="1" t="s">
        <v>38</v>
      </c>
      <c r="AO55" s="1" t="s">
        <v>5</v>
      </c>
      <c r="AP55" s="1" t="s">
        <v>336</v>
      </c>
      <c r="AQ55" s="1">
        <v>2018</v>
      </c>
      <c r="AR55" s="1" t="s">
        <v>18</v>
      </c>
      <c r="AS55" s="1" t="s">
        <v>192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27" t="s">
        <v>193</v>
      </c>
    </row>
    <row r="56" spans="17:52" x14ac:dyDescent="0.25">
      <c r="Q56" s="262" t="str">
        <f t="shared" si="0"/>
        <v>Crazy 8GY C8 17 HIGH SUMMER</v>
      </c>
      <c r="R56" s="35" t="str">
        <f t="shared" si="1"/>
        <v>2018Crazy 8Summer</v>
      </c>
      <c r="S56" s="1">
        <v>2018</v>
      </c>
      <c r="T56" s="1" t="s">
        <v>74</v>
      </c>
      <c r="U56" s="1" t="s">
        <v>18</v>
      </c>
      <c r="V56" s="1" t="s">
        <v>140</v>
      </c>
      <c r="W56" s="27" t="s">
        <v>456</v>
      </c>
      <c r="X56" s="30"/>
      <c r="AF56" s="35" t="str">
        <f t="shared" si="2"/>
        <v>Janie &amp; JackRetailUSA2</v>
      </c>
      <c r="AG56" s="1" t="s">
        <v>38</v>
      </c>
      <c r="AH56" s="1" t="s">
        <v>5</v>
      </c>
      <c r="AI56" s="1" t="s">
        <v>336</v>
      </c>
      <c r="AJ56" s="1">
        <v>2</v>
      </c>
      <c r="AK56" s="27">
        <v>0.6</v>
      </c>
      <c r="AM56" s="262" t="str">
        <f t="shared" si="3"/>
        <v>Janie &amp; JackUSARetailJJ 18 MAR JJ SPORT</v>
      </c>
      <c r="AN56" s="1" t="s">
        <v>38</v>
      </c>
      <c r="AO56" s="1" t="s">
        <v>5</v>
      </c>
      <c r="AP56" s="1" t="s">
        <v>336</v>
      </c>
      <c r="AQ56" s="1">
        <v>2018</v>
      </c>
      <c r="AR56" s="1" t="s">
        <v>18</v>
      </c>
      <c r="AS56" s="1" t="s">
        <v>221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27" t="s">
        <v>591</v>
      </c>
    </row>
    <row r="57" spans="17:52" x14ac:dyDescent="0.25">
      <c r="Q57" s="262" t="str">
        <f t="shared" si="0"/>
        <v>Crazy 8GY C8 17 JULY 4TH CAP</v>
      </c>
      <c r="R57" s="35" t="str">
        <f t="shared" si="1"/>
        <v>2018Crazy 8Summer</v>
      </c>
      <c r="S57" s="1">
        <v>2018</v>
      </c>
      <c r="T57" s="1" t="s">
        <v>74</v>
      </c>
      <c r="U57" s="1" t="s">
        <v>18</v>
      </c>
      <c r="V57" s="1" t="s">
        <v>136</v>
      </c>
      <c r="W57" s="27" t="s">
        <v>457</v>
      </c>
      <c r="X57" s="30"/>
      <c r="AF57" s="35" t="str">
        <f t="shared" si="2"/>
        <v>Janie &amp; JackRetailUSA3</v>
      </c>
      <c r="AG57" s="1" t="s">
        <v>38</v>
      </c>
      <c r="AH57" s="1" t="s">
        <v>5</v>
      </c>
      <c r="AI57" s="1" t="s">
        <v>336</v>
      </c>
      <c r="AJ57" s="1">
        <v>3</v>
      </c>
      <c r="AK57" s="27">
        <v>0.7</v>
      </c>
      <c r="AM57" s="262" t="str">
        <f t="shared" si="3"/>
        <v>Janie &amp; JackUSARetailJJ 18 MAY SUMMER 2</v>
      </c>
      <c r="AN57" s="1" t="s">
        <v>38</v>
      </c>
      <c r="AO57" s="1" t="s">
        <v>5</v>
      </c>
      <c r="AP57" s="1" t="s">
        <v>336</v>
      </c>
      <c r="AQ57" s="1">
        <v>2018</v>
      </c>
      <c r="AR57" s="1" t="s">
        <v>18</v>
      </c>
      <c r="AS57" s="1" t="s">
        <v>226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27" t="s">
        <v>227</v>
      </c>
    </row>
    <row r="58" spans="17:52" x14ac:dyDescent="0.25">
      <c r="Q58" s="262" t="str">
        <f t="shared" si="0"/>
        <v>Crazy 8GY C8 17 SMR</v>
      </c>
      <c r="R58" s="35" t="str">
        <f t="shared" si="1"/>
        <v>2018Crazy 8Summer</v>
      </c>
      <c r="S58" s="1">
        <v>2018</v>
      </c>
      <c r="T58" s="1" t="s">
        <v>74</v>
      </c>
      <c r="U58" s="1" t="s">
        <v>18</v>
      </c>
      <c r="V58" s="1" t="s">
        <v>130</v>
      </c>
      <c r="W58" s="27" t="s">
        <v>458</v>
      </c>
      <c r="X58" s="30"/>
      <c r="AF58" s="35" t="str">
        <f t="shared" si="2"/>
        <v>Janie &amp; JackRetailUSA4</v>
      </c>
      <c r="AG58" s="1" t="s">
        <v>38</v>
      </c>
      <c r="AH58" s="1" t="s">
        <v>5</v>
      </c>
      <c r="AI58" s="1" t="s">
        <v>336</v>
      </c>
      <c r="AJ58" s="1">
        <v>4</v>
      </c>
      <c r="AK58" s="27">
        <v>0.17</v>
      </c>
      <c r="AM58" s="262" t="str">
        <f t="shared" si="3"/>
        <v>Janie &amp; JackUSARetailJJ 18 MAY 4TH OF JULY</v>
      </c>
      <c r="AN58" s="1" t="s">
        <v>38</v>
      </c>
      <c r="AO58" s="1" t="s">
        <v>5</v>
      </c>
      <c r="AP58" s="1" t="s">
        <v>336</v>
      </c>
      <c r="AQ58" s="1">
        <v>2018</v>
      </c>
      <c r="AR58" s="1" t="s">
        <v>18</v>
      </c>
      <c r="AS58" s="1" t="s">
        <v>228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27" t="s">
        <v>229</v>
      </c>
    </row>
    <row r="59" spans="17:52" x14ac:dyDescent="0.25">
      <c r="Q59" s="262" t="str">
        <f t="shared" si="0"/>
        <v>Crazy 8GY C8 17 SMR DOORBUSTER</v>
      </c>
      <c r="R59" s="35" t="str">
        <f t="shared" si="1"/>
        <v>2018Crazy 8Summer</v>
      </c>
      <c r="S59" s="1">
        <v>2018</v>
      </c>
      <c r="T59" s="1" t="s">
        <v>74</v>
      </c>
      <c r="U59" s="1" t="s">
        <v>18</v>
      </c>
      <c r="V59" s="1" t="s">
        <v>138</v>
      </c>
      <c r="W59" s="27" t="s">
        <v>459</v>
      </c>
      <c r="X59" s="30"/>
      <c r="AF59" s="35" t="str">
        <f t="shared" si="2"/>
        <v>Janie &amp; JackRetailUSA5</v>
      </c>
      <c r="AG59" s="1" t="s">
        <v>38</v>
      </c>
      <c r="AH59" s="1" t="s">
        <v>5</v>
      </c>
      <c r="AI59" s="1" t="s">
        <v>336</v>
      </c>
      <c r="AJ59" s="1">
        <v>5</v>
      </c>
      <c r="AK59" s="27">
        <v>0.2</v>
      </c>
      <c r="AM59" s="262" t="str">
        <f t="shared" si="3"/>
        <v>Janie &amp; JackUSARetailJJ 18 MAY TRANS GIFT LAY</v>
      </c>
      <c r="AN59" s="1" t="s">
        <v>38</v>
      </c>
      <c r="AO59" s="1" t="s">
        <v>5</v>
      </c>
      <c r="AP59" s="1" t="s">
        <v>336</v>
      </c>
      <c r="AQ59" s="1">
        <v>2018</v>
      </c>
      <c r="AR59" s="1" t="s">
        <v>18</v>
      </c>
      <c r="AS59" s="1" t="s">
        <v>238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27" t="s">
        <v>239</v>
      </c>
    </row>
    <row r="60" spans="17:52" x14ac:dyDescent="0.25">
      <c r="Q60" s="262" t="str">
        <f t="shared" si="0"/>
        <v>Crazy 8GY C8 17 SUMMER</v>
      </c>
      <c r="R60" s="35" t="str">
        <f t="shared" si="1"/>
        <v>2018Crazy 8Summer</v>
      </c>
      <c r="S60" s="1">
        <v>2018</v>
      </c>
      <c r="T60" s="1" t="s">
        <v>74</v>
      </c>
      <c r="U60" s="1" t="s">
        <v>18</v>
      </c>
      <c r="V60" s="1" t="s">
        <v>132</v>
      </c>
      <c r="W60" s="27" t="s">
        <v>460</v>
      </c>
      <c r="X60" s="30"/>
      <c r="AF60" s="35" t="str">
        <f t="shared" si="2"/>
        <v>Janie &amp; JackRetailUSA6</v>
      </c>
      <c r="AG60" s="1" t="s">
        <v>38</v>
      </c>
      <c r="AH60" s="1" t="s">
        <v>5</v>
      </c>
      <c r="AI60" s="1" t="s">
        <v>336</v>
      </c>
      <c r="AJ60" s="1">
        <v>6</v>
      </c>
      <c r="AK60" s="27">
        <v>0.22</v>
      </c>
      <c r="AM60" s="262" t="str">
        <f t="shared" si="3"/>
        <v>Janie &amp; JackUSARetailJJ 18 MAY SUMMER 3</v>
      </c>
      <c r="AN60" s="1" t="s">
        <v>38</v>
      </c>
      <c r="AO60" s="1" t="s">
        <v>5</v>
      </c>
      <c r="AP60" s="1" t="s">
        <v>336</v>
      </c>
      <c r="AQ60" s="1">
        <v>2018</v>
      </c>
      <c r="AR60" s="1" t="s">
        <v>18</v>
      </c>
      <c r="AS60" s="1" t="s">
        <v>231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27" t="s">
        <v>232</v>
      </c>
    </row>
    <row r="61" spans="17:52" x14ac:dyDescent="0.25">
      <c r="Q61" s="262" t="str">
        <f t="shared" si="0"/>
        <v>Crazy 8GY C8 17 SUMMER CAP</v>
      </c>
      <c r="R61" s="35" t="str">
        <f t="shared" si="1"/>
        <v>2018Crazy 8Summer</v>
      </c>
      <c r="S61" s="1">
        <v>2018</v>
      </c>
      <c r="T61" s="1" t="s">
        <v>74</v>
      </c>
      <c r="U61" s="1" t="s">
        <v>18</v>
      </c>
      <c r="V61" s="1" t="s">
        <v>128</v>
      </c>
      <c r="W61" s="27" t="s">
        <v>461</v>
      </c>
      <c r="X61" s="30"/>
      <c r="AF61" s="35" t="str">
        <f t="shared" si="2"/>
        <v>Janie &amp; JackRetailUSA7</v>
      </c>
      <c r="AG61" s="1" t="s">
        <v>38</v>
      </c>
      <c r="AH61" s="1" t="s">
        <v>5</v>
      </c>
      <c r="AI61" s="1" t="s">
        <v>336</v>
      </c>
      <c r="AJ61" s="1">
        <v>7</v>
      </c>
      <c r="AK61" s="27">
        <v>0.27</v>
      </c>
      <c r="AM61" s="262" t="str">
        <f t="shared" si="3"/>
        <v>Janie &amp; JackUSARetailJJ 18 MAY SPORT</v>
      </c>
      <c r="AN61" s="1" t="s">
        <v>38</v>
      </c>
      <c r="AO61" s="1" t="s">
        <v>5</v>
      </c>
      <c r="AP61" s="1" t="s">
        <v>336</v>
      </c>
      <c r="AQ61" s="1">
        <v>2018</v>
      </c>
      <c r="AR61" s="1" t="s">
        <v>18</v>
      </c>
      <c r="AS61" s="1" t="s">
        <v>431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27" t="s">
        <v>591</v>
      </c>
    </row>
    <row r="62" spans="17:52" x14ac:dyDescent="0.25">
      <c r="Q62" s="262" t="str">
        <f t="shared" si="0"/>
        <v>Crazy 8GY C8 17 SUMMER TRANS</v>
      </c>
      <c r="R62" s="35" t="str">
        <f t="shared" si="1"/>
        <v>2018Crazy 8Summer</v>
      </c>
      <c r="S62" s="1">
        <v>2018</v>
      </c>
      <c r="T62" s="1" t="s">
        <v>74</v>
      </c>
      <c r="U62" s="1" t="s">
        <v>18</v>
      </c>
      <c r="V62" s="1" t="s">
        <v>142</v>
      </c>
      <c r="W62" s="27" t="s">
        <v>462</v>
      </c>
      <c r="X62" s="30"/>
      <c r="AF62" s="35" t="str">
        <f t="shared" si="2"/>
        <v>Janie &amp; JackRetailUSA8</v>
      </c>
      <c r="AG62" s="1" t="s">
        <v>38</v>
      </c>
      <c r="AH62" s="1" t="s">
        <v>5</v>
      </c>
      <c r="AI62" s="1" t="s">
        <v>336</v>
      </c>
      <c r="AJ62" s="1">
        <v>8</v>
      </c>
      <c r="AK62" s="27">
        <v>0.33</v>
      </c>
      <c r="AM62" s="262" t="str">
        <f t="shared" si="3"/>
        <v>Janie &amp; JackUSARetailJJ 18 MAY SUMMER 4</v>
      </c>
      <c r="AN62" s="1" t="s">
        <v>38</v>
      </c>
      <c r="AO62" s="1" t="s">
        <v>5</v>
      </c>
      <c r="AP62" s="1" t="s">
        <v>336</v>
      </c>
      <c r="AQ62" s="1">
        <v>2018</v>
      </c>
      <c r="AR62" s="1" t="s">
        <v>18</v>
      </c>
      <c r="AS62" s="1" t="s">
        <v>233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27" t="s">
        <v>234</v>
      </c>
    </row>
    <row r="63" spans="17:52" x14ac:dyDescent="0.25">
      <c r="Q63" s="262" t="str">
        <f t="shared" si="0"/>
        <v>Crazy 8GY C8 17 SWIM 4</v>
      </c>
      <c r="R63" s="35" t="str">
        <f t="shared" si="1"/>
        <v>2018Crazy 8Summer</v>
      </c>
      <c r="S63" s="1">
        <v>2018</v>
      </c>
      <c r="T63" s="1" t="s">
        <v>74</v>
      </c>
      <c r="U63" s="1" t="s">
        <v>18</v>
      </c>
      <c r="V63" s="1" t="s">
        <v>134</v>
      </c>
      <c r="W63" s="27" t="s">
        <v>463</v>
      </c>
      <c r="X63" s="30"/>
      <c r="AF63" s="35" t="str">
        <f t="shared" si="2"/>
        <v>Janie &amp; JackRetailUSA9</v>
      </c>
      <c r="AG63" s="1" t="s">
        <v>38</v>
      </c>
      <c r="AH63" s="1" t="s">
        <v>5</v>
      </c>
      <c r="AI63" s="1" t="s">
        <v>336</v>
      </c>
      <c r="AJ63" s="1">
        <v>9</v>
      </c>
      <c r="AK63" s="27">
        <v>0.38</v>
      </c>
      <c r="AM63" s="262" t="str">
        <f t="shared" si="3"/>
        <v>Janie &amp; JackUSARetailJJ 18 JUN TRANS 1</v>
      </c>
      <c r="AN63" s="1" t="s">
        <v>38</v>
      </c>
      <c r="AO63" s="1" t="s">
        <v>5</v>
      </c>
      <c r="AP63" s="1" t="s">
        <v>336</v>
      </c>
      <c r="AQ63" s="1">
        <v>2018</v>
      </c>
      <c r="AR63" s="1" t="s">
        <v>18</v>
      </c>
      <c r="AS63" s="1" t="s">
        <v>235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27" t="s">
        <v>236</v>
      </c>
    </row>
    <row r="64" spans="17:52" x14ac:dyDescent="0.25">
      <c r="Q64" s="262" t="str">
        <f t="shared" si="0"/>
        <v>Crazy 8GY C8 17 TRANS CAP</v>
      </c>
      <c r="R64" s="35" t="str">
        <f t="shared" si="1"/>
        <v>2018Crazy 8Summer</v>
      </c>
      <c r="S64" s="1">
        <v>2018</v>
      </c>
      <c r="T64" s="1" t="s">
        <v>74</v>
      </c>
      <c r="U64" s="1" t="s">
        <v>18</v>
      </c>
      <c r="V64" s="1" t="s">
        <v>144</v>
      </c>
      <c r="W64" s="27" t="s">
        <v>464</v>
      </c>
      <c r="X64" s="30"/>
      <c r="AF64" s="35" t="str">
        <f t="shared" si="2"/>
        <v>Janie &amp; JackRetailUSA10</v>
      </c>
      <c r="AG64" s="1" t="s">
        <v>38</v>
      </c>
      <c r="AH64" s="1" t="s">
        <v>5</v>
      </c>
      <c r="AI64" s="1" t="s">
        <v>336</v>
      </c>
      <c r="AJ64" s="1">
        <v>10</v>
      </c>
      <c r="AK64" s="27">
        <v>0.38</v>
      </c>
      <c r="AM64" s="262" t="str">
        <f t="shared" si="3"/>
        <v>Janie &amp; JackUSARetailJJ 18 JULY TRANS 2</v>
      </c>
      <c r="AN64" s="1" t="s">
        <v>38</v>
      </c>
      <c r="AO64" s="1" t="s">
        <v>5</v>
      </c>
      <c r="AP64" s="1" t="s">
        <v>336</v>
      </c>
      <c r="AQ64" s="1">
        <v>2018</v>
      </c>
      <c r="AR64" s="1" t="s">
        <v>18</v>
      </c>
      <c r="AS64" s="1" t="s">
        <v>175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27" t="s">
        <v>176</v>
      </c>
    </row>
    <row r="65" spans="17:52" x14ac:dyDescent="0.25">
      <c r="Q65" s="262" t="str">
        <f t="shared" si="0"/>
        <v>Crazy 8GY C8 18 HIGH SUMMER</v>
      </c>
      <c r="R65" s="35" t="str">
        <f t="shared" si="1"/>
        <v>2018Crazy 8Summer</v>
      </c>
      <c r="S65" s="1">
        <v>2018</v>
      </c>
      <c r="T65" s="1" t="s">
        <v>74</v>
      </c>
      <c r="U65" s="1" t="s">
        <v>18</v>
      </c>
      <c r="V65" s="1" t="s">
        <v>139</v>
      </c>
      <c r="W65" s="27" t="s">
        <v>140</v>
      </c>
      <c r="X65" s="30"/>
      <c r="AF65" s="35" t="str">
        <f t="shared" si="2"/>
        <v>Janie &amp; JackRetailUSA11</v>
      </c>
      <c r="AG65" s="1" t="s">
        <v>38</v>
      </c>
      <c r="AH65" s="1" t="s">
        <v>5</v>
      </c>
      <c r="AI65" s="1" t="s">
        <v>336</v>
      </c>
      <c r="AJ65" s="1">
        <v>11</v>
      </c>
      <c r="AK65" s="27">
        <v>0.41</v>
      </c>
      <c r="AM65" s="262" t="str">
        <f t="shared" si="3"/>
        <v>Janie &amp; JackUSARetailJJ 18 LAY SIGNATURE 2</v>
      </c>
      <c r="AN65" s="1" t="s">
        <v>38</v>
      </c>
      <c r="AO65" s="1" t="s">
        <v>5</v>
      </c>
      <c r="AP65" s="1" t="s">
        <v>336</v>
      </c>
      <c r="AQ65" s="1">
        <v>2018</v>
      </c>
      <c r="AR65" s="1" t="s">
        <v>18</v>
      </c>
      <c r="AS65" s="1" t="s">
        <v>201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27" t="s">
        <v>591</v>
      </c>
    </row>
    <row r="66" spans="17:52" x14ac:dyDescent="0.25">
      <c r="Q66" s="262" t="str">
        <f t="shared" ref="Q66:Q136" si="4">T66&amp;V66</f>
        <v>Crazy 8GY C8 18 JULY 4TH CAP</v>
      </c>
      <c r="R66" s="35" t="str">
        <f t="shared" ref="R66:R136" si="5">S66&amp;T66&amp;U66</f>
        <v>2018Crazy 8Summer</v>
      </c>
      <c r="S66" s="1">
        <v>2018</v>
      </c>
      <c r="T66" s="1" t="s">
        <v>74</v>
      </c>
      <c r="U66" s="1" t="s">
        <v>18</v>
      </c>
      <c r="V66" s="1" t="s">
        <v>135</v>
      </c>
      <c r="W66" s="27" t="s">
        <v>136</v>
      </c>
      <c r="X66" s="30"/>
      <c r="AF66" s="35" t="str">
        <f t="shared" si="2"/>
        <v>Janie &amp; JackRetailUSA12</v>
      </c>
      <c r="AG66" s="1" t="s">
        <v>38</v>
      </c>
      <c r="AH66" s="1" t="s">
        <v>5</v>
      </c>
      <c r="AI66" s="1" t="s">
        <v>336</v>
      </c>
      <c r="AJ66" s="1">
        <v>12</v>
      </c>
      <c r="AK66" s="27">
        <v>0.43</v>
      </c>
      <c r="AM66" s="262" t="str">
        <f t="shared" si="3"/>
        <v>Janie &amp; JackUSARetailJJ 18 JULY SO SB 2</v>
      </c>
      <c r="AN66" s="1" t="s">
        <v>38</v>
      </c>
      <c r="AO66" s="1" t="s">
        <v>5</v>
      </c>
      <c r="AP66" s="1" t="s">
        <v>336</v>
      </c>
      <c r="AQ66" s="1">
        <v>2018</v>
      </c>
      <c r="AR66" s="1" t="s">
        <v>18</v>
      </c>
      <c r="AS66" s="1" t="s">
        <v>199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27" t="s">
        <v>200</v>
      </c>
    </row>
    <row r="67" spans="17:52" x14ac:dyDescent="0.25">
      <c r="Q67" s="262" t="str">
        <f t="shared" si="4"/>
        <v>Crazy 8GY C8 18 SMR</v>
      </c>
      <c r="R67" s="35" t="str">
        <f t="shared" si="5"/>
        <v>2018Crazy 8Summer</v>
      </c>
      <c r="S67" s="1">
        <v>2018</v>
      </c>
      <c r="T67" s="1" t="s">
        <v>74</v>
      </c>
      <c r="U67" s="1" t="s">
        <v>18</v>
      </c>
      <c r="V67" s="1" t="s">
        <v>129</v>
      </c>
      <c r="W67" s="27" t="s">
        <v>130</v>
      </c>
      <c r="X67" s="30"/>
      <c r="AF67" s="35" t="str">
        <f t="shared" ref="AF67:AF133" si="6">AG67&amp;AH67&amp;AI67&amp;AJ67</f>
        <v>Janie &amp; JackRetailUSA13</v>
      </c>
      <c r="AG67" s="1" t="s">
        <v>38</v>
      </c>
      <c r="AH67" s="1" t="s">
        <v>5</v>
      </c>
      <c r="AI67" s="1" t="s">
        <v>336</v>
      </c>
      <c r="AJ67" s="1">
        <v>13</v>
      </c>
      <c r="AK67" s="27">
        <v>0.46</v>
      </c>
      <c r="AM67" s="262" t="str">
        <f t="shared" ref="AM67:AM133" si="7">AN67&amp;AP67&amp;AO67&amp;AS67</f>
        <v>Janie &amp; JackUSARetailJJ 18 JULY TRANS 3</v>
      </c>
      <c r="AN67" s="1" t="s">
        <v>38</v>
      </c>
      <c r="AO67" s="1" t="s">
        <v>5</v>
      </c>
      <c r="AP67" s="1" t="s">
        <v>336</v>
      </c>
      <c r="AQ67" s="1">
        <v>2018</v>
      </c>
      <c r="AR67" s="1" t="s">
        <v>18</v>
      </c>
      <c r="AS67" s="1" t="s">
        <v>177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27" t="s">
        <v>178</v>
      </c>
    </row>
    <row r="68" spans="17:52" x14ac:dyDescent="0.25">
      <c r="Q68" s="262" t="str">
        <f t="shared" si="4"/>
        <v>Crazy 8GY C8 18 SMR DOORBUSTER</v>
      </c>
      <c r="R68" s="35" t="str">
        <f t="shared" si="5"/>
        <v>2018Crazy 8Summer</v>
      </c>
      <c r="S68" s="1">
        <v>2018</v>
      </c>
      <c r="T68" s="1" t="s">
        <v>74</v>
      </c>
      <c r="U68" s="1" t="s">
        <v>18</v>
      </c>
      <c r="V68" s="1" t="s">
        <v>137</v>
      </c>
      <c r="W68" s="27" t="s">
        <v>138</v>
      </c>
      <c r="X68" s="30"/>
      <c r="AF68" s="35" t="str">
        <f t="shared" si="6"/>
        <v>Janie &amp; JackRetailUSA14</v>
      </c>
      <c r="AG68" s="1" t="s">
        <v>38</v>
      </c>
      <c r="AH68" s="1" t="s">
        <v>5</v>
      </c>
      <c r="AI68" s="1" t="s">
        <v>336</v>
      </c>
      <c r="AJ68" s="1">
        <v>14</v>
      </c>
      <c r="AK68" s="27">
        <v>0.43</v>
      </c>
      <c r="AM68" s="262" t="str">
        <f t="shared" si="7"/>
        <v>Janie &amp; JackUSARetailJJ 18 JUN JJ SPORT</v>
      </c>
      <c r="AN68" s="1" t="s">
        <v>38</v>
      </c>
      <c r="AO68" s="1" t="s">
        <v>5</v>
      </c>
      <c r="AP68" s="1" t="s">
        <v>336</v>
      </c>
      <c r="AQ68" s="1">
        <v>2018</v>
      </c>
      <c r="AR68" s="1" t="s">
        <v>18</v>
      </c>
      <c r="AS68" s="1" t="s">
        <v>237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27" t="s">
        <v>591</v>
      </c>
    </row>
    <row r="69" spans="17:52" x14ac:dyDescent="0.25">
      <c r="Q69" s="262" t="str">
        <f t="shared" si="4"/>
        <v>Crazy 8GY C8 18 SUMMER</v>
      </c>
      <c r="R69" s="35" t="str">
        <f t="shared" si="5"/>
        <v>2018Crazy 8Summer</v>
      </c>
      <c r="S69" s="1">
        <v>2018</v>
      </c>
      <c r="T69" s="1" t="s">
        <v>74</v>
      </c>
      <c r="U69" s="1" t="s">
        <v>18</v>
      </c>
      <c r="V69" s="1" t="s">
        <v>131</v>
      </c>
      <c r="W69" s="27" t="s">
        <v>132</v>
      </c>
      <c r="X69" s="30"/>
      <c r="AF69" s="35" t="str">
        <f t="shared" si="6"/>
        <v>Janie &amp; JackRetailUSA15</v>
      </c>
      <c r="AG69" s="1" t="s">
        <v>38</v>
      </c>
      <c r="AH69" s="1" t="s">
        <v>5</v>
      </c>
      <c r="AI69" s="1" t="s">
        <v>336</v>
      </c>
      <c r="AJ69" s="1">
        <v>15</v>
      </c>
      <c r="AK69" s="27">
        <v>0.46</v>
      </c>
      <c r="AM69" s="262" t="str">
        <f t="shared" si="7"/>
        <v>Janie &amp; JackUSARetailJJ 18 JULY FALL GIFT LAY</v>
      </c>
      <c r="AN69" s="1" t="s">
        <v>38</v>
      </c>
      <c r="AO69" s="1" t="s">
        <v>5</v>
      </c>
      <c r="AP69" s="1" t="s">
        <v>336</v>
      </c>
      <c r="AQ69" s="1">
        <v>2018</v>
      </c>
      <c r="AR69" s="1" t="s">
        <v>18</v>
      </c>
      <c r="AS69" s="1" t="s">
        <v>181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27" t="s">
        <v>393</v>
      </c>
    </row>
    <row r="70" spans="17:52" x14ac:dyDescent="0.25">
      <c r="Q70" s="262" t="str">
        <f t="shared" si="4"/>
        <v>Crazy 8GY C8 18 SUMMER CAP</v>
      </c>
      <c r="R70" s="35" t="str">
        <f t="shared" si="5"/>
        <v>2018Crazy 8Summer</v>
      </c>
      <c r="S70" s="1">
        <v>2018</v>
      </c>
      <c r="T70" s="1" t="s">
        <v>74</v>
      </c>
      <c r="U70" s="1" t="s">
        <v>18</v>
      </c>
      <c r="V70" s="1" t="s">
        <v>127</v>
      </c>
      <c r="W70" s="27" t="s">
        <v>128</v>
      </c>
      <c r="X70" s="30"/>
      <c r="AF70" s="35" t="str">
        <f t="shared" si="6"/>
        <v>Janie &amp; JackRetailUSA16</v>
      </c>
      <c r="AG70" s="1" t="s">
        <v>38</v>
      </c>
      <c r="AH70" s="1" t="s">
        <v>5</v>
      </c>
      <c r="AI70" s="1" t="s">
        <v>336</v>
      </c>
      <c r="AJ70" s="1">
        <v>16</v>
      </c>
      <c r="AK70" s="27">
        <v>0.49</v>
      </c>
      <c r="AM70" s="262" t="str">
        <f t="shared" si="7"/>
        <v>Janie &amp; JackUSAWebJJ 3RD PARTY</v>
      </c>
      <c r="AN70" s="1" t="s">
        <v>38</v>
      </c>
      <c r="AO70" s="1" t="s">
        <v>15</v>
      </c>
      <c r="AP70" s="1" t="s">
        <v>336</v>
      </c>
      <c r="AQ70" s="1">
        <v>2018</v>
      </c>
      <c r="AR70" s="1" t="s">
        <v>41</v>
      </c>
      <c r="AS70" s="1" t="s">
        <v>330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27" t="s">
        <v>330</v>
      </c>
    </row>
    <row r="71" spans="17:52" x14ac:dyDescent="0.25">
      <c r="Q71" s="262" t="str">
        <f t="shared" si="4"/>
        <v>Crazy 8GY C8 18 SUMMER TRANS</v>
      </c>
      <c r="R71" s="35" t="str">
        <f t="shared" si="5"/>
        <v>2018Crazy 8Summer</v>
      </c>
      <c r="S71" s="1">
        <v>2018</v>
      </c>
      <c r="T71" s="1" t="s">
        <v>74</v>
      </c>
      <c r="U71" s="1" t="s">
        <v>18</v>
      </c>
      <c r="V71" s="1" t="s">
        <v>141</v>
      </c>
      <c r="W71" s="27" t="s">
        <v>142</v>
      </c>
      <c r="X71" s="30"/>
      <c r="AF71" s="35" t="str">
        <f t="shared" si="6"/>
        <v>Janie &amp; JackRetailUSA17</v>
      </c>
      <c r="AG71" s="1" t="s">
        <v>38</v>
      </c>
      <c r="AH71" s="1" t="s">
        <v>5</v>
      </c>
      <c r="AI71" s="1" t="s">
        <v>336</v>
      </c>
      <c r="AJ71" s="1">
        <v>17</v>
      </c>
      <c r="AK71" s="27">
        <v>0.52</v>
      </c>
      <c r="AM71" s="262" t="str">
        <f t="shared" si="7"/>
        <v>Janie &amp; JackUSAWebJJ 18 JULY SB2</v>
      </c>
      <c r="AN71" s="1" t="s">
        <v>38</v>
      </c>
      <c r="AO71" s="1" t="s">
        <v>15</v>
      </c>
      <c r="AP71" s="1" t="s">
        <v>336</v>
      </c>
      <c r="AQ71" s="1">
        <v>2018</v>
      </c>
      <c r="AR71" s="1" t="s">
        <v>41</v>
      </c>
      <c r="AS71" s="1" t="s">
        <v>197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27" t="s">
        <v>198</v>
      </c>
    </row>
    <row r="72" spans="17:52" x14ac:dyDescent="0.25">
      <c r="Q72" s="262" t="str">
        <f t="shared" si="4"/>
        <v>Crazy 8GY C8 18 SWIM 4</v>
      </c>
      <c r="R72" s="35" t="str">
        <f t="shared" si="5"/>
        <v>2018Crazy 8Summer</v>
      </c>
      <c r="S72" s="1">
        <v>2018</v>
      </c>
      <c r="T72" s="1" t="s">
        <v>74</v>
      </c>
      <c r="U72" s="1" t="s">
        <v>18</v>
      </c>
      <c r="V72" s="1" t="s">
        <v>133</v>
      </c>
      <c r="W72" s="27" t="s">
        <v>134</v>
      </c>
      <c r="X72" s="30"/>
      <c r="AF72" s="35" t="str">
        <f t="shared" si="6"/>
        <v>Janie &amp; JackRetailUSA18</v>
      </c>
      <c r="AG72" s="1" t="s">
        <v>38</v>
      </c>
      <c r="AH72" s="1" t="s">
        <v>5</v>
      </c>
      <c r="AI72" s="1" t="s">
        <v>336</v>
      </c>
      <c r="AJ72" s="1">
        <v>18</v>
      </c>
      <c r="AK72" s="27">
        <v>0.54</v>
      </c>
      <c r="AM72" s="262" t="str">
        <f t="shared" si="7"/>
        <v>Janie &amp; JackUSAWebJJ 18 AUG FALL 0</v>
      </c>
      <c r="AN72" s="1" t="s">
        <v>38</v>
      </c>
      <c r="AO72" s="1" t="s">
        <v>15</v>
      </c>
      <c r="AP72" s="1" t="s">
        <v>336</v>
      </c>
      <c r="AQ72" s="1">
        <v>2018</v>
      </c>
      <c r="AR72" s="1" t="s">
        <v>39</v>
      </c>
      <c r="AS72" s="1" t="s">
        <v>179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27" t="s">
        <v>180</v>
      </c>
    </row>
    <row r="73" spans="17:52" x14ac:dyDescent="0.25">
      <c r="Q73" s="262" t="str">
        <f t="shared" si="4"/>
        <v>Crazy 8GY C8 18 TRANS CAP</v>
      </c>
      <c r="R73" s="35" t="str">
        <f t="shared" si="5"/>
        <v>2018Crazy 8Summer</v>
      </c>
      <c r="S73" s="1">
        <v>2018</v>
      </c>
      <c r="T73" s="1" t="s">
        <v>74</v>
      </c>
      <c r="U73" s="1" t="s">
        <v>18</v>
      </c>
      <c r="V73" s="1" t="s">
        <v>143</v>
      </c>
      <c r="W73" s="27" t="s">
        <v>144</v>
      </c>
      <c r="X73" s="30"/>
      <c r="AF73" s="35" t="str">
        <f t="shared" si="6"/>
        <v>Janie &amp; JackRetailUSA19</v>
      </c>
      <c r="AG73" s="1" t="s">
        <v>38</v>
      </c>
      <c r="AH73" s="1" t="s">
        <v>5</v>
      </c>
      <c r="AI73" s="1" t="s">
        <v>336</v>
      </c>
      <c r="AJ73" s="1">
        <v>19</v>
      </c>
      <c r="AK73" s="27">
        <v>0.56000000000000005</v>
      </c>
      <c r="AM73" s="262" t="str">
        <f t="shared" si="7"/>
        <v>Janie &amp; JackUSAWebJJ 18 LAY SIGNATURE 1</v>
      </c>
      <c r="AN73" s="1" t="s">
        <v>38</v>
      </c>
      <c r="AO73" s="1" t="s">
        <v>15</v>
      </c>
      <c r="AP73" s="1" t="s">
        <v>336</v>
      </c>
      <c r="AQ73" s="1">
        <v>2018</v>
      </c>
      <c r="AR73" s="1" t="s">
        <v>16</v>
      </c>
      <c r="AS73" s="1" t="s">
        <v>194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27" t="s">
        <v>591</v>
      </c>
    </row>
    <row r="74" spans="17:52" x14ac:dyDescent="0.25">
      <c r="Q74" s="262" t="str">
        <f t="shared" si="4"/>
        <v>Crazy 8GY C8 17 GIFT</v>
      </c>
      <c r="R74" s="35" t="str">
        <f t="shared" si="5"/>
        <v>2018Crazy 8Winter</v>
      </c>
      <c r="S74" s="1">
        <v>2018</v>
      </c>
      <c r="T74" s="1" t="s">
        <v>74</v>
      </c>
      <c r="U74" s="1" t="s">
        <v>40</v>
      </c>
      <c r="V74" s="1" t="s">
        <v>427</v>
      </c>
      <c r="W74" s="27" t="s">
        <v>465</v>
      </c>
      <c r="X74" s="30"/>
      <c r="AF74" s="35" t="str">
        <f t="shared" si="6"/>
        <v>Janie &amp; JackRetailUSA20</v>
      </c>
      <c r="AG74" s="1" t="s">
        <v>38</v>
      </c>
      <c r="AH74" s="1" t="s">
        <v>5</v>
      </c>
      <c r="AI74" s="1" t="s">
        <v>336</v>
      </c>
      <c r="AJ74" s="1">
        <v>20</v>
      </c>
      <c r="AK74" s="27">
        <v>0.56999999999999995</v>
      </c>
      <c r="AM74" s="262" t="str">
        <f t="shared" si="7"/>
        <v>Janie &amp; JackUSAWebJJ 18 DEC SWIM</v>
      </c>
      <c r="AN74" s="1" t="s">
        <v>38</v>
      </c>
      <c r="AO74" s="1" t="s">
        <v>15</v>
      </c>
      <c r="AP74" s="1" t="s">
        <v>336</v>
      </c>
      <c r="AQ74" s="1">
        <v>2018</v>
      </c>
      <c r="AR74" s="1" t="s">
        <v>16</v>
      </c>
      <c r="AS74" s="1" t="s">
        <v>182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27" t="s">
        <v>183</v>
      </c>
    </row>
    <row r="75" spans="17:52" x14ac:dyDescent="0.25">
      <c r="Q75" s="262" t="str">
        <f t="shared" si="4"/>
        <v>Crazy 8GY C8 17 HOLIDAY</v>
      </c>
      <c r="R75" s="35" t="str">
        <f t="shared" si="5"/>
        <v>2018Crazy 8Winter</v>
      </c>
      <c r="S75" s="1">
        <v>2018</v>
      </c>
      <c r="T75" s="1" t="s">
        <v>74</v>
      </c>
      <c r="U75" s="1" t="s">
        <v>40</v>
      </c>
      <c r="V75" s="1" t="s">
        <v>426</v>
      </c>
      <c r="W75" s="27" t="s">
        <v>466</v>
      </c>
      <c r="X75" s="30"/>
      <c r="AF75" s="35" t="str">
        <f t="shared" si="6"/>
        <v>Janie &amp; JackRetailUSA21</v>
      </c>
      <c r="AG75" s="1" t="s">
        <v>38</v>
      </c>
      <c r="AH75" s="1" t="s">
        <v>5</v>
      </c>
      <c r="AI75" s="1" t="s">
        <v>336</v>
      </c>
      <c r="AJ75" s="1">
        <v>21</v>
      </c>
      <c r="AK75" s="27">
        <v>0.55000000000000004</v>
      </c>
      <c r="AM75" s="262" t="str">
        <f t="shared" si="7"/>
        <v>Janie &amp; JackUSAWebJJ 18 DEC VDAY</v>
      </c>
      <c r="AN75" s="1" t="s">
        <v>38</v>
      </c>
      <c r="AO75" s="1" t="s">
        <v>15</v>
      </c>
      <c r="AP75" s="1" t="s">
        <v>336</v>
      </c>
      <c r="AQ75" s="1">
        <v>2018</v>
      </c>
      <c r="AR75" s="1" t="s">
        <v>16</v>
      </c>
      <c r="AS75" s="1" t="s">
        <v>204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27" t="s">
        <v>205</v>
      </c>
    </row>
    <row r="76" spans="17:52" x14ac:dyDescent="0.25">
      <c r="Q76" s="262" t="str">
        <f t="shared" si="4"/>
        <v>Crazy 8GY C8 17 KIDZ BOP CAP</v>
      </c>
      <c r="R76" s="35" t="str">
        <f t="shared" si="5"/>
        <v>2018Crazy 8Winter</v>
      </c>
      <c r="S76" s="1">
        <v>2018</v>
      </c>
      <c r="T76" s="1" t="s">
        <v>74</v>
      </c>
      <c r="U76" s="1" t="s">
        <v>40</v>
      </c>
      <c r="V76" s="1" t="s">
        <v>430</v>
      </c>
      <c r="W76" s="27" t="s">
        <v>467</v>
      </c>
      <c r="X76" s="30"/>
      <c r="AF76" s="35" t="str">
        <f t="shared" si="6"/>
        <v>Janie &amp; JackRetailUSA22</v>
      </c>
      <c r="AG76" s="1" t="s">
        <v>38</v>
      </c>
      <c r="AH76" s="1" t="s">
        <v>5</v>
      </c>
      <c r="AI76" s="1" t="s">
        <v>336</v>
      </c>
      <c r="AJ76" s="1">
        <v>22</v>
      </c>
      <c r="AK76" s="27">
        <v>0.56999999999999995</v>
      </c>
      <c r="AM76" s="262" t="str">
        <f t="shared" si="7"/>
        <v>Janie &amp; JackUSAWebJJ 18 DEC RESORT 2</v>
      </c>
      <c r="AN76" s="1" t="s">
        <v>38</v>
      </c>
      <c r="AO76" s="1" t="s">
        <v>15</v>
      </c>
      <c r="AP76" s="1" t="s">
        <v>336</v>
      </c>
      <c r="AQ76" s="1">
        <v>2018</v>
      </c>
      <c r="AR76" s="1" t="s">
        <v>16</v>
      </c>
      <c r="AS76" s="1" t="s">
        <v>206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27" t="s">
        <v>207</v>
      </c>
    </row>
    <row r="77" spans="17:52" x14ac:dyDescent="0.25">
      <c r="Q77" s="262" t="str">
        <f t="shared" si="4"/>
        <v>Crazy 8GY C8 17 WINTER CAP</v>
      </c>
      <c r="R77" s="35" t="str">
        <f t="shared" si="5"/>
        <v>2018Crazy 8Winter</v>
      </c>
      <c r="S77" s="1">
        <v>2018</v>
      </c>
      <c r="T77" s="1" t="s">
        <v>74</v>
      </c>
      <c r="U77" s="1" t="s">
        <v>40</v>
      </c>
      <c r="V77" s="1" t="s">
        <v>429</v>
      </c>
      <c r="W77" s="27" t="s">
        <v>468</v>
      </c>
      <c r="X77" s="30"/>
      <c r="AF77" s="35" t="str">
        <f t="shared" si="6"/>
        <v>Janie &amp; JackRetailUSA23</v>
      </c>
      <c r="AG77" s="1" t="s">
        <v>38</v>
      </c>
      <c r="AH77" s="1" t="s">
        <v>5</v>
      </c>
      <c r="AI77" s="1" t="s">
        <v>336</v>
      </c>
      <c r="AJ77" s="1">
        <v>23</v>
      </c>
      <c r="AK77" s="27">
        <v>0.62</v>
      </c>
      <c r="AM77" s="262" t="str">
        <f t="shared" si="7"/>
        <v>Janie &amp; JackUSAWebJJ 18 JAN SPRING TRANS</v>
      </c>
      <c r="AN77" s="1" t="s">
        <v>38</v>
      </c>
      <c r="AO77" s="1" t="s">
        <v>15</v>
      </c>
      <c r="AP77" s="1" t="s">
        <v>336</v>
      </c>
      <c r="AQ77" s="1">
        <v>2018</v>
      </c>
      <c r="AR77" s="1" t="s">
        <v>16</v>
      </c>
      <c r="AS77" s="1" t="s">
        <v>212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27" t="s">
        <v>213</v>
      </c>
    </row>
    <row r="78" spans="17:52" x14ac:dyDescent="0.25">
      <c r="Q78" s="262" t="str">
        <f t="shared" si="4"/>
        <v>Crazy 8GY C8 17 WINTER TRANS</v>
      </c>
      <c r="R78" s="35" t="str">
        <f t="shared" si="5"/>
        <v>2018Crazy 8Winter</v>
      </c>
      <c r="S78" s="1">
        <v>2018</v>
      </c>
      <c r="T78" s="1" t="s">
        <v>74</v>
      </c>
      <c r="U78" s="1" t="s">
        <v>40</v>
      </c>
      <c r="V78" s="1" t="s">
        <v>428</v>
      </c>
      <c r="W78" s="27" t="s">
        <v>469</v>
      </c>
      <c r="X78" s="30"/>
      <c r="AF78" s="35" t="str">
        <f t="shared" si="6"/>
        <v>Janie &amp; JackRetailUSA24</v>
      </c>
      <c r="AG78" s="1" t="s">
        <v>38</v>
      </c>
      <c r="AH78" s="1" t="s">
        <v>5</v>
      </c>
      <c r="AI78" s="1" t="s">
        <v>336</v>
      </c>
      <c r="AJ78" s="1">
        <v>24</v>
      </c>
      <c r="AK78" s="27">
        <v>0.63</v>
      </c>
      <c r="AM78" s="262" t="str">
        <f t="shared" si="7"/>
        <v>Janie &amp; JackUSAWebJJ 18 SB1</v>
      </c>
      <c r="AN78" s="1" t="s">
        <v>38</v>
      </c>
      <c r="AO78" s="1" t="s">
        <v>15</v>
      </c>
      <c r="AP78" s="1" t="s">
        <v>336</v>
      </c>
      <c r="AQ78" s="1">
        <v>2018</v>
      </c>
      <c r="AR78" s="1" t="s">
        <v>16</v>
      </c>
      <c r="AS78" s="1" t="s">
        <v>184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27" t="s">
        <v>185</v>
      </c>
    </row>
    <row r="79" spans="17:52" x14ac:dyDescent="0.25">
      <c r="Q79" s="262" t="str">
        <f t="shared" si="4"/>
        <v>Crazy 8GY C8 17 WTR</v>
      </c>
      <c r="R79" s="35" t="str">
        <f t="shared" si="5"/>
        <v>2018Crazy 8Winter</v>
      </c>
      <c r="S79" s="1">
        <v>2018</v>
      </c>
      <c r="T79" s="1" t="s">
        <v>74</v>
      </c>
      <c r="U79" s="1" t="s">
        <v>40</v>
      </c>
      <c r="V79" s="1" t="s">
        <v>424</v>
      </c>
      <c r="W79" s="27" t="s">
        <v>470</v>
      </c>
      <c r="X79" s="30"/>
      <c r="AF79" s="35" t="str">
        <f t="shared" si="6"/>
        <v>Janie &amp; JackRetailUSA25</v>
      </c>
      <c r="AG79" s="1" t="s">
        <v>38</v>
      </c>
      <c r="AH79" s="1" t="s">
        <v>5</v>
      </c>
      <c r="AI79" s="1" t="s">
        <v>336</v>
      </c>
      <c r="AJ79" s="1">
        <v>25</v>
      </c>
      <c r="AK79" s="27">
        <v>0.62</v>
      </c>
      <c r="AM79" s="262" t="str">
        <f t="shared" si="7"/>
        <v>Janie &amp; JackUSAWebJJ 18 SWIM 2</v>
      </c>
      <c r="AN79" s="1" t="s">
        <v>38</v>
      </c>
      <c r="AO79" s="1" t="s">
        <v>15</v>
      </c>
      <c r="AP79" s="1" t="s">
        <v>336</v>
      </c>
      <c r="AQ79" s="1">
        <v>2018</v>
      </c>
      <c r="AR79" s="1" t="s">
        <v>16</v>
      </c>
      <c r="AS79" s="1" t="s">
        <v>186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27" t="s">
        <v>187</v>
      </c>
    </row>
    <row r="80" spans="17:52" x14ac:dyDescent="0.25">
      <c r="Q80" s="262" t="str">
        <f t="shared" si="4"/>
        <v>Crazy 8GY C8 17 WTR DOORBUSTER</v>
      </c>
      <c r="R80" s="35" t="str">
        <f t="shared" si="5"/>
        <v>2018Crazy 8Winter</v>
      </c>
      <c r="S80" s="1">
        <v>2018</v>
      </c>
      <c r="T80" s="1" t="s">
        <v>74</v>
      </c>
      <c r="U80" s="1" t="s">
        <v>40</v>
      </c>
      <c r="V80" s="1" t="s">
        <v>425</v>
      </c>
      <c r="W80" s="27" t="s">
        <v>471</v>
      </c>
      <c r="X80" s="30"/>
      <c r="AF80" s="35" t="str">
        <f t="shared" si="6"/>
        <v>Janie &amp; JackRetailUSA26</v>
      </c>
      <c r="AG80" s="1" t="s">
        <v>38</v>
      </c>
      <c r="AH80" s="1" t="s">
        <v>5</v>
      </c>
      <c r="AI80" s="1" t="s">
        <v>336</v>
      </c>
      <c r="AJ80" s="1">
        <v>26</v>
      </c>
      <c r="AK80" s="27">
        <v>0.64</v>
      </c>
      <c r="AM80" s="262" t="str">
        <f t="shared" si="7"/>
        <v>Janie &amp; JackUSAWebJJ 18 JAN SPR GIFTING LAY</v>
      </c>
      <c r="AN80" s="1" t="s">
        <v>38</v>
      </c>
      <c r="AO80" s="1" t="s">
        <v>15</v>
      </c>
      <c r="AP80" s="1" t="s">
        <v>336</v>
      </c>
      <c r="AQ80" s="1">
        <v>2018</v>
      </c>
      <c r="AR80" s="1" t="s">
        <v>16</v>
      </c>
      <c r="AS80" s="1" t="s">
        <v>216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27" t="s">
        <v>217</v>
      </c>
    </row>
    <row r="81" spans="17:52" x14ac:dyDescent="0.25">
      <c r="Q81" s="262" t="str">
        <f t="shared" si="4"/>
        <v>GymboreeGY 17 FALL BASICS</v>
      </c>
      <c r="R81" s="35" t="str">
        <f t="shared" si="5"/>
        <v>2018GymboreeBasics</v>
      </c>
      <c r="S81" s="1">
        <v>2018</v>
      </c>
      <c r="T81" s="1" t="s">
        <v>14</v>
      </c>
      <c r="U81" s="1" t="s">
        <v>41</v>
      </c>
      <c r="V81" s="1" t="s">
        <v>148</v>
      </c>
      <c r="W81" s="27" t="s">
        <v>473</v>
      </c>
      <c r="X81" s="30"/>
      <c r="AF81" s="35" t="str">
        <f t="shared" si="6"/>
        <v>Janie &amp; JackRetailUSA27</v>
      </c>
      <c r="AG81" s="1" t="s">
        <v>38</v>
      </c>
      <c r="AH81" s="1" t="s">
        <v>5</v>
      </c>
      <c r="AI81" s="1" t="s">
        <v>336</v>
      </c>
      <c r="AJ81" s="1">
        <v>27</v>
      </c>
      <c r="AK81" s="27">
        <v>0.65</v>
      </c>
      <c r="AM81" s="262" t="str">
        <f t="shared" si="7"/>
        <v>Janie &amp; JackUSAWebJJ 18 JAN SPRING 1</v>
      </c>
      <c r="AN81" s="1" t="s">
        <v>38</v>
      </c>
      <c r="AO81" s="1" t="s">
        <v>15</v>
      </c>
      <c r="AP81" s="1" t="s">
        <v>336</v>
      </c>
      <c r="AQ81" s="1">
        <v>2018</v>
      </c>
      <c r="AR81" s="1" t="s">
        <v>16</v>
      </c>
      <c r="AS81" s="1" t="s">
        <v>202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27" t="s">
        <v>203</v>
      </c>
    </row>
    <row r="82" spans="17:52" x14ac:dyDescent="0.25">
      <c r="Q82" s="262" t="str">
        <f t="shared" si="4"/>
        <v>GymboreeGY 17 SPRING BASICS</v>
      </c>
      <c r="R82" s="35" t="str">
        <f t="shared" si="5"/>
        <v>2018GymboreeBasics</v>
      </c>
      <c r="S82" s="1">
        <v>2018</v>
      </c>
      <c r="T82" s="1" t="s">
        <v>14</v>
      </c>
      <c r="U82" s="1" t="s">
        <v>41</v>
      </c>
      <c r="V82" s="1" t="s">
        <v>146</v>
      </c>
      <c r="W82" s="27" t="s">
        <v>472</v>
      </c>
      <c r="X82" s="30"/>
      <c r="AF82" s="35" t="str">
        <f t="shared" si="6"/>
        <v>Janie &amp; JackRetailUSA28</v>
      </c>
      <c r="AG82" s="1" t="s">
        <v>38</v>
      </c>
      <c r="AH82" s="1" t="s">
        <v>5</v>
      </c>
      <c r="AI82" s="1" t="s">
        <v>336</v>
      </c>
      <c r="AJ82" s="1">
        <v>28</v>
      </c>
      <c r="AK82" s="27">
        <v>0.65</v>
      </c>
      <c r="AM82" s="262" t="str">
        <f t="shared" si="7"/>
        <v>Janie &amp; JackUSAWebJJ 18 JAN SO SB1</v>
      </c>
      <c r="AN82" s="1" t="s">
        <v>38</v>
      </c>
      <c r="AO82" s="1" t="s">
        <v>15</v>
      </c>
      <c r="AP82" s="1" t="s">
        <v>336</v>
      </c>
      <c r="AQ82" s="1">
        <v>2018</v>
      </c>
      <c r="AR82" s="1" t="s">
        <v>16</v>
      </c>
      <c r="AS82" s="1" t="s">
        <v>188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27" t="s">
        <v>189</v>
      </c>
    </row>
    <row r="83" spans="17:52" x14ac:dyDescent="0.25">
      <c r="Q83" s="262" t="str">
        <f t="shared" si="4"/>
        <v>GymboreeGY 18 SPRING BASICS</v>
      </c>
      <c r="R83" s="35" t="str">
        <f t="shared" si="5"/>
        <v>2018GymboreeBasics</v>
      </c>
      <c r="S83" s="1">
        <v>2018</v>
      </c>
      <c r="T83" s="1" t="s">
        <v>14</v>
      </c>
      <c r="U83" s="1" t="s">
        <v>41</v>
      </c>
      <c r="V83" s="1" t="s">
        <v>145</v>
      </c>
      <c r="W83" s="27" t="s">
        <v>146</v>
      </c>
      <c r="X83" s="30"/>
      <c r="AF83" s="35" t="str">
        <f t="shared" si="6"/>
        <v>Janie &amp; JackRetailUSA29</v>
      </c>
      <c r="AG83" s="1" t="s">
        <v>38</v>
      </c>
      <c r="AH83" s="1" t="s">
        <v>5</v>
      </c>
      <c r="AI83" s="1" t="s">
        <v>336</v>
      </c>
      <c r="AJ83" s="1">
        <v>29</v>
      </c>
      <c r="AK83" s="27">
        <v>0.65</v>
      </c>
      <c r="AM83" s="262" t="str">
        <f t="shared" si="7"/>
        <v>Janie &amp; JackUSAWebJJ 18 FEB EASTER 1</v>
      </c>
      <c r="AN83" s="1" t="s">
        <v>38</v>
      </c>
      <c r="AO83" s="1" t="s">
        <v>15</v>
      </c>
      <c r="AP83" s="1" t="s">
        <v>336</v>
      </c>
      <c r="AQ83" s="1">
        <v>2018</v>
      </c>
      <c r="AR83" s="1" t="s">
        <v>16</v>
      </c>
      <c r="AS83" s="1" t="s">
        <v>208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27" t="s">
        <v>209</v>
      </c>
    </row>
    <row r="84" spans="17:52" x14ac:dyDescent="0.25">
      <c r="Q84" s="262" t="str">
        <f t="shared" si="4"/>
        <v>GymboreeGY YRLY BASICS</v>
      </c>
      <c r="R84" s="35" t="str">
        <f t="shared" si="5"/>
        <v>2018GymboreeBasics</v>
      </c>
      <c r="S84" s="1">
        <v>2018</v>
      </c>
      <c r="T84" s="1" t="s">
        <v>14</v>
      </c>
      <c r="U84" s="1" t="s">
        <v>41</v>
      </c>
      <c r="V84" s="1" t="s">
        <v>323</v>
      </c>
      <c r="W84" s="27" t="s">
        <v>323</v>
      </c>
      <c r="X84" s="30"/>
      <c r="AF84" s="35" t="str">
        <f t="shared" si="6"/>
        <v>Janie &amp; JackRetailUSA30</v>
      </c>
      <c r="AG84" s="1" t="s">
        <v>38</v>
      </c>
      <c r="AH84" s="1" t="s">
        <v>5</v>
      </c>
      <c r="AI84" s="1" t="s">
        <v>336</v>
      </c>
      <c r="AJ84" s="1">
        <v>30</v>
      </c>
      <c r="AK84" s="27">
        <v>0.65</v>
      </c>
      <c r="AM84" s="262" t="str">
        <f t="shared" si="7"/>
        <v>Janie &amp; JackUSAWebJJ 18 FEB EASTER GIFT LAY</v>
      </c>
      <c r="AN84" s="1" t="s">
        <v>38</v>
      </c>
      <c r="AO84" s="1" t="s">
        <v>15</v>
      </c>
      <c r="AP84" s="1" t="s">
        <v>336</v>
      </c>
      <c r="AQ84" s="1">
        <v>2018</v>
      </c>
      <c r="AR84" s="1" t="s">
        <v>16</v>
      </c>
      <c r="AS84" s="1" t="s">
        <v>210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27" t="s">
        <v>211</v>
      </c>
    </row>
    <row r="85" spans="17:52" x14ac:dyDescent="0.25">
      <c r="Q85" s="262" t="str">
        <f t="shared" si="4"/>
        <v>GymboreeGY YRLY DENIM</v>
      </c>
      <c r="R85" s="35" t="str">
        <f t="shared" si="5"/>
        <v>2018GymboreeBasics</v>
      </c>
      <c r="S85" s="1">
        <v>2018</v>
      </c>
      <c r="T85" s="1" t="s">
        <v>14</v>
      </c>
      <c r="U85" s="1" t="s">
        <v>41</v>
      </c>
      <c r="V85" s="1" t="s">
        <v>324</v>
      </c>
      <c r="W85" s="27" t="s">
        <v>324</v>
      </c>
      <c r="X85" s="30"/>
      <c r="AF85" s="35" t="str">
        <f t="shared" si="6"/>
        <v>Janie &amp; JackRetailUSA31</v>
      </c>
      <c r="AG85" s="1" t="s">
        <v>38</v>
      </c>
      <c r="AH85" s="1" t="s">
        <v>5</v>
      </c>
      <c r="AI85" s="1" t="s">
        <v>336</v>
      </c>
      <c r="AJ85" s="1">
        <v>31</v>
      </c>
      <c r="AK85" s="27">
        <v>0.65</v>
      </c>
      <c r="AM85" s="262" t="str">
        <f t="shared" si="7"/>
        <v>Janie &amp; JackUSAWebJJ 18 MAR EASTER 2</v>
      </c>
      <c r="AN85" s="1" t="s">
        <v>38</v>
      </c>
      <c r="AO85" s="1" t="s">
        <v>15</v>
      </c>
      <c r="AP85" s="1" t="s">
        <v>336</v>
      </c>
      <c r="AQ85" s="1">
        <v>2018</v>
      </c>
      <c r="AR85" s="1" t="s">
        <v>16</v>
      </c>
      <c r="AS85" s="1" t="s">
        <v>214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27" t="s">
        <v>215</v>
      </c>
    </row>
    <row r="86" spans="17:52" x14ac:dyDescent="0.25">
      <c r="Q86" s="262" t="str">
        <f t="shared" si="4"/>
        <v>GymboreeGY YRLY UNIFORM</v>
      </c>
      <c r="R86" s="35" t="str">
        <f t="shared" si="5"/>
        <v>2018GymboreeBasics</v>
      </c>
      <c r="S86" s="1">
        <v>2018</v>
      </c>
      <c r="T86" s="1" t="s">
        <v>14</v>
      </c>
      <c r="U86" s="1" t="s">
        <v>41</v>
      </c>
      <c r="V86" s="1" t="s">
        <v>325</v>
      </c>
      <c r="W86" s="27" t="s">
        <v>325</v>
      </c>
      <c r="X86" s="30"/>
      <c r="AF86" s="35" t="str">
        <f t="shared" si="6"/>
        <v>Janie &amp; JackRetailUSA32</v>
      </c>
      <c r="AG86" s="1" t="s">
        <v>38</v>
      </c>
      <c r="AH86" s="1" t="s">
        <v>5</v>
      </c>
      <c r="AI86" s="1" t="s">
        <v>336</v>
      </c>
      <c r="AJ86" s="1">
        <v>32</v>
      </c>
      <c r="AK86" s="27">
        <v>0.65</v>
      </c>
      <c r="AM86" s="262" t="str">
        <f t="shared" si="7"/>
        <v>Janie &amp; JackUSAWebJJ 18 SPR SO REFRESH</v>
      </c>
      <c r="AN86" s="1" t="s">
        <v>38</v>
      </c>
      <c r="AO86" s="1" t="s">
        <v>15</v>
      </c>
      <c r="AP86" s="1" t="s">
        <v>336</v>
      </c>
      <c r="AQ86" s="1">
        <v>2018</v>
      </c>
      <c r="AR86" s="1" t="s">
        <v>16</v>
      </c>
      <c r="AS86" s="1" t="s">
        <v>190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27" t="s">
        <v>191</v>
      </c>
    </row>
    <row r="87" spans="17:52" x14ac:dyDescent="0.25">
      <c r="Q87" s="262" t="str">
        <f>T87&amp;V87</f>
        <v>GymboreeGY 18 FALL BASICS</v>
      </c>
      <c r="R87" s="35" t="str">
        <f>S87&amp;T87&amp;U87</f>
        <v>2018GymboreeBasics</v>
      </c>
      <c r="S87" s="1">
        <v>2018</v>
      </c>
      <c r="T87" s="1" t="s">
        <v>14</v>
      </c>
      <c r="U87" s="1" t="s">
        <v>41</v>
      </c>
      <c r="V87" s="1" t="s">
        <v>147</v>
      </c>
      <c r="W87" s="27" t="s">
        <v>148</v>
      </c>
      <c r="X87" s="30"/>
      <c r="AF87" s="35"/>
      <c r="AG87" s="1"/>
      <c r="AH87" s="1"/>
      <c r="AI87" s="1"/>
      <c r="AJ87" s="1"/>
      <c r="AK87" s="27"/>
      <c r="AM87" s="262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27"/>
    </row>
    <row r="88" spans="17:52" x14ac:dyDescent="0.25">
      <c r="Q88" s="262" t="str">
        <f t="shared" si="4"/>
        <v>GymboreeGY 17 BTS</v>
      </c>
      <c r="R88" s="35" t="str">
        <f t="shared" si="5"/>
        <v>2018GymboreeFall</v>
      </c>
      <c r="S88" s="1">
        <v>2018</v>
      </c>
      <c r="T88" s="1" t="s">
        <v>14</v>
      </c>
      <c r="U88" s="1" t="s">
        <v>39</v>
      </c>
      <c r="V88" s="1" t="s">
        <v>414</v>
      </c>
      <c r="W88" s="27" t="s">
        <v>474</v>
      </c>
      <c r="X88" s="30"/>
      <c r="AF88" s="35" t="str">
        <f t="shared" si="6"/>
        <v>Janie &amp; JackRetailUSA33</v>
      </c>
      <c r="AG88" s="1" t="s">
        <v>38</v>
      </c>
      <c r="AH88" s="1" t="s">
        <v>5</v>
      </c>
      <c r="AI88" s="1" t="s">
        <v>336</v>
      </c>
      <c r="AJ88" s="1">
        <v>33</v>
      </c>
      <c r="AK88" s="27">
        <v>0.65</v>
      </c>
      <c r="AM88" s="262" t="str">
        <f t="shared" si="7"/>
        <v>Janie &amp; JackUSAWebJJ 18 MAR SPR 2</v>
      </c>
      <c r="AN88" s="1" t="s">
        <v>38</v>
      </c>
      <c r="AO88" s="1" t="s">
        <v>15</v>
      </c>
      <c r="AP88" s="1" t="s">
        <v>336</v>
      </c>
      <c r="AQ88" s="1">
        <v>2018</v>
      </c>
      <c r="AR88" s="1" t="s">
        <v>16</v>
      </c>
      <c r="AS88" s="1" t="s">
        <v>218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27" t="s">
        <v>219</v>
      </c>
    </row>
    <row r="89" spans="17:52" x14ac:dyDescent="0.25">
      <c r="Q89" s="262" t="str">
        <f t="shared" si="4"/>
        <v>GymboreeGY 17 FAL</v>
      </c>
      <c r="R89" s="35" t="str">
        <f t="shared" si="5"/>
        <v>2018GymboreeFall</v>
      </c>
      <c r="S89" s="1">
        <v>2018</v>
      </c>
      <c r="T89" s="1" t="s">
        <v>14</v>
      </c>
      <c r="U89" s="1" t="s">
        <v>39</v>
      </c>
      <c r="V89" s="1" t="s">
        <v>388</v>
      </c>
      <c r="W89" s="27" t="s">
        <v>475</v>
      </c>
      <c r="X89" s="30"/>
      <c r="AF89" s="35" t="str">
        <f t="shared" si="6"/>
        <v>Janie &amp; JackRetailUSA34</v>
      </c>
      <c r="AG89" s="1" t="s">
        <v>38</v>
      </c>
      <c r="AH89" s="1" t="s">
        <v>5</v>
      </c>
      <c r="AI89" s="1" t="s">
        <v>336</v>
      </c>
      <c r="AJ89" s="1">
        <v>34</v>
      </c>
      <c r="AK89" s="27">
        <v>0.65</v>
      </c>
      <c r="AM89" s="262" t="str">
        <f t="shared" si="7"/>
        <v>Janie &amp; JackUSAWebJJ 18 MAR LAY SWIM</v>
      </c>
      <c r="AN89" s="1" t="s">
        <v>38</v>
      </c>
      <c r="AO89" s="1" t="s">
        <v>15</v>
      </c>
      <c r="AP89" s="1" t="s">
        <v>336</v>
      </c>
      <c r="AQ89" s="1">
        <v>2018</v>
      </c>
      <c r="AR89" s="1" t="s">
        <v>16</v>
      </c>
      <c r="AS89" s="1" t="s">
        <v>195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27" t="s">
        <v>196</v>
      </c>
    </row>
    <row r="90" spans="17:52" x14ac:dyDescent="0.25">
      <c r="Q90" s="262" t="str">
        <f t="shared" si="4"/>
        <v>GymboreeGY 17 FALL 1</v>
      </c>
      <c r="R90" s="35" t="str">
        <f t="shared" si="5"/>
        <v>2018GymboreeFall</v>
      </c>
      <c r="S90" s="1">
        <v>2018</v>
      </c>
      <c r="T90" s="1" t="s">
        <v>14</v>
      </c>
      <c r="U90" s="1" t="s">
        <v>39</v>
      </c>
      <c r="V90" s="1" t="s">
        <v>413</v>
      </c>
      <c r="W90" s="27" t="s">
        <v>476</v>
      </c>
      <c r="X90" s="30"/>
      <c r="AF90" s="35" t="str">
        <f t="shared" si="6"/>
        <v>Janie &amp; JackRetailUSA35</v>
      </c>
      <c r="AG90" s="1" t="s">
        <v>38</v>
      </c>
      <c r="AH90" s="1" t="s">
        <v>5</v>
      </c>
      <c r="AI90" s="1" t="s">
        <v>336</v>
      </c>
      <c r="AJ90" s="1">
        <v>35</v>
      </c>
      <c r="AK90" s="27">
        <v>0.65</v>
      </c>
      <c r="AM90" s="262" t="str">
        <f t="shared" si="7"/>
        <v>Janie &amp; JackUSAWebJJ 18 FEB SPRING LIMITED EDITION</v>
      </c>
      <c r="AN90" s="1" t="s">
        <v>38</v>
      </c>
      <c r="AO90" s="1" t="s">
        <v>15</v>
      </c>
      <c r="AP90" s="1" t="s">
        <v>336</v>
      </c>
      <c r="AQ90" s="1">
        <v>2018</v>
      </c>
      <c r="AR90" s="1" t="s">
        <v>16</v>
      </c>
      <c r="AS90" s="1" t="s">
        <v>220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27" t="s">
        <v>591</v>
      </c>
    </row>
    <row r="91" spans="17:52" x14ac:dyDescent="0.25">
      <c r="Q91" s="262" t="str">
        <f t="shared" si="4"/>
        <v>GymboreeGY 17 FALL 2</v>
      </c>
      <c r="R91" s="35" t="str">
        <f t="shared" si="5"/>
        <v>2018GymboreeFall</v>
      </c>
      <c r="S91" s="1">
        <v>2018</v>
      </c>
      <c r="T91" s="1" t="s">
        <v>14</v>
      </c>
      <c r="U91" s="1" t="s">
        <v>39</v>
      </c>
      <c r="V91" s="1" t="s">
        <v>389</v>
      </c>
      <c r="W91" s="27" t="s">
        <v>477</v>
      </c>
      <c r="X91" s="30"/>
      <c r="AF91" s="35" t="str">
        <f t="shared" si="6"/>
        <v>Janie &amp; JackRetailUSA36</v>
      </c>
      <c r="AG91" s="1" t="s">
        <v>38</v>
      </c>
      <c r="AH91" s="1" t="s">
        <v>5</v>
      </c>
      <c r="AI91" s="1" t="s">
        <v>336</v>
      </c>
      <c r="AJ91" s="1">
        <v>36</v>
      </c>
      <c r="AK91" s="27">
        <v>0.65</v>
      </c>
      <c r="AM91" s="262" t="str">
        <f t="shared" si="7"/>
        <v>Janie &amp; JackUSAWebJJ 18 MAR SUMMER 0</v>
      </c>
      <c r="AN91" s="1" t="s">
        <v>38</v>
      </c>
      <c r="AO91" s="1" t="s">
        <v>15</v>
      </c>
      <c r="AP91" s="1" t="s">
        <v>336</v>
      </c>
      <c r="AQ91" s="1">
        <v>2018</v>
      </c>
      <c r="AR91" s="1" t="s">
        <v>18</v>
      </c>
      <c r="AS91" s="1" t="s">
        <v>222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27" t="s">
        <v>223</v>
      </c>
    </row>
    <row r="92" spans="17:52" x14ac:dyDescent="0.25">
      <c r="Q92" s="262" t="str">
        <f t="shared" si="4"/>
        <v>GymboreeGY 17 FALL 3</v>
      </c>
      <c r="R92" s="35" t="str">
        <f t="shared" si="5"/>
        <v>2018GymboreeFall</v>
      </c>
      <c r="S92" s="1">
        <v>2018</v>
      </c>
      <c r="T92" s="1" t="s">
        <v>14</v>
      </c>
      <c r="U92" s="1" t="s">
        <v>39</v>
      </c>
      <c r="V92" s="1" t="s">
        <v>390</v>
      </c>
      <c r="W92" s="27" t="s">
        <v>478</v>
      </c>
      <c r="X92" s="30"/>
      <c r="AF92" s="35" t="str">
        <f t="shared" si="6"/>
        <v>Janie &amp; JackRetailUSA37</v>
      </c>
      <c r="AG92" s="1" t="s">
        <v>38</v>
      </c>
      <c r="AH92" s="1" t="s">
        <v>5</v>
      </c>
      <c r="AI92" s="1" t="s">
        <v>336</v>
      </c>
      <c r="AJ92" s="1">
        <v>37</v>
      </c>
      <c r="AK92" s="27">
        <v>0.65</v>
      </c>
      <c r="AM92" s="262" t="str">
        <f t="shared" si="7"/>
        <v>Janie &amp; JackUSAWebJJ 18 APR SMR 1</v>
      </c>
      <c r="AN92" s="1" t="s">
        <v>38</v>
      </c>
      <c r="AO92" s="1" t="s">
        <v>15</v>
      </c>
      <c r="AP92" s="1" t="s">
        <v>336</v>
      </c>
      <c r="AQ92" s="1">
        <v>2018</v>
      </c>
      <c r="AR92" s="1" t="s">
        <v>18</v>
      </c>
      <c r="AS92" s="1" t="s">
        <v>224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27" t="s">
        <v>225</v>
      </c>
    </row>
    <row r="93" spans="17:52" x14ac:dyDescent="0.25">
      <c r="Q93" s="262" t="str">
        <f t="shared" si="4"/>
        <v>GymboreeGY 17 FALL 4</v>
      </c>
      <c r="R93" s="35" t="str">
        <f t="shared" si="5"/>
        <v>2018GymboreeFall</v>
      </c>
      <c r="S93" s="1">
        <v>2018</v>
      </c>
      <c r="T93" s="1" t="s">
        <v>14</v>
      </c>
      <c r="U93" s="1" t="s">
        <v>39</v>
      </c>
      <c r="V93" s="1" t="s">
        <v>391</v>
      </c>
      <c r="W93" s="27" t="s">
        <v>479</v>
      </c>
      <c r="X93" s="30"/>
      <c r="AF93" s="35" t="str">
        <f t="shared" si="6"/>
        <v>Janie &amp; JackRetailUSA38</v>
      </c>
      <c r="AG93" s="1" t="s">
        <v>38</v>
      </c>
      <c r="AH93" s="1" t="s">
        <v>5</v>
      </c>
      <c r="AI93" s="1" t="s">
        <v>336</v>
      </c>
      <c r="AJ93" s="1">
        <v>38</v>
      </c>
      <c r="AK93" s="27">
        <v>0.65</v>
      </c>
      <c r="AM93" s="262" t="str">
        <f t="shared" si="7"/>
        <v>Janie &amp; JackUSAWebJJ 18 SMR BASICS</v>
      </c>
      <c r="AN93" s="1" t="s">
        <v>38</v>
      </c>
      <c r="AO93" s="1" t="s">
        <v>15</v>
      </c>
      <c r="AP93" s="1" t="s">
        <v>336</v>
      </c>
      <c r="AQ93" s="1">
        <v>2018</v>
      </c>
      <c r="AR93" s="1" t="s">
        <v>18</v>
      </c>
      <c r="AS93" s="1" t="s">
        <v>192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27" t="s">
        <v>193</v>
      </c>
    </row>
    <row r="94" spans="17:52" x14ac:dyDescent="0.25">
      <c r="Q94" s="262" t="str">
        <f t="shared" si="4"/>
        <v>GymboreeGY 17 HO HO SHOP</v>
      </c>
      <c r="R94" s="35" t="str">
        <f t="shared" si="5"/>
        <v>2018GymboreeFall</v>
      </c>
      <c r="S94" s="1">
        <v>2018</v>
      </c>
      <c r="T94" s="1" t="s">
        <v>14</v>
      </c>
      <c r="U94" s="1" t="s">
        <v>39</v>
      </c>
      <c r="V94" s="1" t="s">
        <v>392</v>
      </c>
      <c r="W94" s="27" t="s">
        <v>480</v>
      </c>
      <c r="X94" s="30"/>
      <c r="AF94" s="35" t="str">
        <f t="shared" si="6"/>
        <v>Janie &amp; JackRetailUSA39</v>
      </c>
      <c r="AG94" s="1" t="s">
        <v>38</v>
      </c>
      <c r="AH94" s="1" t="s">
        <v>5</v>
      </c>
      <c r="AI94" s="1" t="s">
        <v>336</v>
      </c>
      <c r="AJ94" s="1">
        <v>39</v>
      </c>
      <c r="AK94" s="27">
        <v>0.65</v>
      </c>
      <c r="AM94" s="262" t="str">
        <f t="shared" si="7"/>
        <v>Janie &amp; JackUSAWebJJ 18 MAR JJ SPORT</v>
      </c>
      <c r="AN94" s="1" t="s">
        <v>38</v>
      </c>
      <c r="AO94" s="1" t="s">
        <v>15</v>
      </c>
      <c r="AP94" s="1" t="s">
        <v>336</v>
      </c>
      <c r="AQ94" s="1">
        <v>2018</v>
      </c>
      <c r="AR94" s="1" t="s">
        <v>18</v>
      </c>
      <c r="AS94" s="1" t="s">
        <v>221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27" t="s">
        <v>591</v>
      </c>
    </row>
    <row r="95" spans="17:52" x14ac:dyDescent="0.25">
      <c r="Q95" s="262" t="str">
        <f t="shared" ref="Q95:Q97" si="8">T95&amp;V95</f>
        <v>GymboreeGY 18 FAL</v>
      </c>
      <c r="R95" s="35" t="str">
        <f t="shared" ref="R95:R97" si="9">S95&amp;T95&amp;U95</f>
        <v>2018GymboreeFall</v>
      </c>
      <c r="S95" s="315">
        <v>2018</v>
      </c>
      <c r="T95" s="315" t="s">
        <v>14</v>
      </c>
      <c r="U95" s="315" t="s">
        <v>39</v>
      </c>
      <c r="V95" s="313" t="s">
        <v>606</v>
      </c>
      <c r="W95" s="314" t="s">
        <v>388</v>
      </c>
      <c r="AF95" s="35"/>
      <c r="AG95" s="1"/>
      <c r="AH95" s="1"/>
      <c r="AI95" s="1"/>
      <c r="AJ95" s="1"/>
      <c r="AK95" s="27"/>
      <c r="AM95" s="262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27"/>
    </row>
    <row r="96" spans="17:52" x14ac:dyDescent="0.25">
      <c r="Q96" s="262" t="str">
        <f t="shared" si="8"/>
        <v>GymboreeGY 18 BTS</v>
      </c>
      <c r="R96" s="35" t="str">
        <f t="shared" si="9"/>
        <v>2018GymboreeFall</v>
      </c>
      <c r="S96" s="315">
        <v>2018</v>
      </c>
      <c r="T96" s="315" t="s">
        <v>14</v>
      </c>
      <c r="U96" s="315" t="s">
        <v>39</v>
      </c>
      <c r="V96" s="313" t="s">
        <v>604</v>
      </c>
      <c r="W96" s="314" t="s">
        <v>414</v>
      </c>
      <c r="Y96" s="1"/>
      <c r="Z96" s="1"/>
      <c r="AA96" s="311"/>
      <c r="AF96" s="35"/>
      <c r="AG96" s="1"/>
      <c r="AH96" s="1"/>
      <c r="AI96" s="1"/>
      <c r="AJ96" s="1"/>
      <c r="AK96" s="27"/>
      <c r="AM96" s="262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27"/>
    </row>
    <row r="97" spans="17:52" x14ac:dyDescent="0.25">
      <c r="Q97" s="262" t="str">
        <f t="shared" si="8"/>
        <v>GymboreeGY 18 FALL 1</v>
      </c>
      <c r="R97" s="35" t="str">
        <f t="shared" si="9"/>
        <v>2018GymboreeFall</v>
      </c>
      <c r="S97" s="315">
        <v>2018</v>
      </c>
      <c r="T97" s="315" t="s">
        <v>14</v>
      </c>
      <c r="U97" s="315" t="s">
        <v>39</v>
      </c>
      <c r="V97" s="313" t="s">
        <v>605</v>
      </c>
      <c r="W97" s="314" t="s">
        <v>413</v>
      </c>
      <c r="AF97" s="35"/>
      <c r="AG97" s="1"/>
      <c r="AH97" s="1"/>
      <c r="AI97" s="1"/>
      <c r="AJ97" s="1"/>
      <c r="AK97" s="27"/>
      <c r="AM97" s="262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27"/>
    </row>
    <row r="98" spans="17:52" x14ac:dyDescent="0.25">
      <c r="Q98" s="262" t="str">
        <f t="shared" ref="Q98:Q101" si="10">T98&amp;V98</f>
        <v>GymboreeGY 18 FALL 2</v>
      </c>
      <c r="R98" s="35" t="str">
        <f t="shared" ref="R98:R101" si="11">S98&amp;T98&amp;U98</f>
        <v>2018GymboreeFall</v>
      </c>
      <c r="S98" s="315">
        <v>2018</v>
      </c>
      <c r="T98" s="315" t="s">
        <v>14</v>
      </c>
      <c r="U98" s="313" t="s">
        <v>39</v>
      </c>
      <c r="V98" s="313" t="s">
        <v>607</v>
      </c>
      <c r="W98" s="313" t="s">
        <v>389</v>
      </c>
      <c r="AF98" s="35" t="str">
        <f t="shared" si="6"/>
        <v>Janie &amp; JackRetailUSA41</v>
      </c>
      <c r="AG98" s="1" t="s">
        <v>38</v>
      </c>
      <c r="AH98" s="1" t="s">
        <v>5</v>
      </c>
      <c r="AI98" s="1" t="s">
        <v>336</v>
      </c>
      <c r="AJ98" s="1">
        <v>41</v>
      </c>
      <c r="AK98" s="27">
        <v>0.65</v>
      </c>
      <c r="AM98" s="262" t="str">
        <f t="shared" si="7"/>
        <v>Janie &amp; JackUSAWebJJ 18 MAY 4TH OF JULY</v>
      </c>
      <c r="AN98" s="1" t="s">
        <v>38</v>
      </c>
      <c r="AO98" s="1" t="s">
        <v>15</v>
      </c>
      <c r="AP98" s="1" t="s">
        <v>336</v>
      </c>
      <c r="AQ98" s="1">
        <v>2018</v>
      </c>
      <c r="AR98" s="1" t="s">
        <v>18</v>
      </c>
      <c r="AS98" s="1" t="s">
        <v>228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27" t="s">
        <v>229</v>
      </c>
    </row>
    <row r="99" spans="17:52" x14ac:dyDescent="0.25">
      <c r="Q99" s="262" t="str">
        <f t="shared" si="10"/>
        <v>GymboreeGY 18 FALL 3</v>
      </c>
      <c r="R99" s="35" t="str">
        <f t="shared" si="11"/>
        <v>2018GymboreeFall</v>
      </c>
      <c r="S99" s="315">
        <v>2018</v>
      </c>
      <c r="T99" s="315" t="s">
        <v>14</v>
      </c>
      <c r="U99" s="313" t="s">
        <v>39</v>
      </c>
      <c r="V99" s="313" t="s">
        <v>608</v>
      </c>
      <c r="W99" s="313" t="s">
        <v>390</v>
      </c>
      <c r="AF99" s="35" t="str">
        <f t="shared" si="6"/>
        <v>Janie &amp; JackRetailUSA42</v>
      </c>
      <c r="AG99" s="1" t="s">
        <v>38</v>
      </c>
      <c r="AH99" s="1" t="s">
        <v>5</v>
      </c>
      <c r="AI99" s="1" t="s">
        <v>336</v>
      </c>
      <c r="AJ99" s="1">
        <v>42</v>
      </c>
      <c r="AK99" s="27">
        <v>0.65</v>
      </c>
      <c r="AM99" s="262" t="str">
        <f t="shared" si="7"/>
        <v>Janie &amp; JackUSAWebJJ 18 MAY TRANS GIFT LAY</v>
      </c>
      <c r="AN99" s="1" t="s">
        <v>38</v>
      </c>
      <c r="AO99" s="1" t="s">
        <v>15</v>
      </c>
      <c r="AP99" s="1" t="s">
        <v>336</v>
      </c>
      <c r="AQ99" s="1">
        <v>2018</v>
      </c>
      <c r="AR99" s="1" t="s">
        <v>18</v>
      </c>
      <c r="AS99" s="1" t="s">
        <v>238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27" t="s">
        <v>239</v>
      </c>
    </row>
    <row r="100" spans="17:52" x14ac:dyDescent="0.25">
      <c r="Q100" s="262" t="str">
        <f t="shared" si="10"/>
        <v>GymboreeGY 18 FALL 4</v>
      </c>
      <c r="R100" s="35" t="str">
        <f t="shared" si="11"/>
        <v>2018GymboreeFall</v>
      </c>
      <c r="S100" s="315">
        <v>2018</v>
      </c>
      <c r="T100" s="315" t="s">
        <v>14</v>
      </c>
      <c r="U100" s="313" t="s">
        <v>39</v>
      </c>
      <c r="V100" s="313" t="s">
        <v>609</v>
      </c>
      <c r="W100" s="313" t="s">
        <v>391</v>
      </c>
      <c r="AF100" s="35" t="str">
        <f t="shared" si="6"/>
        <v>Janie &amp; JackRetailUSA43</v>
      </c>
      <c r="AG100" s="1" t="s">
        <v>38</v>
      </c>
      <c r="AH100" s="1" t="s">
        <v>5</v>
      </c>
      <c r="AI100" s="1" t="s">
        <v>336</v>
      </c>
      <c r="AJ100" s="1">
        <v>43</v>
      </c>
      <c r="AK100" s="27">
        <v>0.65</v>
      </c>
      <c r="AM100" s="262" t="str">
        <f t="shared" si="7"/>
        <v>Janie &amp; JackUSAWebJJ 18 MAY SUMMER 3</v>
      </c>
      <c r="AN100" s="1" t="s">
        <v>38</v>
      </c>
      <c r="AO100" s="1" t="s">
        <v>15</v>
      </c>
      <c r="AP100" s="1" t="s">
        <v>336</v>
      </c>
      <c r="AQ100" s="1">
        <v>2018</v>
      </c>
      <c r="AR100" s="1" t="s">
        <v>18</v>
      </c>
      <c r="AS100" s="1" t="s">
        <v>231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27" t="s">
        <v>232</v>
      </c>
    </row>
    <row r="101" spans="17:52" x14ac:dyDescent="0.25">
      <c r="Q101" s="262" t="str">
        <f t="shared" si="10"/>
        <v>GymboreeGY 18 HO HO SHOP</v>
      </c>
      <c r="R101" s="35" t="str">
        <f t="shared" si="11"/>
        <v>2018GymboreeFall</v>
      </c>
      <c r="S101" s="315">
        <v>2018</v>
      </c>
      <c r="T101" s="315" t="s">
        <v>14</v>
      </c>
      <c r="U101" s="313" t="s">
        <v>39</v>
      </c>
      <c r="V101" s="313" t="s">
        <v>610</v>
      </c>
      <c r="W101" s="313" t="s">
        <v>392</v>
      </c>
      <c r="AF101" s="35" t="str">
        <f t="shared" si="6"/>
        <v>Janie &amp; JackRetailUSA44</v>
      </c>
      <c r="AG101" s="1" t="s">
        <v>38</v>
      </c>
      <c r="AH101" s="1" t="s">
        <v>5</v>
      </c>
      <c r="AI101" s="1" t="s">
        <v>336</v>
      </c>
      <c r="AJ101" s="1">
        <v>44</v>
      </c>
      <c r="AK101" s="27">
        <v>0.65</v>
      </c>
      <c r="AM101" s="262" t="str">
        <f t="shared" si="7"/>
        <v>Janie &amp; JackUSAWebJJ 18 MAY SPORT</v>
      </c>
      <c r="AN101" s="1" t="s">
        <v>38</v>
      </c>
      <c r="AO101" s="1" t="s">
        <v>15</v>
      </c>
      <c r="AP101" s="1" t="s">
        <v>336</v>
      </c>
      <c r="AQ101" s="1">
        <v>2018</v>
      </c>
      <c r="AR101" s="1" t="s">
        <v>18</v>
      </c>
      <c r="AS101" s="1" t="s">
        <v>431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27" t="s">
        <v>591</v>
      </c>
    </row>
    <row r="102" spans="17:52" x14ac:dyDescent="0.25">
      <c r="Q102" s="262" t="str">
        <f t="shared" si="4"/>
        <v>GymboreeGY MISC</v>
      </c>
      <c r="R102" s="35" t="str">
        <f t="shared" si="5"/>
        <v>2018GymboreeOther</v>
      </c>
      <c r="S102" s="1">
        <v>2018</v>
      </c>
      <c r="T102" s="1" t="s">
        <v>14</v>
      </c>
      <c r="U102" s="1" t="s">
        <v>320</v>
      </c>
      <c r="V102" s="1" t="s">
        <v>327</v>
      </c>
      <c r="W102" s="27" t="s">
        <v>327</v>
      </c>
      <c r="X102" s="30"/>
      <c r="AF102" s="35" t="str">
        <f t="shared" si="6"/>
        <v>Janie &amp; JackRetailUSA45</v>
      </c>
      <c r="AG102" s="1" t="s">
        <v>38</v>
      </c>
      <c r="AH102" s="1" t="s">
        <v>5</v>
      </c>
      <c r="AI102" s="1" t="s">
        <v>336</v>
      </c>
      <c r="AJ102" s="1">
        <v>45</v>
      </c>
      <c r="AK102" s="27">
        <v>0.65</v>
      </c>
      <c r="AM102" s="262" t="str">
        <f t="shared" si="7"/>
        <v>Janie &amp; JackUSAWebJJ 18 MAY SUMMER 4</v>
      </c>
      <c r="AN102" s="1" t="s">
        <v>38</v>
      </c>
      <c r="AO102" s="1" t="s">
        <v>15</v>
      </c>
      <c r="AP102" s="1" t="s">
        <v>336</v>
      </c>
      <c r="AQ102" s="1">
        <v>2018</v>
      </c>
      <c r="AR102" s="1" t="s">
        <v>18</v>
      </c>
      <c r="AS102" s="1" t="s">
        <v>233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27" t="s">
        <v>234</v>
      </c>
    </row>
    <row r="103" spans="17:52" x14ac:dyDescent="0.25">
      <c r="Q103" s="262" t="str">
        <f t="shared" si="4"/>
        <v>GymboreeGY WEBSTORE SKU</v>
      </c>
      <c r="R103" s="35" t="str">
        <f t="shared" si="5"/>
        <v>2018GymboreeOther</v>
      </c>
      <c r="S103" s="1">
        <v>2018</v>
      </c>
      <c r="T103" s="1" t="s">
        <v>14</v>
      </c>
      <c r="U103" s="1" t="s">
        <v>320</v>
      </c>
      <c r="V103" s="1" t="s">
        <v>326</v>
      </c>
      <c r="W103" s="27" t="s">
        <v>326</v>
      </c>
      <c r="X103" s="30"/>
      <c r="AF103" s="35" t="str">
        <f t="shared" si="6"/>
        <v>Janie &amp; JackRetailUSA46</v>
      </c>
      <c r="AG103" s="1" t="s">
        <v>38</v>
      </c>
      <c r="AH103" s="1" t="s">
        <v>5</v>
      </c>
      <c r="AI103" s="1" t="s">
        <v>336</v>
      </c>
      <c r="AJ103" s="1">
        <v>46</v>
      </c>
      <c r="AK103" s="27">
        <v>0.65</v>
      </c>
      <c r="AM103" s="262" t="str">
        <f t="shared" si="7"/>
        <v>Janie &amp; JackUSAWebJJ 18 JUN TRANS 1</v>
      </c>
      <c r="AN103" s="1" t="s">
        <v>38</v>
      </c>
      <c r="AO103" s="1" t="s">
        <v>15</v>
      </c>
      <c r="AP103" s="1" t="s">
        <v>336</v>
      </c>
      <c r="AQ103" s="1">
        <v>2018</v>
      </c>
      <c r="AR103" s="1" t="s">
        <v>18</v>
      </c>
      <c r="AS103" s="1" t="s">
        <v>235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27" t="s">
        <v>236</v>
      </c>
    </row>
    <row r="104" spans="17:52" x14ac:dyDescent="0.25">
      <c r="Q104" s="262" t="str">
        <f t="shared" si="4"/>
        <v>GymboreeGY 17 DRSY CAP</v>
      </c>
      <c r="R104" s="35" t="str">
        <f t="shared" si="5"/>
        <v>2018GymboreeSpring</v>
      </c>
      <c r="S104" s="1">
        <v>2018</v>
      </c>
      <c r="T104" s="1" t="s">
        <v>14</v>
      </c>
      <c r="U104" s="1" t="s">
        <v>16</v>
      </c>
      <c r="V104" s="1" t="s">
        <v>156</v>
      </c>
      <c r="W104" s="27" t="s">
        <v>481</v>
      </c>
      <c r="X104" s="30"/>
      <c r="AF104" s="35" t="str">
        <f t="shared" si="6"/>
        <v>Janie &amp; JackRetailUSA47</v>
      </c>
      <c r="AG104" s="1" t="s">
        <v>38</v>
      </c>
      <c r="AH104" s="1" t="s">
        <v>5</v>
      </c>
      <c r="AI104" s="1" t="s">
        <v>336</v>
      </c>
      <c r="AJ104" s="1">
        <v>47</v>
      </c>
      <c r="AK104" s="27">
        <v>0.65</v>
      </c>
      <c r="AM104" s="262" t="str">
        <f t="shared" si="7"/>
        <v>Janie &amp; JackUSAWebJJ 18 JULY TRANS 2</v>
      </c>
      <c r="AN104" s="1" t="s">
        <v>38</v>
      </c>
      <c r="AO104" s="1" t="s">
        <v>15</v>
      </c>
      <c r="AP104" s="1" t="s">
        <v>336</v>
      </c>
      <c r="AQ104" s="1">
        <v>2018</v>
      </c>
      <c r="AR104" s="1" t="s">
        <v>18</v>
      </c>
      <c r="AS104" s="1" t="s">
        <v>175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27" t="s">
        <v>176</v>
      </c>
    </row>
    <row r="105" spans="17:52" x14ac:dyDescent="0.25">
      <c r="Q105" s="262" t="str">
        <f t="shared" si="4"/>
        <v>GymboreeGY 17 SPR</v>
      </c>
      <c r="R105" s="35" t="str">
        <f t="shared" si="5"/>
        <v>2018GymboreeSpring</v>
      </c>
      <c r="S105" s="1">
        <v>2018</v>
      </c>
      <c r="T105" s="1" t="s">
        <v>14</v>
      </c>
      <c r="U105" s="1" t="s">
        <v>16</v>
      </c>
      <c r="V105" s="1" t="s">
        <v>150</v>
      </c>
      <c r="W105" s="27" t="s">
        <v>482</v>
      </c>
      <c r="X105" s="30"/>
      <c r="AF105" s="35" t="str">
        <f t="shared" si="6"/>
        <v>Janie &amp; JackRetailUSA48</v>
      </c>
      <c r="AG105" s="1" t="s">
        <v>38</v>
      </c>
      <c r="AH105" s="1" t="s">
        <v>5</v>
      </c>
      <c r="AI105" s="1" t="s">
        <v>336</v>
      </c>
      <c r="AJ105" s="1">
        <v>48</v>
      </c>
      <c r="AK105" s="27">
        <v>0.65</v>
      </c>
      <c r="AM105" s="262" t="str">
        <f t="shared" si="7"/>
        <v>Janie &amp; JackUSAWebJJ 18 LAY SIGNATURE 2</v>
      </c>
      <c r="AN105" s="1" t="s">
        <v>38</v>
      </c>
      <c r="AO105" s="1" t="s">
        <v>15</v>
      </c>
      <c r="AP105" s="1" t="s">
        <v>336</v>
      </c>
      <c r="AQ105" s="1">
        <v>2018</v>
      </c>
      <c r="AR105" s="1" t="s">
        <v>18</v>
      </c>
      <c r="AS105" s="1" t="s">
        <v>201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27" t="s">
        <v>591</v>
      </c>
    </row>
    <row r="106" spans="17:52" x14ac:dyDescent="0.25">
      <c r="Q106" s="262" t="str">
        <f t="shared" si="4"/>
        <v>GymboreeGY 17 SPR 1</v>
      </c>
      <c r="R106" s="35" t="str">
        <f t="shared" si="5"/>
        <v>2018GymboreeSpring</v>
      </c>
      <c r="S106" s="1">
        <v>2018</v>
      </c>
      <c r="T106" s="1" t="s">
        <v>14</v>
      </c>
      <c r="U106" s="1" t="s">
        <v>16</v>
      </c>
      <c r="V106" s="1" t="s">
        <v>152</v>
      </c>
      <c r="W106" s="27" t="s">
        <v>483</v>
      </c>
      <c r="X106" s="30"/>
      <c r="AF106" s="35" t="str">
        <f t="shared" si="6"/>
        <v>Janie &amp; JackRetailUSA49</v>
      </c>
      <c r="AG106" s="1" t="s">
        <v>38</v>
      </c>
      <c r="AH106" s="1" t="s">
        <v>5</v>
      </c>
      <c r="AI106" s="1" t="s">
        <v>336</v>
      </c>
      <c r="AJ106" s="1">
        <v>49</v>
      </c>
      <c r="AK106" s="27">
        <v>0.65</v>
      </c>
      <c r="AM106" s="262" t="str">
        <f t="shared" si="7"/>
        <v>Janie &amp; JackUSAWebJJ 18 JULY SO SB 2</v>
      </c>
      <c r="AN106" s="1" t="s">
        <v>38</v>
      </c>
      <c r="AO106" s="1" t="s">
        <v>15</v>
      </c>
      <c r="AP106" s="1" t="s">
        <v>336</v>
      </c>
      <c r="AQ106" s="1">
        <v>2018</v>
      </c>
      <c r="AR106" s="1" t="s">
        <v>18</v>
      </c>
      <c r="AS106" s="1" t="s">
        <v>199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27" t="s">
        <v>200</v>
      </c>
    </row>
    <row r="107" spans="17:52" x14ac:dyDescent="0.25">
      <c r="Q107" s="262" t="str">
        <f t="shared" si="4"/>
        <v>GymboreeGY 17 SPR 2</v>
      </c>
      <c r="R107" s="35" t="str">
        <f t="shared" si="5"/>
        <v>2018GymboreeSpring</v>
      </c>
      <c r="S107" s="1">
        <v>2018</v>
      </c>
      <c r="T107" s="1" t="s">
        <v>14</v>
      </c>
      <c r="U107" s="1" t="s">
        <v>16</v>
      </c>
      <c r="V107" s="1" t="s">
        <v>63</v>
      </c>
      <c r="W107" s="27" t="s">
        <v>484</v>
      </c>
      <c r="X107" s="30"/>
      <c r="AF107" s="35" t="str">
        <f t="shared" si="6"/>
        <v>Janie &amp; JackRetailUSA50</v>
      </c>
      <c r="AG107" s="1" t="s">
        <v>38</v>
      </c>
      <c r="AH107" s="1" t="s">
        <v>5</v>
      </c>
      <c r="AI107" s="1" t="s">
        <v>336</v>
      </c>
      <c r="AJ107" s="1">
        <v>50</v>
      </c>
      <c r="AK107" s="27">
        <v>0.65</v>
      </c>
      <c r="AM107" s="262" t="str">
        <f t="shared" si="7"/>
        <v>Janie &amp; JackUSAWebJJ 18 JULY TRANS 3</v>
      </c>
      <c r="AN107" s="1" t="s">
        <v>38</v>
      </c>
      <c r="AO107" s="1" t="s">
        <v>15</v>
      </c>
      <c r="AP107" s="1" t="s">
        <v>336</v>
      </c>
      <c r="AQ107" s="1">
        <v>2018</v>
      </c>
      <c r="AR107" s="1" t="s">
        <v>18</v>
      </c>
      <c r="AS107" s="1" t="s">
        <v>177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27" t="s">
        <v>178</v>
      </c>
    </row>
    <row r="108" spans="17:52" x14ac:dyDescent="0.25">
      <c r="Q108" s="262" t="str">
        <f t="shared" si="4"/>
        <v>GymboreeGY 17 SPR VAC</v>
      </c>
      <c r="R108" s="35" t="str">
        <f t="shared" si="5"/>
        <v>2018GymboreeSpring</v>
      </c>
      <c r="S108" s="1">
        <v>2018</v>
      </c>
      <c r="T108" s="1" t="s">
        <v>14</v>
      </c>
      <c r="U108" s="1" t="s">
        <v>16</v>
      </c>
      <c r="V108" s="1" t="s">
        <v>158</v>
      </c>
      <c r="W108" s="27" t="s">
        <v>485</v>
      </c>
      <c r="X108" s="30"/>
      <c r="AF108" s="35" t="str">
        <f t="shared" si="6"/>
        <v>Janie &amp; JackRetailUSA51</v>
      </c>
      <c r="AG108" s="1" t="s">
        <v>38</v>
      </c>
      <c r="AH108" s="1" t="s">
        <v>5</v>
      </c>
      <c r="AI108" s="1" t="s">
        <v>336</v>
      </c>
      <c r="AJ108" s="1">
        <v>51</v>
      </c>
      <c r="AK108" s="27">
        <v>0.65</v>
      </c>
      <c r="AM108" s="262" t="str">
        <f t="shared" si="7"/>
        <v>Janie &amp; JackUSAWebJJ 18 JUN JJ SPORT</v>
      </c>
      <c r="AN108" s="1" t="s">
        <v>38</v>
      </c>
      <c r="AO108" s="1" t="s">
        <v>15</v>
      </c>
      <c r="AP108" s="1" t="s">
        <v>336</v>
      </c>
      <c r="AQ108" s="1">
        <v>2018</v>
      </c>
      <c r="AR108" s="1" t="s">
        <v>18</v>
      </c>
      <c r="AS108" s="1" t="s">
        <v>237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27" t="s">
        <v>591</v>
      </c>
    </row>
    <row r="109" spans="17:52" x14ac:dyDescent="0.25">
      <c r="Q109" s="262" t="str">
        <f t="shared" si="4"/>
        <v>GymboreeGY 17 SUM 1</v>
      </c>
      <c r="R109" s="35" t="str">
        <f t="shared" si="5"/>
        <v>2018GymboreeSpring</v>
      </c>
      <c r="S109" s="1">
        <v>2018</v>
      </c>
      <c r="T109" s="1" t="s">
        <v>14</v>
      </c>
      <c r="U109" s="1" t="s">
        <v>16</v>
      </c>
      <c r="V109" s="1" t="s">
        <v>160</v>
      </c>
      <c r="W109" s="27" t="s">
        <v>486</v>
      </c>
      <c r="X109" s="30"/>
      <c r="AF109" s="35" t="str">
        <f t="shared" si="6"/>
        <v>Janie &amp; JackRetailUSA52</v>
      </c>
      <c r="AG109" s="1" t="s">
        <v>38</v>
      </c>
      <c r="AH109" s="1" t="s">
        <v>5</v>
      </c>
      <c r="AI109" s="1" t="s">
        <v>336</v>
      </c>
      <c r="AJ109" s="1">
        <v>52</v>
      </c>
      <c r="AK109" s="27">
        <v>0.65</v>
      </c>
      <c r="AM109" s="262" t="str">
        <f t="shared" si="7"/>
        <v>Janie &amp; JackUSAWebJJ 18 JULY FALL GIFT LAY</v>
      </c>
      <c r="AN109" s="1" t="s">
        <v>38</v>
      </c>
      <c r="AO109" s="1" t="s">
        <v>15</v>
      </c>
      <c r="AP109" s="1" t="s">
        <v>336</v>
      </c>
      <c r="AQ109" s="1">
        <v>2018</v>
      </c>
      <c r="AR109" s="1" t="s">
        <v>18</v>
      </c>
      <c r="AS109" s="1" t="s">
        <v>181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27" t="s">
        <v>393</v>
      </c>
    </row>
    <row r="110" spans="17:52" x14ac:dyDescent="0.25">
      <c r="Q110" s="262" t="str">
        <f t="shared" si="4"/>
        <v>GymboreeGY 17 SWIM 1</v>
      </c>
      <c r="R110" s="35" t="str">
        <f t="shared" si="5"/>
        <v>2018GymboreeSpring</v>
      </c>
      <c r="S110" s="1">
        <v>2018</v>
      </c>
      <c r="T110" s="1" t="s">
        <v>14</v>
      </c>
      <c r="U110" s="1" t="s">
        <v>16</v>
      </c>
      <c r="V110" s="1" t="s">
        <v>154</v>
      </c>
      <c r="W110" s="27" t="s">
        <v>487</v>
      </c>
      <c r="X110" s="30"/>
      <c r="AF110" s="35" t="str">
        <f t="shared" si="6"/>
        <v>Janie &amp; JackRetailUSA53</v>
      </c>
      <c r="AG110" s="1" t="s">
        <v>38</v>
      </c>
      <c r="AH110" s="1" t="s">
        <v>5</v>
      </c>
      <c r="AI110" s="1" t="s">
        <v>336</v>
      </c>
      <c r="AJ110" s="1">
        <v>53</v>
      </c>
      <c r="AK110" s="27">
        <v>0.65</v>
      </c>
      <c r="AM110" s="262" t="str">
        <f t="shared" si="7"/>
        <v>Janie &amp; JackUSAOutletJJ 3RD PARTY</v>
      </c>
      <c r="AN110" s="1" t="s">
        <v>38</v>
      </c>
      <c r="AO110" s="1" t="s">
        <v>17</v>
      </c>
      <c r="AP110" s="1" t="s">
        <v>336</v>
      </c>
      <c r="AQ110" s="1">
        <v>2018</v>
      </c>
      <c r="AR110" s="1" t="s">
        <v>41</v>
      </c>
      <c r="AS110" s="1" t="s">
        <v>330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27" t="s">
        <v>330</v>
      </c>
    </row>
    <row r="111" spans="17:52" x14ac:dyDescent="0.25">
      <c r="Q111" s="262" t="str">
        <f t="shared" si="4"/>
        <v>GymboreeGY 17 SWIM 2</v>
      </c>
      <c r="R111" s="35" t="str">
        <f t="shared" si="5"/>
        <v>2018GymboreeSpring</v>
      </c>
      <c r="S111" s="1">
        <v>2018</v>
      </c>
      <c r="T111" s="1" t="s">
        <v>14</v>
      </c>
      <c r="U111" s="1" t="s">
        <v>16</v>
      </c>
      <c r="V111" s="1" t="s">
        <v>162</v>
      </c>
      <c r="W111" s="27" t="s">
        <v>488</v>
      </c>
      <c r="X111" s="30"/>
      <c r="AF111" s="35" t="str">
        <f t="shared" si="6"/>
        <v>Janie &amp; JackWebUSA1</v>
      </c>
      <c r="AG111" s="1" t="s">
        <v>38</v>
      </c>
      <c r="AH111" s="1" t="s">
        <v>15</v>
      </c>
      <c r="AI111" s="1" t="s">
        <v>336</v>
      </c>
      <c r="AJ111" s="1">
        <v>1</v>
      </c>
      <c r="AK111" s="27">
        <v>0.3</v>
      </c>
      <c r="AM111" s="262" t="str">
        <f t="shared" si="7"/>
        <v>Janie &amp; JackUSAOutletJJ 18 JULY SB2</v>
      </c>
      <c r="AN111" s="1" t="s">
        <v>38</v>
      </c>
      <c r="AO111" s="1" t="s">
        <v>17</v>
      </c>
      <c r="AP111" s="1" t="s">
        <v>336</v>
      </c>
      <c r="AQ111" s="1">
        <v>2018</v>
      </c>
      <c r="AR111" s="1" t="s">
        <v>41</v>
      </c>
      <c r="AS111" s="1" t="s">
        <v>197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27" t="s">
        <v>198</v>
      </c>
    </row>
    <row r="112" spans="17:52" x14ac:dyDescent="0.25">
      <c r="Q112" s="262" t="str">
        <f t="shared" si="4"/>
        <v>GymboreeGY 18 DRESSY</v>
      </c>
      <c r="R112" s="35" t="str">
        <f t="shared" si="5"/>
        <v>2018GymboreeSpring</v>
      </c>
      <c r="S112" s="1">
        <v>2018</v>
      </c>
      <c r="T112" s="1" t="s">
        <v>14</v>
      </c>
      <c r="U112" s="1" t="s">
        <v>16</v>
      </c>
      <c r="V112" s="1" t="s">
        <v>155</v>
      </c>
      <c r="W112" s="27" t="s">
        <v>156</v>
      </c>
      <c r="X112" s="30"/>
      <c r="AF112" s="35" t="str">
        <f t="shared" si="6"/>
        <v>Janie &amp; JackWebUSA2</v>
      </c>
      <c r="AG112" s="1" t="s">
        <v>38</v>
      </c>
      <c r="AH112" s="1" t="s">
        <v>15</v>
      </c>
      <c r="AI112" s="1" t="s">
        <v>336</v>
      </c>
      <c r="AJ112" s="1">
        <v>2</v>
      </c>
      <c r="AK112" s="27">
        <v>0.9</v>
      </c>
      <c r="AM112" s="262" t="str">
        <f t="shared" si="7"/>
        <v>Janie &amp; JackUSAOutletJJ 18 AUG FALL 0</v>
      </c>
      <c r="AN112" s="1" t="s">
        <v>38</v>
      </c>
      <c r="AO112" s="1" t="s">
        <v>17</v>
      </c>
      <c r="AP112" s="1" t="s">
        <v>336</v>
      </c>
      <c r="AQ112" s="1">
        <v>2018</v>
      </c>
      <c r="AR112" s="1" t="s">
        <v>39</v>
      </c>
      <c r="AS112" s="1" t="s">
        <v>179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27" t="s">
        <v>180</v>
      </c>
    </row>
    <row r="113" spans="17:52" x14ac:dyDescent="0.25">
      <c r="Q113" s="262" t="str">
        <f t="shared" si="4"/>
        <v>GymboreeGY 18 SPR</v>
      </c>
      <c r="R113" s="35" t="str">
        <f t="shared" si="5"/>
        <v>2018GymboreeSpring</v>
      </c>
      <c r="S113" s="1">
        <v>2018</v>
      </c>
      <c r="T113" s="1" t="s">
        <v>14</v>
      </c>
      <c r="U113" s="1" t="s">
        <v>16</v>
      </c>
      <c r="V113" s="1" t="s">
        <v>149</v>
      </c>
      <c r="W113" s="27" t="s">
        <v>150</v>
      </c>
      <c r="X113" s="30"/>
      <c r="AF113" s="35" t="str">
        <f t="shared" si="6"/>
        <v>Janie &amp; JackWebUSA3</v>
      </c>
      <c r="AG113" s="1" t="s">
        <v>38</v>
      </c>
      <c r="AH113" s="1" t="s">
        <v>15</v>
      </c>
      <c r="AI113" s="1" t="s">
        <v>336</v>
      </c>
      <c r="AJ113" s="1">
        <v>3</v>
      </c>
      <c r="AK113" s="27">
        <v>0.13</v>
      </c>
      <c r="AM113" s="262" t="str">
        <f t="shared" si="7"/>
        <v>Janie &amp; JackUSAOutletJJ 18 LAY SIGNATURE 1</v>
      </c>
      <c r="AN113" s="1" t="s">
        <v>38</v>
      </c>
      <c r="AO113" s="1" t="s">
        <v>17</v>
      </c>
      <c r="AP113" s="1" t="s">
        <v>336</v>
      </c>
      <c r="AQ113" s="1">
        <v>2018</v>
      </c>
      <c r="AR113" s="1" t="s">
        <v>16</v>
      </c>
      <c r="AS113" s="1" t="s">
        <v>194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27" t="s">
        <v>591</v>
      </c>
    </row>
    <row r="114" spans="17:52" x14ac:dyDescent="0.25">
      <c r="Q114" s="262" t="str">
        <f t="shared" si="4"/>
        <v>GymboreeGY 18 SPR 1</v>
      </c>
      <c r="R114" s="35" t="str">
        <f t="shared" si="5"/>
        <v>2018GymboreeSpring</v>
      </c>
      <c r="S114" s="1">
        <v>2018</v>
      </c>
      <c r="T114" s="1" t="s">
        <v>14</v>
      </c>
      <c r="U114" s="1" t="s">
        <v>16</v>
      </c>
      <c r="V114" s="1" t="s">
        <v>151</v>
      </c>
      <c r="W114" s="27" t="s">
        <v>152</v>
      </c>
      <c r="X114" s="30"/>
      <c r="AF114" s="35" t="str">
        <f t="shared" si="6"/>
        <v>Janie &amp; JackWebUSA4</v>
      </c>
      <c r="AG114" s="1" t="s">
        <v>38</v>
      </c>
      <c r="AH114" s="1" t="s">
        <v>15</v>
      </c>
      <c r="AI114" s="1" t="s">
        <v>336</v>
      </c>
      <c r="AJ114" s="1">
        <v>4</v>
      </c>
      <c r="AK114" s="27">
        <v>0.16</v>
      </c>
      <c r="AM114" s="262" t="str">
        <f t="shared" si="7"/>
        <v>Janie &amp; JackUSAOutletJJ 18 DEC SWIM</v>
      </c>
      <c r="AN114" s="1" t="s">
        <v>38</v>
      </c>
      <c r="AO114" s="1" t="s">
        <v>17</v>
      </c>
      <c r="AP114" s="1" t="s">
        <v>336</v>
      </c>
      <c r="AQ114" s="1">
        <v>2018</v>
      </c>
      <c r="AR114" s="1" t="s">
        <v>16</v>
      </c>
      <c r="AS114" s="1" t="s">
        <v>182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27" t="s">
        <v>183</v>
      </c>
    </row>
    <row r="115" spans="17:52" x14ac:dyDescent="0.25">
      <c r="Q115" s="262" t="str">
        <f t="shared" si="4"/>
        <v>GymboreeGY 18 SPR 2</v>
      </c>
      <c r="R115" s="35" t="str">
        <f t="shared" si="5"/>
        <v>2018GymboreeSpring</v>
      </c>
      <c r="S115" s="1">
        <v>2018</v>
      </c>
      <c r="T115" s="1" t="s">
        <v>14</v>
      </c>
      <c r="U115" s="1" t="s">
        <v>16</v>
      </c>
      <c r="V115" s="1" t="s">
        <v>62</v>
      </c>
      <c r="W115" s="27" t="s">
        <v>63</v>
      </c>
      <c r="X115" s="30"/>
      <c r="AF115" s="35" t="str">
        <f t="shared" si="6"/>
        <v>Janie &amp; JackWebUSA5</v>
      </c>
      <c r="AG115" s="1" t="s">
        <v>38</v>
      </c>
      <c r="AH115" s="1" t="s">
        <v>15</v>
      </c>
      <c r="AI115" s="1" t="s">
        <v>336</v>
      </c>
      <c r="AJ115" s="1">
        <v>5</v>
      </c>
      <c r="AK115" s="27">
        <v>0.24</v>
      </c>
      <c r="AM115" s="262" t="str">
        <f t="shared" si="7"/>
        <v>Janie &amp; JackUSAOutletJJ 18 DEC VDAY</v>
      </c>
      <c r="AN115" s="1" t="s">
        <v>38</v>
      </c>
      <c r="AO115" s="1" t="s">
        <v>17</v>
      </c>
      <c r="AP115" s="1" t="s">
        <v>336</v>
      </c>
      <c r="AQ115" s="1">
        <v>2018</v>
      </c>
      <c r="AR115" s="1" t="s">
        <v>16</v>
      </c>
      <c r="AS115" s="1" t="s">
        <v>204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27" t="s">
        <v>205</v>
      </c>
    </row>
    <row r="116" spans="17:52" x14ac:dyDescent="0.25">
      <c r="Q116" s="262" t="str">
        <f t="shared" si="4"/>
        <v>GymboreeGY 18 SPR VACA</v>
      </c>
      <c r="R116" s="35" t="str">
        <f t="shared" si="5"/>
        <v>2018GymboreeSpring</v>
      </c>
      <c r="S116" s="1">
        <v>2018</v>
      </c>
      <c r="T116" s="1" t="s">
        <v>14</v>
      </c>
      <c r="U116" s="1" t="s">
        <v>16</v>
      </c>
      <c r="V116" s="1" t="s">
        <v>157</v>
      </c>
      <c r="W116" s="27" t="s">
        <v>158</v>
      </c>
      <c r="X116" s="30"/>
      <c r="AF116" s="35" t="str">
        <f t="shared" si="6"/>
        <v>Janie &amp; JackWebUSA6</v>
      </c>
      <c r="AG116" s="1" t="s">
        <v>38</v>
      </c>
      <c r="AH116" s="1" t="s">
        <v>15</v>
      </c>
      <c r="AI116" s="1" t="s">
        <v>336</v>
      </c>
      <c r="AJ116" s="1">
        <v>6</v>
      </c>
      <c r="AK116" s="27">
        <v>0.25</v>
      </c>
      <c r="AM116" s="262" t="str">
        <f t="shared" si="7"/>
        <v>Janie &amp; JackUSAOutletJJ 18 DEC RESORT 2</v>
      </c>
      <c r="AN116" s="1" t="s">
        <v>38</v>
      </c>
      <c r="AO116" s="1" t="s">
        <v>17</v>
      </c>
      <c r="AP116" s="1" t="s">
        <v>336</v>
      </c>
      <c r="AQ116" s="1">
        <v>2018</v>
      </c>
      <c r="AR116" s="1" t="s">
        <v>16</v>
      </c>
      <c r="AS116" s="1" t="s">
        <v>206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27" t="s">
        <v>207</v>
      </c>
    </row>
    <row r="117" spans="17:52" x14ac:dyDescent="0.25">
      <c r="Q117" s="262" t="str">
        <f t="shared" si="4"/>
        <v>GymboreeGY 18 SUM 1</v>
      </c>
      <c r="R117" s="35" t="str">
        <f t="shared" si="5"/>
        <v>2018GymboreeSpring</v>
      </c>
      <c r="S117" s="1">
        <v>2018</v>
      </c>
      <c r="T117" s="1" t="s">
        <v>14</v>
      </c>
      <c r="U117" s="1" t="s">
        <v>16</v>
      </c>
      <c r="V117" s="1" t="s">
        <v>159</v>
      </c>
      <c r="W117" s="27" t="s">
        <v>160</v>
      </c>
      <c r="X117" s="30"/>
      <c r="AF117" s="35" t="str">
        <f t="shared" si="6"/>
        <v>Janie &amp; JackWebUSA7</v>
      </c>
      <c r="AG117" s="1" t="s">
        <v>38</v>
      </c>
      <c r="AH117" s="1" t="s">
        <v>15</v>
      </c>
      <c r="AI117" s="1" t="s">
        <v>336</v>
      </c>
      <c r="AJ117" s="1">
        <v>7</v>
      </c>
      <c r="AK117" s="27">
        <v>0.28999999999999998</v>
      </c>
      <c r="AM117" s="262" t="str">
        <f t="shared" si="7"/>
        <v>Janie &amp; JackUSAOutletJJ 18 JAN SPRING TRANS</v>
      </c>
      <c r="AN117" s="1" t="s">
        <v>38</v>
      </c>
      <c r="AO117" s="1" t="s">
        <v>17</v>
      </c>
      <c r="AP117" s="1" t="s">
        <v>336</v>
      </c>
      <c r="AQ117" s="1">
        <v>2018</v>
      </c>
      <c r="AR117" s="1" t="s">
        <v>16</v>
      </c>
      <c r="AS117" s="1" t="s">
        <v>212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27" t="s">
        <v>213</v>
      </c>
    </row>
    <row r="118" spans="17:52" x14ac:dyDescent="0.25">
      <c r="Q118" s="262" t="str">
        <f t="shared" si="4"/>
        <v>GymboreeGY 18 SWIM 1</v>
      </c>
      <c r="R118" s="35" t="str">
        <f t="shared" si="5"/>
        <v>2018GymboreeSpring</v>
      </c>
      <c r="S118" s="1">
        <v>2018</v>
      </c>
      <c r="T118" s="1" t="s">
        <v>14</v>
      </c>
      <c r="U118" s="1" t="s">
        <v>16</v>
      </c>
      <c r="V118" s="1" t="s">
        <v>153</v>
      </c>
      <c r="W118" s="27" t="s">
        <v>154</v>
      </c>
      <c r="X118" s="30"/>
      <c r="AF118" s="35" t="str">
        <f t="shared" si="6"/>
        <v>Janie &amp; JackWebUSA8</v>
      </c>
      <c r="AG118" s="1" t="s">
        <v>38</v>
      </c>
      <c r="AH118" s="1" t="s">
        <v>15</v>
      </c>
      <c r="AI118" s="1" t="s">
        <v>336</v>
      </c>
      <c r="AJ118" s="1">
        <v>8</v>
      </c>
      <c r="AK118" s="27">
        <v>0.32</v>
      </c>
      <c r="AM118" s="262" t="str">
        <f t="shared" si="7"/>
        <v>Janie &amp; JackUSAOutletJJ 18 SB1</v>
      </c>
      <c r="AN118" s="1" t="s">
        <v>38</v>
      </c>
      <c r="AO118" s="1" t="s">
        <v>17</v>
      </c>
      <c r="AP118" s="1" t="s">
        <v>336</v>
      </c>
      <c r="AQ118" s="1">
        <v>2018</v>
      </c>
      <c r="AR118" s="1" t="s">
        <v>16</v>
      </c>
      <c r="AS118" s="1" t="s">
        <v>184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27" t="s">
        <v>185</v>
      </c>
    </row>
    <row r="119" spans="17:52" x14ac:dyDescent="0.25">
      <c r="Q119" s="262" t="str">
        <f t="shared" si="4"/>
        <v>GymboreeGY 18 SWIM 2</v>
      </c>
      <c r="R119" s="35" t="str">
        <f t="shared" si="5"/>
        <v>2018GymboreeSpring</v>
      </c>
      <c r="S119" s="1">
        <v>2018</v>
      </c>
      <c r="T119" s="1" t="s">
        <v>14</v>
      </c>
      <c r="U119" s="1" t="s">
        <v>16</v>
      </c>
      <c r="V119" s="1" t="s">
        <v>161</v>
      </c>
      <c r="W119" s="27" t="s">
        <v>162</v>
      </c>
      <c r="X119" s="30"/>
      <c r="AF119" s="35" t="str">
        <f t="shared" si="6"/>
        <v>Janie &amp; JackWebUSA9</v>
      </c>
      <c r="AG119" s="1" t="s">
        <v>38</v>
      </c>
      <c r="AH119" s="1" t="s">
        <v>15</v>
      </c>
      <c r="AI119" s="1" t="s">
        <v>336</v>
      </c>
      <c r="AJ119" s="1">
        <v>9</v>
      </c>
      <c r="AK119" s="27">
        <v>0.41</v>
      </c>
      <c r="AM119" s="262" t="str">
        <f t="shared" si="7"/>
        <v>Janie &amp; JackUSAOutletJJ 18 SWIM 2</v>
      </c>
      <c r="AN119" s="1" t="s">
        <v>38</v>
      </c>
      <c r="AO119" s="1" t="s">
        <v>17</v>
      </c>
      <c r="AP119" s="1" t="s">
        <v>336</v>
      </c>
      <c r="AQ119" s="1">
        <v>2018</v>
      </c>
      <c r="AR119" s="1" t="s">
        <v>16</v>
      </c>
      <c r="AS119" s="1" t="s">
        <v>186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27" t="s">
        <v>187</v>
      </c>
    </row>
    <row r="120" spans="17:52" x14ac:dyDescent="0.25">
      <c r="Q120" s="262" t="str">
        <f t="shared" si="4"/>
        <v>GymboreeGY 17 CAP</v>
      </c>
      <c r="R120" s="35" t="str">
        <f t="shared" si="5"/>
        <v>2018GymboreeSummer</v>
      </c>
      <c r="S120" s="1">
        <v>2018</v>
      </c>
      <c r="T120" s="1" t="s">
        <v>14</v>
      </c>
      <c r="U120" s="1" t="s">
        <v>18</v>
      </c>
      <c r="V120" s="1" t="s">
        <v>415</v>
      </c>
      <c r="W120" s="27" t="s">
        <v>489</v>
      </c>
      <c r="X120" s="30"/>
      <c r="AF120" s="35" t="str">
        <f t="shared" si="6"/>
        <v>Janie &amp; JackWebUSA10</v>
      </c>
      <c r="AG120" s="1" t="s">
        <v>38</v>
      </c>
      <c r="AH120" s="1" t="s">
        <v>15</v>
      </c>
      <c r="AI120" s="1" t="s">
        <v>336</v>
      </c>
      <c r="AJ120" s="1">
        <v>10</v>
      </c>
      <c r="AK120" s="27">
        <v>0.41</v>
      </c>
      <c r="AM120" s="262" t="str">
        <f t="shared" si="7"/>
        <v>Janie &amp; JackUSAOutletJJ 18 JAN SPR GIFTING LAY</v>
      </c>
      <c r="AN120" s="1" t="s">
        <v>38</v>
      </c>
      <c r="AO120" s="1" t="s">
        <v>17</v>
      </c>
      <c r="AP120" s="1" t="s">
        <v>336</v>
      </c>
      <c r="AQ120" s="1">
        <v>2018</v>
      </c>
      <c r="AR120" s="1" t="s">
        <v>16</v>
      </c>
      <c r="AS120" s="1" t="s">
        <v>216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27" t="s">
        <v>217</v>
      </c>
    </row>
    <row r="121" spans="17:52" x14ac:dyDescent="0.25">
      <c r="Q121" s="262" t="str">
        <f t="shared" si="4"/>
        <v>GymboreeGY 17 SM2</v>
      </c>
      <c r="R121" s="35" t="str">
        <f t="shared" si="5"/>
        <v>2018GymboreeSummer</v>
      </c>
      <c r="S121" s="1">
        <v>2018</v>
      </c>
      <c r="T121" s="1" t="s">
        <v>14</v>
      </c>
      <c r="U121" s="1" t="s">
        <v>18</v>
      </c>
      <c r="V121" s="1" t="s">
        <v>164</v>
      </c>
      <c r="W121" s="27" t="s">
        <v>490</v>
      </c>
      <c r="X121" s="30"/>
      <c r="AF121" s="35" t="str">
        <f t="shared" si="6"/>
        <v>Janie &amp; JackWebUSA11</v>
      </c>
      <c r="AG121" s="1" t="s">
        <v>38</v>
      </c>
      <c r="AH121" s="1" t="s">
        <v>15</v>
      </c>
      <c r="AI121" s="1" t="s">
        <v>336</v>
      </c>
      <c r="AJ121" s="1">
        <v>11</v>
      </c>
      <c r="AK121" s="27">
        <v>0.47</v>
      </c>
      <c r="AM121" s="262" t="str">
        <f t="shared" si="7"/>
        <v>Janie &amp; JackUSAOutletJJ 18 JAN SPRING 1</v>
      </c>
      <c r="AN121" s="1" t="s">
        <v>38</v>
      </c>
      <c r="AO121" s="1" t="s">
        <v>17</v>
      </c>
      <c r="AP121" s="1" t="s">
        <v>336</v>
      </c>
      <c r="AQ121" s="1">
        <v>2018</v>
      </c>
      <c r="AR121" s="1" t="s">
        <v>16</v>
      </c>
      <c r="AS121" s="1" t="s">
        <v>202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27" t="s">
        <v>203</v>
      </c>
    </row>
    <row r="122" spans="17:52" x14ac:dyDescent="0.25">
      <c r="Q122" s="262" t="str">
        <f t="shared" si="4"/>
        <v>GymboreeGY 17 SM3</v>
      </c>
      <c r="R122" s="35" t="str">
        <f t="shared" si="5"/>
        <v>2018GymboreeSummer</v>
      </c>
      <c r="S122" s="1">
        <v>2018</v>
      </c>
      <c r="T122" s="1" t="s">
        <v>14</v>
      </c>
      <c r="U122" s="1" t="s">
        <v>18</v>
      </c>
      <c r="V122" s="1" t="s">
        <v>166</v>
      </c>
      <c r="W122" s="27" t="s">
        <v>491</v>
      </c>
      <c r="X122" s="30"/>
      <c r="AF122" s="35" t="str">
        <f t="shared" si="6"/>
        <v>Janie &amp; JackWebUSA12</v>
      </c>
      <c r="AG122" s="1" t="s">
        <v>38</v>
      </c>
      <c r="AH122" s="1" t="s">
        <v>15</v>
      </c>
      <c r="AI122" s="1" t="s">
        <v>336</v>
      </c>
      <c r="AJ122" s="1">
        <v>12</v>
      </c>
      <c r="AK122" s="27">
        <v>0.53</v>
      </c>
      <c r="AM122" s="262" t="str">
        <f t="shared" si="7"/>
        <v>Janie &amp; JackUSAOutletJJ 18 JAN SO SB1</v>
      </c>
      <c r="AN122" s="1" t="s">
        <v>38</v>
      </c>
      <c r="AO122" s="1" t="s">
        <v>17</v>
      </c>
      <c r="AP122" s="1" t="s">
        <v>336</v>
      </c>
      <c r="AQ122" s="1">
        <v>2018</v>
      </c>
      <c r="AR122" s="1" t="s">
        <v>16</v>
      </c>
      <c r="AS122" s="1" t="s">
        <v>188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27" t="s">
        <v>189</v>
      </c>
    </row>
    <row r="123" spans="17:52" x14ac:dyDescent="0.25">
      <c r="Q123" s="262" t="str">
        <f t="shared" si="4"/>
        <v>GymboreeGY 17 SM4</v>
      </c>
      <c r="R123" s="35" t="str">
        <f t="shared" si="5"/>
        <v>2018GymboreeSummer</v>
      </c>
      <c r="S123" s="1">
        <v>2018</v>
      </c>
      <c r="T123" s="1" t="s">
        <v>14</v>
      </c>
      <c r="U123" s="1" t="s">
        <v>18</v>
      </c>
      <c r="V123" s="1" t="s">
        <v>170</v>
      </c>
      <c r="W123" s="27" t="s">
        <v>492</v>
      </c>
      <c r="X123" s="30"/>
      <c r="AF123" s="35" t="str">
        <f t="shared" si="6"/>
        <v>Janie &amp; JackWebUSA13</v>
      </c>
      <c r="AG123" s="1" t="s">
        <v>38</v>
      </c>
      <c r="AH123" s="1" t="s">
        <v>15</v>
      </c>
      <c r="AI123" s="1" t="s">
        <v>336</v>
      </c>
      <c r="AJ123" s="1">
        <v>13</v>
      </c>
      <c r="AK123" s="27">
        <v>0.51</v>
      </c>
      <c r="AM123" s="262" t="str">
        <f t="shared" si="7"/>
        <v>Janie &amp; JackUSAOutletJJ 18 FEB EASTER 1</v>
      </c>
      <c r="AN123" s="1" t="s">
        <v>38</v>
      </c>
      <c r="AO123" s="1" t="s">
        <v>17</v>
      </c>
      <c r="AP123" s="1" t="s">
        <v>336</v>
      </c>
      <c r="AQ123" s="1">
        <v>2018</v>
      </c>
      <c r="AR123" s="1" t="s">
        <v>16</v>
      </c>
      <c r="AS123" s="1" t="s">
        <v>208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27" t="s">
        <v>209</v>
      </c>
    </row>
    <row r="124" spans="17:52" x14ac:dyDescent="0.25">
      <c r="Q124" s="262" t="str">
        <f t="shared" si="4"/>
        <v>GymboreeGY 17 SMR</v>
      </c>
      <c r="R124" s="35" t="str">
        <f t="shared" si="5"/>
        <v>2018GymboreeSummer</v>
      </c>
      <c r="S124" s="1">
        <v>2018</v>
      </c>
      <c r="T124" s="1" t="s">
        <v>14</v>
      </c>
      <c r="U124" s="1" t="s">
        <v>18</v>
      </c>
      <c r="V124" s="1" t="s">
        <v>174</v>
      </c>
      <c r="W124" s="27" t="s">
        <v>493</v>
      </c>
      <c r="X124" s="30"/>
      <c r="AF124" s="35" t="str">
        <f t="shared" si="6"/>
        <v>Janie &amp; JackWebUSA14</v>
      </c>
      <c r="AG124" s="1" t="s">
        <v>38</v>
      </c>
      <c r="AH124" s="1" t="s">
        <v>15</v>
      </c>
      <c r="AI124" s="1" t="s">
        <v>336</v>
      </c>
      <c r="AJ124" s="1">
        <v>14</v>
      </c>
      <c r="AK124" s="27">
        <v>0.43</v>
      </c>
      <c r="AM124" s="262" t="str">
        <f t="shared" si="7"/>
        <v>Janie &amp; JackUSAOutletJJ 18 FEB EASTER GIFT LAY</v>
      </c>
      <c r="AN124" s="1" t="s">
        <v>38</v>
      </c>
      <c r="AO124" s="1" t="s">
        <v>17</v>
      </c>
      <c r="AP124" s="1" t="s">
        <v>336</v>
      </c>
      <c r="AQ124" s="1">
        <v>2018</v>
      </c>
      <c r="AR124" s="1" t="s">
        <v>16</v>
      </c>
      <c r="AS124" s="1" t="s">
        <v>210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27" t="s">
        <v>211</v>
      </c>
    </row>
    <row r="125" spans="17:52" x14ac:dyDescent="0.25">
      <c r="Q125" s="262" t="str">
        <f t="shared" si="4"/>
        <v>GymboreeGY 17 SWIM 3</v>
      </c>
      <c r="R125" s="35" t="str">
        <f t="shared" si="5"/>
        <v>2018GymboreeSummer</v>
      </c>
      <c r="S125" s="1">
        <v>2018</v>
      </c>
      <c r="T125" s="1" t="s">
        <v>14</v>
      </c>
      <c r="U125" s="1" t="s">
        <v>18</v>
      </c>
      <c r="V125" s="1" t="s">
        <v>168</v>
      </c>
      <c r="W125" s="27"/>
      <c r="X125" s="30"/>
      <c r="AF125" s="35" t="str">
        <f t="shared" si="6"/>
        <v>Janie &amp; JackWebUSA15</v>
      </c>
      <c r="AG125" s="1" t="s">
        <v>38</v>
      </c>
      <c r="AH125" s="1" t="s">
        <v>15</v>
      </c>
      <c r="AI125" s="1" t="s">
        <v>336</v>
      </c>
      <c r="AJ125" s="1">
        <v>15</v>
      </c>
      <c r="AK125" s="27">
        <v>0.45</v>
      </c>
      <c r="AM125" s="262" t="str">
        <f t="shared" si="7"/>
        <v>Janie &amp; JackUSAOutletJJ 18 MAR EASTER 2</v>
      </c>
      <c r="AN125" s="1" t="s">
        <v>38</v>
      </c>
      <c r="AO125" s="1" t="s">
        <v>17</v>
      </c>
      <c r="AP125" s="1" t="s">
        <v>336</v>
      </c>
      <c r="AQ125" s="1">
        <v>2018</v>
      </c>
      <c r="AR125" s="1" t="s">
        <v>16</v>
      </c>
      <c r="AS125" s="1" t="s">
        <v>214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27" t="s">
        <v>215</v>
      </c>
    </row>
    <row r="126" spans="17:52" x14ac:dyDescent="0.25">
      <c r="Q126" s="262" t="str">
        <f t="shared" si="4"/>
        <v>GymboreeGY 17 TRANS</v>
      </c>
      <c r="R126" s="35" t="str">
        <f t="shared" si="5"/>
        <v>2018GymboreeSummer</v>
      </c>
      <c r="S126" s="1">
        <v>2018</v>
      </c>
      <c r="T126" s="1" t="s">
        <v>14</v>
      </c>
      <c r="U126" s="1" t="s">
        <v>18</v>
      </c>
      <c r="V126" s="1" t="s">
        <v>172</v>
      </c>
      <c r="W126" s="27" t="s">
        <v>494</v>
      </c>
      <c r="X126" s="30"/>
      <c r="AF126" s="35" t="str">
        <f t="shared" si="6"/>
        <v>Janie &amp; JackWebUSA16</v>
      </c>
      <c r="AG126" s="1" t="s">
        <v>38</v>
      </c>
      <c r="AH126" s="1" t="s">
        <v>15</v>
      </c>
      <c r="AI126" s="1" t="s">
        <v>336</v>
      </c>
      <c r="AJ126" s="1">
        <v>16</v>
      </c>
      <c r="AK126" s="27">
        <v>0.5</v>
      </c>
      <c r="AM126" s="262" t="str">
        <f t="shared" si="7"/>
        <v>Janie &amp; JackUSAOutletJJ 18 SPR SO REFRESH</v>
      </c>
      <c r="AN126" s="1" t="s">
        <v>38</v>
      </c>
      <c r="AO126" s="1" t="s">
        <v>17</v>
      </c>
      <c r="AP126" s="1" t="s">
        <v>336</v>
      </c>
      <c r="AQ126" s="1">
        <v>2018</v>
      </c>
      <c r="AR126" s="1" t="s">
        <v>16</v>
      </c>
      <c r="AS126" s="1" t="s">
        <v>190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27" t="s">
        <v>191</v>
      </c>
    </row>
    <row r="127" spans="17:52" x14ac:dyDescent="0.25">
      <c r="Q127" s="262" t="str">
        <f t="shared" si="4"/>
        <v>GymboreeGY 18 SM2</v>
      </c>
      <c r="R127" s="35" t="str">
        <f t="shared" si="5"/>
        <v>2018GymboreeSummer</v>
      </c>
      <c r="S127" s="1">
        <v>2018</v>
      </c>
      <c r="T127" s="1" t="s">
        <v>14</v>
      </c>
      <c r="U127" s="1" t="s">
        <v>18</v>
      </c>
      <c r="V127" s="1" t="s">
        <v>163</v>
      </c>
      <c r="W127" s="27" t="s">
        <v>164</v>
      </c>
      <c r="X127" s="30"/>
      <c r="AF127" s="35" t="str">
        <f t="shared" si="6"/>
        <v>Janie &amp; JackWebUSA17</v>
      </c>
      <c r="AG127" s="1" t="s">
        <v>38</v>
      </c>
      <c r="AH127" s="1" t="s">
        <v>15</v>
      </c>
      <c r="AI127" s="1" t="s">
        <v>336</v>
      </c>
      <c r="AJ127" s="1">
        <v>17</v>
      </c>
      <c r="AK127" s="27">
        <v>0.51</v>
      </c>
      <c r="AM127" s="262" t="str">
        <f t="shared" si="7"/>
        <v>Janie &amp; JackUSAOutletJJ 18 MAR SPR 2</v>
      </c>
      <c r="AN127" s="1" t="s">
        <v>38</v>
      </c>
      <c r="AO127" s="1" t="s">
        <v>17</v>
      </c>
      <c r="AP127" s="1" t="s">
        <v>336</v>
      </c>
      <c r="AQ127" s="1">
        <v>2018</v>
      </c>
      <c r="AR127" s="1" t="s">
        <v>16</v>
      </c>
      <c r="AS127" s="1" t="s">
        <v>218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27" t="s">
        <v>219</v>
      </c>
    </row>
    <row r="128" spans="17:52" x14ac:dyDescent="0.25">
      <c r="Q128" s="262" t="str">
        <f t="shared" si="4"/>
        <v>GymboreeGY 18 SM3</v>
      </c>
      <c r="R128" s="35" t="str">
        <f t="shared" si="5"/>
        <v>2018GymboreeSummer</v>
      </c>
      <c r="S128" s="1">
        <v>2018</v>
      </c>
      <c r="T128" s="1" t="s">
        <v>14</v>
      </c>
      <c r="U128" s="1" t="s">
        <v>18</v>
      </c>
      <c r="V128" s="1" t="s">
        <v>165</v>
      </c>
      <c r="W128" s="27" t="s">
        <v>166</v>
      </c>
      <c r="X128" s="30"/>
      <c r="AF128" s="35" t="str">
        <f t="shared" si="6"/>
        <v>Janie &amp; JackWebUSA18</v>
      </c>
      <c r="AG128" s="1" t="s">
        <v>38</v>
      </c>
      <c r="AH128" s="1" t="s">
        <v>15</v>
      </c>
      <c r="AI128" s="1" t="s">
        <v>336</v>
      </c>
      <c r="AJ128" s="1">
        <v>18</v>
      </c>
      <c r="AK128" s="27">
        <v>0.49</v>
      </c>
      <c r="AM128" s="262" t="str">
        <f t="shared" si="7"/>
        <v>Janie &amp; JackUSAOutletJJ 18 MAR LAY SWIM</v>
      </c>
      <c r="AN128" s="1" t="s">
        <v>38</v>
      </c>
      <c r="AO128" s="1" t="s">
        <v>17</v>
      </c>
      <c r="AP128" s="1" t="s">
        <v>336</v>
      </c>
      <c r="AQ128" s="1">
        <v>2018</v>
      </c>
      <c r="AR128" s="1" t="s">
        <v>16</v>
      </c>
      <c r="AS128" s="1" t="s">
        <v>195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27" t="s">
        <v>196</v>
      </c>
    </row>
    <row r="129" spans="17:52" x14ac:dyDescent="0.25">
      <c r="Q129" s="262" t="str">
        <f t="shared" si="4"/>
        <v>GymboreeGY 18 SM4</v>
      </c>
      <c r="R129" s="35" t="str">
        <f t="shared" si="5"/>
        <v>2018GymboreeSummer</v>
      </c>
      <c r="S129" s="1">
        <v>2018</v>
      </c>
      <c r="T129" s="1" t="s">
        <v>14</v>
      </c>
      <c r="U129" s="1" t="s">
        <v>18</v>
      </c>
      <c r="V129" s="1" t="s">
        <v>169</v>
      </c>
      <c r="W129" s="27" t="s">
        <v>170</v>
      </c>
      <c r="X129" s="30"/>
      <c r="AF129" s="35" t="str">
        <f t="shared" si="6"/>
        <v>Janie &amp; JackWebUSA19</v>
      </c>
      <c r="AG129" s="1" t="s">
        <v>38</v>
      </c>
      <c r="AH129" s="1" t="s">
        <v>15</v>
      </c>
      <c r="AI129" s="1" t="s">
        <v>336</v>
      </c>
      <c r="AJ129" s="1">
        <v>19</v>
      </c>
      <c r="AK129" s="27">
        <v>0.4</v>
      </c>
      <c r="AM129" s="262" t="str">
        <f t="shared" si="7"/>
        <v>Janie &amp; JackUSAOutletJJ 18 FEB SPRING LIMITED EDITION</v>
      </c>
      <c r="AN129" s="1" t="s">
        <v>38</v>
      </c>
      <c r="AO129" s="1" t="s">
        <v>17</v>
      </c>
      <c r="AP129" s="1" t="s">
        <v>336</v>
      </c>
      <c r="AQ129" s="1">
        <v>2018</v>
      </c>
      <c r="AR129" s="1" t="s">
        <v>16</v>
      </c>
      <c r="AS129" s="1" t="s">
        <v>220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27" t="s">
        <v>591</v>
      </c>
    </row>
    <row r="130" spans="17:52" x14ac:dyDescent="0.25">
      <c r="Q130" s="262" t="str">
        <f t="shared" si="4"/>
        <v>GymboreeGY 18 SM5</v>
      </c>
      <c r="R130" s="35" t="str">
        <f t="shared" si="5"/>
        <v>2018GymboreeSummer</v>
      </c>
      <c r="S130" s="1">
        <v>2018</v>
      </c>
      <c r="T130" s="1" t="s">
        <v>14</v>
      </c>
      <c r="U130" s="1" t="s">
        <v>18</v>
      </c>
      <c r="V130" s="1" t="s">
        <v>171</v>
      </c>
      <c r="W130" s="27" t="s">
        <v>172</v>
      </c>
      <c r="X130" s="30"/>
      <c r="AF130" s="35" t="str">
        <f t="shared" si="6"/>
        <v>Janie &amp; JackWebUSA20</v>
      </c>
      <c r="AG130" s="1" t="s">
        <v>38</v>
      </c>
      <c r="AH130" s="1" t="s">
        <v>15</v>
      </c>
      <c r="AI130" s="1" t="s">
        <v>336</v>
      </c>
      <c r="AJ130" s="1">
        <v>20</v>
      </c>
      <c r="AK130" s="27">
        <v>0.5</v>
      </c>
      <c r="AM130" s="262" t="str">
        <f t="shared" si="7"/>
        <v>Janie &amp; JackUSAOutletJJ 18 MAR SUMMER 0</v>
      </c>
      <c r="AN130" s="1" t="s">
        <v>38</v>
      </c>
      <c r="AO130" s="1" t="s">
        <v>17</v>
      </c>
      <c r="AP130" s="1" t="s">
        <v>336</v>
      </c>
      <c r="AQ130" s="1">
        <v>2018</v>
      </c>
      <c r="AR130" s="1" t="s">
        <v>18</v>
      </c>
      <c r="AS130" s="1" t="s">
        <v>222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27" t="s">
        <v>223</v>
      </c>
    </row>
    <row r="131" spans="17:52" x14ac:dyDescent="0.25">
      <c r="Q131" s="262" t="str">
        <f t="shared" si="4"/>
        <v>GymboreeGY 18 SMR</v>
      </c>
      <c r="R131" s="35" t="str">
        <f t="shared" si="5"/>
        <v>2018GymboreeSummer</v>
      </c>
      <c r="S131" s="1">
        <v>2018</v>
      </c>
      <c r="T131" s="1" t="s">
        <v>14</v>
      </c>
      <c r="U131" s="1" t="s">
        <v>18</v>
      </c>
      <c r="V131" s="1" t="s">
        <v>173</v>
      </c>
      <c r="W131" s="27" t="s">
        <v>174</v>
      </c>
      <c r="X131" s="30"/>
      <c r="AF131" s="35" t="str">
        <f t="shared" si="6"/>
        <v>Janie &amp; JackWebUSA21</v>
      </c>
      <c r="AG131" s="1" t="s">
        <v>38</v>
      </c>
      <c r="AH131" s="1" t="s">
        <v>15</v>
      </c>
      <c r="AI131" s="1" t="s">
        <v>336</v>
      </c>
      <c r="AJ131" s="1">
        <v>21</v>
      </c>
      <c r="AK131" s="27">
        <v>0.55000000000000004</v>
      </c>
      <c r="AM131" s="262" t="str">
        <f t="shared" si="7"/>
        <v>Janie &amp; JackUSAOutletJJ 18 APR SMR 1</v>
      </c>
      <c r="AN131" s="1" t="s">
        <v>38</v>
      </c>
      <c r="AO131" s="1" t="s">
        <v>17</v>
      </c>
      <c r="AP131" s="1" t="s">
        <v>336</v>
      </c>
      <c r="AQ131" s="1">
        <v>2018</v>
      </c>
      <c r="AR131" s="1" t="s">
        <v>18</v>
      </c>
      <c r="AS131" s="1" t="s">
        <v>224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27" t="s">
        <v>225</v>
      </c>
    </row>
    <row r="132" spans="17:52" x14ac:dyDescent="0.25">
      <c r="Q132" s="262" t="str">
        <f t="shared" si="4"/>
        <v>GymboreeGY 18 SWIM 3</v>
      </c>
      <c r="R132" s="35" t="str">
        <f t="shared" si="5"/>
        <v>2018GymboreeSummer</v>
      </c>
      <c r="S132" s="1">
        <v>2018</v>
      </c>
      <c r="T132" s="1" t="s">
        <v>14</v>
      </c>
      <c r="U132" s="1" t="s">
        <v>18</v>
      </c>
      <c r="V132" s="1" t="s">
        <v>167</v>
      </c>
      <c r="W132" s="27" t="s">
        <v>168</v>
      </c>
      <c r="X132" s="30"/>
      <c r="AF132" s="35" t="str">
        <f t="shared" si="6"/>
        <v>Janie &amp; JackWebUSA22</v>
      </c>
      <c r="AG132" s="1" t="s">
        <v>38</v>
      </c>
      <c r="AH132" s="1" t="s">
        <v>15</v>
      </c>
      <c r="AI132" s="1" t="s">
        <v>336</v>
      </c>
      <c r="AJ132" s="1">
        <v>22</v>
      </c>
      <c r="AK132" s="27">
        <v>0.55000000000000004</v>
      </c>
      <c r="AM132" s="262" t="str">
        <f t="shared" si="7"/>
        <v>Janie &amp; JackUSAOutletJJ 18 SMR BASICS</v>
      </c>
      <c r="AN132" s="1" t="s">
        <v>38</v>
      </c>
      <c r="AO132" s="1" t="s">
        <v>17</v>
      </c>
      <c r="AP132" s="1" t="s">
        <v>336</v>
      </c>
      <c r="AQ132" s="1">
        <v>2018</v>
      </c>
      <c r="AR132" s="1" t="s">
        <v>18</v>
      </c>
      <c r="AS132" s="1" t="s">
        <v>192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27" t="s">
        <v>193</v>
      </c>
    </row>
    <row r="133" spans="17:52" x14ac:dyDescent="0.25">
      <c r="Q133" s="262" t="str">
        <f t="shared" si="4"/>
        <v>GymboreeGY 17 HOL</v>
      </c>
      <c r="R133" s="35" t="str">
        <f t="shared" si="5"/>
        <v>2018GymboreeWinter</v>
      </c>
      <c r="S133" s="1">
        <v>2018</v>
      </c>
      <c r="T133" s="1" t="s">
        <v>14</v>
      </c>
      <c r="U133" s="1" t="s">
        <v>40</v>
      </c>
      <c r="V133" s="1" t="s">
        <v>417</v>
      </c>
      <c r="W133" s="27" t="s">
        <v>496</v>
      </c>
      <c r="X133" s="30"/>
      <c r="AF133" s="35" t="str">
        <f t="shared" si="6"/>
        <v>Janie &amp; JackWebUSA23</v>
      </c>
      <c r="AG133" s="1" t="s">
        <v>38</v>
      </c>
      <c r="AH133" s="1" t="s">
        <v>15</v>
      </c>
      <c r="AI133" s="1" t="s">
        <v>336</v>
      </c>
      <c r="AJ133" s="1">
        <v>23</v>
      </c>
      <c r="AK133" s="27">
        <v>0.55000000000000004</v>
      </c>
      <c r="AM133" s="262" t="str">
        <f t="shared" si="7"/>
        <v>Janie &amp; JackUSAOutletJJ 18 MAR JJ SPORT</v>
      </c>
      <c r="AN133" s="1" t="s">
        <v>38</v>
      </c>
      <c r="AO133" s="1" t="s">
        <v>17</v>
      </c>
      <c r="AP133" s="1" t="s">
        <v>336</v>
      </c>
      <c r="AQ133" s="1">
        <v>2018</v>
      </c>
      <c r="AR133" s="1" t="s">
        <v>18</v>
      </c>
      <c r="AS133" s="1" t="s">
        <v>221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27" t="s">
        <v>591</v>
      </c>
    </row>
    <row r="134" spans="17:52" x14ac:dyDescent="0.25">
      <c r="Q134" s="262" t="str">
        <f t="shared" si="4"/>
        <v>GymboreeGY 17 JAN CAP</v>
      </c>
      <c r="R134" s="35" t="str">
        <f t="shared" si="5"/>
        <v>2018GymboreeWinter</v>
      </c>
      <c r="S134" s="1">
        <v>2018</v>
      </c>
      <c r="T134" s="1" t="s">
        <v>14</v>
      </c>
      <c r="U134" s="1" t="s">
        <v>40</v>
      </c>
      <c r="V134" s="1" t="s">
        <v>416</v>
      </c>
      <c r="W134" s="27" t="s">
        <v>495</v>
      </c>
      <c r="X134" s="30"/>
      <c r="AF134" s="35" t="str">
        <f t="shared" ref="AF134:AF197" si="12">AG134&amp;AH134&amp;AI134&amp;AJ134</f>
        <v>Janie &amp; JackWebUSA24</v>
      </c>
      <c r="AG134" s="1" t="s">
        <v>38</v>
      </c>
      <c r="AH134" s="1" t="s">
        <v>15</v>
      </c>
      <c r="AI134" s="1" t="s">
        <v>336</v>
      </c>
      <c r="AJ134" s="1">
        <v>24</v>
      </c>
      <c r="AK134" s="27">
        <v>0.56000000000000005</v>
      </c>
      <c r="AM134" s="262" t="str">
        <f t="shared" ref="AM134:AM197" si="13">AN134&amp;AP134&amp;AO134&amp;AS134</f>
        <v>Janie &amp; JackUSAOutletJJ 18 MAY SUMMER 2</v>
      </c>
      <c r="AN134" s="1" t="s">
        <v>38</v>
      </c>
      <c r="AO134" s="1" t="s">
        <v>17</v>
      </c>
      <c r="AP134" s="1" t="s">
        <v>336</v>
      </c>
      <c r="AQ134" s="1">
        <v>2018</v>
      </c>
      <c r="AR134" s="1" t="s">
        <v>18</v>
      </c>
      <c r="AS134" s="1" t="s">
        <v>226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27" t="s">
        <v>227</v>
      </c>
    </row>
    <row r="135" spans="17:52" x14ac:dyDescent="0.25">
      <c r="Q135" s="262" t="str">
        <f t="shared" si="4"/>
        <v>GymboreeGY 17 SPR TRANS</v>
      </c>
      <c r="R135" s="35" t="str">
        <f t="shared" si="5"/>
        <v>2018GymboreeWinter</v>
      </c>
      <c r="S135" s="1">
        <v>2018</v>
      </c>
      <c r="T135" s="1" t="s">
        <v>14</v>
      </c>
      <c r="U135" s="1" t="s">
        <v>40</v>
      </c>
      <c r="V135" s="1" t="s">
        <v>421</v>
      </c>
      <c r="W135" s="27" t="s">
        <v>497</v>
      </c>
      <c r="X135" s="30"/>
      <c r="AF135" s="35" t="str">
        <f t="shared" si="12"/>
        <v>Janie &amp; JackWebUSA25</v>
      </c>
      <c r="AG135" s="1" t="s">
        <v>38</v>
      </c>
      <c r="AH135" s="1" t="s">
        <v>15</v>
      </c>
      <c r="AI135" s="1" t="s">
        <v>336</v>
      </c>
      <c r="AJ135" s="1">
        <v>25</v>
      </c>
      <c r="AK135" s="27">
        <v>0.6</v>
      </c>
      <c r="AM135" s="262" t="str">
        <f t="shared" si="13"/>
        <v>Janie &amp; JackUSAOutletJJ 18 MAY 4TH OF JULY</v>
      </c>
      <c r="AN135" s="1" t="s">
        <v>38</v>
      </c>
      <c r="AO135" s="1" t="s">
        <v>17</v>
      </c>
      <c r="AP135" s="1" t="s">
        <v>336</v>
      </c>
      <c r="AQ135" s="1">
        <v>2018</v>
      </c>
      <c r="AR135" s="1" t="s">
        <v>18</v>
      </c>
      <c r="AS135" s="1" t="s">
        <v>228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27" t="s">
        <v>229</v>
      </c>
    </row>
    <row r="136" spans="17:52" x14ac:dyDescent="0.25">
      <c r="Q136" s="262" t="str">
        <f t="shared" si="4"/>
        <v>GymboreeGY 17 WINTER 1</v>
      </c>
      <c r="R136" s="35" t="str">
        <f t="shared" si="5"/>
        <v>2018GymboreeWinter</v>
      </c>
      <c r="S136" s="1">
        <v>2018</v>
      </c>
      <c r="T136" s="1" t="s">
        <v>14</v>
      </c>
      <c r="U136" s="1" t="s">
        <v>40</v>
      </c>
      <c r="V136" s="1" t="s">
        <v>418</v>
      </c>
      <c r="W136" s="27" t="s">
        <v>498</v>
      </c>
      <c r="X136" s="30"/>
      <c r="AF136" s="35" t="str">
        <f t="shared" si="12"/>
        <v>Janie &amp; JackWebUSA26</v>
      </c>
      <c r="AG136" s="1" t="s">
        <v>38</v>
      </c>
      <c r="AH136" s="1" t="s">
        <v>15</v>
      </c>
      <c r="AI136" s="1" t="s">
        <v>336</v>
      </c>
      <c r="AJ136" s="1">
        <v>26</v>
      </c>
      <c r="AK136" s="27">
        <v>0.65</v>
      </c>
      <c r="AM136" s="262" t="str">
        <f t="shared" si="13"/>
        <v>Janie &amp; JackUSAOutletJJ 18 MAY TRANS GIFT LAY</v>
      </c>
      <c r="AN136" s="1" t="s">
        <v>38</v>
      </c>
      <c r="AO136" s="1" t="s">
        <v>17</v>
      </c>
      <c r="AP136" s="1" t="s">
        <v>336</v>
      </c>
      <c r="AQ136" s="1">
        <v>2018</v>
      </c>
      <c r="AR136" s="1" t="s">
        <v>18</v>
      </c>
      <c r="AS136" s="1" t="s">
        <v>238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27" t="s">
        <v>239</v>
      </c>
    </row>
    <row r="137" spans="17:52" x14ac:dyDescent="0.25">
      <c r="Q137" s="262" t="str">
        <f t="shared" ref="Q137:Q206" si="14">T137&amp;V137</f>
        <v>GymboreeGY 17 WINTER 2</v>
      </c>
      <c r="R137" s="35" t="str">
        <f t="shared" ref="R137:R206" si="15">S137&amp;T137&amp;U137</f>
        <v>2018GymboreeWinter</v>
      </c>
      <c r="S137" s="1">
        <v>2018</v>
      </c>
      <c r="T137" s="1" t="s">
        <v>14</v>
      </c>
      <c r="U137" s="1" t="s">
        <v>40</v>
      </c>
      <c r="V137" s="1" t="s">
        <v>419</v>
      </c>
      <c r="W137" s="27" t="s">
        <v>499</v>
      </c>
      <c r="X137" s="30"/>
      <c r="AF137" s="35" t="str">
        <f t="shared" si="12"/>
        <v>Janie &amp; JackWebUSA27</v>
      </c>
      <c r="AG137" s="1" t="s">
        <v>38</v>
      </c>
      <c r="AH137" s="1" t="s">
        <v>15</v>
      </c>
      <c r="AI137" s="1" t="s">
        <v>336</v>
      </c>
      <c r="AJ137" s="1">
        <v>27</v>
      </c>
      <c r="AK137" s="27">
        <v>0.65</v>
      </c>
      <c r="AM137" s="262" t="str">
        <f t="shared" si="13"/>
        <v>Janie &amp; JackUSAOutletJJ 18 MAY SUMMER 3</v>
      </c>
      <c r="AN137" s="1" t="s">
        <v>38</v>
      </c>
      <c r="AO137" s="1" t="s">
        <v>17</v>
      </c>
      <c r="AP137" s="1" t="s">
        <v>336</v>
      </c>
      <c r="AQ137" s="1">
        <v>2018</v>
      </c>
      <c r="AR137" s="1" t="s">
        <v>18</v>
      </c>
      <c r="AS137" s="1" t="s">
        <v>231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27" t="s">
        <v>232</v>
      </c>
    </row>
    <row r="138" spans="17:52" x14ac:dyDescent="0.25">
      <c r="Q138" s="262" t="str">
        <f t="shared" si="14"/>
        <v>GymboreeGY 17 WINTER 3</v>
      </c>
      <c r="R138" s="35" t="str">
        <f t="shared" si="15"/>
        <v>2018GymboreeWinter</v>
      </c>
      <c r="S138" s="1">
        <v>2018</v>
      </c>
      <c r="T138" s="1" t="s">
        <v>14</v>
      </c>
      <c r="U138" s="1" t="s">
        <v>40</v>
      </c>
      <c r="V138" s="1" t="s">
        <v>420</v>
      </c>
      <c r="W138" s="27" t="s">
        <v>500</v>
      </c>
      <c r="X138" s="30"/>
      <c r="AF138" s="35" t="str">
        <f t="shared" si="12"/>
        <v>Janie &amp; JackWebUSA28</v>
      </c>
      <c r="AG138" s="1" t="s">
        <v>38</v>
      </c>
      <c r="AH138" s="1" t="s">
        <v>15</v>
      </c>
      <c r="AI138" s="1" t="s">
        <v>336</v>
      </c>
      <c r="AJ138" s="1">
        <v>28</v>
      </c>
      <c r="AK138" s="27">
        <v>0.65</v>
      </c>
      <c r="AM138" s="262" t="str">
        <f t="shared" si="13"/>
        <v>Janie &amp; JackUSAOutletJJ 18 MAY SPORT</v>
      </c>
      <c r="AN138" s="1" t="s">
        <v>38</v>
      </c>
      <c r="AO138" s="1" t="s">
        <v>17</v>
      </c>
      <c r="AP138" s="1" t="s">
        <v>336</v>
      </c>
      <c r="AQ138" s="1">
        <v>2018</v>
      </c>
      <c r="AR138" s="1" t="s">
        <v>18</v>
      </c>
      <c r="AS138" s="1" t="s">
        <v>431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27" t="s">
        <v>591</v>
      </c>
    </row>
    <row r="139" spans="17:52" x14ac:dyDescent="0.25">
      <c r="Q139" s="262" t="str">
        <f t="shared" si="14"/>
        <v>GymboreeGY 18 VDAY</v>
      </c>
      <c r="R139" s="35" t="str">
        <f t="shared" si="15"/>
        <v>2018GymboreeWinter</v>
      </c>
      <c r="S139" s="1">
        <v>2018</v>
      </c>
      <c r="T139" s="1" t="s">
        <v>14</v>
      </c>
      <c r="U139" s="1" t="s">
        <v>40</v>
      </c>
      <c r="V139" s="1" t="s">
        <v>422</v>
      </c>
      <c r="W139" s="27" t="s">
        <v>416</v>
      </c>
      <c r="X139" s="30"/>
      <c r="AF139" s="35" t="str">
        <f t="shared" si="12"/>
        <v>Janie &amp; JackWebUSA29</v>
      </c>
      <c r="AG139" s="1" t="s">
        <v>38</v>
      </c>
      <c r="AH139" s="1" t="s">
        <v>15</v>
      </c>
      <c r="AI139" s="1" t="s">
        <v>336</v>
      </c>
      <c r="AJ139" s="1">
        <v>29</v>
      </c>
      <c r="AK139" s="27">
        <v>0.65</v>
      </c>
      <c r="AM139" s="262" t="str">
        <f t="shared" si="13"/>
        <v>Janie &amp; JackUSAOutletJJ 18 MAY SUMMER 4</v>
      </c>
      <c r="AN139" s="1" t="s">
        <v>38</v>
      </c>
      <c r="AO139" s="1" t="s">
        <v>17</v>
      </c>
      <c r="AP139" s="1" t="s">
        <v>336</v>
      </c>
      <c r="AQ139" s="1">
        <v>2018</v>
      </c>
      <c r="AR139" s="1" t="s">
        <v>18</v>
      </c>
      <c r="AS139" s="1" t="s">
        <v>233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27" t="s">
        <v>234</v>
      </c>
    </row>
    <row r="140" spans="17:52" x14ac:dyDescent="0.25">
      <c r="Q140" s="262" t="str">
        <f t="shared" ref="Q140:Q145" si="16">T140&amp;V140</f>
        <v>GymboreeGY 18 HOL</v>
      </c>
      <c r="R140" s="35" t="str">
        <f t="shared" ref="R140:R145" si="17">S140&amp;T140&amp;U140</f>
        <v>2018GymboreeWinter</v>
      </c>
      <c r="S140" s="315">
        <v>2018</v>
      </c>
      <c r="T140" s="315" t="s">
        <v>14</v>
      </c>
      <c r="U140" s="313" t="s">
        <v>40</v>
      </c>
      <c r="V140" s="313" t="s">
        <v>611</v>
      </c>
      <c r="W140" s="314" t="s">
        <v>417</v>
      </c>
      <c r="X140" s="30"/>
      <c r="AF140" s="35" t="str">
        <f t="shared" si="12"/>
        <v>Janie &amp; JackWebUSA30</v>
      </c>
      <c r="AG140" s="1" t="s">
        <v>38</v>
      </c>
      <c r="AH140" s="1" t="s">
        <v>15</v>
      </c>
      <c r="AI140" s="1" t="s">
        <v>336</v>
      </c>
      <c r="AJ140" s="1">
        <v>30</v>
      </c>
      <c r="AK140" s="27">
        <v>0.65</v>
      </c>
      <c r="AM140" s="262" t="str">
        <f t="shared" si="13"/>
        <v>Janie &amp; JackUSAOutletJJ 18 JUN TRANS 1</v>
      </c>
      <c r="AN140" s="1" t="s">
        <v>38</v>
      </c>
      <c r="AO140" s="1" t="s">
        <v>17</v>
      </c>
      <c r="AP140" s="1" t="s">
        <v>336</v>
      </c>
      <c r="AQ140" s="1">
        <v>2018</v>
      </c>
      <c r="AR140" s="1" t="s">
        <v>18</v>
      </c>
      <c r="AS140" s="1" t="s">
        <v>235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27" t="s">
        <v>236</v>
      </c>
    </row>
    <row r="141" spans="17:52" x14ac:dyDescent="0.25">
      <c r="Q141" s="262" t="str">
        <f t="shared" si="16"/>
        <v>GymboreeGY 18 HOLIDAY 1</v>
      </c>
      <c r="R141" s="35" t="str">
        <f t="shared" si="17"/>
        <v>2018GymboreeWinter</v>
      </c>
      <c r="S141" s="315">
        <v>2018</v>
      </c>
      <c r="T141" s="315" t="s">
        <v>14</v>
      </c>
      <c r="U141" s="313" t="s">
        <v>40</v>
      </c>
      <c r="V141" s="313" t="s">
        <v>612</v>
      </c>
      <c r="W141" s="314" t="s">
        <v>418</v>
      </c>
      <c r="X141" s="30"/>
      <c r="AF141" s="35" t="str">
        <f t="shared" si="12"/>
        <v>Janie &amp; JackWebUSA31</v>
      </c>
      <c r="AG141" s="1" t="s">
        <v>38</v>
      </c>
      <c r="AH141" s="1" t="s">
        <v>15</v>
      </c>
      <c r="AI141" s="1" t="s">
        <v>336</v>
      </c>
      <c r="AJ141" s="1">
        <v>31</v>
      </c>
      <c r="AK141" s="27">
        <v>0.65</v>
      </c>
      <c r="AM141" s="262" t="str">
        <f t="shared" si="13"/>
        <v>Janie &amp; JackUSAOutletJJ 18 JULY TRANS 2</v>
      </c>
      <c r="AN141" s="1" t="s">
        <v>38</v>
      </c>
      <c r="AO141" s="1" t="s">
        <v>17</v>
      </c>
      <c r="AP141" s="1" t="s">
        <v>336</v>
      </c>
      <c r="AQ141" s="1">
        <v>2018</v>
      </c>
      <c r="AR141" s="1" t="s">
        <v>18</v>
      </c>
      <c r="AS141" s="1" t="s">
        <v>175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27" t="s">
        <v>176</v>
      </c>
    </row>
    <row r="142" spans="17:52" x14ac:dyDescent="0.25">
      <c r="Q142" s="262" t="str">
        <f t="shared" si="16"/>
        <v>GymboreeGY 18 HOLIDAY 2</v>
      </c>
      <c r="R142" s="35" t="str">
        <f t="shared" si="17"/>
        <v>2018GymboreeWinter</v>
      </c>
      <c r="S142" s="315">
        <v>2018</v>
      </c>
      <c r="T142" s="315" t="s">
        <v>14</v>
      </c>
      <c r="U142" s="313" t="s">
        <v>40</v>
      </c>
      <c r="V142" s="313" t="s">
        <v>613</v>
      </c>
      <c r="W142" s="314" t="s">
        <v>419</v>
      </c>
      <c r="X142" s="30"/>
      <c r="AF142" s="35" t="str">
        <f t="shared" si="12"/>
        <v>Janie &amp; JackWebUSA32</v>
      </c>
      <c r="AG142" s="1" t="s">
        <v>38</v>
      </c>
      <c r="AH142" s="1" t="s">
        <v>15</v>
      </c>
      <c r="AI142" s="1" t="s">
        <v>336</v>
      </c>
      <c r="AJ142" s="1">
        <v>32</v>
      </c>
      <c r="AK142" s="27">
        <v>0.65</v>
      </c>
      <c r="AM142" s="262" t="str">
        <f t="shared" si="13"/>
        <v>Janie &amp; JackUSAOutletJJ 18 LAY SIGNATURE 2</v>
      </c>
      <c r="AN142" s="1" t="s">
        <v>38</v>
      </c>
      <c r="AO142" s="1" t="s">
        <v>17</v>
      </c>
      <c r="AP142" s="1" t="s">
        <v>336</v>
      </c>
      <c r="AQ142" s="1">
        <v>2018</v>
      </c>
      <c r="AR142" s="1" t="s">
        <v>18</v>
      </c>
      <c r="AS142" s="1" t="s">
        <v>201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27" t="s">
        <v>591</v>
      </c>
    </row>
    <row r="143" spans="17:52" x14ac:dyDescent="0.25">
      <c r="Q143" s="262" t="str">
        <f t="shared" si="16"/>
        <v>GymboreeGY 18 HOLIDAY 3</v>
      </c>
      <c r="R143" s="35" t="str">
        <f t="shared" si="17"/>
        <v>2018GymboreeWinter</v>
      </c>
      <c r="S143" s="315">
        <v>2018</v>
      </c>
      <c r="T143" s="315" t="s">
        <v>14</v>
      </c>
      <c r="U143" s="313" t="s">
        <v>40</v>
      </c>
      <c r="V143" s="313" t="s">
        <v>614</v>
      </c>
      <c r="W143" s="314" t="s">
        <v>420</v>
      </c>
      <c r="X143" s="30"/>
      <c r="AF143" s="35" t="str">
        <f t="shared" si="12"/>
        <v>Janie &amp; JackWebUSA33</v>
      </c>
      <c r="AG143" s="1" t="s">
        <v>38</v>
      </c>
      <c r="AH143" s="1" t="s">
        <v>15</v>
      </c>
      <c r="AI143" s="1" t="s">
        <v>336</v>
      </c>
      <c r="AJ143" s="1">
        <v>33</v>
      </c>
      <c r="AK143" s="27">
        <v>0.65</v>
      </c>
      <c r="AM143" s="262" t="str">
        <f t="shared" si="13"/>
        <v>Janie &amp; JackUSAOutletJJ 18 JULY SO SB 2</v>
      </c>
      <c r="AN143" s="1" t="s">
        <v>38</v>
      </c>
      <c r="AO143" s="1" t="s">
        <v>17</v>
      </c>
      <c r="AP143" s="1" t="s">
        <v>336</v>
      </c>
      <c r="AQ143" s="1">
        <v>2018</v>
      </c>
      <c r="AR143" s="1" t="s">
        <v>18</v>
      </c>
      <c r="AS143" s="1" t="s">
        <v>199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27" t="s">
        <v>200</v>
      </c>
    </row>
    <row r="144" spans="17:52" x14ac:dyDescent="0.25">
      <c r="Q144" s="262" t="str">
        <f t="shared" si="16"/>
        <v>GymboreeGY 18 SPR TRANS</v>
      </c>
      <c r="R144" s="35" t="str">
        <f t="shared" si="17"/>
        <v>2018GymboreeWinter</v>
      </c>
      <c r="S144" s="315">
        <v>2018</v>
      </c>
      <c r="T144" s="315" t="s">
        <v>14</v>
      </c>
      <c r="U144" s="313" t="s">
        <v>40</v>
      </c>
      <c r="V144" s="313" t="s">
        <v>615</v>
      </c>
      <c r="W144" s="314" t="s">
        <v>421</v>
      </c>
      <c r="AF144" s="35" t="str">
        <f t="shared" si="12"/>
        <v>Janie &amp; JackWebUSA34</v>
      </c>
      <c r="AG144" s="1" t="s">
        <v>38</v>
      </c>
      <c r="AH144" s="1" t="s">
        <v>15</v>
      </c>
      <c r="AI144" s="1" t="s">
        <v>336</v>
      </c>
      <c r="AJ144" s="1">
        <v>34</v>
      </c>
      <c r="AK144" s="27">
        <v>0.65</v>
      </c>
      <c r="AM144" s="262" t="str">
        <f t="shared" si="13"/>
        <v>Janie &amp; JackUSAOutletJJ 18 JULY TRANS 3</v>
      </c>
      <c r="AN144" s="1" t="s">
        <v>38</v>
      </c>
      <c r="AO144" s="1" t="s">
        <v>17</v>
      </c>
      <c r="AP144" s="1" t="s">
        <v>336</v>
      </c>
      <c r="AQ144" s="1">
        <v>2018</v>
      </c>
      <c r="AR144" s="1" t="s">
        <v>18</v>
      </c>
      <c r="AS144" s="1" t="s">
        <v>177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27" t="s">
        <v>178</v>
      </c>
    </row>
    <row r="145" spans="17:52" x14ac:dyDescent="0.25">
      <c r="Q145" s="262" t="str">
        <f t="shared" si="16"/>
        <v>GymboreeGY 19 VDAY</v>
      </c>
      <c r="R145" s="35" t="str">
        <f t="shared" si="17"/>
        <v>2018GymboreeWinter</v>
      </c>
      <c r="S145" s="315">
        <v>2018</v>
      </c>
      <c r="T145" s="315" t="s">
        <v>14</v>
      </c>
      <c r="U145" s="313" t="s">
        <v>40</v>
      </c>
      <c r="V145" s="313" t="s">
        <v>616</v>
      </c>
      <c r="W145" s="314" t="s">
        <v>422</v>
      </c>
      <c r="AF145" s="35" t="str">
        <f t="shared" si="12"/>
        <v>Janie &amp; JackWebUSA35</v>
      </c>
      <c r="AG145" s="1" t="s">
        <v>38</v>
      </c>
      <c r="AH145" s="1" t="s">
        <v>15</v>
      </c>
      <c r="AI145" s="1" t="s">
        <v>336</v>
      </c>
      <c r="AJ145" s="1">
        <v>35</v>
      </c>
      <c r="AK145" s="27">
        <v>0.65</v>
      </c>
      <c r="AM145" s="262" t="str">
        <f t="shared" si="13"/>
        <v>Janie &amp; JackUSAOutletJJ 18 JUN JJ SPORT</v>
      </c>
      <c r="AN145" s="1" t="s">
        <v>38</v>
      </c>
      <c r="AO145" s="1" t="s">
        <v>17</v>
      </c>
      <c r="AP145" s="1" t="s">
        <v>336</v>
      </c>
      <c r="AQ145" s="1">
        <v>2018</v>
      </c>
      <c r="AR145" s="1" t="s">
        <v>18</v>
      </c>
      <c r="AS145" s="1" t="s">
        <v>237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27" t="s">
        <v>591</v>
      </c>
    </row>
    <row r="146" spans="17:52" x14ac:dyDescent="0.25">
      <c r="Q146" s="262" t="str">
        <f t="shared" si="14"/>
        <v>Janie &amp; JackJJ 17 BALLET BASICS</v>
      </c>
      <c r="R146" s="35" t="str">
        <f t="shared" si="15"/>
        <v>2018Janie &amp; JackBasics</v>
      </c>
      <c r="S146" s="1">
        <v>2018</v>
      </c>
      <c r="T146" s="1" t="s">
        <v>38</v>
      </c>
      <c r="U146" s="1" t="s">
        <v>41</v>
      </c>
      <c r="V146" s="1" t="s">
        <v>383</v>
      </c>
      <c r="W146" s="27"/>
      <c r="AF146" s="35" t="str">
        <f t="shared" si="12"/>
        <v>Janie &amp; JackWebUSA36</v>
      </c>
      <c r="AG146" s="1" t="s">
        <v>38</v>
      </c>
      <c r="AH146" s="1" t="s">
        <v>15</v>
      </c>
      <c r="AI146" s="1" t="s">
        <v>336</v>
      </c>
      <c r="AJ146" s="1">
        <v>36</v>
      </c>
      <c r="AK146" s="27">
        <v>0.65</v>
      </c>
      <c r="AM146" s="262" t="str">
        <f t="shared" si="13"/>
        <v>Janie &amp; JackUSAOutletJJ 18 JULY FALL GIFT LAY</v>
      </c>
      <c r="AN146" s="1" t="s">
        <v>38</v>
      </c>
      <c r="AO146" s="1" t="s">
        <v>17</v>
      </c>
      <c r="AP146" s="1" t="s">
        <v>336</v>
      </c>
      <c r="AQ146" s="1">
        <v>2018</v>
      </c>
      <c r="AR146" s="1" t="s">
        <v>18</v>
      </c>
      <c r="AS146" s="1" t="s">
        <v>181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27" t="s">
        <v>393</v>
      </c>
    </row>
    <row r="147" spans="17:52" x14ac:dyDescent="0.25">
      <c r="Q147" s="262" t="str">
        <f t="shared" si="14"/>
        <v>Janie &amp; JackJJ 3RD PARTY</v>
      </c>
      <c r="R147" s="35" t="str">
        <f t="shared" si="15"/>
        <v>2018Janie &amp; JackBasics</v>
      </c>
      <c r="S147" s="1">
        <v>2018</v>
      </c>
      <c r="T147" s="1" t="s">
        <v>38</v>
      </c>
      <c r="U147" s="1" t="s">
        <v>41</v>
      </c>
      <c r="V147" s="1" t="s">
        <v>330</v>
      </c>
      <c r="W147" s="27" t="s">
        <v>330</v>
      </c>
      <c r="AF147" s="35" t="str">
        <f t="shared" si="12"/>
        <v>Janie &amp; JackWebUSA37</v>
      </c>
      <c r="AG147" s="1" t="s">
        <v>38</v>
      </c>
      <c r="AH147" s="1" t="s">
        <v>15</v>
      </c>
      <c r="AI147" s="1" t="s">
        <v>336</v>
      </c>
      <c r="AJ147" s="1">
        <v>37</v>
      </c>
      <c r="AK147" s="27">
        <v>0.65</v>
      </c>
      <c r="AM147" s="262" t="str">
        <f t="shared" si="13"/>
        <v>GymboreeUSARetailGY 18 VDAY</v>
      </c>
      <c r="AN147" s="1" t="s">
        <v>14</v>
      </c>
      <c r="AO147" s="1" t="s">
        <v>5</v>
      </c>
      <c r="AP147" s="1" t="s">
        <v>336</v>
      </c>
      <c r="AQ147" s="1">
        <v>2018</v>
      </c>
      <c r="AR147" s="1" t="s">
        <v>16</v>
      </c>
      <c r="AS147" s="1" t="s">
        <v>422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27" t="s">
        <v>416</v>
      </c>
    </row>
    <row r="148" spans="17:52" x14ac:dyDescent="0.25">
      <c r="Q148" s="262" t="str">
        <f t="shared" si="14"/>
        <v>Janie &amp; JackJJ SO YEARLY BASICS</v>
      </c>
      <c r="R148" s="35" t="str">
        <f t="shared" si="15"/>
        <v>2018Janie &amp; JackBasics</v>
      </c>
      <c r="S148" s="1">
        <v>2018</v>
      </c>
      <c r="T148" s="1" t="s">
        <v>38</v>
      </c>
      <c r="U148" s="1" t="s">
        <v>41</v>
      </c>
      <c r="V148" s="1" t="s">
        <v>328</v>
      </c>
      <c r="W148" s="27" t="s">
        <v>328</v>
      </c>
      <c r="AF148" s="35" t="str">
        <f t="shared" si="12"/>
        <v>Janie &amp; JackWebUSA38</v>
      </c>
      <c r="AG148" s="1" t="s">
        <v>38</v>
      </c>
      <c r="AH148" s="1" t="s">
        <v>15</v>
      </c>
      <c r="AI148" s="1" t="s">
        <v>336</v>
      </c>
      <c r="AJ148" s="1">
        <v>38</v>
      </c>
      <c r="AK148" s="27">
        <v>0.65</v>
      </c>
      <c r="AM148" s="262" t="str">
        <f t="shared" si="13"/>
        <v>GymboreeUSARetailGY 18 SPR</v>
      </c>
      <c r="AN148" s="1" t="s">
        <v>14</v>
      </c>
      <c r="AO148" s="1" t="s">
        <v>5</v>
      </c>
      <c r="AP148" s="1" t="s">
        <v>336</v>
      </c>
      <c r="AQ148" s="1">
        <v>2018</v>
      </c>
      <c r="AR148" s="1" t="s">
        <v>16</v>
      </c>
      <c r="AS148" s="1" t="s">
        <v>149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27" t="s">
        <v>150</v>
      </c>
    </row>
    <row r="149" spans="17:52" x14ac:dyDescent="0.25">
      <c r="Q149" s="262" t="str">
        <f t="shared" si="14"/>
        <v>Janie &amp; JackJJ YRLY BASICS</v>
      </c>
      <c r="R149" s="35" t="str">
        <f t="shared" si="15"/>
        <v>2018Janie &amp; JackBasics</v>
      </c>
      <c r="S149" s="1">
        <v>2018</v>
      </c>
      <c r="T149" s="1" t="s">
        <v>38</v>
      </c>
      <c r="U149" s="1" t="s">
        <v>41</v>
      </c>
      <c r="V149" s="1" t="s">
        <v>329</v>
      </c>
      <c r="W149" s="27" t="s">
        <v>329</v>
      </c>
      <c r="AF149" s="35" t="str">
        <f t="shared" si="12"/>
        <v>Janie &amp; JackWebUSA39</v>
      </c>
      <c r="AG149" s="1" t="s">
        <v>38</v>
      </c>
      <c r="AH149" s="1" t="s">
        <v>15</v>
      </c>
      <c r="AI149" s="1" t="s">
        <v>336</v>
      </c>
      <c r="AJ149" s="1">
        <v>39</v>
      </c>
      <c r="AK149" s="27">
        <v>0.65</v>
      </c>
      <c r="AM149" s="262" t="str">
        <f t="shared" si="13"/>
        <v>GymboreeUSARetailGY 18 SPRING BASICS</v>
      </c>
      <c r="AN149" s="1" t="s">
        <v>14</v>
      </c>
      <c r="AO149" s="1" t="s">
        <v>5</v>
      </c>
      <c r="AP149" s="1" t="s">
        <v>336</v>
      </c>
      <c r="AQ149" s="1">
        <v>2018</v>
      </c>
      <c r="AR149" s="1" t="s">
        <v>16</v>
      </c>
      <c r="AS149" s="1" t="s">
        <v>145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27" t="s">
        <v>146</v>
      </c>
    </row>
    <row r="150" spans="17:52" x14ac:dyDescent="0.25">
      <c r="Q150" s="262" t="str">
        <f t="shared" si="14"/>
        <v>Janie &amp; JackJJ 17 AUG FALL 1</v>
      </c>
      <c r="R150" s="35" t="str">
        <f t="shared" si="15"/>
        <v>2018Janie &amp; JackFall</v>
      </c>
      <c r="S150" s="1">
        <v>2018</v>
      </c>
      <c r="T150" s="1" t="s">
        <v>38</v>
      </c>
      <c r="U150" s="1" t="s">
        <v>39</v>
      </c>
      <c r="V150" s="1" t="s">
        <v>394</v>
      </c>
      <c r="W150" s="27" t="s">
        <v>501</v>
      </c>
      <c r="AF150" s="35" t="str">
        <f t="shared" si="12"/>
        <v>Janie &amp; JackWebUSA40</v>
      </c>
      <c r="AG150" s="1" t="s">
        <v>38</v>
      </c>
      <c r="AH150" s="1" t="s">
        <v>15</v>
      </c>
      <c r="AI150" s="1" t="s">
        <v>336</v>
      </c>
      <c r="AJ150" s="1">
        <v>40</v>
      </c>
      <c r="AK150" s="27">
        <v>0.65</v>
      </c>
      <c r="AM150" s="262" t="str">
        <f t="shared" si="13"/>
        <v>GymboreeUSARetailGY 18 SPR 1</v>
      </c>
      <c r="AN150" s="1" t="s">
        <v>14</v>
      </c>
      <c r="AO150" s="1" t="s">
        <v>5</v>
      </c>
      <c r="AP150" s="1" t="s">
        <v>336</v>
      </c>
      <c r="AQ150" s="1">
        <v>2018</v>
      </c>
      <c r="AR150" s="1" t="s">
        <v>16</v>
      </c>
      <c r="AS150" s="1" t="s">
        <v>151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27" t="s">
        <v>152</v>
      </c>
    </row>
    <row r="151" spans="17:52" x14ac:dyDescent="0.25">
      <c r="Q151" s="262" t="str">
        <f t="shared" si="14"/>
        <v>Janie &amp; JackJJ 17 AUG HALLOWEEN</v>
      </c>
      <c r="R151" s="35" t="str">
        <f t="shared" si="15"/>
        <v>2018Janie &amp; JackFall</v>
      </c>
      <c r="S151" s="1">
        <v>2018</v>
      </c>
      <c r="T151" s="1" t="s">
        <v>38</v>
      </c>
      <c r="U151" s="1" t="s">
        <v>39</v>
      </c>
      <c r="V151" s="1" t="s">
        <v>395</v>
      </c>
      <c r="W151" s="27" t="s">
        <v>502</v>
      </c>
      <c r="AF151" s="35" t="str">
        <f t="shared" si="12"/>
        <v>Janie &amp; JackWebUSA41</v>
      </c>
      <c r="AG151" s="1" t="s">
        <v>38</v>
      </c>
      <c r="AH151" s="1" t="s">
        <v>15</v>
      </c>
      <c r="AI151" s="1" t="s">
        <v>336</v>
      </c>
      <c r="AJ151" s="1">
        <v>41</v>
      </c>
      <c r="AK151" s="27">
        <v>0.65</v>
      </c>
      <c r="AM151" s="262" t="str">
        <f t="shared" si="13"/>
        <v>GymboreeUSARetailGY 18 SPR 2</v>
      </c>
      <c r="AN151" s="1" t="s">
        <v>14</v>
      </c>
      <c r="AO151" s="1" t="s">
        <v>5</v>
      </c>
      <c r="AP151" s="1" t="s">
        <v>336</v>
      </c>
      <c r="AQ151" s="1">
        <v>2018</v>
      </c>
      <c r="AR151" s="1" t="s">
        <v>16</v>
      </c>
      <c r="AS151" s="1" t="s">
        <v>62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27" t="s">
        <v>63</v>
      </c>
    </row>
    <row r="152" spans="17:52" x14ac:dyDescent="0.25">
      <c r="Q152" s="262" t="str">
        <f t="shared" si="14"/>
        <v>Janie &amp; JackJJ 17 FALL 0</v>
      </c>
      <c r="R152" s="35" t="str">
        <f t="shared" si="15"/>
        <v>2018Janie &amp; JackFall</v>
      </c>
      <c r="S152" s="1">
        <v>2018</v>
      </c>
      <c r="T152" s="1" t="s">
        <v>38</v>
      </c>
      <c r="U152" s="1" t="s">
        <v>39</v>
      </c>
      <c r="V152" s="1" t="s">
        <v>180</v>
      </c>
      <c r="W152" s="27" t="s">
        <v>503</v>
      </c>
      <c r="AF152" s="35" t="str">
        <f t="shared" si="12"/>
        <v>Janie &amp; JackWebUSA42</v>
      </c>
      <c r="AG152" s="1" t="s">
        <v>38</v>
      </c>
      <c r="AH152" s="1" t="s">
        <v>15</v>
      </c>
      <c r="AI152" s="1" t="s">
        <v>336</v>
      </c>
      <c r="AJ152" s="1">
        <v>42</v>
      </c>
      <c r="AK152" s="27">
        <v>0.65</v>
      </c>
      <c r="AM152" s="262" t="str">
        <f t="shared" si="13"/>
        <v>GymboreeUSARetailGY 18 SWIM 1</v>
      </c>
      <c r="AN152" s="1" t="s">
        <v>14</v>
      </c>
      <c r="AO152" s="1" t="s">
        <v>5</v>
      </c>
      <c r="AP152" s="1" t="s">
        <v>336</v>
      </c>
      <c r="AQ152" s="1">
        <v>2018</v>
      </c>
      <c r="AR152" s="1" t="s">
        <v>16</v>
      </c>
      <c r="AS152" s="1" t="s">
        <v>153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27" t="s">
        <v>154</v>
      </c>
    </row>
    <row r="153" spans="17:52" x14ac:dyDescent="0.25">
      <c r="Q153" s="262" t="str">
        <f t="shared" si="14"/>
        <v>Janie &amp; JackJJ 17 FALL GIFTING LAY</v>
      </c>
      <c r="R153" s="35" t="str">
        <f t="shared" si="15"/>
        <v>2018Janie &amp; JackFall</v>
      </c>
      <c r="S153" s="1">
        <v>2018</v>
      </c>
      <c r="T153" s="1" t="s">
        <v>38</v>
      </c>
      <c r="U153" s="1" t="s">
        <v>39</v>
      </c>
      <c r="V153" s="1" t="s">
        <v>393</v>
      </c>
      <c r="W153" s="27" t="s">
        <v>504</v>
      </c>
      <c r="AF153" s="35" t="str">
        <f t="shared" si="12"/>
        <v>Janie &amp; JackWebUSA43</v>
      </c>
      <c r="AG153" s="1" t="s">
        <v>38</v>
      </c>
      <c r="AH153" s="1" t="s">
        <v>15</v>
      </c>
      <c r="AI153" s="1" t="s">
        <v>336</v>
      </c>
      <c r="AJ153" s="1">
        <v>43</v>
      </c>
      <c r="AK153" s="27">
        <v>0.65</v>
      </c>
      <c r="AM153" s="262" t="str">
        <f t="shared" si="13"/>
        <v>GymboreeUSARetailGY 18 SPR VACA</v>
      </c>
      <c r="AN153" s="1" t="s">
        <v>14</v>
      </c>
      <c r="AO153" s="1" t="s">
        <v>5</v>
      </c>
      <c r="AP153" s="1" t="s">
        <v>336</v>
      </c>
      <c r="AQ153" s="1">
        <v>2018</v>
      </c>
      <c r="AR153" s="1" t="s">
        <v>16</v>
      </c>
      <c r="AS153" s="1" t="s">
        <v>157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27" t="s">
        <v>158</v>
      </c>
    </row>
    <row r="154" spans="17:52" x14ac:dyDescent="0.25">
      <c r="Q154" s="262" t="str">
        <f t="shared" si="14"/>
        <v>Janie &amp; JackJJ 17 JULY TRANS 3 GIRL ONLY</v>
      </c>
      <c r="R154" s="35" t="str">
        <f t="shared" si="15"/>
        <v>2018Janie &amp; JackFall</v>
      </c>
      <c r="S154" s="1">
        <v>2018</v>
      </c>
      <c r="T154" s="1" t="s">
        <v>38</v>
      </c>
      <c r="U154" s="1" t="s">
        <v>39</v>
      </c>
      <c r="V154" s="1" t="s">
        <v>178</v>
      </c>
      <c r="W154" s="27"/>
      <c r="AF154" s="35" t="str">
        <f t="shared" si="12"/>
        <v>Janie &amp; JackWebUSA44</v>
      </c>
      <c r="AG154" s="1" t="s">
        <v>38</v>
      </c>
      <c r="AH154" s="1" t="s">
        <v>15</v>
      </c>
      <c r="AI154" s="1" t="s">
        <v>336</v>
      </c>
      <c r="AJ154" s="1">
        <v>44</v>
      </c>
      <c r="AK154" s="27">
        <v>0.65</v>
      </c>
      <c r="AM154" s="262" t="str">
        <f t="shared" si="13"/>
        <v>GymboreeUSARetailGY 18 SWIM 2</v>
      </c>
      <c r="AN154" s="1" t="s">
        <v>14</v>
      </c>
      <c r="AO154" s="1" t="s">
        <v>5</v>
      </c>
      <c r="AP154" s="1" t="s">
        <v>336</v>
      </c>
      <c r="AQ154" s="1">
        <v>2018</v>
      </c>
      <c r="AR154" s="1" t="s">
        <v>16</v>
      </c>
      <c r="AS154" s="1" t="s">
        <v>161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27" t="s">
        <v>162</v>
      </c>
    </row>
    <row r="155" spans="17:52" x14ac:dyDescent="0.25">
      <c r="Q155" s="262" t="str">
        <f t="shared" si="14"/>
        <v>Janie &amp; JackJJ 17 SEPT FALL 2</v>
      </c>
      <c r="R155" s="35" t="str">
        <f t="shared" si="15"/>
        <v>2018Janie &amp; JackFall</v>
      </c>
      <c r="S155" s="1">
        <v>2018</v>
      </c>
      <c r="T155" s="1" t="s">
        <v>38</v>
      </c>
      <c r="U155" s="1" t="s">
        <v>39</v>
      </c>
      <c r="V155" s="1" t="s">
        <v>396</v>
      </c>
      <c r="W155" s="27" t="s">
        <v>505</v>
      </c>
      <c r="AF155" s="35" t="str">
        <f t="shared" si="12"/>
        <v>Janie &amp; JackWebUSA45</v>
      </c>
      <c r="AG155" s="1" t="s">
        <v>38</v>
      </c>
      <c r="AH155" s="1" t="s">
        <v>15</v>
      </c>
      <c r="AI155" s="1" t="s">
        <v>336</v>
      </c>
      <c r="AJ155" s="1">
        <v>45</v>
      </c>
      <c r="AK155" s="27">
        <v>0.65</v>
      </c>
      <c r="AM155" s="262" t="str">
        <f t="shared" si="13"/>
        <v>GymboreeUSARetailGY 18 SUM 1</v>
      </c>
      <c r="AN155" s="1" t="s">
        <v>14</v>
      </c>
      <c r="AO155" s="1" t="s">
        <v>5</v>
      </c>
      <c r="AP155" s="1" t="s">
        <v>336</v>
      </c>
      <c r="AQ155" s="1">
        <v>2018</v>
      </c>
      <c r="AR155" s="1" t="s">
        <v>16</v>
      </c>
      <c r="AS155" s="1" t="s">
        <v>159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27" t="s">
        <v>160</v>
      </c>
    </row>
    <row r="156" spans="17:52" x14ac:dyDescent="0.25">
      <c r="Q156" s="262" t="str">
        <f t="shared" si="14"/>
        <v>Janie &amp; JackJJ 17 SEPT FALL 2 TIER</v>
      </c>
      <c r="R156" s="35" t="str">
        <f t="shared" si="15"/>
        <v>2018Janie &amp; JackFall</v>
      </c>
      <c r="S156" s="1">
        <v>2018</v>
      </c>
      <c r="T156" s="1" t="s">
        <v>38</v>
      </c>
      <c r="U156" s="1" t="s">
        <v>39</v>
      </c>
      <c r="V156" s="1" t="s">
        <v>397</v>
      </c>
      <c r="W156" s="27" t="s">
        <v>506</v>
      </c>
      <c r="AF156" s="35" t="str">
        <f t="shared" si="12"/>
        <v>Janie &amp; JackWebUSA46</v>
      </c>
      <c r="AG156" s="1" t="s">
        <v>38</v>
      </c>
      <c r="AH156" s="1" t="s">
        <v>15</v>
      </c>
      <c r="AI156" s="1" t="s">
        <v>336</v>
      </c>
      <c r="AJ156" s="1">
        <v>46</v>
      </c>
      <c r="AK156" s="27">
        <v>0.65</v>
      </c>
      <c r="AM156" s="262" t="str">
        <f t="shared" si="13"/>
        <v>GymboreeUSARetailGY 18 DRESSY</v>
      </c>
      <c r="AN156" s="1" t="s">
        <v>14</v>
      </c>
      <c r="AO156" s="1" t="s">
        <v>5</v>
      </c>
      <c r="AP156" s="1" t="s">
        <v>336</v>
      </c>
      <c r="AQ156" s="1">
        <v>2018</v>
      </c>
      <c r="AR156" s="1" t="s">
        <v>16</v>
      </c>
      <c r="AS156" s="1" t="s">
        <v>155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27" t="s">
        <v>156</v>
      </c>
    </row>
    <row r="157" spans="17:52" x14ac:dyDescent="0.25">
      <c r="Q157" s="262" t="str">
        <f t="shared" si="14"/>
        <v>Janie &amp; JackJJ 17 SEPT FALL 3</v>
      </c>
      <c r="R157" s="35" t="str">
        <f t="shared" si="15"/>
        <v>2018Janie &amp; JackFall</v>
      </c>
      <c r="S157" s="1">
        <v>2018</v>
      </c>
      <c r="T157" s="1" t="s">
        <v>38</v>
      </c>
      <c r="U157" s="1" t="s">
        <v>39</v>
      </c>
      <c r="V157" s="1" t="s">
        <v>398</v>
      </c>
      <c r="W157" s="27"/>
      <c r="AF157" s="35" t="str">
        <f t="shared" si="12"/>
        <v>Janie &amp; JackWebUSA47</v>
      </c>
      <c r="AG157" s="1" t="s">
        <v>38</v>
      </c>
      <c r="AH157" s="1" t="s">
        <v>15</v>
      </c>
      <c r="AI157" s="1" t="s">
        <v>336</v>
      </c>
      <c r="AJ157" s="1">
        <v>47</v>
      </c>
      <c r="AK157" s="27">
        <v>0.65</v>
      </c>
      <c r="AM157" s="262" t="str">
        <f t="shared" si="13"/>
        <v>GymboreeUSARetailGY 18 SMR</v>
      </c>
      <c r="AN157" s="1" t="s">
        <v>14</v>
      </c>
      <c r="AO157" s="1" t="s">
        <v>5</v>
      </c>
      <c r="AP157" s="1" t="s">
        <v>336</v>
      </c>
      <c r="AQ157" s="1">
        <v>2018</v>
      </c>
      <c r="AR157" s="1" t="s">
        <v>18</v>
      </c>
      <c r="AS157" s="1" t="s">
        <v>173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27" t="s">
        <v>174</v>
      </c>
    </row>
    <row r="158" spans="17:52" x14ac:dyDescent="0.25">
      <c r="Q158" s="262" t="str">
        <f t="shared" si="14"/>
        <v>Janie &amp; JackJJ 17 TRANS 2</v>
      </c>
      <c r="R158" s="35" t="str">
        <f t="shared" si="15"/>
        <v>2018Janie &amp; JackFall</v>
      </c>
      <c r="S158" s="1">
        <v>2018</v>
      </c>
      <c r="T158" s="1" t="s">
        <v>38</v>
      </c>
      <c r="U158" s="1" t="s">
        <v>39</v>
      </c>
      <c r="V158" s="1" t="s">
        <v>176</v>
      </c>
      <c r="W158" s="27" t="s">
        <v>507</v>
      </c>
      <c r="AF158" s="35" t="str">
        <f t="shared" si="12"/>
        <v>Janie &amp; JackWebUSA48</v>
      </c>
      <c r="AG158" s="1" t="s">
        <v>38</v>
      </c>
      <c r="AH158" s="1" t="s">
        <v>15</v>
      </c>
      <c r="AI158" s="1" t="s">
        <v>336</v>
      </c>
      <c r="AJ158" s="1">
        <v>48</v>
      </c>
      <c r="AK158" s="27">
        <v>0.65</v>
      </c>
      <c r="AM158" s="262" t="str">
        <f t="shared" si="13"/>
        <v>GymboreeUSARetailGY 18 SM2</v>
      </c>
      <c r="AN158" s="1" t="s">
        <v>14</v>
      </c>
      <c r="AO158" s="1" t="s">
        <v>5</v>
      </c>
      <c r="AP158" s="1" t="s">
        <v>336</v>
      </c>
      <c r="AQ158" s="1">
        <v>2018</v>
      </c>
      <c r="AR158" s="1" t="s">
        <v>18</v>
      </c>
      <c r="AS158" s="1" t="s">
        <v>163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27" t="s">
        <v>164</v>
      </c>
    </row>
    <row r="159" spans="17:52" x14ac:dyDescent="0.25">
      <c r="Q159" s="262" t="str">
        <f t="shared" si="14"/>
        <v>Janie &amp; JackJJ 18 AUG FALL 0</v>
      </c>
      <c r="R159" s="35" t="str">
        <f t="shared" si="15"/>
        <v>2018Janie &amp; JackFall</v>
      </c>
      <c r="S159" s="1">
        <v>2018</v>
      </c>
      <c r="T159" s="1" t="s">
        <v>38</v>
      </c>
      <c r="U159" s="1" t="s">
        <v>39</v>
      </c>
      <c r="V159" s="1" t="s">
        <v>179</v>
      </c>
      <c r="W159" s="27" t="s">
        <v>180</v>
      </c>
      <c r="AF159" s="35" t="str">
        <f t="shared" si="12"/>
        <v>Janie &amp; JackWebUSA49</v>
      </c>
      <c r="AG159" s="1" t="s">
        <v>38</v>
      </c>
      <c r="AH159" s="1" t="s">
        <v>15</v>
      </c>
      <c r="AI159" s="1" t="s">
        <v>336</v>
      </c>
      <c r="AJ159" s="1">
        <v>49</v>
      </c>
      <c r="AK159" s="27">
        <v>0.65</v>
      </c>
      <c r="AM159" s="262" t="str">
        <f t="shared" si="13"/>
        <v>GymboreeUSARetailGY 18 SWIM 3</v>
      </c>
      <c r="AN159" s="1" t="s">
        <v>14</v>
      </c>
      <c r="AO159" s="1" t="s">
        <v>5</v>
      </c>
      <c r="AP159" s="1" t="s">
        <v>336</v>
      </c>
      <c r="AQ159" s="1">
        <v>2018</v>
      </c>
      <c r="AR159" s="1" t="s">
        <v>18</v>
      </c>
      <c r="AS159" s="1" t="s">
        <v>167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27" t="s">
        <v>168</v>
      </c>
    </row>
    <row r="160" spans="17:52" x14ac:dyDescent="0.25">
      <c r="Q160" s="262" t="str">
        <f t="shared" si="14"/>
        <v>Janie &amp; JackJJ 18 JULY FALL GIFT LAY</v>
      </c>
      <c r="R160" s="35" t="str">
        <f t="shared" si="15"/>
        <v>2018Janie &amp; JackFall</v>
      </c>
      <c r="S160" s="1">
        <v>2018</v>
      </c>
      <c r="T160" s="1" t="s">
        <v>38</v>
      </c>
      <c r="U160" s="1" t="s">
        <v>39</v>
      </c>
      <c r="V160" s="1" t="s">
        <v>181</v>
      </c>
      <c r="W160" s="27"/>
      <c r="AF160" s="35" t="str">
        <f t="shared" si="12"/>
        <v>Janie &amp; JackWebUSA50</v>
      </c>
      <c r="AG160" s="1" t="s">
        <v>38</v>
      </c>
      <c r="AH160" s="1" t="s">
        <v>15</v>
      </c>
      <c r="AI160" s="1" t="s">
        <v>336</v>
      </c>
      <c r="AJ160" s="1">
        <v>50</v>
      </c>
      <c r="AK160" s="27">
        <v>0.65</v>
      </c>
      <c r="AM160" s="262" t="str">
        <f t="shared" si="13"/>
        <v>GymboreeUSARetailGY 18 SM3</v>
      </c>
      <c r="AN160" s="1" t="s">
        <v>14</v>
      </c>
      <c r="AO160" s="1" t="s">
        <v>5</v>
      </c>
      <c r="AP160" s="1" t="s">
        <v>336</v>
      </c>
      <c r="AQ160" s="1">
        <v>2018</v>
      </c>
      <c r="AR160" s="1" t="s">
        <v>18</v>
      </c>
      <c r="AS160" s="1" t="s">
        <v>165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27" t="s">
        <v>166</v>
      </c>
    </row>
    <row r="161" spans="17:52" x14ac:dyDescent="0.25">
      <c r="Q161" s="262" t="str">
        <f t="shared" si="14"/>
        <v>Janie &amp; JackJJ 18 JULY TRANS 2</v>
      </c>
      <c r="R161" s="35" t="str">
        <f t="shared" si="15"/>
        <v>2018Janie &amp; JackFall</v>
      </c>
      <c r="S161" s="1">
        <v>2018</v>
      </c>
      <c r="T161" s="1" t="s">
        <v>38</v>
      </c>
      <c r="U161" s="1" t="s">
        <v>39</v>
      </c>
      <c r="V161" s="1" t="s">
        <v>175</v>
      </c>
      <c r="W161" s="27" t="s">
        <v>176</v>
      </c>
      <c r="AF161" s="35" t="str">
        <f t="shared" si="12"/>
        <v>Janie &amp; JackWebUSA51</v>
      </c>
      <c r="AG161" s="1" t="s">
        <v>38</v>
      </c>
      <c r="AH161" s="1" t="s">
        <v>15</v>
      </c>
      <c r="AI161" s="1" t="s">
        <v>336</v>
      </c>
      <c r="AJ161" s="1">
        <v>51</v>
      </c>
      <c r="AK161" s="27">
        <v>0.65</v>
      </c>
      <c r="AM161" s="262" t="str">
        <f t="shared" si="13"/>
        <v>GymboreeUSARetailGY 18 SM4</v>
      </c>
      <c r="AN161" s="1" t="s">
        <v>14</v>
      </c>
      <c r="AO161" s="1" t="s">
        <v>5</v>
      </c>
      <c r="AP161" s="1" t="s">
        <v>336</v>
      </c>
      <c r="AQ161" s="1">
        <v>2018</v>
      </c>
      <c r="AR161" s="1" t="s">
        <v>18</v>
      </c>
      <c r="AS161" s="1" t="s">
        <v>169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27" t="s">
        <v>170</v>
      </c>
    </row>
    <row r="162" spans="17:52" x14ac:dyDescent="0.25">
      <c r="Q162" s="262" t="str">
        <f t="shared" si="14"/>
        <v>Janie &amp; JackJJ 18 JULY TRANS 3</v>
      </c>
      <c r="R162" s="35" t="str">
        <f t="shared" si="15"/>
        <v>2018Janie &amp; JackFall</v>
      </c>
      <c r="S162" s="1">
        <v>2018</v>
      </c>
      <c r="T162" s="1" t="s">
        <v>38</v>
      </c>
      <c r="U162" s="1" t="s">
        <v>39</v>
      </c>
      <c r="V162" s="1" t="s">
        <v>177</v>
      </c>
      <c r="W162" s="27" t="s">
        <v>178</v>
      </c>
      <c r="AF162" s="35" t="str">
        <f t="shared" si="12"/>
        <v>Janie &amp; JackWebUSA52</v>
      </c>
      <c r="AG162" s="1" t="s">
        <v>38</v>
      </c>
      <c r="AH162" s="1" t="s">
        <v>15</v>
      </c>
      <c r="AI162" s="1" t="s">
        <v>336</v>
      </c>
      <c r="AJ162" s="1">
        <v>52</v>
      </c>
      <c r="AK162" s="27">
        <v>0.65</v>
      </c>
      <c r="AM162" s="262" t="str">
        <f t="shared" si="13"/>
        <v>GymboreeUSARetailGY 18 SM5</v>
      </c>
      <c r="AN162" s="1" t="s">
        <v>14</v>
      </c>
      <c r="AO162" s="1" t="s">
        <v>5</v>
      </c>
      <c r="AP162" s="1" t="s">
        <v>336</v>
      </c>
      <c r="AQ162" s="1">
        <v>2018</v>
      </c>
      <c r="AR162" s="1" t="s">
        <v>18</v>
      </c>
      <c r="AS162" s="1" t="s">
        <v>171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27" t="s">
        <v>172</v>
      </c>
    </row>
    <row r="163" spans="17:52" x14ac:dyDescent="0.25">
      <c r="Q163" s="262" t="str">
        <f t="shared" si="14"/>
        <v>Janie &amp; JackJJ 17 APR LAY SWIM</v>
      </c>
      <c r="R163" s="35" t="str">
        <f t="shared" si="15"/>
        <v>2018Janie &amp; JackSeasonal Basics</v>
      </c>
      <c r="S163" s="1">
        <v>2018</v>
      </c>
      <c r="T163" s="1" t="s">
        <v>38</v>
      </c>
      <c r="U163" s="1" t="s">
        <v>85</v>
      </c>
      <c r="V163" s="1" t="s">
        <v>196</v>
      </c>
      <c r="W163" s="27" t="s">
        <v>508</v>
      </c>
      <c r="AF163" s="35" t="str">
        <f t="shared" si="12"/>
        <v>Janie &amp; JackWebUSA53</v>
      </c>
      <c r="AG163" s="1" t="s">
        <v>38</v>
      </c>
      <c r="AH163" s="1" t="s">
        <v>15</v>
      </c>
      <c r="AI163" s="1" t="s">
        <v>336</v>
      </c>
      <c r="AJ163" s="1">
        <v>53</v>
      </c>
      <c r="AK163" s="27">
        <v>0.65</v>
      </c>
      <c r="AM163" s="262" t="str">
        <f t="shared" si="13"/>
        <v>GymboreeUSAWebGY 18 VDAY</v>
      </c>
      <c r="AN163" s="1" t="s">
        <v>14</v>
      </c>
      <c r="AO163" s="1" t="s">
        <v>15</v>
      </c>
      <c r="AP163" s="1" t="s">
        <v>336</v>
      </c>
      <c r="AQ163" s="1">
        <v>2018</v>
      </c>
      <c r="AR163" s="1" t="s">
        <v>16</v>
      </c>
      <c r="AS163" s="1" t="s">
        <v>422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27" t="s">
        <v>416</v>
      </c>
    </row>
    <row r="164" spans="17:52" x14ac:dyDescent="0.25">
      <c r="Q164" s="262" t="str">
        <f t="shared" si="14"/>
        <v>Janie &amp; JackJJ 17 DEC SWIM</v>
      </c>
      <c r="R164" s="35" t="str">
        <f t="shared" si="15"/>
        <v>2018Janie &amp; JackSeasonal Basics</v>
      </c>
      <c r="S164" s="1">
        <v>2018</v>
      </c>
      <c r="T164" s="1" t="s">
        <v>38</v>
      </c>
      <c r="U164" s="1" t="s">
        <v>85</v>
      </c>
      <c r="V164" s="1" t="s">
        <v>183</v>
      </c>
      <c r="W164" s="27" t="s">
        <v>509</v>
      </c>
      <c r="AF164" s="35" t="str">
        <f t="shared" si="12"/>
        <v>Janie &amp; JackOutletUSA1</v>
      </c>
      <c r="AG164" s="1" t="s">
        <v>38</v>
      </c>
      <c r="AH164" s="1" t="s">
        <v>17</v>
      </c>
      <c r="AI164" s="1" t="s">
        <v>336</v>
      </c>
      <c r="AJ164" s="1">
        <v>1</v>
      </c>
      <c r="AK164" s="27">
        <v>0.14000000000000001</v>
      </c>
      <c r="AM164" s="262" t="str">
        <f t="shared" si="13"/>
        <v>GymboreeUSAWebGY 18 SPR</v>
      </c>
      <c r="AN164" s="1" t="s">
        <v>14</v>
      </c>
      <c r="AO164" s="1" t="s">
        <v>15</v>
      </c>
      <c r="AP164" s="1" t="s">
        <v>336</v>
      </c>
      <c r="AQ164" s="1">
        <v>2018</v>
      </c>
      <c r="AR164" s="1" t="s">
        <v>16</v>
      </c>
      <c r="AS164" s="1" t="s">
        <v>149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27" t="s">
        <v>150</v>
      </c>
    </row>
    <row r="165" spans="17:52" x14ac:dyDescent="0.25">
      <c r="Q165" s="262" t="str">
        <f t="shared" si="14"/>
        <v>Janie &amp; JackJJ 17 FAL BASIC</v>
      </c>
      <c r="R165" s="35" t="str">
        <f t="shared" si="15"/>
        <v>2018Janie &amp; JackSeasonal Basics</v>
      </c>
      <c r="S165" s="1">
        <v>2018</v>
      </c>
      <c r="T165" s="1" t="s">
        <v>38</v>
      </c>
      <c r="U165" s="1" t="s">
        <v>85</v>
      </c>
      <c r="V165" s="1" t="s">
        <v>399</v>
      </c>
      <c r="W165" s="27" t="s">
        <v>515</v>
      </c>
      <c r="AF165" s="35" t="str">
        <f t="shared" si="12"/>
        <v>Janie &amp; JackOutletUSA2</v>
      </c>
      <c r="AG165" s="1" t="s">
        <v>38</v>
      </c>
      <c r="AH165" s="1" t="s">
        <v>17</v>
      </c>
      <c r="AI165" s="1" t="s">
        <v>336</v>
      </c>
      <c r="AJ165" s="1">
        <v>2</v>
      </c>
      <c r="AK165" s="27">
        <v>0.23</v>
      </c>
      <c r="AM165" s="262" t="str">
        <f t="shared" si="13"/>
        <v>GymboreeUSAWebGY 18 SPRING BASICS</v>
      </c>
      <c r="AN165" s="1" t="s">
        <v>14</v>
      </c>
      <c r="AO165" s="1" t="s">
        <v>15</v>
      </c>
      <c r="AP165" s="1" t="s">
        <v>336</v>
      </c>
      <c r="AQ165" s="1">
        <v>2018</v>
      </c>
      <c r="AR165" s="1" t="s">
        <v>16</v>
      </c>
      <c r="AS165" s="1" t="s">
        <v>145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27" t="s">
        <v>146</v>
      </c>
    </row>
    <row r="166" spans="17:52" x14ac:dyDescent="0.25">
      <c r="Q166" s="262" t="str">
        <f t="shared" si="14"/>
        <v>Janie &amp; JackJJ 17 JAN SO SB1</v>
      </c>
      <c r="R166" s="35" t="str">
        <f t="shared" si="15"/>
        <v>2018Janie &amp; JackSeasonal Basics</v>
      </c>
      <c r="S166" s="1">
        <v>2018</v>
      </c>
      <c r="T166" s="1" t="s">
        <v>38</v>
      </c>
      <c r="U166" s="1" t="s">
        <v>85</v>
      </c>
      <c r="V166" s="1" t="s">
        <v>189</v>
      </c>
      <c r="W166" s="27" t="s">
        <v>510</v>
      </c>
      <c r="AF166" s="35" t="str">
        <f t="shared" si="12"/>
        <v>Janie &amp; JackOutletUSA3</v>
      </c>
      <c r="AG166" s="1" t="s">
        <v>38</v>
      </c>
      <c r="AH166" s="1" t="s">
        <v>17</v>
      </c>
      <c r="AI166" s="1" t="s">
        <v>336</v>
      </c>
      <c r="AJ166" s="1">
        <v>3</v>
      </c>
      <c r="AK166" s="27">
        <v>0.22</v>
      </c>
      <c r="AM166" s="262" t="str">
        <f t="shared" si="13"/>
        <v>GymboreeUSAWebGY 18 SPR 1</v>
      </c>
      <c r="AN166" s="1" t="s">
        <v>14</v>
      </c>
      <c r="AO166" s="1" t="s">
        <v>15</v>
      </c>
      <c r="AP166" s="1" t="s">
        <v>336</v>
      </c>
      <c r="AQ166" s="1">
        <v>2018</v>
      </c>
      <c r="AR166" s="1" t="s">
        <v>16</v>
      </c>
      <c r="AS166" s="1" t="s">
        <v>151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27" t="s">
        <v>152</v>
      </c>
    </row>
    <row r="167" spans="17:52" x14ac:dyDescent="0.25">
      <c r="Q167" s="262" t="str">
        <f t="shared" si="14"/>
        <v>Janie &amp; JackJJ 17 JAN SWIM 2</v>
      </c>
      <c r="R167" s="35" t="str">
        <f t="shared" si="15"/>
        <v>2018Janie &amp; JackSeasonal Basics</v>
      </c>
      <c r="S167" s="1">
        <v>2018</v>
      </c>
      <c r="T167" s="1" t="s">
        <v>38</v>
      </c>
      <c r="U167" s="1" t="s">
        <v>85</v>
      </c>
      <c r="V167" s="1" t="s">
        <v>187</v>
      </c>
      <c r="W167" s="27" t="s">
        <v>511</v>
      </c>
      <c r="AF167" s="35" t="str">
        <f t="shared" si="12"/>
        <v>Janie &amp; JackOutletUSA4</v>
      </c>
      <c r="AG167" s="1" t="s">
        <v>38</v>
      </c>
      <c r="AH167" s="1" t="s">
        <v>17</v>
      </c>
      <c r="AI167" s="1" t="s">
        <v>336</v>
      </c>
      <c r="AJ167" s="1">
        <v>4</v>
      </c>
      <c r="AK167" s="27">
        <v>0.27</v>
      </c>
      <c r="AM167" s="262" t="str">
        <f t="shared" si="13"/>
        <v>GymboreeUSAWebGY 18 SPR 2</v>
      </c>
      <c r="AN167" s="1" t="s">
        <v>14</v>
      </c>
      <c r="AO167" s="1" t="s">
        <v>15</v>
      </c>
      <c r="AP167" s="1" t="s">
        <v>336</v>
      </c>
      <c r="AQ167" s="1">
        <v>2018</v>
      </c>
      <c r="AR167" s="1" t="s">
        <v>16</v>
      </c>
      <c r="AS167" s="1" t="s">
        <v>62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27" t="s">
        <v>63</v>
      </c>
    </row>
    <row r="168" spans="17:52" x14ac:dyDescent="0.25">
      <c r="Q168" s="262" t="str">
        <f t="shared" si="14"/>
        <v>Janie &amp; JackJJ 17 SB 2 TIER</v>
      </c>
      <c r="R168" s="35" t="str">
        <f t="shared" si="15"/>
        <v>2018Janie &amp; JackSeasonal Basics</v>
      </c>
      <c r="S168" s="1">
        <v>2018</v>
      </c>
      <c r="T168" s="1" t="s">
        <v>38</v>
      </c>
      <c r="U168" s="1" t="s">
        <v>85</v>
      </c>
      <c r="V168" s="1" t="s">
        <v>403</v>
      </c>
      <c r="W168" s="27"/>
      <c r="AF168" s="35" t="str">
        <f t="shared" si="12"/>
        <v>Janie &amp; JackOutletUSA5</v>
      </c>
      <c r="AG168" s="1" t="s">
        <v>38</v>
      </c>
      <c r="AH168" s="1" t="s">
        <v>17</v>
      </c>
      <c r="AI168" s="1" t="s">
        <v>336</v>
      </c>
      <c r="AJ168" s="1">
        <v>5</v>
      </c>
      <c r="AK168" s="27">
        <v>0.27</v>
      </c>
      <c r="AM168" s="262" t="str">
        <f t="shared" si="13"/>
        <v>GymboreeUSAWebGY 18 SWIM 1</v>
      </c>
      <c r="AN168" s="1" t="s">
        <v>14</v>
      </c>
      <c r="AO168" s="1" t="s">
        <v>15</v>
      </c>
      <c r="AP168" s="1" t="s">
        <v>336</v>
      </c>
      <c r="AQ168" s="1">
        <v>2018</v>
      </c>
      <c r="AR168" s="1" t="s">
        <v>16</v>
      </c>
      <c r="AS168" s="1" t="s">
        <v>153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27" t="s">
        <v>154</v>
      </c>
    </row>
    <row r="169" spans="17:52" x14ac:dyDescent="0.25">
      <c r="Q169" s="262" t="str">
        <f t="shared" si="14"/>
        <v>Janie &amp; JackJJ 17 SB1/YEARLY BASICS</v>
      </c>
      <c r="R169" s="35" t="str">
        <f t="shared" si="15"/>
        <v>2018Janie &amp; JackSeasonal Basics</v>
      </c>
      <c r="S169" s="1">
        <v>2018</v>
      </c>
      <c r="T169" s="1" t="s">
        <v>38</v>
      </c>
      <c r="U169" s="1" t="s">
        <v>85</v>
      </c>
      <c r="V169" s="1" t="s">
        <v>185</v>
      </c>
      <c r="W169" s="27" t="s">
        <v>512</v>
      </c>
      <c r="AF169" s="35" t="str">
        <f t="shared" si="12"/>
        <v>Janie &amp; JackOutletUSA6</v>
      </c>
      <c r="AG169" s="1" t="s">
        <v>38</v>
      </c>
      <c r="AH169" s="1" t="s">
        <v>17</v>
      </c>
      <c r="AI169" s="1" t="s">
        <v>336</v>
      </c>
      <c r="AJ169" s="1">
        <v>6</v>
      </c>
      <c r="AK169" s="27">
        <v>0.28000000000000003</v>
      </c>
      <c r="AM169" s="262" t="str">
        <f t="shared" si="13"/>
        <v>GymboreeUSAWebGY 18 SPR VACA</v>
      </c>
      <c r="AN169" s="1" t="s">
        <v>14</v>
      </c>
      <c r="AO169" s="1" t="s">
        <v>15</v>
      </c>
      <c r="AP169" s="1" t="s">
        <v>336</v>
      </c>
      <c r="AQ169" s="1">
        <v>2018</v>
      </c>
      <c r="AR169" s="1" t="s">
        <v>16</v>
      </c>
      <c r="AS169" s="1" t="s">
        <v>157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27" t="s">
        <v>158</v>
      </c>
    </row>
    <row r="170" spans="17:52" x14ac:dyDescent="0.25">
      <c r="Q170" s="262" t="str">
        <f t="shared" si="14"/>
        <v>Janie &amp; JackJJ 17 SB2</v>
      </c>
      <c r="R170" s="35" t="str">
        <f t="shared" si="15"/>
        <v>2018Janie &amp; JackSeasonal Basics</v>
      </c>
      <c r="S170" s="1">
        <v>2018</v>
      </c>
      <c r="T170" s="1" t="s">
        <v>38</v>
      </c>
      <c r="U170" s="1" t="s">
        <v>85</v>
      </c>
      <c r="V170" s="1" t="s">
        <v>198</v>
      </c>
      <c r="W170" s="27" t="s">
        <v>516</v>
      </c>
      <c r="AF170" s="35" t="str">
        <f t="shared" si="12"/>
        <v>Janie &amp; JackOutletUSA7</v>
      </c>
      <c r="AG170" s="1" t="s">
        <v>38</v>
      </c>
      <c r="AH170" s="1" t="s">
        <v>17</v>
      </c>
      <c r="AI170" s="1" t="s">
        <v>336</v>
      </c>
      <c r="AJ170" s="1">
        <v>7</v>
      </c>
      <c r="AK170" s="27">
        <v>0.33</v>
      </c>
      <c r="AM170" s="262" t="str">
        <f t="shared" si="13"/>
        <v>GymboreeUSAWebGY 18 SWIM 2</v>
      </c>
      <c r="AN170" s="1" t="s">
        <v>14</v>
      </c>
      <c r="AO170" s="1" t="s">
        <v>15</v>
      </c>
      <c r="AP170" s="1" t="s">
        <v>336</v>
      </c>
      <c r="AQ170" s="1">
        <v>2018</v>
      </c>
      <c r="AR170" s="1" t="s">
        <v>16</v>
      </c>
      <c r="AS170" s="1" t="s">
        <v>161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27" t="s">
        <v>162</v>
      </c>
    </row>
    <row r="171" spans="17:52" x14ac:dyDescent="0.25">
      <c r="Q171" s="262" t="str">
        <f t="shared" si="14"/>
        <v>Janie &amp; JackJJ 17 SEPT FALL SO REFRESH</v>
      </c>
      <c r="R171" s="35" t="str">
        <f t="shared" si="15"/>
        <v>2018Janie &amp; JackSeasonal Basics</v>
      </c>
      <c r="S171" s="1">
        <v>2018</v>
      </c>
      <c r="T171" s="1" t="s">
        <v>38</v>
      </c>
      <c r="U171" s="1" t="s">
        <v>85</v>
      </c>
      <c r="V171" s="1" t="s">
        <v>400</v>
      </c>
      <c r="W171" s="27" t="s">
        <v>517</v>
      </c>
      <c r="AF171" s="35" t="str">
        <f t="shared" si="12"/>
        <v>Janie &amp; JackOutletUSA8</v>
      </c>
      <c r="AG171" s="1" t="s">
        <v>38</v>
      </c>
      <c r="AH171" s="1" t="s">
        <v>17</v>
      </c>
      <c r="AI171" s="1" t="s">
        <v>336</v>
      </c>
      <c r="AJ171" s="1">
        <v>8</v>
      </c>
      <c r="AK171" s="27">
        <v>0.38</v>
      </c>
      <c r="AM171" s="262" t="str">
        <f t="shared" si="13"/>
        <v>GymboreeUSAWebGY 18 SUM 1</v>
      </c>
      <c r="AN171" s="1" t="s">
        <v>14</v>
      </c>
      <c r="AO171" s="1" t="s">
        <v>15</v>
      </c>
      <c r="AP171" s="1" t="s">
        <v>336</v>
      </c>
      <c r="AQ171" s="1">
        <v>2018</v>
      </c>
      <c r="AR171" s="1" t="s">
        <v>16</v>
      </c>
      <c r="AS171" s="1" t="s">
        <v>159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27" t="s">
        <v>160</v>
      </c>
    </row>
    <row r="172" spans="17:52" x14ac:dyDescent="0.25">
      <c r="Q172" s="262" t="str">
        <f t="shared" si="14"/>
        <v>Janie &amp; JackJJ 17 SEPT LAY SB2 REFRESH</v>
      </c>
      <c r="R172" s="35" t="str">
        <f t="shared" si="15"/>
        <v>2018Janie &amp; JackSeasonal Basics</v>
      </c>
      <c r="S172" s="1">
        <v>2018</v>
      </c>
      <c r="T172" s="1" t="s">
        <v>38</v>
      </c>
      <c r="U172" s="1" t="s">
        <v>85</v>
      </c>
      <c r="V172" s="1" t="s">
        <v>402</v>
      </c>
      <c r="W172" s="27" t="s">
        <v>518</v>
      </c>
      <c r="AF172" s="35" t="str">
        <f t="shared" si="12"/>
        <v>Janie &amp; JackOutletUSA9</v>
      </c>
      <c r="AG172" s="1" t="s">
        <v>38</v>
      </c>
      <c r="AH172" s="1" t="s">
        <v>17</v>
      </c>
      <c r="AI172" s="1" t="s">
        <v>336</v>
      </c>
      <c r="AJ172" s="1">
        <v>9</v>
      </c>
      <c r="AK172" s="27">
        <v>0.39</v>
      </c>
      <c r="AM172" s="262" t="str">
        <f t="shared" si="13"/>
        <v>GymboreeUSAWebGY 18 DRESSY</v>
      </c>
      <c r="AN172" s="1" t="s">
        <v>14</v>
      </c>
      <c r="AO172" s="1" t="s">
        <v>15</v>
      </c>
      <c r="AP172" s="1" t="s">
        <v>336</v>
      </c>
      <c r="AQ172" s="1">
        <v>2018</v>
      </c>
      <c r="AR172" s="1" t="s">
        <v>16</v>
      </c>
      <c r="AS172" s="1" t="s">
        <v>155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27" t="s">
        <v>156</v>
      </c>
    </row>
    <row r="173" spans="17:52" x14ac:dyDescent="0.25">
      <c r="Q173" s="262" t="str">
        <f t="shared" si="14"/>
        <v>Janie &amp; JackJJ 17 SEPT SWIM</v>
      </c>
      <c r="R173" s="35" t="str">
        <f t="shared" si="15"/>
        <v>2018Janie &amp; JackSeasonal Basics</v>
      </c>
      <c r="S173" s="1">
        <v>2018</v>
      </c>
      <c r="T173" s="1" t="s">
        <v>38</v>
      </c>
      <c r="U173" s="1" t="s">
        <v>85</v>
      </c>
      <c r="V173" s="1" t="s">
        <v>401</v>
      </c>
      <c r="W173" s="27" t="s">
        <v>519</v>
      </c>
      <c r="AF173" s="35" t="str">
        <f t="shared" si="12"/>
        <v>Janie &amp; JackOutletUSA10</v>
      </c>
      <c r="AG173" s="1" t="s">
        <v>38</v>
      </c>
      <c r="AH173" s="1" t="s">
        <v>17</v>
      </c>
      <c r="AI173" s="1" t="s">
        <v>336</v>
      </c>
      <c r="AJ173" s="1">
        <v>10</v>
      </c>
      <c r="AK173" s="27">
        <v>0.4</v>
      </c>
      <c r="AM173" s="262" t="str">
        <f t="shared" si="13"/>
        <v>GymboreeUSAWebGY 18 SMR</v>
      </c>
      <c r="AN173" s="1" t="s">
        <v>14</v>
      </c>
      <c r="AO173" s="1" t="s">
        <v>15</v>
      </c>
      <c r="AP173" s="1" t="s">
        <v>336</v>
      </c>
      <c r="AQ173" s="1">
        <v>2018</v>
      </c>
      <c r="AR173" s="1" t="s">
        <v>18</v>
      </c>
      <c r="AS173" s="1" t="s">
        <v>173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27" t="s">
        <v>174</v>
      </c>
    </row>
    <row r="174" spans="17:52" x14ac:dyDescent="0.25">
      <c r="Q174" s="262" t="str">
        <f t="shared" si="14"/>
        <v>Janie &amp; JackJJ 17 SMR BASICS</v>
      </c>
      <c r="R174" s="35" t="str">
        <f t="shared" si="15"/>
        <v>2018Janie &amp; JackSeasonal Basics</v>
      </c>
      <c r="S174" s="1">
        <v>2018</v>
      </c>
      <c r="T174" s="1" t="s">
        <v>38</v>
      </c>
      <c r="U174" s="1" t="s">
        <v>85</v>
      </c>
      <c r="V174" s="1" t="s">
        <v>193</v>
      </c>
      <c r="W174" s="27" t="s">
        <v>513</v>
      </c>
      <c r="AF174" s="35" t="str">
        <f t="shared" si="12"/>
        <v>Janie &amp; JackOutletUSA11</v>
      </c>
      <c r="AG174" s="1" t="s">
        <v>38</v>
      </c>
      <c r="AH174" s="1" t="s">
        <v>17</v>
      </c>
      <c r="AI174" s="1" t="s">
        <v>336</v>
      </c>
      <c r="AJ174" s="1">
        <v>11</v>
      </c>
      <c r="AK174" s="27">
        <v>0.41</v>
      </c>
      <c r="AM174" s="262" t="str">
        <f t="shared" si="13"/>
        <v>GymboreeUSAWebGY 18 SM2</v>
      </c>
      <c r="AN174" s="1" t="s">
        <v>14</v>
      </c>
      <c r="AO174" s="1" t="s">
        <v>15</v>
      </c>
      <c r="AP174" s="1" t="s">
        <v>336</v>
      </c>
      <c r="AQ174" s="1">
        <v>2018</v>
      </c>
      <c r="AR174" s="1" t="s">
        <v>18</v>
      </c>
      <c r="AS174" s="1" t="s">
        <v>163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27" t="s">
        <v>164</v>
      </c>
    </row>
    <row r="175" spans="17:52" x14ac:dyDescent="0.25">
      <c r="Q175" s="262" t="str">
        <f t="shared" si="14"/>
        <v>Janie &amp; JackJJ 17 SO SB2</v>
      </c>
      <c r="R175" s="35" t="str">
        <f t="shared" si="15"/>
        <v>2018Janie &amp; JackSeasonal Basics</v>
      </c>
      <c r="S175" s="1">
        <v>2018</v>
      </c>
      <c r="T175" s="1" t="s">
        <v>38</v>
      </c>
      <c r="U175" s="1" t="s">
        <v>85</v>
      </c>
      <c r="V175" s="1" t="s">
        <v>200</v>
      </c>
      <c r="W175" s="27" t="s">
        <v>520</v>
      </c>
      <c r="AF175" s="35" t="str">
        <f t="shared" si="12"/>
        <v>Janie &amp; JackOutletUSA12</v>
      </c>
      <c r="AG175" s="1" t="s">
        <v>38</v>
      </c>
      <c r="AH175" s="1" t="s">
        <v>17</v>
      </c>
      <c r="AI175" s="1" t="s">
        <v>336</v>
      </c>
      <c r="AJ175" s="1">
        <v>12</v>
      </c>
      <c r="AK175" s="27">
        <v>0.41</v>
      </c>
      <c r="AM175" s="262" t="str">
        <f t="shared" si="13"/>
        <v>GymboreeUSAWebGY 18 SWIM 3</v>
      </c>
      <c r="AN175" s="1" t="s">
        <v>14</v>
      </c>
      <c r="AO175" s="1" t="s">
        <v>15</v>
      </c>
      <c r="AP175" s="1" t="s">
        <v>336</v>
      </c>
      <c r="AQ175" s="1">
        <v>2018</v>
      </c>
      <c r="AR175" s="1" t="s">
        <v>18</v>
      </c>
      <c r="AS175" s="1" t="s">
        <v>167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27" t="s">
        <v>168</v>
      </c>
    </row>
    <row r="176" spans="17:52" x14ac:dyDescent="0.25">
      <c r="Q176" s="262" t="str">
        <f t="shared" si="14"/>
        <v>Janie &amp; JackJJ 17 SPR SO REFRESH</v>
      </c>
      <c r="R176" s="35" t="str">
        <f t="shared" si="15"/>
        <v>2018Janie &amp; JackSeasonal Basics</v>
      </c>
      <c r="S176" s="1">
        <v>2018</v>
      </c>
      <c r="T176" s="1" t="s">
        <v>38</v>
      </c>
      <c r="U176" s="1" t="s">
        <v>85</v>
      </c>
      <c r="V176" s="1" t="s">
        <v>191</v>
      </c>
      <c r="W176" s="27" t="s">
        <v>514</v>
      </c>
      <c r="AF176" s="35" t="str">
        <f t="shared" si="12"/>
        <v>Janie &amp; JackOutletUSA13</v>
      </c>
      <c r="AG176" s="1" t="s">
        <v>38</v>
      </c>
      <c r="AH176" s="1" t="s">
        <v>17</v>
      </c>
      <c r="AI176" s="1" t="s">
        <v>336</v>
      </c>
      <c r="AJ176" s="1">
        <v>13</v>
      </c>
      <c r="AK176" s="27">
        <v>0.44</v>
      </c>
      <c r="AM176" s="262" t="str">
        <f t="shared" si="13"/>
        <v>GymboreeUSAWebGY 18 SM3</v>
      </c>
      <c r="AN176" s="1" t="s">
        <v>14</v>
      </c>
      <c r="AO176" s="1" t="s">
        <v>15</v>
      </c>
      <c r="AP176" s="1" t="s">
        <v>336</v>
      </c>
      <c r="AQ176" s="1">
        <v>2018</v>
      </c>
      <c r="AR176" s="1" t="s">
        <v>18</v>
      </c>
      <c r="AS176" s="1" t="s">
        <v>165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27" t="s">
        <v>166</v>
      </c>
    </row>
    <row r="177" spans="17:52" x14ac:dyDescent="0.25">
      <c r="Q177" s="262" t="str">
        <f t="shared" si="14"/>
        <v>Janie &amp; JackJJ 17 WTR BASICS</v>
      </c>
      <c r="R177" s="35" t="str">
        <f t="shared" si="15"/>
        <v>2018Janie &amp; JackSeasonal Basics</v>
      </c>
      <c r="S177" s="1">
        <v>2018</v>
      </c>
      <c r="T177" s="1" t="s">
        <v>38</v>
      </c>
      <c r="U177" s="1" t="s">
        <v>85</v>
      </c>
      <c r="V177" s="1" t="s">
        <v>404</v>
      </c>
      <c r="W177" s="27" t="s">
        <v>521</v>
      </c>
      <c r="AF177" s="35" t="str">
        <f t="shared" si="12"/>
        <v>Janie &amp; JackOutletUSA14</v>
      </c>
      <c r="AG177" s="1" t="s">
        <v>38</v>
      </c>
      <c r="AH177" s="1" t="s">
        <v>17</v>
      </c>
      <c r="AI177" s="1" t="s">
        <v>336</v>
      </c>
      <c r="AJ177" s="1">
        <v>14</v>
      </c>
      <c r="AK177" s="27">
        <v>0.43</v>
      </c>
      <c r="AM177" s="262" t="str">
        <f t="shared" si="13"/>
        <v>GymboreeUSAWebGY 18 SM4</v>
      </c>
      <c r="AN177" s="1" t="s">
        <v>14</v>
      </c>
      <c r="AO177" s="1" t="s">
        <v>15</v>
      </c>
      <c r="AP177" s="1" t="s">
        <v>336</v>
      </c>
      <c r="AQ177" s="1">
        <v>2018</v>
      </c>
      <c r="AR177" s="1" t="s">
        <v>18</v>
      </c>
      <c r="AS177" s="1" t="s">
        <v>169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27" t="s">
        <v>170</v>
      </c>
    </row>
    <row r="178" spans="17:52" x14ac:dyDescent="0.25">
      <c r="Q178" s="262" t="str">
        <f t="shared" si="14"/>
        <v>Janie &amp; JackJJ 18 DEC SWIM</v>
      </c>
      <c r="R178" s="35" t="str">
        <f t="shared" si="15"/>
        <v>2018Janie &amp; JackSeasonal Basics</v>
      </c>
      <c r="S178" s="1">
        <v>2018</v>
      </c>
      <c r="T178" s="1" t="s">
        <v>38</v>
      </c>
      <c r="U178" s="1" t="s">
        <v>85</v>
      </c>
      <c r="V178" s="1" t="s">
        <v>182</v>
      </c>
      <c r="W178" s="27" t="s">
        <v>183</v>
      </c>
      <c r="AF178" s="35" t="str">
        <f t="shared" si="12"/>
        <v>Janie &amp; JackOutletUSA15</v>
      </c>
      <c r="AG178" s="1" t="s">
        <v>38</v>
      </c>
      <c r="AH178" s="1" t="s">
        <v>17</v>
      </c>
      <c r="AI178" s="1" t="s">
        <v>336</v>
      </c>
      <c r="AJ178" s="1">
        <v>15</v>
      </c>
      <c r="AK178" s="27">
        <v>0.44</v>
      </c>
      <c r="AM178" s="262" t="str">
        <f t="shared" si="13"/>
        <v>GymboreeUSAWebGY 18 SM5</v>
      </c>
      <c r="AN178" s="1" t="s">
        <v>14</v>
      </c>
      <c r="AO178" s="1" t="s">
        <v>15</v>
      </c>
      <c r="AP178" s="1" t="s">
        <v>336</v>
      </c>
      <c r="AQ178" s="1">
        <v>2018</v>
      </c>
      <c r="AR178" s="1" t="s">
        <v>18</v>
      </c>
      <c r="AS178" s="1" t="s">
        <v>171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27" t="s">
        <v>172</v>
      </c>
    </row>
    <row r="179" spans="17:52" x14ac:dyDescent="0.25">
      <c r="Q179" s="262" t="str">
        <f t="shared" si="14"/>
        <v>Janie &amp; JackJJ 18 JAN SO SB1</v>
      </c>
      <c r="R179" s="35" t="str">
        <f t="shared" si="15"/>
        <v>2018Janie &amp; JackSeasonal Basics</v>
      </c>
      <c r="S179" s="1">
        <v>2018</v>
      </c>
      <c r="T179" s="1" t="s">
        <v>38</v>
      </c>
      <c r="U179" s="1" t="s">
        <v>85</v>
      </c>
      <c r="V179" s="1" t="s">
        <v>188</v>
      </c>
      <c r="W179" s="27" t="s">
        <v>189</v>
      </c>
      <c r="AF179" s="35" t="str">
        <f t="shared" si="12"/>
        <v>Janie &amp; JackOutletUSA16</v>
      </c>
      <c r="AG179" s="1" t="s">
        <v>38</v>
      </c>
      <c r="AH179" s="1" t="s">
        <v>17</v>
      </c>
      <c r="AI179" s="1" t="s">
        <v>336</v>
      </c>
      <c r="AJ179" s="1">
        <v>16</v>
      </c>
      <c r="AK179" s="27">
        <v>0.48</v>
      </c>
      <c r="AM179" s="262" t="str">
        <f t="shared" si="13"/>
        <v>GymboreeCanadaRetailGY 18 VDAY</v>
      </c>
      <c r="AN179" s="1" t="s">
        <v>14</v>
      </c>
      <c r="AO179" s="1" t="s">
        <v>5</v>
      </c>
      <c r="AP179" s="1" t="s">
        <v>337</v>
      </c>
      <c r="AQ179" s="1">
        <v>2018</v>
      </c>
      <c r="AR179" s="1" t="s">
        <v>16</v>
      </c>
      <c r="AS179" s="1" t="s">
        <v>422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27" t="s">
        <v>416</v>
      </c>
    </row>
    <row r="180" spans="17:52" x14ac:dyDescent="0.25">
      <c r="Q180" s="262" t="str">
        <f t="shared" si="14"/>
        <v>Janie &amp; JackJJ 18 JULY SB2</v>
      </c>
      <c r="R180" s="35" t="str">
        <f t="shared" si="15"/>
        <v>2018Janie &amp; JackSeasonal Basics</v>
      </c>
      <c r="S180" s="1">
        <v>2018</v>
      </c>
      <c r="T180" s="1" t="s">
        <v>38</v>
      </c>
      <c r="U180" s="1" t="s">
        <v>85</v>
      </c>
      <c r="V180" s="1" t="s">
        <v>197</v>
      </c>
      <c r="W180" s="27" t="s">
        <v>198</v>
      </c>
      <c r="AF180" s="35" t="str">
        <f t="shared" si="12"/>
        <v>Janie &amp; JackOutletUSA17</v>
      </c>
      <c r="AG180" s="1" t="s">
        <v>38</v>
      </c>
      <c r="AH180" s="1" t="s">
        <v>17</v>
      </c>
      <c r="AI180" s="1" t="s">
        <v>336</v>
      </c>
      <c r="AJ180" s="1">
        <v>17</v>
      </c>
      <c r="AK180" s="27">
        <v>0.49</v>
      </c>
      <c r="AM180" s="262" t="str">
        <f t="shared" si="13"/>
        <v>GymboreeCanadaRetailGY 18 SPR</v>
      </c>
      <c r="AN180" s="1" t="s">
        <v>14</v>
      </c>
      <c r="AO180" s="1" t="s">
        <v>5</v>
      </c>
      <c r="AP180" s="1" t="s">
        <v>337</v>
      </c>
      <c r="AQ180" s="1">
        <v>2018</v>
      </c>
      <c r="AR180" s="1" t="s">
        <v>16</v>
      </c>
      <c r="AS180" s="1" t="s">
        <v>149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27" t="s">
        <v>150</v>
      </c>
    </row>
    <row r="181" spans="17:52" x14ac:dyDescent="0.25">
      <c r="Q181" s="262" t="str">
        <f t="shared" si="14"/>
        <v>Janie &amp; JackJJ 18 JULY SO SB 2</v>
      </c>
      <c r="R181" s="35" t="str">
        <f t="shared" si="15"/>
        <v>2018Janie &amp; JackSeasonal Basics</v>
      </c>
      <c r="S181" s="1">
        <v>2018</v>
      </c>
      <c r="T181" s="1" t="s">
        <v>38</v>
      </c>
      <c r="U181" s="1" t="s">
        <v>85</v>
      </c>
      <c r="V181" s="1" t="s">
        <v>199</v>
      </c>
      <c r="W181" s="27" t="s">
        <v>200</v>
      </c>
      <c r="AF181" s="35" t="str">
        <f t="shared" si="12"/>
        <v>Janie &amp; JackOutletUSA18</v>
      </c>
      <c r="AG181" s="1" t="s">
        <v>38</v>
      </c>
      <c r="AH181" s="1" t="s">
        <v>17</v>
      </c>
      <c r="AI181" s="1" t="s">
        <v>336</v>
      </c>
      <c r="AJ181" s="1">
        <v>18</v>
      </c>
      <c r="AK181" s="27">
        <v>0.5</v>
      </c>
      <c r="AM181" s="262" t="str">
        <f t="shared" si="13"/>
        <v>GymboreeCanadaRetailGY 18 SPRING BASICS</v>
      </c>
      <c r="AN181" s="1" t="s">
        <v>14</v>
      </c>
      <c r="AO181" s="1" t="s">
        <v>5</v>
      </c>
      <c r="AP181" s="1" t="s">
        <v>337</v>
      </c>
      <c r="AQ181" s="1">
        <v>2018</v>
      </c>
      <c r="AR181" s="1" t="s">
        <v>16</v>
      </c>
      <c r="AS181" s="1" t="s">
        <v>145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27" t="s">
        <v>146</v>
      </c>
    </row>
    <row r="182" spans="17:52" x14ac:dyDescent="0.25">
      <c r="Q182" s="262" t="str">
        <f t="shared" si="14"/>
        <v>Janie &amp; JackJJ 18 LAY SIGNATURE 1</v>
      </c>
      <c r="R182" s="35" t="str">
        <f t="shared" si="15"/>
        <v>2018Janie &amp; JackSeasonal Basics</v>
      </c>
      <c r="S182" s="1">
        <v>2018</v>
      </c>
      <c r="T182" s="1" t="s">
        <v>38</v>
      </c>
      <c r="U182" s="1" t="s">
        <v>85</v>
      </c>
      <c r="V182" s="1" t="s">
        <v>194</v>
      </c>
      <c r="W182" s="27"/>
      <c r="AF182" s="35" t="str">
        <f t="shared" si="12"/>
        <v>Janie &amp; JackOutletUSA19</v>
      </c>
      <c r="AG182" s="1" t="s">
        <v>38</v>
      </c>
      <c r="AH182" s="1" t="s">
        <v>17</v>
      </c>
      <c r="AI182" s="1" t="s">
        <v>336</v>
      </c>
      <c r="AJ182" s="1">
        <v>19</v>
      </c>
      <c r="AK182" s="27">
        <v>0.52</v>
      </c>
      <c r="AM182" s="262" t="str">
        <f t="shared" si="13"/>
        <v>GymboreeCanadaRetailGY 18 SPR 1</v>
      </c>
      <c r="AN182" s="1" t="s">
        <v>14</v>
      </c>
      <c r="AO182" s="1" t="s">
        <v>5</v>
      </c>
      <c r="AP182" s="1" t="s">
        <v>337</v>
      </c>
      <c r="AQ182" s="1">
        <v>2018</v>
      </c>
      <c r="AR182" s="1" t="s">
        <v>16</v>
      </c>
      <c r="AS182" s="1" t="s">
        <v>151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27" t="s">
        <v>152</v>
      </c>
    </row>
    <row r="183" spans="17:52" x14ac:dyDescent="0.25">
      <c r="Q183" s="262" t="str">
        <f t="shared" si="14"/>
        <v>Janie &amp; JackJJ 18 LAY SIGNATURE 2</v>
      </c>
      <c r="R183" s="35" t="str">
        <f t="shared" si="15"/>
        <v>2018Janie &amp; JackSeasonal Basics</v>
      </c>
      <c r="S183" s="1">
        <v>2018</v>
      </c>
      <c r="T183" s="1" t="s">
        <v>38</v>
      </c>
      <c r="U183" s="1" t="s">
        <v>85</v>
      </c>
      <c r="V183" s="1" t="s">
        <v>201</v>
      </c>
      <c r="W183" s="27"/>
      <c r="AF183" s="35" t="str">
        <f t="shared" si="12"/>
        <v>Janie &amp; JackOutletUSA20</v>
      </c>
      <c r="AG183" s="1" t="s">
        <v>38</v>
      </c>
      <c r="AH183" s="1" t="s">
        <v>17</v>
      </c>
      <c r="AI183" s="1" t="s">
        <v>336</v>
      </c>
      <c r="AJ183" s="1">
        <v>20</v>
      </c>
      <c r="AK183" s="27">
        <v>0.52</v>
      </c>
      <c r="AM183" s="262" t="str">
        <f t="shared" si="13"/>
        <v>GymboreeCanadaRetailGY 18 SPR 2</v>
      </c>
      <c r="AN183" s="1" t="s">
        <v>14</v>
      </c>
      <c r="AO183" s="1" t="s">
        <v>5</v>
      </c>
      <c r="AP183" s="1" t="s">
        <v>337</v>
      </c>
      <c r="AQ183" s="1">
        <v>2018</v>
      </c>
      <c r="AR183" s="1" t="s">
        <v>16</v>
      </c>
      <c r="AS183" s="1" t="s">
        <v>62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27" t="s">
        <v>63</v>
      </c>
    </row>
    <row r="184" spans="17:52" x14ac:dyDescent="0.25">
      <c r="Q184" s="262" t="str">
        <f t="shared" si="14"/>
        <v>Janie &amp; JackJJ 18 MAR LAY SWIM</v>
      </c>
      <c r="R184" s="35" t="str">
        <f t="shared" si="15"/>
        <v>2018Janie &amp; JackSeasonal Basics</v>
      </c>
      <c r="S184" s="1">
        <v>2018</v>
      </c>
      <c r="T184" s="1" t="s">
        <v>38</v>
      </c>
      <c r="U184" s="1" t="s">
        <v>85</v>
      </c>
      <c r="V184" s="1" t="s">
        <v>195</v>
      </c>
      <c r="W184" s="27" t="s">
        <v>196</v>
      </c>
      <c r="AF184" s="35" t="str">
        <f t="shared" si="12"/>
        <v>Janie &amp; JackOutletUSA21</v>
      </c>
      <c r="AG184" s="1" t="s">
        <v>38</v>
      </c>
      <c r="AH184" s="1" t="s">
        <v>17</v>
      </c>
      <c r="AI184" s="1" t="s">
        <v>336</v>
      </c>
      <c r="AJ184" s="1">
        <v>21</v>
      </c>
      <c r="AK184" s="27">
        <v>0.53</v>
      </c>
      <c r="AM184" s="262" t="str">
        <f t="shared" si="13"/>
        <v>GymboreeCanadaRetailGY 18 SWIM 1</v>
      </c>
      <c r="AN184" s="1" t="s">
        <v>14</v>
      </c>
      <c r="AO184" s="1" t="s">
        <v>5</v>
      </c>
      <c r="AP184" s="1" t="s">
        <v>337</v>
      </c>
      <c r="AQ184" s="1">
        <v>2018</v>
      </c>
      <c r="AR184" s="1" t="s">
        <v>16</v>
      </c>
      <c r="AS184" s="1" t="s">
        <v>153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27" t="s">
        <v>154</v>
      </c>
    </row>
    <row r="185" spans="17:52" x14ac:dyDescent="0.25">
      <c r="Q185" s="262" t="str">
        <f t="shared" si="14"/>
        <v>Janie &amp; JackJJ 18 SB1</v>
      </c>
      <c r="R185" s="35" t="str">
        <f t="shared" si="15"/>
        <v>2018Janie &amp; JackSeasonal Basics</v>
      </c>
      <c r="S185" s="1">
        <v>2018</v>
      </c>
      <c r="T185" s="1" t="s">
        <v>38</v>
      </c>
      <c r="U185" s="1" t="s">
        <v>85</v>
      </c>
      <c r="V185" s="1" t="s">
        <v>184</v>
      </c>
      <c r="W185" s="27" t="s">
        <v>185</v>
      </c>
      <c r="AF185" s="35" t="str">
        <f t="shared" si="12"/>
        <v>Janie &amp; JackOutletUSA22</v>
      </c>
      <c r="AG185" s="1" t="s">
        <v>38</v>
      </c>
      <c r="AH185" s="1" t="s">
        <v>17</v>
      </c>
      <c r="AI185" s="1" t="s">
        <v>336</v>
      </c>
      <c r="AJ185" s="1">
        <v>22</v>
      </c>
      <c r="AK185" s="27">
        <v>0.54</v>
      </c>
      <c r="AM185" s="262" t="str">
        <f t="shared" si="13"/>
        <v>GymboreeCanadaRetailGY 18 SPR VACA</v>
      </c>
      <c r="AN185" s="1" t="s">
        <v>14</v>
      </c>
      <c r="AO185" s="1" t="s">
        <v>5</v>
      </c>
      <c r="AP185" s="1" t="s">
        <v>337</v>
      </c>
      <c r="AQ185" s="1">
        <v>2018</v>
      </c>
      <c r="AR185" s="1" t="s">
        <v>16</v>
      </c>
      <c r="AS185" s="1" t="s">
        <v>157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27" t="s">
        <v>158</v>
      </c>
    </row>
    <row r="186" spans="17:52" x14ac:dyDescent="0.25">
      <c r="Q186" s="262" t="str">
        <f t="shared" si="14"/>
        <v>Janie &amp; JackJJ 18 SMR BASICS</v>
      </c>
      <c r="R186" s="35" t="str">
        <f t="shared" si="15"/>
        <v>2018Janie &amp; JackSeasonal Basics</v>
      </c>
      <c r="S186" s="1">
        <v>2018</v>
      </c>
      <c r="T186" s="1" t="s">
        <v>38</v>
      </c>
      <c r="U186" s="1" t="s">
        <v>85</v>
      </c>
      <c r="V186" s="1" t="s">
        <v>192</v>
      </c>
      <c r="W186" s="27" t="s">
        <v>193</v>
      </c>
      <c r="AF186" s="35" t="str">
        <f t="shared" si="12"/>
        <v>Janie &amp; JackOutletUSA23</v>
      </c>
      <c r="AG186" s="1" t="s">
        <v>38</v>
      </c>
      <c r="AH186" s="1" t="s">
        <v>17</v>
      </c>
      <c r="AI186" s="1" t="s">
        <v>336</v>
      </c>
      <c r="AJ186" s="1">
        <v>23</v>
      </c>
      <c r="AK186" s="27">
        <v>0.56000000000000005</v>
      </c>
      <c r="AM186" s="262" t="str">
        <f t="shared" si="13"/>
        <v>GymboreeCanadaRetailGY 18 SWIM 2</v>
      </c>
      <c r="AN186" s="1" t="s">
        <v>14</v>
      </c>
      <c r="AO186" s="1" t="s">
        <v>5</v>
      </c>
      <c r="AP186" s="1" t="s">
        <v>337</v>
      </c>
      <c r="AQ186" s="1">
        <v>2018</v>
      </c>
      <c r="AR186" s="1" t="s">
        <v>16</v>
      </c>
      <c r="AS186" s="1" t="s">
        <v>161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27" t="s">
        <v>162</v>
      </c>
    </row>
    <row r="187" spans="17:52" x14ac:dyDescent="0.25">
      <c r="Q187" s="262" t="str">
        <f t="shared" si="14"/>
        <v>Janie &amp; JackJJ 18 SPR SO REFRESH</v>
      </c>
      <c r="R187" s="35" t="str">
        <f t="shared" si="15"/>
        <v>2018Janie &amp; JackSeasonal Basics</v>
      </c>
      <c r="S187" s="1">
        <v>2018</v>
      </c>
      <c r="T187" s="1" t="s">
        <v>38</v>
      </c>
      <c r="U187" s="1" t="s">
        <v>85</v>
      </c>
      <c r="V187" s="1" t="s">
        <v>190</v>
      </c>
      <c r="W187" s="27" t="s">
        <v>191</v>
      </c>
      <c r="AF187" s="35" t="str">
        <f t="shared" si="12"/>
        <v>Janie &amp; JackOutletUSA24</v>
      </c>
      <c r="AG187" s="1" t="s">
        <v>38</v>
      </c>
      <c r="AH187" s="1" t="s">
        <v>17</v>
      </c>
      <c r="AI187" s="1" t="s">
        <v>336</v>
      </c>
      <c r="AJ187" s="1">
        <v>24</v>
      </c>
      <c r="AK187" s="27">
        <v>0.55000000000000004</v>
      </c>
      <c r="AM187" s="262" t="str">
        <f t="shared" si="13"/>
        <v>GymboreeCanadaRetailGY 18 SUM 1</v>
      </c>
      <c r="AN187" s="1" t="s">
        <v>14</v>
      </c>
      <c r="AO187" s="1" t="s">
        <v>5</v>
      </c>
      <c r="AP187" s="1" t="s">
        <v>337</v>
      </c>
      <c r="AQ187" s="1">
        <v>2018</v>
      </c>
      <c r="AR187" s="1" t="s">
        <v>16</v>
      </c>
      <c r="AS187" s="1" t="s">
        <v>159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27" t="s">
        <v>160</v>
      </c>
    </row>
    <row r="188" spans="17:52" x14ac:dyDescent="0.25">
      <c r="Q188" s="262" t="str">
        <f t="shared" si="14"/>
        <v>Janie &amp; JackJJ 18 SWIM 2</v>
      </c>
      <c r="R188" s="35" t="str">
        <f t="shared" si="15"/>
        <v>2018Janie &amp; JackSeasonal Basics</v>
      </c>
      <c r="S188" s="1">
        <v>2018</v>
      </c>
      <c r="T188" s="1" t="s">
        <v>38</v>
      </c>
      <c r="U188" s="1" t="s">
        <v>85</v>
      </c>
      <c r="V188" s="1" t="s">
        <v>186</v>
      </c>
      <c r="W188" s="27" t="s">
        <v>187</v>
      </c>
      <c r="AF188" s="35" t="str">
        <f t="shared" si="12"/>
        <v>Janie &amp; JackOutletUSA25</v>
      </c>
      <c r="AG188" s="1" t="s">
        <v>38</v>
      </c>
      <c r="AH188" s="1" t="s">
        <v>17</v>
      </c>
      <c r="AI188" s="1" t="s">
        <v>336</v>
      </c>
      <c r="AJ188" s="1">
        <v>25</v>
      </c>
      <c r="AK188" s="27">
        <v>0.6</v>
      </c>
      <c r="AM188" s="262" t="str">
        <f t="shared" si="13"/>
        <v>GymboreeCanadaRetailGY 18 DRESSY</v>
      </c>
      <c r="AN188" s="1" t="s">
        <v>14</v>
      </c>
      <c r="AO188" s="1" t="s">
        <v>5</v>
      </c>
      <c r="AP188" s="1" t="s">
        <v>337</v>
      </c>
      <c r="AQ188" s="1">
        <v>2018</v>
      </c>
      <c r="AR188" s="1" t="s">
        <v>16</v>
      </c>
      <c r="AS188" s="1" t="s">
        <v>155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27" t="s">
        <v>156</v>
      </c>
    </row>
    <row r="189" spans="17:52" x14ac:dyDescent="0.25">
      <c r="Q189" s="262" t="str">
        <f t="shared" si="14"/>
        <v>Janie &amp; JackJJ 17 DEC RESORT 2</v>
      </c>
      <c r="R189" s="35" t="str">
        <f t="shared" si="15"/>
        <v>2018Janie &amp; JackSpring</v>
      </c>
      <c r="S189" s="1">
        <v>2018</v>
      </c>
      <c r="T189" s="1" t="s">
        <v>38</v>
      </c>
      <c r="U189" s="1" t="s">
        <v>16</v>
      </c>
      <c r="V189" s="1" t="s">
        <v>207</v>
      </c>
      <c r="W189" s="27" t="s">
        <v>522</v>
      </c>
      <c r="AF189" s="35" t="str">
        <f t="shared" si="12"/>
        <v>Janie &amp; JackOutletUSA26</v>
      </c>
      <c r="AG189" s="1" t="s">
        <v>38</v>
      </c>
      <c r="AH189" s="1" t="s">
        <v>17</v>
      </c>
      <c r="AI189" s="1" t="s">
        <v>336</v>
      </c>
      <c r="AJ189" s="1">
        <v>26</v>
      </c>
      <c r="AK189" s="27">
        <v>0.6</v>
      </c>
      <c r="AM189" s="262" t="str">
        <f t="shared" si="13"/>
        <v>GymboreeCanadaRetailGY 18 SMR</v>
      </c>
      <c r="AN189" s="1" t="s">
        <v>14</v>
      </c>
      <c r="AO189" s="1" t="s">
        <v>5</v>
      </c>
      <c r="AP189" s="1" t="s">
        <v>337</v>
      </c>
      <c r="AQ189" s="1">
        <v>2018</v>
      </c>
      <c r="AR189" s="1" t="s">
        <v>18</v>
      </c>
      <c r="AS189" s="1" t="s">
        <v>173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27" t="s">
        <v>174</v>
      </c>
    </row>
    <row r="190" spans="17:52" x14ac:dyDescent="0.25">
      <c r="Q190" s="262" t="str">
        <f t="shared" si="14"/>
        <v>Janie &amp; JackJJ 17 DEC VDAY</v>
      </c>
      <c r="R190" s="35" t="str">
        <f t="shared" si="15"/>
        <v>2018Janie &amp; JackSpring</v>
      </c>
      <c r="S190" s="1">
        <v>2018</v>
      </c>
      <c r="T190" s="1" t="s">
        <v>38</v>
      </c>
      <c r="U190" s="1" t="s">
        <v>16</v>
      </c>
      <c r="V190" s="1" t="s">
        <v>205</v>
      </c>
      <c r="W190" s="27" t="s">
        <v>523</v>
      </c>
      <c r="AF190" s="35" t="str">
        <f t="shared" si="12"/>
        <v>Janie &amp; JackOutletUSA27</v>
      </c>
      <c r="AG190" s="1" t="s">
        <v>38</v>
      </c>
      <c r="AH190" s="1" t="s">
        <v>17</v>
      </c>
      <c r="AI190" s="1" t="s">
        <v>336</v>
      </c>
      <c r="AJ190" s="1">
        <v>27</v>
      </c>
      <c r="AK190" s="27">
        <v>0.65</v>
      </c>
      <c r="AM190" s="262" t="str">
        <f t="shared" si="13"/>
        <v>GymboreeCanadaRetailGY 18 SM2</v>
      </c>
      <c r="AN190" s="1" t="s">
        <v>14</v>
      </c>
      <c r="AO190" s="1" t="s">
        <v>5</v>
      </c>
      <c r="AP190" s="1" t="s">
        <v>337</v>
      </c>
      <c r="AQ190" s="1">
        <v>2018</v>
      </c>
      <c r="AR190" s="1" t="s">
        <v>18</v>
      </c>
      <c r="AS190" s="1" t="s">
        <v>163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27" t="s">
        <v>164</v>
      </c>
    </row>
    <row r="191" spans="17:52" x14ac:dyDescent="0.25">
      <c r="Q191" s="262" t="str">
        <f t="shared" si="14"/>
        <v>Janie &amp; JackJJ 17 FEB EASTER 1</v>
      </c>
      <c r="R191" s="35" t="str">
        <f t="shared" si="15"/>
        <v>2018Janie &amp; JackSpring</v>
      </c>
      <c r="S191" s="1">
        <v>2018</v>
      </c>
      <c r="T191" s="1" t="s">
        <v>38</v>
      </c>
      <c r="U191" s="1" t="s">
        <v>16</v>
      </c>
      <c r="V191" s="1" t="s">
        <v>209</v>
      </c>
      <c r="W191" s="27" t="s">
        <v>524</v>
      </c>
      <c r="AF191" s="35" t="str">
        <f t="shared" si="12"/>
        <v>Janie &amp; JackOutletUSA28</v>
      </c>
      <c r="AG191" s="1" t="s">
        <v>38</v>
      </c>
      <c r="AH191" s="1" t="s">
        <v>17</v>
      </c>
      <c r="AI191" s="1" t="s">
        <v>336</v>
      </c>
      <c r="AJ191" s="1">
        <v>28</v>
      </c>
      <c r="AK191" s="27">
        <v>0.65</v>
      </c>
      <c r="AM191" s="262" t="str">
        <f t="shared" si="13"/>
        <v>GymboreeCanadaRetailGY 18 SWIM 3</v>
      </c>
      <c r="AN191" s="1" t="s">
        <v>14</v>
      </c>
      <c r="AO191" s="1" t="s">
        <v>5</v>
      </c>
      <c r="AP191" s="1" t="s">
        <v>337</v>
      </c>
      <c r="AQ191" s="1">
        <v>2018</v>
      </c>
      <c r="AR191" s="1" t="s">
        <v>18</v>
      </c>
      <c r="AS191" s="1" t="s">
        <v>167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27" t="s">
        <v>168</v>
      </c>
    </row>
    <row r="192" spans="17:52" x14ac:dyDescent="0.25">
      <c r="Q192" s="262" t="str">
        <f t="shared" si="14"/>
        <v>Janie &amp; JackJJ 17 FEB EASTER GIFT LAY</v>
      </c>
      <c r="R192" s="35" t="str">
        <f t="shared" si="15"/>
        <v>2018Janie &amp; JackSpring</v>
      </c>
      <c r="S192" s="1">
        <v>2018</v>
      </c>
      <c r="T192" s="1" t="s">
        <v>38</v>
      </c>
      <c r="U192" s="1" t="s">
        <v>16</v>
      </c>
      <c r="V192" s="1" t="s">
        <v>211</v>
      </c>
      <c r="W192" s="27" t="s">
        <v>525</v>
      </c>
      <c r="AF192" s="35" t="str">
        <f t="shared" si="12"/>
        <v>Janie &amp; JackOutletUSA29</v>
      </c>
      <c r="AG192" s="1" t="s">
        <v>38</v>
      </c>
      <c r="AH192" s="1" t="s">
        <v>17</v>
      </c>
      <c r="AI192" s="1" t="s">
        <v>336</v>
      </c>
      <c r="AJ192" s="1">
        <v>29</v>
      </c>
      <c r="AK192" s="27">
        <v>0.65</v>
      </c>
      <c r="AM192" s="262" t="str">
        <f t="shared" si="13"/>
        <v>GymboreeCanadaRetailGY 18 SM3</v>
      </c>
      <c r="AN192" s="1" t="s">
        <v>14</v>
      </c>
      <c r="AO192" s="1" t="s">
        <v>5</v>
      </c>
      <c r="AP192" s="1" t="s">
        <v>337</v>
      </c>
      <c r="AQ192" s="1">
        <v>2018</v>
      </c>
      <c r="AR192" s="1" t="s">
        <v>18</v>
      </c>
      <c r="AS192" s="1" t="s">
        <v>165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27" t="s">
        <v>166</v>
      </c>
    </row>
    <row r="193" spans="17:52" x14ac:dyDescent="0.25">
      <c r="Q193" s="262" t="str">
        <f t="shared" si="14"/>
        <v>Janie &amp; JackJJ 17 FEB SPR 2</v>
      </c>
      <c r="R193" s="35" t="str">
        <f t="shared" si="15"/>
        <v>2018Janie &amp; JackSpring</v>
      </c>
      <c r="S193" s="1">
        <v>2018</v>
      </c>
      <c r="T193" s="1" t="s">
        <v>38</v>
      </c>
      <c r="U193" s="1" t="s">
        <v>16</v>
      </c>
      <c r="V193" s="1" t="s">
        <v>219</v>
      </c>
      <c r="W193" s="27"/>
      <c r="AF193" s="35" t="str">
        <f t="shared" si="12"/>
        <v>Janie &amp; JackOutletUSA30</v>
      </c>
      <c r="AG193" s="1" t="s">
        <v>38</v>
      </c>
      <c r="AH193" s="1" t="s">
        <v>17</v>
      </c>
      <c r="AI193" s="1" t="s">
        <v>336</v>
      </c>
      <c r="AJ193" s="1">
        <v>30</v>
      </c>
      <c r="AK193" s="27">
        <v>0.7</v>
      </c>
      <c r="AM193" s="262" t="str">
        <f t="shared" si="13"/>
        <v>GymboreeCanadaRetailGY 18 SM4</v>
      </c>
      <c r="AN193" s="1" t="s">
        <v>14</v>
      </c>
      <c r="AO193" s="1" t="s">
        <v>5</v>
      </c>
      <c r="AP193" s="1" t="s">
        <v>337</v>
      </c>
      <c r="AQ193" s="1">
        <v>2018</v>
      </c>
      <c r="AR193" s="1" t="s">
        <v>18</v>
      </c>
      <c r="AS193" s="1" t="s">
        <v>169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27" t="s">
        <v>170</v>
      </c>
    </row>
    <row r="194" spans="17:52" x14ac:dyDescent="0.25">
      <c r="Q194" s="262" t="str">
        <f t="shared" si="14"/>
        <v>Janie &amp; JackJJ 17 JAN SPR GIFTING LAYETTE</v>
      </c>
      <c r="R194" s="35" t="str">
        <f t="shared" si="15"/>
        <v>2018Janie &amp; JackSpring</v>
      </c>
      <c r="S194" s="1">
        <v>2018</v>
      </c>
      <c r="T194" s="1" t="s">
        <v>38</v>
      </c>
      <c r="U194" s="1" t="s">
        <v>16</v>
      </c>
      <c r="V194" s="1" t="s">
        <v>217</v>
      </c>
      <c r="W194" s="27" t="s">
        <v>526</v>
      </c>
      <c r="AF194" s="35" t="str">
        <f t="shared" si="12"/>
        <v>Janie &amp; JackOutletUSA31</v>
      </c>
      <c r="AG194" s="1" t="s">
        <v>38</v>
      </c>
      <c r="AH194" s="1" t="s">
        <v>17</v>
      </c>
      <c r="AI194" s="1" t="s">
        <v>336</v>
      </c>
      <c r="AJ194" s="1">
        <v>31</v>
      </c>
      <c r="AK194" s="27">
        <v>0.7</v>
      </c>
      <c r="AM194" s="262" t="str">
        <f t="shared" si="13"/>
        <v>GymboreeCanadaRetailGY 18 SM5</v>
      </c>
      <c r="AN194" s="1" t="s">
        <v>14</v>
      </c>
      <c r="AO194" s="1" t="s">
        <v>5</v>
      </c>
      <c r="AP194" s="1" t="s">
        <v>337</v>
      </c>
      <c r="AQ194" s="1">
        <v>2018</v>
      </c>
      <c r="AR194" s="1" t="s">
        <v>18</v>
      </c>
      <c r="AS194" s="1" t="s">
        <v>171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27" t="s">
        <v>172</v>
      </c>
    </row>
    <row r="195" spans="17:52" x14ac:dyDescent="0.25">
      <c r="Q195" s="262" t="str">
        <f t="shared" si="14"/>
        <v>Janie &amp; JackJJ 17 JAN SPRING 1</v>
      </c>
      <c r="R195" s="35" t="str">
        <f t="shared" si="15"/>
        <v>2018Janie &amp; JackSpring</v>
      </c>
      <c r="S195" s="1">
        <v>2018</v>
      </c>
      <c r="T195" s="1" t="s">
        <v>38</v>
      </c>
      <c r="U195" s="1" t="s">
        <v>16</v>
      </c>
      <c r="V195" s="1" t="s">
        <v>203</v>
      </c>
      <c r="W195" s="27" t="s">
        <v>527</v>
      </c>
      <c r="AF195" s="35" t="str">
        <f t="shared" si="12"/>
        <v>Janie &amp; JackOutletUSA32</v>
      </c>
      <c r="AG195" s="1" t="s">
        <v>38</v>
      </c>
      <c r="AH195" s="1" t="s">
        <v>17</v>
      </c>
      <c r="AI195" s="1" t="s">
        <v>336</v>
      </c>
      <c r="AJ195" s="1">
        <v>32</v>
      </c>
      <c r="AK195" s="27">
        <v>0.7</v>
      </c>
      <c r="AM195" s="262" t="str">
        <f t="shared" si="13"/>
        <v>Crazy 8USARetailGY C8 18 UNIFORM CAP</v>
      </c>
      <c r="AN195" s="1" t="s">
        <v>74</v>
      </c>
      <c r="AO195" s="1" t="s">
        <v>5</v>
      </c>
      <c r="AP195" s="1" t="s">
        <v>336</v>
      </c>
      <c r="AQ195" s="1">
        <v>2018</v>
      </c>
      <c r="AR195" s="1" t="s">
        <v>41</v>
      </c>
      <c r="AS195" s="1" t="s">
        <v>78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27" t="s">
        <v>423</v>
      </c>
    </row>
    <row r="196" spans="17:52" x14ac:dyDescent="0.25">
      <c r="Q196" s="262" t="str">
        <f t="shared" si="14"/>
        <v>Janie &amp; JackJJ 17 JAN SPRING TRANS</v>
      </c>
      <c r="R196" s="35" t="str">
        <f t="shared" si="15"/>
        <v>2018Janie &amp; JackSpring</v>
      </c>
      <c r="S196" s="1">
        <v>2018</v>
      </c>
      <c r="T196" s="1" t="s">
        <v>38</v>
      </c>
      <c r="U196" s="1" t="s">
        <v>16</v>
      </c>
      <c r="V196" s="1" t="s">
        <v>213</v>
      </c>
      <c r="W196" s="27" t="s">
        <v>528</v>
      </c>
      <c r="AF196" s="35" t="str">
        <f t="shared" si="12"/>
        <v>Janie &amp; JackOutletUSA33</v>
      </c>
      <c r="AG196" s="1" t="s">
        <v>38</v>
      </c>
      <c r="AH196" s="1" t="s">
        <v>17</v>
      </c>
      <c r="AI196" s="1" t="s">
        <v>336</v>
      </c>
      <c r="AJ196" s="1">
        <v>33</v>
      </c>
      <c r="AK196" s="27">
        <v>0.7</v>
      </c>
      <c r="AM196" s="262" t="str">
        <f t="shared" si="13"/>
        <v>Crazy 8USARetailGY C8 18 FAL</v>
      </c>
      <c r="AN196" s="1" t="s">
        <v>74</v>
      </c>
      <c r="AO196" s="1" t="s">
        <v>5</v>
      </c>
      <c r="AP196" s="1" t="s">
        <v>336</v>
      </c>
      <c r="AQ196" s="1">
        <v>2018</v>
      </c>
      <c r="AR196" s="1" t="s">
        <v>39</v>
      </c>
      <c r="AS196" s="1" t="s">
        <v>81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27" t="s">
        <v>82</v>
      </c>
    </row>
    <row r="197" spans="17:52" x14ac:dyDescent="0.25">
      <c r="Q197" s="262" t="str">
        <f t="shared" si="14"/>
        <v>Janie &amp; JackJJ 17 MAR EASTER 2 A+B</v>
      </c>
      <c r="R197" s="35" t="str">
        <f t="shared" si="15"/>
        <v>2018Janie &amp; JackSpring</v>
      </c>
      <c r="S197" s="1">
        <v>2018</v>
      </c>
      <c r="T197" s="1" t="s">
        <v>38</v>
      </c>
      <c r="U197" s="1" t="s">
        <v>16</v>
      </c>
      <c r="V197" s="1" t="s">
        <v>215</v>
      </c>
      <c r="W197" s="27" t="s">
        <v>529</v>
      </c>
      <c r="AF197" s="35" t="str">
        <f t="shared" si="12"/>
        <v>Janie &amp; JackOutletUSA34</v>
      </c>
      <c r="AG197" s="1" t="s">
        <v>38</v>
      </c>
      <c r="AH197" s="1" t="s">
        <v>17</v>
      </c>
      <c r="AI197" s="1" t="s">
        <v>336</v>
      </c>
      <c r="AJ197" s="1">
        <v>34</v>
      </c>
      <c r="AK197" s="27">
        <v>0.7</v>
      </c>
      <c r="AM197" s="262" t="str">
        <f t="shared" si="13"/>
        <v>Crazy 8USARetailGY C8 18 SB1</v>
      </c>
      <c r="AN197" s="1" t="s">
        <v>74</v>
      </c>
      <c r="AO197" s="1" t="s">
        <v>5</v>
      </c>
      <c r="AP197" s="1" t="s">
        <v>336</v>
      </c>
      <c r="AQ197" s="1">
        <v>2018</v>
      </c>
      <c r="AR197" s="1" t="s">
        <v>85</v>
      </c>
      <c r="AS197" s="1" t="s">
        <v>75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27" t="s">
        <v>76</v>
      </c>
    </row>
    <row r="198" spans="17:52" x14ac:dyDescent="0.25">
      <c r="Q198" s="262" t="str">
        <f t="shared" si="14"/>
        <v>Janie &amp; JackJJ 18 DEC RESORT 2</v>
      </c>
      <c r="R198" s="35" t="str">
        <f t="shared" si="15"/>
        <v>2018Janie &amp; JackSpring</v>
      </c>
      <c r="S198" s="1">
        <v>2018</v>
      </c>
      <c r="T198" s="1" t="s">
        <v>38</v>
      </c>
      <c r="U198" s="1" t="s">
        <v>16</v>
      </c>
      <c r="V198" s="1" t="s">
        <v>206</v>
      </c>
      <c r="W198" s="27" t="s">
        <v>207</v>
      </c>
      <c r="AF198" s="35" t="str">
        <f t="shared" ref="AF198:AF261" si="18">AG198&amp;AH198&amp;AI198&amp;AJ198</f>
        <v>Janie &amp; JackOutletUSA35</v>
      </c>
      <c r="AG198" s="1" t="s">
        <v>38</v>
      </c>
      <c r="AH198" s="1" t="s">
        <v>17</v>
      </c>
      <c r="AI198" s="1" t="s">
        <v>336</v>
      </c>
      <c r="AJ198" s="1">
        <v>35</v>
      </c>
      <c r="AK198" s="27">
        <v>0.7</v>
      </c>
      <c r="AM198" s="262" t="str">
        <f t="shared" ref="AM198:AM261" si="19">AN198&amp;AP198&amp;AO198&amp;AS198</f>
        <v>Crazy 8USARetailGY C8 18 VDAY CAP</v>
      </c>
      <c r="AN198" s="1" t="s">
        <v>74</v>
      </c>
      <c r="AO198" s="1" t="s">
        <v>5</v>
      </c>
      <c r="AP198" s="1" t="s">
        <v>336</v>
      </c>
      <c r="AQ198" s="1">
        <v>2018</v>
      </c>
      <c r="AR198" s="1" t="s">
        <v>16</v>
      </c>
      <c r="AS198" s="1" t="s">
        <v>105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27" t="s">
        <v>106</v>
      </c>
    </row>
    <row r="199" spans="17:52" x14ac:dyDescent="0.25">
      <c r="Q199" s="262" t="str">
        <f t="shared" si="14"/>
        <v>Janie &amp; JackJJ 18 DEC VDAY</v>
      </c>
      <c r="R199" s="35" t="str">
        <f t="shared" si="15"/>
        <v>2018Janie &amp; JackSpring</v>
      </c>
      <c r="S199" s="1">
        <v>2018</v>
      </c>
      <c r="T199" s="1" t="s">
        <v>38</v>
      </c>
      <c r="U199" s="1" t="s">
        <v>16</v>
      </c>
      <c r="V199" s="1" t="s">
        <v>204</v>
      </c>
      <c r="W199" s="27" t="s">
        <v>205</v>
      </c>
      <c r="AF199" s="35" t="str">
        <f t="shared" si="18"/>
        <v>Janie &amp; JackOutletUSA36</v>
      </c>
      <c r="AG199" s="1" t="s">
        <v>38</v>
      </c>
      <c r="AH199" s="1" t="s">
        <v>17</v>
      </c>
      <c r="AI199" s="1" t="s">
        <v>336</v>
      </c>
      <c r="AJ199" s="1">
        <v>36</v>
      </c>
      <c r="AK199" s="27">
        <v>0.7</v>
      </c>
      <c r="AM199" s="262" t="str">
        <f t="shared" si="19"/>
        <v>Crazy 8USARetailGY C8 18 SPRING TRANS</v>
      </c>
      <c r="AN199" s="1" t="s">
        <v>74</v>
      </c>
      <c r="AO199" s="1" t="s">
        <v>5</v>
      </c>
      <c r="AP199" s="1" t="s">
        <v>336</v>
      </c>
      <c r="AQ199" s="1">
        <v>2018</v>
      </c>
      <c r="AR199" s="1" t="s">
        <v>16</v>
      </c>
      <c r="AS199" s="1" t="s">
        <v>107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27" t="s">
        <v>108</v>
      </c>
    </row>
    <row r="200" spans="17:52" x14ac:dyDescent="0.25">
      <c r="Q200" s="262" t="str">
        <f t="shared" si="14"/>
        <v>Janie &amp; JackJJ 18 FEB EASTER 1</v>
      </c>
      <c r="R200" s="35" t="str">
        <f t="shared" si="15"/>
        <v>2018Janie &amp; JackSpring</v>
      </c>
      <c r="S200" s="1">
        <v>2018</v>
      </c>
      <c r="T200" s="1" t="s">
        <v>38</v>
      </c>
      <c r="U200" s="1" t="s">
        <v>16</v>
      </c>
      <c r="V200" s="1" t="s">
        <v>208</v>
      </c>
      <c r="W200" s="27" t="s">
        <v>209</v>
      </c>
      <c r="AF200" s="35" t="str">
        <f t="shared" si="18"/>
        <v>Janie &amp; JackOutletUSA37</v>
      </c>
      <c r="AG200" s="1" t="s">
        <v>38</v>
      </c>
      <c r="AH200" s="1" t="s">
        <v>17</v>
      </c>
      <c r="AI200" s="1" t="s">
        <v>336</v>
      </c>
      <c r="AJ200" s="1">
        <v>37</v>
      </c>
      <c r="AK200" s="27">
        <v>0.7</v>
      </c>
      <c r="AM200" s="262" t="str">
        <f t="shared" si="19"/>
        <v>Crazy 8USARetailGY C8 18 SPR</v>
      </c>
      <c r="AN200" s="1" t="s">
        <v>74</v>
      </c>
      <c r="AO200" s="1" t="s">
        <v>5</v>
      </c>
      <c r="AP200" s="1" t="s">
        <v>336</v>
      </c>
      <c r="AQ200" s="1">
        <v>2018</v>
      </c>
      <c r="AR200" s="1" t="s">
        <v>16</v>
      </c>
      <c r="AS200" s="1" t="s">
        <v>103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27" t="s">
        <v>104</v>
      </c>
    </row>
    <row r="201" spans="17:52" x14ac:dyDescent="0.25">
      <c r="Q201" s="262" t="str">
        <f t="shared" si="14"/>
        <v>Janie &amp; JackJJ 18 FEB EASTER GIFT LAY</v>
      </c>
      <c r="R201" s="35" t="str">
        <f t="shared" si="15"/>
        <v>2018Janie &amp; JackSpring</v>
      </c>
      <c r="S201" s="1">
        <v>2018</v>
      </c>
      <c r="T201" s="1" t="s">
        <v>38</v>
      </c>
      <c r="U201" s="1" t="s">
        <v>16</v>
      </c>
      <c r="V201" s="1" t="s">
        <v>210</v>
      </c>
      <c r="W201" s="27" t="s">
        <v>211</v>
      </c>
      <c r="AF201" s="35" t="str">
        <f t="shared" si="18"/>
        <v>Janie &amp; JackOutletUSA38</v>
      </c>
      <c r="AG201" s="1" t="s">
        <v>38</v>
      </c>
      <c r="AH201" s="1" t="s">
        <v>17</v>
      </c>
      <c r="AI201" s="1" t="s">
        <v>336</v>
      </c>
      <c r="AJ201" s="1">
        <v>38</v>
      </c>
      <c r="AK201" s="27">
        <v>0.7</v>
      </c>
      <c r="AM201" s="262" t="str">
        <f t="shared" si="19"/>
        <v>Crazy 8USARetailGY C8 18 SPRING</v>
      </c>
      <c r="AN201" s="1" t="s">
        <v>74</v>
      </c>
      <c r="AO201" s="1" t="s">
        <v>5</v>
      </c>
      <c r="AP201" s="1" t="s">
        <v>336</v>
      </c>
      <c r="AQ201" s="1">
        <v>2018</v>
      </c>
      <c r="AR201" s="1" t="s">
        <v>16</v>
      </c>
      <c r="AS201" s="1" t="s">
        <v>111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27" t="s">
        <v>112</v>
      </c>
    </row>
    <row r="202" spans="17:52" x14ac:dyDescent="0.25">
      <c r="Q202" s="262" t="str">
        <f t="shared" si="14"/>
        <v>Janie &amp; JackJJ 18 FEB SPRING LIMITED EDITION</v>
      </c>
      <c r="R202" s="35" t="str">
        <f t="shared" si="15"/>
        <v>2018Janie &amp; JackSpring</v>
      </c>
      <c r="S202" s="1">
        <v>2018</v>
      </c>
      <c r="T202" s="1" t="s">
        <v>38</v>
      </c>
      <c r="U202" s="1" t="s">
        <v>16</v>
      </c>
      <c r="V202" s="1" t="s">
        <v>220</v>
      </c>
      <c r="W202" s="27"/>
      <c r="AF202" s="35" t="str">
        <f t="shared" si="18"/>
        <v>Janie &amp; JackOutletUSA39</v>
      </c>
      <c r="AG202" s="1" t="s">
        <v>38</v>
      </c>
      <c r="AH202" s="1" t="s">
        <v>17</v>
      </c>
      <c r="AI202" s="1" t="s">
        <v>336</v>
      </c>
      <c r="AJ202" s="1">
        <v>39</v>
      </c>
      <c r="AK202" s="27">
        <v>0.7</v>
      </c>
      <c r="AM202" s="262" t="str">
        <f t="shared" si="19"/>
        <v>Crazy 8USARetailGY C8 18 SPR DOORBUSTER</v>
      </c>
      <c r="AN202" s="1" t="s">
        <v>74</v>
      </c>
      <c r="AO202" s="1" t="s">
        <v>5</v>
      </c>
      <c r="AP202" s="1" t="s">
        <v>336</v>
      </c>
      <c r="AQ202" s="1">
        <v>2018</v>
      </c>
      <c r="AR202" s="1" t="s">
        <v>16</v>
      </c>
      <c r="AS202" s="1" t="s">
        <v>109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27" t="s">
        <v>110</v>
      </c>
    </row>
    <row r="203" spans="17:52" x14ac:dyDescent="0.25">
      <c r="Q203" s="262" t="str">
        <f t="shared" si="14"/>
        <v>Janie &amp; JackJJ 18 JAN SPR GIFTING LAY</v>
      </c>
      <c r="R203" s="35" t="str">
        <f t="shared" si="15"/>
        <v>2018Janie &amp; JackSpring</v>
      </c>
      <c r="S203" s="1">
        <v>2018</v>
      </c>
      <c r="T203" s="1" t="s">
        <v>38</v>
      </c>
      <c r="U203" s="1" t="s">
        <v>16</v>
      </c>
      <c r="V203" s="1" t="s">
        <v>216</v>
      </c>
      <c r="W203" s="27" t="s">
        <v>217</v>
      </c>
      <c r="AF203" s="35" t="str">
        <f t="shared" si="18"/>
        <v>Janie &amp; JackOutletUSA40</v>
      </c>
      <c r="AG203" s="1" t="s">
        <v>38</v>
      </c>
      <c r="AH203" s="1" t="s">
        <v>17</v>
      </c>
      <c r="AI203" s="1" t="s">
        <v>336</v>
      </c>
      <c r="AJ203" s="1">
        <v>40</v>
      </c>
      <c r="AK203" s="27">
        <v>0.7</v>
      </c>
      <c r="AM203" s="262" t="str">
        <f t="shared" si="19"/>
        <v>Crazy 8USARetailGY C8 18 SWIM 1</v>
      </c>
      <c r="AN203" s="1" t="s">
        <v>74</v>
      </c>
      <c r="AO203" s="1" t="s">
        <v>5</v>
      </c>
      <c r="AP203" s="1" t="s">
        <v>336</v>
      </c>
      <c r="AQ203" s="1">
        <v>2018</v>
      </c>
      <c r="AR203" s="1" t="s">
        <v>16</v>
      </c>
      <c r="AS203" s="1" t="s">
        <v>113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27" t="s">
        <v>114</v>
      </c>
    </row>
    <row r="204" spans="17:52" x14ac:dyDescent="0.25">
      <c r="Q204" s="262" t="str">
        <f t="shared" si="14"/>
        <v>Janie &amp; JackJJ 18 JAN SPRING 1</v>
      </c>
      <c r="R204" s="35" t="str">
        <f t="shared" si="15"/>
        <v>2018Janie &amp; JackSpring</v>
      </c>
      <c r="S204" s="1">
        <v>2018</v>
      </c>
      <c r="T204" s="1" t="s">
        <v>38</v>
      </c>
      <c r="U204" s="1" t="s">
        <v>16</v>
      </c>
      <c r="V204" s="1" t="s">
        <v>202</v>
      </c>
      <c r="W204" s="27" t="s">
        <v>203</v>
      </c>
      <c r="AF204" s="35" t="str">
        <f t="shared" si="18"/>
        <v>Janie &amp; JackOutletUSA41</v>
      </c>
      <c r="AG204" s="1" t="s">
        <v>38</v>
      </c>
      <c r="AH204" s="1" t="s">
        <v>17</v>
      </c>
      <c r="AI204" s="1" t="s">
        <v>336</v>
      </c>
      <c r="AJ204" s="1">
        <v>41</v>
      </c>
      <c r="AK204" s="27">
        <v>0.7</v>
      </c>
      <c r="AM204" s="262" t="str">
        <f t="shared" si="19"/>
        <v>Crazy 8USARetailGY C8 18 EASTER CAP</v>
      </c>
      <c r="AN204" s="1" t="s">
        <v>74</v>
      </c>
      <c r="AO204" s="1" t="s">
        <v>5</v>
      </c>
      <c r="AP204" s="1" t="s">
        <v>336</v>
      </c>
      <c r="AQ204" s="1">
        <v>2018</v>
      </c>
      <c r="AR204" s="1" t="s">
        <v>16</v>
      </c>
      <c r="AS204" s="1" t="s">
        <v>115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27" t="s">
        <v>116</v>
      </c>
    </row>
    <row r="205" spans="17:52" x14ac:dyDescent="0.25">
      <c r="Q205" s="262" t="str">
        <f t="shared" si="14"/>
        <v>Janie &amp; JackJJ 18 JAN SPRING TRANS</v>
      </c>
      <c r="R205" s="35" t="str">
        <f t="shared" si="15"/>
        <v>2018Janie &amp; JackSpring</v>
      </c>
      <c r="S205" s="1">
        <v>2018</v>
      </c>
      <c r="T205" s="1" t="s">
        <v>38</v>
      </c>
      <c r="U205" s="1" t="s">
        <v>16</v>
      </c>
      <c r="V205" s="1" t="s">
        <v>212</v>
      </c>
      <c r="W205" s="27" t="s">
        <v>213</v>
      </c>
      <c r="AF205" s="35" t="str">
        <f t="shared" si="18"/>
        <v>Janie &amp; JackOutletUSA42</v>
      </c>
      <c r="AG205" s="1" t="s">
        <v>38</v>
      </c>
      <c r="AH205" s="1" t="s">
        <v>17</v>
      </c>
      <c r="AI205" s="1" t="s">
        <v>336</v>
      </c>
      <c r="AJ205" s="1">
        <v>42</v>
      </c>
      <c r="AK205" s="27">
        <v>0.7</v>
      </c>
      <c r="AM205" s="262" t="str">
        <f t="shared" si="19"/>
        <v>Crazy 8USARetailGY C8 18 SPRING BREAK</v>
      </c>
      <c r="AN205" s="1" t="s">
        <v>74</v>
      </c>
      <c r="AO205" s="1" t="s">
        <v>5</v>
      </c>
      <c r="AP205" s="1" t="s">
        <v>336</v>
      </c>
      <c r="AQ205" s="1">
        <v>2018</v>
      </c>
      <c r="AR205" s="1" t="s">
        <v>16</v>
      </c>
      <c r="AS205" s="1" t="s">
        <v>117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27" t="s">
        <v>118</v>
      </c>
    </row>
    <row r="206" spans="17:52" x14ac:dyDescent="0.25">
      <c r="Q206" s="262" t="str">
        <f t="shared" si="14"/>
        <v>Janie &amp; JackJJ 18 MAR EASTER 2</v>
      </c>
      <c r="R206" s="35" t="str">
        <f t="shared" si="15"/>
        <v>2018Janie &amp; JackSpring</v>
      </c>
      <c r="S206" s="1">
        <v>2018</v>
      </c>
      <c r="T206" s="1" t="s">
        <v>38</v>
      </c>
      <c r="U206" s="1" t="s">
        <v>16</v>
      </c>
      <c r="V206" s="1" t="s">
        <v>214</v>
      </c>
      <c r="W206" s="27" t="s">
        <v>215</v>
      </c>
      <c r="AF206" s="35" t="str">
        <f t="shared" si="18"/>
        <v>Janie &amp; JackOutletUSA43</v>
      </c>
      <c r="AG206" s="1" t="s">
        <v>38</v>
      </c>
      <c r="AH206" s="1" t="s">
        <v>17</v>
      </c>
      <c r="AI206" s="1" t="s">
        <v>336</v>
      </c>
      <c r="AJ206" s="1">
        <v>43</v>
      </c>
      <c r="AK206" s="27">
        <v>0.7</v>
      </c>
      <c r="AM206" s="262" t="str">
        <f t="shared" si="19"/>
        <v>Crazy 8USARetailGY C8 18 SWIM 2</v>
      </c>
      <c r="AN206" s="1" t="s">
        <v>74</v>
      </c>
      <c r="AO206" s="1" t="s">
        <v>5</v>
      </c>
      <c r="AP206" s="1" t="s">
        <v>336</v>
      </c>
      <c r="AQ206" s="1">
        <v>2018</v>
      </c>
      <c r="AR206" s="1" t="s">
        <v>16</v>
      </c>
      <c r="AS206" s="1" t="s">
        <v>119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27" t="s">
        <v>120</v>
      </c>
    </row>
    <row r="207" spans="17:52" x14ac:dyDescent="0.25">
      <c r="Q207" s="262" t="str">
        <f t="shared" ref="Q207:Q270" si="20">T207&amp;V207</f>
        <v>Janie &amp; JackJJ 18 MAR JJ SPORT</v>
      </c>
      <c r="R207" s="35" t="str">
        <f t="shared" ref="R207:R270" si="21">S207&amp;T207&amp;U207</f>
        <v>2018Janie &amp; JackSpring</v>
      </c>
      <c r="S207" s="1">
        <v>2018</v>
      </c>
      <c r="T207" s="1" t="s">
        <v>38</v>
      </c>
      <c r="U207" s="1" t="s">
        <v>16</v>
      </c>
      <c r="V207" s="1" t="s">
        <v>221</v>
      </c>
      <c r="W207" s="27"/>
      <c r="AF207" s="35" t="str">
        <f t="shared" si="18"/>
        <v>Janie &amp; JackOutletUSA44</v>
      </c>
      <c r="AG207" s="1" t="s">
        <v>38</v>
      </c>
      <c r="AH207" s="1" t="s">
        <v>17</v>
      </c>
      <c r="AI207" s="1" t="s">
        <v>336</v>
      </c>
      <c r="AJ207" s="1">
        <v>44</v>
      </c>
      <c r="AK207" s="27">
        <v>0.7</v>
      </c>
      <c r="AM207" s="262" t="str">
        <f t="shared" si="19"/>
        <v>Crazy 8USARetailGY C8 18 EASTER REFRESH</v>
      </c>
      <c r="AN207" s="1" t="s">
        <v>74</v>
      </c>
      <c r="AO207" s="1" t="s">
        <v>5</v>
      </c>
      <c r="AP207" s="1" t="s">
        <v>336</v>
      </c>
      <c r="AQ207" s="1">
        <v>2018</v>
      </c>
      <c r="AR207" s="1" t="s">
        <v>16</v>
      </c>
      <c r="AS207" s="1" t="s">
        <v>121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27"/>
    </row>
    <row r="208" spans="17:52" x14ac:dyDescent="0.25">
      <c r="Q208" s="262" t="str">
        <f t="shared" si="20"/>
        <v>Janie &amp; JackJJ 18 MAR SPR 2</v>
      </c>
      <c r="R208" s="35" t="str">
        <f t="shared" si="21"/>
        <v>2018Janie &amp; JackSpring</v>
      </c>
      <c r="S208" s="1">
        <v>2018</v>
      </c>
      <c r="T208" s="1" t="s">
        <v>38</v>
      </c>
      <c r="U208" s="1" t="s">
        <v>16</v>
      </c>
      <c r="V208" s="1" t="s">
        <v>218</v>
      </c>
      <c r="W208" s="27" t="s">
        <v>219</v>
      </c>
      <c r="AF208" s="35" t="str">
        <f t="shared" si="18"/>
        <v>Janie &amp; JackOutletUSA45</v>
      </c>
      <c r="AG208" s="1" t="s">
        <v>38</v>
      </c>
      <c r="AH208" s="1" t="s">
        <v>17</v>
      </c>
      <c r="AI208" s="1" t="s">
        <v>336</v>
      </c>
      <c r="AJ208" s="1">
        <v>45</v>
      </c>
      <c r="AK208" s="27">
        <v>0.7</v>
      </c>
      <c r="AM208" s="262" t="str">
        <f t="shared" si="19"/>
        <v>Crazy 8USARetailGY C8 18 SWIM 3</v>
      </c>
      <c r="AN208" s="1" t="s">
        <v>74</v>
      </c>
      <c r="AO208" s="1" t="s">
        <v>5</v>
      </c>
      <c r="AP208" s="1" t="s">
        <v>336</v>
      </c>
      <c r="AQ208" s="1">
        <v>2018</v>
      </c>
      <c r="AR208" s="1" t="s">
        <v>16</v>
      </c>
      <c r="AS208" s="1" t="s">
        <v>125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27" t="s">
        <v>126</v>
      </c>
    </row>
    <row r="209" spans="17:52" x14ac:dyDescent="0.25">
      <c r="Q209" s="262" t="str">
        <f t="shared" si="20"/>
        <v>Janie &amp; JackJJ 17 4TH OF JULY</v>
      </c>
      <c r="R209" s="35" t="str">
        <f t="shared" si="21"/>
        <v>2018Janie &amp; JackSummer</v>
      </c>
      <c r="S209" s="1">
        <v>2018</v>
      </c>
      <c r="T209" s="1" t="s">
        <v>38</v>
      </c>
      <c r="U209" s="1" t="s">
        <v>18</v>
      </c>
      <c r="V209" s="1" t="s">
        <v>229</v>
      </c>
      <c r="W209" s="27" t="s">
        <v>530</v>
      </c>
      <c r="AF209" s="35" t="str">
        <f t="shared" si="18"/>
        <v>Janie &amp; JackOutletUSA46</v>
      </c>
      <c r="AG209" s="1" t="s">
        <v>38</v>
      </c>
      <c r="AH209" s="1" t="s">
        <v>17</v>
      </c>
      <c r="AI209" s="1" t="s">
        <v>336</v>
      </c>
      <c r="AJ209" s="1">
        <v>46</v>
      </c>
      <c r="AK209" s="27">
        <v>0.7</v>
      </c>
      <c r="AM209" s="262" t="str">
        <f t="shared" si="19"/>
        <v>Crazy 8USARetailGY C8 18 PRE SUMMER</v>
      </c>
      <c r="AN209" s="1" t="s">
        <v>74</v>
      </c>
      <c r="AO209" s="1" t="s">
        <v>5</v>
      </c>
      <c r="AP209" s="1" t="s">
        <v>336</v>
      </c>
      <c r="AQ209" s="1">
        <v>2018</v>
      </c>
      <c r="AR209" s="1" t="s">
        <v>16</v>
      </c>
      <c r="AS209" s="1" t="s">
        <v>123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27" t="s">
        <v>124</v>
      </c>
    </row>
    <row r="210" spans="17:52" x14ac:dyDescent="0.25">
      <c r="Q210" s="262" t="str">
        <f t="shared" si="20"/>
        <v>Janie &amp; JackJJ 17 APR SMR 1 A+B</v>
      </c>
      <c r="R210" s="35" t="str">
        <f t="shared" si="21"/>
        <v>2018Janie &amp; JackSummer</v>
      </c>
      <c r="S210" s="1">
        <v>2018</v>
      </c>
      <c r="T210" s="1" t="s">
        <v>38</v>
      </c>
      <c r="U210" s="1" t="s">
        <v>18</v>
      </c>
      <c r="V210" s="1" t="s">
        <v>225</v>
      </c>
      <c r="W210" s="27" t="s">
        <v>531</v>
      </c>
      <c r="AF210" s="35" t="str">
        <f t="shared" si="18"/>
        <v>Janie &amp; JackOutletUSA47</v>
      </c>
      <c r="AG210" s="1" t="s">
        <v>38</v>
      </c>
      <c r="AH210" s="1" t="s">
        <v>17</v>
      </c>
      <c r="AI210" s="1" t="s">
        <v>336</v>
      </c>
      <c r="AJ210" s="1">
        <v>47</v>
      </c>
      <c r="AK210" s="27">
        <v>0.7</v>
      </c>
      <c r="AM210" s="262" t="str">
        <f t="shared" si="19"/>
        <v>Crazy 8USARetailGY C8 18 MARKET SPRING</v>
      </c>
      <c r="AN210" s="1" t="s">
        <v>74</v>
      </c>
      <c r="AO210" s="1" t="s">
        <v>5</v>
      </c>
      <c r="AP210" s="1" t="s">
        <v>336</v>
      </c>
      <c r="AQ210" s="1">
        <v>2018</v>
      </c>
      <c r="AR210" s="1" t="s">
        <v>16</v>
      </c>
      <c r="AS210" s="1" t="s">
        <v>600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27"/>
    </row>
    <row r="211" spans="17:52" x14ac:dyDescent="0.25">
      <c r="Q211" s="262" t="str">
        <f t="shared" si="20"/>
        <v>Janie &amp; JackJJ 17 JULY TRANS 1</v>
      </c>
      <c r="R211" s="35" t="str">
        <f t="shared" si="21"/>
        <v>2018Janie &amp; JackSummer</v>
      </c>
      <c r="S211" s="1">
        <v>2018</v>
      </c>
      <c r="T211" s="1" t="s">
        <v>38</v>
      </c>
      <c r="U211" s="1" t="s">
        <v>18</v>
      </c>
      <c r="V211" s="1" t="s">
        <v>236</v>
      </c>
      <c r="W211" s="27" t="s">
        <v>532</v>
      </c>
      <c r="AF211" s="35" t="str">
        <f t="shared" si="18"/>
        <v>Janie &amp; JackOutletUSA48</v>
      </c>
      <c r="AG211" s="1" t="s">
        <v>38</v>
      </c>
      <c r="AH211" s="1" t="s">
        <v>17</v>
      </c>
      <c r="AI211" s="1" t="s">
        <v>336</v>
      </c>
      <c r="AJ211" s="1">
        <v>48</v>
      </c>
      <c r="AK211" s="27">
        <v>0.7</v>
      </c>
      <c r="AM211" s="262" t="str">
        <f t="shared" si="19"/>
        <v>Crazy 8USARetailGY C8 18 SMR</v>
      </c>
      <c r="AN211" s="1" t="s">
        <v>74</v>
      </c>
      <c r="AO211" s="1" t="s">
        <v>5</v>
      </c>
      <c r="AP211" s="1" t="s">
        <v>336</v>
      </c>
      <c r="AQ211" s="1">
        <v>2018</v>
      </c>
      <c r="AR211" s="1" t="s">
        <v>18</v>
      </c>
      <c r="AS211" s="1" t="s">
        <v>129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27" t="s">
        <v>130</v>
      </c>
    </row>
    <row r="212" spans="17:52" x14ac:dyDescent="0.25">
      <c r="Q212" s="262" t="str">
        <f t="shared" si="20"/>
        <v>Janie &amp; JackJJ 17 MAR SUMMER 0</v>
      </c>
      <c r="R212" s="35" t="str">
        <f t="shared" si="21"/>
        <v>2018Janie &amp; JackSummer</v>
      </c>
      <c r="S212" s="1">
        <v>2018</v>
      </c>
      <c r="T212" s="1" t="s">
        <v>38</v>
      </c>
      <c r="U212" s="1" t="s">
        <v>18</v>
      </c>
      <c r="V212" s="1" t="s">
        <v>223</v>
      </c>
      <c r="W212" s="27" t="s">
        <v>533</v>
      </c>
      <c r="AF212" s="35" t="str">
        <f t="shared" si="18"/>
        <v>Janie &amp; JackOutletUSA49</v>
      </c>
      <c r="AG212" s="1" t="s">
        <v>38</v>
      </c>
      <c r="AH212" s="1" t="s">
        <v>17</v>
      </c>
      <c r="AI212" s="1" t="s">
        <v>336</v>
      </c>
      <c r="AJ212" s="1">
        <v>49</v>
      </c>
      <c r="AK212" s="27">
        <v>0.7</v>
      </c>
      <c r="AM212" s="262" t="str">
        <f t="shared" si="19"/>
        <v>Crazy 8USARetailGY C8 18 SUMMER CAP</v>
      </c>
      <c r="AN212" s="1" t="s">
        <v>74</v>
      </c>
      <c r="AO212" s="1" t="s">
        <v>5</v>
      </c>
      <c r="AP212" s="1" t="s">
        <v>336</v>
      </c>
      <c r="AQ212" s="1">
        <v>2018</v>
      </c>
      <c r="AR212" s="1" t="s">
        <v>18</v>
      </c>
      <c r="AS212" s="1" t="s">
        <v>127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27" t="s">
        <v>128</v>
      </c>
    </row>
    <row r="213" spans="17:52" x14ac:dyDescent="0.25">
      <c r="Q213" s="262" t="str">
        <f t="shared" si="20"/>
        <v>Janie &amp; JackJJ 17 SUMMER 2</v>
      </c>
      <c r="R213" s="35" t="str">
        <f t="shared" si="21"/>
        <v>2018Janie &amp; JackSummer</v>
      </c>
      <c r="S213" s="1">
        <v>2018</v>
      </c>
      <c r="T213" s="1" t="s">
        <v>38</v>
      </c>
      <c r="U213" s="1" t="s">
        <v>18</v>
      </c>
      <c r="V213" s="1" t="s">
        <v>227</v>
      </c>
      <c r="W213" s="27" t="s">
        <v>534</v>
      </c>
      <c r="AF213" s="35" t="str">
        <f t="shared" si="18"/>
        <v>Janie &amp; JackOutletUSA50</v>
      </c>
      <c r="AG213" s="1" t="s">
        <v>38</v>
      </c>
      <c r="AH213" s="1" t="s">
        <v>17</v>
      </c>
      <c r="AI213" s="1" t="s">
        <v>336</v>
      </c>
      <c r="AJ213" s="1">
        <v>50</v>
      </c>
      <c r="AK213" s="27">
        <v>0.7</v>
      </c>
      <c r="AM213" s="262" t="str">
        <f t="shared" si="19"/>
        <v>Crazy 8USARetailGY C8 18 SUMMER</v>
      </c>
      <c r="AN213" s="1" t="s">
        <v>74</v>
      </c>
      <c r="AO213" s="1" t="s">
        <v>5</v>
      </c>
      <c r="AP213" s="1" t="s">
        <v>336</v>
      </c>
      <c r="AQ213" s="1">
        <v>2018</v>
      </c>
      <c r="AR213" s="1" t="s">
        <v>18</v>
      </c>
      <c r="AS213" s="1" t="s">
        <v>131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27" t="s">
        <v>132</v>
      </c>
    </row>
    <row r="214" spans="17:52" x14ac:dyDescent="0.25">
      <c r="Q214" s="262" t="str">
        <f t="shared" si="20"/>
        <v>Janie &amp; JackJJ 17 SUMMER 2 CAP WOMENS</v>
      </c>
      <c r="R214" s="35" t="str">
        <f t="shared" si="21"/>
        <v>2018Janie &amp; JackSummer</v>
      </c>
      <c r="S214" s="1">
        <v>2018</v>
      </c>
      <c r="T214" s="1" t="s">
        <v>38</v>
      </c>
      <c r="U214" s="1" t="s">
        <v>18</v>
      </c>
      <c r="V214" s="1" t="s">
        <v>405</v>
      </c>
      <c r="W214" s="27"/>
      <c r="AF214" s="35" t="str">
        <f t="shared" si="18"/>
        <v>Janie &amp; JackOutletUSA51</v>
      </c>
      <c r="AG214" s="1" t="s">
        <v>38</v>
      </c>
      <c r="AH214" s="1" t="s">
        <v>17</v>
      </c>
      <c r="AI214" s="1" t="s">
        <v>336</v>
      </c>
      <c r="AJ214" s="1">
        <v>51</v>
      </c>
      <c r="AK214" s="27">
        <v>0.7</v>
      </c>
      <c r="AM214" s="262" t="str">
        <f t="shared" si="19"/>
        <v>Crazy 8USARetailGY C8 18 SMR DOORBUSTER</v>
      </c>
      <c r="AN214" s="1" t="s">
        <v>74</v>
      </c>
      <c r="AO214" s="1" t="s">
        <v>5</v>
      </c>
      <c r="AP214" s="1" t="s">
        <v>336</v>
      </c>
      <c r="AQ214" s="1">
        <v>2018</v>
      </c>
      <c r="AR214" s="1" t="s">
        <v>18</v>
      </c>
      <c r="AS214" s="1" t="s">
        <v>137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27" t="s">
        <v>138</v>
      </c>
    </row>
    <row r="215" spans="17:52" x14ac:dyDescent="0.25">
      <c r="Q215" s="262" t="str">
        <f t="shared" si="20"/>
        <v>Janie &amp; JackJJ 17 SUMMER 3</v>
      </c>
      <c r="R215" s="35" t="str">
        <f t="shared" si="21"/>
        <v>2018Janie &amp; JackSummer</v>
      </c>
      <c r="S215" s="1">
        <v>2018</v>
      </c>
      <c r="T215" s="1" t="s">
        <v>38</v>
      </c>
      <c r="U215" s="1" t="s">
        <v>18</v>
      </c>
      <c r="V215" s="1" t="s">
        <v>232</v>
      </c>
      <c r="W215" s="27" t="s">
        <v>535</v>
      </c>
      <c r="AF215" s="35" t="str">
        <f t="shared" si="18"/>
        <v>Janie &amp; JackOutletUSA52</v>
      </c>
      <c r="AG215" s="1" t="s">
        <v>38</v>
      </c>
      <c r="AH215" s="1" t="s">
        <v>17</v>
      </c>
      <c r="AI215" s="1" t="s">
        <v>336</v>
      </c>
      <c r="AJ215" s="1">
        <v>52</v>
      </c>
      <c r="AK215" s="27">
        <v>0.7</v>
      </c>
      <c r="AM215" s="262" t="str">
        <f t="shared" si="19"/>
        <v>Crazy 8USARetailGY C8 18 SWIM 4</v>
      </c>
      <c r="AN215" s="1" t="s">
        <v>74</v>
      </c>
      <c r="AO215" s="1" t="s">
        <v>5</v>
      </c>
      <c r="AP215" s="1" t="s">
        <v>336</v>
      </c>
      <c r="AQ215" s="1">
        <v>2018</v>
      </c>
      <c r="AR215" s="1" t="s">
        <v>18</v>
      </c>
      <c r="AS215" s="1" t="s">
        <v>133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27" t="s">
        <v>134</v>
      </c>
    </row>
    <row r="216" spans="17:52" x14ac:dyDescent="0.25">
      <c r="Q216" s="262" t="str">
        <f t="shared" si="20"/>
        <v>Janie &amp; JackJJ 17 SUMMER 4</v>
      </c>
      <c r="R216" s="35" t="str">
        <f t="shared" si="21"/>
        <v>2018Janie &amp; JackSummer</v>
      </c>
      <c r="S216" s="1">
        <v>2018</v>
      </c>
      <c r="T216" s="1" t="s">
        <v>38</v>
      </c>
      <c r="U216" s="1" t="s">
        <v>18</v>
      </c>
      <c r="V216" s="1" t="s">
        <v>234</v>
      </c>
      <c r="W216" s="27" t="s">
        <v>536</v>
      </c>
      <c r="AF216" s="35" t="str">
        <f t="shared" si="18"/>
        <v>Janie &amp; JackOutletUSA53</v>
      </c>
      <c r="AG216" s="1" t="s">
        <v>38</v>
      </c>
      <c r="AH216" s="1" t="s">
        <v>17</v>
      </c>
      <c r="AI216" s="1" t="s">
        <v>336</v>
      </c>
      <c r="AJ216" s="1">
        <v>53</v>
      </c>
      <c r="AK216" s="27">
        <v>0.7</v>
      </c>
      <c r="AM216" s="262" t="str">
        <f t="shared" si="19"/>
        <v>Crazy 8USARetailGY C8 18 JULY 4TH CAP</v>
      </c>
      <c r="AN216" s="1" t="s">
        <v>74</v>
      </c>
      <c r="AO216" s="1" t="s">
        <v>5</v>
      </c>
      <c r="AP216" s="1" t="s">
        <v>336</v>
      </c>
      <c r="AQ216" s="1">
        <v>2018</v>
      </c>
      <c r="AR216" s="1" t="s">
        <v>18</v>
      </c>
      <c r="AS216" s="1" t="s">
        <v>135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27" t="s">
        <v>136</v>
      </c>
    </row>
    <row r="217" spans="17:52" x14ac:dyDescent="0.25">
      <c r="Q217" s="262" t="str">
        <f t="shared" si="20"/>
        <v>Janie &amp; JackJJ 17 TRANS GIFTING LAY</v>
      </c>
      <c r="R217" s="35" t="str">
        <f t="shared" si="21"/>
        <v>2018Janie &amp; JackSummer</v>
      </c>
      <c r="S217" s="1">
        <v>2018</v>
      </c>
      <c r="T217" s="1" t="s">
        <v>38</v>
      </c>
      <c r="U217" s="1" t="s">
        <v>18</v>
      </c>
      <c r="V217" s="1" t="s">
        <v>239</v>
      </c>
      <c r="W217" s="27" t="s">
        <v>537</v>
      </c>
      <c r="AF217" s="35" t="str">
        <f t="shared" si="18"/>
        <v>GymboreeRetailUSA1</v>
      </c>
      <c r="AG217" s="1" t="s">
        <v>14</v>
      </c>
      <c r="AH217" s="1" t="s">
        <v>5</v>
      </c>
      <c r="AI217" s="1" t="s">
        <v>336</v>
      </c>
      <c r="AJ217" s="1">
        <v>1</v>
      </c>
      <c r="AK217" s="27">
        <v>0.3</v>
      </c>
      <c r="AM217" s="262" t="str">
        <f t="shared" si="19"/>
        <v>Crazy 8USARetailGY C8 18 HIGH SUMMER</v>
      </c>
      <c r="AN217" s="1" t="s">
        <v>74</v>
      </c>
      <c r="AO217" s="1" t="s">
        <v>5</v>
      </c>
      <c r="AP217" s="1" t="s">
        <v>336</v>
      </c>
      <c r="AQ217" s="1">
        <v>2018</v>
      </c>
      <c r="AR217" s="1" t="s">
        <v>18</v>
      </c>
      <c r="AS217" s="1" t="s">
        <v>139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27" t="s">
        <v>140</v>
      </c>
    </row>
    <row r="218" spans="17:52" x14ac:dyDescent="0.25">
      <c r="Q218" s="262" t="str">
        <f t="shared" si="20"/>
        <v>Janie &amp; JackJJ 18 APR SMR 1</v>
      </c>
      <c r="R218" s="35" t="str">
        <f t="shared" si="21"/>
        <v>2018Janie &amp; JackSummer</v>
      </c>
      <c r="S218" s="1">
        <v>2018</v>
      </c>
      <c r="T218" s="1" t="s">
        <v>38</v>
      </c>
      <c r="U218" s="1" t="s">
        <v>18</v>
      </c>
      <c r="V218" s="1" t="s">
        <v>224</v>
      </c>
      <c r="W218" s="27" t="s">
        <v>225</v>
      </c>
      <c r="AF218" s="35" t="str">
        <f t="shared" si="18"/>
        <v>GymboreeRetailUSA2</v>
      </c>
      <c r="AG218" s="1" t="s">
        <v>14</v>
      </c>
      <c r="AH218" s="1" t="s">
        <v>5</v>
      </c>
      <c r="AI218" s="1" t="s">
        <v>336</v>
      </c>
      <c r="AJ218" s="1">
        <v>2</v>
      </c>
      <c r="AK218" s="27">
        <v>0.3</v>
      </c>
      <c r="AM218" s="262" t="str">
        <f t="shared" si="19"/>
        <v>Crazy 8USARetailGY C8 18 SUMMER TRANS</v>
      </c>
      <c r="AN218" s="1" t="s">
        <v>74</v>
      </c>
      <c r="AO218" s="1" t="s">
        <v>5</v>
      </c>
      <c r="AP218" s="1" t="s">
        <v>336</v>
      </c>
      <c r="AQ218" s="1">
        <v>2018</v>
      </c>
      <c r="AR218" s="1" t="s">
        <v>18</v>
      </c>
      <c r="AS218" s="1" t="s">
        <v>141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27" t="s">
        <v>142</v>
      </c>
    </row>
    <row r="219" spans="17:52" x14ac:dyDescent="0.25">
      <c r="Q219" s="262" t="str">
        <f t="shared" si="20"/>
        <v>Janie &amp; JackJJ 18 JUN JJ SPORT</v>
      </c>
      <c r="R219" s="35" t="str">
        <f t="shared" si="21"/>
        <v>2018Janie &amp; JackSummer</v>
      </c>
      <c r="S219" s="1">
        <v>2018</v>
      </c>
      <c r="T219" s="1" t="s">
        <v>38</v>
      </c>
      <c r="U219" s="1" t="s">
        <v>18</v>
      </c>
      <c r="V219" s="1" t="s">
        <v>237</v>
      </c>
      <c r="W219" s="27"/>
      <c r="AF219" s="35" t="str">
        <f t="shared" si="18"/>
        <v>GymboreeRetailUSA3</v>
      </c>
      <c r="AG219" s="1" t="s">
        <v>14</v>
      </c>
      <c r="AH219" s="1" t="s">
        <v>5</v>
      </c>
      <c r="AI219" s="1" t="s">
        <v>336</v>
      </c>
      <c r="AJ219" s="1">
        <v>3</v>
      </c>
      <c r="AK219" s="27">
        <v>0.3</v>
      </c>
      <c r="AM219" s="262" t="str">
        <f t="shared" si="19"/>
        <v>Crazy 8USARetailGY C8 18 TRANS CAP</v>
      </c>
      <c r="AN219" s="1" t="s">
        <v>74</v>
      </c>
      <c r="AO219" s="1" t="s">
        <v>5</v>
      </c>
      <c r="AP219" s="1" t="s">
        <v>336</v>
      </c>
      <c r="AQ219" s="1">
        <v>2018</v>
      </c>
      <c r="AR219" s="1" t="s">
        <v>18</v>
      </c>
      <c r="AS219" s="1" t="s">
        <v>143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27" t="s">
        <v>144</v>
      </c>
    </row>
    <row r="220" spans="17:52" x14ac:dyDescent="0.25">
      <c r="Q220" s="262" t="str">
        <f t="shared" si="20"/>
        <v>Janie &amp; JackJJ 18 JUN TRANS 1</v>
      </c>
      <c r="R220" s="35" t="str">
        <f t="shared" si="21"/>
        <v>2018Janie &amp; JackSummer</v>
      </c>
      <c r="S220" s="1">
        <v>2018</v>
      </c>
      <c r="T220" s="1" t="s">
        <v>38</v>
      </c>
      <c r="U220" s="1" t="s">
        <v>18</v>
      </c>
      <c r="V220" s="1" t="s">
        <v>235</v>
      </c>
      <c r="W220" s="27" t="s">
        <v>236</v>
      </c>
      <c r="AF220" s="35" t="str">
        <f t="shared" si="18"/>
        <v>GymboreeRetailUSA4</v>
      </c>
      <c r="AG220" s="1" t="s">
        <v>14</v>
      </c>
      <c r="AH220" s="1" t="s">
        <v>5</v>
      </c>
      <c r="AI220" s="1" t="s">
        <v>336</v>
      </c>
      <c r="AJ220" s="1">
        <v>4</v>
      </c>
      <c r="AK220" s="27">
        <v>0.3</v>
      </c>
      <c r="AM220" s="262" t="str">
        <f t="shared" si="19"/>
        <v>Crazy 8USAWebGY C8 18 UNIFORM CAP</v>
      </c>
      <c r="AN220" s="1" t="s">
        <v>74</v>
      </c>
      <c r="AO220" s="1" t="s">
        <v>15</v>
      </c>
      <c r="AP220" s="1" t="s">
        <v>336</v>
      </c>
      <c r="AQ220" s="1">
        <v>2018</v>
      </c>
      <c r="AR220" s="1" t="s">
        <v>41</v>
      </c>
      <c r="AS220" s="1" t="s">
        <v>78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27" t="s">
        <v>423</v>
      </c>
    </row>
    <row r="221" spans="17:52" x14ac:dyDescent="0.25">
      <c r="Q221" s="262" t="str">
        <f t="shared" si="20"/>
        <v>Janie &amp; JackJJ 18 MAR SUMMER 0</v>
      </c>
      <c r="R221" s="35" t="str">
        <f t="shared" si="21"/>
        <v>2018Janie &amp; JackSummer</v>
      </c>
      <c r="S221" s="1">
        <v>2018</v>
      </c>
      <c r="T221" s="1" t="s">
        <v>38</v>
      </c>
      <c r="U221" s="1" t="s">
        <v>18</v>
      </c>
      <c r="V221" s="1" t="s">
        <v>222</v>
      </c>
      <c r="W221" s="27" t="s">
        <v>223</v>
      </c>
      <c r="AF221" s="35" t="str">
        <f t="shared" si="18"/>
        <v>GymboreeRetailUSA5</v>
      </c>
      <c r="AG221" s="1" t="s">
        <v>14</v>
      </c>
      <c r="AH221" s="1" t="s">
        <v>5</v>
      </c>
      <c r="AI221" s="1" t="s">
        <v>336</v>
      </c>
      <c r="AJ221" s="1">
        <v>5</v>
      </c>
      <c r="AK221" s="27">
        <v>0.35</v>
      </c>
      <c r="AM221" s="262" t="str">
        <f t="shared" si="19"/>
        <v>Crazy 8USAWebGY C8 18 FAL</v>
      </c>
      <c r="AN221" s="1" t="s">
        <v>74</v>
      </c>
      <c r="AO221" s="1" t="s">
        <v>15</v>
      </c>
      <c r="AP221" s="1" t="s">
        <v>336</v>
      </c>
      <c r="AQ221" s="1">
        <v>2018</v>
      </c>
      <c r="AR221" s="1" t="s">
        <v>39</v>
      </c>
      <c r="AS221" s="1" t="s">
        <v>81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27" t="s">
        <v>82</v>
      </c>
    </row>
    <row r="222" spans="17:52" x14ac:dyDescent="0.25">
      <c r="Q222" s="262" t="str">
        <f t="shared" si="20"/>
        <v>Janie &amp; JackJJ 18 MAY 4TH OF JULY</v>
      </c>
      <c r="R222" s="35" t="str">
        <f t="shared" si="21"/>
        <v>2018Janie &amp; JackSummer</v>
      </c>
      <c r="S222" s="1">
        <v>2018</v>
      </c>
      <c r="T222" s="1" t="s">
        <v>38</v>
      </c>
      <c r="U222" s="1" t="s">
        <v>18</v>
      </c>
      <c r="V222" s="1" t="s">
        <v>228</v>
      </c>
      <c r="W222" s="27" t="s">
        <v>229</v>
      </c>
      <c r="AF222" s="35" t="str">
        <f t="shared" si="18"/>
        <v>GymboreeRetailUSA6</v>
      </c>
      <c r="AG222" s="1" t="s">
        <v>14</v>
      </c>
      <c r="AH222" s="1" t="s">
        <v>5</v>
      </c>
      <c r="AI222" s="1" t="s">
        <v>336</v>
      </c>
      <c r="AJ222" s="1">
        <v>6</v>
      </c>
      <c r="AK222" s="27">
        <v>0.35</v>
      </c>
      <c r="AM222" s="262" t="str">
        <f t="shared" si="19"/>
        <v>Crazy 8USAWebGY C8 18 SB1</v>
      </c>
      <c r="AN222" s="1" t="s">
        <v>74</v>
      </c>
      <c r="AO222" s="1" t="s">
        <v>15</v>
      </c>
      <c r="AP222" s="1" t="s">
        <v>336</v>
      </c>
      <c r="AQ222" s="1">
        <v>2018</v>
      </c>
      <c r="AR222" s="1" t="s">
        <v>85</v>
      </c>
      <c r="AS222" s="1" t="s">
        <v>75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27" t="s">
        <v>76</v>
      </c>
    </row>
    <row r="223" spans="17:52" x14ac:dyDescent="0.25">
      <c r="Q223" s="262" t="str">
        <f t="shared" si="20"/>
        <v>Janie &amp; JackJJ 18 MAY LIBERTY COLLECTION</v>
      </c>
      <c r="R223" s="35" t="str">
        <f t="shared" si="21"/>
        <v>2018Janie &amp; JackSummer</v>
      </c>
      <c r="S223" s="1">
        <v>2018</v>
      </c>
      <c r="T223" s="1" t="s">
        <v>38</v>
      </c>
      <c r="U223" s="1" t="s">
        <v>18</v>
      </c>
      <c r="V223" s="1" t="s">
        <v>230</v>
      </c>
      <c r="W223" s="27"/>
      <c r="AF223" s="35" t="str">
        <f t="shared" si="18"/>
        <v>GymboreeRetailUSA7</v>
      </c>
      <c r="AG223" s="1" t="s">
        <v>14</v>
      </c>
      <c r="AH223" s="1" t="s">
        <v>5</v>
      </c>
      <c r="AI223" s="1" t="s">
        <v>336</v>
      </c>
      <c r="AJ223" s="1">
        <v>7</v>
      </c>
      <c r="AK223" s="27">
        <v>0.35</v>
      </c>
      <c r="AM223" s="262" t="str">
        <f t="shared" si="19"/>
        <v>Crazy 8USAWebGY C8 18 VDAY CAP</v>
      </c>
      <c r="AN223" s="1" t="s">
        <v>74</v>
      </c>
      <c r="AO223" s="1" t="s">
        <v>15</v>
      </c>
      <c r="AP223" s="1" t="s">
        <v>336</v>
      </c>
      <c r="AQ223" s="1">
        <v>2018</v>
      </c>
      <c r="AR223" s="1" t="s">
        <v>16</v>
      </c>
      <c r="AS223" s="1" t="s">
        <v>105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27" t="s">
        <v>106</v>
      </c>
    </row>
    <row r="224" spans="17:52" x14ac:dyDescent="0.25">
      <c r="Q224" s="262" t="str">
        <f t="shared" si="20"/>
        <v>Janie &amp; JackJJ 18 MAY SPORT</v>
      </c>
      <c r="R224" s="35" t="str">
        <f t="shared" si="21"/>
        <v>2018Janie &amp; JackSummer</v>
      </c>
      <c r="S224" s="1">
        <v>2018</v>
      </c>
      <c r="T224" s="1" t="s">
        <v>38</v>
      </c>
      <c r="U224" s="1" t="s">
        <v>18</v>
      </c>
      <c r="V224" s="1" t="s">
        <v>431</v>
      </c>
      <c r="W224" s="27"/>
      <c r="AF224" s="35" t="str">
        <f t="shared" si="18"/>
        <v>GymboreeRetailUSA8</v>
      </c>
      <c r="AG224" s="1" t="s">
        <v>14</v>
      </c>
      <c r="AH224" s="1" t="s">
        <v>5</v>
      </c>
      <c r="AI224" s="1" t="s">
        <v>336</v>
      </c>
      <c r="AJ224" s="1">
        <v>8</v>
      </c>
      <c r="AK224" s="27">
        <v>0.4</v>
      </c>
      <c r="AM224" s="262" t="str">
        <f t="shared" si="19"/>
        <v>Crazy 8USAWebGY C8 18 SPRING TRANS</v>
      </c>
      <c r="AN224" s="1" t="s">
        <v>74</v>
      </c>
      <c r="AO224" s="1" t="s">
        <v>15</v>
      </c>
      <c r="AP224" s="1" t="s">
        <v>336</v>
      </c>
      <c r="AQ224" s="1">
        <v>2018</v>
      </c>
      <c r="AR224" s="1" t="s">
        <v>16</v>
      </c>
      <c r="AS224" s="1" t="s">
        <v>107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27" t="s">
        <v>108</v>
      </c>
    </row>
    <row r="225" spans="17:52" x14ac:dyDescent="0.25">
      <c r="Q225" s="262" t="str">
        <f t="shared" si="20"/>
        <v>Janie &amp; JackJJ 18 MAY SUMMER 2</v>
      </c>
      <c r="R225" s="35" t="str">
        <f t="shared" si="21"/>
        <v>2018Janie &amp; JackSummer</v>
      </c>
      <c r="S225" s="1">
        <v>2018</v>
      </c>
      <c r="T225" s="1" t="s">
        <v>38</v>
      </c>
      <c r="U225" s="1" t="s">
        <v>18</v>
      </c>
      <c r="V225" s="1" t="s">
        <v>226</v>
      </c>
      <c r="W225" s="27" t="s">
        <v>227</v>
      </c>
      <c r="AF225" s="35" t="str">
        <f t="shared" si="18"/>
        <v>GymboreeRetailUSA9</v>
      </c>
      <c r="AG225" s="1" t="s">
        <v>14</v>
      </c>
      <c r="AH225" s="1" t="s">
        <v>5</v>
      </c>
      <c r="AI225" s="1" t="s">
        <v>336</v>
      </c>
      <c r="AJ225" s="1">
        <v>9</v>
      </c>
      <c r="AK225" s="27">
        <v>0.4</v>
      </c>
      <c r="AM225" s="262" t="str">
        <f t="shared" si="19"/>
        <v>Crazy 8USAWebGY C8 18 SPR</v>
      </c>
      <c r="AN225" s="1" t="s">
        <v>74</v>
      </c>
      <c r="AO225" s="1" t="s">
        <v>15</v>
      </c>
      <c r="AP225" s="1" t="s">
        <v>336</v>
      </c>
      <c r="AQ225" s="1">
        <v>2018</v>
      </c>
      <c r="AR225" s="1" t="s">
        <v>16</v>
      </c>
      <c r="AS225" s="1" t="s">
        <v>103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27" t="s">
        <v>104</v>
      </c>
    </row>
    <row r="226" spans="17:52" x14ac:dyDescent="0.25">
      <c r="Q226" s="262" t="str">
        <f t="shared" si="20"/>
        <v>Janie &amp; JackJJ 18 MAY SUMMER 3</v>
      </c>
      <c r="R226" s="35" t="str">
        <f t="shared" si="21"/>
        <v>2018Janie &amp; JackSummer</v>
      </c>
      <c r="S226" s="1">
        <v>2018</v>
      </c>
      <c r="T226" s="1" t="s">
        <v>38</v>
      </c>
      <c r="U226" s="1" t="s">
        <v>18</v>
      </c>
      <c r="V226" s="1" t="s">
        <v>231</v>
      </c>
      <c r="W226" s="27" t="s">
        <v>232</v>
      </c>
      <c r="AF226" s="35" t="str">
        <f t="shared" si="18"/>
        <v>GymboreeRetailUSA10</v>
      </c>
      <c r="AG226" s="1" t="s">
        <v>14</v>
      </c>
      <c r="AH226" s="1" t="s">
        <v>5</v>
      </c>
      <c r="AI226" s="1" t="s">
        <v>336</v>
      </c>
      <c r="AJ226" s="1">
        <v>10</v>
      </c>
      <c r="AK226" s="27">
        <v>0.4</v>
      </c>
      <c r="AM226" s="262" t="str">
        <f t="shared" si="19"/>
        <v>Crazy 8USAWebGY C8 18 SPRING</v>
      </c>
      <c r="AN226" s="1" t="s">
        <v>74</v>
      </c>
      <c r="AO226" s="1" t="s">
        <v>15</v>
      </c>
      <c r="AP226" s="1" t="s">
        <v>336</v>
      </c>
      <c r="AQ226" s="1">
        <v>2018</v>
      </c>
      <c r="AR226" s="1" t="s">
        <v>16</v>
      </c>
      <c r="AS226" s="1" t="s">
        <v>111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27" t="s">
        <v>112</v>
      </c>
    </row>
    <row r="227" spans="17:52" x14ac:dyDescent="0.25">
      <c r="Q227" s="262" t="str">
        <f t="shared" si="20"/>
        <v>Janie &amp; JackJJ 18 MAY SUMMER 4</v>
      </c>
      <c r="R227" s="35" t="str">
        <f t="shared" si="21"/>
        <v>2018Janie &amp; JackSummer</v>
      </c>
      <c r="S227" s="1">
        <v>2018</v>
      </c>
      <c r="T227" s="1" t="s">
        <v>38</v>
      </c>
      <c r="U227" s="1" t="s">
        <v>18</v>
      </c>
      <c r="V227" s="1" t="s">
        <v>233</v>
      </c>
      <c r="W227" s="27" t="s">
        <v>234</v>
      </c>
      <c r="AF227" s="35" t="str">
        <f t="shared" si="18"/>
        <v>GymboreeRetailUSA11</v>
      </c>
      <c r="AG227" s="1" t="s">
        <v>14</v>
      </c>
      <c r="AH227" s="1" t="s">
        <v>5</v>
      </c>
      <c r="AI227" s="1" t="s">
        <v>336</v>
      </c>
      <c r="AJ227" s="1">
        <v>11</v>
      </c>
      <c r="AK227" s="27">
        <v>0.45</v>
      </c>
      <c r="AM227" s="262" t="str">
        <f t="shared" si="19"/>
        <v>Crazy 8USAWebGY C8 18 SPR DOORBUSTER</v>
      </c>
      <c r="AN227" s="1" t="s">
        <v>74</v>
      </c>
      <c r="AO227" s="1" t="s">
        <v>15</v>
      </c>
      <c r="AP227" s="1" t="s">
        <v>336</v>
      </c>
      <c r="AQ227" s="1">
        <v>2018</v>
      </c>
      <c r="AR227" s="1" t="s">
        <v>16</v>
      </c>
      <c r="AS227" s="1" t="s">
        <v>109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27" t="s">
        <v>110</v>
      </c>
    </row>
    <row r="228" spans="17:52" x14ac:dyDescent="0.25">
      <c r="Q228" s="262" t="str">
        <f t="shared" si="20"/>
        <v>Janie &amp; JackJJ 18 MAY TRANS GIFT LAY</v>
      </c>
      <c r="R228" s="35" t="str">
        <f t="shared" si="21"/>
        <v>2018Janie &amp; JackSummer</v>
      </c>
      <c r="S228" s="1">
        <v>2018</v>
      </c>
      <c r="T228" s="1" t="s">
        <v>38</v>
      </c>
      <c r="U228" s="1" t="s">
        <v>18</v>
      </c>
      <c r="V228" s="1" t="s">
        <v>238</v>
      </c>
      <c r="W228" s="27" t="s">
        <v>239</v>
      </c>
      <c r="AF228" s="35" t="str">
        <f t="shared" si="18"/>
        <v>GymboreeRetailUSA12</v>
      </c>
      <c r="AG228" s="1" t="s">
        <v>14</v>
      </c>
      <c r="AH228" s="1" t="s">
        <v>5</v>
      </c>
      <c r="AI228" s="1" t="s">
        <v>336</v>
      </c>
      <c r="AJ228" s="1">
        <v>12</v>
      </c>
      <c r="AK228" s="27">
        <v>0.45</v>
      </c>
      <c r="AM228" s="262" t="str">
        <f t="shared" si="19"/>
        <v>Crazy 8USAWebGY C8 18 SWIM 1</v>
      </c>
      <c r="AN228" s="1" t="s">
        <v>74</v>
      </c>
      <c r="AO228" s="1" t="s">
        <v>15</v>
      </c>
      <c r="AP228" s="1" t="s">
        <v>336</v>
      </c>
      <c r="AQ228" s="1">
        <v>2018</v>
      </c>
      <c r="AR228" s="1" t="s">
        <v>16</v>
      </c>
      <c r="AS228" s="1" t="s">
        <v>113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27" t="s">
        <v>114</v>
      </c>
    </row>
    <row r="229" spans="17:52" x14ac:dyDescent="0.25">
      <c r="Q229" s="262" t="str">
        <f t="shared" si="20"/>
        <v>Janie &amp; JackJJ 17 DEC RESORT 1</v>
      </c>
      <c r="R229" s="35" t="str">
        <f t="shared" si="21"/>
        <v>2018Janie &amp; JackWinter</v>
      </c>
      <c r="S229" s="1">
        <v>2018</v>
      </c>
      <c r="T229" s="1" t="s">
        <v>38</v>
      </c>
      <c r="U229" s="1" t="s">
        <v>40</v>
      </c>
      <c r="V229" s="1" t="s">
        <v>241</v>
      </c>
      <c r="W229" s="27" t="s">
        <v>538</v>
      </c>
      <c r="AF229" s="35" t="str">
        <f t="shared" si="18"/>
        <v>GymboreeRetailUSA13</v>
      </c>
      <c r="AG229" s="1" t="s">
        <v>14</v>
      </c>
      <c r="AH229" s="1" t="s">
        <v>5</v>
      </c>
      <c r="AI229" s="1" t="s">
        <v>336</v>
      </c>
      <c r="AJ229" s="1">
        <v>13</v>
      </c>
      <c r="AK229" s="27">
        <v>0.45</v>
      </c>
      <c r="AM229" s="262" t="str">
        <f t="shared" si="19"/>
        <v>Crazy 8USAWebGY C8 18 EASTER CAP</v>
      </c>
      <c r="AN229" s="1" t="s">
        <v>74</v>
      </c>
      <c r="AO229" s="1" t="s">
        <v>15</v>
      </c>
      <c r="AP229" s="1" t="s">
        <v>336</v>
      </c>
      <c r="AQ229" s="1">
        <v>2018</v>
      </c>
      <c r="AR229" s="1" t="s">
        <v>16</v>
      </c>
      <c r="AS229" s="1" t="s">
        <v>115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27" t="s">
        <v>116</v>
      </c>
    </row>
    <row r="230" spans="17:52" x14ac:dyDescent="0.25">
      <c r="Q230" s="262" t="str">
        <f t="shared" si="20"/>
        <v>Janie &amp; JackJJ 17 NOV WTR 1</v>
      </c>
      <c r="R230" s="35" t="str">
        <f t="shared" si="21"/>
        <v>2018Janie &amp; JackWinter</v>
      </c>
      <c r="S230" s="1">
        <v>2018</v>
      </c>
      <c r="T230" s="1" t="s">
        <v>38</v>
      </c>
      <c r="U230" s="1" t="s">
        <v>40</v>
      </c>
      <c r="V230" s="1" t="s">
        <v>410</v>
      </c>
      <c r="W230" s="27" t="s">
        <v>539</v>
      </c>
      <c r="AF230" s="35" t="str">
        <f t="shared" si="18"/>
        <v>GymboreeRetailUSA14</v>
      </c>
      <c r="AG230" s="1" t="s">
        <v>14</v>
      </c>
      <c r="AH230" s="1" t="s">
        <v>5</v>
      </c>
      <c r="AI230" s="1" t="s">
        <v>336</v>
      </c>
      <c r="AJ230" s="1">
        <v>14</v>
      </c>
      <c r="AK230" s="27">
        <v>0.5</v>
      </c>
      <c r="AM230" s="262" t="str">
        <f t="shared" si="19"/>
        <v>Crazy 8USAWebGY C8 18 SPRING BREAK</v>
      </c>
      <c r="AN230" s="1" t="s">
        <v>74</v>
      </c>
      <c r="AO230" s="1" t="s">
        <v>15</v>
      </c>
      <c r="AP230" s="1" t="s">
        <v>336</v>
      </c>
      <c r="AQ230" s="1">
        <v>2018</v>
      </c>
      <c r="AR230" s="1" t="s">
        <v>16</v>
      </c>
      <c r="AS230" s="1" t="s">
        <v>117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27" t="s">
        <v>118</v>
      </c>
    </row>
    <row r="231" spans="17:52" x14ac:dyDescent="0.25">
      <c r="Q231" s="262" t="str">
        <f t="shared" si="20"/>
        <v>Janie &amp; JackJJ 17 NOV WTR 2</v>
      </c>
      <c r="R231" s="35" t="str">
        <f t="shared" si="21"/>
        <v>2018Janie &amp; JackWinter</v>
      </c>
      <c r="S231" s="1">
        <v>2018</v>
      </c>
      <c r="T231" s="1" t="s">
        <v>38</v>
      </c>
      <c r="U231" s="1" t="s">
        <v>40</v>
      </c>
      <c r="V231" s="1" t="s">
        <v>411</v>
      </c>
      <c r="W231" s="27" t="s">
        <v>540</v>
      </c>
      <c r="AF231" s="35" t="str">
        <f t="shared" si="18"/>
        <v>GymboreeRetailUSA15</v>
      </c>
      <c r="AG231" s="1" t="s">
        <v>14</v>
      </c>
      <c r="AH231" s="1" t="s">
        <v>5</v>
      </c>
      <c r="AI231" s="1" t="s">
        <v>336</v>
      </c>
      <c r="AJ231" s="1">
        <v>15</v>
      </c>
      <c r="AK231" s="27">
        <v>0.5</v>
      </c>
      <c r="AM231" s="262" t="str">
        <f t="shared" si="19"/>
        <v>Crazy 8USAWebGY C8 18 SWIM 2</v>
      </c>
      <c r="AN231" s="1" t="s">
        <v>74</v>
      </c>
      <c r="AO231" s="1" t="s">
        <v>15</v>
      </c>
      <c r="AP231" s="1" t="s">
        <v>336</v>
      </c>
      <c r="AQ231" s="1">
        <v>2018</v>
      </c>
      <c r="AR231" s="1" t="s">
        <v>16</v>
      </c>
      <c r="AS231" s="1" t="s">
        <v>119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27" t="s">
        <v>120</v>
      </c>
    </row>
    <row r="232" spans="17:52" x14ac:dyDescent="0.25">
      <c r="Q232" s="262" t="str">
        <f t="shared" si="20"/>
        <v>Janie &amp; JackJJ 17 OCT HOL GIFT</v>
      </c>
      <c r="R232" s="35" t="str">
        <f t="shared" si="21"/>
        <v>2018Janie &amp; JackWinter</v>
      </c>
      <c r="S232" s="1">
        <v>2018</v>
      </c>
      <c r="T232" s="1" t="s">
        <v>38</v>
      </c>
      <c r="U232" s="1" t="s">
        <v>40</v>
      </c>
      <c r="V232" s="1" t="s">
        <v>408</v>
      </c>
      <c r="W232" s="27" t="s">
        <v>541</v>
      </c>
      <c r="AF232" s="35" t="str">
        <f t="shared" si="18"/>
        <v>GymboreeRetailUSA16</v>
      </c>
      <c r="AG232" s="1" t="s">
        <v>14</v>
      </c>
      <c r="AH232" s="1" t="s">
        <v>5</v>
      </c>
      <c r="AI232" s="1" t="s">
        <v>336</v>
      </c>
      <c r="AJ232" s="1">
        <v>16</v>
      </c>
      <c r="AK232" s="27">
        <v>0.5</v>
      </c>
      <c r="AM232" s="262" t="str">
        <f t="shared" si="19"/>
        <v>Crazy 8USAWebGY C8 18 EASTER REFRESH</v>
      </c>
      <c r="AN232" s="1" t="s">
        <v>74</v>
      </c>
      <c r="AO232" s="1" t="s">
        <v>15</v>
      </c>
      <c r="AP232" s="1" t="s">
        <v>336</v>
      </c>
      <c r="AQ232" s="1">
        <v>2018</v>
      </c>
      <c r="AR232" s="1" t="s">
        <v>16</v>
      </c>
      <c r="AS232" s="1" t="s">
        <v>121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27"/>
    </row>
    <row r="233" spans="17:52" x14ac:dyDescent="0.25">
      <c r="Q233" s="262" t="str">
        <f t="shared" si="20"/>
        <v>Janie &amp; JackJJ 17 OCT HOL GIFT LAY</v>
      </c>
      <c r="R233" s="35" t="str">
        <f t="shared" si="21"/>
        <v>2018Janie &amp; JackWinter</v>
      </c>
      <c r="S233" s="1">
        <v>2018</v>
      </c>
      <c r="T233" s="1" t="s">
        <v>38</v>
      </c>
      <c r="U233" s="1" t="s">
        <v>40</v>
      </c>
      <c r="V233" s="1" t="s">
        <v>409</v>
      </c>
      <c r="W233" s="27" t="s">
        <v>542</v>
      </c>
      <c r="AF233" s="35" t="str">
        <f t="shared" si="18"/>
        <v>GymboreeRetailUSA17</v>
      </c>
      <c r="AG233" s="1" t="s">
        <v>14</v>
      </c>
      <c r="AH233" s="1" t="s">
        <v>5</v>
      </c>
      <c r="AI233" s="1" t="s">
        <v>336</v>
      </c>
      <c r="AJ233" s="1">
        <v>17</v>
      </c>
      <c r="AK233" s="27">
        <v>0.55000000000000004</v>
      </c>
      <c r="AM233" s="262" t="str">
        <f t="shared" si="19"/>
        <v>Crazy 8USAWebGY C8 18 SWIM 3</v>
      </c>
      <c r="AN233" s="1" t="s">
        <v>74</v>
      </c>
      <c r="AO233" s="1" t="s">
        <v>15</v>
      </c>
      <c r="AP233" s="1" t="s">
        <v>336</v>
      </c>
      <c r="AQ233" s="1">
        <v>2018</v>
      </c>
      <c r="AR233" s="1" t="s">
        <v>16</v>
      </c>
      <c r="AS233" s="1" t="s">
        <v>125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27" t="s">
        <v>126</v>
      </c>
    </row>
    <row r="234" spans="17:52" x14ac:dyDescent="0.25">
      <c r="Q234" s="262" t="str">
        <f t="shared" si="20"/>
        <v>Janie &amp; JackJJ 17 OCT HOLIDAY 2</v>
      </c>
      <c r="R234" s="35" t="str">
        <f t="shared" si="21"/>
        <v>2018Janie &amp; JackWinter</v>
      </c>
      <c r="S234" s="1">
        <v>2018</v>
      </c>
      <c r="T234" s="1" t="s">
        <v>38</v>
      </c>
      <c r="U234" s="1" t="s">
        <v>40</v>
      </c>
      <c r="V234" s="1" t="s">
        <v>407</v>
      </c>
      <c r="W234" s="27" t="s">
        <v>543</v>
      </c>
      <c r="AF234" s="35" t="str">
        <f t="shared" si="18"/>
        <v>GymboreeRetailUSA18</v>
      </c>
      <c r="AG234" s="1" t="s">
        <v>14</v>
      </c>
      <c r="AH234" s="1" t="s">
        <v>5</v>
      </c>
      <c r="AI234" s="1" t="s">
        <v>336</v>
      </c>
      <c r="AJ234" s="1">
        <v>18</v>
      </c>
      <c r="AK234" s="27">
        <v>0.55000000000000004</v>
      </c>
      <c r="AM234" s="262" t="str">
        <f t="shared" si="19"/>
        <v>Crazy 8USAWebGY C8 18 PRE SUMMER</v>
      </c>
      <c r="AN234" s="1" t="s">
        <v>74</v>
      </c>
      <c r="AO234" s="1" t="s">
        <v>15</v>
      </c>
      <c r="AP234" s="1" t="s">
        <v>336</v>
      </c>
      <c r="AQ234" s="1">
        <v>2018</v>
      </c>
      <c r="AR234" s="1" t="s">
        <v>16</v>
      </c>
      <c r="AS234" s="1" t="s">
        <v>123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27" t="s">
        <v>124</v>
      </c>
    </row>
    <row r="235" spans="17:52" x14ac:dyDescent="0.25">
      <c r="Q235" s="262" t="str">
        <f t="shared" si="20"/>
        <v>Janie &amp; JackJJ 17 SEPT HOLIDAY 1</v>
      </c>
      <c r="R235" s="35" t="str">
        <f t="shared" si="21"/>
        <v>2018Janie &amp; JackWinter</v>
      </c>
      <c r="S235" s="1">
        <v>2018</v>
      </c>
      <c r="T235" s="1" t="s">
        <v>38</v>
      </c>
      <c r="U235" s="1" t="s">
        <v>40</v>
      </c>
      <c r="V235" s="1" t="s">
        <v>406</v>
      </c>
      <c r="W235" s="27" t="s">
        <v>544</v>
      </c>
      <c r="AF235" s="35" t="str">
        <f t="shared" si="18"/>
        <v>GymboreeRetailUSA19</v>
      </c>
      <c r="AG235" s="1" t="s">
        <v>14</v>
      </c>
      <c r="AH235" s="1" t="s">
        <v>5</v>
      </c>
      <c r="AI235" s="1" t="s">
        <v>336</v>
      </c>
      <c r="AJ235" s="1">
        <v>19</v>
      </c>
      <c r="AK235" s="27">
        <v>0.55000000000000004</v>
      </c>
      <c r="AM235" s="262" t="str">
        <f t="shared" si="19"/>
        <v>Crazy 8USAWebGY C8 18 MARKET SPRING</v>
      </c>
      <c r="AN235" s="1" t="s">
        <v>74</v>
      </c>
      <c r="AO235" s="1" t="s">
        <v>15</v>
      </c>
      <c r="AP235" s="1" t="s">
        <v>336</v>
      </c>
      <c r="AQ235" s="1">
        <v>2018</v>
      </c>
      <c r="AR235" s="1" t="s">
        <v>16</v>
      </c>
      <c r="AS235" s="1" t="s">
        <v>600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27"/>
    </row>
    <row r="236" spans="17:52" x14ac:dyDescent="0.25">
      <c r="Q236" s="262" t="str">
        <f t="shared" si="20"/>
        <v>Janie &amp; JackJJ 17 SEPT HOLIDAY 1 WOMENS</v>
      </c>
      <c r="R236" s="35" t="str">
        <f t="shared" si="21"/>
        <v>2018Janie &amp; JackWinter</v>
      </c>
      <c r="S236" s="1">
        <v>2018</v>
      </c>
      <c r="T236" s="1" t="s">
        <v>38</v>
      </c>
      <c r="U236" s="1" t="s">
        <v>40</v>
      </c>
      <c r="V236" s="1" t="s">
        <v>412</v>
      </c>
      <c r="W236" s="27"/>
      <c r="AF236" s="35" t="str">
        <f t="shared" si="18"/>
        <v>GymboreeRetailUSA20</v>
      </c>
      <c r="AG236" s="1" t="s">
        <v>14</v>
      </c>
      <c r="AH236" s="1" t="s">
        <v>5</v>
      </c>
      <c r="AI236" s="1" t="s">
        <v>336</v>
      </c>
      <c r="AJ236" s="1">
        <v>20</v>
      </c>
      <c r="AK236" s="27">
        <v>0.6</v>
      </c>
      <c r="AM236" s="262" t="str">
        <f t="shared" si="19"/>
        <v>Crazy 8USAWebGY C8 18 SMR</v>
      </c>
      <c r="AN236" s="1" t="s">
        <v>74</v>
      </c>
      <c r="AO236" s="1" t="s">
        <v>15</v>
      </c>
      <c r="AP236" s="1" t="s">
        <v>336</v>
      </c>
      <c r="AQ236" s="1">
        <v>2018</v>
      </c>
      <c r="AR236" s="1" t="s">
        <v>18</v>
      </c>
      <c r="AS236" s="1" t="s">
        <v>129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27" t="s">
        <v>130</v>
      </c>
    </row>
    <row r="237" spans="17:52" x14ac:dyDescent="0.25">
      <c r="Q237" s="262" t="str">
        <f t="shared" si="20"/>
        <v>Janie &amp; JackJJ 18 DEC RESORT 1</v>
      </c>
      <c r="R237" s="35" t="str">
        <f t="shared" si="21"/>
        <v>2018Janie &amp; JackWinter</v>
      </c>
      <c r="S237" s="1">
        <v>2018</v>
      </c>
      <c r="T237" s="1" t="s">
        <v>38</v>
      </c>
      <c r="U237" s="1" t="s">
        <v>40</v>
      </c>
      <c r="V237" s="1" t="s">
        <v>240</v>
      </c>
      <c r="W237" s="27" t="s">
        <v>241</v>
      </c>
      <c r="AF237" s="35" t="str">
        <f t="shared" si="18"/>
        <v>GymboreeRetailUSA21</v>
      </c>
      <c r="AG237" s="1" t="s">
        <v>14</v>
      </c>
      <c r="AH237" s="1" t="s">
        <v>5</v>
      </c>
      <c r="AI237" s="1" t="s">
        <v>336</v>
      </c>
      <c r="AJ237" s="1">
        <v>21</v>
      </c>
      <c r="AK237" s="27">
        <v>0.6</v>
      </c>
      <c r="AM237" s="262" t="str">
        <f t="shared" si="19"/>
        <v>Crazy 8USAWebGY C8 18 SUMMER CAP</v>
      </c>
      <c r="AN237" s="1" t="s">
        <v>74</v>
      </c>
      <c r="AO237" s="1" t="s">
        <v>15</v>
      </c>
      <c r="AP237" s="1" t="s">
        <v>336</v>
      </c>
      <c r="AQ237" s="1">
        <v>2018</v>
      </c>
      <c r="AR237" s="1" t="s">
        <v>18</v>
      </c>
      <c r="AS237" s="1" t="s">
        <v>127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27" t="s">
        <v>128</v>
      </c>
    </row>
    <row r="238" spans="17:52" x14ac:dyDescent="0.25">
      <c r="Q238" s="262" t="str">
        <f t="shared" si="20"/>
        <v>OutletGY OUTLET YRLY BSCS</v>
      </c>
      <c r="R238" s="35" t="str">
        <f t="shared" si="21"/>
        <v>2018OutletBasics</v>
      </c>
      <c r="S238" s="1">
        <v>2018</v>
      </c>
      <c r="T238" s="1" t="s">
        <v>17</v>
      </c>
      <c r="U238" s="1" t="s">
        <v>41</v>
      </c>
      <c r="V238" s="1" t="s">
        <v>331</v>
      </c>
      <c r="W238" s="27" t="s">
        <v>331</v>
      </c>
      <c r="AF238" s="35" t="str">
        <f t="shared" si="18"/>
        <v>GymboreeRetailUSA22</v>
      </c>
      <c r="AG238" s="1" t="s">
        <v>14</v>
      </c>
      <c r="AH238" s="1" t="s">
        <v>5</v>
      </c>
      <c r="AI238" s="1" t="s">
        <v>336</v>
      </c>
      <c r="AJ238" s="1">
        <v>22</v>
      </c>
      <c r="AK238" s="27">
        <v>0.6</v>
      </c>
      <c r="AM238" s="262" t="str">
        <f t="shared" si="19"/>
        <v>Crazy 8USAWebGY C8 18 SUMMER</v>
      </c>
      <c r="AN238" s="1" t="s">
        <v>74</v>
      </c>
      <c r="AO238" s="1" t="s">
        <v>15</v>
      </c>
      <c r="AP238" s="1" t="s">
        <v>336</v>
      </c>
      <c r="AQ238" s="1">
        <v>2018</v>
      </c>
      <c r="AR238" s="1" t="s">
        <v>18</v>
      </c>
      <c r="AS238" s="1" t="s">
        <v>131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27" t="s">
        <v>132</v>
      </c>
    </row>
    <row r="239" spans="17:52" x14ac:dyDescent="0.25">
      <c r="Q239" s="262" t="str">
        <f t="shared" si="20"/>
        <v>OutletGY 17 OUTLET BNB FALL</v>
      </c>
      <c r="R239" s="35" t="str">
        <f t="shared" si="21"/>
        <v>2018OutletFall</v>
      </c>
      <c r="S239" s="1">
        <v>2018</v>
      </c>
      <c r="T239" s="1" t="s">
        <v>17</v>
      </c>
      <c r="U239" s="1" t="s">
        <v>39</v>
      </c>
      <c r="V239" s="1" t="s">
        <v>249</v>
      </c>
      <c r="W239" s="27" t="s">
        <v>545</v>
      </c>
      <c r="AF239" s="35" t="str">
        <f t="shared" si="18"/>
        <v>GymboreeRetailUSA23</v>
      </c>
      <c r="AG239" s="1" t="s">
        <v>14</v>
      </c>
      <c r="AH239" s="1" t="s">
        <v>5</v>
      </c>
      <c r="AI239" s="1" t="s">
        <v>336</v>
      </c>
      <c r="AJ239" s="1">
        <v>23</v>
      </c>
      <c r="AK239" s="27">
        <v>0.65</v>
      </c>
      <c r="AM239" s="262" t="str">
        <f t="shared" si="19"/>
        <v>Crazy 8USAWebGY C8 18 SMR DOORBUSTER</v>
      </c>
      <c r="AN239" s="1" t="s">
        <v>74</v>
      </c>
      <c r="AO239" s="1" t="s">
        <v>15</v>
      </c>
      <c r="AP239" s="1" t="s">
        <v>336</v>
      </c>
      <c r="AQ239" s="1">
        <v>2018</v>
      </c>
      <c r="AR239" s="1" t="s">
        <v>18</v>
      </c>
      <c r="AS239" s="1" t="s">
        <v>137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27" t="s">
        <v>138</v>
      </c>
    </row>
    <row r="240" spans="17:52" x14ac:dyDescent="0.25">
      <c r="Q240" s="262" t="str">
        <f t="shared" si="20"/>
        <v>OutletGY 17 OUTLET BTS 1</v>
      </c>
      <c r="R240" s="35" t="str">
        <f t="shared" si="21"/>
        <v>2018OutletFall</v>
      </c>
      <c r="S240" s="1">
        <v>2018</v>
      </c>
      <c r="T240" s="1" t="s">
        <v>17</v>
      </c>
      <c r="U240" s="1" t="s">
        <v>39</v>
      </c>
      <c r="V240" s="1" t="s">
        <v>245</v>
      </c>
      <c r="W240" s="27" t="s">
        <v>546</v>
      </c>
      <c r="AF240" s="35" t="str">
        <f t="shared" si="18"/>
        <v>GymboreeRetailUSA24</v>
      </c>
      <c r="AG240" s="1" t="s">
        <v>14</v>
      </c>
      <c r="AH240" s="1" t="s">
        <v>5</v>
      </c>
      <c r="AI240" s="1" t="s">
        <v>336</v>
      </c>
      <c r="AJ240" s="1">
        <v>24</v>
      </c>
      <c r="AK240" s="27">
        <v>0.65</v>
      </c>
      <c r="AM240" s="262" t="str">
        <f t="shared" si="19"/>
        <v>Crazy 8USAWebGY C8 18 SWIM 4</v>
      </c>
      <c r="AN240" s="1" t="s">
        <v>74</v>
      </c>
      <c r="AO240" s="1" t="s">
        <v>15</v>
      </c>
      <c r="AP240" s="1" t="s">
        <v>336</v>
      </c>
      <c r="AQ240" s="1">
        <v>2018</v>
      </c>
      <c r="AR240" s="1" t="s">
        <v>18</v>
      </c>
      <c r="AS240" s="1" t="s">
        <v>133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27" t="s">
        <v>134</v>
      </c>
    </row>
    <row r="241" spans="17:52" x14ac:dyDescent="0.25">
      <c r="Q241" s="262" t="str">
        <f t="shared" si="20"/>
        <v>OutletGY 17 OUTLET BTS 2</v>
      </c>
      <c r="R241" s="35" t="str">
        <f t="shared" si="21"/>
        <v>2018OutletFall</v>
      </c>
      <c r="S241" s="1">
        <v>2018</v>
      </c>
      <c r="T241" s="1" t="s">
        <v>17</v>
      </c>
      <c r="U241" s="1" t="s">
        <v>39</v>
      </c>
      <c r="V241" s="1" t="s">
        <v>247</v>
      </c>
      <c r="W241" s="27" t="s">
        <v>547</v>
      </c>
      <c r="AF241" s="35" t="str">
        <f t="shared" si="18"/>
        <v>GymboreeRetailUSA25</v>
      </c>
      <c r="AG241" s="1" t="s">
        <v>14</v>
      </c>
      <c r="AH241" s="1" t="s">
        <v>5</v>
      </c>
      <c r="AI241" s="1" t="s">
        <v>336</v>
      </c>
      <c r="AJ241" s="1">
        <v>25</v>
      </c>
      <c r="AK241" s="27">
        <v>0.65</v>
      </c>
      <c r="AM241" s="262" t="str">
        <f t="shared" si="19"/>
        <v>Crazy 8USAWebGY C8 18 JULY 4TH CAP</v>
      </c>
      <c r="AN241" s="1" t="s">
        <v>74</v>
      </c>
      <c r="AO241" s="1" t="s">
        <v>15</v>
      </c>
      <c r="AP241" s="1" t="s">
        <v>336</v>
      </c>
      <c r="AQ241" s="1">
        <v>2018</v>
      </c>
      <c r="AR241" s="1" t="s">
        <v>18</v>
      </c>
      <c r="AS241" s="1" t="s">
        <v>135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27" t="s">
        <v>136</v>
      </c>
    </row>
    <row r="242" spans="17:52" x14ac:dyDescent="0.25">
      <c r="Q242" s="262" t="str">
        <f t="shared" si="20"/>
        <v>OutletGY 17 OUTLET FAL</v>
      </c>
      <c r="R242" s="35" t="str">
        <f t="shared" si="21"/>
        <v>2018OutletFall</v>
      </c>
      <c r="S242" s="1">
        <v>2018</v>
      </c>
      <c r="T242" s="1" t="s">
        <v>17</v>
      </c>
      <c r="U242" s="1" t="s">
        <v>39</v>
      </c>
      <c r="V242" s="1" t="s">
        <v>243</v>
      </c>
      <c r="W242" s="27" t="s">
        <v>548</v>
      </c>
      <c r="AF242" s="35" t="str">
        <f t="shared" si="18"/>
        <v>GymboreeRetailUSA26</v>
      </c>
      <c r="AG242" s="1" t="s">
        <v>14</v>
      </c>
      <c r="AH242" s="1" t="s">
        <v>5</v>
      </c>
      <c r="AI242" s="1" t="s">
        <v>336</v>
      </c>
      <c r="AJ242" s="1">
        <v>26</v>
      </c>
      <c r="AK242" s="27">
        <v>0.7</v>
      </c>
      <c r="AM242" s="262" t="str">
        <f t="shared" si="19"/>
        <v>Crazy 8USAWebGY C8 18 HIGH SUMMER</v>
      </c>
      <c r="AN242" s="1" t="s">
        <v>74</v>
      </c>
      <c r="AO242" s="1" t="s">
        <v>15</v>
      </c>
      <c r="AP242" s="1" t="s">
        <v>336</v>
      </c>
      <c r="AQ242" s="1">
        <v>2018</v>
      </c>
      <c r="AR242" s="1" t="s">
        <v>18</v>
      </c>
      <c r="AS242" s="1" t="s">
        <v>139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27" t="s">
        <v>140</v>
      </c>
    </row>
    <row r="243" spans="17:52" x14ac:dyDescent="0.25">
      <c r="Q243" s="262" t="str">
        <f t="shared" si="20"/>
        <v>OutletGY 17 OUTLET FALL 1</v>
      </c>
      <c r="R243" s="35" t="str">
        <f t="shared" si="21"/>
        <v>2018OutletFall</v>
      </c>
      <c r="S243" s="1">
        <v>2018</v>
      </c>
      <c r="T243" s="1" t="s">
        <v>17</v>
      </c>
      <c r="U243" s="1" t="s">
        <v>39</v>
      </c>
      <c r="V243" s="1" t="s">
        <v>251</v>
      </c>
      <c r="W243" s="27" t="s">
        <v>549</v>
      </c>
      <c r="AF243" s="35" t="str">
        <f t="shared" si="18"/>
        <v>GymboreeRetailUSA27</v>
      </c>
      <c r="AG243" s="1" t="s">
        <v>14</v>
      </c>
      <c r="AH243" s="1" t="s">
        <v>5</v>
      </c>
      <c r="AI243" s="1" t="s">
        <v>336</v>
      </c>
      <c r="AJ243" s="1">
        <v>27</v>
      </c>
      <c r="AK243" s="27">
        <v>0.7</v>
      </c>
      <c r="AM243" s="262" t="str">
        <f t="shared" si="19"/>
        <v>Crazy 8USAWebGY C8 18 SUMMER TRANS</v>
      </c>
      <c r="AN243" s="1" t="s">
        <v>74</v>
      </c>
      <c r="AO243" s="1" t="s">
        <v>15</v>
      </c>
      <c r="AP243" s="1" t="s">
        <v>336</v>
      </c>
      <c r="AQ243" s="1">
        <v>2018</v>
      </c>
      <c r="AR243" s="1" t="s">
        <v>18</v>
      </c>
      <c r="AS243" s="1" t="s">
        <v>141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27" t="s">
        <v>142</v>
      </c>
    </row>
    <row r="244" spans="17:52" x14ac:dyDescent="0.25">
      <c r="Q244" s="262" t="str">
        <f t="shared" si="20"/>
        <v>OutletGY 17 OUTLET FALL 2</v>
      </c>
      <c r="R244" s="35" t="str">
        <f t="shared" si="21"/>
        <v>2018OutletFall</v>
      </c>
      <c r="S244" s="1">
        <v>2018</v>
      </c>
      <c r="T244" s="1" t="s">
        <v>17</v>
      </c>
      <c r="U244" s="1" t="s">
        <v>39</v>
      </c>
      <c r="V244" s="1" t="s">
        <v>254</v>
      </c>
      <c r="W244" s="27" t="s">
        <v>550</v>
      </c>
      <c r="AF244" s="35" t="str">
        <f t="shared" si="18"/>
        <v>GymboreeRetailUSA28</v>
      </c>
      <c r="AG244" s="1" t="s">
        <v>14</v>
      </c>
      <c r="AH244" s="1" t="s">
        <v>5</v>
      </c>
      <c r="AI244" s="1" t="s">
        <v>336</v>
      </c>
      <c r="AJ244" s="1">
        <v>28</v>
      </c>
      <c r="AK244" s="27">
        <v>0.7</v>
      </c>
      <c r="AM244" s="263" t="str">
        <f t="shared" si="19"/>
        <v>Crazy 8USAWebGY C8 18 TRANS CAP</v>
      </c>
      <c r="AN244" s="37" t="s">
        <v>74</v>
      </c>
      <c r="AO244" s="37" t="s">
        <v>15</v>
      </c>
      <c r="AP244" s="37" t="s">
        <v>336</v>
      </c>
      <c r="AQ244" s="1">
        <v>2018</v>
      </c>
      <c r="AR244" s="37" t="s">
        <v>18</v>
      </c>
      <c r="AS244" s="37" t="s">
        <v>143</v>
      </c>
      <c r="AT244" s="37">
        <v>20.260000000000002</v>
      </c>
      <c r="AU244" s="37">
        <v>4.16</v>
      </c>
      <c r="AV244" s="37">
        <v>14855</v>
      </c>
      <c r="AW244" s="37">
        <v>0.6</v>
      </c>
      <c r="AX244" s="37">
        <v>201819</v>
      </c>
      <c r="AY244" s="37">
        <v>4</v>
      </c>
      <c r="AZ244" s="34" t="s">
        <v>144</v>
      </c>
    </row>
    <row r="245" spans="17:52" x14ac:dyDescent="0.25">
      <c r="Q245" s="262" t="str">
        <f t="shared" si="20"/>
        <v>OutletGY 17 OUTLET FALL ACTIVE</v>
      </c>
      <c r="R245" s="35" t="str">
        <f t="shared" si="21"/>
        <v>2018OutletFall</v>
      </c>
      <c r="S245" s="1">
        <v>2018</v>
      </c>
      <c r="T245" s="1" t="s">
        <v>17</v>
      </c>
      <c r="U245" s="1" t="s">
        <v>39</v>
      </c>
      <c r="V245" s="1" t="s">
        <v>384</v>
      </c>
      <c r="W245" s="27"/>
      <c r="AF245" s="35" t="str">
        <f t="shared" si="18"/>
        <v>GymboreeRetailUSA29</v>
      </c>
      <c r="AG245" s="1" t="s">
        <v>14</v>
      </c>
      <c r="AH245" s="1" t="s">
        <v>5</v>
      </c>
      <c r="AI245" s="1" t="s">
        <v>336</v>
      </c>
      <c r="AJ245" s="1">
        <v>29</v>
      </c>
      <c r="AK245" s="27">
        <v>0.75</v>
      </c>
      <c r="AM245" s="262" t="str">
        <f t="shared" si="19"/>
        <v>OutletUSAOutletGY 17 OUTLET SB1</v>
      </c>
      <c r="AN245" s="272" t="s">
        <v>17</v>
      </c>
      <c r="AO245" s="272" t="s">
        <v>17</v>
      </c>
      <c r="AP245" s="272" t="s">
        <v>336</v>
      </c>
      <c r="AQ245" s="1">
        <v>2017</v>
      </c>
      <c r="AR245" s="272" t="s">
        <v>85</v>
      </c>
      <c r="AS245" s="298" t="s">
        <v>258</v>
      </c>
      <c r="AT245" s="272">
        <v>16.510000000000002</v>
      </c>
      <c r="AU245" s="272">
        <v>3.13</v>
      </c>
      <c r="AV245" s="272">
        <v>641592</v>
      </c>
      <c r="AW245" s="272">
        <v>0.66</v>
      </c>
      <c r="AX245" s="272">
        <v>201751</v>
      </c>
      <c r="AY245" s="272">
        <v>20</v>
      </c>
      <c r="AZ245" s="27"/>
    </row>
    <row r="246" spans="17:52" x14ac:dyDescent="0.25">
      <c r="Q246" s="262" t="str">
        <f t="shared" si="20"/>
        <v>OutletGY 17 OUTLET GYM ACC FAL</v>
      </c>
      <c r="R246" s="35" t="str">
        <f t="shared" si="21"/>
        <v>2018OutletFall</v>
      </c>
      <c r="S246" s="1">
        <v>2018</v>
      </c>
      <c r="T246" s="1" t="s">
        <v>17</v>
      </c>
      <c r="U246" s="1" t="s">
        <v>39</v>
      </c>
      <c r="V246" s="1" t="s">
        <v>385</v>
      </c>
      <c r="W246" s="27"/>
      <c r="AF246" s="35" t="str">
        <f t="shared" si="18"/>
        <v>GymboreeRetailUSA30</v>
      </c>
      <c r="AG246" s="1" t="s">
        <v>14</v>
      </c>
      <c r="AH246" s="1" t="s">
        <v>5</v>
      </c>
      <c r="AI246" s="1" t="s">
        <v>336</v>
      </c>
      <c r="AJ246" s="1">
        <v>30</v>
      </c>
      <c r="AK246" s="27">
        <v>0.75</v>
      </c>
      <c r="AM246" s="262" t="str">
        <f t="shared" si="19"/>
        <v>OutletUSAOutletGY 17 OUTLET SB2</v>
      </c>
      <c r="AN246" s="1" t="s">
        <v>17</v>
      </c>
      <c r="AO246" s="1" t="s">
        <v>17</v>
      </c>
      <c r="AP246" s="1" t="s">
        <v>336</v>
      </c>
      <c r="AQ246" s="1">
        <v>2017</v>
      </c>
      <c r="AR246" s="1" t="s">
        <v>85</v>
      </c>
      <c r="AS246" s="299" t="s">
        <v>260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27"/>
    </row>
    <row r="247" spans="17:52" x14ac:dyDescent="0.25">
      <c r="Q247" s="262" t="str">
        <f t="shared" si="20"/>
        <v>OutletGY 17 OUTLET HOLIDAY DRESSY</v>
      </c>
      <c r="R247" s="35" t="str">
        <f t="shared" si="21"/>
        <v>2018OutletFall</v>
      </c>
      <c r="S247" s="1">
        <v>2018</v>
      </c>
      <c r="T247" s="1" t="s">
        <v>17</v>
      </c>
      <c r="U247" s="1" t="s">
        <v>39</v>
      </c>
      <c r="V247" s="1" t="s">
        <v>256</v>
      </c>
      <c r="W247" s="27" t="s">
        <v>551</v>
      </c>
      <c r="AF247" s="35" t="str">
        <f t="shared" si="18"/>
        <v>GymboreeRetailUSA31</v>
      </c>
      <c r="AG247" s="1" t="s">
        <v>14</v>
      </c>
      <c r="AH247" s="1" t="s">
        <v>5</v>
      </c>
      <c r="AI247" s="1" t="s">
        <v>336</v>
      </c>
      <c r="AJ247" s="1">
        <v>31</v>
      </c>
      <c r="AK247" s="27">
        <v>0.75</v>
      </c>
      <c r="AM247" s="262" t="str">
        <f t="shared" si="19"/>
        <v>OutletUSAOutlet(new)</v>
      </c>
      <c r="AN247" s="1" t="s">
        <v>17</v>
      </c>
      <c r="AO247" s="1" t="s">
        <v>17</v>
      </c>
      <c r="AP247" s="1" t="s">
        <v>336</v>
      </c>
      <c r="AQ247" s="1">
        <v>2017</v>
      </c>
      <c r="AR247" s="1" t="s">
        <v>320</v>
      </c>
      <c r="AS247" s="299" t="s">
        <v>591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27"/>
    </row>
    <row r="248" spans="17:52" x14ac:dyDescent="0.25">
      <c r="Q248" s="262" t="str">
        <f t="shared" si="20"/>
        <v>OutletGY 18 OUTLET BNB FAL</v>
      </c>
      <c r="R248" s="35" t="str">
        <f t="shared" si="21"/>
        <v>2018OutletFall</v>
      </c>
      <c r="S248" s="1">
        <v>2018</v>
      </c>
      <c r="T248" s="1" t="s">
        <v>17</v>
      </c>
      <c r="U248" s="1" t="s">
        <v>39</v>
      </c>
      <c r="V248" s="1" t="s">
        <v>248</v>
      </c>
      <c r="W248" s="27" t="s">
        <v>249</v>
      </c>
      <c r="AF248" s="35" t="str">
        <f t="shared" si="18"/>
        <v>GymboreeRetailUSA32</v>
      </c>
      <c r="AG248" s="1" t="s">
        <v>14</v>
      </c>
      <c r="AH248" s="1" t="s">
        <v>5</v>
      </c>
      <c r="AI248" s="1" t="s">
        <v>336</v>
      </c>
      <c r="AJ248" s="1">
        <v>32</v>
      </c>
      <c r="AK248" s="27">
        <v>0.75</v>
      </c>
      <c r="AM248" s="262" t="str">
        <f t="shared" si="19"/>
        <v>OutletUSAOutletGY 17 OUTLET VDAY</v>
      </c>
      <c r="AN248" s="1" t="s">
        <v>17</v>
      </c>
      <c r="AO248" s="1" t="s">
        <v>17</v>
      </c>
      <c r="AP248" s="1" t="s">
        <v>336</v>
      </c>
      <c r="AQ248" s="1">
        <v>2017</v>
      </c>
      <c r="AR248" s="1" t="s">
        <v>16</v>
      </c>
      <c r="AS248" s="299" t="s">
        <v>262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27"/>
    </row>
    <row r="249" spans="17:52" x14ac:dyDescent="0.25">
      <c r="Q249" s="262" t="str">
        <f t="shared" si="20"/>
        <v>OutletGY 18 OUTLET BTS 1</v>
      </c>
      <c r="R249" s="35" t="str">
        <f t="shared" si="21"/>
        <v>2018OutletFall</v>
      </c>
      <c r="S249" s="1">
        <v>2018</v>
      </c>
      <c r="T249" s="1" t="s">
        <v>17</v>
      </c>
      <c r="U249" s="1" t="s">
        <v>39</v>
      </c>
      <c r="V249" s="1" t="s">
        <v>244</v>
      </c>
      <c r="W249" s="27" t="s">
        <v>245</v>
      </c>
      <c r="AF249" s="35" t="str">
        <f t="shared" si="18"/>
        <v>GymboreeRetailUSA33</v>
      </c>
      <c r="AG249" s="1" t="s">
        <v>14</v>
      </c>
      <c r="AH249" s="1" t="s">
        <v>5</v>
      </c>
      <c r="AI249" s="1" t="s">
        <v>336</v>
      </c>
      <c r="AJ249" s="1">
        <v>33</v>
      </c>
      <c r="AK249" s="27">
        <v>0.8</v>
      </c>
      <c r="AM249" s="262" t="str">
        <f t="shared" si="19"/>
        <v>OutletUSAOutletGY 17 OUTLET SPR</v>
      </c>
      <c r="AN249" s="1" t="s">
        <v>17</v>
      </c>
      <c r="AO249" s="1" t="s">
        <v>17</v>
      </c>
      <c r="AP249" s="1" t="s">
        <v>336</v>
      </c>
      <c r="AQ249" s="1">
        <v>2017</v>
      </c>
      <c r="AR249" s="1" t="s">
        <v>16</v>
      </c>
      <c r="AS249" s="299" t="s">
        <v>264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27"/>
    </row>
    <row r="250" spans="17:52" x14ac:dyDescent="0.25">
      <c r="Q250" s="262" t="str">
        <f t="shared" si="20"/>
        <v>OutletGY 18 OUTLET BTS 2</v>
      </c>
      <c r="R250" s="35" t="str">
        <f t="shared" si="21"/>
        <v>2018OutletFall</v>
      </c>
      <c r="S250" s="1">
        <v>2018</v>
      </c>
      <c r="T250" s="1" t="s">
        <v>17</v>
      </c>
      <c r="U250" s="1" t="s">
        <v>39</v>
      </c>
      <c r="V250" s="1" t="s">
        <v>246</v>
      </c>
      <c r="W250" s="27" t="s">
        <v>247</v>
      </c>
      <c r="AF250" s="35" t="str">
        <f t="shared" si="18"/>
        <v>GymboreeRetailUSA34</v>
      </c>
      <c r="AG250" s="1" t="s">
        <v>14</v>
      </c>
      <c r="AH250" s="1" t="s">
        <v>5</v>
      </c>
      <c r="AI250" s="1" t="s">
        <v>336</v>
      </c>
      <c r="AJ250" s="1">
        <v>34</v>
      </c>
      <c r="AK250" s="27">
        <v>0.8</v>
      </c>
      <c r="AM250" s="262" t="str">
        <f t="shared" si="19"/>
        <v>OutletUSAOutletGY 17 OUTLET Swim 1</v>
      </c>
      <c r="AN250" s="1" t="s">
        <v>17</v>
      </c>
      <c r="AO250" s="1" t="s">
        <v>17</v>
      </c>
      <c r="AP250" s="1" t="s">
        <v>336</v>
      </c>
      <c r="AQ250" s="1">
        <v>2017</v>
      </c>
      <c r="AR250" s="1" t="s">
        <v>16</v>
      </c>
      <c r="AS250" s="299" t="s">
        <v>280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27"/>
    </row>
    <row r="251" spans="17:52" x14ac:dyDescent="0.25">
      <c r="Q251" s="262" t="str">
        <f t="shared" si="20"/>
        <v>OutletGY 18 OUTLET FAL</v>
      </c>
      <c r="R251" s="35" t="str">
        <f t="shared" si="21"/>
        <v>2018OutletFall</v>
      </c>
      <c r="S251" s="1">
        <v>2018</v>
      </c>
      <c r="T251" s="1" t="s">
        <v>17</v>
      </c>
      <c r="U251" s="1" t="s">
        <v>39</v>
      </c>
      <c r="V251" s="1" t="s">
        <v>242</v>
      </c>
      <c r="W251" s="27" t="s">
        <v>243</v>
      </c>
      <c r="AF251" s="35" t="str">
        <f t="shared" si="18"/>
        <v>GymboreeRetailUSA35</v>
      </c>
      <c r="AG251" s="1" t="s">
        <v>14</v>
      </c>
      <c r="AH251" s="1" t="s">
        <v>5</v>
      </c>
      <c r="AI251" s="1" t="s">
        <v>336</v>
      </c>
      <c r="AJ251" s="1">
        <v>35</v>
      </c>
      <c r="AK251" s="27">
        <v>0.8</v>
      </c>
      <c r="AM251" s="262" t="str">
        <f t="shared" si="19"/>
        <v>OutletUSAOutletGY 17 OUTLET Spring 1</v>
      </c>
      <c r="AN251" s="1" t="s">
        <v>17</v>
      </c>
      <c r="AO251" s="1" t="s">
        <v>17</v>
      </c>
      <c r="AP251" s="1" t="s">
        <v>336</v>
      </c>
      <c r="AQ251" s="1">
        <v>2017</v>
      </c>
      <c r="AR251" s="1" t="s">
        <v>16</v>
      </c>
      <c r="AS251" s="299" t="s">
        <v>274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27"/>
    </row>
    <row r="252" spans="17:52" x14ac:dyDescent="0.25">
      <c r="Q252" s="262" t="str">
        <f t="shared" si="20"/>
        <v>OutletGY 18 OUTLET FALL 1</v>
      </c>
      <c r="R252" s="35" t="str">
        <f t="shared" si="21"/>
        <v>2018OutletFall</v>
      </c>
      <c r="S252" s="1">
        <v>2018</v>
      </c>
      <c r="T252" s="1" t="s">
        <v>17</v>
      </c>
      <c r="U252" s="1" t="s">
        <v>39</v>
      </c>
      <c r="V252" s="1" t="s">
        <v>250</v>
      </c>
      <c r="W252" s="27" t="s">
        <v>251</v>
      </c>
      <c r="AF252" s="35" t="str">
        <f t="shared" si="18"/>
        <v>GymboreeRetailUSA36</v>
      </c>
      <c r="AG252" s="1" t="s">
        <v>14</v>
      </c>
      <c r="AH252" s="1" t="s">
        <v>5</v>
      </c>
      <c r="AI252" s="1" t="s">
        <v>336</v>
      </c>
      <c r="AJ252" s="1">
        <v>36</v>
      </c>
      <c r="AK252" s="27">
        <v>0.8</v>
      </c>
      <c r="AM252" s="262" t="str">
        <f t="shared" si="19"/>
        <v>OutletUSAOutletGY 17 OUTLET BNB Spring</v>
      </c>
      <c r="AN252" s="1" t="s">
        <v>17</v>
      </c>
      <c r="AO252" s="1" t="s">
        <v>17</v>
      </c>
      <c r="AP252" s="1" t="s">
        <v>336</v>
      </c>
      <c r="AQ252" s="1">
        <v>2017</v>
      </c>
      <c r="AR252" s="1" t="s">
        <v>16</v>
      </c>
      <c r="AS252" s="299" t="s">
        <v>266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27"/>
    </row>
    <row r="253" spans="17:52" x14ac:dyDescent="0.25">
      <c r="Q253" s="262" t="str">
        <f t="shared" si="20"/>
        <v>OutletGY 18 OUTLET FALL 2</v>
      </c>
      <c r="R253" s="35" t="str">
        <f t="shared" si="21"/>
        <v>2018OutletFall</v>
      </c>
      <c r="S253" s="1">
        <v>2018</v>
      </c>
      <c r="T253" s="1" t="s">
        <v>17</v>
      </c>
      <c r="U253" s="1" t="s">
        <v>39</v>
      </c>
      <c r="V253" s="1" t="s">
        <v>253</v>
      </c>
      <c r="W253" s="27" t="s">
        <v>254</v>
      </c>
      <c r="AF253" s="35" t="str">
        <f t="shared" si="18"/>
        <v>GymboreeRetailUSA37</v>
      </c>
      <c r="AG253" s="1" t="s">
        <v>14</v>
      </c>
      <c r="AH253" s="1" t="s">
        <v>5</v>
      </c>
      <c r="AI253" s="1" t="s">
        <v>336</v>
      </c>
      <c r="AJ253" s="1">
        <v>37</v>
      </c>
      <c r="AK253" s="27">
        <v>0.8</v>
      </c>
      <c r="AM253" s="262" t="str">
        <f t="shared" si="19"/>
        <v>OutletUSAOutletGY 17 OUTLET Easter</v>
      </c>
      <c r="AN253" s="1" t="s">
        <v>17</v>
      </c>
      <c r="AO253" s="1" t="s">
        <v>17</v>
      </c>
      <c r="AP253" s="1" t="s">
        <v>336</v>
      </c>
      <c r="AQ253" s="1">
        <v>2017</v>
      </c>
      <c r="AR253" s="1" t="s">
        <v>16</v>
      </c>
      <c r="AS253" s="299" t="s">
        <v>270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27"/>
    </row>
    <row r="254" spans="17:52" x14ac:dyDescent="0.25">
      <c r="Q254" s="262" t="str">
        <f t="shared" si="20"/>
        <v>OutletGY 18 OUTLET HARVEST</v>
      </c>
      <c r="R254" s="35" t="str">
        <f t="shared" si="21"/>
        <v>2018OutletFall</v>
      </c>
      <c r="S254" s="1">
        <v>2018</v>
      </c>
      <c r="T254" s="1" t="s">
        <v>17</v>
      </c>
      <c r="U254" s="1" t="s">
        <v>39</v>
      </c>
      <c r="V254" s="1" t="s">
        <v>252</v>
      </c>
      <c r="W254" s="27" t="s">
        <v>251</v>
      </c>
      <c r="AF254" s="35" t="str">
        <f t="shared" si="18"/>
        <v>GymboreeRetailUSA38</v>
      </c>
      <c r="AG254" s="1" t="s">
        <v>14</v>
      </c>
      <c r="AH254" s="1" t="s">
        <v>5</v>
      </c>
      <c r="AI254" s="1" t="s">
        <v>336</v>
      </c>
      <c r="AJ254" s="1">
        <v>38</v>
      </c>
      <c r="AK254" s="27">
        <v>0.8</v>
      </c>
      <c r="AM254" s="262" t="str">
        <f t="shared" si="19"/>
        <v>OutletUSAOutletGY 17 OUTLET Spr Fashion Cap</v>
      </c>
      <c r="AN254" s="1" t="s">
        <v>17</v>
      </c>
      <c r="AO254" s="1" t="s">
        <v>17</v>
      </c>
      <c r="AP254" s="1" t="s">
        <v>336</v>
      </c>
      <c r="AQ254" s="1">
        <v>2017</v>
      </c>
      <c r="AR254" s="1" t="s">
        <v>16</v>
      </c>
      <c r="AS254" s="299" t="s">
        <v>272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27"/>
    </row>
    <row r="255" spans="17:52" x14ac:dyDescent="0.25">
      <c r="Q255" s="262" t="str">
        <f t="shared" si="20"/>
        <v>OutletGY 18 OUTLET HOLIDAY DRESSY</v>
      </c>
      <c r="R255" s="35" t="str">
        <f t="shared" si="21"/>
        <v>2018OutletFall</v>
      </c>
      <c r="S255" s="1">
        <v>2018</v>
      </c>
      <c r="T255" s="1" t="s">
        <v>17</v>
      </c>
      <c r="U255" s="1" t="s">
        <v>39</v>
      </c>
      <c r="V255" s="1" t="s">
        <v>255</v>
      </c>
      <c r="W255" s="27" t="s">
        <v>256</v>
      </c>
      <c r="AF255" s="35" t="str">
        <f t="shared" si="18"/>
        <v>GymboreeRetailUSA39</v>
      </c>
      <c r="AG255" s="1" t="s">
        <v>14</v>
      </c>
      <c r="AH255" s="1" t="s">
        <v>5</v>
      </c>
      <c r="AI255" s="1" t="s">
        <v>336</v>
      </c>
      <c r="AJ255" s="1">
        <v>39</v>
      </c>
      <c r="AK255" s="27">
        <v>0.8</v>
      </c>
      <c r="AM255" s="262" t="str">
        <f t="shared" si="19"/>
        <v>OutletUSAOutletGY 17 OUTLET Spring 2</v>
      </c>
      <c r="AN255" s="1" t="s">
        <v>17</v>
      </c>
      <c r="AO255" s="1" t="s">
        <v>17</v>
      </c>
      <c r="AP255" s="1" t="s">
        <v>336</v>
      </c>
      <c r="AQ255" s="1">
        <v>2017</v>
      </c>
      <c r="AR255" s="1" t="s">
        <v>16</v>
      </c>
      <c r="AS255" s="299" t="s">
        <v>276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27"/>
    </row>
    <row r="256" spans="17:52" x14ac:dyDescent="0.25">
      <c r="Q256" s="262" t="str">
        <f t="shared" si="20"/>
        <v>OutletGY 17 OUTLET SB1</v>
      </c>
      <c r="R256" s="35" t="str">
        <f t="shared" si="21"/>
        <v>2018OutletSeasonal Basics</v>
      </c>
      <c r="S256" s="1">
        <v>2018</v>
      </c>
      <c r="T256" s="1" t="s">
        <v>17</v>
      </c>
      <c r="U256" s="1" t="s">
        <v>85</v>
      </c>
      <c r="V256" s="1" t="s">
        <v>258</v>
      </c>
      <c r="W256" s="27" t="s">
        <v>552</v>
      </c>
      <c r="AF256" s="35" t="str">
        <f t="shared" si="18"/>
        <v>GymboreeRetailUSA40</v>
      </c>
      <c r="AG256" s="1" t="s">
        <v>14</v>
      </c>
      <c r="AH256" s="1" t="s">
        <v>5</v>
      </c>
      <c r="AI256" s="1" t="s">
        <v>336</v>
      </c>
      <c r="AJ256" s="1">
        <v>40</v>
      </c>
      <c r="AK256" s="27">
        <v>0.8</v>
      </c>
      <c r="AM256" s="262" t="str">
        <f t="shared" si="19"/>
        <v>OutletUSAOutletGY 17 OUTLET SPRING ACTIVE</v>
      </c>
      <c r="AN256" s="1" t="s">
        <v>17</v>
      </c>
      <c r="AO256" s="1" t="s">
        <v>17</v>
      </c>
      <c r="AP256" s="1" t="s">
        <v>336</v>
      </c>
      <c r="AQ256" s="1">
        <v>2017</v>
      </c>
      <c r="AR256" s="1" t="s">
        <v>16</v>
      </c>
      <c r="AS256" s="299" t="s">
        <v>268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27"/>
    </row>
    <row r="257" spans="17:52" x14ac:dyDescent="0.25">
      <c r="Q257" s="262" t="str">
        <f t="shared" si="20"/>
        <v>OutletGY 17 OUTLET SB2</v>
      </c>
      <c r="R257" s="35" t="str">
        <f t="shared" si="21"/>
        <v>2018OutletSeasonal Basics</v>
      </c>
      <c r="S257" s="1">
        <v>2018</v>
      </c>
      <c r="T257" s="1" t="s">
        <v>17</v>
      </c>
      <c r="U257" s="1" t="s">
        <v>85</v>
      </c>
      <c r="V257" s="1" t="s">
        <v>260</v>
      </c>
      <c r="W257" s="27" t="s">
        <v>553</v>
      </c>
      <c r="AF257" s="35" t="str">
        <f t="shared" si="18"/>
        <v>GymboreeRetailUSA41</v>
      </c>
      <c r="AG257" s="1" t="s">
        <v>14</v>
      </c>
      <c r="AH257" s="1" t="s">
        <v>5</v>
      </c>
      <c r="AI257" s="1" t="s">
        <v>336</v>
      </c>
      <c r="AJ257" s="1">
        <v>41</v>
      </c>
      <c r="AK257" s="27">
        <v>0.8</v>
      </c>
      <c r="AM257" s="262" t="str">
        <f t="shared" si="19"/>
        <v>OutletUSAOutletGY 17 OUTLET Spring 3</v>
      </c>
      <c r="AN257" s="1" t="s">
        <v>17</v>
      </c>
      <c r="AO257" s="1" t="s">
        <v>17</v>
      </c>
      <c r="AP257" s="1" t="s">
        <v>336</v>
      </c>
      <c r="AQ257" s="1">
        <v>2017</v>
      </c>
      <c r="AR257" s="1" t="s">
        <v>16</v>
      </c>
      <c r="AS257" s="299" t="s">
        <v>278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27"/>
    </row>
    <row r="258" spans="17:52" x14ac:dyDescent="0.25">
      <c r="Q258" s="262" t="str">
        <f t="shared" si="20"/>
        <v>OutletGY 18 OUTLET SB1</v>
      </c>
      <c r="R258" s="35" t="str">
        <f t="shared" si="21"/>
        <v>2018OutletSeasonal Basics</v>
      </c>
      <c r="S258" s="1">
        <v>2018</v>
      </c>
      <c r="T258" s="1" t="s">
        <v>17</v>
      </c>
      <c r="U258" s="1" t="s">
        <v>85</v>
      </c>
      <c r="V258" s="1" t="s">
        <v>257</v>
      </c>
      <c r="W258" s="27" t="s">
        <v>258</v>
      </c>
      <c r="AF258" s="35" t="str">
        <f t="shared" si="18"/>
        <v>GymboreeRetailUSA42</v>
      </c>
      <c r="AG258" s="1" t="s">
        <v>14</v>
      </c>
      <c r="AH258" s="1" t="s">
        <v>5</v>
      </c>
      <c r="AI258" s="1" t="s">
        <v>336</v>
      </c>
      <c r="AJ258" s="1">
        <v>42</v>
      </c>
      <c r="AK258" s="27">
        <v>0.8</v>
      </c>
      <c r="AM258" s="262" t="str">
        <f t="shared" si="19"/>
        <v>OutletUSAOutletGY 17 OUTLET Swim 2</v>
      </c>
      <c r="AN258" s="1" t="s">
        <v>17</v>
      </c>
      <c r="AO258" s="1" t="s">
        <v>17</v>
      </c>
      <c r="AP258" s="1" t="s">
        <v>336</v>
      </c>
      <c r="AQ258" s="1">
        <v>2017</v>
      </c>
      <c r="AR258" s="1" t="s">
        <v>16</v>
      </c>
      <c r="AS258" s="299" t="s">
        <v>282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27"/>
    </row>
    <row r="259" spans="17:52" x14ac:dyDescent="0.25">
      <c r="Q259" s="262" t="str">
        <f t="shared" si="20"/>
        <v>OutletGY 18 OUTLET SB2</v>
      </c>
      <c r="R259" s="35" t="str">
        <f t="shared" si="21"/>
        <v>2018OutletSeasonal Basics</v>
      </c>
      <c r="S259" s="1">
        <v>2018</v>
      </c>
      <c r="T259" s="1" t="s">
        <v>17</v>
      </c>
      <c r="U259" s="1" t="s">
        <v>85</v>
      </c>
      <c r="V259" s="1" t="s">
        <v>259</v>
      </c>
      <c r="W259" s="27" t="s">
        <v>260</v>
      </c>
      <c r="AF259" s="35" t="str">
        <f t="shared" si="18"/>
        <v>GymboreeRetailUSA43</v>
      </c>
      <c r="AG259" s="1" t="s">
        <v>14</v>
      </c>
      <c r="AH259" s="1" t="s">
        <v>5</v>
      </c>
      <c r="AI259" s="1" t="s">
        <v>336</v>
      </c>
      <c r="AJ259" s="1">
        <v>43</v>
      </c>
      <c r="AK259" s="27">
        <v>0.8</v>
      </c>
      <c r="AM259" s="262" t="str">
        <f t="shared" si="19"/>
        <v>OutletUSAOutletGY 17 OUTLET Summer 1</v>
      </c>
      <c r="AN259" s="1" t="s">
        <v>17</v>
      </c>
      <c r="AO259" s="1" t="s">
        <v>17</v>
      </c>
      <c r="AP259" s="1" t="s">
        <v>336</v>
      </c>
      <c r="AQ259" s="1">
        <v>2017</v>
      </c>
      <c r="AR259" s="1" t="s">
        <v>18</v>
      </c>
      <c r="AS259" s="299" t="s">
        <v>292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27"/>
    </row>
    <row r="260" spans="17:52" x14ac:dyDescent="0.25">
      <c r="Q260" s="262" t="str">
        <f t="shared" si="20"/>
        <v>OutletGY 17 OUTLET BNB Spring</v>
      </c>
      <c r="R260" s="35" t="str">
        <f t="shared" si="21"/>
        <v>2018OutletSpring</v>
      </c>
      <c r="S260" s="1">
        <v>2018</v>
      </c>
      <c r="T260" s="1" t="s">
        <v>17</v>
      </c>
      <c r="U260" s="1" t="s">
        <v>16</v>
      </c>
      <c r="V260" s="1" t="s">
        <v>266</v>
      </c>
      <c r="W260" s="27" t="s">
        <v>554</v>
      </c>
      <c r="AF260" s="35" t="str">
        <f t="shared" si="18"/>
        <v>GymboreeRetailUSA44</v>
      </c>
      <c r="AG260" s="1" t="s">
        <v>14</v>
      </c>
      <c r="AH260" s="1" t="s">
        <v>5</v>
      </c>
      <c r="AI260" s="1" t="s">
        <v>336</v>
      </c>
      <c r="AJ260" s="1">
        <v>44</v>
      </c>
      <c r="AK260" s="27">
        <v>0.8</v>
      </c>
      <c r="AM260" s="262" t="str">
        <f t="shared" si="19"/>
        <v>OutletUSAOutletGY 17 OUTLET SMR</v>
      </c>
      <c r="AN260" s="1" t="s">
        <v>17</v>
      </c>
      <c r="AO260" s="1" t="s">
        <v>17</v>
      </c>
      <c r="AP260" s="1" t="s">
        <v>336</v>
      </c>
      <c r="AQ260" s="1">
        <v>2017</v>
      </c>
      <c r="AR260" s="1" t="s">
        <v>18</v>
      </c>
      <c r="AS260" s="299" t="s">
        <v>286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27"/>
    </row>
    <row r="261" spans="17:52" x14ac:dyDescent="0.25">
      <c r="Q261" s="262" t="str">
        <f t="shared" si="20"/>
        <v>OutletGY 17 OUTLET Easter</v>
      </c>
      <c r="R261" s="35" t="str">
        <f t="shared" si="21"/>
        <v>2018OutletSpring</v>
      </c>
      <c r="S261" s="1">
        <v>2018</v>
      </c>
      <c r="T261" s="1" t="s">
        <v>17</v>
      </c>
      <c r="U261" s="1" t="s">
        <v>16</v>
      </c>
      <c r="V261" s="1" t="s">
        <v>270</v>
      </c>
      <c r="W261" s="27" t="s">
        <v>555</v>
      </c>
      <c r="AF261" s="35" t="str">
        <f t="shared" si="18"/>
        <v>GymboreeRetailUSA45</v>
      </c>
      <c r="AG261" s="1" t="s">
        <v>14</v>
      </c>
      <c r="AH261" s="1" t="s">
        <v>5</v>
      </c>
      <c r="AI261" s="1" t="s">
        <v>336</v>
      </c>
      <c r="AJ261" s="1">
        <v>45</v>
      </c>
      <c r="AK261" s="27">
        <v>0.8</v>
      </c>
      <c r="AM261" s="262" t="str">
        <f t="shared" si="19"/>
        <v>OutletUSAOutletGY 17 OUTLET SUMMER 2</v>
      </c>
      <c r="AN261" s="1" t="s">
        <v>17</v>
      </c>
      <c r="AO261" s="1" t="s">
        <v>17</v>
      </c>
      <c r="AP261" s="1" t="s">
        <v>336</v>
      </c>
      <c r="AQ261" s="1">
        <v>2017</v>
      </c>
      <c r="AR261" s="1" t="s">
        <v>18</v>
      </c>
      <c r="AS261" s="299" t="s">
        <v>294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27"/>
    </row>
    <row r="262" spans="17:52" x14ac:dyDescent="0.25">
      <c r="Q262" s="262" t="str">
        <f t="shared" si="20"/>
        <v>OutletGY 17 OUTLET SPR</v>
      </c>
      <c r="R262" s="35" t="str">
        <f t="shared" si="21"/>
        <v>2018OutletSpring</v>
      </c>
      <c r="S262" s="1">
        <v>2018</v>
      </c>
      <c r="T262" s="1" t="s">
        <v>17</v>
      </c>
      <c r="U262" s="1" t="s">
        <v>16</v>
      </c>
      <c r="V262" s="1" t="s">
        <v>264</v>
      </c>
      <c r="W262" s="27" t="s">
        <v>556</v>
      </c>
      <c r="AF262" s="35" t="str">
        <f t="shared" ref="AF262:AF325" si="22">AG262&amp;AH262&amp;AI262&amp;AJ262</f>
        <v>GymboreeRetailUSA46</v>
      </c>
      <c r="AG262" s="1" t="s">
        <v>14</v>
      </c>
      <c r="AH262" s="1" t="s">
        <v>5</v>
      </c>
      <c r="AI262" s="1" t="s">
        <v>336</v>
      </c>
      <c r="AJ262" s="1">
        <v>46</v>
      </c>
      <c r="AK262" s="27">
        <v>0.8</v>
      </c>
      <c r="AM262" s="262" t="str">
        <f t="shared" ref="AM262:AM325" si="23">AN262&amp;AP262&amp;AO262&amp;AS262</f>
        <v>OutletUSAOutletGY 17 OUTLET SWIM 3</v>
      </c>
      <c r="AN262" s="1" t="s">
        <v>17</v>
      </c>
      <c r="AO262" s="1" t="s">
        <v>17</v>
      </c>
      <c r="AP262" s="1" t="s">
        <v>336</v>
      </c>
      <c r="AQ262" s="1">
        <v>2017</v>
      </c>
      <c r="AR262" s="1" t="s">
        <v>18</v>
      </c>
      <c r="AS262" s="299" t="s">
        <v>284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27"/>
    </row>
    <row r="263" spans="17:52" x14ac:dyDescent="0.25">
      <c r="Q263" s="262" t="str">
        <f t="shared" si="20"/>
        <v>OutletGY 17 OUTLET Spr Fashion Cap</v>
      </c>
      <c r="R263" s="35" t="str">
        <f t="shared" si="21"/>
        <v>2018OutletSpring</v>
      </c>
      <c r="S263" s="1">
        <v>2018</v>
      </c>
      <c r="T263" s="1" t="s">
        <v>17</v>
      </c>
      <c r="U263" s="1" t="s">
        <v>16</v>
      </c>
      <c r="V263" s="1" t="s">
        <v>272</v>
      </c>
      <c r="W263" s="27" t="s">
        <v>557</v>
      </c>
      <c r="AF263" s="35" t="str">
        <f t="shared" si="22"/>
        <v>GymboreeRetailUSA47</v>
      </c>
      <c r="AG263" s="1" t="s">
        <v>14</v>
      </c>
      <c r="AH263" s="1" t="s">
        <v>5</v>
      </c>
      <c r="AI263" s="1" t="s">
        <v>336</v>
      </c>
      <c r="AJ263" s="1">
        <v>47</v>
      </c>
      <c r="AK263" s="27">
        <v>0.8</v>
      </c>
      <c r="AM263" s="262" t="str">
        <f t="shared" si="23"/>
        <v>OutletUSAOutletGY 17 OUTLET BNB SUMMER</v>
      </c>
      <c r="AN263" s="1" t="s">
        <v>17</v>
      </c>
      <c r="AO263" s="1" t="s">
        <v>17</v>
      </c>
      <c r="AP263" s="1" t="s">
        <v>336</v>
      </c>
      <c r="AQ263" s="1">
        <v>2017</v>
      </c>
      <c r="AR263" s="1" t="s">
        <v>18</v>
      </c>
      <c r="AS263" s="299" t="s">
        <v>288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27"/>
    </row>
    <row r="264" spans="17:52" x14ac:dyDescent="0.25">
      <c r="Q264" s="262" t="str">
        <f t="shared" si="20"/>
        <v>OutletGY 17 OUTLET Spring 1</v>
      </c>
      <c r="R264" s="35" t="str">
        <f t="shared" si="21"/>
        <v>2018OutletSpring</v>
      </c>
      <c r="S264" s="1">
        <v>2018</v>
      </c>
      <c r="T264" s="1" t="s">
        <v>17</v>
      </c>
      <c r="U264" s="1" t="s">
        <v>16</v>
      </c>
      <c r="V264" s="1" t="s">
        <v>274</v>
      </c>
      <c r="W264" s="27" t="s">
        <v>558</v>
      </c>
      <c r="AF264" s="35" t="str">
        <f t="shared" si="22"/>
        <v>GymboreeRetailUSA48</v>
      </c>
      <c r="AG264" s="1" t="s">
        <v>14</v>
      </c>
      <c r="AH264" s="1" t="s">
        <v>5</v>
      </c>
      <c r="AI264" s="1" t="s">
        <v>336</v>
      </c>
      <c r="AJ264" s="1">
        <v>48</v>
      </c>
      <c r="AK264" s="27">
        <v>0.8</v>
      </c>
      <c r="AM264" s="262" t="str">
        <f t="shared" si="23"/>
        <v>OutletUSAOutletGY 17 OUTLET SUMMER 3</v>
      </c>
      <c r="AN264" s="1" t="s">
        <v>17</v>
      </c>
      <c r="AO264" s="1" t="s">
        <v>17</v>
      </c>
      <c r="AP264" s="1" t="s">
        <v>336</v>
      </c>
      <c r="AQ264" s="1">
        <v>2017</v>
      </c>
      <c r="AR264" s="1" t="s">
        <v>18</v>
      </c>
      <c r="AS264" s="299" t="s">
        <v>296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27"/>
    </row>
    <row r="265" spans="17:52" x14ac:dyDescent="0.25">
      <c r="Q265" s="262" t="str">
        <f t="shared" si="20"/>
        <v>OutletGY 17 OUTLET Spring 2</v>
      </c>
      <c r="R265" s="35" t="str">
        <f t="shared" si="21"/>
        <v>2018OutletSpring</v>
      </c>
      <c r="S265" s="1">
        <v>2018</v>
      </c>
      <c r="T265" s="1" t="s">
        <v>17</v>
      </c>
      <c r="U265" s="1" t="s">
        <v>16</v>
      </c>
      <c r="V265" s="1" t="s">
        <v>276</v>
      </c>
      <c r="W265" s="27" t="s">
        <v>559</v>
      </c>
      <c r="AF265" s="35" t="str">
        <f t="shared" si="22"/>
        <v>GymboreeRetailUSA49</v>
      </c>
      <c r="AG265" s="1" t="s">
        <v>14</v>
      </c>
      <c r="AH265" s="1" t="s">
        <v>5</v>
      </c>
      <c r="AI265" s="1" t="s">
        <v>336</v>
      </c>
      <c r="AJ265" s="1">
        <v>49</v>
      </c>
      <c r="AK265" s="27">
        <v>0.8</v>
      </c>
      <c r="AM265" s="262" t="str">
        <f t="shared" si="23"/>
        <v>OutletUSAOutletGY 17 OUTLET SUMMER 4</v>
      </c>
      <c r="AN265" s="1" t="s">
        <v>17</v>
      </c>
      <c r="AO265" s="1" t="s">
        <v>17</v>
      </c>
      <c r="AP265" s="1" t="s">
        <v>336</v>
      </c>
      <c r="AQ265" s="1">
        <v>2017</v>
      </c>
      <c r="AR265" s="1" t="s">
        <v>18</v>
      </c>
      <c r="AS265" s="299" t="s">
        <v>298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27"/>
    </row>
    <row r="266" spans="17:52" x14ac:dyDescent="0.25">
      <c r="Q266" s="262" t="str">
        <f t="shared" si="20"/>
        <v>OutletGY 17 OUTLET Spring 3</v>
      </c>
      <c r="R266" s="35" t="str">
        <f t="shared" si="21"/>
        <v>2018OutletSpring</v>
      </c>
      <c r="S266" s="1">
        <v>2018</v>
      </c>
      <c r="T266" s="1" t="s">
        <v>17</v>
      </c>
      <c r="U266" s="1" t="s">
        <v>16</v>
      </c>
      <c r="V266" s="1" t="s">
        <v>278</v>
      </c>
      <c r="W266" s="27" t="s">
        <v>560</v>
      </c>
      <c r="AF266" s="35" t="str">
        <f t="shared" si="22"/>
        <v>GymboreeRetailUSA50</v>
      </c>
      <c r="AG266" s="1" t="s">
        <v>14</v>
      </c>
      <c r="AH266" s="1" t="s">
        <v>5</v>
      </c>
      <c r="AI266" s="1" t="s">
        <v>336</v>
      </c>
      <c r="AJ266" s="1">
        <v>50</v>
      </c>
      <c r="AK266" s="27">
        <v>0.8</v>
      </c>
      <c r="AM266" s="262" t="str">
        <f t="shared" si="23"/>
        <v>OutletUSAOutletGY 17 OUTLET UNIFORM</v>
      </c>
      <c r="AN266" s="1" t="s">
        <v>17</v>
      </c>
      <c r="AO266" s="1" t="s">
        <v>17</v>
      </c>
      <c r="AP266" s="1" t="s">
        <v>336</v>
      </c>
      <c r="AQ266" s="1">
        <v>2017</v>
      </c>
      <c r="AR266" s="1" t="s">
        <v>18</v>
      </c>
      <c r="AS266" s="299" t="s">
        <v>300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27"/>
    </row>
    <row r="267" spans="17:52" x14ac:dyDescent="0.25">
      <c r="Q267" s="262" t="str">
        <f t="shared" si="20"/>
        <v>OutletGY 17 OUTLET SPRING ACTIVE</v>
      </c>
      <c r="R267" s="35" t="str">
        <f t="shared" si="21"/>
        <v>2018OutletSpring</v>
      </c>
      <c r="S267" s="1">
        <v>2018</v>
      </c>
      <c r="T267" s="1" t="s">
        <v>17</v>
      </c>
      <c r="U267" s="1" t="s">
        <v>16</v>
      </c>
      <c r="V267" s="1" t="s">
        <v>268</v>
      </c>
      <c r="W267" s="27"/>
      <c r="AF267" s="35" t="str">
        <f t="shared" si="22"/>
        <v>GymboreeRetailUSA51</v>
      </c>
      <c r="AG267" s="1" t="s">
        <v>14</v>
      </c>
      <c r="AH267" s="1" t="s">
        <v>5</v>
      </c>
      <c r="AI267" s="1" t="s">
        <v>336</v>
      </c>
      <c r="AJ267" s="1">
        <v>51</v>
      </c>
      <c r="AK267" s="27">
        <v>0.8</v>
      </c>
      <c r="AM267" s="262" t="str">
        <f t="shared" si="23"/>
        <v>OutletUSAOutletGY 17 OUTLET TRANSITION</v>
      </c>
      <c r="AN267" s="1" t="s">
        <v>17</v>
      </c>
      <c r="AO267" s="1" t="s">
        <v>17</v>
      </c>
      <c r="AP267" s="1" t="s">
        <v>336</v>
      </c>
      <c r="AQ267" s="1">
        <v>2017</v>
      </c>
      <c r="AR267" s="1" t="s">
        <v>18</v>
      </c>
      <c r="AS267" s="299" t="s">
        <v>302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27"/>
    </row>
    <row r="268" spans="17:52" x14ac:dyDescent="0.25">
      <c r="Q268" s="262" t="str">
        <f t="shared" si="20"/>
        <v>OutletGY 17 OUTLET Swim 1</v>
      </c>
      <c r="R268" s="35" t="str">
        <f t="shared" si="21"/>
        <v>2018OutletSpring</v>
      </c>
      <c r="S268" s="1">
        <v>2018</v>
      </c>
      <c r="T268" s="1" t="s">
        <v>17</v>
      </c>
      <c r="U268" s="1" t="s">
        <v>16</v>
      </c>
      <c r="V268" s="1" t="s">
        <v>280</v>
      </c>
      <c r="W268" s="27" t="s">
        <v>561</v>
      </c>
      <c r="AF268" s="35" t="str">
        <f t="shared" si="22"/>
        <v>GymboreeRetailUSA52</v>
      </c>
      <c r="AG268" s="1" t="s">
        <v>14</v>
      </c>
      <c r="AH268" s="1" t="s">
        <v>5</v>
      </c>
      <c r="AI268" s="1" t="s">
        <v>336</v>
      </c>
      <c r="AJ268" s="1">
        <v>52</v>
      </c>
      <c r="AK268" s="27">
        <v>0.8</v>
      </c>
      <c r="AM268" s="262" t="str">
        <f t="shared" si="23"/>
        <v>OutletUSAOutletGY 17 OUTLET FAL</v>
      </c>
      <c r="AN268" s="1" t="s">
        <v>17</v>
      </c>
      <c r="AO268" s="1" t="s">
        <v>17</v>
      </c>
      <c r="AP268" s="1" t="s">
        <v>336</v>
      </c>
      <c r="AQ268" s="1">
        <v>2017</v>
      </c>
      <c r="AR268" s="1" t="s">
        <v>39</v>
      </c>
      <c r="AS268" s="299" t="s">
        <v>243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27"/>
    </row>
    <row r="269" spans="17:52" x14ac:dyDescent="0.25">
      <c r="Q269" s="262" t="str">
        <f t="shared" si="20"/>
        <v>OutletGY 17 OUTLET Swim 2</v>
      </c>
      <c r="R269" s="35" t="str">
        <f t="shared" si="21"/>
        <v>2018OutletSpring</v>
      </c>
      <c r="S269" s="1">
        <v>2018</v>
      </c>
      <c r="T269" s="1" t="s">
        <v>17</v>
      </c>
      <c r="U269" s="1" t="s">
        <v>16</v>
      </c>
      <c r="V269" s="1" t="s">
        <v>282</v>
      </c>
      <c r="W269" s="27" t="s">
        <v>562</v>
      </c>
      <c r="AF269" s="35" t="str">
        <f t="shared" si="22"/>
        <v>GymboreeRetailUSA53</v>
      </c>
      <c r="AG269" s="1" t="s">
        <v>14</v>
      </c>
      <c r="AH269" s="1" t="s">
        <v>5</v>
      </c>
      <c r="AI269" s="1" t="s">
        <v>336</v>
      </c>
      <c r="AJ269" s="1">
        <v>53</v>
      </c>
      <c r="AK269" s="27">
        <v>0.8</v>
      </c>
      <c r="AM269" s="262" t="str">
        <f t="shared" si="23"/>
        <v>OutletUSAOutletGY 17 OUTLET BTS 1</v>
      </c>
      <c r="AN269" s="1" t="s">
        <v>17</v>
      </c>
      <c r="AO269" s="1" t="s">
        <v>17</v>
      </c>
      <c r="AP269" s="1" t="s">
        <v>336</v>
      </c>
      <c r="AQ269" s="1">
        <v>2017</v>
      </c>
      <c r="AR269" s="1" t="s">
        <v>39</v>
      </c>
      <c r="AS269" s="299" t="s">
        <v>245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27"/>
    </row>
    <row r="270" spans="17:52" x14ac:dyDescent="0.25">
      <c r="Q270" s="262" t="str">
        <f t="shared" si="20"/>
        <v>OutletGY 17 OUTLET VDAY</v>
      </c>
      <c r="R270" s="35" t="str">
        <f t="shared" si="21"/>
        <v>2018OutletSpring</v>
      </c>
      <c r="S270" s="1">
        <v>2018</v>
      </c>
      <c r="T270" s="1" t="s">
        <v>17</v>
      </c>
      <c r="U270" s="1" t="s">
        <v>16</v>
      </c>
      <c r="V270" s="1" t="s">
        <v>262</v>
      </c>
      <c r="W270" s="27" t="s">
        <v>563</v>
      </c>
      <c r="AF270" s="35" t="str">
        <f t="shared" si="22"/>
        <v>GymboreeRetailCanada1</v>
      </c>
      <c r="AG270" s="1" t="s">
        <v>14</v>
      </c>
      <c r="AH270" s="1" t="s">
        <v>5</v>
      </c>
      <c r="AI270" s="1" t="s">
        <v>337</v>
      </c>
      <c r="AJ270" s="1">
        <v>1</v>
      </c>
      <c r="AK270" s="27">
        <v>0.3</v>
      </c>
      <c r="AM270" s="262" t="str">
        <f t="shared" si="23"/>
        <v>OutletUSAOutletGY 17 OUTLET BTS 2</v>
      </c>
      <c r="AN270" s="1" t="s">
        <v>17</v>
      </c>
      <c r="AO270" s="1" t="s">
        <v>17</v>
      </c>
      <c r="AP270" s="1" t="s">
        <v>336</v>
      </c>
      <c r="AQ270" s="1">
        <v>2017</v>
      </c>
      <c r="AR270" s="1" t="s">
        <v>39</v>
      </c>
      <c r="AS270" s="299" t="s">
        <v>247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27"/>
    </row>
    <row r="271" spans="17:52" x14ac:dyDescent="0.25">
      <c r="Q271" s="262" t="str">
        <f t="shared" ref="Q271:Q324" si="24">T271&amp;V271</f>
        <v>OutletGY 18 OUTLET BNB Spring</v>
      </c>
      <c r="R271" s="35" t="str">
        <f t="shared" ref="R271:R324" si="25">S271&amp;T271&amp;U271</f>
        <v>2018OutletSpring</v>
      </c>
      <c r="S271" s="1">
        <v>2018</v>
      </c>
      <c r="T271" s="1" t="s">
        <v>17</v>
      </c>
      <c r="U271" s="1" t="s">
        <v>16</v>
      </c>
      <c r="V271" s="1" t="s">
        <v>265</v>
      </c>
      <c r="W271" s="27" t="s">
        <v>266</v>
      </c>
      <c r="AF271" s="35" t="str">
        <f t="shared" si="22"/>
        <v>GymboreeRetailCanada2</v>
      </c>
      <c r="AG271" s="1" t="s">
        <v>14</v>
      </c>
      <c r="AH271" s="1" t="s">
        <v>5</v>
      </c>
      <c r="AI271" s="1" t="s">
        <v>337</v>
      </c>
      <c r="AJ271" s="1">
        <v>2</v>
      </c>
      <c r="AK271" s="27">
        <v>0.3</v>
      </c>
      <c r="AM271" s="262" t="str">
        <f t="shared" si="23"/>
        <v>OutletUSAOutletGY 17 OUTLET BNB FALL</v>
      </c>
      <c r="AN271" s="1" t="s">
        <v>17</v>
      </c>
      <c r="AO271" s="1" t="s">
        <v>17</v>
      </c>
      <c r="AP271" s="1" t="s">
        <v>336</v>
      </c>
      <c r="AQ271" s="1">
        <v>2017</v>
      </c>
      <c r="AR271" s="1" t="s">
        <v>39</v>
      </c>
      <c r="AS271" s="299" t="s">
        <v>249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27"/>
    </row>
    <row r="272" spans="17:52" x14ac:dyDescent="0.25">
      <c r="Q272" s="262" t="str">
        <f t="shared" si="24"/>
        <v>OutletGY 18 OUTLET Easter</v>
      </c>
      <c r="R272" s="35" t="str">
        <f t="shared" si="25"/>
        <v>2018OutletSpring</v>
      </c>
      <c r="S272" s="1">
        <v>2018</v>
      </c>
      <c r="T272" s="1" t="s">
        <v>17</v>
      </c>
      <c r="U272" s="1" t="s">
        <v>16</v>
      </c>
      <c r="V272" s="1" t="s">
        <v>269</v>
      </c>
      <c r="W272" s="27" t="s">
        <v>270</v>
      </c>
      <c r="AF272" s="35" t="str">
        <f t="shared" si="22"/>
        <v>GymboreeRetailCanada3</v>
      </c>
      <c r="AG272" s="1" t="s">
        <v>14</v>
      </c>
      <c r="AH272" s="1" t="s">
        <v>5</v>
      </c>
      <c r="AI272" s="1" t="s">
        <v>337</v>
      </c>
      <c r="AJ272" s="1">
        <v>3</v>
      </c>
      <c r="AK272" s="27">
        <v>0.3</v>
      </c>
      <c r="AM272" s="262" t="str">
        <f t="shared" si="23"/>
        <v>OutletUSAOutletGY 17 OUTLET FALL 1</v>
      </c>
      <c r="AN272" s="1" t="s">
        <v>17</v>
      </c>
      <c r="AO272" s="1" t="s">
        <v>17</v>
      </c>
      <c r="AP272" s="1" t="s">
        <v>336</v>
      </c>
      <c r="AQ272" s="1">
        <v>2017</v>
      </c>
      <c r="AR272" s="1" t="s">
        <v>39</v>
      </c>
      <c r="AS272" s="299" t="s">
        <v>251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27"/>
    </row>
    <row r="273" spans="17:52" x14ac:dyDescent="0.25">
      <c r="Q273" s="262" t="str">
        <f t="shared" si="24"/>
        <v>OutletGY 18 OUTLET SPR</v>
      </c>
      <c r="R273" s="35" t="str">
        <f t="shared" si="25"/>
        <v>2018OutletSpring</v>
      </c>
      <c r="S273" s="1">
        <v>2018</v>
      </c>
      <c r="T273" s="1" t="s">
        <v>17</v>
      </c>
      <c r="U273" s="1" t="s">
        <v>16</v>
      </c>
      <c r="V273" s="1" t="s">
        <v>263</v>
      </c>
      <c r="W273" s="27" t="s">
        <v>264</v>
      </c>
      <c r="AF273" s="35" t="str">
        <f t="shared" si="22"/>
        <v>GymboreeRetailCanada4</v>
      </c>
      <c r="AG273" s="1" t="s">
        <v>14</v>
      </c>
      <c r="AH273" s="1" t="s">
        <v>5</v>
      </c>
      <c r="AI273" s="1" t="s">
        <v>337</v>
      </c>
      <c r="AJ273" s="1">
        <v>4</v>
      </c>
      <c r="AK273" s="27">
        <v>0.3</v>
      </c>
      <c r="AM273" s="262" t="str">
        <f t="shared" si="23"/>
        <v>OutletUSAOutletGY 17 OUTLET FALL 1</v>
      </c>
      <c r="AN273" s="1" t="s">
        <v>17</v>
      </c>
      <c r="AO273" s="1" t="s">
        <v>17</v>
      </c>
      <c r="AP273" s="1" t="s">
        <v>336</v>
      </c>
      <c r="AQ273" s="1">
        <v>2017</v>
      </c>
      <c r="AR273" s="1" t="s">
        <v>39</v>
      </c>
      <c r="AS273" s="299" t="s">
        <v>251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27"/>
    </row>
    <row r="274" spans="17:52" x14ac:dyDescent="0.25">
      <c r="Q274" s="262" t="str">
        <f t="shared" si="24"/>
        <v>OutletGY 18 OUTLET Spr Fashion Cap</v>
      </c>
      <c r="R274" s="35" t="str">
        <f t="shared" si="25"/>
        <v>2018OutletSpring</v>
      </c>
      <c r="S274" s="1">
        <v>2018</v>
      </c>
      <c r="T274" s="1" t="s">
        <v>17</v>
      </c>
      <c r="U274" s="1" t="s">
        <v>16</v>
      </c>
      <c r="V274" s="1" t="s">
        <v>271</v>
      </c>
      <c r="W274" s="27" t="s">
        <v>272</v>
      </c>
      <c r="AF274" s="35" t="str">
        <f t="shared" si="22"/>
        <v>GymboreeRetailCanada5</v>
      </c>
      <c r="AG274" s="1" t="s">
        <v>14</v>
      </c>
      <c r="AH274" s="1" t="s">
        <v>5</v>
      </c>
      <c r="AI274" s="1" t="s">
        <v>337</v>
      </c>
      <c r="AJ274" s="1">
        <v>5</v>
      </c>
      <c r="AK274" s="27">
        <v>0.35</v>
      </c>
      <c r="AM274" s="262" t="str">
        <f t="shared" si="23"/>
        <v>OutletUSAOutletGY 17 OUTLET FALL 2</v>
      </c>
      <c r="AN274" s="1" t="s">
        <v>17</v>
      </c>
      <c r="AO274" s="1" t="s">
        <v>17</v>
      </c>
      <c r="AP274" s="1" t="s">
        <v>336</v>
      </c>
      <c r="AQ274" s="1">
        <v>2017</v>
      </c>
      <c r="AR274" s="1" t="s">
        <v>39</v>
      </c>
      <c r="AS274" s="299" t="s">
        <v>254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27"/>
    </row>
    <row r="275" spans="17:52" x14ac:dyDescent="0.25">
      <c r="Q275" s="262" t="str">
        <f t="shared" si="24"/>
        <v>OutletGY 18 OUTLET SPRING 1</v>
      </c>
      <c r="R275" s="35" t="str">
        <f t="shared" si="25"/>
        <v>2018OutletSpring</v>
      </c>
      <c r="S275" s="1">
        <v>2018</v>
      </c>
      <c r="T275" s="1" t="s">
        <v>17</v>
      </c>
      <c r="U275" s="1" t="s">
        <v>16</v>
      </c>
      <c r="V275" s="1" t="s">
        <v>273</v>
      </c>
      <c r="W275" s="27" t="s">
        <v>274</v>
      </c>
      <c r="AF275" s="35" t="str">
        <f t="shared" si="22"/>
        <v>GymboreeRetailCanada6</v>
      </c>
      <c r="AG275" s="1" t="s">
        <v>14</v>
      </c>
      <c r="AH275" s="1" t="s">
        <v>5</v>
      </c>
      <c r="AI275" s="1" t="s">
        <v>337</v>
      </c>
      <c r="AJ275" s="1">
        <v>6</v>
      </c>
      <c r="AK275" s="27">
        <v>0.35</v>
      </c>
      <c r="AM275" s="262" t="str">
        <f t="shared" si="23"/>
        <v>OutletUSAOutletGY 17 OUTLET HOLIDAY DRESSY</v>
      </c>
      <c r="AN275" s="1" t="s">
        <v>17</v>
      </c>
      <c r="AO275" s="1" t="s">
        <v>17</v>
      </c>
      <c r="AP275" s="1" t="s">
        <v>336</v>
      </c>
      <c r="AQ275" s="1">
        <v>2017</v>
      </c>
      <c r="AR275" s="1" t="s">
        <v>39</v>
      </c>
      <c r="AS275" s="299" t="s">
        <v>256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27"/>
    </row>
    <row r="276" spans="17:52" x14ac:dyDescent="0.25">
      <c r="Q276" s="262" t="str">
        <f t="shared" si="24"/>
        <v>OutletGY 18 OUTLET Spring 2</v>
      </c>
      <c r="R276" s="35" t="str">
        <f t="shared" si="25"/>
        <v>2018OutletSpring</v>
      </c>
      <c r="S276" s="1">
        <v>2018</v>
      </c>
      <c r="T276" s="1" t="s">
        <v>17</v>
      </c>
      <c r="U276" s="1" t="s">
        <v>16</v>
      </c>
      <c r="V276" s="1" t="s">
        <v>275</v>
      </c>
      <c r="W276" s="27" t="s">
        <v>276</v>
      </c>
      <c r="AF276" s="35" t="str">
        <f t="shared" si="22"/>
        <v>GymboreeRetailCanada7</v>
      </c>
      <c r="AG276" s="1" t="s">
        <v>14</v>
      </c>
      <c r="AH276" s="1" t="s">
        <v>5</v>
      </c>
      <c r="AI276" s="1" t="s">
        <v>337</v>
      </c>
      <c r="AJ276" s="1">
        <v>7</v>
      </c>
      <c r="AK276" s="27">
        <v>0.35</v>
      </c>
      <c r="AM276" s="262" t="str">
        <f t="shared" si="23"/>
        <v>Janie &amp; JackUSARetailJJ 3RD PARTY</v>
      </c>
      <c r="AN276" s="1" t="s">
        <v>38</v>
      </c>
      <c r="AO276" s="1" t="s">
        <v>5</v>
      </c>
      <c r="AP276" s="1" t="s">
        <v>336</v>
      </c>
      <c r="AQ276" s="1">
        <v>2017</v>
      </c>
      <c r="AR276" s="1" t="s">
        <v>41</v>
      </c>
      <c r="AS276" s="299" t="s">
        <v>330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27"/>
    </row>
    <row r="277" spans="17:52" x14ac:dyDescent="0.25">
      <c r="Q277" s="262" t="str">
        <f t="shared" si="24"/>
        <v>OutletGY 18 OUTLET Spring 3</v>
      </c>
      <c r="R277" s="35" t="str">
        <f t="shared" si="25"/>
        <v>2018OutletSpring</v>
      </c>
      <c r="S277" s="1">
        <v>2018</v>
      </c>
      <c r="T277" s="1" t="s">
        <v>17</v>
      </c>
      <c r="U277" s="1" t="s">
        <v>16</v>
      </c>
      <c r="V277" s="1" t="s">
        <v>277</v>
      </c>
      <c r="W277" s="27" t="s">
        <v>278</v>
      </c>
      <c r="AF277" s="35" t="str">
        <f t="shared" si="22"/>
        <v>GymboreeRetailCanada8</v>
      </c>
      <c r="AG277" s="1" t="s">
        <v>14</v>
      </c>
      <c r="AH277" s="1" t="s">
        <v>5</v>
      </c>
      <c r="AI277" s="1" t="s">
        <v>337</v>
      </c>
      <c r="AJ277" s="1">
        <v>8</v>
      </c>
      <c r="AK277" s="27">
        <v>0.4</v>
      </c>
      <c r="AM277" s="262" t="str">
        <f t="shared" si="23"/>
        <v>Janie &amp; JackUSARetailJJ 17 SB2</v>
      </c>
      <c r="AN277" s="1" t="s">
        <v>38</v>
      </c>
      <c r="AO277" s="1" t="s">
        <v>5</v>
      </c>
      <c r="AP277" s="1" t="s">
        <v>336</v>
      </c>
      <c r="AQ277" s="1">
        <v>2017</v>
      </c>
      <c r="AR277" s="1" t="s">
        <v>41</v>
      </c>
      <c r="AS277" s="299" t="s">
        <v>198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27"/>
    </row>
    <row r="278" spans="17:52" x14ac:dyDescent="0.25">
      <c r="Q278" s="262" t="str">
        <f t="shared" si="24"/>
        <v>OutletGY 18 OUTLET SPRING ACTIVE</v>
      </c>
      <c r="R278" s="35" t="str">
        <f t="shared" si="25"/>
        <v>2018OutletSpring</v>
      </c>
      <c r="S278" s="1">
        <v>2018</v>
      </c>
      <c r="T278" s="1" t="s">
        <v>17</v>
      </c>
      <c r="U278" s="1" t="s">
        <v>16</v>
      </c>
      <c r="V278" s="1" t="s">
        <v>267</v>
      </c>
      <c r="W278" s="27" t="s">
        <v>268</v>
      </c>
      <c r="AF278" s="35" t="str">
        <f t="shared" si="22"/>
        <v>GymboreeRetailCanada9</v>
      </c>
      <c r="AG278" s="1" t="s">
        <v>14</v>
      </c>
      <c r="AH278" s="1" t="s">
        <v>5</v>
      </c>
      <c r="AI278" s="1" t="s">
        <v>337</v>
      </c>
      <c r="AJ278" s="1">
        <v>9</v>
      </c>
      <c r="AK278" s="27">
        <v>0.4</v>
      </c>
      <c r="AM278" s="262" t="str">
        <f t="shared" si="23"/>
        <v>Janie &amp; JackUSARetailJJ 17 FALL 0</v>
      </c>
      <c r="AN278" s="1" t="s">
        <v>38</v>
      </c>
      <c r="AO278" s="1" t="s">
        <v>5</v>
      </c>
      <c r="AP278" s="1" t="s">
        <v>336</v>
      </c>
      <c r="AQ278" s="1">
        <v>2017</v>
      </c>
      <c r="AR278" s="1" t="s">
        <v>39</v>
      </c>
      <c r="AS278" s="299" t="s">
        <v>180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27"/>
    </row>
    <row r="279" spans="17:52" x14ac:dyDescent="0.25">
      <c r="Q279" s="262" t="str">
        <f t="shared" si="24"/>
        <v>OutletGY 18 OUTLET Swim 1</v>
      </c>
      <c r="R279" s="35" t="str">
        <f t="shared" si="25"/>
        <v>2018OutletSpring</v>
      </c>
      <c r="S279" s="1">
        <v>2018</v>
      </c>
      <c r="T279" s="1" t="s">
        <v>17</v>
      </c>
      <c r="U279" s="1" t="s">
        <v>16</v>
      </c>
      <c r="V279" s="1" t="s">
        <v>279</v>
      </c>
      <c r="W279" s="27" t="s">
        <v>280</v>
      </c>
      <c r="AF279" s="35" t="str">
        <f t="shared" si="22"/>
        <v>GymboreeRetailCanada10</v>
      </c>
      <c r="AG279" s="1" t="s">
        <v>14</v>
      </c>
      <c r="AH279" s="1" t="s">
        <v>5</v>
      </c>
      <c r="AI279" s="1" t="s">
        <v>337</v>
      </c>
      <c r="AJ279" s="1">
        <v>10</v>
      </c>
      <c r="AK279" s="27">
        <v>0.4</v>
      </c>
      <c r="AM279" s="262" t="str">
        <f t="shared" si="23"/>
        <v>Janie &amp; JackUSARetail(new)</v>
      </c>
      <c r="AN279" s="1" t="s">
        <v>38</v>
      </c>
      <c r="AO279" s="1" t="s">
        <v>5</v>
      </c>
      <c r="AP279" s="1" t="s">
        <v>336</v>
      </c>
      <c r="AQ279" s="1">
        <v>2017</v>
      </c>
      <c r="AR279" s="1" t="s">
        <v>16</v>
      </c>
      <c r="AS279" s="299" t="s">
        <v>591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27"/>
    </row>
    <row r="280" spans="17:52" x14ac:dyDescent="0.25">
      <c r="Q280" s="262" t="str">
        <f t="shared" si="24"/>
        <v>OutletGY 18 OUTLET Swim 2</v>
      </c>
      <c r="R280" s="35" t="str">
        <f t="shared" si="25"/>
        <v>2018OutletSpring</v>
      </c>
      <c r="S280" s="1">
        <v>2018</v>
      </c>
      <c r="T280" s="1" t="s">
        <v>17</v>
      </c>
      <c r="U280" s="1" t="s">
        <v>16</v>
      </c>
      <c r="V280" s="1" t="s">
        <v>281</v>
      </c>
      <c r="W280" s="27" t="s">
        <v>282</v>
      </c>
      <c r="AF280" s="35" t="str">
        <f t="shared" si="22"/>
        <v>GymboreeRetailCanada11</v>
      </c>
      <c r="AG280" s="1" t="s">
        <v>14</v>
      </c>
      <c r="AH280" s="1" t="s">
        <v>5</v>
      </c>
      <c r="AI280" s="1" t="s">
        <v>337</v>
      </c>
      <c r="AJ280" s="1">
        <v>11</v>
      </c>
      <c r="AK280" s="27">
        <v>0.45</v>
      </c>
      <c r="AM280" s="262" t="str">
        <f t="shared" si="23"/>
        <v>Janie &amp; JackUSARetailJJ 17 DEC SWIM</v>
      </c>
      <c r="AN280" s="1" t="s">
        <v>38</v>
      </c>
      <c r="AO280" s="1" t="s">
        <v>5</v>
      </c>
      <c r="AP280" s="1" t="s">
        <v>336</v>
      </c>
      <c r="AQ280" s="1">
        <v>2017</v>
      </c>
      <c r="AR280" s="1" t="s">
        <v>16</v>
      </c>
      <c r="AS280" s="299" t="s">
        <v>183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27"/>
    </row>
    <row r="281" spans="17:52" x14ac:dyDescent="0.25">
      <c r="Q281" s="262" t="str">
        <f t="shared" si="24"/>
        <v>OutletGY 18 OUTLET VDAY</v>
      </c>
      <c r="R281" s="35" t="str">
        <f t="shared" si="25"/>
        <v>2018OutletSpring</v>
      </c>
      <c r="S281" s="1">
        <v>2018</v>
      </c>
      <c r="T281" s="1" t="s">
        <v>17</v>
      </c>
      <c r="U281" s="1" t="s">
        <v>16</v>
      </c>
      <c r="V281" s="1" t="s">
        <v>261</v>
      </c>
      <c r="W281" s="27" t="s">
        <v>262</v>
      </c>
      <c r="AF281" s="35" t="str">
        <f t="shared" si="22"/>
        <v>GymboreeRetailCanada12</v>
      </c>
      <c r="AG281" s="1" t="s">
        <v>14</v>
      </c>
      <c r="AH281" s="1" t="s">
        <v>5</v>
      </c>
      <c r="AI281" s="1" t="s">
        <v>337</v>
      </c>
      <c r="AJ281" s="1">
        <v>12</v>
      </c>
      <c r="AK281" s="27">
        <v>0.45</v>
      </c>
      <c r="AM281" s="262" t="str">
        <f t="shared" si="23"/>
        <v>Janie &amp; JackUSARetailJJ 17 DEC VDAY</v>
      </c>
      <c r="AN281" s="1" t="s">
        <v>38</v>
      </c>
      <c r="AO281" s="1" t="s">
        <v>5</v>
      </c>
      <c r="AP281" s="1" t="s">
        <v>336</v>
      </c>
      <c r="AQ281" s="1">
        <v>2017</v>
      </c>
      <c r="AR281" s="1" t="s">
        <v>16</v>
      </c>
      <c r="AS281" s="299" t="s">
        <v>205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27"/>
    </row>
    <row r="282" spans="17:52" x14ac:dyDescent="0.25">
      <c r="Q282" s="262" t="str">
        <f t="shared" si="24"/>
        <v>OutletGY 19 OUTLET VDAY</v>
      </c>
      <c r="R282" s="35" t="str">
        <f t="shared" si="25"/>
        <v>2018OutletSpring</v>
      </c>
      <c r="S282" s="1">
        <v>2018</v>
      </c>
      <c r="T282" s="1" t="s">
        <v>17</v>
      </c>
      <c r="U282" s="1" t="s">
        <v>16</v>
      </c>
      <c r="V282" s="1" t="s">
        <v>317</v>
      </c>
      <c r="W282" s="27" t="s">
        <v>261</v>
      </c>
      <c r="AF282" s="35" t="str">
        <f t="shared" si="22"/>
        <v>GymboreeRetailCanada13</v>
      </c>
      <c r="AG282" s="1" t="s">
        <v>14</v>
      </c>
      <c r="AH282" s="1" t="s">
        <v>5</v>
      </c>
      <c r="AI282" s="1" t="s">
        <v>337</v>
      </c>
      <c r="AJ282" s="1">
        <v>13</v>
      </c>
      <c r="AK282" s="27">
        <v>0.45</v>
      </c>
      <c r="AM282" s="262" t="str">
        <f t="shared" si="23"/>
        <v>Janie &amp; JackUSARetailJJ 17 DEC RESORT 2</v>
      </c>
      <c r="AN282" s="1" t="s">
        <v>38</v>
      </c>
      <c r="AO282" s="1" t="s">
        <v>5</v>
      </c>
      <c r="AP282" s="1" t="s">
        <v>336</v>
      </c>
      <c r="AQ282" s="1">
        <v>2017</v>
      </c>
      <c r="AR282" s="1" t="s">
        <v>16</v>
      </c>
      <c r="AS282" s="299" t="s">
        <v>207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27"/>
    </row>
    <row r="283" spans="17:52" x14ac:dyDescent="0.25">
      <c r="Q283" s="262" t="str">
        <f t="shared" si="24"/>
        <v>OutletGY 17 OUTLET BNB SUMMER</v>
      </c>
      <c r="R283" s="35" t="str">
        <f t="shared" si="25"/>
        <v>2018OutletSummer</v>
      </c>
      <c r="S283" s="1">
        <v>2018</v>
      </c>
      <c r="T283" s="1" t="s">
        <v>17</v>
      </c>
      <c r="U283" s="1" t="s">
        <v>18</v>
      </c>
      <c r="V283" s="1" t="s">
        <v>288</v>
      </c>
      <c r="W283" s="27" t="s">
        <v>564</v>
      </c>
      <c r="AF283" s="35" t="str">
        <f t="shared" si="22"/>
        <v>GymboreeRetailCanada14</v>
      </c>
      <c r="AG283" s="1" t="s">
        <v>14</v>
      </c>
      <c r="AH283" s="1" t="s">
        <v>5</v>
      </c>
      <c r="AI283" s="1" t="s">
        <v>337</v>
      </c>
      <c r="AJ283" s="1">
        <v>14</v>
      </c>
      <c r="AK283" s="27">
        <v>0.5</v>
      </c>
      <c r="AM283" s="262" t="str">
        <f t="shared" si="23"/>
        <v>Janie &amp; JackUSARetailJJ 17 JAN SPRING TRANS</v>
      </c>
      <c r="AN283" s="1" t="s">
        <v>38</v>
      </c>
      <c r="AO283" s="1" t="s">
        <v>5</v>
      </c>
      <c r="AP283" s="1" t="s">
        <v>336</v>
      </c>
      <c r="AQ283" s="1">
        <v>2017</v>
      </c>
      <c r="AR283" s="1" t="s">
        <v>16</v>
      </c>
      <c r="AS283" s="299" t="s">
        <v>213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27"/>
    </row>
    <row r="284" spans="17:52" x14ac:dyDescent="0.25">
      <c r="Q284" s="262" t="str">
        <f t="shared" si="24"/>
        <v>OutletGY 17 OUTLET GYM ACC SUM</v>
      </c>
      <c r="R284" s="35" t="str">
        <f t="shared" si="25"/>
        <v>2018OutletSummer</v>
      </c>
      <c r="S284" s="1">
        <v>2018</v>
      </c>
      <c r="T284" s="1" t="s">
        <v>17</v>
      </c>
      <c r="U284" s="1" t="s">
        <v>18</v>
      </c>
      <c r="V284" s="1" t="s">
        <v>386</v>
      </c>
      <c r="W284" s="27"/>
      <c r="AF284" s="35" t="str">
        <f t="shared" si="22"/>
        <v>GymboreeRetailCanada15</v>
      </c>
      <c r="AG284" s="1" t="s">
        <v>14</v>
      </c>
      <c r="AH284" s="1" t="s">
        <v>5</v>
      </c>
      <c r="AI284" s="1" t="s">
        <v>337</v>
      </c>
      <c r="AJ284" s="1">
        <v>15</v>
      </c>
      <c r="AK284" s="27">
        <v>0.5</v>
      </c>
      <c r="AM284" s="262" t="str">
        <f t="shared" si="23"/>
        <v>Janie &amp; JackUSARetailJJ 17 SB1/YEARLY BASICS</v>
      </c>
      <c r="AN284" s="1" t="s">
        <v>38</v>
      </c>
      <c r="AO284" s="1" t="s">
        <v>5</v>
      </c>
      <c r="AP284" s="1" t="s">
        <v>336</v>
      </c>
      <c r="AQ284" s="1">
        <v>2017</v>
      </c>
      <c r="AR284" s="1" t="s">
        <v>16</v>
      </c>
      <c r="AS284" s="299" t="s">
        <v>185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27"/>
    </row>
    <row r="285" spans="17:52" x14ac:dyDescent="0.25">
      <c r="Q285" s="262" t="str">
        <f t="shared" si="24"/>
        <v>OutletGY 17 OUTLET SMR</v>
      </c>
      <c r="R285" s="35" t="str">
        <f t="shared" si="25"/>
        <v>2018OutletSummer</v>
      </c>
      <c r="S285" s="1">
        <v>2018</v>
      </c>
      <c r="T285" s="1" t="s">
        <v>17</v>
      </c>
      <c r="U285" s="1" t="s">
        <v>18</v>
      </c>
      <c r="V285" s="1" t="s">
        <v>286</v>
      </c>
      <c r="W285" s="27" t="s">
        <v>565</v>
      </c>
      <c r="AF285" s="35" t="str">
        <f t="shared" si="22"/>
        <v>GymboreeRetailCanada16</v>
      </c>
      <c r="AG285" s="1" t="s">
        <v>14</v>
      </c>
      <c r="AH285" s="1" t="s">
        <v>5</v>
      </c>
      <c r="AI285" s="1" t="s">
        <v>337</v>
      </c>
      <c r="AJ285" s="1">
        <v>16</v>
      </c>
      <c r="AK285" s="27">
        <v>0.5</v>
      </c>
      <c r="AM285" s="262" t="str">
        <f t="shared" si="23"/>
        <v>Janie &amp; JackUSARetailJJ 17 JAN SWIM 2</v>
      </c>
      <c r="AN285" s="1" t="s">
        <v>38</v>
      </c>
      <c r="AO285" s="1" t="s">
        <v>5</v>
      </c>
      <c r="AP285" s="1" t="s">
        <v>336</v>
      </c>
      <c r="AQ285" s="1">
        <v>2017</v>
      </c>
      <c r="AR285" s="1" t="s">
        <v>16</v>
      </c>
      <c r="AS285" s="299" t="s">
        <v>187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27"/>
    </row>
    <row r="286" spans="17:52" x14ac:dyDescent="0.25">
      <c r="Q286" s="262" t="str">
        <f t="shared" si="24"/>
        <v>OutletGY 17 OUTLET Summer 1</v>
      </c>
      <c r="R286" s="35" t="str">
        <f t="shared" si="25"/>
        <v>2018OutletSummer</v>
      </c>
      <c r="S286" s="1">
        <v>2018</v>
      </c>
      <c r="T286" s="1" t="s">
        <v>17</v>
      </c>
      <c r="U286" s="1" t="s">
        <v>18</v>
      </c>
      <c r="V286" s="1" t="s">
        <v>292</v>
      </c>
      <c r="W286" s="27" t="s">
        <v>566</v>
      </c>
      <c r="AF286" s="35" t="str">
        <f t="shared" si="22"/>
        <v>GymboreeRetailCanada17</v>
      </c>
      <c r="AG286" s="1" t="s">
        <v>14</v>
      </c>
      <c r="AH286" s="1" t="s">
        <v>5</v>
      </c>
      <c r="AI286" s="1" t="s">
        <v>337</v>
      </c>
      <c r="AJ286" s="1">
        <v>17</v>
      </c>
      <c r="AK286" s="27">
        <v>0.55000000000000004</v>
      </c>
      <c r="AM286" s="262" t="str">
        <f t="shared" si="23"/>
        <v>Janie &amp; JackUSARetailJJ 17 JAN SPR GIFTING LAYETTE</v>
      </c>
      <c r="AN286" s="1" t="s">
        <v>38</v>
      </c>
      <c r="AO286" s="1" t="s">
        <v>5</v>
      </c>
      <c r="AP286" s="1" t="s">
        <v>336</v>
      </c>
      <c r="AQ286" s="1">
        <v>2017</v>
      </c>
      <c r="AR286" s="1" t="s">
        <v>16</v>
      </c>
      <c r="AS286" s="299" t="s">
        <v>217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27"/>
    </row>
    <row r="287" spans="17:52" x14ac:dyDescent="0.25">
      <c r="Q287" s="262" t="str">
        <f t="shared" si="24"/>
        <v>OutletGY 17 OUTLET SUMMER 2</v>
      </c>
      <c r="R287" s="35" t="str">
        <f t="shared" si="25"/>
        <v>2018OutletSummer</v>
      </c>
      <c r="S287" s="1">
        <v>2018</v>
      </c>
      <c r="T287" s="1" t="s">
        <v>17</v>
      </c>
      <c r="U287" s="1" t="s">
        <v>18</v>
      </c>
      <c r="V287" s="1" t="s">
        <v>294</v>
      </c>
      <c r="W287" s="27" t="s">
        <v>567</v>
      </c>
      <c r="AF287" s="35" t="str">
        <f t="shared" si="22"/>
        <v>GymboreeRetailCanada18</v>
      </c>
      <c r="AG287" s="1" t="s">
        <v>14</v>
      </c>
      <c r="AH287" s="1" t="s">
        <v>5</v>
      </c>
      <c r="AI287" s="1" t="s">
        <v>337</v>
      </c>
      <c r="AJ287" s="1">
        <v>18</v>
      </c>
      <c r="AK287" s="27">
        <v>0.55000000000000004</v>
      </c>
      <c r="AM287" s="262" t="str">
        <f t="shared" si="23"/>
        <v>Janie &amp; JackUSARetailJJ 17 JAN SPRING 1</v>
      </c>
      <c r="AN287" s="1" t="s">
        <v>38</v>
      </c>
      <c r="AO287" s="1" t="s">
        <v>5</v>
      </c>
      <c r="AP287" s="1" t="s">
        <v>336</v>
      </c>
      <c r="AQ287" s="1">
        <v>2017</v>
      </c>
      <c r="AR287" s="1" t="s">
        <v>16</v>
      </c>
      <c r="AS287" s="299" t="s">
        <v>203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27"/>
    </row>
    <row r="288" spans="17:52" x14ac:dyDescent="0.25">
      <c r="Q288" s="262" t="str">
        <f t="shared" si="24"/>
        <v>OutletGY 17 OUTLET SUMMER 3</v>
      </c>
      <c r="R288" s="35" t="str">
        <f t="shared" si="25"/>
        <v>2018OutletSummer</v>
      </c>
      <c r="S288" s="1">
        <v>2018</v>
      </c>
      <c r="T288" s="1" t="s">
        <v>17</v>
      </c>
      <c r="U288" s="1" t="s">
        <v>18</v>
      </c>
      <c r="V288" s="1" t="s">
        <v>296</v>
      </c>
      <c r="W288" s="27" t="s">
        <v>568</v>
      </c>
      <c r="AF288" s="35" t="str">
        <f t="shared" si="22"/>
        <v>GymboreeRetailCanada19</v>
      </c>
      <c r="AG288" s="1" t="s">
        <v>14</v>
      </c>
      <c r="AH288" s="1" t="s">
        <v>5</v>
      </c>
      <c r="AI288" s="1" t="s">
        <v>337</v>
      </c>
      <c r="AJ288" s="1">
        <v>19</v>
      </c>
      <c r="AK288" s="27">
        <v>0.55000000000000004</v>
      </c>
      <c r="AM288" s="262" t="str">
        <f t="shared" si="23"/>
        <v>Janie &amp; JackUSARetailJJ 17 JAN SO SB1</v>
      </c>
      <c r="AN288" s="1" t="s">
        <v>38</v>
      </c>
      <c r="AO288" s="1" t="s">
        <v>5</v>
      </c>
      <c r="AP288" s="1" t="s">
        <v>336</v>
      </c>
      <c r="AQ288" s="1">
        <v>2017</v>
      </c>
      <c r="AR288" s="1" t="s">
        <v>16</v>
      </c>
      <c r="AS288" s="299" t="s">
        <v>189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27"/>
    </row>
    <row r="289" spans="17:52" x14ac:dyDescent="0.25">
      <c r="Q289" s="262" t="str">
        <f t="shared" si="24"/>
        <v>OutletGY 17 OUTLET SUMMER 4</v>
      </c>
      <c r="R289" s="35" t="str">
        <f t="shared" si="25"/>
        <v>2018OutletSummer</v>
      </c>
      <c r="S289" s="1">
        <v>2018</v>
      </c>
      <c r="T289" s="1" t="s">
        <v>17</v>
      </c>
      <c r="U289" s="1" t="s">
        <v>18</v>
      </c>
      <c r="V289" s="1" t="s">
        <v>298</v>
      </c>
      <c r="W289" s="27" t="s">
        <v>569</v>
      </c>
      <c r="AF289" s="35" t="str">
        <f t="shared" si="22"/>
        <v>GymboreeRetailCanada20</v>
      </c>
      <c r="AG289" s="1" t="s">
        <v>14</v>
      </c>
      <c r="AH289" s="1" t="s">
        <v>5</v>
      </c>
      <c r="AI289" s="1" t="s">
        <v>337</v>
      </c>
      <c r="AJ289" s="1">
        <v>20</v>
      </c>
      <c r="AK289" s="27">
        <v>0.6</v>
      </c>
      <c r="AM289" s="262" t="str">
        <f t="shared" si="23"/>
        <v>Janie &amp; JackUSARetailJJ 17 FEB EASTER 1</v>
      </c>
      <c r="AN289" s="1" t="s">
        <v>38</v>
      </c>
      <c r="AO289" s="1" t="s">
        <v>5</v>
      </c>
      <c r="AP289" s="1" t="s">
        <v>336</v>
      </c>
      <c r="AQ289" s="1">
        <v>2017</v>
      </c>
      <c r="AR289" s="1" t="s">
        <v>16</v>
      </c>
      <c r="AS289" s="299" t="s">
        <v>209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27"/>
    </row>
    <row r="290" spans="17:52" x14ac:dyDescent="0.25">
      <c r="Q290" s="262" t="str">
        <f t="shared" si="24"/>
        <v>OutletGY 17 OUTLET SUMMER ACTIVE</v>
      </c>
      <c r="R290" s="35" t="str">
        <f t="shared" si="25"/>
        <v>2018OutletSummer</v>
      </c>
      <c r="S290" s="1">
        <v>2018</v>
      </c>
      <c r="T290" s="1" t="s">
        <v>17</v>
      </c>
      <c r="U290" s="1" t="s">
        <v>18</v>
      </c>
      <c r="V290" s="1" t="s">
        <v>290</v>
      </c>
      <c r="W290" s="27"/>
      <c r="AF290" s="35" t="str">
        <f t="shared" si="22"/>
        <v>GymboreeRetailCanada21</v>
      </c>
      <c r="AG290" s="1" t="s">
        <v>14</v>
      </c>
      <c r="AH290" s="1" t="s">
        <v>5</v>
      </c>
      <c r="AI290" s="1" t="s">
        <v>337</v>
      </c>
      <c r="AJ290" s="1">
        <v>21</v>
      </c>
      <c r="AK290" s="27">
        <v>0.6</v>
      </c>
      <c r="AM290" s="262" t="str">
        <f t="shared" si="23"/>
        <v>Janie &amp; JackUSARetailJJ 17 FEB EASTER GIFT LAY</v>
      </c>
      <c r="AN290" s="1" t="s">
        <v>38</v>
      </c>
      <c r="AO290" s="1" t="s">
        <v>5</v>
      </c>
      <c r="AP290" s="1" t="s">
        <v>336</v>
      </c>
      <c r="AQ290" s="1">
        <v>2017</v>
      </c>
      <c r="AR290" s="1" t="s">
        <v>16</v>
      </c>
      <c r="AS290" s="299" t="s">
        <v>211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27"/>
    </row>
    <row r="291" spans="17:52" x14ac:dyDescent="0.25">
      <c r="Q291" s="262" t="str">
        <f t="shared" si="24"/>
        <v>OutletGY 17 OUTLET SWIM 3</v>
      </c>
      <c r="R291" s="35" t="str">
        <f t="shared" si="25"/>
        <v>2018OutletSummer</v>
      </c>
      <c r="S291" s="1">
        <v>2018</v>
      </c>
      <c r="T291" s="1" t="s">
        <v>17</v>
      </c>
      <c r="U291" s="1" t="s">
        <v>18</v>
      </c>
      <c r="V291" s="1" t="s">
        <v>284</v>
      </c>
      <c r="W291" s="27" t="s">
        <v>570</v>
      </c>
      <c r="AF291" s="35" t="str">
        <f t="shared" si="22"/>
        <v>GymboreeRetailCanada22</v>
      </c>
      <c r="AG291" s="1" t="s">
        <v>14</v>
      </c>
      <c r="AH291" s="1" t="s">
        <v>5</v>
      </c>
      <c r="AI291" s="1" t="s">
        <v>337</v>
      </c>
      <c r="AJ291" s="1">
        <v>22</v>
      </c>
      <c r="AK291" s="27">
        <v>0.6</v>
      </c>
      <c r="AM291" s="262" t="str">
        <f t="shared" si="23"/>
        <v>Janie &amp; JackUSARetailJJ 17 MAR EASTER 2 A+B</v>
      </c>
      <c r="AN291" s="1" t="s">
        <v>38</v>
      </c>
      <c r="AO291" s="1" t="s">
        <v>5</v>
      </c>
      <c r="AP291" s="1" t="s">
        <v>336</v>
      </c>
      <c r="AQ291" s="1">
        <v>2017</v>
      </c>
      <c r="AR291" s="1" t="s">
        <v>16</v>
      </c>
      <c r="AS291" s="299" t="s">
        <v>215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27"/>
    </row>
    <row r="292" spans="17:52" x14ac:dyDescent="0.25">
      <c r="Q292" s="262" t="str">
        <f t="shared" si="24"/>
        <v>OutletGY 17 OUTLET TRANSITION</v>
      </c>
      <c r="R292" s="35" t="str">
        <f t="shared" si="25"/>
        <v>2018OutletSummer</v>
      </c>
      <c r="S292" s="1">
        <v>2018</v>
      </c>
      <c r="T292" s="1" t="s">
        <v>17</v>
      </c>
      <c r="U292" s="1" t="s">
        <v>18</v>
      </c>
      <c r="V292" s="1" t="s">
        <v>302</v>
      </c>
      <c r="W292" s="27" t="s">
        <v>571</v>
      </c>
      <c r="AF292" s="35" t="str">
        <f t="shared" si="22"/>
        <v>GymboreeRetailCanada23</v>
      </c>
      <c r="AG292" s="1" t="s">
        <v>14</v>
      </c>
      <c r="AH292" s="1" t="s">
        <v>5</v>
      </c>
      <c r="AI292" s="1" t="s">
        <v>337</v>
      </c>
      <c r="AJ292" s="1">
        <v>23</v>
      </c>
      <c r="AK292" s="27">
        <v>0.65</v>
      </c>
      <c r="AM292" s="262" t="str">
        <f t="shared" si="23"/>
        <v>Janie &amp; JackUSARetailJJ 17 SPR SO REFRESH</v>
      </c>
      <c r="AN292" s="1" t="s">
        <v>38</v>
      </c>
      <c r="AO292" s="1" t="s">
        <v>5</v>
      </c>
      <c r="AP292" s="1" t="s">
        <v>336</v>
      </c>
      <c r="AQ292" s="1">
        <v>2017</v>
      </c>
      <c r="AR292" s="1" t="s">
        <v>16</v>
      </c>
      <c r="AS292" s="299" t="s">
        <v>191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27"/>
    </row>
    <row r="293" spans="17:52" x14ac:dyDescent="0.25">
      <c r="Q293" s="262" t="str">
        <f t="shared" si="24"/>
        <v>OutletGY 17 OUTLET UNIFORM</v>
      </c>
      <c r="R293" s="35" t="str">
        <f t="shared" si="25"/>
        <v>2018OutletSummer</v>
      </c>
      <c r="S293" s="1">
        <v>2018</v>
      </c>
      <c r="T293" s="1" t="s">
        <v>17</v>
      </c>
      <c r="U293" s="1" t="s">
        <v>18</v>
      </c>
      <c r="V293" s="1" t="s">
        <v>300</v>
      </c>
      <c r="W293" s="27" t="s">
        <v>572</v>
      </c>
      <c r="AF293" s="35" t="str">
        <f t="shared" si="22"/>
        <v>GymboreeRetailCanada24</v>
      </c>
      <c r="AG293" s="1" t="s">
        <v>14</v>
      </c>
      <c r="AH293" s="1" t="s">
        <v>5</v>
      </c>
      <c r="AI293" s="1" t="s">
        <v>337</v>
      </c>
      <c r="AJ293" s="1">
        <v>24</v>
      </c>
      <c r="AK293" s="27">
        <v>0.65</v>
      </c>
      <c r="AM293" s="262" t="str">
        <f t="shared" si="23"/>
        <v>Janie &amp; JackUSARetailJJ 17 FEB SPR 2</v>
      </c>
      <c r="AN293" s="1" t="s">
        <v>38</v>
      </c>
      <c r="AO293" s="1" t="s">
        <v>5</v>
      </c>
      <c r="AP293" s="1" t="s">
        <v>336</v>
      </c>
      <c r="AQ293" s="1">
        <v>2017</v>
      </c>
      <c r="AR293" s="1" t="s">
        <v>16</v>
      </c>
      <c r="AS293" s="299" t="s">
        <v>219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27"/>
    </row>
    <row r="294" spans="17:52" x14ac:dyDescent="0.25">
      <c r="Q294" s="262" t="str">
        <f t="shared" si="24"/>
        <v>OutletGY 18 OUTLET BNB SUMMER</v>
      </c>
      <c r="R294" s="35" t="str">
        <f t="shared" si="25"/>
        <v>2018OutletSummer</v>
      </c>
      <c r="S294" s="1">
        <v>2018</v>
      </c>
      <c r="T294" s="1" t="s">
        <v>17</v>
      </c>
      <c r="U294" s="1" t="s">
        <v>18</v>
      </c>
      <c r="V294" s="1" t="s">
        <v>287</v>
      </c>
      <c r="W294" s="27" t="s">
        <v>288</v>
      </c>
      <c r="AF294" s="35" t="str">
        <f t="shared" si="22"/>
        <v>GymboreeRetailCanada25</v>
      </c>
      <c r="AG294" s="1" t="s">
        <v>14</v>
      </c>
      <c r="AH294" s="1" t="s">
        <v>5</v>
      </c>
      <c r="AI294" s="1" t="s">
        <v>337</v>
      </c>
      <c r="AJ294" s="1">
        <v>25</v>
      </c>
      <c r="AK294" s="27">
        <v>0.65</v>
      </c>
      <c r="AM294" s="262" t="str">
        <f t="shared" si="23"/>
        <v>Janie &amp; JackUSARetailJJ 17 APR LAY SWIM</v>
      </c>
      <c r="AN294" s="1" t="s">
        <v>38</v>
      </c>
      <c r="AO294" s="1" t="s">
        <v>5</v>
      </c>
      <c r="AP294" s="1" t="s">
        <v>336</v>
      </c>
      <c r="AQ294" s="1">
        <v>2017</v>
      </c>
      <c r="AR294" s="1" t="s">
        <v>16</v>
      </c>
      <c r="AS294" s="299" t="s">
        <v>196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27"/>
    </row>
    <row r="295" spans="17:52" x14ac:dyDescent="0.25">
      <c r="Q295" s="262" t="str">
        <f t="shared" si="24"/>
        <v>OutletGY 18 OUTLET SMR</v>
      </c>
      <c r="R295" s="35" t="str">
        <f t="shared" si="25"/>
        <v>2018OutletSummer</v>
      </c>
      <c r="S295" s="1">
        <v>2018</v>
      </c>
      <c r="T295" s="1" t="s">
        <v>17</v>
      </c>
      <c r="U295" s="1" t="s">
        <v>18</v>
      </c>
      <c r="V295" s="1" t="s">
        <v>285</v>
      </c>
      <c r="W295" s="27" t="s">
        <v>286</v>
      </c>
      <c r="AF295" s="35" t="str">
        <f t="shared" si="22"/>
        <v>GymboreeRetailCanada26</v>
      </c>
      <c r="AG295" s="1" t="s">
        <v>14</v>
      </c>
      <c r="AH295" s="1" t="s">
        <v>5</v>
      </c>
      <c r="AI295" s="1" t="s">
        <v>337</v>
      </c>
      <c r="AJ295" s="1">
        <v>26</v>
      </c>
      <c r="AK295" s="27">
        <v>0.7</v>
      </c>
      <c r="AM295" s="262" t="str">
        <f t="shared" si="23"/>
        <v>Janie &amp; JackUSARetail(new)</v>
      </c>
      <c r="AN295" s="1" t="s">
        <v>38</v>
      </c>
      <c r="AO295" s="1" t="s">
        <v>5</v>
      </c>
      <c r="AP295" s="1" t="s">
        <v>336</v>
      </c>
      <c r="AQ295" s="1">
        <v>2017</v>
      </c>
      <c r="AR295" s="1" t="s">
        <v>16</v>
      </c>
      <c r="AS295" s="299" t="s">
        <v>591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27"/>
    </row>
    <row r="296" spans="17:52" x14ac:dyDescent="0.25">
      <c r="Q296" s="262" t="str">
        <f t="shared" si="24"/>
        <v>OutletGY 18 OUTLET Summer 1</v>
      </c>
      <c r="R296" s="35" t="str">
        <f t="shared" si="25"/>
        <v>2018OutletSummer</v>
      </c>
      <c r="S296" s="1">
        <v>2018</v>
      </c>
      <c r="T296" s="1" t="s">
        <v>17</v>
      </c>
      <c r="U296" s="1" t="s">
        <v>18</v>
      </c>
      <c r="V296" s="1" t="s">
        <v>291</v>
      </c>
      <c r="W296" s="27" t="s">
        <v>292</v>
      </c>
      <c r="AF296" s="35" t="str">
        <f t="shared" si="22"/>
        <v>GymboreeRetailCanada27</v>
      </c>
      <c r="AG296" s="1" t="s">
        <v>14</v>
      </c>
      <c r="AH296" s="1" t="s">
        <v>5</v>
      </c>
      <c r="AI296" s="1" t="s">
        <v>337</v>
      </c>
      <c r="AJ296" s="1">
        <v>27</v>
      </c>
      <c r="AK296" s="27">
        <v>0.7</v>
      </c>
      <c r="AM296" s="262" t="str">
        <f t="shared" si="23"/>
        <v>Janie &amp; JackUSARetailJJ 17 MAR SUMMER 0</v>
      </c>
      <c r="AN296" s="1" t="s">
        <v>38</v>
      </c>
      <c r="AO296" s="1" t="s">
        <v>5</v>
      </c>
      <c r="AP296" s="1" t="s">
        <v>336</v>
      </c>
      <c r="AQ296" s="1">
        <v>2017</v>
      </c>
      <c r="AR296" s="1" t="s">
        <v>18</v>
      </c>
      <c r="AS296" s="299" t="s">
        <v>223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27"/>
    </row>
    <row r="297" spans="17:52" x14ac:dyDescent="0.25">
      <c r="Q297" s="262" t="str">
        <f t="shared" si="24"/>
        <v>OutletGY 18 OUTLET SUMMER 2</v>
      </c>
      <c r="R297" s="35" t="str">
        <f t="shared" si="25"/>
        <v>2018OutletSummer</v>
      </c>
      <c r="S297" s="1">
        <v>2018</v>
      </c>
      <c r="T297" s="1" t="s">
        <v>17</v>
      </c>
      <c r="U297" s="1" t="s">
        <v>18</v>
      </c>
      <c r="V297" s="1" t="s">
        <v>293</v>
      </c>
      <c r="W297" s="27" t="s">
        <v>294</v>
      </c>
      <c r="AF297" s="35" t="str">
        <f t="shared" si="22"/>
        <v>GymboreeRetailCanada28</v>
      </c>
      <c r="AG297" s="1" t="s">
        <v>14</v>
      </c>
      <c r="AH297" s="1" t="s">
        <v>5</v>
      </c>
      <c r="AI297" s="1" t="s">
        <v>337</v>
      </c>
      <c r="AJ297" s="1">
        <v>28</v>
      </c>
      <c r="AK297" s="27">
        <v>0.7</v>
      </c>
      <c r="AM297" s="262" t="str">
        <f t="shared" si="23"/>
        <v>Janie &amp; JackUSARetailJJ 17 APR SMR 1 A+B</v>
      </c>
      <c r="AN297" s="1" t="s">
        <v>38</v>
      </c>
      <c r="AO297" s="1" t="s">
        <v>5</v>
      </c>
      <c r="AP297" s="1" t="s">
        <v>336</v>
      </c>
      <c r="AQ297" s="1">
        <v>2017</v>
      </c>
      <c r="AR297" s="1" t="s">
        <v>18</v>
      </c>
      <c r="AS297" s="299" t="s">
        <v>225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27"/>
    </row>
    <row r="298" spans="17:52" x14ac:dyDescent="0.25">
      <c r="Q298" s="262" t="str">
        <f t="shared" si="24"/>
        <v>OutletGY 18 OUTLET SUMMER 3</v>
      </c>
      <c r="R298" s="35" t="str">
        <f t="shared" si="25"/>
        <v>2018OutletSummer</v>
      </c>
      <c r="S298" s="1">
        <v>2018</v>
      </c>
      <c r="T298" s="1" t="s">
        <v>17</v>
      </c>
      <c r="U298" s="1" t="s">
        <v>18</v>
      </c>
      <c r="V298" s="1" t="s">
        <v>295</v>
      </c>
      <c r="W298" s="27" t="s">
        <v>296</v>
      </c>
      <c r="AF298" s="35" t="str">
        <f t="shared" si="22"/>
        <v>GymboreeRetailCanada29</v>
      </c>
      <c r="AG298" s="1" t="s">
        <v>14</v>
      </c>
      <c r="AH298" s="1" t="s">
        <v>5</v>
      </c>
      <c r="AI298" s="1" t="s">
        <v>337</v>
      </c>
      <c r="AJ298" s="1">
        <v>29</v>
      </c>
      <c r="AK298" s="27">
        <v>0.75</v>
      </c>
      <c r="AM298" s="262" t="str">
        <f t="shared" si="23"/>
        <v>Janie &amp; JackUSARetailJJ 17 SMR BASICS</v>
      </c>
      <c r="AN298" s="1" t="s">
        <v>38</v>
      </c>
      <c r="AO298" s="1" t="s">
        <v>5</v>
      </c>
      <c r="AP298" s="1" t="s">
        <v>336</v>
      </c>
      <c r="AQ298" s="1">
        <v>2017</v>
      </c>
      <c r="AR298" s="1" t="s">
        <v>18</v>
      </c>
      <c r="AS298" s="299" t="s">
        <v>193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27"/>
    </row>
    <row r="299" spans="17:52" x14ac:dyDescent="0.25">
      <c r="Q299" s="262" t="str">
        <f t="shared" si="24"/>
        <v>OutletGY 18 OUTLET SUMMER 4</v>
      </c>
      <c r="R299" s="35" t="str">
        <f t="shared" si="25"/>
        <v>2018OutletSummer</v>
      </c>
      <c r="S299" s="1">
        <v>2018</v>
      </c>
      <c r="T299" s="1" t="s">
        <v>17</v>
      </c>
      <c r="U299" s="1" t="s">
        <v>18</v>
      </c>
      <c r="V299" s="1" t="s">
        <v>297</v>
      </c>
      <c r="W299" s="27" t="s">
        <v>298</v>
      </c>
      <c r="AF299" s="35" t="str">
        <f t="shared" si="22"/>
        <v>GymboreeRetailCanada30</v>
      </c>
      <c r="AG299" s="1" t="s">
        <v>14</v>
      </c>
      <c r="AH299" s="1" t="s">
        <v>5</v>
      </c>
      <c r="AI299" s="1" t="s">
        <v>337</v>
      </c>
      <c r="AJ299" s="1">
        <v>30</v>
      </c>
      <c r="AK299" s="27">
        <v>0.75</v>
      </c>
      <c r="AM299" s="262" t="str">
        <f t="shared" si="23"/>
        <v>Janie &amp; JackUSARetail(new)</v>
      </c>
      <c r="AN299" s="1" t="s">
        <v>38</v>
      </c>
      <c r="AO299" s="1" t="s">
        <v>5</v>
      </c>
      <c r="AP299" s="1" t="s">
        <v>336</v>
      </c>
      <c r="AQ299" s="1">
        <v>2017</v>
      </c>
      <c r="AR299" s="1" t="s">
        <v>18</v>
      </c>
      <c r="AS299" s="299" t="s">
        <v>591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27"/>
    </row>
    <row r="300" spans="17:52" x14ac:dyDescent="0.25">
      <c r="Q300" s="262" t="str">
        <f t="shared" si="24"/>
        <v>OutletGY 18 OUTLET SUMMER ACTIVE</v>
      </c>
      <c r="R300" s="35" t="str">
        <f t="shared" si="25"/>
        <v>2018OutletSummer</v>
      </c>
      <c r="S300" s="1">
        <v>2018</v>
      </c>
      <c r="T300" s="1" t="s">
        <v>17</v>
      </c>
      <c r="U300" s="1" t="s">
        <v>18</v>
      </c>
      <c r="V300" s="1" t="s">
        <v>289</v>
      </c>
      <c r="W300" s="27" t="s">
        <v>290</v>
      </c>
      <c r="AF300" s="35" t="str">
        <f t="shared" si="22"/>
        <v>GymboreeRetailCanada31</v>
      </c>
      <c r="AG300" s="1" t="s">
        <v>14</v>
      </c>
      <c r="AH300" s="1" t="s">
        <v>5</v>
      </c>
      <c r="AI300" s="1" t="s">
        <v>337</v>
      </c>
      <c r="AJ300" s="1">
        <v>31</v>
      </c>
      <c r="AK300" s="27">
        <v>0.75</v>
      </c>
      <c r="AM300" s="262" t="str">
        <f t="shared" si="23"/>
        <v>Janie &amp; JackUSARetailJJ 17 SUMMER 2</v>
      </c>
      <c r="AN300" s="1" t="s">
        <v>38</v>
      </c>
      <c r="AO300" s="1" t="s">
        <v>5</v>
      </c>
      <c r="AP300" s="1" t="s">
        <v>336</v>
      </c>
      <c r="AQ300" s="1">
        <v>2017</v>
      </c>
      <c r="AR300" s="1" t="s">
        <v>18</v>
      </c>
      <c r="AS300" s="299" t="s">
        <v>227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27"/>
    </row>
    <row r="301" spans="17:52" x14ac:dyDescent="0.25">
      <c r="Q301" s="262" t="str">
        <f t="shared" si="24"/>
        <v>OutletGY 18 OUTLET SWIM 3</v>
      </c>
      <c r="R301" s="35" t="str">
        <f t="shared" si="25"/>
        <v>2018OutletSummer</v>
      </c>
      <c r="S301" s="1">
        <v>2018</v>
      </c>
      <c r="T301" s="1" t="s">
        <v>17</v>
      </c>
      <c r="U301" s="1" t="s">
        <v>18</v>
      </c>
      <c r="V301" s="1" t="s">
        <v>283</v>
      </c>
      <c r="W301" s="27" t="s">
        <v>284</v>
      </c>
      <c r="AF301" s="35" t="str">
        <f t="shared" si="22"/>
        <v>GymboreeRetailCanada32</v>
      </c>
      <c r="AG301" s="1" t="s">
        <v>14</v>
      </c>
      <c r="AH301" s="1" t="s">
        <v>5</v>
      </c>
      <c r="AI301" s="1" t="s">
        <v>337</v>
      </c>
      <c r="AJ301" s="1">
        <v>32</v>
      </c>
      <c r="AK301" s="27">
        <v>0.75</v>
      </c>
      <c r="AM301" s="262" t="str">
        <f t="shared" si="23"/>
        <v>Janie &amp; JackUSARetailJJ 17 4TH OF JULY</v>
      </c>
      <c r="AN301" s="1" t="s">
        <v>38</v>
      </c>
      <c r="AO301" s="1" t="s">
        <v>5</v>
      </c>
      <c r="AP301" s="1" t="s">
        <v>336</v>
      </c>
      <c r="AQ301" s="1">
        <v>2017</v>
      </c>
      <c r="AR301" s="1" t="s">
        <v>18</v>
      </c>
      <c r="AS301" s="299" t="s">
        <v>229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27"/>
    </row>
    <row r="302" spans="17:52" x14ac:dyDescent="0.25">
      <c r="Q302" s="262" t="str">
        <f t="shared" si="24"/>
        <v>OutletGY 18 OUTLET TRANSITION</v>
      </c>
      <c r="R302" s="35" t="str">
        <f t="shared" si="25"/>
        <v>2018OutletSummer</v>
      </c>
      <c r="S302" s="1">
        <v>2018</v>
      </c>
      <c r="T302" s="1" t="s">
        <v>17</v>
      </c>
      <c r="U302" s="1" t="s">
        <v>18</v>
      </c>
      <c r="V302" s="1" t="s">
        <v>301</v>
      </c>
      <c r="W302" s="27" t="s">
        <v>302</v>
      </c>
      <c r="AF302" s="35" t="str">
        <f t="shared" si="22"/>
        <v>GymboreeRetailCanada33</v>
      </c>
      <c r="AG302" s="1" t="s">
        <v>14</v>
      </c>
      <c r="AH302" s="1" t="s">
        <v>5</v>
      </c>
      <c r="AI302" s="1" t="s">
        <v>337</v>
      </c>
      <c r="AJ302" s="1">
        <v>33</v>
      </c>
      <c r="AK302" s="27">
        <v>0.8</v>
      </c>
      <c r="AM302" s="262" t="str">
        <f t="shared" si="23"/>
        <v>Janie &amp; JackUSARetailJJ 17 TRANS GIFTING LAY</v>
      </c>
      <c r="AN302" s="1" t="s">
        <v>38</v>
      </c>
      <c r="AO302" s="1" t="s">
        <v>5</v>
      </c>
      <c r="AP302" s="1" t="s">
        <v>336</v>
      </c>
      <c r="AQ302" s="1">
        <v>2017</v>
      </c>
      <c r="AR302" s="1" t="s">
        <v>18</v>
      </c>
      <c r="AS302" s="299" t="s">
        <v>239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27"/>
    </row>
    <row r="303" spans="17:52" x14ac:dyDescent="0.25">
      <c r="Q303" s="262" t="str">
        <f t="shared" si="24"/>
        <v>OutletGY 18 OUTLET UNIFORM</v>
      </c>
      <c r="R303" s="35" t="str">
        <f t="shared" si="25"/>
        <v>2018OutletSummer</v>
      </c>
      <c r="S303" s="1">
        <v>2018</v>
      </c>
      <c r="T303" s="1" t="s">
        <v>17</v>
      </c>
      <c r="U303" s="1" t="s">
        <v>18</v>
      </c>
      <c r="V303" s="1" t="s">
        <v>299</v>
      </c>
      <c r="W303" s="27" t="s">
        <v>300</v>
      </c>
      <c r="AF303" s="35" t="str">
        <f t="shared" si="22"/>
        <v>GymboreeRetailCanada34</v>
      </c>
      <c r="AG303" s="1" t="s">
        <v>14</v>
      </c>
      <c r="AH303" s="1" t="s">
        <v>5</v>
      </c>
      <c r="AI303" s="1" t="s">
        <v>337</v>
      </c>
      <c r="AJ303" s="1">
        <v>34</v>
      </c>
      <c r="AK303" s="27">
        <v>0.8</v>
      </c>
      <c r="AM303" s="262" t="str">
        <f t="shared" si="23"/>
        <v>Janie &amp; JackUSARetailJJ 17 SUMMER 3</v>
      </c>
      <c r="AN303" s="1" t="s">
        <v>38</v>
      </c>
      <c r="AO303" s="1" t="s">
        <v>5</v>
      </c>
      <c r="AP303" s="1" t="s">
        <v>336</v>
      </c>
      <c r="AQ303" s="1">
        <v>2017</v>
      </c>
      <c r="AR303" s="1" t="s">
        <v>18</v>
      </c>
      <c r="AS303" s="299" t="s">
        <v>232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27"/>
    </row>
    <row r="304" spans="17:52" x14ac:dyDescent="0.25">
      <c r="Q304" s="262" t="str">
        <f t="shared" si="24"/>
        <v>OutletGY 17 FAL</v>
      </c>
      <c r="R304" s="35" t="str">
        <f t="shared" si="25"/>
        <v>2018OutletWinter</v>
      </c>
      <c r="S304" s="1">
        <v>2018</v>
      </c>
      <c r="T304" s="1" t="s">
        <v>17</v>
      </c>
      <c r="U304" s="1" t="s">
        <v>40</v>
      </c>
      <c r="V304" s="1" t="s">
        <v>388</v>
      </c>
      <c r="W304" s="27"/>
      <c r="AF304" s="35" t="str">
        <f t="shared" si="22"/>
        <v>GymboreeRetailCanada35</v>
      </c>
      <c r="AG304" s="1" t="s">
        <v>14</v>
      </c>
      <c r="AH304" s="1" t="s">
        <v>5</v>
      </c>
      <c r="AI304" s="1" t="s">
        <v>337</v>
      </c>
      <c r="AJ304" s="1">
        <v>35</v>
      </c>
      <c r="AK304" s="27">
        <v>0.8</v>
      </c>
      <c r="AM304" s="262" t="str">
        <f t="shared" si="23"/>
        <v>Janie &amp; JackUSARetail(new)</v>
      </c>
      <c r="AN304" s="1" t="s">
        <v>38</v>
      </c>
      <c r="AO304" s="1" t="s">
        <v>5</v>
      </c>
      <c r="AP304" s="1" t="s">
        <v>336</v>
      </c>
      <c r="AQ304" s="1">
        <v>2017</v>
      </c>
      <c r="AR304" s="1" t="s">
        <v>18</v>
      </c>
      <c r="AS304" s="299" t="s">
        <v>591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27"/>
    </row>
    <row r="305" spans="17:52" x14ac:dyDescent="0.25">
      <c r="Q305" s="262" t="str">
        <f t="shared" si="24"/>
        <v>OutletGY 17 FALL 2</v>
      </c>
      <c r="R305" s="35" t="str">
        <f t="shared" si="25"/>
        <v>2018OutletWinter</v>
      </c>
      <c r="S305" s="1">
        <v>2018</v>
      </c>
      <c r="T305" s="1" t="s">
        <v>17</v>
      </c>
      <c r="U305" s="1" t="s">
        <v>40</v>
      </c>
      <c r="V305" s="1" t="s">
        <v>389</v>
      </c>
      <c r="W305" s="27"/>
      <c r="AF305" s="35" t="str">
        <f t="shared" si="22"/>
        <v>GymboreeRetailCanada36</v>
      </c>
      <c r="AG305" s="1" t="s">
        <v>14</v>
      </c>
      <c r="AH305" s="1" t="s">
        <v>5</v>
      </c>
      <c r="AI305" s="1" t="s">
        <v>337</v>
      </c>
      <c r="AJ305" s="1">
        <v>36</v>
      </c>
      <c r="AK305" s="27">
        <v>0.8</v>
      </c>
      <c r="AM305" s="262" t="str">
        <f t="shared" si="23"/>
        <v>Janie &amp; JackUSARetailJJ 17 SUMMER 4</v>
      </c>
      <c r="AN305" s="1" t="s">
        <v>38</v>
      </c>
      <c r="AO305" s="1" t="s">
        <v>5</v>
      </c>
      <c r="AP305" s="1" t="s">
        <v>336</v>
      </c>
      <c r="AQ305" s="1">
        <v>2017</v>
      </c>
      <c r="AR305" s="1" t="s">
        <v>18</v>
      </c>
      <c r="AS305" s="299" t="s">
        <v>234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27"/>
    </row>
    <row r="306" spans="17:52" x14ac:dyDescent="0.25">
      <c r="Q306" s="262" t="str">
        <f t="shared" si="24"/>
        <v>OutletGY 17 FALL 3</v>
      </c>
      <c r="R306" s="35" t="str">
        <f t="shared" si="25"/>
        <v>2018OutletWinter</v>
      </c>
      <c r="S306" s="1">
        <v>2018</v>
      </c>
      <c r="T306" s="1" t="s">
        <v>17</v>
      </c>
      <c r="U306" s="1" t="s">
        <v>40</v>
      </c>
      <c r="V306" s="1" t="s">
        <v>390</v>
      </c>
      <c r="W306" s="27"/>
      <c r="AF306" s="35" t="str">
        <f t="shared" si="22"/>
        <v>GymboreeRetailCanada37</v>
      </c>
      <c r="AG306" s="1" t="s">
        <v>14</v>
      </c>
      <c r="AH306" s="1" t="s">
        <v>5</v>
      </c>
      <c r="AI306" s="1" t="s">
        <v>337</v>
      </c>
      <c r="AJ306" s="1">
        <v>37</v>
      </c>
      <c r="AK306" s="27">
        <v>0.8</v>
      </c>
      <c r="AM306" s="262" t="str">
        <f t="shared" si="23"/>
        <v>Janie &amp; JackUSARetailJJ 17 JULY TRANS 1</v>
      </c>
      <c r="AN306" s="1" t="s">
        <v>38</v>
      </c>
      <c r="AO306" s="1" t="s">
        <v>5</v>
      </c>
      <c r="AP306" s="1" t="s">
        <v>336</v>
      </c>
      <c r="AQ306" s="1">
        <v>2017</v>
      </c>
      <c r="AR306" s="1" t="s">
        <v>18</v>
      </c>
      <c r="AS306" s="299" t="s">
        <v>236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27"/>
    </row>
    <row r="307" spans="17:52" x14ac:dyDescent="0.25">
      <c r="Q307" s="262" t="str">
        <f t="shared" si="24"/>
        <v>OutletGY 17 FALL 4</v>
      </c>
      <c r="R307" s="35" t="str">
        <f t="shared" si="25"/>
        <v>2018OutletWinter</v>
      </c>
      <c r="S307" s="1">
        <v>2018</v>
      </c>
      <c r="T307" s="1" t="s">
        <v>17</v>
      </c>
      <c r="U307" s="1" t="s">
        <v>40</v>
      </c>
      <c r="V307" s="1" t="s">
        <v>391</v>
      </c>
      <c r="W307" s="27"/>
      <c r="AF307" s="35" t="str">
        <f t="shared" si="22"/>
        <v>GymboreeRetailCanada38</v>
      </c>
      <c r="AG307" s="1" t="s">
        <v>14</v>
      </c>
      <c r="AH307" s="1" t="s">
        <v>5</v>
      </c>
      <c r="AI307" s="1" t="s">
        <v>337</v>
      </c>
      <c r="AJ307" s="1">
        <v>38</v>
      </c>
      <c r="AK307" s="27">
        <v>0.8</v>
      </c>
      <c r="AM307" s="262" t="str">
        <f t="shared" si="23"/>
        <v>Janie &amp; JackUSARetailJJ 17 TRANS 2</v>
      </c>
      <c r="AN307" s="1" t="s">
        <v>38</v>
      </c>
      <c r="AO307" s="1" t="s">
        <v>5</v>
      </c>
      <c r="AP307" s="1" t="s">
        <v>336</v>
      </c>
      <c r="AQ307" s="1">
        <v>2017</v>
      </c>
      <c r="AR307" s="1" t="s">
        <v>18</v>
      </c>
      <c r="AS307" s="299" t="s">
        <v>176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27"/>
    </row>
    <row r="308" spans="17:52" x14ac:dyDescent="0.25">
      <c r="Q308" s="262" t="str">
        <f t="shared" si="24"/>
        <v>OutletGY 17 FALL BASICS</v>
      </c>
      <c r="R308" s="35" t="str">
        <f t="shared" si="25"/>
        <v>2018OutletWinter</v>
      </c>
      <c r="S308" s="1">
        <v>2018</v>
      </c>
      <c r="T308" s="1" t="s">
        <v>17</v>
      </c>
      <c r="U308" s="1" t="s">
        <v>40</v>
      </c>
      <c r="V308" s="1" t="s">
        <v>148</v>
      </c>
      <c r="W308" s="27"/>
      <c r="AF308" s="35" t="str">
        <f t="shared" si="22"/>
        <v>GymboreeRetailCanada39</v>
      </c>
      <c r="AG308" s="1" t="s">
        <v>14</v>
      </c>
      <c r="AH308" s="1" t="s">
        <v>5</v>
      </c>
      <c r="AI308" s="1" t="s">
        <v>337</v>
      </c>
      <c r="AJ308" s="1">
        <v>39</v>
      </c>
      <c r="AK308" s="27">
        <v>0.8</v>
      </c>
      <c r="AM308" s="262" t="str">
        <f t="shared" si="23"/>
        <v>Janie &amp; JackUSARetail(new)</v>
      </c>
      <c r="AN308" s="1" t="s">
        <v>38</v>
      </c>
      <c r="AO308" s="1" t="s">
        <v>5</v>
      </c>
      <c r="AP308" s="1" t="s">
        <v>336</v>
      </c>
      <c r="AQ308" s="1">
        <v>2017</v>
      </c>
      <c r="AR308" s="1" t="s">
        <v>18</v>
      </c>
      <c r="AS308" s="299" t="s">
        <v>591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27"/>
    </row>
    <row r="309" spans="17:52" x14ac:dyDescent="0.25">
      <c r="Q309" s="262" t="str">
        <f t="shared" si="24"/>
        <v>OutletGY 17 HO HO SHOP</v>
      </c>
      <c r="R309" s="35" t="str">
        <f t="shared" si="25"/>
        <v>2018OutletWinter</v>
      </c>
      <c r="S309" s="1">
        <v>2018</v>
      </c>
      <c r="T309" s="1" t="s">
        <v>17</v>
      </c>
      <c r="U309" s="1" t="s">
        <v>40</v>
      </c>
      <c r="V309" s="1" t="s">
        <v>392</v>
      </c>
      <c r="W309" s="27"/>
      <c r="AF309" s="35" t="str">
        <f t="shared" si="22"/>
        <v>GymboreeRetailCanada40</v>
      </c>
      <c r="AG309" s="1" t="s">
        <v>14</v>
      </c>
      <c r="AH309" s="1" t="s">
        <v>5</v>
      </c>
      <c r="AI309" s="1" t="s">
        <v>337</v>
      </c>
      <c r="AJ309" s="1">
        <v>40</v>
      </c>
      <c r="AK309" s="27">
        <v>0.8</v>
      </c>
      <c r="AM309" s="262" t="str">
        <f t="shared" si="23"/>
        <v>Janie &amp; JackUSARetailJJ 17 SO SB2</v>
      </c>
      <c r="AN309" s="1" t="s">
        <v>38</v>
      </c>
      <c r="AO309" s="1" t="s">
        <v>5</v>
      </c>
      <c r="AP309" s="1" t="s">
        <v>336</v>
      </c>
      <c r="AQ309" s="1">
        <v>2017</v>
      </c>
      <c r="AR309" s="1" t="s">
        <v>18</v>
      </c>
      <c r="AS309" s="299" t="s">
        <v>200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27"/>
    </row>
    <row r="310" spans="17:52" x14ac:dyDescent="0.25">
      <c r="Q310" s="262" t="str">
        <f t="shared" si="24"/>
        <v>OutletGY 17 OUTLET BNB WINTER</v>
      </c>
      <c r="R310" s="35" t="str">
        <f t="shared" si="25"/>
        <v>2018OutletWinter</v>
      </c>
      <c r="S310" s="1">
        <v>2018</v>
      </c>
      <c r="T310" s="1" t="s">
        <v>17</v>
      </c>
      <c r="U310" s="1" t="s">
        <v>40</v>
      </c>
      <c r="V310" s="1" t="s">
        <v>310</v>
      </c>
      <c r="W310" s="27" t="s">
        <v>573</v>
      </c>
      <c r="AF310" s="35" t="str">
        <f t="shared" si="22"/>
        <v>GymboreeRetailCanada41</v>
      </c>
      <c r="AG310" s="1" t="s">
        <v>14</v>
      </c>
      <c r="AH310" s="1" t="s">
        <v>5</v>
      </c>
      <c r="AI310" s="1" t="s">
        <v>337</v>
      </c>
      <c r="AJ310" s="1">
        <v>41</v>
      </c>
      <c r="AK310" s="27">
        <v>0.8</v>
      </c>
      <c r="AM310" s="262" t="str">
        <f t="shared" si="23"/>
        <v>Janie &amp; JackUSARetailJJ 17 JULY TRANS 3 GIRL ONLY</v>
      </c>
      <c r="AN310" s="1" t="s">
        <v>38</v>
      </c>
      <c r="AO310" s="1" t="s">
        <v>5</v>
      </c>
      <c r="AP310" s="1" t="s">
        <v>336</v>
      </c>
      <c r="AQ310" s="1">
        <v>2017</v>
      </c>
      <c r="AR310" s="1" t="s">
        <v>18</v>
      </c>
      <c r="AS310" s="299" t="s">
        <v>178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27"/>
    </row>
    <row r="311" spans="17:52" x14ac:dyDescent="0.25">
      <c r="Q311" s="262" t="str">
        <f t="shared" si="24"/>
        <v>OutletGY 17 OUTLET FLEECE</v>
      </c>
      <c r="R311" s="35" t="str">
        <f t="shared" si="25"/>
        <v>2018OutletWinter</v>
      </c>
      <c r="S311" s="1">
        <v>2018</v>
      </c>
      <c r="T311" s="1" t="s">
        <v>17</v>
      </c>
      <c r="U311" s="1" t="s">
        <v>40</v>
      </c>
      <c r="V311" s="1" t="s">
        <v>312</v>
      </c>
      <c r="W311" s="27" t="s">
        <v>574</v>
      </c>
      <c r="AF311" s="35" t="str">
        <f t="shared" si="22"/>
        <v>GymboreeRetailCanada42</v>
      </c>
      <c r="AG311" s="1" t="s">
        <v>14</v>
      </c>
      <c r="AH311" s="1" t="s">
        <v>5</v>
      </c>
      <c r="AI311" s="1" t="s">
        <v>337</v>
      </c>
      <c r="AJ311" s="1">
        <v>42</v>
      </c>
      <c r="AK311" s="27">
        <v>0.8</v>
      </c>
      <c r="AM311" s="262" t="str">
        <f t="shared" si="23"/>
        <v>Janie &amp; JackUSARetail(new)</v>
      </c>
      <c r="AN311" s="1" t="s">
        <v>38</v>
      </c>
      <c r="AO311" s="1" t="s">
        <v>5</v>
      </c>
      <c r="AP311" s="1" t="s">
        <v>336</v>
      </c>
      <c r="AQ311" s="1">
        <v>2017</v>
      </c>
      <c r="AR311" s="1" t="s">
        <v>18</v>
      </c>
      <c r="AS311" s="299" t="s">
        <v>591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27"/>
    </row>
    <row r="312" spans="17:52" x14ac:dyDescent="0.25">
      <c r="Q312" s="262" t="str">
        <f t="shared" si="24"/>
        <v>OutletGY 17 OUTLET GYM ACC WTR</v>
      </c>
      <c r="R312" s="35" t="str">
        <f t="shared" si="25"/>
        <v>2018OutletWinter</v>
      </c>
      <c r="S312" s="1">
        <v>2018</v>
      </c>
      <c r="T312" s="1" t="s">
        <v>17</v>
      </c>
      <c r="U312" s="1" t="s">
        <v>40</v>
      </c>
      <c r="V312" s="1" t="s">
        <v>387</v>
      </c>
      <c r="W312" s="27"/>
      <c r="AF312" s="35" t="str">
        <f t="shared" si="22"/>
        <v>GymboreeRetailCanada43</v>
      </c>
      <c r="AG312" s="1" t="s">
        <v>14</v>
      </c>
      <c r="AH312" s="1" t="s">
        <v>5</v>
      </c>
      <c r="AI312" s="1" t="s">
        <v>337</v>
      </c>
      <c r="AJ312" s="1">
        <v>43</v>
      </c>
      <c r="AK312" s="27">
        <v>0.8</v>
      </c>
      <c r="AM312" s="262" t="str">
        <f t="shared" si="23"/>
        <v>Janie &amp; JackUSARetailJJ 17 FALL GIFTING LAY</v>
      </c>
      <c r="AN312" s="1" t="s">
        <v>38</v>
      </c>
      <c r="AO312" s="1" t="s">
        <v>5</v>
      </c>
      <c r="AP312" s="1" t="s">
        <v>336</v>
      </c>
      <c r="AQ312" s="1">
        <v>2017</v>
      </c>
      <c r="AR312" s="1" t="s">
        <v>18</v>
      </c>
      <c r="AS312" s="299" t="s">
        <v>393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27"/>
    </row>
    <row r="313" spans="17:52" x14ac:dyDescent="0.25">
      <c r="Q313" s="262" t="str">
        <f t="shared" si="24"/>
        <v>OutletGY 17 OUTLET SPRING TRANS</v>
      </c>
      <c r="R313" s="35" t="str">
        <f t="shared" si="25"/>
        <v>2018OutletWinter</v>
      </c>
      <c r="S313" s="1">
        <v>2018</v>
      </c>
      <c r="T313" s="1" t="s">
        <v>17</v>
      </c>
      <c r="U313" s="1" t="s">
        <v>40</v>
      </c>
      <c r="V313" s="1" t="s">
        <v>316</v>
      </c>
      <c r="W313" s="27" t="s">
        <v>575</v>
      </c>
      <c r="AF313" s="35" t="str">
        <f t="shared" si="22"/>
        <v>GymboreeRetailCanada44</v>
      </c>
      <c r="AG313" s="1" t="s">
        <v>14</v>
      </c>
      <c r="AH313" s="1" t="s">
        <v>5</v>
      </c>
      <c r="AI313" s="1" t="s">
        <v>337</v>
      </c>
      <c r="AJ313" s="1">
        <v>44</v>
      </c>
      <c r="AK313" s="27">
        <v>0.8</v>
      </c>
      <c r="AM313" s="262" t="str">
        <f t="shared" si="23"/>
        <v>Janie &amp; JackUSAWebJJ 3RD PARTY</v>
      </c>
      <c r="AN313" s="1" t="s">
        <v>38</v>
      </c>
      <c r="AO313" s="1" t="s">
        <v>15</v>
      </c>
      <c r="AP313" s="1" t="s">
        <v>336</v>
      </c>
      <c r="AQ313" s="1">
        <v>2017</v>
      </c>
      <c r="AR313" s="1" t="s">
        <v>41</v>
      </c>
      <c r="AS313" s="299" t="s">
        <v>330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27"/>
    </row>
    <row r="314" spans="17:52" x14ac:dyDescent="0.25">
      <c r="Q314" s="262" t="str">
        <f t="shared" si="24"/>
        <v>OutletGY 17 OUTLET WINTER 1</v>
      </c>
      <c r="R314" s="35" t="str">
        <f t="shared" si="25"/>
        <v>2018OutletWinter</v>
      </c>
      <c r="S314" s="1">
        <v>2018</v>
      </c>
      <c r="T314" s="1" t="s">
        <v>17</v>
      </c>
      <c r="U314" s="1" t="s">
        <v>40</v>
      </c>
      <c r="V314" s="1" t="s">
        <v>304</v>
      </c>
      <c r="W314" s="27" t="s">
        <v>576</v>
      </c>
      <c r="AF314" s="35" t="str">
        <f t="shared" si="22"/>
        <v>GymboreeRetailCanada45</v>
      </c>
      <c r="AG314" s="1" t="s">
        <v>14</v>
      </c>
      <c r="AH314" s="1" t="s">
        <v>5</v>
      </c>
      <c r="AI314" s="1" t="s">
        <v>337</v>
      </c>
      <c r="AJ314" s="1">
        <v>45</v>
      </c>
      <c r="AK314" s="27">
        <v>0.8</v>
      </c>
      <c r="AM314" s="262" t="str">
        <f t="shared" si="23"/>
        <v>Janie &amp; JackUSAWebJJ 17 SB2</v>
      </c>
      <c r="AN314" s="1" t="s">
        <v>38</v>
      </c>
      <c r="AO314" s="1" t="s">
        <v>15</v>
      </c>
      <c r="AP314" s="1" t="s">
        <v>336</v>
      </c>
      <c r="AQ314" s="1">
        <v>2017</v>
      </c>
      <c r="AR314" s="1" t="s">
        <v>41</v>
      </c>
      <c r="AS314" s="299" t="s">
        <v>198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27"/>
    </row>
    <row r="315" spans="17:52" x14ac:dyDescent="0.25">
      <c r="Q315" s="262" t="str">
        <f t="shared" si="24"/>
        <v>OutletGY 17 OUTLET WINTER 2</v>
      </c>
      <c r="R315" s="35" t="str">
        <f t="shared" si="25"/>
        <v>2018OutletWinter</v>
      </c>
      <c r="S315" s="1">
        <v>2018</v>
      </c>
      <c r="T315" s="1" t="s">
        <v>17</v>
      </c>
      <c r="U315" s="1" t="s">
        <v>40</v>
      </c>
      <c r="V315" s="1" t="s">
        <v>308</v>
      </c>
      <c r="W315" s="27" t="s">
        <v>577</v>
      </c>
      <c r="AF315" s="35" t="str">
        <f t="shared" si="22"/>
        <v>GymboreeRetailCanada46</v>
      </c>
      <c r="AG315" s="1" t="s">
        <v>14</v>
      </c>
      <c r="AH315" s="1" t="s">
        <v>5</v>
      </c>
      <c r="AI315" s="1" t="s">
        <v>337</v>
      </c>
      <c r="AJ315" s="1">
        <v>46</v>
      </c>
      <c r="AK315" s="27">
        <v>0.8</v>
      </c>
      <c r="AM315" s="262" t="str">
        <f t="shared" si="23"/>
        <v>Janie &amp; JackUSAWebJJ 17 FALL 0</v>
      </c>
      <c r="AN315" s="1" t="s">
        <v>38</v>
      </c>
      <c r="AO315" s="1" t="s">
        <v>15</v>
      </c>
      <c r="AP315" s="1" t="s">
        <v>336</v>
      </c>
      <c r="AQ315" s="1">
        <v>2017</v>
      </c>
      <c r="AR315" s="1" t="s">
        <v>39</v>
      </c>
      <c r="AS315" s="299" t="s">
        <v>180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27"/>
    </row>
    <row r="316" spans="17:52" x14ac:dyDescent="0.25">
      <c r="Q316" s="262" t="str">
        <f t="shared" si="24"/>
        <v>OutletGY 17 OUTLET WINTER 3</v>
      </c>
      <c r="R316" s="35" t="str">
        <f t="shared" si="25"/>
        <v>2018OutletWinter</v>
      </c>
      <c r="S316" s="1">
        <v>2018</v>
      </c>
      <c r="T316" s="1" t="s">
        <v>17</v>
      </c>
      <c r="U316" s="1" t="s">
        <v>40</v>
      </c>
      <c r="V316" s="1" t="s">
        <v>314</v>
      </c>
      <c r="W316" s="27" t="s">
        <v>578</v>
      </c>
      <c r="AF316" s="35" t="str">
        <f t="shared" si="22"/>
        <v>GymboreeRetailCanada47</v>
      </c>
      <c r="AG316" s="1" t="s">
        <v>14</v>
      </c>
      <c r="AH316" s="1" t="s">
        <v>5</v>
      </c>
      <c r="AI316" s="1" t="s">
        <v>337</v>
      </c>
      <c r="AJ316" s="1">
        <v>47</v>
      </c>
      <c r="AK316" s="27">
        <v>0.8</v>
      </c>
      <c r="AM316" s="262" t="str">
        <f t="shared" si="23"/>
        <v>Janie &amp; JackUSAWeb(new)</v>
      </c>
      <c r="AN316" s="1" t="s">
        <v>38</v>
      </c>
      <c r="AO316" s="1" t="s">
        <v>15</v>
      </c>
      <c r="AP316" s="1" t="s">
        <v>336</v>
      </c>
      <c r="AQ316" s="1">
        <v>2017</v>
      </c>
      <c r="AR316" s="1" t="s">
        <v>16</v>
      </c>
      <c r="AS316" s="299" t="s">
        <v>591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27"/>
    </row>
    <row r="317" spans="17:52" x14ac:dyDescent="0.25">
      <c r="Q317" s="262" t="str">
        <f t="shared" si="24"/>
        <v>OutletGY 17 OUTLET WTR</v>
      </c>
      <c r="R317" s="35" t="str">
        <f t="shared" si="25"/>
        <v>2018OutletWinter</v>
      </c>
      <c r="S317" s="1">
        <v>2018</v>
      </c>
      <c r="T317" s="1" t="s">
        <v>17</v>
      </c>
      <c r="U317" s="1" t="s">
        <v>40</v>
      </c>
      <c r="V317" s="1" t="s">
        <v>306</v>
      </c>
      <c r="W317" s="27" t="s">
        <v>579</v>
      </c>
      <c r="AF317" s="35" t="str">
        <f t="shared" si="22"/>
        <v>GymboreeRetailCanada48</v>
      </c>
      <c r="AG317" s="1" t="s">
        <v>14</v>
      </c>
      <c r="AH317" s="1" t="s">
        <v>5</v>
      </c>
      <c r="AI317" s="1" t="s">
        <v>337</v>
      </c>
      <c r="AJ317" s="1">
        <v>48</v>
      </c>
      <c r="AK317" s="27">
        <v>0.8</v>
      </c>
      <c r="AM317" s="262" t="str">
        <f t="shared" si="23"/>
        <v>Janie &amp; JackUSAWebJJ 17 DEC SWIM</v>
      </c>
      <c r="AN317" s="1" t="s">
        <v>38</v>
      </c>
      <c r="AO317" s="1" t="s">
        <v>15</v>
      </c>
      <c r="AP317" s="1" t="s">
        <v>336</v>
      </c>
      <c r="AQ317" s="1">
        <v>2017</v>
      </c>
      <c r="AR317" s="1" t="s">
        <v>16</v>
      </c>
      <c r="AS317" s="299" t="s">
        <v>183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27"/>
    </row>
    <row r="318" spans="17:52" x14ac:dyDescent="0.25">
      <c r="Q318" s="262" t="str">
        <f t="shared" si="24"/>
        <v>OutletGY 18 OUTLET BNB WINTER</v>
      </c>
      <c r="R318" s="35" t="str">
        <f t="shared" si="25"/>
        <v>2018OutletWinter</v>
      </c>
      <c r="S318" s="1">
        <v>2018</v>
      </c>
      <c r="T318" s="1" t="s">
        <v>17</v>
      </c>
      <c r="U318" s="1" t="s">
        <v>40</v>
      </c>
      <c r="V318" s="1" t="s">
        <v>309</v>
      </c>
      <c r="W318" s="27" t="s">
        <v>310</v>
      </c>
      <c r="AF318" s="35" t="str">
        <f t="shared" si="22"/>
        <v>GymboreeRetailCanada49</v>
      </c>
      <c r="AG318" s="1" t="s">
        <v>14</v>
      </c>
      <c r="AH318" s="1" t="s">
        <v>5</v>
      </c>
      <c r="AI318" s="1" t="s">
        <v>337</v>
      </c>
      <c r="AJ318" s="1">
        <v>49</v>
      </c>
      <c r="AK318" s="27">
        <v>0.8</v>
      </c>
      <c r="AM318" s="262" t="str">
        <f t="shared" si="23"/>
        <v>Janie &amp; JackUSAWebJJ 17 DEC VDAY</v>
      </c>
      <c r="AN318" s="1" t="s">
        <v>38</v>
      </c>
      <c r="AO318" s="1" t="s">
        <v>15</v>
      </c>
      <c r="AP318" s="1" t="s">
        <v>336</v>
      </c>
      <c r="AQ318" s="1">
        <v>2017</v>
      </c>
      <c r="AR318" s="1" t="s">
        <v>16</v>
      </c>
      <c r="AS318" s="299" t="s">
        <v>205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27"/>
    </row>
    <row r="319" spans="17:52" x14ac:dyDescent="0.25">
      <c r="Q319" s="262" t="str">
        <f t="shared" si="24"/>
        <v>OutletGY 18 OUTLET POLAR FLEECE</v>
      </c>
      <c r="R319" s="35" t="str">
        <f t="shared" si="25"/>
        <v>2018OutletWinter</v>
      </c>
      <c r="S319" s="1">
        <v>2018</v>
      </c>
      <c r="T319" s="1" t="s">
        <v>17</v>
      </c>
      <c r="U319" s="1" t="s">
        <v>40</v>
      </c>
      <c r="V319" s="1" t="s">
        <v>311</v>
      </c>
      <c r="W319" s="27" t="s">
        <v>312</v>
      </c>
      <c r="AF319" s="35" t="str">
        <f t="shared" si="22"/>
        <v>GymboreeRetailCanada50</v>
      </c>
      <c r="AG319" s="1" t="s">
        <v>14</v>
      </c>
      <c r="AH319" s="1" t="s">
        <v>5</v>
      </c>
      <c r="AI319" s="1" t="s">
        <v>337</v>
      </c>
      <c r="AJ319" s="1">
        <v>50</v>
      </c>
      <c r="AK319" s="27">
        <v>0.8</v>
      </c>
      <c r="AM319" s="262" t="str">
        <f t="shared" si="23"/>
        <v>Janie &amp; JackUSAWebJJ 17 DEC RESORT 2</v>
      </c>
      <c r="AN319" s="1" t="s">
        <v>38</v>
      </c>
      <c r="AO319" s="1" t="s">
        <v>15</v>
      </c>
      <c r="AP319" s="1" t="s">
        <v>336</v>
      </c>
      <c r="AQ319" s="1">
        <v>2017</v>
      </c>
      <c r="AR319" s="1" t="s">
        <v>16</v>
      </c>
      <c r="AS319" s="299" t="s">
        <v>207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27"/>
    </row>
    <row r="320" spans="17:52" x14ac:dyDescent="0.25">
      <c r="Q320" s="262" t="str">
        <f t="shared" si="24"/>
        <v>OutletGY 18 OUTLET SPRING TRANS</v>
      </c>
      <c r="R320" s="35" t="str">
        <f t="shared" si="25"/>
        <v>2018OutletWinter</v>
      </c>
      <c r="S320" s="1">
        <v>2018</v>
      </c>
      <c r="T320" s="1" t="s">
        <v>17</v>
      </c>
      <c r="U320" s="1" t="s">
        <v>40</v>
      </c>
      <c r="V320" s="1" t="s">
        <v>315</v>
      </c>
      <c r="W320" s="27" t="s">
        <v>316</v>
      </c>
      <c r="AF320" s="35" t="str">
        <f t="shared" si="22"/>
        <v>GymboreeRetailCanada51</v>
      </c>
      <c r="AG320" s="1" t="s">
        <v>14</v>
      </c>
      <c r="AH320" s="1" t="s">
        <v>5</v>
      </c>
      <c r="AI320" s="1" t="s">
        <v>337</v>
      </c>
      <c r="AJ320" s="1">
        <v>51</v>
      </c>
      <c r="AK320" s="27">
        <v>0.8</v>
      </c>
      <c r="AM320" s="262" t="str">
        <f t="shared" si="23"/>
        <v>Janie &amp; JackUSAWebJJ 17 JAN SPRING TRANS</v>
      </c>
      <c r="AN320" s="1" t="s">
        <v>38</v>
      </c>
      <c r="AO320" s="1" t="s">
        <v>15</v>
      </c>
      <c r="AP320" s="1" t="s">
        <v>336</v>
      </c>
      <c r="AQ320" s="1">
        <v>2017</v>
      </c>
      <c r="AR320" s="1" t="s">
        <v>16</v>
      </c>
      <c r="AS320" s="299" t="s">
        <v>213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27"/>
    </row>
    <row r="321" spans="17:52" x14ac:dyDescent="0.25">
      <c r="Q321" s="262" t="str">
        <f t="shared" si="24"/>
        <v>OutletGY 18 OUTLET WINTER 1</v>
      </c>
      <c r="R321" s="35" t="str">
        <f t="shared" si="25"/>
        <v>2018OutletWinter</v>
      </c>
      <c r="S321" s="1">
        <v>2018</v>
      </c>
      <c r="T321" s="1" t="s">
        <v>17</v>
      </c>
      <c r="U321" s="1" t="s">
        <v>40</v>
      </c>
      <c r="V321" s="1" t="s">
        <v>303</v>
      </c>
      <c r="W321" s="27" t="s">
        <v>304</v>
      </c>
      <c r="AF321" s="35" t="str">
        <f t="shared" si="22"/>
        <v>GymboreeRetailCanada52</v>
      </c>
      <c r="AG321" s="1" t="s">
        <v>14</v>
      </c>
      <c r="AH321" s="1" t="s">
        <v>5</v>
      </c>
      <c r="AI321" s="1" t="s">
        <v>337</v>
      </c>
      <c r="AJ321" s="1">
        <v>52</v>
      </c>
      <c r="AK321" s="27">
        <v>0.8</v>
      </c>
      <c r="AM321" s="262" t="str">
        <f t="shared" si="23"/>
        <v>Janie &amp; JackUSAWebJJ 17 SB1/YEARLY BASICS</v>
      </c>
      <c r="AN321" s="1" t="s">
        <v>38</v>
      </c>
      <c r="AO321" s="1" t="s">
        <v>15</v>
      </c>
      <c r="AP321" s="1" t="s">
        <v>336</v>
      </c>
      <c r="AQ321" s="1">
        <v>2017</v>
      </c>
      <c r="AR321" s="1" t="s">
        <v>16</v>
      </c>
      <c r="AS321" s="299" t="s">
        <v>185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27"/>
    </row>
    <row r="322" spans="17:52" x14ac:dyDescent="0.25">
      <c r="Q322" s="262" t="str">
        <f t="shared" si="24"/>
        <v>OutletGY 18 OUTLET WINTER 2</v>
      </c>
      <c r="R322" s="35" t="str">
        <f t="shared" si="25"/>
        <v>2018OutletWinter</v>
      </c>
      <c r="S322" s="1">
        <v>2018</v>
      </c>
      <c r="T322" s="1" t="s">
        <v>17</v>
      </c>
      <c r="U322" s="1" t="s">
        <v>40</v>
      </c>
      <c r="V322" s="1" t="s">
        <v>307</v>
      </c>
      <c r="W322" s="27" t="s">
        <v>308</v>
      </c>
      <c r="AF322" s="35" t="str">
        <f t="shared" si="22"/>
        <v>GymboreeRetailCanada53</v>
      </c>
      <c r="AG322" s="1" t="s">
        <v>14</v>
      </c>
      <c r="AH322" s="1" t="s">
        <v>5</v>
      </c>
      <c r="AI322" s="1" t="s">
        <v>337</v>
      </c>
      <c r="AJ322" s="1">
        <v>53</v>
      </c>
      <c r="AK322" s="27">
        <v>0.8</v>
      </c>
      <c r="AM322" s="262" t="str">
        <f t="shared" si="23"/>
        <v>Janie &amp; JackUSAWebJJ 17 JAN SWIM 2</v>
      </c>
      <c r="AN322" s="1" t="s">
        <v>38</v>
      </c>
      <c r="AO322" s="1" t="s">
        <v>15</v>
      </c>
      <c r="AP322" s="1" t="s">
        <v>336</v>
      </c>
      <c r="AQ322" s="1">
        <v>2017</v>
      </c>
      <c r="AR322" s="1" t="s">
        <v>16</v>
      </c>
      <c r="AS322" s="299" t="s">
        <v>187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27"/>
    </row>
    <row r="323" spans="17:52" x14ac:dyDescent="0.25">
      <c r="Q323" s="262" t="str">
        <f t="shared" si="24"/>
        <v>OutletGY 18 OUTLET WINTER 3</v>
      </c>
      <c r="R323" s="35" t="str">
        <f t="shared" si="25"/>
        <v>2018OutletWinter</v>
      </c>
      <c r="S323" s="1">
        <v>2018</v>
      </c>
      <c r="T323" s="1" t="s">
        <v>17</v>
      </c>
      <c r="U323" s="1" t="s">
        <v>40</v>
      </c>
      <c r="V323" s="1" t="s">
        <v>313</v>
      </c>
      <c r="W323" s="27" t="s">
        <v>314</v>
      </c>
      <c r="AF323" s="35" t="str">
        <f t="shared" si="22"/>
        <v>GymboreeWebUSA1</v>
      </c>
      <c r="AG323" s="1" t="s">
        <v>14</v>
      </c>
      <c r="AH323" s="1" t="s">
        <v>15</v>
      </c>
      <c r="AI323" s="1" t="s">
        <v>336</v>
      </c>
      <c r="AJ323" s="1">
        <v>1</v>
      </c>
      <c r="AK323" s="27">
        <v>0.1</v>
      </c>
      <c r="AM323" s="262" t="str">
        <f t="shared" si="23"/>
        <v>Janie &amp; JackUSAWebJJ 17 JAN SPR GIFTING LAYETTE</v>
      </c>
      <c r="AN323" s="1" t="s">
        <v>38</v>
      </c>
      <c r="AO323" s="1" t="s">
        <v>15</v>
      </c>
      <c r="AP323" s="1" t="s">
        <v>336</v>
      </c>
      <c r="AQ323" s="1">
        <v>2017</v>
      </c>
      <c r="AR323" s="1" t="s">
        <v>16</v>
      </c>
      <c r="AS323" s="299" t="s">
        <v>217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27"/>
    </row>
    <row r="324" spans="17:52" x14ac:dyDescent="0.25">
      <c r="Q324" s="263" t="str">
        <f t="shared" si="24"/>
        <v>OutletGY 18 OUTLET WTR</v>
      </c>
      <c r="R324" s="43" t="str">
        <f t="shared" si="25"/>
        <v>2018OutletWinter</v>
      </c>
      <c r="S324" s="37">
        <v>2018</v>
      </c>
      <c r="T324" s="37" t="s">
        <v>17</v>
      </c>
      <c r="U324" s="37" t="s">
        <v>40</v>
      </c>
      <c r="V324" s="37" t="s">
        <v>305</v>
      </c>
      <c r="W324" s="34" t="s">
        <v>306</v>
      </c>
      <c r="AF324" s="35" t="str">
        <f t="shared" si="22"/>
        <v>GymboreeWebUSA2</v>
      </c>
      <c r="AG324" s="1" t="s">
        <v>14</v>
      </c>
      <c r="AH324" s="1" t="s">
        <v>15</v>
      </c>
      <c r="AI324" s="1" t="s">
        <v>336</v>
      </c>
      <c r="AJ324" s="1">
        <v>2</v>
      </c>
      <c r="AK324" s="27">
        <v>0.1</v>
      </c>
      <c r="AM324" s="262" t="str">
        <f t="shared" si="23"/>
        <v>Janie &amp; JackUSAWebJJ 17 JAN SPRING 1</v>
      </c>
      <c r="AN324" s="1" t="s">
        <v>38</v>
      </c>
      <c r="AO324" s="1" t="s">
        <v>15</v>
      </c>
      <c r="AP324" s="1" t="s">
        <v>336</v>
      </c>
      <c r="AQ324" s="1">
        <v>2017</v>
      </c>
      <c r="AR324" s="1" t="s">
        <v>16</v>
      </c>
      <c r="AS324" s="299" t="s">
        <v>203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27"/>
    </row>
    <row r="325" spans="17:52" x14ac:dyDescent="0.25">
      <c r="AF325" s="35" t="str">
        <f t="shared" si="22"/>
        <v>GymboreeWebUSA3</v>
      </c>
      <c r="AG325" s="1" t="s">
        <v>14</v>
      </c>
      <c r="AH325" s="1" t="s">
        <v>15</v>
      </c>
      <c r="AI325" s="1" t="s">
        <v>336</v>
      </c>
      <c r="AJ325" s="1">
        <v>3</v>
      </c>
      <c r="AK325" s="27">
        <v>0.35</v>
      </c>
      <c r="AM325" s="262" t="str">
        <f t="shared" si="23"/>
        <v>Janie &amp; JackUSAWebJJ 17 JAN SO SB1</v>
      </c>
      <c r="AN325" s="1" t="s">
        <v>38</v>
      </c>
      <c r="AO325" s="1" t="s">
        <v>15</v>
      </c>
      <c r="AP325" s="1" t="s">
        <v>336</v>
      </c>
      <c r="AQ325" s="1">
        <v>2017</v>
      </c>
      <c r="AR325" s="1" t="s">
        <v>16</v>
      </c>
      <c r="AS325" s="299" t="s">
        <v>189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27"/>
    </row>
    <row r="326" spans="17:52" x14ac:dyDescent="0.25">
      <c r="AF326" s="35" t="str">
        <f t="shared" ref="AF326:AF389" si="26">AG326&amp;AH326&amp;AI326&amp;AJ326</f>
        <v>GymboreeWebUSA4</v>
      </c>
      <c r="AG326" s="1" t="s">
        <v>14</v>
      </c>
      <c r="AH326" s="1" t="s">
        <v>15</v>
      </c>
      <c r="AI326" s="1" t="s">
        <v>336</v>
      </c>
      <c r="AJ326" s="1">
        <v>4</v>
      </c>
      <c r="AK326" s="27">
        <v>0.35</v>
      </c>
      <c r="AM326" s="262" t="str">
        <f t="shared" ref="AM326:AM389" si="27">AN326&amp;AP326&amp;AO326&amp;AS326</f>
        <v>Janie &amp; JackUSAWebJJ 17 FEB EASTER 1</v>
      </c>
      <c r="AN326" s="1" t="s">
        <v>38</v>
      </c>
      <c r="AO326" s="1" t="s">
        <v>15</v>
      </c>
      <c r="AP326" s="1" t="s">
        <v>336</v>
      </c>
      <c r="AQ326" s="1">
        <v>2017</v>
      </c>
      <c r="AR326" s="1" t="s">
        <v>16</v>
      </c>
      <c r="AS326" s="299" t="s">
        <v>209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27"/>
    </row>
    <row r="327" spans="17:52" x14ac:dyDescent="0.25">
      <c r="AF327" s="35" t="str">
        <f t="shared" si="26"/>
        <v>GymboreeWebUSA5</v>
      </c>
      <c r="AG327" s="1" t="s">
        <v>14</v>
      </c>
      <c r="AH327" s="1" t="s">
        <v>15</v>
      </c>
      <c r="AI327" s="1" t="s">
        <v>336</v>
      </c>
      <c r="AJ327" s="1">
        <v>5</v>
      </c>
      <c r="AK327" s="27">
        <v>0.35</v>
      </c>
      <c r="AM327" s="262" t="str">
        <f t="shared" si="27"/>
        <v>Janie &amp; JackUSAWebJJ 17 FEB EASTER GIFT LAY</v>
      </c>
      <c r="AN327" s="1" t="s">
        <v>38</v>
      </c>
      <c r="AO327" s="1" t="s">
        <v>15</v>
      </c>
      <c r="AP327" s="1" t="s">
        <v>336</v>
      </c>
      <c r="AQ327" s="1">
        <v>2017</v>
      </c>
      <c r="AR327" s="1" t="s">
        <v>16</v>
      </c>
      <c r="AS327" s="299" t="s">
        <v>211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27"/>
    </row>
    <row r="328" spans="17:52" x14ac:dyDescent="0.25">
      <c r="AF328" s="35" t="str">
        <f t="shared" si="26"/>
        <v>GymboreeWebUSA6</v>
      </c>
      <c r="AG328" s="1" t="s">
        <v>14</v>
      </c>
      <c r="AH328" s="1" t="s">
        <v>15</v>
      </c>
      <c r="AI328" s="1" t="s">
        <v>336</v>
      </c>
      <c r="AJ328" s="1">
        <v>6</v>
      </c>
      <c r="AK328" s="27">
        <v>0.35</v>
      </c>
      <c r="AM328" s="262" t="str">
        <f t="shared" si="27"/>
        <v>Janie &amp; JackUSAWebJJ 17 MAR EASTER 2 A+B</v>
      </c>
      <c r="AN328" s="1" t="s">
        <v>38</v>
      </c>
      <c r="AO328" s="1" t="s">
        <v>15</v>
      </c>
      <c r="AP328" s="1" t="s">
        <v>336</v>
      </c>
      <c r="AQ328" s="1">
        <v>2017</v>
      </c>
      <c r="AR328" s="1" t="s">
        <v>16</v>
      </c>
      <c r="AS328" s="299" t="s">
        <v>215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27"/>
    </row>
    <row r="329" spans="17:52" x14ac:dyDescent="0.25">
      <c r="AF329" s="35" t="str">
        <f t="shared" si="26"/>
        <v>GymboreeWebUSA7</v>
      </c>
      <c r="AG329" s="1" t="s">
        <v>14</v>
      </c>
      <c r="AH329" s="1" t="s">
        <v>15</v>
      </c>
      <c r="AI329" s="1" t="s">
        <v>336</v>
      </c>
      <c r="AJ329" s="1">
        <v>7</v>
      </c>
      <c r="AK329" s="27">
        <v>0.4</v>
      </c>
      <c r="AM329" s="262" t="str">
        <f t="shared" si="27"/>
        <v>Janie &amp; JackUSAWebJJ 17 SPR SO REFRESH</v>
      </c>
      <c r="AN329" s="1" t="s">
        <v>38</v>
      </c>
      <c r="AO329" s="1" t="s">
        <v>15</v>
      </c>
      <c r="AP329" s="1" t="s">
        <v>336</v>
      </c>
      <c r="AQ329" s="1">
        <v>2017</v>
      </c>
      <c r="AR329" s="1" t="s">
        <v>16</v>
      </c>
      <c r="AS329" s="299" t="s">
        <v>191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27"/>
    </row>
    <row r="330" spans="17:52" x14ac:dyDescent="0.25">
      <c r="AF330" s="35" t="str">
        <f t="shared" si="26"/>
        <v>GymboreeWebUSA8</v>
      </c>
      <c r="AG330" s="1" t="s">
        <v>14</v>
      </c>
      <c r="AH330" s="1" t="s">
        <v>15</v>
      </c>
      <c r="AI330" s="1" t="s">
        <v>336</v>
      </c>
      <c r="AJ330" s="1">
        <v>8</v>
      </c>
      <c r="AK330" s="27">
        <v>0.4</v>
      </c>
      <c r="AM330" s="262" t="str">
        <f t="shared" si="27"/>
        <v>Janie &amp; JackUSAWebJJ 17 FEB SPR 2</v>
      </c>
      <c r="AN330" s="1" t="s">
        <v>38</v>
      </c>
      <c r="AO330" s="1" t="s">
        <v>15</v>
      </c>
      <c r="AP330" s="1" t="s">
        <v>336</v>
      </c>
      <c r="AQ330" s="1">
        <v>2017</v>
      </c>
      <c r="AR330" s="1" t="s">
        <v>16</v>
      </c>
      <c r="AS330" s="299" t="s">
        <v>219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27"/>
    </row>
    <row r="331" spans="17:52" x14ac:dyDescent="0.25">
      <c r="AF331" s="35" t="str">
        <f t="shared" si="26"/>
        <v>GymboreeWebUSA9</v>
      </c>
      <c r="AG331" s="1" t="s">
        <v>14</v>
      </c>
      <c r="AH331" s="1" t="s">
        <v>15</v>
      </c>
      <c r="AI331" s="1" t="s">
        <v>336</v>
      </c>
      <c r="AJ331" s="1">
        <v>9</v>
      </c>
      <c r="AK331" s="27">
        <v>0.4</v>
      </c>
      <c r="AM331" s="262" t="str">
        <f t="shared" si="27"/>
        <v>Janie &amp; JackUSAWebJJ 17 APR LAY SWIM</v>
      </c>
      <c r="AN331" s="1" t="s">
        <v>38</v>
      </c>
      <c r="AO331" s="1" t="s">
        <v>15</v>
      </c>
      <c r="AP331" s="1" t="s">
        <v>336</v>
      </c>
      <c r="AQ331" s="1">
        <v>2017</v>
      </c>
      <c r="AR331" s="1" t="s">
        <v>16</v>
      </c>
      <c r="AS331" s="299" t="s">
        <v>196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27"/>
    </row>
    <row r="332" spans="17:52" x14ac:dyDescent="0.25">
      <c r="AF332" s="35" t="str">
        <f t="shared" si="26"/>
        <v>GymboreeWebUSA10</v>
      </c>
      <c r="AG332" s="1" t="s">
        <v>14</v>
      </c>
      <c r="AH332" s="1" t="s">
        <v>15</v>
      </c>
      <c r="AI332" s="1" t="s">
        <v>336</v>
      </c>
      <c r="AJ332" s="1">
        <v>10</v>
      </c>
      <c r="AK332" s="27">
        <v>0.45</v>
      </c>
      <c r="AM332" s="262" t="str">
        <f t="shared" si="27"/>
        <v>Janie &amp; JackUSAWeb(new)</v>
      </c>
      <c r="AN332" s="1" t="s">
        <v>38</v>
      </c>
      <c r="AO332" s="1" t="s">
        <v>15</v>
      </c>
      <c r="AP332" s="1" t="s">
        <v>336</v>
      </c>
      <c r="AQ332" s="1">
        <v>2017</v>
      </c>
      <c r="AR332" s="1" t="s">
        <v>16</v>
      </c>
      <c r="AS332" s="299" t="s">
        <v>591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27"/>
    </row>
    <row r="333" spans="17:52" x14ac:dyDescent="0.25">
      <c r="AF333" s="35" t="str">
        <f t="shared" si="26"/>
        <v>GymboreeWebUSA11</v>
      </c>
      <c r="AG333" s="1" t="s">
        <v>14</v>
      </c>
      <c r="AH333" s="1" t="s">
        <v>15</v>
      </c>
      <c r="AI333" s="1" t="s">
        <v>336</v>
      </c>
      <c r="AJ333" s="1">
        <v>11</v>
      </c>
      <c r="AK333" s="27">
        <v>0.45</v>
      </c>
      <c r="AM333" s="262" t="str">
        <f t="shared" si="27"/>
        <v>Janie &amp; JackUSAWebJJ 17 MAR SUMMER 0</v>
      </c>
      <c r="AN333" s="1" t="s">
        <v>38</v>
      </c>
      <c r="AO333" s="1" t="s">
        <v>15</v>
      </c>
      <c r="AP333" s="1" t="s">
        <v>336</v>
      </c>
      <c r="AQ333" s="1">
        <v>2017</v>
      </c>
      <c r="AR333" s="1" t="s">
        <v>18</v>
      </c>
      <c r="AS333" s="299" t="s">
        <v>223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27"/>
    </row>
    <row r="334" spans="17:52" x14ac:dyDescent="0.25">
      <c r="AF334" s="35" t="str">
        <f t="shared" si="26"/>
        <v>GymboreeWebUSA12</v>
      </c>
      <c r="AG334" s="1" t="s">
        <v>14</v>
      </c>
      <c r="AH334" s="1" t="s">
        <v>15</v>
      </c>
      <c r="AI334" s="1" t="s">
        <v>336</v>
      </c>
      <c r="AJ334" s="1">
        <v>12</v>
      </c>
      <c r="AK334" s="27">
        <v>0.45</v>
      </c>
      <c r="AM334" s="262" t="str">
        <f t="shared" si="27"/>
        <v>Janie &amp; JackUSAWebJJ 17 APR SMR 1 A+B</v>
      </c>
      <c r="AN334" s="1" t="s">
        <v>38</v>
      </c>
      <c r="AO334" s="1" t="s">
        <v>15</v>
      </c>
      <c r="AP334" s="1" t="s">
        <v>336</v>
      </c>
      <c r="AQ334" s="1">
        <v>2017</v>
      </c>
      <c r="AR334" s="1" t="s">
        <v>18</v>
      </c>
      <c r="AS334" s="299" t="s">
        <v>225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27"/>
    </row>
    <row r="335" spans="17:52" x14ac:dyDescent="0.25">
      <c r="AF335" s="35" t="str">
        <f t="shared" si="26"/>
        <v>GymboreeWebUSA13</v>
      </c>
      <c r="AG335" s="1" t="s">
        <v>14</v>
      </c>
      <c r="AH335" s="1" t="s">
        <v>15</v>
      </c>
      <c r="AI335" s="1" t="s">
        <v>336</v>
      </c>
      <c r="AJ335" s="1">
        <v>13</v>
      </c>
      <c r="AK335" s="27">
        <v>0.5</v>
      </c>
      <c r="AM335" s="262" t="str">
        <f t="shared" si="27"/>
        <v>Janie &amp; JackUSAWebJJ 17 SMR BASICS</v>
      </c>
      <c r="AN335" s="1" t="s">
        <v>38</v>
      </c>
      <c r="AO335" s="1" t="s">
        <v>15</v>
      </c>
      <c r="AP335" s="1" t="s">
        <v>336</v>
      </c>
      <c r="AQ335" s="1">
        <v>2017</v>
      </c>
      <c r="AR335" s="1" t="s">
        <v>18</v>
      </c>
      <c r="AS335" s="299" t="s">
        <v>193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27"/>
    </row>
    <row r="336" spans="17:52" x14ac:dyDescent="0.25">
      <c r="AF336" s="35" t="str">
        <f t="shared" si="26"/>
        <v>GymboreeWebUSA14</v>
      </c>
      <c r="AG336" s="1" t="s">
        <v>14</v>
      </c>
      <c r="AH336" s="1" t="s">
        <v>15</v>
      </c>
      <c r="AI336" s="1" t="s">
        <v>336</v>
      </c>
      <c r="AJ336" s="1">
        <v>14</v>
      </c>
      <c r="AK336" s="27">
        <v>0.5</v>
      </c>
      <c r="AM336" s="262" t="str">
        <f t="shared" si="27"/>
        <v>Janie &amp; JackUSAWeb(new)</v>
      </c>
      <c r="AN336" s="1" t="s">
        <v>38</v>
      </c>
      <c r="AO336" s="1" t="s">
        <v>15</v>
      </c>
      <c r="AP336" s="1" t="s">
        <v>336</v>
      </c>
      <c r="AQ336" s="1">
        <v>2017</v>
      </c>
      <c r="AR336" s="1" t="s">
        <v>18</v>
      </c>
      <c r="AS336" s="299" t="s">
        <v>591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27"/>
    </row>
    <row r="337" spans="32:52" x14ac:dyDescent="0.25">
      <c r="AF337" s="35" t="str">
        <f t="shared" si="26"/>
        <v>GymboreeWebUSA15</v>
      </c>
      <c r="AG337" s="1" t="s">
        <v>14</v>
      </c>
      <c r="AH337" s="1" t="s">
        <v>15</v>
      </c>
      <c r="AI337" s="1" t="s">
        <v>336</v>
      </c>
      <c r="AJ337" s="1">
        <v>15</v>
      </c>
      <c r="AK337" s="27">
        <v>0.5</v>
      </c>
      <c r="AM337" s="262" t="str">
        <f t="shared" si="27"/>
        <v>Janie &amp; JackUSAWebJJ 17 SUMMER 2</v>
      </c>
      <c r="AN337" s="1" t="s">
        <v>38</v>
      </c>
      <c r="AO337" s="1" t="s">
        <v>15</v>
      </c>
      <c r="AP337" s="1" t="s">
        <v>336</v>
      </c>
      <c r="AQ337" s="1">
        <v>2017</v>
      </c>
      <c r="AR337" s="1" t="s">
        <v>18</v>
      </c>
      <c r="AS337" s="299" t="s">
        <v>227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27"/>
    </row>
    <row r="338" spans="32:52" x14ac:dyDescent="0.25">
      <c r="AF338" s="35" t="str">
        <f t="shared" si="26"/>
        <v>GymboreeWebUSA16</v>
      </c>
      <c r="AG338" s="1" t="s">
        <v>14</v>
      </c>
      <c r="AH338" s="1" t="s">
        <v>15</v>
      </c>
      <c r="AI338" s="1" t="s">
        <v>336</v>
      </c>
      <c r="AJ338" s="1">
        <v>16</v>
      </c>
      <c r="AK338" s="27">
        <v>0.5</v>
      </c>
      <c r="AM338" s="262" t="str">
        <f t="shared" si="27"/>
        <v>Janie &amp; JackUSAWebJJ 17 4TH OF JULY</v>
      </c>
      <c r="AN338" s="1" t="s">
        <v>38</v>
      </c>
      <c r="AO338" s="1" t="s">
        <v>15</v>
      </c>
      <c r="AP338" s="1" t="s">
        <v>336</v>
      </c>
      <c r="AQ338" s="1">
        <v>2017</v>
      </c>
      <c r="AR338" s="1" t="s">
        <v>18</v>
      </c>
      <c r="AS338" s="299" t="s">
        <v>229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27"/>
    </row>
    <row r="339" spans="32:52" x14ac:dyDescent="0.25">
      <c r="AF339" s="35" t="str">
        <f t="shared" si="26"/>
        <v>GymboreeWebUSA17</v>
      </c>
      <c r="AG339" s="1" t="s">
        <v>14</v>
      </c>
      <c r="AH339" s="1" t="s">
        <v>15</v>
      </c>
      <c r="AI339" s="1" t="s">
        <v>336</v>
      </c>
      <c r="AJ339" s="1">
        <v>17</v>
      </c>
      <c r="AK339" s="27">
        <v>0.5</v>
      </c>
      <c r="AM339" s="262" t="str">
        <f t="shared" si="27"/>
        <v>Janie &amp; JackUSAWebJJ 17 TRANS GIFTING LAY</v>
      </c>
      <c r="AN339" s="1" t="s">
        <v>38</v>
      </c>
      <c r="AO339" s="1" t="s">
        <v>15</v>
      </c>
      <c r="AP339" s="1" t="s">
        <v>336</v>
      </c>
      <c r="AQ339" s="1">
        <v>2017</v>
      </c>
      <c r="AR339" s="1" t="s">
        <v>18</v>
      </c>
      <c r="AS339" s="299" t="s">
        <v>239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27"/>
    </row>
    <row r="340" spans="32:52" x14ac:dyDescent="0.25">
      <c r="AF340" s="35" t="str">
        <f t="shared" si="26"/>
        <v>GymboreeWebUSA18</v>
      </c>
      <c r="AG340" s="1" t="s">
        <v>14</v>
      </c>
      <c r="AH340" s="1" t="s">
        <v>15</v>
      </c>
      <c r="AI340" s="1" t="s">
        <v>336</v>
      </c>
      <c r="AJ340" s="1">
        <v>18</v>
      </c>
      <c r="AK340" s="27">
        <v>0.5</v>
      </c>
      <c r="AM340" s="262" t="str">
        <f t="shared" si="27"/>
        <v>Janie &amp; JackUSAWebJJ 17 SUMMER 3</v>
      </c>
      <c r="AN340" s="1" t="s">
        <v>38</v>
      </c>
      <c r="AO340" s="1" t="s">
        <v>15</v>
      </c>
      <c r="AP340" s="1" t="s">
        <v>336</v>
      </c>
      <c r="AQ340" s="1">
        <v>2017</v>
      </c>
      <c r="AR340" s="1" t="s">
        <v>18</v>
      </c>
      <c r="AS340" s="299" t="s">
        <v>232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27"/>
    </row>
    <row r="341" spans="32:52" x14ac:dyDescent="0.25">
      <c r="AF341" s="35" t="str">
        <f t="shared" si="26"/>
        <v>GymboreeWebUSA19</v>
      </c>
      <c r="AG341" s="1" t="s">
        <v>14</v>
      </c>
      <c r="AH341" s="1" t="s">
        <v>15</v>
      </c>
      <c r="AI341" s="1" t="s">
        <v>336</v>
      </c>
      <c r="AJ341" s="1">
        <v>19</v>
      </c>
      <c r="AK341" s="27">
        <v>0.55000000000000004</v>
      </c>
      <c r="AM341" s="262" t="str">
        <f t="shared" si="27"/>
        <v>Janie &amp; JackUSAWeb(new)</v>
      </c>
      <c r="AN341" s="1" t="s">
        <v>38</v>
      </c>
      <c r="AO341" s="1" t="s">
        <v>15</v>
      </c>
      <c r="AP341" s="1" t="s">
        <v>336</v>
      </c>
      <c r="AQ341" s="1">
        <v>2017</v>
      </c>
      <c r="AR341" s="1" t="s">
        <v>18</v>
      </c>
      <c r="AS341" s="299" t="s">
        <v>591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27"/>
    </row>
    <row r="342" spans="32:52" x14ac:dyDescent="0.25">
      <c r="AF342" s="35" t="str">
        <f t="shared" si="26"/>
        <v>GymboreeWebUSA20</v>
      </c>
      <c r="AG342" s="1" t="s">
        <v>14</v>
      </c>
      <c r="AH342" s="1" t="s">
        <v>15</v>
      </c>
      <c r="AI342" s="1" t="s">
        <v>336</v>
      </c>
      <c r="AJ342" s="1">
        <v>20</v>
      </c>
      <c r="AK342" s="27">
        <v>0.55000000000000004</v>
      </c>
      <c r="AM342" s="262" t="str">
        <f t="shared" si="27"/>
        <v>Janie &amp; JackUSAWebJJ 17 SUMMER 4</v>
      </c>
      <c r="AN342" s="1" t="s">
        <v>38</v>
      </c>
      <c r="AO342" s="1" t="s">
        <v>15</v>
      </c>
      <c r="AP342" s="1" t="s">
        <v>336</v>
      </c>
      <c r="AQ342" s="1">
        <v>2017</v>
      </c>
      <c r="AR342" s="1" t="s">
        <v>18</v>
      </c>
      <c r="AS342" s="299" t="s">
        <v>234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27"/>
    </row>
    <row r="343" spans="32:52" x14ac:dyDescent="0.25">
      <c r="AF343" s="35" t="str">
        <f t="shared" si="26"/>
        <v>GymboreeWebUSA21</v>
      </c>
      <c r="AG343" s="1" t="s">
        <v>14</v>
      </c>
      <c r="AH343" s="1" t="s">
        <v>15</v>
      </c>
      <c r="AI343" s="1" t="s">
        <v>336</v>
      </c>
      <c r="AJ343" s="1">
        <v>21</v>
      </c>
      <c r="AK343" s="27">
        <v>0.55000000000000004</v>
      </c>
      <c r="AM343" s="262" t="str">
        <f t="shared" si="27"/>
        <v>Janie &amp; JackUSAWebJJ 17 JULY TRANS 1</v>
      </c>
      <c r="AN343" s="1" t="s">
        <v>38</v>
      </c>
      <c r="AO343" s="1" t="s">
        <v>15</v>
      </c>
      <c r="AP343" s="1" t="s">
        <v>336</v>
      </c>
      <c r="AQ343" s="1">
        <v>2017</v>
      </c>
      <c r="AR343" s="1" t="s">
        <v>18</v>
      </c>
      <c r="AS343" s="299" t="s">
        <v>236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27"/>
    </row>
    <row r="344" spans="32:52" x14ac:dyDescent="0.25">
      <c r="AF344" s="35" t="str">
        <f t="shared" si="26"/>
        <v>GymboreeWebUSA22</v>
      </c>
      <c r="AG344" s="1" t="s">
        <v>14</v>
      </c>
      <c r="AH344" s="1" t="s">
        <v>15</v>
      </c>
      <c r="AI344" s="1" t="s">
        <v>336</v>
      </c>
      <c r="AJ344" s="1">
        <v>22</v>
      </c>
      <c r="AK344" s="27">
        <v>0.6</v>
      </c>
      <c r="AM344" s="262" t="str">
        <f t="shared" si="27"/>
        <v>Janie &amp; JackUSAWebJJ 17 TRANS 2</v>
      </c>
      <c r="AN344" s="1" t="s">
        <v>38</v>
      </c>
      <c r="AO344" s="1" t="s">
        <v>15</v>
      </c>
      <c r="AP344" s="1" t="s">
        <v>336</v>
      </c>
      <c r="AQ344" s="1">
        <v>2017</v>
      </c>
      <c r="AR344" s="1" t="s">
        <v>18</v>
      </c>
      <c r="AS344" s="299" t="s">
        <v>176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27"/>
    </row>
    <row r="345" spans="32:52" x14ac:dyDescent="0.25">
      <c r="AF345" s="35" t="str">
        <f t="shared" si="26"/>
        <v>GymboreeWebUSA23</v>
      </c>
      <c r="AG345" s="1" t="s">
        <v>14</v>
      </c>
      <c r="AH345" s="1" t="s">
        <v>15</v>
      </c>
      <c r="AI345" s="1" t="s">
        <v>336</v>
      </c>
      <c r="AJ345" s="1">
        <v>23</v>
      </c>
      <c r="AK345" s="27">
        <v>0.6</v>
      </c>
      <c r="AM345" s="262" t="str">
        <f t="shared" si="27"/>
        <v>Janie &amp; JackUSAWeb(new)</v>
      </c>
      <c r="AN345" s="1" t="s">
        <v>38</v>
      </c>
      <c r="AO345" s="1" t="s">
        <v>15</v>
      </c>
      <c r="AP345" s="1" t="s">
        <v>336</v>
      </c>
      <c r="AQ345" s="1">
        <v>2017</v>
      </c>
      <c r="AR345" s="1" t="s">
        <v>18</v>
      </c>
      <c r="AS345" s="299" t="s">
        <v>591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27"/>
    </row>
    <row r="346" spans="32:52" x14ac:dyDescent="0.25">
      <c r="AF346" s="35" t="str">
        <f t="shared" si="26"/>
        <v>GymboreeWebUSA24</v>
      </c>
      <c r="AG346" s="1" t="s">
        <v>14</v>
      </c>
      <c r="AH346" s="1" t="s">
        <v>15</v>
      </c>
      <c r="AI346" s="1" t="s">
        <v>336</v>
      </c>
      <c r="AJ346" s="1">
        <v>24</v>
      </c>
      <c r="AK346" s="27">
        <v>0.6</v>
      </c>
      <c r="AM346" s="262" t="str">
        <f t="shared" si="27"/>
        <v>Janie &amp; JackUSAWebJJ 17 SO SB2</v>
      </c>
      <c r="AN346" s="1" t="s">
        <v>38</v>
      </c>
      <c r="AO346" s="1" t="s">
        <v>15</v>
      </c>
      <c r="AP346" s="1" t="s">
        <v>336</v>
      </c>
      <c r="AQ346" s="1">
        <v>2017</v>
      </c>
      <c r="AR346" s="1" t="s">
        <v>18</v>
      </c>
      <c r="AS346" s="299" t="s">
        <v>200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27"/>
    </row>
    <row r="347" spans="32:52" x14ac:dyDescent="0.25">
      <c r="AF347" s="35" t="str">
        <f t="shared" si="26"/>
        <v>GymboreeWebUSA25</v>
      </c>
      <c r="AG347" s="1" t="s">
        <v>14</v>
      </c>
      <c r="AH347" s="1" t="s">
        <v>15</v>
      </c>
      <c r="AI347" s="1" t="s">
        <v>336</v>
      </c>
      <c r="AJ347" s="1">
        <v>25</v>
      </c>
      <c r="AK347" s="27">
        <v>0.6</v>
      </c>
      <c r="AM347" s="262" t="str">
        <f t="shared" si="27"/>
        <v>Janie &amp; JackUSAWebJJ 17 JULY TRANS 3 GIRL ONLY</v>
      </c>
      <c r="AN347" s="1" t="s">
        <v>38</v>
      </c>
      <c r="AO347" s="1" t="s">
        <v>15</v>
      </c>
      <c r="AP347" s="1" t="s">
        <v>336</v>
      </c>
      <c r="AQ347" s="1">
        <v>2017</v>
      </c>
      <c r="AR347" s="1" t="s">
        <v>18</v>
      </c>
      <c r="AS347" s="299" t="s">
        <v>178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27"/>
    </row>
    <row r="348" spans="32:52" x14ac:dyDescent="0.25">
      <c r="AF348" s="35" t="str">
        <f t="shared" si="26"/>
        <v>GymboreeWebUSA26</v>
      </c>
      <c r="AG348" s="1" t="s">
        <v>14</v>
      </c>
      <c r="AH348" s="1" t="s">
        <v>15</v>
      </c>
      <c r="AI348" s="1" t="s">
        <v>336</v>
      </c>
      <c r="AJ348" s="1">
        <v>26</v>
      </c>
      <c r="AK348" s="27">
        <v>0.6</v>
      </c>
      <c r="AM348" s="262" t="str">
        <f t="shared" si="27"/>
        <v>Janie &amp; JackUSAWeb(new)</v>
      </c>
      <c r="AN348" s="1" t="s">
        <v>38</v>
      </c>
      <c r="AO348" s="1" t="s">
        <v>15</v>
      </c>
      <c r="AP348" s="1" t="s">
        <v>336</v>
      </c>
      <c r="AQ348" s="1">
        <v>2017</v>
      </c>
      <c r="AR348" s="1" t="s">
        <v>18</v>
      </c>
      <c r="AS348" s="299" t="s">
        <v>591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27"/>
    </row>
    <row r="349" spans="32:52" x14ac:dyDescent="0.25">
      <c r="AF349" s="35" t="str">
        <f t="shared" si="26"/>
        <v>GymboreeWebUSA27</v>
      </c>
      <c r="AG349" s="1" t="s">
        <v>14</v>
      </c>
      <c r="AH349" s="1" t="s">
        <v>15</v>
      </c>
      <c r="AI349" s="1" t="s">
        <v>336</v>
      </c>
      <c r="AJ349" s="1">
        <v>27</v>
      </c>
      <c r="AK349" s="27">
        <v>0.6</v>
      </c>
      <c r="AM349" s="262" t="str">
        <f t="shared" si="27"/>
        <v>Janie &amp; JackUSAWebJJ 17 FALL GIFTING LAY</v>
      </c>
      <c r="AN349" s="1" t="s">
        <v>38</v>
      </c>
      <c r="AO349" s="1" t="s">
        <v>15</v>
      </c>
      <c r="AP349" s="1" t="s">
        <v>336</v>
      </c>
      <c r="AQ349" s="1">
        <v>2017</v>
      </c>
      <c r="AR349" s="1" t="s">
        <v>18</v>
      </c>
      <c r="AS349" s="299" t="s">
        <v>393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27"/>
    </row>
    <row r="350" spans="32:52" x14ac:dyDescent="0.25">
      <c r="AF350" s="35" t="str">
        <f t="shared" si="26"/>
        <v>GymboreeWebUSA28</v>
      </c>
      <c r="AG350" s="1" t="s">
        <v>14</v>
      </c>
      <c r="AH350" s="1" t="s">
        <v>15</v>
      </c>
      <c r="AI350" s="1" t="s">
        <v>336</v>
      </c>
      <c r="AJ350" s="1">
        <v>28</v>
      </c>
      <c r="AK350" s="27">
        <v>0.65</v>
      </c>
      <c r="AM350" s="262" t="str">
        <f t="shared" si="27"/>
        <v>Janie &amp; JackUSAOutletJJ 3RD PARTY</v>
      </c>
      <c r="AN350" s="1" t="s">
        <v>38</v>
      </c>
      <c r="AO350" s="1" t="s">
        <v>17</v>
      </c>
      <c r="AP350" s="1" t="s">
        <v>336</v>
      </c>
      <c r="AQ350" s="1">
        <v>2017</v>
      </c>
      <c r="AR350" s="1" t="s">
        <v>41</v>
      </c>
      <c r="AS350" s="299" t="s">
        <v>330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27"/>
    </row>
    <row r="351" spans="32:52" x14ac:dyDescent="0.25">
      <c r="AF351" s="35" t="str">
        <f t="shared" si="26"/>
        <v>GymboreeWebUSA29</v>
      </c>
      <c r="AG351" s="1" t="s">
        <v>14</v>
      </c>
      <c r="AH351" s="1" t="s">
        <v>15</v>
      </c>
      <c r="AI351" s="1" t="s">
        <v>336</v>
      </c>
      <c r="AJ351" s="1">
        <v>29</v>
      </c>
      <c r="AK351" s="27">
        <v>0.65</v>
      </c>
      <c r="AM351" s="262" t="str">
        <f t="shared" si="27"/>
        <v>Janie &amp; JackUSAOutletJJ 17 SB2</v>
      </c>
      <c r="AN351" s="1" t="s">
        <v>38</v>
      </c>
      <c r="AO351" s="1" t="s">
        <v>17</v>
      </c>
      <c r="AP351" s="1" t="s">
        <v>336</v>
      </c>
      <c r="AQ351" s="1">
        <v>2017</v>
      </c>
      <c r="AR351" s="1" t="s">
        <v>41</v>
      </c>
      <c r="AS351" s="299" t="s">
        <v>198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27"/>
    </row>
    <row r="352" spans="32:52" x14ac:dyDescent="0.25">
      <c r="AF352" s="35" t="str">
        <f t="shared" si="26"/>
        <v>GymboreeWebUSA30</v>
      </c>
      <c r="AG352" s="1" t="s">
        <v>14</v>
      </c>
      <c r="AH352" s="1" t="s">
        <v>15</v>
      </c>
      <c r="AI352" s="1" t="s">
        <v>336</v>
      </c>
      <c r="AJ352" s="1">
        <v>30</v>
      </c>
      <c r="AK352" s="27">
        <v>0.65</v>
      </c>
      <c r="AM352" s="262" t="str">
        <f t="shared" si="27"/>
        <v>Janie &amp; JackUSAOutletJJ 17 FALL 0</v>
      </c>
      <c r="AN352" s="1" t="s">
        <v>38</v>
      </c>
      <c r="AO352" s="1" t="s">
        <v>17</v>
      </c>
      <c r="AP352" s="1" t="s">
        <v>336</v>
      </c>
      <c r="AQ352" s="1">
        <v>2017</v>
      </c>
      <c r="AR352" s="1" t="s">
        <v>39</v>
      </c>
      <c r="AS352" s="299" t="s">
        <v>180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27"/>
    </row>
    <row r="353" spans="32:52" x14ac:dyDescent="0.25">
      <c r="AF353" s="35" t="str">
        <f t="shared" si="26"/>
        <v>GymboreeWebUSA31</v>
      </c>
      <c r="AG353" s="1" t="s">
        <v>14</v>
      </c>
      <c r="AH353" s="1" t="s">
        <v>15</v>
      </c>
      <c r="AI353" s="1" t="s">
        <v>336</v>
      </c>
      <c r="AJ353" s="1">
        <v>31</v>
      </c>
      <c r="AK353" s="27">
        <v>0.65</v>
      </c>
      <c r="AM353" s="262" t="str">
        <f t="shared" si="27"/>
        <v>Janie &amp; JackUSAOutlet(new)</v>
      </c>
      <c r="AN353" s="1" t="s">
        <v>38</v>
      </c>
      <c r="AO353" s="1" t="s">
        <v>17</v>
      </c>
      <c r="AP353" s="1" t="s">
        <v>336</v>
      </c>
      <c r="AQ353" s="1">
        <v>2017</v>
      </c>
      <c r="AR353" s="1" t="s">
        <v>16</v>
      </c>
      <c r="AS353" s="299" t="s">
        <v>591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27"/>
    </row>
    <row r="354" spans="32:52" x14ac:dyDescent="0.25">
      <c r="AF354" s="35" t="str">
        <f t="shared" si="26"/>
        <v>GymboreeWebUSA32</v>
      </c>
      <c r="AG354" s="1" t="s">
        <v>14</v>
      </c>
      <c r="AH354" s="1" t="s">
        <v>15</v>
      </c>
      <c r="AI354" s="1" t="s">
        <v>336</v>
      </c>
      <c r="AJ354" s="1">
        <v>32</v>
      </c>
      <c r="AK354" s="27">
        <v>0.7</v>
      </c>
      <c r="AM354" s="262" t="str">
        <f t="shared" si="27"/>
        <v>Janie &amp; JackUSAOutletJJ 17 DEC SWIM</v>
      </c>
      <c r="AN354" s="1" t="s">
        <v>38</v>
      </c>
      <c r="AO354" s="1" t="s">
        <v>17</v>
      </c>
      <c r="AP354" s="1" t="s">
        <v>336</v>
      </c>
      <c r="AQ354" s="1">
        <v>2017</v>
      </c>
      <c r="AR354" s="1" t="s">
        <v>16</v>
      </c>
      <c r="AS354" s="299" t="s">
        <v>183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27"/>
    </row>
    <row r="355" spans="32:52" x14ac:dyDescent="0.25">
      <c r="AF355" s="35" t="str">
        <f t="shared" si="26"/>
        <v>GymboreeWebUSA33</v>
      </c>
      <c r="AG355" s="1" t="s">
        <v>14</v>
      </c>
      <c r="AH355" s="1" t="s">
        <v>15</v>
      </c>
      <c r="AI355" s="1" t="s">
        <v>336</v>
      </c>
      <c r="AJ355" s="1">
        <v>33</v>
      </c>
      <c r="AK355" s="27">
        <v>0.7</v>
      </c>
      <c r="AM355" s="262" t="str">
        <f t="shared" si="27"/>
        <v>Janie &amp; JackUSAOutletJJ 17 DEC VDAY</v>
      </c>
      <c r="AN355" s="1" t="s">
        <v>38</v>
      </c>
      <c r="AO355" s="1" t="s">
        <v>17</v>
      </c>
      <c r="AP355" s="1" t="s">
        <v>336</v>
      </c>
      <c r="AQ355" s="1">
        <v>2017</v>
      </c>
      <c r="AR355" s="1" t="s">
        <v>16</v>
      </c>
      <c r="AS355" s="299" t="s">
        <v>205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27"/>
    </row>
    <row r="356" spans="32:52" x14ac:dyDescent="0.25">
      <c r="AF356" s="35" t="str">
        <f t="shared" si="26"/>
        <v>GymboreeWebUSA34</v>
      </c>
      <c r="AG356" s="1" t="s">
        <v>14</v>
      </c>
      <c r="AH356" s="1" t="s">
        <v>15</v>
      </c>
      <c r="AI356" s="1" t="s">
        <v>336</v>
      </c>
      <c r="AJ356" s="1">
        <v>34</v>
      </c>
      <c r="AK356" s="27">
        <v>0.7</v>
      </c>
      <c r="AM356" s="262" t="str">
        <f t="shared" si="27"/>
        <v>Janie &amp; JackUSAOutletJJ 17 DEC RESORT 2</v>
      </c>
      <c r="AN356" s="1" t="s">
        <v>38</v>
      </c>
      <c r="AO356" s="1" t="s">
        <v>17</v>
      </c>
      <c r="AP356" s="1" t="s">
        <v>336</v>
      </c>
      <c r="AQ356" s="1">
        <v>2017</v>
      </c>
      <c r="AR356" s="1" t="s">
        <v>16</v>
      </c>
      <c r="AS356" s="299" t="s">
        <v>207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27"/>
    </row>
    <row r="357" spans="32:52" x14ac:dyDescent="0.25">
      <c r="AF357" s="35" t="str">
        <f t="shared" si="26"/>
        <v>GymboreeWebUSA35</v>
      </c>
      <c r="AG357" s="1" t="s">
        <v>14</v>
      </c>
      <c r="AH357" s="1" t="s">
        <v>15</v>
      </c>
      <c r="AI357" s="1" t="s">
        <v>336</v>
      </c>
      <c r="AJ357" s="1">
        <v>35</v>
      </c>
      <c r="AK357" s="27">
        <v>0.7</v>
      </c>
      <c r="AM357" s="262" t="str">
        <f t="shared" si="27"/>
        <v>Janie &amp; JackUSAOutletJJ 17 JAN SPRING TRANS</v>
      </c>
      <c r="AN357" s="1" t="s">
        <v>38</v>
      </c>
      <c r="AO357" s="1" t="s">
        <v>17</v>
      </c>
      <c r="AP357" s="1" t="s">
        <v>336</v>
      </c>
      <c r="AQ357" s="1">
        <v>2017</v>
      </c>
      <c r="AR357" s="1" t="s">
        <v>16</v>
      </c>
      <c r="AS357" s="299" t="s">
        <v>213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27"/>
    </row>
    <row r="358" spans="32:52" x14ac:dyDescent="0.25">
      <c r="AF358" s="35" t="str">
        <f t="shared" si="26"/>
        <v>GymboreeWebUSA36</v>
      </c>
      <c r="AG358" s="1" t="s">
        <v>14</v>
      </c>
      <c r="AH358" s="1" t="s">
        <v>15</v>
      </c>
      <c r="AI358" s="1" t="s">
        <v>336</v>
      </c>
      <c r="AJ358" s="1">
        <v>36</v>
      </c>
      <c r="AK358" s="27">
        <v>0.7</v>
      </c>
      <c r="AM358" s="262" t="str">
        <f t="shared" si="27"/>
        <v>Janie &amp; JackUSAOutletJJ 17 SB1/YEARLY BASICS</v>
      </c>
      <c r="AN358" s="1" t="s">
        <v>38</v>
      </c>
      <c r="AO358" s="1" t="s">
        <v>17</v>
      </c>
      <c r="AP358" s="1" t="s">
        <v>336</v>
      </c>
      <c r="AQ358" s="1">
        <v>2017</v>
      </c>
      <c r="AR358" s="1" t="s">
        <v>16</v>
      </c>
      <c r="AS358" s="299" t="s">
        <v>185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27"/>
    </row>
    <row r="359" spans="32:52" x14ac:dyDescent="0.25">
      <c r="AF359" s="35" t="str">
        <f t="shared" si="26"/>
        <v>GymboreeWebUSA37</v>
      </c>
      <c r="AG359" s="1" t="s">
        <v>14</v>
      </c>
      <c r="AH359" s="1" t="s">
        <v>15</v>
      </c>
      <c r="AI359" s="1" t="s">
        <v>336</v>
      </c>
      <c r="AJ359" s="1">
        <v>37</v>
      </c>
      <c r="AK359" s="27">
        <v>0.7</v>
      </c>
      <c r="AM359" s="262" t="str">
        <f t="shared" si="27"/>
        <v>Janie &amp; JackUSAOutletJJ 17 JAN SWIM 2</v>
      </c>
      <c r="AN359" s="1" t="s">
        <v>38</v>
      </c>
      <c r="AO359" s="1" t="s">
        <v>17</v>
      </c>
      <c r="AP359" s="1" t="s">
        <v>336</v>
      </c>
      <c r="AQ359" s="1">
        <v>2017</v>
      </c>
      <c r="AR359" s="1" t="s">
        <v>16</v>
      </c>
      <c r="AS359" s="299" t="s">
        <v>187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27"/>
    </row>
    <row r="360" spans="32:52" x14ac:dyDescent="0.25">
      <c r="AF360" s="35" t="str">
        <f t="shared" si="26"/>
        <v>GymboreeWebUSA38</v>
      </c>
      <c r="AG360" s="1" t="s">
        <v>14</v>
      </c>
      <c r="AH360" s="1" t="s">
        <v>15</v>
      </c>
      <c r="AI360" s="1" t="s">
        <v>336</v>
      </c>
      <c r="AJ360" s="1">
        <v>38</v>
      </c>
      <c r="AK360" s="27">
        <v>0.75</v>
      </c>
      <c r="AM360" s="262" t="str">
        <f t="shared" si="27"/>
        <v>Janie &amp; JackUSAOutletJJ 17 JAN SPR GIFTING LAYETTE</v>
      </c>
      <c r="AN360" s="1" t="s">
        <v>38</v>
      </c>
      <c r="AO360" s="1" t="s">
        <v>17</v>
      </c>
      <c r="AP360" s="1" t="s">
        <v>336</v>
      </c>
      <c r="AQ360" s="1">
        <v>2017</v>
      </c>
      <c r="AR360" s="1" t="s">
        <v>16</v>
      </c>
      <c r="AS360" s="299" t="s">
        <v>217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27"/>
    </row>
    <row r="361" spans="32:52" x14ac:dyDescent="0.25">
      <c r="AF361" s="35" t="str">
        <f t="shared" si="26"/>
        <v>GymboreeWebUSA39</v>
      </c>
      <c r="AG361" s="1" t="s">
        <v>14</v>
      </c>
      <c r="AH361" s="1" t="s">
        <v>15</v>
      </c>
      <c r="AI361" s="1" t="s">
        <v>336</v>
      </c>
      <c r="AJ361" s="1">
        <v>39</v>
      </c>
      <c r="AK361" s="27">
        <v>0.75</v>
      </c>
      <c r="AM361" s="262" t="str">
        <f t="shared" si="27"/>
        <v>Janie &amp; JackUSAOutletJJ 17 JAN SPRING 1</v>
      </c>
      <c r="AN361" s="1" t="s">
        <v>38</v>
      </c>
      <c r="AO361" s="1" t="s">
        <v>17</v>
      </c>
      <c r="AP361" s="1" t="s">
        <v>336</v>
      </c>
      <c r="AQ361" s="1">
        <v>2017</v>
      </c>
      <c r="AR361" s="1" t="s">
        <v>16</v>
      </c>
      <c r="AS361" s="299" t="s">
        <v>203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27"/>
    </row>
    <row r="362" spans="32:52" x14ac:dyDescent="0.25">
      <c r="AF362" s="35" t="str">
        <f t="shared" si="26"/>
        <v>GymboreeWebUSA40</v>
      </c>
      <c r="AG362" s="1" t="s">
        <v>14</v>
      </c>
      <c r="AH362" s="1" t="s">
        <v>15</v>
      </c>
      <c r="AI362" s="1" t="s">
        <v>336</v>
      </c>
      <c r="AJ362" s="1">
        <v>40</v>
      </c>
      <c r="AK362" s="27">
        <v>0.75</v>
      </c>
      <c r="AM362" s="262" t="str">
        <f t="shared" si="27"/>
        <v>Janie &amp; JackUSAOutletJJ 17 JAN SO SB1</v>
      </c>
      <c r="AN362" s="1" t="s">
        <v>38</v>
      </c>
      <c r="AO362" s="1" t="s">
        <v>17</v>
      </c>
      <c r="AP362" s="1" t="s">
        <v>336</v>
      </c>
      <c r="AQ362" s="1">
        <v>2017</v>
      </c>
      <c r="AR362" s="1" t="s">
        <v>16</v>
      </c>
      <c r="AS362" s="299" t="s">
        <v>189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27"/>
    </row>
    <row r="363" spans="32:52" x14ac:dyDescent="0.25">
      <c r="AF363" s="35" t="str">
        <f t="shared" si="26"/>
        <v>GymboreeWebUSA41</v>
      </c>
      <c r="AG363" s="1" t="s">
        <v>14</v>
      </c>
      <c r="AH363" s="1" t="s">
        <v>15</v>
      </c>
      <c r="AI363" s="1" t="s">
        <v>336</v>
      </c>
      <c r="AJ363" s="1">
        <v>41</v>
      </c>
      <c r="AK363" s="27">
        <v>0.75</v>
      </c>
      <c r="AM363" s="262" t="str">
        <f t="shared" si="27"/>
        <v>Janie &amp; JackUSAOutletJJ 17 FEB EASTER 1</v>
      </c>
      <c r="AN363" s="1" t="s">
        <v>38</v>
      </c>
      <c r="AO363" s="1" t="s">
        <v>17</v>
      </c>
      <c r="AP363" s="1" t="s">
        <v>336</v>
      </c>
      <c r="AQ363" s="1">
        <v>2017</v>
      </c>
      <c r="AR363" s="1" t="s">
        <v>16</v>
      </c>
      <c r="AS363" s="299" t="s">
        <v>209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27"/>
    </row>
    <row r="364" spans="32:52" x14ac:dyDescent="0.25">
      <c r="AF364" s="35" t="str">
        <f t="shared" si="26"/>
        <v>GymboreeWebUSA42</v>
      </c>
      <c r="AG364" s="1" t="s">
        <v>14</v>
      </c>
      <c r="AH364" s="1" t="s">
        <v>15</v>
      </c>
      <c r="AI364" s="1" t="s">
        <v>336</v>
      </c>
      <c r="AJ364" s="1">
        <v>42</v>
      </c>
      <c r="AK364" s="27">
        <v>0.8</v>
      </c>
      <c r="AM364" s="262" t="str">
        <f t="shared" si="27"/>
        <v>Janie &amp; JackUSAOutletJJ 17 FEB EASTER GIFT LAY</v>
      </c>
      <c r="AN364" s="1" t="s">
        <v>38</v>
      </c>
      <c r="AO364" s="1" t="s">
        <v>17</v>
      </c>
      <c r="AP364" s="1" t="s">
        <v>336</v>
      </c>
      <c r="AQ364" s="1">
        <v>2017</v>
      </c>
      <c r="AR364" s="1" t="s">
        <v>16</v>
      </c>
      <c r="AS364" s="299" t="s">
        <v>211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27"/>
    </row>
    <row r="365" spans="32:52" x14ac:dyDescent="0.25">
      <c r="AF365" s="35" t="str">
        <f t="shared" si="26"/>
        <v>GymboreeWebUSA43</v>
      </c>
      <c r="AG365" s="1" t="s">
        <v>14</v>
      </c>
      <c r="AH365" s="1" t="s">
        <v>15</v>
      </c>
      <c r="AI365" s="1" t="s">
        <v>336</v>
      </c>
      <c r="AJ365" s="1">
        <v>43</v>
      </c>
      <c r="AK365" s="27">
        <v>0.8</v>
      </c>
      <c r="AM365" s="262" t="str">
        <f t="shared" si="27"/>
        <v>Janie &amp; JackUSAOutletJJ 17 MAR EASTER 2 A+B</v>
      </c>
      <c r="AN365" s="1" t="s">
        <v>38</v>
      </c>
      <c r="AO365" s="1" t="s">
        <v>17</v>
      </c>
      <c r="AP365" s="1" t="s">
        <v>336</v>
      </c>
      <c r="AQ365" s="1">
        <v>2017</v>
      </c>
      <c r="AR365" s="1" t="s">
        <v>16</v>
      </c>
      <c r="AS365" s="299" t="s">
        <v>215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27"/>
    </row>
    <row r="366" spans="32:52" x14ac:dyDescent="0.25">
      <c r="AF366" s="35" t="str">
        <f t="shared" si="26"/>
        <v>GymboreeWebUSA44</v>
      </c>
      <c r="AG366" s="1" t="s">
        <v>14</v>
      </c>
      <c r="AH366" s="1" t="s">
        <v>15</v>
      </c>
      <c r="AI366" s="1" t="s">
        <v>336</v>
      </c>
      <c r="AJ366" s="1">
        <v>44</v>
      </c>
      <c r="AK366" s="27">
        <v>0.8</v>
      </c>
      <c r="AM366" s="262" t="str">
        <f t="shared" si="27"/>
        <v>Janie &amp; JackUSAOutletJJ 17 SPR SO REFRESH</v>
      </c>
      <c r="AN366" s="1" t="s">
        <v>38</v>
      </c>
      <c r="AO366" s="1" t="s">
        <v>17</v>
      </c>
      <c r="AP366" s="1" t="s">
        <v>336</v>
      </c>
      <c r="AQ366" s="1">
        <v>2017</v>
      </c>
      <c r="AR366" s="1" t="s">
        <v>16</v>
      </c>
      <c r="AS366" s="299" t="s">
        <v>191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27"/>
    </row>
    <row r="367" spans="32:52" x14ac:dyDescent="0.25">
      <c r="AF367" s="35" t="str">
        <f t="shared" si="26"/>
        <v>GymboreeWebUSA45</v>
      </c>
      <c r="AG367" s="1" t="s">
        <v>14</v>
      </c>
      <c r="AH367" s="1" t="s">
        <v>15</v>
      </c>
      <c r="AI367" s="1" t="s">
        <v>336</v>
      </c>
      <c r="AJ367" s="1">
        <v>45</v>
      </c>
      <c r="AK367" s="27">
        <v>0.8</v>
      </c>
      <c r="AM367" s="262" t="str">
        <f t="shared" si="27"/>
        <v>Janie &amp; JackUSAOutletJJ 17 FEB SPR 2</v>
      </c>
      <c r="AN367" s="1" t="s">
        <v>38</v>
      </c>
      <c r="AO367" s="1" t="s">
        <v>17</v>
      </c>
      <c r="AP367" s="1" t="s">
        <v>336</v>
      </c>
      <c r="AQ367" s="1">
        <v>2017</v>
      </c>
      <c r="AR367" s="1" t="s">
        <v>16</v>
      </c>
      <c r="AS367" s="299" t="s">
        <v>219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27"/>
    </row>
    <row r="368" spans="32:52" x14ac:dyDescent="0.25">
      <c r="AF368" s="35" t="str">
        <f t="shared" si="26"/>
        <v>GymboreeWebUSA46</v>
      </c>
      <c r="AG368" s="1" t="s">
        <v>14</v>
      </c>
      <c r="AH368" s="1" t="s">
        <v>15</v>
      </c>
      <c r="AI368" s="1" t="s">
        <v>336</v>
      </c>
      <c r="AJ368" s="1">
        <v>46</v>
      </c>
      <c r="AK368" s="27">
        <v>0.8</v>
      </c>
      <c r="AM368" s="262" t="str">
        <f t="shared" si="27"/>
        <v>Janie &amp; JackUSAOutletJJ 17 APR LAY SWIM</v>
      </c>
      <c r="AN368" s="1" t="s">
        <v>38</v>
      </c>
      <c r="AO368" s="1" t="s">
        <v>17</v>
      </c>
      <c r="AP368" s="1" t="s">
        <v>336</v>
      </c>
      <c r="AQ368" s="1">
        <v>2017</v>
      </c>
      <c r="AR368" s="1" t="s">
        <v>16</v>
      </c>
      <c r="AS368" s="299" t="s">
        <v>196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27"/>
    </row>
    <row r="369" spans="32:52" x14ac:dyDescent="0.25">
      <c r="AF369" s="35" t="str">
        <f t="shared" si="26"/>
        <v>GymboreeWebUSA47</v>
      </c>
      <c r="AG369" s="1" t="s">
        <v>14</v>
      </c>
      <c r="AH369" s="1" t="s">
        <v>15</v>
      </c>
      <c r="AI369" s="1" t="s">
        <v>336</v>
      </c>
      <c r="AJ369" s="1">
        <v>47</v>
      </c>
      <c r="AK369" s="27">
        <v>0.8</v>
      </c>
      <c r="AM369" s="262" t="str">
        <f t="shared" si="27"/>
        <v>Janie &amp; JackUSAOutlet(new)</v>
      </c>
      <c r="AN369" s="1" t="s">
        <v>38</v>
      </c>
      <c r="AO369" s="1" t="s">
        <v>17</v>
      </c>
      <c r="AP369" s="1" t="s">
        <v>336</v>
      </c>
      <c r="AQ369" s="1">
        <v>2017</v>
      </c>
      <c r="AR369" s="1" t="s">
        <v>16</v>
      </c>
      <c r="AS369" s="299" t="s">
        <v>591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27"/>
    </row>
    <row r="370" spans="32:52" x14ac:dyDescent="0.25">
      <c r="AF370" s="35" t="str">
        <f t="shared" si="26"/>
        <v>GymboreeWebUSA48</v>
      </c>
      <c r="AG370" s="1" t="s">
        <v>14</v>
      </c>
      <c r="AH370" s="1" t="s">
        <v>15</v>
      </c>
      <c r="AI370" s="1" t="s">
        <v>336</v>
      </c>
      <c r="AJ370" s="1">
        <v>48</v>
      </c>
      <c r="AK370" s="27">
        <v>0.8</v>
      </c>
      <c r="AM370" s="262" t="str">
        <f t="shared" si="27"/>
        <v>Janie &amp; JackUSAOutletJJ 17 MAR SUMMER 0</v>
      </c>
      <c r="AN370" s="1" t="s">
        <v>38</v>
      </c>
      <c r="AO370" s="1" t="s">
        <v>17</v>
      </c>
      <c r="AP370" s="1" t="s">
        <v>336</v>
      </c>
      <c r="AQ370" s="1">
        <v>2017</v>
      </c>
      <c r="AR370" s="1" t="s">
        <v>18</v>
      </c>
      <c r="AS370" s="299" t="s">
        <v>223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27"/>
    </row>
    <row r="371" spans="32:52" x14ac:dyDescent="0.25">
      <c r="AF371" s="35" t="str">
        <f t="shared" si="26"/>
        <v>GymboreeWebUSA49</v>
      </c>
      <c r="AG371" s="1" t="s">
        <v>14</v>
      </c>
      <c r="AH371" s="1" t="s">
        <v>15</v>
      </c>
      <c r="AI371" s="1" t="s">
        <v>336</v>
      </c>
      <c r="AJ371" s="1">
        <v>49</v>
      </c>
      <c r="AK371" s="27">
        <v>0.8</v>
      </c>
      <c r="AM371" s="262" t="str">
        <f t="shared" si="27"/>
        <v>Janie &amp; JackUSAOutletJJ 17 APR SMR 1 A+B</v>
      </c>
      <c r="AN371" s="1" t="s">
        <v>38</v>
      </c>
      <c r="AO371" s="1" t="s">
        <v>17</v>
      </c>
      <c r="AP371" s="1" t="s">
        <v>336</v>
      </c>
      <c r="AQ371" s="1">
        <v>2017</v>
      </c>
      <c r="AR371" s="1" t="s">
        <v>18</v>
      </c>
      <c r="AS371" s="299" t="s">
        <v>225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27"/>
    </row>
    <row r="372" spans="32:52" x14ac:dyDescent="0.25">
      <c r="AF372" s="35" t="str">
        <f t="shared" si="26"/>
        <v>GymboreeWebUSA50</v>
      </c>
      <c r="AG372" s="1" t="s">
        <v>14</v>
      </c>
      <c r="AH372" s="1" t="s">
        <v>15</v>
      </c>
      <c r="AI372" s="1" t="s">
        <v>336</v>
      </c>
      <c r="AJ372" s="1">
        <v>50</v>
      </c>
      <c r="AK372" s="27">
        <v>0.8</v>
      </c>
      <c r="AM372" s="262" t="str">
        <f t="shared" si="27"/>
        <v>Janie &amp; JackUSAOutletJJ 17 SMR BASICS</v>
      </c>
      <c r="AN372" s="1" t="s">
        <v>38</v>
      </c>
      <c r="AO372" s="1" t="s">
        <v>17</v>
      </c>
      <c r="AP372" s="1" t="s">
        <v>336</v>
      </c>
      <c r="AQ372" s="1">
        <v>2017</v>
      </c>
      <c r="AR372" s="1" t="s">
        <v>18</v>
      </c>
      <c r="AS372" s="299" t="s">
        <v>193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27"/>
    </row>
    <row r="373" spans="32:52" x14ac:dyDescent="0.25">
      <c r="AF373" s="35" t="str">
        <f t="shared" si="26"/>
        <v>GymboreeWebUSA51</v>
      </c>
      <c r="AG373" s="1" t="s">
        <v>14</v>
      </c>
      <c r="AH373" s="1" t="s">
        <v>15</v>
      </c>
      <c r="AI373" s="1" t="s">
        <v>336</v>
      </c>
      <c r="AJ373" s="1">
        <v>51</v>
      </c>
      <c r="AK373" s="27">
        <v>0.8</v>
      </c>
      <c r="AM373" s="262" t="str">
        <f t="shared" si="27"/>
        <v>Janie &amp; JackUSAOutlet(new)</v>
      </c>
      <c r="AN373" s="1" t="s">
        <v>38</v>
      </c>
      <c r="AO373" s="1" t="s">
        <v>17</v>
      </c>
      <c r="AP373" s="1" t="s">
        <v>336</v>
      </c>
      <c r="AQ373" s="1">
        <v>2017</v>
      </c>
      <c r="AR373" s="1" t="s">
        <v>18</v>
      </c>
      <c r="AS373" s="299" t="s">
        <v>591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27"/>
    </row>
    <row r="374" spans="32:52" x14ac:dyDescent="0.25">
      <c r="AF374" s="35" t="str">
        <f t="shared" si="26"/>
        <v>GymboreeWebUSA52</v>
      </c>
      <c r="AG374" s="1" t="s">
        <v>14</v>
      </c>
      <c r="AH374" s="1" t="s">
        <v>15</v>
      </c>
      <c r="AI374" s="1" t="s">
        <v>336</v>
      </c>
      <c r="AJ374" s="1">
        <v>52</v>
      </c>
      <c r="AK374" s="27">
        <v>0.8</v>
      </c>
      <c r="AM374" s="262" t="str">
        <f t="shared" si="27"/>
        <v>Janie &amp; JackUSAOutletJJ 17 SUMMER 2</v>
      </c>
      <c r="AN374" s="1" t="s">
        <v>38</v>
      </c>
      <c r="AO374" s="1" t="s">
        <v>17</v>
      </c>
      <c r="AP374" s="1" t="s">
        <v>336</v>
      </c>
      <c r="AQ374" s="1">
        <v>2017</v>
      </c>
      <c r="AR374" s="1" t="s">
        <v>18</v>
      </c>
      <c r="AS374" s="299" t="s">
        <v>227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27"/>
    </row>
    <row r="375" spans="32:52" x14ac:dyDescent="0.25">
      <c r="AF375" s="35" t="str">
        <f t="shared" si="26"/>
        <v>GymboreeWebUSA53</v>
      </c>
      <c r="AG375" s="1" t="s">
        <v>14</v>
      </c>
      <c r="AH375" s="1" t="s">
        <v>15</v>
      </c>
      <c r="AI375" s="1" t="s">
        <v>336</v>
      </c>
      <c r="AJ375" s="1">
        <v>53</v>
      </c>
      <c r="AK375" s="27">
        <v>0.8</v>
      </c>
      <c r="AM375" s="262" t="str">
        <f t="shared" si="27"/>
        <v>Janie &amp; JackUSAOutletJJ 17 4TH OF JULY</v>
      </c>
      <c r="AN375" s="1" t="s">
        <v>38</v>
      </c>
      <c r="AO375" s="1" t="s">
        <v>17</v>
      </c>
      <c r="AP375" s="1" t="s">
        <v>336</v>
      </c>
      <c r="AQ375" s="1">
        <v>2017</v>
      </c>
      <c r="AR375" s="1" t="s">
        <v>18</v>
      </c>
      <c r="AS375" s="299" t="s">
        <v>229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27"/>
    </row>
    <row r="376" spans="32:52" x14ac:dyDescent="0.25">
      <c r="AF376" s="35" t="str">
        <f t="shared" si="26"/>
        <v>Crazy 8RetailUSA1</v>
      </c>
      <c r="AG376" s="1" t="s">
        <v>74</v>
      </c>
      <c r="AH376" s="1" t="s">
        <v>5</v>
      </c>
      <c r="AI376" s="1" t="s">
        <v>336</v>
      </c>
      <c r="AJ376" s="1">
        <v>1</v>
      </c>
      <c r="AK376" s="27">
        <v>0.3</v>
      </c>
      <c r="AM376" s="262" t="str">
        <f t="shared" si="27"/>
        <v>Janie &amp; JackUSAOutletJJ 17 TRANS GIFTING LAY</v>
      </c>
      <c r="AN376" s="1" t="s">
        <v>38</v>
      </c>
      <c r="AO376" s="1" t="s">
        <v>17</v>
      </c>
      <c r="AP376" s="1" t="s">
        <v>336</v>
      </c>
      <c r="AQ376" s="1">
        <v>2017</v>
      </c>
      <c r="AR376" s="1" t="s">
        <v>18</v>
      </c>
      <c r="AS376" s="299" t="s">
        <v>239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27"/>
    </row>
    <row r="377" spans="32:52" x14ac:dyDescent="0.25">
      <c r="AF377" s="35" t="str">
        <f t="shared" si="26"/>
        <v>Crazy 8RetailUSA2</v>
      </c>
      <c r="AG377" s="1" t="s">
        <v>74</v>
      </c>
      <c r="AH377" s="1" t="s">
        <v>5</v>
      </c>
      <c r="AI377" s="1" t="s">
        <v>336</v>
      </c>
      <c r="AJ377" s="1">
        <v>2</v>
      </c>
      <c r="AK377" s="27">
        <v>0.3</v>
      </c>
      <c r="AM377" s="262" t="str">
        <f t="shared" si="27"/>
        <v>Janie &amp; JackUSAOutletJJ 17 SUMMER 3</v>
      </c>
      <c r="AN377" s="1" t="s">
        <v>38</v>
      </c>
      <c r="AO377" s="1" t="s">
        <v>17</v>
      </c>
      <c r="AP377" s="1" t="s">
        <v>336</v>
      </c>
      <c r="AQ377" s="1">
        <v>2017</v>
      </c>
      <c r="AR377" s="1" t="s">
        <v>18</v>
      </c>
      <c r="AS377" s="299" t="s">
        <v>232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27"/>
    </row>
    <row r="378" spans="32:52" x14ac:dyDescent="0.25">
      <c r="AF378" s="35" t="str">
        <f t="shared" si="26"/>
        <v>Crazy 8RetailUSA3</v>
      </c>
      <c r="AG378" s="1" t="s">
        <v>74</v>
      </c>
      <c r="AH378" s="1" t="s">
        <v>5</v>
      </c>
      <c r="AI378" s="1" t="s">
        <v>336</v>
      </c>
      <c r="AJ378" s="1">
        <v>3</v>
      </c>
      <c r="AK378" s="27">
        <v>0.3</v>
      </c>
      <c r="AM378" s="262" t="str">
        <f t="shared" si="27"/>
        <v>Janie &amp; JackUSAOutlet(new)</v>
      </c>
      <c r="AN378" s="1" t="s">
        <v>38</v>
      </c>
      <c r="AO378" s="1" t="s">
        <v>17</v>
      </c>
      <c r="AP378" s="1" t="s">
        <v>336</v>
      </c>
      <c r="AQ378" s="1">
        <v>2017</v>
      </c>
      <c r="AR378" s="1" t="s">
        <v>18</v>
      </c>
      <c r="AS378" s="299" t="s">
        <v>591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27"/>
    </row>
    <row r="379" spans="32:52" x14ac:dyDescent="0.25">
      <c r="AF379" s="35" t="str">
        <f t="shared" si="26"/>
        <v>Crazy 8RetailUSA4</v>
      </c>
      <c r="AG379" s="1" t="s">
        <v>74</v>
      </c>
      <c r="AH379" s="1" t="s">
        <v>5</v>
      </c>
      <c r="AI379" s="1" t="s">
        <v>336</v>
      </c>
      <c r="AJ379" s="1">
        <v>4</v>
      </c>
      <c r="AK379" s="27">
        <v>0.3</v>
      </c>
      <c r="AM379" s="262" t="str">
        <f t="shared" si="27"/>
        <v>Janie &amp; JackUSAOutletJJ 17 SUMMER 4</v>
      </c>
      <c r="AN379" s="1" t="s">
        <v>38</v>
      </c>
      <c r="AO379" s="1" t="s">
        <v>17</v>
      </c>
      <c r="AP379" s="1" t="s">
        <v>336</v>
      </c>
      <c r="AQ379" s="1">
        <v>2017</v>
      </c>
      <c r="AR379" s="1" t="s">
        <v>18</v>
      </c>
      <c r="AS379" s="299" t="s">
        <v>234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27"/>
    </row>
    <row r="380" spans="32:52" x14ac:dyDescent="0.25">
      <c r="AF380" s="35" t="str">
        <f t="shared" si="26"/>
        <v>Crazy 8RetailUSA5</v>
      </c>
      <c r="AG380" s="1" t="s">
        <v>74</v>
      </c>
      <c r="AH380" s="1" t="s">
        <v>5</v>
      </c>
      <c r="AI380" s="1" t="s">
        <v>336</v>
      </c>
      <c r="AJ380" s="1">
        <v>5</v>
      </c>
      <c r="AK380" s="27">
        <v>0.35</v>
      </c>
      <c r="AM380" s="262" t="str">
        <f t="shared" si="27"/>
        <v>Janie &amp; JackUSAOutletJJ 17 JULY TRANS 1</v>
      </c>
      <c r="AN380" s="1" t="s">
        <v>38</v>
      </c>
      <c r="AO380" s="1" t="s">
        <v>17</v>
      </c>
      <c r="AP380" s="1" t="s">
        <v>336</v>
      </c>
      <c r="AQ380" s="1">
        <v>2017</v>
      </c>
      <c r="AR380" s="1" t="s">
        <v>18</v>
      </c>
      <c r="AS380" s="299" t="s">
        <v>236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27"/>
    </row>
    <row r="381" spans="32:52" x14ac:dyDescent="0.25">
      <c r="AF381" s="35" t="str">
        <f t="shared" si="26"/>
        <v>Crazy 8RetailUSA6</v>
      </c>
      <c r="AG381" s="1" t="s">
        <v>74</v>
      </c>
      <c r="AH381" s="1" t="s">
        <v>5</v>
      </c>
      <c r="AI381" s="1" t="s">
        <v>336</v>
      </c>
      <c r="AJ381" s="1">
        <v>6</v>
      </c>
      <c r="AK381" s="27">
        <v>0.35</v>
      </c>
      <c r="AM381" s="262" t="str">
        <f t="shared" si="27"/>
        <v>Janie &amp; JackUSAOutletJJ 17 TRANS 2</v>
      </c>
      <c r="AN381" s="1" t="s">
        <v>38</v>
      </c>
      <c r="AO381" s="1" t="s">
        <v>17</v>
      </c>
      <c r="AP381" s="1" t="s">
        <v>336</v>
      </c>
      <c r="AQ381" s="1">
        <v>2017</v>
      </c>
      <c r="AR381" s="1" t="s">
        <v>18</v>
      </c>
      <c r="AS381" s="299" t="s">
        <v>176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27"/>
    </row>
    <row r="382" spans="32:52" x14ac:dyDescent="0.25">
      <c r="AF382" s="35" t="str">
        <f t="shared" si="26"/>
        <v>Crazy 8RetailUSA7</v>
      </c>
      <c r="AG382" s="1" t="s">
        <v>74</v>
      </c>
      <c r="AH382" s="1" t="s">
        <v>5</v>
      </c>
      <c r="AI382" s="1" t="s">
        <v>336</v>
      </c>
      <c r="AJ382" s="1">
        <v>7</v>
      </c>
      <c r="AK382" s="27">
        <v>0.35</v>
      </c>
      <c r="AM382" s="262" t="str">
        <f t="shared" si="27"/>
        <v>Janie &amp; JackUSAOutlet(new)</v>
      </c>
      <c r="AN382" s="1" t="s">
        <v>38</v>
      </c>
      <c r="AO382" s="1" t="s">
        <v>17</v>
      </c>
      <c r="AP382" s="1" t="s">
        <v>336</v>
      </c>
      <c r="AQ382" s="1">
        <v>2017</v>
      </c>
      <c r="AR382" s="1" t="s">
        <v>18</v>
      </c>
      <c r="AS382" s="299" t="s">
        <v>591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27"/>
    </row>
    <row r="383" spans="32:52" x14ac:dyDescent="0.25">
      <c r="AF383" s="35" t="str">
        <f t="shared" si="26"/>
        <v>Crazy 8RetailUSA8</v>
      </c>
      <c r="AG383" s="1" t="s">
        <v>74</v>
      </c>
      <c r="AH383" s="1" t="s">
        <v>5</v>
      </c>
      <c r="AI383" s="1" t="s">
        <v>336</v>
      </c>
      <c r="AJ383" s="1">
        <v>8</v>
      </c>
      <c r="AK383" s="27">
        <v>0.35</v>
      </c>
      <c r="AM383" s="262" t="str">
        <f t="shared" si="27"/>
        <v>Janie &amp; JackUSAOutletJJ 17 SO SB2</v>
      </c>
      <c r="AN383" s="1" t="s">
        <v>38</v>
      </c>
      <c r="AO383" s="1" t="s">
        <v>17</v>
      </c>
      <c r="AP383" s="1" t="s">
        <v>336</v>
      </c>
      <c r="AQ383" s="1">
        <v>2017</v>
      </c>
      <c r="AR383" s="1" t="s">
        <v>18</v>
      </c>
      <c r="AS383" s="299" t="s">
        <v>200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27"/>
    </row>
    <row r="384" spans="32:52" x14ac:dyDescent="0.25">
      <c r="AF384" s="35" t="str">
        <f t="shared" si="26"/>
        <v>Crazy 8RetailUSA9</v>
      </c>
      <c r="AG384" s="1" t="s">
        <v>74</v>
      </c>
      <c r="AH384" s="1" t="s">
        <v>5</v>
      </c>
      <c r="AI384" s="1" t="s">
        <v>336</v>
      </c>
      <c r="AJ384" s="1">
        <v>9</v>
      </c>
      <c r="AK384" s="27">
        <v>0.35</v>
      </c>
      <c r="AM384" s="262" t="str">
        <f t="shared" si="27"/>
        <v>Janie &amp; JackUSAOutletJJ 17 JULY TRANS 3 GIRL ONLY</v>
      </c>
      <c r="AN384" s="1" t="s">
        <v>38</v>
      </c>
      <c r="AO384" s="1" t="s">
        <v>17</v>
      </c>
      <c r="AP384" s="1" t="s">
        <v>336</v>
      </c>
      <c r="AQ384" s="1">
        <v>2017</v>
      </c>
      <c r="AR384" s="1" t="s">
        <v>18</v>
      </c>
      <c r="AS384" s="299" t="s">
        <v>178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27"/>
    </row>
    <row r="385" spans="32:52" x14ac:dyDescent="0.25">
      <c r="AF385" s="35" t="str">
        <f t="shared" si="26"/>
        <v>Crazy 8RetailUSA10</v>
      </c>
      <c r="AG385" s="1" t="s">
        <v>74</v>
      </c>
      <c r="AH385" s="1" t="s">
        <v>5</v>
      </c>
      <c r="AI385" s="1" t="s">
        <v>336</v>
      </c>
      <c r="AJ385" s="1">
        <v>10</v>
      </c>
      <c r="AK385" s="27">
        <v>0.4</v>
      </c>
      <c r="AM385" s="262" t="str">
        <f t="shared" si="27"/>
        <v>Janie &amp; JackUSAOutlet(new)</v>
      </c>
      <c r="AN385" s="1" t="s">
        <v>38</v>
      </c>
      <c r="AO385" s="1" t="s">
        <v>17</v>
      </c>
      <c r="AP385" s="1" t="s">
        <v>336</v>
      </c>
      <c r="AQ385" s="1">
        <v>2017</v>
      </c>
      <c r="AR385" s="1" t="s">
        <v>18</v>
      </c>
      <c r="AS385" s="299" t="s">
        <v>591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27"/>
    </row>
    <row r="386" spans="32:52" x14ac:dyDescent="0.25">
      <c r="AF386" s="35" t="str">
        <f t="shared" si="26"/>
        <v>Crazy 8RetailUSA11</v>
      </c>
      <c r="AG386" s="1" t="s">
        <v>74</v>
      </c>
      <c r="AH386" s="1" t="s">
        <v>5</v>
      </c>
      <c r="AI386" s="1" t="s">
        <v>336</v>
      </c>
      <c r="AJ386" s="1">
        <v>11</v>
      </c>
      <c r="AK386" s="27">
        <v>0.4</v>
      </c>
      <c r="AM386" s="262" t="str">
        <f t="shared" si="27"/>
        <v>Janie &amp; JackUSAOutletJJ 17 FALL GIFTING LAY</v>
      </c>
      <c r="AN386" s="1" t="s">
        <v>38</v>
      </c>
      <c r="AO386" s="1" t="s">
        <v>17</v>
      </c>
      <c r="AP386" s="1" t="s">
        <v>336</v>
      </c>
      <c r="AQ386" s="1">
        <v>2017</v>
      </c>
      <c r="AR386" s="1" t="s">
        <v>18</v>
      </c>
      <c r="AS386" s="299" t="s">
        <v>393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27"/>
    </row>
    <row r="387" spans="32:52" x14ac:dyDescent="0.25">
      <c r="AF387" s="35" t="str">
        <f t="shared" si="26"/>
        <v>Crazy 8RetailUSA12</v>
      </c>
      <c r="AG387" s="1" t="s">
        <v>74</v>
      </c>
      <c r="AH387" s="1" t="s">
        <v>5</v>
      </c>
      <c r="AI387" s="1" t="s">
        <v>336</v>
      </c>
      <c r="AJ387" s="1">
        <v>12</v>
      </c>
      <c r="AK387" s="27">
        <v>0.4</v>
      </c>
      <c r="AM387" s="262" t="str">
        <f t="shared" si="27"/>
        <v>GymboreeUSARetailGY 17 JAN CAP</v>
      </c>
      <c r="AN387" s="1" t="s">
        <v>14</v>
      </c>
      <c r="AO387" s="1" t="s">
        <v>5</v>
      </c>
      <c r="AP387" s="1" t="s">
        <v>336</v>
      </c>
      <c r="AQ387" s="1">
        <v>2017</v>
      </c>
      <c r="AR387" s="1" t="s">
        <v>16</v>
      </c>
      <c r="AS387" s="299" t="s">
        <v>416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27"/>
    </row>
    <row r="388" spans="32:52" x14ac:dyDescent="0.25">
      <c r="AF388" s="35" t="str">
        <f t="shared" si="26"/>
        <v>Crazy 8RetailUSA13</v>
      </c>
      <c r="AG388" s="1" t="s">
        <v>74</v>
      </c>
      <c r="AH388" s="1" t="s">
        <v>5</v>
      </c>
      <c r="AI388" s="1" t="s">
        <v>336</v>
      </c>
      <c r="AJ388" s="1">
        <v>13</v>
      </c>
      <c r="AK388" s="27">
        <v>0.4</v>
      </c>
      <c r="AM388" s="262" t="str">
        <f t="shared" si="27"/>
        <v>GymboreeUSARetailGY 17 SPR</v>
      </c>
      <c r="AN388" s="1" t="s">
        <v>14</v>
      </c>
      <c r="AO388" s="1" t="s">
        <v>5</v>
      </c>
      <c r="AP388" s="1" t="s">
        <v>336</v>
      </c>
      <c r="AQ388" s="1">
        <v>2017</v>
      </c>
      <c r="AR388" s="1" t="s">
        <v>16</v>
      </c>
      <c r="AS388" s="299" t="s">
        <v>150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27"/>
    </row>
    <row r="389" spans="32:52" x14ac:dyDescent="0.25">
      <c r="AF389" s="35" t="str">
        <f t="shared" si="26"/>
        <v>Crazy 8RetailUSA14</v>
      </c>
      <c r="AG389" s="1" t="s">
        <v>74</v>
      </c>
      <c r="AH389" s="1" t="s">
        <v>5</v>
      </c>
      <c r="AI389" s="1" t="s">
        <v>336</v>
      </c>
      <c r="AJ389" s="1">
        <v>14</v>
      </c>
      <c r="AK389" s="27">
        <v>0.4</v>
      </c>
      <c r="AM389" s="262" t="str">
        <f t="shared" si="27"/>
        <v>GymboreeUSARetailGY 17 SPRING BASICS</v>
      </c>
      <c r="AN389" s="1" t="s">
        <v>14</v>
      </c>
      <c r="AO389" s="1" t="s">
        <v>5</v>
      </c>
      <c r="AP389" s="1" t="s">
        <v>336</v>
      </c>
      <c r="AQ389" s="1">
        <v>2017</v>
      </c>
      <c r="AR389" s="1" t="s">
        <v>16</v>
      </c>
      <c r="AS389" s="299" t="s">
        <v>146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27"/>
    </row>
    <row r="390" spans="32:52" x14ac:dyDescent="0.25">
      <c r="AF390" s="35" t="str">
        <f t="shared" ref="AF390:AF453" si="28">AG390&amp;AH390&amp;AI390&amp;AJ390</f>
        <v>Crazy 8RetailUSA15</v>
      </c>
      <c r="AG390" s="1" t="s">
        <v>74</v>
      </c>
      <c r="AH390" s="1" t="s">
        <v>5</v>
      </c>
      <c r="AI390" s="1" t="s">
        <v>336</v>
      </c>
      <c r="AJ390" s="1">
        <v>15</v>
      </c>
      <c r="AK390" s="27">
        <v>0.45</v>
      </c>
      <c r="AM390" s="262" t="str">
        <f t="shared" ref="AM390:AM446" si="29">AN390&amp;AP390&amp;AO390&amp;AS390</f>
        <v>GymboreeUSARetailGY 17 SPR 1</v>
      </c>
      <c r="AN390" s="1" t="s">
        <v>14</v>
      </c>
      <c r="AO390" s="1" t="s">
        <v>5</v>
      </c>
      <c r="AP390" s="1" t="s">
        <v>336</v>
      </c>
      <c r="AQ390" s="1">
        <v>2017</v>
      </c>
      <c r="AR390" s="1" t="s">
        <v>16</v>
      </c>
      <c r="AS390" s="299" t="s">
        <v>152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27"/>
    </row>
    <row r="391" spans="32:52" x14ac:dyDescent="0.25">
      <c r="AF391" s="35" t="str">
        <f t="shared" si="28"/>
        <v>Crazy 8RetailUSA16</v>
      </c>
      <c r="AG391" s="1" t="s">
        <v>74</v>
      </c>
      <c r="AH391" s="1" t="s">
        <v>5</v>
      </c>
      <c r="AI391" s="1" t="s">
        <v>336</v>
      </c>
      <c r="AJ391" s="1">
        <v>16</v>
      </c>
      <c r="AK391" s="27">
        <v>0.45</v>
      </c>
      <c r="AM391" s="262" t="str">
        <f t="shared" si="29"/>
        <v>GymboreeUSARetailGY 17 SPR 2</v>
      </c>
      <c r="AN391" s="1" t="s">
        <v>14</v>
      </c>
      <c r="AO391" s="1" t="s">
        <v>5</v>
      </c>
      <c r="AP391" s="1" t="s">
        <v>336</v>
      </c>
      <c r="AQ391" s="1">
        <v>2017</v>
      </c>
      <c r="AR391" s="1" t="s">
        <v>16</v>
      </c>
      <c r="AS391" s="299" t="s">
        <v>63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27"/>
    </row>
    <row r="392" spans="32:52" x14ac:dyDescent="0.25">
      <c r="AF392" s="35" t="str">
        <f t="shared" si="28"/>
        <v>Crazy 8RetailUSA17</v>
      </c>
      <c r="AG392" s="1" t="s">
        <v>74</v>
      </c>
      <c r="AH392" s="1" t="s">
        <v>5</v>
      </c>
      <c r="AI392" s="1" t="s">
        <v>336</v>
      </c>
      <c r="AJ392" s="1">
        <v>17</v>
      </c>
      <c r="AK392" s="27">
        <v>0.45</v>
      </c>
      <c r="AM392" s="262" t="str">
        <f t="shared" si="29"/>
        <v>GymboreeUSARetailGY 17 SWIM 1</v>
      </c>
      <c r="AN392" s="1" t="s">
        <v>14</v>
      </c>
      <c r="AO392" s="1" t="s">
        <v>5</v>
      </c>
      <c r="AP392" s="1" t="s">
        <v>336</v>
      </c>
      <c r="AQ392" s="1">
        <v>2017</v>
      </c>
      <c r="AR392" s="1" t="s">
        <v>16</v>
      </c>
      <c r="AS392" s="299" t="s">
        <v>154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27"/>
    </row>
    <row r="393" spans="32:52" x14ac:dyDescent="0.25">
      <c r="AF393" s="35" t="str">
        <f t="shared" si="28"/>
        <v>Crazy 8RetailUSA18</v>
      </c>
      <c r="AG393" s="1" t="s">
        <v>74</v>
      </c>
      <c r="AH393" s="1" t="s">
        <v>5</v>
      </c>
      <c r="AI393" s="1" t="s">
        <v>336</v>
      </c>
      <c r="AJ393" s="1">
        <v>18</v>
      </c>
      <c r="AK393" s="27">
        <v>0.45</v>
      </c>
      <c r="AM393" s="262" t="str">
        <f t="shared" si="29"/>
        <v>GymboreeUSARetailGY 17 SPR VAC</v>
      </c>
      <c r="AN393" s="1" t="s">
        <v>14</v>
      </c>
      <c r="AO393" s="1" t="s">
        <v>5</v>
      </c>
      <c r="AP393" s="1" t="s">
        <v>336</v>
      </c>
      <c r="AQ393" s="1">
        <v>2017</v>
      </c>
      <c r="AR393" s="1" t="s">
        <v>16</v>
      </c>
      <c r="AS393" s="299" t="s">
        <v>158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27"/>
    </row>
    <row r="394" spans="32:52" x14ac:dyDescent="0.25">
      <c r="AF394" s="35" t="str">
        <f t="shared" si="28"/>
        <v>Crazy 8RetailUSA19</v>
      </c>
      <c r="AG394" s="1" t="s">
        <v>74</v>
      </c>
      <c r="AH394" s="1" t="s">
        <v>5</v>
      </c>
      <c r="AI394" s="1" t="s">
        <v>336</v>
      </c>
      <c r="AJ394" s="1">
        <v>19</v>
      </c>
      <c r="AK394" s="27">
        <v>0.45</v>
      </c>
      <c r="AM394" s="262" t="str">
        <f t="shared" si="29"/>
        <v>GymboreeUSARetailGY 17 SWIM 2</v>
      </c>
      <c r="AN394" s="1" t="s">
        <v>14</v>
      </c>
      <c r="AO394" s="1" t="s">
        <v>5</v>
      </c>
      <c r="AP394" s="1" t="s">
        <v>336</v>
      </c>
      <c r="AQ394" s="1">
        <v>2017</v>
      </c>
      <c r="AR394" s="1" t="s">
        <v>16</v>
      </c>
      <c r="AS394" s="299" t="s">
        <v>162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27"/>
    </row>
    <row r="395" spans="32:52" x14ac:dyDescent="0.25">
      <c r="AF395" s="35" t="str">
        <f t="shared" si="28"/>
        <v>Crazy 8RetailUSA20</v>
      </c>
      <c r="AG395" s="1" t="s">
        <v>74</v>
      </c>
      <c r="AH395" s="1" t="s">
        <v>5</v>
      </c>
      <c r="AI395" s="1" t="s">
        <v>336</v>
      </c>
      <c r="AJ395" s="1">
        <v>20</v>
      </c>
      <c r="AK395" s="27">
        <v>0.5</v>
      </c>
      <c r="AM395" s="262" t="str">
        <f t="shared" si="29"/>
        <v>GymboreeUSARetailGY 17 SUM 1</v>
      </c>
      <c r="AN395" s="1" t="s">
        <v>14</v>
      </c>
      <c r="AO395" s="1" t="s">
        <v>5</v>
      </c>
      <c r="AP395" s="1" t="s">
        <v>336</v>
      </c>
      <c r="AQ395" s="1">
        <v>2017</v>
      </c>
      <c r="AR395" s="1" t="s">
        <v>16</v>
      </c>
      <c r="AS395" s="299" t="s">
        <v>160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27"/>
    </row>
    <row r="396" spans="32:52" x14ac:dyDescent="0.25">
      <c r="AF396" s="35" t="str">
        <f t="shared" si="28"/>
        <v>Crazy 8RetailUSA21</v>
      </c>
      <c r="AG396" s="1" t="s">
        <v>74</v>
      </c>
      <c r="AH396" s="1" t="s">
        <v>5</v>
      </c>
      <c r="AI396" s="1" t="s">
        <v>336</v>
      </c>
      <c r="AJ396" s="1">
        <v>21</v>
      </c>
      <c r="AK396" s="27">
        <v>0.5</v>
      </c>
      <c r="AM396" s="262" t="str">
        <f t="shared" si="29"/>
        <v>GymboreeUSARetailGY 17 DRSY CAP</v>
      </c>
      <c r="AN396" s="1" t="s">
        <v>14</v>
      </c>
      <c r="AO396" s="1" t="s">
        <v>5</v>
      </c>
      <c r="AP396" s="1" t="s">
        <v>336</v>
      </c>
      <c r="AQ396" s="1">
        <v>2017</v>
      </c>
      <c r="AR396" s="1" t="s">
        <v>16</v>
      </c>
      <c r="AS396" s="299" t="s">
        <v>156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27"/>
    </row>
    <row r="397" spans="32:52" x14ac:dyDescent="0.25">
      <c r="AF397" s="35" t="str">
        <f t="shared" si="28"/>
        <v>Crazy 8RetailUSA22</v>
      </c>
      <c r="AG397" s="1" t="s">
        <v>74</v>
      </c>
      <c r="AH397" s="1" t="s">
        <v>5</v>
      </c>
      <c r="AI397" s="1" t="s">
        <v>336</v>
      </c>
      <c r="AJ397" s="1">
        <v>22</v>
      </c>
      <c r="AK397" s="27">
        <v>0.5</v>
      </c>
      <c r="AM397" s="262" t="str">
        <f t="shared" si="29"/>
        <v>GymboreeUSARetailGY 17 SMR</v>
      </c>
      <c r="AN397" s="1" t="s">
        <v>14</v>
      </c>
      <c r="AO397" s="1" t="s">
        <v>5</v>
      </c>
      <c r="AP397" s="1" t="s">
        <v>336</v>
      </c>
      <c r="AQ397" s="1">
        <v>2017</v>
      </c>
      <c r="AR397" s="1" t="s">
        <v>18</v>
      </c>
      <c r="AS397" s="299" t="s">
        <v>174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27"/>
    </row>
    <row r="398" spans="32:52" x14ac:dyDescent="0.25">
      <c r="AF398" s="35" t="str">
        <f t="shared" si="28"/>
        <v>Crazy 8RetailUSA23</v>
      </c>
      <c r="AG398" s="1" t="s">
        <v>74</v>
      </c>
      <c r="AH398" s="1" t="s">
        <v>5</v>
      </c>
      <c r="AI398" s="1" t="s">
        <v>336</v>
      </c>
      <c r="AJ398" s="1">
        <v>23</v>
      </c>
      <c r="AK398" s="27">
        <v>0.5</v>
      </c>
      <c r="AM398" s="262" t="str">
        <f t="shared" si="29"/>
        <v>GymboreeUSARetailGY 17 SM2</v>
      </c>
      <c r="AN398" s="1" t="s">
        <v>14</v>
      </c>
      <c r="AO398" s="1" t="s">
        <v>5</v>
      </c>
      <c r="AP398" s="1" t="s">
        <v>336</v>
      </c>
      <c r="AQ398" s="1">
        <v>2017</v>
      </c>
      <c r="AR398" s="1" t="s">
        <v>18</v>
      </c>
      <c r="AS398" s="299" t="s">
        <v>164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27"/>
    </row>
    <row r="399" spans="32:52" x14ac:dyDescent="0.25">
      <c r="AF399" s="35" t="str">
        <f t="shared" si="28"/>
        <v>Crazy 8RetailUSA24</v>
      </c>
      <c r="AG399" s="1" t="s">
        <v>74</v>
      </c>
      <c r="AH399" s="1" t="s">
        <v>5</v>
      </c>
      <c r="AI399" s="1" t="s">
        <v>336</v>
      </c>
      <c r="AJ399" s="1">
        <v>24</v>
      </c>
      <c r="AK399" s="27">
        <v>0.5</v>
      </c>
      <c r="AM399" s="262" t="str">
        <f t="shared" si="29"/>
        <v>GymboreeUSARetailGY 17 SWIM 3</v>
      </c>
      <c r="AN399" s="1" t="s">
        <v>14</v>
      </c>
      <c r="AO399" s="1" t="s">
        <v>5</v>
      </c>
      <c r="AP399" s="1" t="s">
        <v>336</v>
      </c>
      <c r="AQ399" s="1">
        <v>2017</v>
      </c>
      <c r="AR399" s="1" t="s">
        <v>18</v>
      </c>
      <c r="AS399" s="299" t="s">
        <v>168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27"/>
    </row>
    <row r="400" spans="32:52" x14ac:dyDescent="0.25">
      <c r="AF400" s="35" t="str">
        <f t="shared" si="28"/>
        <v>Crazy 8RetailUSA25</v>
      </c>
      <c r="AG400" s="1" t="s">
        <v>74</v>
      </c>
      <c r="AH400" s="1" t="s">
        <v>5</v>
      </c>
      <c r="AI400" s="1" t="s">
        <v>336</v>
      </c>
      <c r="AJ400" s="1">
        <v>25</v>
      </c>
      <c r="AK400" s="27">
        <v>0.55000000000000004</v>
      </c>
      <c r="AM400" s="262" t="str">
        <f t="shared" si="29"/>
        <v>GymboreeUSARetailGY 17 SM3</v>
      </c>
      <c r="AN400" s="1" t="s">
        <v>14</v>
      </c>
      <c r="AO400" s="1" t="s">
        <v>5</v>
      </c>
      <c r="AP400" s="1" t="s">
        <v>336</v>
      </c>
      <c r="AQ400" s="1">
        <v>2017</v>
      </c>
      <c r="AR400" s="1" t="s">
        <v>18</v>
      </c>
      <c r="AS400" s="299" t="s">
        <v>166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27"/>
    </row>
    <row r="401" spans="32:52" x14ac:dyDescent="0.25">
      <c r="AF401" s="35" t="str">
        <f t="shared" si="28"/>
        <v>Crazy 8RetailUSA26</v>
      </c>
      <c r="AG401" s="1" t="s">
        <v>74</v>
      </c>
      <c r="AH401" s="1" t="s">
        <v>5</v>
      </c>
      <c r="AI401" s="1" t="s">
        <v>336</v>
      </c>
      <c r="AJ401" s="1">
        <v>26</v>
      </c>
      <c r="AK401" s="27">
        <v>0.55000000000000004</v>
      </c>
      <c r="AM401" s="262" t="str">
        <f t="shared" si="29"/>
        <v>GymboreeUSARetailGY 17 SM4</v>
      </c>
      <c r="AN401" s="1" t="s">
        <v>14</v>
      </c>
      <c r="AO401" s="1" t="s">
        <v>5</v>
      </c>
      <c r="AP401" s="1" t="s">
        <v>336</v>
      </c>
      <c r="AQ401" s="1">
        <v>2017</v>
      </c>
      <c r="AR401" s="1" t="s">
        <v>18</v>
      </c>
      <c r="AS401" s="299" t="s">
        <v>170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27"/>
    </row>
    <row r="402" spans="32:52" x14ac:dyDescent="0.25">
      <c r="AF402" s="35" t="str">
        <f t="shared" si="28"/>
        <v>Crazy 8RetailUSA27</v>
      </c>
      <c r="AG402" s="1" t="s">
        <v>74</v>
      </c>
      <c r="AH402" s="1" t="s">
        <v>5</v>
      </c>
      <c r="AI402" s="1" t="s">
        <v>336</v>
      </c>
      <c r="AJ402" s="1">
        <v>27</v>
      </c>
      <c r="AK402" s="27">
        <v>0.55000000000000004</v>
      </c>
      <c r="AM402" s="262" t="str">
        <f t="shared" si="29"/>
        <v>GymboreeUSARetailGY 17 TRANS</v>
      </c>
      <c r="AN402" s="1" t="s">
        <v>14</v>
      </c>
      <c r="AO402" s="1" t="s">
        <v>5</v>
      </c>
      <c r="AP402" s="1" t="s">
        <v>336</v>
      </c>
      <c r="AQ402" s="1">
        <v>2017</v>
      </c>
      <c r="AR402" s="1" t="s">
        <v>18</v>
      </c>
      <c r="AS402" s="299" t="s">
        <v>172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27"/>
    </row>
    <row r="403" spans="32:52" x14ac:dyDescent="0.25">
      <c r="AF403" s="35" t="str">
        <f t="shared" si="28"/>
        <v>Crazy 8RetailUSA28</v>
      </c>
      <c r="AG403" s="1" t="s">
        <v>74</v>
      </c>
      <c r="AH403" s="1" t="s">
        <v>5</v>
      </c>
      <c r="AI403" s="1" t="s">
        <v>336</v>
      </c>
      <c r="AJ403" s="1">
        <v>28</v>
      </c>
      <c r="AK403" s="27">
        <v>0.55000000000000004</v>
      </c>
      <c r="AM403" s="262" t="str">
        <f t="shared" si="29"/>
        <v>GymboreeUSAWebGY 17 JAN CAP</v>
      </c>
      <c r="AN403" s="1" t="s">
        <v>14</v>
      </c>
      <c r="AO403" s="1" t="s">
        <v>15</v>
      </c>
      <c r="AP403" s="1" t="s">
        <v>336</v>
      </c>
      <c r="AQ403" s="1">
        <v>2017</v>
      </c>
      <c r="AR403" s="1" t="s">
        <v>16</v>
      </c>
      <c r="AS403" s="299" t="s">
        <v>416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27"/>
    </row>
    <row r="404" spans="32:52" x14ac:dyDescent="0.25">
      <c r="AF404" s="35" t="str">
        <f t="shared" si="28"/>
        <v>Crazy 8RetailUSA29</v>
      </c>
      <c r="AG404" s="1" t="s">
        <v>74</v>
      </c>
      <c r="AH404" s="1" t="s">
        <v>5</v>
      </c>
      <c r="AI404" s="1" t="s">
        <v>336</v>
      </c>
      <c r="AJ404" s="1">
        <v>29</v>
      </c>
      <c r="AK404" s="27">
        <v>0.55000000000000004</v>
      </c>
      <c r="AM404" s="262" t="str">
        <f t="shared" si="29"/>
        <v>GymboreeUSAWebGY 17 SPR</v>
      </c>
      <c r="AN404" s="1" t="s">
        <v>14</v>
      </c>
      <c r="AO404" s="1" t="s">
        <v>15</v>
      </c>
      <c r="AP404" s="1" t="s">
        <v>336</v>
      </c>
      <c r="AQ404" s="1">
        <v>2017</v>
      </c>
      <c r="AR404" s="1" t="s">
        <v>16</v>
      </c>
      <c r="AS404" s="299" t="s">
        <v>150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27"/>
    </row>
    <row r="405" spans="32:52" x14ac:dyDescent="0.25">
      <c r="AF405" s="35" t="str">
        <f t="shared" si="28"/>
        <v>Crazy 8RetailUSA30</v>
      </c>
      <c r="AG405" s="1" t="s">
        <v>74</v>
      </c>
      <c r="AH405" s="1" t="s">
        <v>5</v>
      </c>
      <c r="AI405" s="1" t="s">
        <v>336</v>
      </c>
      <c r="AJ405" s="1">
        <v>30</v>
      </c>
      <c r="AK405" s="27">
        <v>0.6</v>
      </c>
      <c r="AM405" s="262" t="str">
        <f t="shared" si="29"/>
        <v>GymboreeUSAWebGY 17 SPRING BASICS</v>
      </c>
      <c r="AN405" s="1" t="s">
        <v>14</v>
      </c>
      <c r="AO405" s="1" t="s">
        <v>15</v>
      </c>
      <c r="AP405" s="1" t="s">
        <v>336</v>
      </c>
      <c r="AQ405" s="1">
        <v>2017</v>
      </c>
      <c r="AR405" s="1" t="s">
        <v>16</v>
      </c>
      <c r="AS405" s="299" t="s">
        <v>146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27"/>
    </row>
    <row r="406" spans="32:52" x14ac:dyDescent="0.25">
      <c r="AF406" s="35" t="str">
        <f t="shared" si="28"/>
        <v>Crazy 8RetailUSA31</v>
      </c>
      <c r="AG406" s="1" t="s">
        <v>74</v>
      </c>
      <c r="AH406" s="1" t="s">
        <v>5</v>
      </c>
      <c r="AI406" s="1" t="s">
        <v>336</v>
      </c>
      <c r="AJ406" s="1">
        <v>31</v>
      </c>
      <c r="AK406" s="27">
        <v>0.6</v>
      </c>
      <c r="AM406" s="262" t="str">
        <f t="shared" si="29"/>
        <v>GymboreeUSAWebGY 17 SPR 1</v>
      </c>
      <c r="AN406" s="1" t="s">
        <v>14</v>
      </c>
      <c r="AO406" s="1" t="s">
        <v>15</v>
      </c>
      <c r="AP406" s="1" t="s">
        <v>336</v>
      </c>
      <c r="AQ406" s="1">
        <v>2017</v>
      </c>
      <c r="AR406" s="1" t="s">
        <v>16</v>
      </c>
      <c r="AS406" s="299" t="s">
        <v>152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27"/>
    </row>
    <row r="407" spans="32:52" x14ac:dyDescent="0.25">
      <c r="AF407" s="35" t="str">
        <f t="shared" si="28"/>
        <v>Crazy 8RetailUSA32</v>
      </c>
      <c r="AG407" s="1" t="s">
        <v>74</v>
      </c>
      <c r="AH407" s="1" t="s">
        <v>5</v>
      </c>
      <c r="AI407" s="1" t="s">
        <v>336</v>
      </c>
      <c r="AJ407" s="1">
        <v>32</v>
      </c>
      <c r="AK407" s="27">
        <v>0.6</v>
      </c>
      <c r="AM407" s="262" t="str">
        <f t="shared" si="29"/>
        <v>GymboreeUSAWebGY 17 SPR 2</v>
      </c>
      <c r="AN407" s="1" t="s">
        <v>14</v>
      </c>
      <c r="AO407" s="1" t="s">
        <v>15</v>
      </c>
      <c r="AP407" s="1" t="s">
        <v>336</v>
      </c>
      <c r="AQ407" s="1">
        <v>2017</v>
      </c>
      <c r="AR407" s="1" t="s">
        <v>16</v>
      </c>
      <c r="AS407" s="299" t="s">
        <v>63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27"/>
    </row>
    <row r="408" spans="32:52" x14ac:dyDescent="0.25">
      <c r="AF408" s="35" t="str">
        <f t="shared" si="28"/>
        <v>Crazy 8RetailUSA33</v>
      </c>
      <c r="AG408" s="1" t="s">
        <v>74</v>
      </c>
      <c r="AH408" s="1" t="s">
        <v>5</v>
      </c>
      <c r="AI408" s="1" t="s">
        <v>336</v>
      </c>
      <c r="AJ408" s="1">
        <v>33</v>
      </c>
      <c r="AK408" s="27">
        <v>0.6</v>
      </c>
      <c r="AM408" s="262" t="str">
        <f t="shared" si="29"/>
        <v>GymboreeUSAWebGY 17 SWIM 1</v>
      </c>
      <c r="AN408" s="1" t="s">
        <v>14</v>
      </c>
      <c r="AO408" s="1" t="s">
        <v>15</v>
      </c>
      <c r="AP408" s="1" t="s">
        <v>336</v>
      </c>
      <c r="AQ408" s="1">
        <v>2017</v>
      </c>
      <c r="AR408" s="1" t="s">
        <v>16</v>
      </c>
      <c r="AS408" s="299" t="s">
        <v>154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27"/>
    </row>
    <row r="409" spans="32:52" x14ac:dyDescent="0.25">
      <c r="AF409" s="35" t="str">
        <f t="shared" si="28"/>
        <v>Crazy 8RetailUSA34</v>
      </c>
      <c r="AG409" s="1" t="s">
        <v>74</v>
      </c>
      <c r="AH409" s="1" t="s">
        <v>5</v>
      </c>
      <c r="AI409" s="1" t="s">
        <v>336</v>
      </c>
      <c r="AJ409" s="1">
        <v>34</v>
      </c>
      <c r="AK409" s="27">
        <v>0.6</v>
      </c>
      <c r="AM409" s="262" t="str">
        <f t="shared" si="29"/>
        <v>GymboreeUSAWebGY 17 SPR VAC</v>
      </c>
      <c r="AN409" s="1" t="s">
        <v>14</v>
      </c>
      <c r="AO409" s="1" t="s">
        <v>15</v>
      </c>
      <c r="AP409" s="1" t="s">
        <v>336</v>
      </c>
      <c r="AQ409" s="1">
        <v>2017</v>
      </c>
      <c r="AR409" s="1" t="s">
        <v>16</v>
      </c>
      <c r="AS409" s="299" t="s">
        <v>158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27"/>
    </row>
    <row r="410" spans="32:52" x14ac:dyDescent="0.25">
      <c r="AF410" s="35" t="str">
        <f t="shared" si="28"/>
        <v>Crazy 8RetailUSA35</v>
      </c>
      <c r="AG410" s="1" t="s">
        <v>74</v>
      </c>
      <c r="AH410" s="1" t="s">
        <v>5</v>
      </c>
      <c r="AI410" s="1" t="s">
        <v>336</v>
      </c>
      <c r="AJ410" s="1">
        <v>35</v>
      </c>
      <c r="AK410" s="27">
        <v>0.65</v>
      </c>
      <c r="AM410" s="262" t="str">
        <f t="shared" si="29"/>
        <v>GymboreeUSAWebGY 17 SWIM 2</v>
      </c>
      <c r="AN410" s="1" t="s">
        <v>14</v>
      </c>
      <c r="AO410" s="1" t="s">
        <v>15</v>
      </c>
      <c r="AP410" s="1" t="s">
        <v>336</v>
      </c>
      <c r="AQ410" s="1">
        <v>2017</v>
      </c>
      <c r="AR410" s="1" t="s">
        <v>16</v>
      </c>
      <c r="AS410" s="299" t="s">
        <v>162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27"/>
    </row>
    <row r="411" spans="32:52" x14ac:dyDescent="0.25">
      <c r="AF411" s="35" t="str">
        <f t="shared" si="28"/>
        <v>Crazy 8RetailUSA36</v>
      </c>
      <c r="AG411" s="1" t="s">
        <v>74</v>
      </c>
      <c r="AH411" s="1" t="s">
        <v>5</v>
      </c>
      <c r="AI411" s="1" t="s">
        <v>336</v>
      </c>
      <c r="AJ411" s="1">
        <v>36</v>
      </c>
      <c r="AK411" s="27">
        <v>0.65</v>
      </c>
      <c r="AM411" s="262" t="str">
        <f t="shared" si="29"/>
        <v>GymboreeUSAWebGY 17 SUM 1</v>
      </c>
      <c r="AN411" s="1" t="s">
        <v>14</v>
      </c>
      <c r="AO411" s="1" t="s">
        <v>15</v>
      </c>
      <c r="AP411" s="1" t="s">
        <v>336</v>
      </c>
      <c r="AQ411" s="1">
        <v>2017</v>
      </c>
      <c r="AR411" s="1" t="s">
        <v>16</v>
      </c>
      <c r="AS411" s="299" t="s">
        <v>160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27"/>
    </row>
    <row r="412" spans="32:52" x14ac:dyDescent="0.25">
      <c r="AF412" s="35" t="str">
        <f t="shared" si="28"/>
        <v>Crazy 8RetailUSA37</v>
      </c>
      <c r="AG412" s="1" t="s">
        <v>74</v>
      </c>
      <c r="AH412" s="1" t="s">
        <v>5</v>
      </c>
      <c r="AI412" s="1" t="s">
        <v>336</v>
      </c>
      <c r="AJ412" s="1">
        <v>37</v>
      </c>
      <c r="AK412" s="27">
        <v>0.65</v>
      </c>
      <c r="AM412" s="262" t="str">
        <f t="shared" si="29"/>
        <v>GymboreeUSAWebGY 17 DRSY CAP</v>
      </c>
      <c r="AN412" s="1" t="s">
        <v>14</v>
      </c>
      <c r="AO412" s="1" t="s">
        <v>15</v>
      </c>
      <c r="AP412" s="1" t="s">
        <v>336</v>
      </c>
      <c r="AQ412" s="1">
        <v>2017</v>
      </c>
      <c r="AR412" s="1" t="s">
        <v>16</v>
      </c>
      <c r="AS412" s="299" t="s">
        <v>156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27"/>
    </row>
    <row r="413" spans="32:52" x14ac:dyDescent="0.25">
      <c r="AF413" s="35" t="str">
        <f t="shared" si="28"/>
        <v>Crazy 8RetailUSA38</v>
      </c>
      <c r="AG413" s="1" t="s">
        <v>74</v>
      </c>
      <c r="AH413" s="1" t="s">
        <v>5</v>
      </c>
      <c r="AI413" s="1" t="s">
        <v>336</v>
      </c>
      <c r="AJ413" s="1">
        <v>38</v>
      </c>
      <c r="AK413" s="27">
        <v>0.65</v>
      </c>
      <c r="AM413" s="262" t="str">
        <f t="shared" si="29"/>
        <v>GymboreeUSAWebGY 17 SMR</v>
      </c>
      <c r="AN413" s="1" t="s">
        <v>14</v>
      </c>
      <c r="AO413" s="1" t="s">
        <v>15</v>
      </c>
      <c r="AP413" s="1" t="s">
        <v>336</v>
      </c>
      <c r="AQ413" s="1">
        <v>2017</v>
      </c>
      <c r="AR413" s="1" t="s">
        <v>18</v>
      </c>
      <c r="AS413" s="299" t="s">
        <v>174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27"/>
    </row>
    <row r="414" spans="32:52" x14ac:dyDescent="0.25">
      <c r="AF414" s="35" t="str">
        <f t="shared" si="28"/>
        <v>Crazy 8RetailUSA39</v>
      </c>
      <c r="AG414" s="1" t="s">
        <v>74</v>
      </c>
      <c r="AH414" s="1" t="s">
        <v>5</v>
      </c>
      <c r="AI414" s="1" t="s">
        <v>336</v>
      </c>
      <c r="AJ414" s="1">
        <v>39</v>
      </c>
      <c r="AK414" s="27">
        <v>0.65</v>
      </c>
      <c r="AM414" s="262" t="str">
        <f t="shared" si="29"/>
        <v>GymboreeUSAWebGY 17 SM2</v>
      </c>
      <c r="AN414" s="1" t="s">
        <v>14</v>
      </c>
      <c r="AO414" s="1" t="s">
        <v>15</v>
      </c>
      <c r="AP414" s="1" t="s">
        <v>336</v>
      </c>
      <c r="AQ414" s="1">
        <v>2017</v>
      </c>
      <c r="AR414" s="1" t="s">
        <v>18</v>
      </c>
      <c r="AS414" s="299" t="s">
        <v>164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27"/>
    </row>
    <row r="415" spans="32:52" x14ac:dyDescent="0.25">
      <c r="AF415" s="35" t="str">
        <f t="shared" si="28"/>
        <v>Crazy 8RetailUSA40</v>
      </c>
      <c r="AG415" s="1" t="s">
        <v>74</v>
      </c>
      <c r="AH415" s="1" t="s">
        <v>5</v>
      </c>
      <c r="AI415" s="1" t="s">
        <v>336</v>
      </c>
      <c r="AJ415" s="1">
        <v>40</v>
      </c>
      <c r="AK415" s="27">
        <v>0.7</v>
      </c>
      <c r="AM415" s="262" t="str">
        <f t="shared" si="29"/>
        <v>GymboreeUSAWebGY 17 SWIM 3</v>
      </c>
      <c r="AN415" s="1" t="s">
        <v>14</v>
      </c>
      <c r="AO415" s="1" t="s">
        <v>15</v>
      </c>
      <c r="AP415" s="1" t="s">
        <v>336</v>
      </c>
      <c r="AQ415" s="1">
        <v>2017</v>
      </c>
      <c r="AR415" s="1" t="s">
        <v>18</v>
      </c>
      <c r="AS415" s="299" t="s">
        <v>168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27"/>
    </row>
    <row r="416" spans="32:52" x14ac:dyDescent="0.25">
      <c r="AF416" s="35" t="str">
        <f t="shared" si="28"/>
        <v>Crazy 8RetailUSA41</v>
      </c>
      <c r="AG416" s="1" t="s">
        <v>74</v>
      </c>
      <c r="AH416" s="1" t="s">
        <v>5</v>
      </c>
      <c r="AI416" s="1" t="s">
        <v>336</v>
      </c>
      <c r="AJ416" s="1">
        <v>41</v>
      </c>
      <c r="AK416" s="27">
        <v>0.7</v>
      </c>
      <c r="AM416" s="262" t="str">
        <f t="shared" si="29"/>
        <v>GymboreeUSAWebGY 17 SM3</v>
      </c>
      <c r="AN416" s="1" t="s">
        <v>14</v>
      </c>
      <c r="AO416" s="1" t="s">
        <v>15</v>
      </c>
      <c r="AP416" s="1" t="s">
        <v>336</v>
      </c>
      <c r="AQ416" s="1">
        <v>2017</v>
      </c>
      <c r="AR416" s="1" t="s">
        <v>18</v>
      </c>
      <c r="AS416" s="299" t="s">
        <v>166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27"/>
    </row>
    <row r="417" spans="32:52" x14ac:dyDescent="0.25">
      <c r="AF417" s="35" t="str">
        <f t="shared" si="28"/>
        <v>Crazy 8RetailUSA42</v>
      </c>
      <c r="AG417" s="1" t="s">
        <v>74</v>
      </c>
      <c r="AH417" s="1" t="s">
        <v>5</v>
      </c>
      <c r="AI417" s="1" t="s">
        <v>336</v>
      </c>
      <c r="AJ417" s="1">
        <v>42</v>
      </c>
      <c r="AK417" s="27">
        <v>0.7</v>
      </c>
      <c r="AM417" s="262" t="str">
        <f t="shared" si="29"/>
        <v>GymboreeUSAWebGY 17 SM4</v>
      </c>
      <c r="AN417" s="1" t="s">
        <v>14</v>
      </c>
      <c r="AO417" s="1" t="s">
        <v>15</v>
      </c>
      <c r="AP417" s="1" t="s">
        <v>336</v>
      </c>
      <c r="AQ417" s="1">
        <v>2017</v>
      </c>
      <c r="AR417" s="1" t="s">
        <v>18</v>
      </c>
      <c r="AS417" s="299" t="s">
        <v>170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27"/>
    </row>
    <row r="418" spans="32:52" x14ac:dyDescent="0.25">
      <c r="AF418" s="35" t="str">
        <f t="shared" si="28"/>
        <v>Crazy 8RetailUSA43</v>
      </c>
      <c r="AG418" s="1" t="s">
        <v>74</v>
      </c>
      <c r="AH418" s="1" t="s">
        <v>5</v>
      </c>
      <c r="AI418" s="1" t="s">
        <v>336</v>
      </c>
      <c r="AJ418" s="1">
        <v>43</v>
      </c>
      <c r="AK418" s="27">
        <v>0.7</v>
      </c>
      <c r="AM418" s="262" t="str">
        <f t="shared" si="29"/>
        <v>GymboreeUSAWebGY 17 TRANS</v>
      </c>
      <c r="AN418" s="1" t="s">
        <v>14</v>
      </c>
      <c r="AO418" s="1" t="s">
        <v>15</v>
      </c>
      <c r="AP418" s="1" t="s">
        <v>336</v>
      </c>
      <c r="AQ418" s="1">
        <v>2017</v>
      </c>
      <c r="AR418" s="1" t="s">
        <v>18</v>
      </c>
      <c r="AS418" s="299" t="s">
        <v>172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27"/>
    </row>
    <row r="419" spans="32:52" x14ac:dyDescent="0.25">
      <c r="AF419" s="35" t="str">
        <f t="shared" si="28"/>
        <v>Crazy 8RetailUSA44</v>
      </c>
      <c r="AG419" s="1" t="s">
        <v>74</v>
      </c>
      <c r="AH419" s="1" t="s">
        <v>5</v>
      </c>
      <c r="AI419" s="1" t="s">
        <v>336</v>
      </c>
      <c r="AJ419" s="1">
        <v>44</v>
      </c>
      <c r="AK419" s="27">
        <v>0.7</v>
      </c>
      <c r="AM419" s="262" t="str">
        <f t="shared" si="29"/>
        <v>GymboreeCanadaRetailGY 17 JAN CAP</v>
      </c>
      <c r="AN419" s="1" t="s">
        <v>14</v>
      </c>
      <c r="AO419" s="1" t="s">
        <v>5</v>
      </c>
      <c r="AP419" s="1" t="s">
        <v>337</v>
      </c>
      <c r="AQ419" s="1">
        <v>2017</v>
      </c>
      <c r="AR419" s="1" t="s">
        <v>16</v>
      </c>
      <c r="AS419" s="299" t="s">
        <v>416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27"/>
    </row>
    <row r="420" spans="32:52" x14ac:dyDescent="0.25">
      <c r="AF420" s="35" t="str">
        <f t="shared" si="28"/>
        <v>Crazy 8RetailUSA45</v>
      </c>
      <c r="AG420" s="1" t="s">
        <v>74</v>
      </c>
      <c r="AH420" s="1" t="s">
        <v>5</v>
      </c>
      <c r="AI420" s="1" t="s">
        <v>336</v>
      </c>
      <c r="AJ420" s="1">
        <v>45</v>
      </c>
      <c r="AK420" s="27">
        <v>0.7</v>
      </c>
      <c r="AM420" s="262" t="str">
        <f t="shared" si="29"/>
        <v>GymboreeCanadaRetailGY 17 SPR</v>
      </c>
      <c r="AN420" s="1" t="s">
        <v>14</v>
      </c>
      <c r="AO420" s="1" t="s">
        <v>5</v>
      </c>
      <c r="AP420" s="1" t="s">
        <v>337</v>
      </c>
      <c r="AQ420" s="1">
        <v>2017</v>
      </c>
      <c r="AR420" s="1" t="s">
        <v>16</v>
      </c>
      <c r="AS420" s="299" t="s">
        <v>150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27"/>
    </row>
    <row r="421" spans="32:52" x14ac:dyDescent="0.25">
      <c r="AF421" s="35" t="str">
        <f t="shared" si="28"/>
        <v>Crazy 8RetailUSA46</v>
      </c>
      <c r="AG421" s="1" t="s">
        <v>74</v>
      </c>
      <c r="AH421" s="1" t="s">
        <v>5</v>
      </c>
      <c r="AI421" s="1" t="s">
        <v>336</v>
      </c>
      <c r="AJ421" s="1">
        <v>46</v>
      </c>
      <c r="AK421" s="27">
        <v>0.7</v>
      </c>
      <c r="AM421" s="262" t="str">
        <f t="shared" si="29"/>
        <v>GymboreeCanadaRetailGY 17 SPRING BASICS</v>
      </c>
      <c r="AN421" s="1" t="s">
        <v>14</v>
      </c>
      <c r="AO421" s="1" t="s">
        <v>5</v>
      </c>
      <c r="AP421" s="1" t="s">
        <v>337</v>
      </c>
      <c r="AQ421" s="1">
        <v>2017</v>
      </c>
      <c r="AR421" s="1" t="s">
        <v>16</v>
      </c>
      <c r="AS421" s="299" t="s">
        <v>146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27"/>
    </row>
    <row r="422" spans="32:52" x14ac:dyDescent="0.25">
      <c r="AF422" s="35" t="str">
        <f t="shared" si="28"/>
        <v>Crazy 8RetailUSA47</v>
      </c>
      <c r="AG422" s="1" t="s">
        <v>74</v>
      </c>
      <c r="AH422" s="1" t="s">
        <v>5</v>
      </c>
      <c r="AI422" s="1" t="s">
        <v>336</v>
      </c>
      <c r="AJ422" s="1">
        <v>47</v>
      </c>
      <c r="AK422" s="27">
        <v>0.7</v>
      </c>
      <c r="AM422" s="262" t="str">
        <f t="shared" si="29"/>
        <v>GymboreeCanadaRetailGY 17 SPR 1</v>
      </c>
      <c r="AN422" s="1" t="s">
        <v>14</v>
      </c>
      <c r="AO422" s="1" t="s">
        <v>5</v>
      </c>
      <c r="AP422" s="1" t="s">
        <v>337</v>
      </c>
      <c r="AQ422" s="1">
        <v>2017</v>
      </c>
      <c r="AR422" s="1" t="s">
        <v>16</v>
      </c>
      <c r="AS422" s="299" t="s">
        <v>152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27"/>
    </row>
    <row r="423" spans="32:52" x14ac:dyDescent="0.25">
      <c r="AF423" s="35" t="str">
        <f t="shared" si="28"/>
        <v>Crazy 8RetailUSA48</v>
      </c>
      <c r="AG423" s="1" t="s">
        <v>74</v>
      </c>
      <c r="AH423" s="1" t="s">
        <v>5</v>
      </c>
      <c r="AI423" s="1" t="s">
        <v>336</v>
      </c>
      <c r="AJ423" s="1">
        <v>48</v>
      </c>
      <c r="AK423" s="27">
        <v>0.7</v>
      </c>
      <c r="AM423" s="262" t="str">
        <f t="shared" si="29"/>
        <v>GymboreeCanadaRetailGY 17 SPR 2</v>
      </c>
      <c r="AN423" s="1" t="s">
        <v>14</v>
      </c>
      <c r="AO423" s="1" t="s">
        <v>5</v>
      </c>
      <c r="AP423" s="1" t="s">
        <v>337</v>
      </c>
      <c r="AQ423" s="1">
        <v>2017</v>
      </c>
      <c r="AR423" s="1" t="s">
        <v>16</v>
      </c>
      <c r="AS423" s="299" t="s">
        <v>63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27"/>
    </row>
    <row r="424" spans="32:52" x14ac:dyDescent="0.25">
      <c r="AF424" s="35" t="str">
        <f t="shared" si="28"/>
        <v>Crazy 8RetailUSA49</v>
      </c>
      <c r="AG424" s="1" t="s">
        <v>74</v>
      </c>
      <c r="AH424" s="1" t="s">
        <v>5</v>
      </c>
      <c r="AI424" s="1" t="s">
        <v>336</v>
      </c>
      <c r="AJ424" s="1">
        <v>49</v>
      </c>
      <c r="AK424" s="27">
        <v>0.7</v>
      </c>
      <c r="AM424" s="262" t="str">
        <f t="shared" si="29"/>
        <v>GymboreeCanadaRetailGY 17 SWIM 1</v>
      </c>
      <c r="AN424" s="1" t="s">
        <v>14</v>
      </c>
      <c r="AO424" s="1" t="s">
        <v>5</v>
      </c>
      <c r="AP424" s="1" t="s">
        <v>337</v>
      </c>
      <c r="AQ424" s="1">
        <v>2017</v>
      </c>
      <c r="AR424" s="1" t="s">
        <v>16</v>
      </c>
      <c r="AS424" s="299" t="s">
        <v>154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27"/>
    </row>
    <row r="425" spans="32:52" x14ac:dyDescent="0.25">
      <c r="AF425" s="35" t="str">
        <f t="shared" si="28"/>
        <v>Crazy 8RetailUSA50</v>
      </c>
      <c r="AG425" s="1" t="s">
        <v>74</v>
      </c>
      <c r="AH425" s="1" t="s">
        <v>5</v>
      </c>
      <c r="AI425" s="1" t="s">
        <v>336</v>
      </c>
      <c r="AJ425" s="1">
        <v>50</v>
      </c>
      <c r="AK425" s="27">
        <v>0.7</v>
      </c>
      <c r="AM425" s="262" t="str">
        <f t="shared" si="29"/>
        <v>GymboreeCanadaRetailGY 17 SPR VAC</v>
      </c>
      <c r="AN425" s="1" t="s">
        <v>14</v>
      </c>
      <c r="AO425" s="1" t="s">
        <v>5</v>
      </c>
      <c r="AP425" s="1" t="s">
        <v>337</v>
      </c>
      <c r="AQ425" s="1">
        <v>2017</v>
      </c>
      <c r="AR425" s="1" t="s">
        <v>16</v>
      </c>
      <c r="AS425" s="299" t="s">
        <v>158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27"/>
    </row>
    <row r="426" spans="32:52" x14ac:dyDescent="0.25">
      <c r="AF426" s="35" t="str">
        <f t="shared" si="28"/>
        <v>Crazy 8RetailUSA51</v>
      </c>
      <c r="AG426" s="1" t="s">
        <v>74</v>
      </c>
      <c r="AH426" s="1" t="s">
        <v>5</v>
      </c>
      <c r="AI426" s="1" t="s">
        <v>336</v>
      </c>
      <c r="AJ426" s="1">
        <v>51</v>
      </c>
      <c r="AK426" s="27">
        <v>0.7</v>
      </c>
      <c r="AM426" s="262" t="str">
        <f t="shared" si="29"/>
        <v>GymboreeCanadaRetailGY 17 SWIM 2</v>
      </c>
      <c r="AN426" s="1" t="s">
        <v>14</v>
      </c>
      <c r="AO426" s="1" t="s">
        <v>5</v>
      </c>
      <c r="AP426" s="1" t="s">
        <v>337</v>
      </c>
      <c r="AQ426" s="1">
        <v>2017</v>
      </c>
      <c r="AR426" s="1" t="s">
        <v>16</v>
      </c>
      <c r="AS426" s="299" t="s">
        <v>162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27"/>
    </row>
    <row r="427" spans="32:52" x14ac:dyDescent="0.25">
      <c r="AF427" s="35" t="str">
        <f t="shared" si="28"/>
        <v>Crazy 8RetailUSA52</v>
      </c>
      <c r="AG427" s="1" t="s">
        <v>74</v>
      </c>
      <c r="AH427" s="1" t="s">
        <v>5</v>
      </c>
      <c r="AI427" s="1" t="s">
        <v>336</v>
      </c>
      <c r="AJ427" s="1">
        <v>52</v>
      </c>
      <c r="AK427" s="27">
        <v>0.7</v>
      </c>
      <c r="AM427" s="262" t="str">
        <f t="shared" si="29"/>
        <v>GymboreeCanadaRetailGY 17 SUM 1</v>
      </c>
      <c r="AN427" s="1" t="s">
        <v>14</v>
      </c>
      <c r="AO427" s="1" t="s">
        <v>5</v>
      </c>
      <c r="AP427" s="1" t="s">
        <v>337</v>
      </c>
      <c r="AQ427" s="1">
        <v>2017</v>
      </c>
      <c r="AR427" s="1" t="s">
        <v>16</v>
      </c>
      <c r="AS427" s="299" t="s">
        <v>160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27"/>
    </row>
    <row r="428" spans="32:52" x14ac:dyDescent="0.25">
      <c r="AF428" s="35" t="str">
        <f t="shared" si="28"/>
        <v>Crazy 8RetailUSA53</v>
      </c>
      <c r="AG428" s="1" t="s">
        <v>74</v>
      </c>
      <c r="AH428" s="1" t="s">
        <v>5</v>
      </c>
      <c r="AI428" s="1" t="s">
        <v>336</v>
      </c>
      <c r="AJ428" s="1">
        <v>53</v>
      </c>
      <c r="AK428" s="27">
        <v>0.7</v>
      </c>
      <c r="AM428" s="262" t="str">
        <f t="shared" si="29"/>
        <v>GymboreeCanadaRetailGY 17 DRSY CAP</v>
      </c>
      <c r="AN428" s="1" t="s">
        <v>14</v>
      </c>
      <c r="AO428" s="1" t="s">
        <v>5</v>
      </c>
      <c r="AP428" s="1" t="s">
        <v>337</v>
      </c>
      <c r="AQ428" s="1">
        <v>2017</v>
      </c>
      <c r="AR428" s="1" t="s">
        <v>16</v>
      </c>
      <c r="AS428" s="299" t="s">
        <v>156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27"/>
    </row>
    <row r="429" spans="32:52" x14ac:dyDescent="0.25">
      <c r="AF429" s="35" t="str">
        <f t="shared" si="28"/>
        <v>Crazy 8WebUSA1</v>
      </c>
      <c r="AG429" s="1" t="s">
        <v>74</v>
      </c>
      <c r="AH429" s="1" t="s">
        <v>15</v>
      </c>
      <c r="AI429" s="1" t="s">
        <v>336</v>
      </c>
      <c r="AJ429" s="1">
        <v>1</v>
      </c>
      <c r="AK429" s="27">
        <v>0.3</v>
      </c>
      <c r="AM429" s="262" t="str">
        <f t="shared" si="29"/>
        <v>GymboreeCanadaRetailGY 17 SMR</v>
      </c>
      <c r="AN429" s="1" t="s">
        <v>14</v>
      </c>
      <c r="AO429" s="1" t="s">
        <v>5</v>
      </c>
      <c r="AP429" s="1" t="s">
        <v>337</v>
      </c>
      <c r="AQ429" s="1">
        <v>2017</v>
      </c>
      <c r="AR429" s="1" t="s">
        <v>18</v>
      </c>
      <c r="AS429" s="299" t="s">
        <v>174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27"/>
    </row>
    <row r="430" spans="32:52" x14ac:dyDescent="0.25">
      <c r="AF430" s="35" t="str">
        <f t="shared" si="28"/>
        <v>Crazy 8WebUSA2</v>
      </c>
      <c r="AG430" s="1" t="s">
        <v>74</v>
      </c>
      <c r="AH430" s="1" t="s">
        <v>15</v>
      </c>
      <c r="AI430" s="1" t="s">
        <v>336</v>
      </c>
      <c r="AJ430" s="1">
        <v>2</v>
      </c>
      <c r="AK430" s="27">
        <v>0.3</v>
      </c>
      <c r="AM430" s="262" t="str">
        <f t="shared" si="29"/>
        <v>GymboreeCanadaRetailGY 17 SM2</v>
      </c>
      <c r="AN430" s="1" t="s">
        <v>14</v>
      </c>
      <c r="AO430" s="1" t="s">
        <v>5</v>
      </c>
      <c r="AP430" s="1" t="s">
        <v>337</v>
      </c>
      <c r="AQ430" s="1">
        <v>2017</v>
      </c>
      <c r="AR430" s="1" t="s">
        <v>18</v>
      </c>
      <c r="AS430" s="299" t="s">
        <v>164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27"/>
    </row>
    <row r="431" spans="32:52" x14ac:dyDescent="0.25">
      <c r="AF431" s="35" t="str">
        <f t="shared" si="28"/>
        <v>Crazy 8WebUSA3</v>
      </c>
      <c r="AG431" s="1" t="s">
        <v>74</v>
      </c>
      <c r="AH431" s="1" t="s">
        <v>15</v>
      </c>
      <c r="AI431" s="1" t="s">
        <v>336</v>
      </c>
      <c r="AJ431" s="1">
        <v>3</v>
      </c>
      <c r="AK431" s="27">
        <v>0.3</v>
      </c>
      <c r="AM431" s="262" t="str">
        <f t="shared" si="29"/>
        <v>GymboreeCanadaRetailGY 17 SWIM 3</v>
      </c>
      <c r="AN431" s="1" t="s">
        <v>14</v>
      </c>
      <c r="AO431" s="1" t="s">
        <v>5</v>
      </c>
      <c r="AP431" s="1" t="s">
        <v>337</v>
      </c>
      <c r="AQ431" s="1">
        <v>2017</v>
      </c>
      <c r="AR431" s="1" t="s">
        <v>18</v>
      </c>
      <c r="AS431" s="299" t="s">
        <v>168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27"/>
    </row>
    <row r="432" spans="32:52" x14ac:dyDescent="0.25">
      <c r="AF432" s="35" t="str">
        <f t="shared" si="28"/>
        <v>Crazy 8WebUSA4</v>
      </c>
      <c r="AG432" s="1" t="s">
        <v>74</v>
      </c>
      <c r="AH432" s="1" t="s">
        <v>15</v>
      </c>
      <c r="AI432" s="1" t="s">
        <v>336</v>
      </c>
      <c r="AJ432" s="1">
        <v>4</v>
      </c>
      <c r="AK432" s="27">
        <v>0.3</v>
      </c>
      <c r="AM432" s="262" t="str">
        <f t="shared" si="29"/>
        <v>GymboreeCanadaRetailGY 17 SM3</v>
      </c>
      <c r="AN432" s="1" t="s">
        <v>14</v>
      </c>
      <c r="AO432" s="1" t="s">
        <v>5</v>
      </c>
      <c r="AP432" s="1" t="s">
        <v>337</v>
      </c>
      <c r="AQ432" s="1">
        <v>2017</v>
      </c>
      <c r="AR432" s="1" t="s">
        <v>18</v>
      </c>
      <c r="AS432" s="299" t="s">
        <v>166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27"/>
    </row>
    <row r="433" spans="32:52" x14ac:dyDescent="0.25">
      <c r="AF433" s="35" t="str">
        <f t="shared" si="28"/>
        <v>Crazy 8WebUSA5</v>
      </c>
      <c r="AG433" s="1" t="s">
        <v>74</v>
      </c>
      <c r="AH433" s="1" t="s">
        <v>15</v>
      </c>
      <c r="AI433" s="1" t="s">
        <v>336</v>
      </c>
      <c r="AJ433" s="1">
        <v>5</v>
      </c>
      <c r="AK433" s="27">
        <v>0.35</v>
      </c>
      <c r="AM433" s="262" t="str">
        <f t="shared" si="29"/>
        <v>GymboreeCanadaRetailGY 17 SM4</v>
      </c>
      <c r="AN433" s="1" t="s">
        <v>14</v>
      </c>
      <c r="AO433" s="1" t="s">
        <v>5</v>
      </c>
      <c r="AP433" s="1" t="s">
        <v>337</v>
      </c>
      <c r="AQ433" s="1">
        <v>2017</v>
      </c>
      <c r="AR433" s="1" t="s">
        <v>18</v>
      </c>
      <c r="AS433" s="299" t="s">
        <v>170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27"/>
    </row>
    <row r="434" spans="32:52" x14ac:dyDescent="0.25">
      <c r="AF434" s="35" t="str">
        <f t="shared" si="28"/>
        <v>Crazy 8WebUSA6</v>
      </c>
      <c r="AG434" s="1" t="s">
        <v>74</v>
      </c>
      <c r="AH434" s="1" t="s">
        <v>15</v>
      </c>
      <c r="AI434" s="1" t="s">
        <v>336</v>
      </c>
      <c r="AJ434" s="1">
        <v>6</v>
      </c>
      <c r="AK434" s="27">
        <v>0.35</v>
      </c>
      <c r="AM434" s="262" t="str">
        <f t="shared" si="29"/>
        <v>GymboreeCanadaRetailGY 17 TRANS</v>
      </c>
      <c r="AN434" s="1" t="s">
        <v>14</v>
      </c>
      <c r="AO434" s="1" t="s">
        <v>5</v>
      </c>
      <c r="AP434" s="1" t="s">
        <v>337</v>
      </c>
      <c r="AQ434" s="1">
        <v>2017</v>
      </c>
      <c r="AR434" s="1" t="s">
        <v>18</v>
      </c>
      <c r="AS434" s="299" t="s">
        <v>172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27"/>
    </row>
    <row r="435" spans="32:52" x14ac:dyDescent="0.25">
      <c r="AF435" s="35" t="str">
        <f t="shared" si="28"/>
        <v>Crazy 8WebUSA7</v>
      </c>
      <c r="AG435" s="1" t="s">
        <v>74</v>
      </c>
      <c r="AH435" s="1" t="s">
        <v>15</v>
      </c>
      <c r="AI435" s="1" t="s">
        <v>336</v>
      </c>
      <c r="AJ435" s="1">
        <v>7</v>
      </c>
      <c r="AK435" s="27">
        <v>0.35</v>
      </c>
      <c r="AM435" s="262" t="str">
        <f t="shared" si="29"/>
        <v>Crazy 8USARetailGY C8 17 UNIFORM CAP</v>
      </c>
      <c r="AN435" s="1" t="s">
        <v>74</v>
      </c>
      <c r="AO435" s="1" t="s">
        <v>5</v>
      </c>
      <c r="AP435" s="1" t="s">
        <v>336</v>
      </c>
      <c r="AQ435" s="1">
        <v>2017</v>
      </c>
      <c r="AR435" s="1" t="s">
        <v>41</v>
      </c>
      <c r="AS435" s="299" t="s">
        <v>423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27"/>
    </row>
    <row r="436" spans="32:52" x14ac:dyDescent="0.25">
      <c r="AF436" s="35" t="str">
        <f t="shared" si="28"/>
        <v>Crazy 8WebUSA8</v>
      </c>
      <c r="AG436" s="1" t="s">
        <v>74</v>
      </c>
      <c r="AH436" s="1" t="s">
        <v>15</v>
      </c>
      <c r="AI436" s="1" t="s">
        <v>336</v>
      </c>
      <c r="AJ436" s="1">
        <v>8</v>
      </c>
      <c r="AK436" s="27">
        <v>0.35</v>
      </c>
      <c r="AM436" s="262" t="str">
        <f t="shared" si="29"/>
        <v>Crazy 8USARetailGY C8 17 FAL</v>
      </c>
      <c r="AN436" s="1" t="s">
        <v>74</v>
      </c>
      <c r="AO436" s="1" t="s">
        <v>5</v>
      </c>
      <c r="AP436" s="1" t="s">
        <v>336</v>
      </c>
      <c r="AQ436" s="1">
        <v>2017</v>
      </c>
      <c r="AR436" s="1" t="s">
        <v>39</v>
      </c>
      <c r="AS436" s="299" t="s">
        <v>82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27"/>
    </row>
    <row r="437" spans="32:52" x14ac:dyDescent="0.25">
      <c r="AF437" s="35" t="str">
        <f t="shared" si="28"/>
        <v>Crazy 8WebUSA9</v>
      </c>
      <c r="AG437" s="1" t="s">
        <v>74</v>
      </c>
      <c r="AH437" s="1" t="s">
        <v>15</v>
      </c>
      <c r="AI437" s="1" t="s">
        <v>336</v>
      </c>
      <c r="AJ437" s="1">
        <v>9</v>
      </c>
      <c r="AK437" s="27">
        <v>0.35</v>
      </c>
      <c r="AM437" s="262" t="str">
        <f t="shared" si="29"/>
        <v>Crazy 8USARetailGY C8 17 SB1</v>
      </c>
      <c r="AN437" s="1" t="s">
        <v>74</v>
      </c>
      <c r="AO437" s="1" t="s">
        <v>5</v>
      </c>
      <c r="AP437" s="1" t="s">
        <v>336</v>
      </c>
      <c r="AQ437" s="1">
        <v>2017</v>
      </c>
      <c r="AR437" s="1" t="s">
        <v>85</v>
      </c>
      <c r="AS437" s="299" t="s">
        <v>76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27"/>
    </row>
    <row r="438" spans="32:52" x14ac:dyDescent="0.25">
      <c r="AF438" s="35" t="str">
        <f t="shared" si="28"/>
        <v>Crazy 8WebUSA10</v>
      </c>
      <c r="AG438" s="1" t="s">
        <v>74</v>
      </c>
      <c r="AH438" s="1" t="s">
        <v>15</v>
      </c>
      <c r="AI438" s="1" t="s">
        <v>336</v>
      </c>
      <c r="AJ438" s="1">
        <v>10</v>
      </c>
      <c r="AK438" s="27">
        <v>0.4</v>
      </c>
      <c r="AM438" s="262" t="str">
        <f t="shared" si="29"/>
        <v>Crazy 8USARetailGY C8 17 VDAY CAP</v>
      </c>
      <c r="AN438" s="1" t="s">
        <v>74</v>
      </c>
      <c r="AO438" s="1" t="s">
        <v>5</v>
      </c>
      <c r="AP438" s="1" t="s">
        <v>336</v>
      </c>
      <c r="AQ438" s="1">
        <v>2017</v>
      </c>
      <c r="AR438" s="1" t="s">
        <v>16</v>
      </c>
      <c r="AS438" s="299" t="s">
        <v>106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27"/>
    </row>
    <row r="439" spans="32:52" x14ac:dyDescent="0.25">
      <c r="AF439" s="35" t="str">
        <f t="shared" si="28"/>
        <v>Crazy 8WebUSA11</v>
      </c>
      <c r="AG439" s="1" t="s">
        <v>74</v>
      </c>
      <c r="AH439" s="1" t="s">
        <v>15</v>
      </c>
      <c r="AI439" s="1" t="s">
        <v>336</v>
      </c>
      <c r="AJ439" s="1">
        <v>11</v>
      </c>
      <c r="AK439" s="27">
        <v>0.4</v>
      </c>
      <c r="AM439" s="262" t="str">
        <f t="shared" si="29"/>
        <v>Crazy 8USARetailGY C8 17 SPRING TRANS</v>
      </c>
      <c r="AN439" s="1" t="s">
        <v>74</v>
      </c>
      <c r="AO439" s="1" t="s">
        <v>5</v>
      </c>
      <c r="AP439" s="1" t="s">
        <v>336</v>
      </c>
      <c r="AQ439" s="1">
        <v>2017</v>
      </c>
      <c r="AR439" s="1" t="s">
        <v>16</v>
      </c>
      <c r="AS439" s="299" t="s">
        <v>108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27"/>
    </row>
    <row r="440" spans="32:52" x14ac:dyDescent="0.25">
      <c r="AF440" s="35" t="str">
        <f t="shared" si="28"/>
        <v>Crazy 8WebUSA12</v>
      </c>
      <c r="AG440" s="1" t="s">
        <v>74</v>
      </c>
      <c r="AH440" s="1" t="s">
        <v>15</v>
      </c>
      <c r="AI440" s="1" t="s">
        <v>336</v>
      </c>
      <c r="AJ440" s="1">
        <v>12</v>
      </c>
      <c r="AK440" s="27">
        <v>0.4</v>
      </c>
      <c r="AM440" s="262" t="str">
        <f t="shared" si="29"/>
        <v>Crazy 8USARetailGY C8 17 SPR</v>
      </c>
      <c r="AN440" s="1" t="s">
        <v>74</v>
      </c>
      <c r="AO440" s="1" t="s">
        <v>5</v>
      </c>
      <c r="AP440" s="1" t="s">
        <v>336</v>
      </c>
      <c r="AQ440" s="1">
        <v>2017</v>
      </c>
      <c r="AR440" s="1" t="s">
        <v>16</v>
      </c>
      <c r="AS440" s="299" t="s">
        <v>104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27"/>
    </row>
    <row r="441" spans="32:52" x14ac:dyDescent="0.25">
      <c r="AF441" s="35" t="str">
        <f t="shared" si="28"/>
        <v>Crazy 8WebUSA13</v>
      </c>
      <c r="AG441" s="1" t="s">
        <v>74</v>
      </c>
      <c r="AH441" s="1" t="s">
        <v>15</v>
      </c>
      <c r="AI441" s="1" t="s">
        <v>336</v>
      </c>
      <c r="AJ441" s="1">
        <v>13</v>
      </c>
      <c r="AK441" s="27">
        <v>0.4</v>
      </c>
      <c r="AM441" s="262" t="str">
        <f t="shared" si="29"/>
        <v>Crazy 8USARetailGY C8 17 SPRING</v>
      </c>
      <c r="AN441" s="1" t="s">
        <v>74</v>
      </c>
      <c r="AO441" s="1" t="s">
        <v>5</v>
      </c>
      <c r="AP441" s="1" t="s">
        <v>336</v>
      </c>
      <c r="AQ441" s="1">
        <v>2017</v>
      </c>
      <c r="AR441" s="1" t="s">
        <v>16</v>
      </c>
      <c r="AS441" s="299" t="s">
        <v>112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27"/>
    </row>
    <row r="442" spans="32:52" x14ac:dyDescent="0.25">
      <c r="AF442" s="35" t="str">
        <f t="shared" si="28"/>
        <v>Crazy 8WebUSA14</v>
      </c>
      <c r="AG442" s="1" t="s">
        <v>74</v>
      </c>
      <c r="AH442" s="1" t="s">
        <v>15</v>
      </c>
      <c r="AI442" s="1" t="s">
        <v>336</v>
      </c>
      <c r="AJ442" s="1">
        <v>14</v>
      </c>
      <c r="AK442" s="27">
        <v>0.4</v>
      </c>
      <c r="AM442" s="262" t="str">
        <f t="shared" si="29"/>
        <v>Crazy 8USARetailGY C8 17 SPR DOORBUSTER</v>
      </c>
      <c r="AN442" s="1" t="s">
        <v>74</v>
      </c>
      <c r="AO442" s="1" t="s">
        <v>5</v>
      </c>
      <c r="AP442" s="1" t="s">
        <v>336</v>
      </c>
      <c r="AQ442" s="1">
        <v>2017</v>
      </c>
      <c r="AR442" s="1" t="s">
        <v>16</v>
      </c>
      <c r="AS442" s="299" t="s">
        <v>110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27"/>
    </row>
    <row r="443" spans="32:52" x14ac:dyDescent="0.25">
      <c r="AF443" s="35" t="str">
        <f t="shared" si="28"/>
        <v>Crazy 8WebUSA15</v>
      </c>
      <c r="AG443" s="1" t="s">
        <v>74</v>
      </c>
      <c r="AH443" s="1" t="s">
        <v>15</v>
      </c>
      <c r="AI443" s="1" t="s">
        <v>336</v>
      </c>
      <c r="AJ443" s="1">
        <v>15</v>
      </c>
      <c r="AK443" s="27">
        <v>0.45</v>
      </c>
      <c r="AM443" s="262" t="str">
        <f t="shared" si="29"/>
        <v>Crazy 8USARetailGY C8 17 SWIM 1</v>
      </c>
      <c r="AN443" s="1" t="s">
        <v>74</v>
      </c>
      <c r="AO443" s="1" t="s">
        <v>5</v>
      </c>
      <c r="AP443" s="1" t="s">
        <v>336</v>
      </c>
      <c r="AQ443" s="1">
        <v>2017</v>
      </c>
      <c r="AR443" s="1" t="s">
        <v>16</v>
      </c>
      <c r="AS443" s="299" t="s">
        <v>114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27"/>
    </row>
    <row r="444" spans="32:52" x14ac:dyDescent="0.25">
      <c r="AF444" s="35" t="str">
        <f t="shared" si="28"/>
        <v>Crazy 8WebUSA16</v>
      </c>
      <c r="AG444" s="1" t="s">
        <v>74</v>
      </c>
      <c r="AH444" s="1" t="s">
        <v>15</v>
      </c>
      <c r="AI444" s="1" t="s">
        <v>336</v>
      </c>
      <c r="AJ444" s="1">
        <v>16</v>
      </c>
      <c r="AK444" s="27">
        <v>0.45</v>
      </c>
      <c r="AM444" s="262" t="str">
        <f t="shared" si="29"/>
        <v>Crazy 8USARetailGY C8 17 SPRING CAP</v>
      </c>
      <c r="AN444" s="1" t="s">
        <v>74</v>
      </c>
      <c r="AO444" s="1" t="s">
        <v>5</v>
      </c>
      <c r="AP444" s="1" t="s">
        <v>336</v>
      </c>
      <c r="AQ444" s="1">
        <v>2017</v>
      </c>
      <c r="AR444" s="1" t="s">
        <v>16</v>
      </c>
      <c r="AS444" s="299" t="s">
        <v>116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27"/>
    </row>
    <row r="445" spans="32:52" x14ac:dyDescent="0.25">
      <c r="AF445" s="35" t="str">
        <f t="shared" si="28"/>
        <v>Crazy 8WebUSA17</v>
      </c>
      <c r="AG445" s="1" t="s">
        <v>74</v>
      </c>
      <c r="AH445" s="1" t="s">
        <v>15</v>
      </c>
      <c r="AI445" s="1" t="s">
        <v>336</v>
      </c>
      <c r="AJ445" s="1">
        <v>17</v>
      </c>
      <c r="AK445" s="27">
        <v>0.45</v>
      </c>
      <c r="AM445" s="262" t="str">
        <f t="shared" si="29"/>
        <v>Crazy 8USARetailGY C8 17 SPRING BREAK</v>
      </c>
      <c r="AN445" s="1" t="s">
        <v>74</v>
      </c>
      <c r="AO445" s="1" t="s">
        <v>5</v>
      </c>
      <c r="AP445" s="1" t="s">
        <v>336</v>
      </c>
      <c r="AQ445" s="1">
        <v>2017</v>
      </c>
      <c r="AR445" s="1" t="s">
        <v>16</v>
      </c>
      <c r="AS445" s="299" t="s">
        <v>118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27"/>
    </row>
    <row r="446" spans="32:52" x14ac:dyDescent="0.25">
      <c r="AF446" s="35" t="str">
        <f t="shared" si="28"/>
        <v>Crazy 8WebUSA18</v>
      </c>
      <c r="AG446" s="1" t="s">
        <v>74</v>
      </c>
      <c r="AH446" s="1" t="s">
        <v>15</v>
      </c>
      <c r="AI446" s="1" t="s">
        <v>336</v>
      </c>
      <c r="AJ446" s="1">
        <v>18</v>
      </c>
      <c r="AK446" s="27">
        <v>0.45</v>
      </c>
      <c r="AM446" s="262" t="str">
        <f t="shared" si="29"/>
        <v>Crazy 8USARetailGY C8 17 SWIM 2</v>
      </c>
      <c r="AN446" s="1" t="s">
        <v>74</v>
      </c>
      <c r="AO446" s="1" t="s">
        <v>5</v>
      </c>
      <c r="AP446" s="1" t="s">
        <v>336</v>
      </c>
      <c r="AQ446" s="1">
        <v>2017</v>
      </c>
      <c r="AR446" s="1" t="s">
        <v>16</v>
      </c>
      <c r="AS446" s="299" t="s">
        <v>120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27"/>
    </row>
    <row r="447" spans="32:52" x14ac:dyDescent="0.25">
      <c r="AF447" s="35" t="str">
        <f t="shared" si="28"/>
        <v>Crazy 8WebUSA19</v>
      </c>
      <c r="AG447" s="1" t="s">
        <v>74</v>
      </c>
      <c r="AH447" s="1" t="s">
        <v>15</v>
      </c>
      <c r="AI447" s="1" t="s">
        <v>336</v>
      </c>
      <c r="AJ447" s="1">
        <v>19</v>
      </c>
      <c r="AK447" s="27">
        <v>0.45</v>
      </c>
      <c r="AM447" s="299"/>
      <c r="AN447" s="1" t="s">
        <v>74</v>
      </c>
      <c r="AO447" s="1" t="s">
        <v>5</v>
      </c>
      <c r="AP447" s="1" t="s">
        <v>336</v>
      </c>
      <c r="AQ447" s="1">
        <v>2017</v>
      </c>
      <c r="AR447" s="1" t="s">
        <v>16</v>
      </c>
      <c r="AS447" s="299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27"/>
    </row>
    <row r="448" spans="32:52" x14ac:dyDescent="0.25">
      <c r="AF448" s="35" t="str">
        <f t="shared" si="28"/>
        <v>Crazy 8WebUSA20</v>
      </c>
      <c r="AG448" s="1" t="s">
        <v>74</v>
      </c>
      <c r="AH448" s="1" t="s">
        <v>15</v>
      </c>
      <c r="AI448" s="1" t="s">
        <v>336</v>
      </c>
      <c r="AJ448" s="1">
        <v>20</v>
      </c>
      <c r="AK448" s="27">
        <v>0.5</v>
      </c>
      <c r="AM448" s="299" t="s">
        <v>126</v>
      </c>
      <c r="AN448" s="1" t="s">
        <v>74</v>
      </c>
      <c r="AO448" s="1" t="s">
        <v>5</v>
      </c>
      <c r="AP448" s="1" t="s">
        <v>336</v>
      </c>
      <c r="AQ448" s="1">
        <v>2017</v>
      </c>
      <c r="AR448" s="1" t="s">
        <v>16</v>
      </c>
      <c r="AS448" s="299" t="s">
        <v>126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27"/>
    </row>
    <row r="449" spans="32:52" x14ac:dyDescent="0.25">
      <c r="AF449" s="35" t="str">
        <f t="shared" si="28"/>
        <v>Crazy 8WebUSA21</v>
      </c>
      <c r="AG449" s="1" t="s">
        <v>74</v>
      </c>
      <c r="AH449" s="1" t="s">
        <v>15</v>
      </c>
      <c r="AI449" s="1" t="s">
        <v>336</v>
      </c>
      <c r="AJ449" s="1">
        <v>21</v>
      </c>
      <c r="AK449" s="27">
        <v>0.5</v>
      </c>
      <c r="AM449" s="299" t="s">
        <v>124</v>
      </c>
      <c r="AN449" s="1" t="s">
        <v>74</v>
      </c>
      <c r="AO449" s="1" t="s">
        <v>5</v>
      </c>
      <c r="AP449" s="1" t="s">
        <v>336</v>
      </c>
      <c r="AQ449" s="1">
        <v>2017</v>
      </c>
      <c r="AR449" s="1" t="s">
        <v>16</v>
      </c>
      <c r="AS449" s="299" t="s">
        <v>124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27"/>
    </row>
    <row r="450" spans="32:52" x14ac:dyDescent="0.25">
      <c r="AF450" s="35" t="str">
        <f t="shared" si="28"/>
        <v>Crazy 8WebUSA22</v>
      </c>
      <c r="AG450" s="1" t="s">
        <v>74</v>
      </c>
      <c r="AH450" s="1" t="s">
        <v>15</v>
      </c>
      <c r="AI450" s="1" t="s">
        <v>336</v>
      </c>
      <c r="AJ450" s="1">
        <v>22</v>
      </c>
      <c r="AK450" s="27">
        <v>0.5</v>
      </c>
      <c r="AM450" s="299"/>
      <c r="AN450" s="1" t="s">
        <v>74</v>
      </c>
      <c r="AO450" s="1" t="s">
        <v>5</v>
      </c>
      <c r="AP450" s="1" t="s">
        <v>336</v>
      </c>
      <c r="AQ450" s="1">
        <v>2017</v>
      </c>
      <c r="AR450" s="1" t="s">
        <v>16</v>
      </c>
      <c r="AS450" s="299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27"/>
    </row>
    <row r="451" spans="32:52" x14ac:dyDescent="0.25">
      <c r="AF451" s="35" t="str">
        <f t="shared" si="28"/>
        <v>Crazy 8WebUSA23</v>
      </c>
      <c r="AG451" s="1" t="s">
        <v>74</v>
      </c>
      <c r="AH451" s="1" t="s">
        <v>15</v>
      </c>
      <c r="AI451" s="1" t="s">
        <v>336</v>
      </c>
      <c r="AJ451" s="1">
        <v>23</v>
      </c>
      <c r="AK451" s="27">
        <v>0.5</v>
      </c>
      <c r="AM451" s="299" t="s">
        <v>130</v>
      </c>
      <c r="AN451" s="1" t="s">
        <v>74</v>
      </c>
      <c r="AO451" s="1" t="s">
        <v>5</v>
      </c>
      <c r="AP451" s="1" t="s">
        <v>336</v>
      </c>
      <c r="AQ451" s="1">
        <v>2017</v>
      </c>
      <c r="AR451" s="1" t="s">
        <v>18</v>
      </c>
      <c r="AS451" s="299" t="s">
        <v>130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27"/>
    </row>
    <row r="452" spans="32:52" x14ac:dyDescent="0.25">
      <c r="AF452" s="35" t="str">
        <f t="shared" si="28"/>
        <v>Crazy 8WebUSA24</v>
      </c>
      <c r="AG452" s="1" t="s">
        <v>74</v>
      </c>
      <c r="AH452" s="1" t="s">
        <v>15</v>
      </c>
      <c r="AI452" s="1" t="s">
        <v>336</v>
      </c>
      <c r="AJ452" s="1">
        <v>24</v>
      </c>
      <c r="AK452" s="27">
        <v>0.5</v>
      </c>
      <c r="AM452" s="299" t="s">
        <v>128</v>
      </c>
      <c r="AN452" s="1" t="s">
        <v>74</v>
      </c>
      <c r="AO452" s="1" t="s">
        <v>5</v>
      </c>
      <c r="AP452" s="1" t="s">
        <v>336</v>
      </c>
      <c r="AQ452" s="1">
        <v>2017</v>
      </c>
      <c r="AR452" s="1" t="s">
        <v>18</v>
      </c>
      <c r="AS452" s="299" t="s">
        <v>128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27"/>
    </row>
    <row r="453" spans="32:52" x14ac:dyDescent="0.25">
      <c r="AF453" s="35" t="str">
        <f t="shared" si="28"/>
        <v>Crazy 8WebUSA25</v>
      </c>
      <c r="AG453" s="1" t="s">
        <v>74</v>
      </c>
      <c r="AH453" s="1" t="s">
        <v>15</v>
      </c>
      <c r="AI453" s="1" t="s">
        <v>336</v>
      </c>
      <c r="AJ453" s="1">
        <v>25</v>
      </c>
      <c r="AK453" s="27">
        <v>0.55000000000000004</v>
      </c>
      <c r="AM453" s="299" t="s">
        <v>132</v>
      </c>
      <c r="AN453" s="1" t="s">
        <v>74</v>
      </c>
      <c r="AO453" s="1" t="s">
        <v>5</v>
      </c>
      <c r="AP453" s="1" t="s">
        <v>336</v>
      </c>
      <c r="AQ453" s="1">
        <v>2017</v>
      </c>
      <c r="AR453" s="1" t="s">
        <v>18</v>
      </c>
      <c r="AS453" s="299" t="s">
        <v>132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27"/>
    </row>
    <row r="454" spans="32:52" x14ac:dyDescent="0.25">
      <c r="AF454" s="35" t="str">
        <f t="shared" ref="AF454:AF481" si="30">AG454&amp;AH454&amp;AI454&amp;AJ454</f>
        <v>Crazy 8WebUSA26</v>
      </c>
      <c r="AG454" s="1" t="s">
        <v>74</v>
      </c>
      <c r="AH454" s="1" t="s">
        <v>15</v>
      </c>
      <c r="AI454" s="1" t="s">
        <v>336</v>
      </c>
      <c r="AJ454" s="1">
        <v>26</v>
      </c>
      <c r="AK454" s="27">
        <v>0.55000000000000004</v>
      </c>
      <c r="AM454" s="299" t="s">
        <v>138</v>
      </c>
      <c r="AN454" s="1" t="s">
        <v>74</v>
      </c>
      <c r="AO454" s="1" t="s">
        <v>5</v>
      </c>
      <c r="AP454" s="1" t="s">
        <v>336</v>
      </c>
      <c r="AQ454" s="1">
        <v>2017</v>
      </c>
      <c r="AR454" s="1" t="s">
        <v>18</v>
      </c>
      <c r="AS454" s="299" t="s">
        <v>138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27"/>
    </row>
    <row r="455" spans="32:52" x14ac:dyDescent="0.25">
      <c r="AF455" s="35" t="str">
        <f t="shared" si="30"/>
        <v>Crazy 8WebUSA27</v>
      </c>
      <c r="AG455" s="1" t="s">
        <v>74</v>
      </c>
      <c r="AH455" s="1" t="s">
        <v>15</v>
      </c>
      <c r="AI455" s="1" t="s">
        <v>336</v>
      </c>
      <c r="AJ455" s="1">
        <v>27</v>
      </c>
      <c r="AK455" s="27">
        <v>0.55000000000000004</v>
      </c>
      <c r="AM455" s="299" t="s">
        <v>134</v>
      </c>
      <c r="AN455" s="1" t="s">
        <v>74</v>
      </c>
      <c r="AO455" s="1" t="s">
        <v>5</v>
      </c>
      <c r="AP455" s="1" t="s">
        <v>336</v>
      </c>
      <c r="AQ455" s="1">
        <v>2017</v>
      </c>
      <c r="AR455" s="1" t="s">
        <v>18</v>
      </c>
      <c r="AS455" s="299" t="s">
        <v>134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27"/>
    </row>
    <row r="456" spans="32:52" x14ac:dyDescent="0.25">
      <c r="AF456" s="35" t="str">
        <f t="shared" si="30"/>
        <v>Crazy 8WebUSA28</v>
      </c>
      <c r="AG456" s="1" t="s">
        <v>74</v>
      </c>
      <c r="AH456" s="1" t="s">
        <v>15</v>
      </c>
      <c r="AI456" s="1" t="s">
        <v>336</v>
      </c>
      <c r="AJ456" s="1">
        <v>28</v>
      </c>
      <c r="AK456" s="27">
        <v>0.55000000000000004</v>
      </c>
      <c r="AM456" s="299" t="s">
        <v>136</v>
      </c>
      <c r="AN456" s="1" t="s">
        <v>74</v>
      </c>
      <c r="AO456" s="1" t="s">
        <v>5</v>
      </c>
      <c r="AP456" s="1" t="s">
        <v>336</v>
      </c>
      <c r="AQ456" s="1">
        <v>2017</v>
      </c>
      <c r="AR456" s="1" t="s">
        <v>18</v>
      </c>
      <c r="AS456" s="299" t="s">
        <v>136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27"/>
    </row>
    <row r="457" spans="32:52" x14ac:dyDescent="0.25">
      <c r="AF457" s="35" t="str">
        <f t="shared" si="30"/>
        <v>Crazy 8WebUSA29</v>
      </c>
      <c r="AG457" s="1" t="s">
        <v>74</v>
      </c>
      <c r="AH457" s="1" t="s">
        <v>15</v>
      </c>
      <c r="AI457" s="1" t="s">
        <v>336</v>
      </c>
      <c r="AJ457" s="1">
        <v>29</v>
      </c>
      <c r="AK457" s="27">
        <v>0.55000000000000004</v>
      </c>
      <c r="AM457" s="299" t="s">
        <v>140</v>
      </c>
      <c r="AN457" s="1" t="s">
        <v>74</v>
      </c>
      <c r="AO457" s="1" t="s">
        <v>5</v>
      </c>
      <c r="AP457" s="1" t="s">
        <v>336</v>
      </c>
      <c r="AQ457" s="1">
        <v>2017</v>
      </c>
      <c r="AR457" s="1" t="s">
        <v>18</v>
      </c>
      <c r="AS457" s="299" t="s">
        <v>140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27"/>
    </row>
    <row r="458" spans="32:52" x14ac:dyDescent="0.25">
      <c r="AF458" s="35" t="str">
        <f t="shared" si="30"/>
        <v>Crazy 8WebUSA30</v>
      </c>
      <c r="AG458" s="1" t="s">
        <v>74</v>
      </c>
      <c r="AH458" s="1" t="s">
        <v>15</v>
      </c>
      <c r="AI458" s="1" t="s">
        <v>336</v>
      </c>
      <c r="AJ458" s="1">
        <v>30</v>
      </c>
      <c r="AK458" s="27">
        <v>0.6</v>
      </c>
      <c r="AM458" s="299" t="s">
        <v>142</v>
      </c>
      <c r="AN458" s="1" t="s">
        <v>74</v>
      </c>
      <c r="AO458" s="1" t="s">
        <v>5</v>
      </c>
      <c r="AP458" s="1" t="s">
        <v>336</v>
      </c>
      <c r="AQ458" s="1">
        <v>2017</v>
      </c>
      <c r="AR458" s="1" t="s">
        <v>18</v>
      </c>
      <c r="AS458" s="299" t="s">
        <v>142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27"/>
    </row>
    <row r="459" spans="32:52" x14ac:dyDescent="0.25">
      <c r="AF459" s="35" t="str">
        <f t="shared" si="30"/>
        <v>Crazy 8WebUSA31</v>
      </c>
      <c r="AG459" s="1" t="s">
        <v>74</v>
      </c>
      <c r="AH459" s="1" t="s">
        <v>15</v>
      </c>
      <c r="AI459" s="1" t="s">
        <v>336</v>
      </c>
      <c r="AJ459" s="1">
        <v>31</v>
      </c>
      <c r="AK459" s="27">
        <v>0.6</v>
      </c>
      <c r="AM459" s="299" t="s">
        <v>144</v>
      </c>
      <c r="AN459" s="1" t="s">
        <v>74</v>
      </c>
      <c r="AO459" s="1" t="s">
        <v>5</v>
      </c>
      <c r="AP459" s="1" t="s">
        <v>336</v>
      </c>
      <c r="AQ459" s="1">
        <v>2017</v>
      </c>
      <c r="AR459" s="1" t="s">
        <v>18</v>
      </c>
      <c r="AS459" s="299" t="s">
        <v>144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27"/>
    </row>
    <row r="460" spans="32:52" x14ac:dyDescent="0.25">
      <c r="AF460" s="35" t="str">
        <f t="shared" si="30"/>
        <v>Crazy 8WebUSA32</v>
      </c>
      <c r="AG460" s="1" t="s">
        <v>74</v>
      </c>
      <c r="AH460" s="1" t="s">
        <v>15</v>
      </c>
      <c r="AI460" s="1" t="s">
        <v>336</v>
      </c>
      <c r="AJ460" s="1">
        <v>32</v>
      </c>
      <c r="AK460" s="27">
        <v>0.6</v>
      </c>
      <c r="AM460" s="299" t="s">
        <v>423</v>
      </c>
      <c r="AN460" s="1" t="s">
        <v>74</v>
      </c>
      <c r="AO460" s="1" t="s">
        <v>15</v>
      </c>
      <c r="AP460" s="1" t="s">
        <v>336</v>
      </c>
      <c r="AQ460" s="1">
        <v>2017</v>
      </c>
      <c r="AR460" s="1" t="s">
        <v>41</v>
      </c>
      <c r="AS460" s="299" t="s">
        <v>423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27"/>
    </row>
    <row r="461" spans="32:52" x14ac:dyDescent="0.25">
      <c r="AF461" s="35" t="str">
        <f t="shared" si="30"/>
        <v>Crazy 8WebUSA33</v>
      </c>
      <c r="AG461" s="1" t="s">
        <v>74</v>
      </c>
      <c r="AH461" s="1" t="s">
        <v>15</v>
      </c>
      <c r="AI461" s="1" t="s">
        <v>336</v>
      </c>
      <c r="AJ461" s="1">
        <v>33</v>
      </c>
      <c r="AK461" s="27">
        <v>0.6</v>
      </c>
      <c r="AM461" s="299" t="s">
        <v>82</v>
      </c>
      <c r="AN461" s="1" t="s">
        <v>74</v>
      </c>
      <c r="AO461" s="1" t="s">
        <v>15</v>
      </c>
      <c r="AP461" s="1" t="s">
        <v>336</v>
      </c>
      <c r="AQ461" s="1">
        <v>2017</v>
      </c>
      <c r="AR461" s="1" t="s">
        <v>39</v>
      </c>
      <c r="AS461" s="299" t="s">
        <v>82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27"/>
    </row>
    <row r="462" spans="32:52" x14ac:dyDescent="0.25">
      <c r="AF462" s="35" t="str">
        <f t="shared" si="30"/>
        <v>Crazy 8WebUSA34</v>
      </c>
      <c r="AG462" s="1" t="s">
        <v>74</v>
      </c>
      <c r="AH462" s="1" t="s">
        <v>15</v>
      </c>
      <c r="AI462" s="1" t="s">
        <v>336</v>
      </c>
      <c r="AJ462" s="1">
        <v>34</v>
      </c>
      <c r="AK462" s="27">
        <v>0.6</v>
      </c>
      <c r="AM462" s="299" t="s">
        <v>76</v>
      </c>
      <c r="AN462" s="1" t="s">
        <v>74</v>
      </c>
      <c r="AO462" s="1" t="s">
        <v>15</v>
      </c>
      <c r="AP462" s="1" t="s">
        <v>336</v>
      </c>
      <c r="AQ462" s="1">
        <v>2017</v>
      </c>
      <c r="AR462" s="1" t="s">
        <v>85</v>
      </c>
      <c r="AS462" s="299" t="s">
        <v>76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27"/>
    </row>
    <row r="463" spans="32:52" x14ac:dyDescent="0.25">
      <c r="AF463" s="35" t="str">
        <f t="shared" si="30"/>
        <v>Crazy 8WebUSA35</v>
      </c>
      <c r="AG463" s="1" t="s">
        <v>74</v>
      </c>
      <c r="AH463" s="1" t="s">
        <v>15</v>
      </c>
      <c r="AI463" s="1" t="s">
        <v>336</v>
      </c>
      <c r="AJ463" s="1">
        <v>35</v>
      </c>
      <c r="AK463" s="27">
        <v>0.65</v>
      </c>
      <c r="AM463" s="299" t="s">
        <v>106</v>
      </c>
      <c r="AN463" s="1" t="s">
        <v>74</v>
      </c>
      <c r="AO463" s="1" t="s">
        <v>15</v>
      </c>
      <c r="AP463" s="1" t="s">
        <v>336</v>
      </c>
      <c r="AQ463" s="1">
        <v>2017</v>
      </c>
      <c r="AR463" s="1" t="s">
        <v>16</v>
      </c>
      <c r="AS463" s="299" t="s">
        <v>106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27"/>
    </row>
    <row r="464" spans="32:52" x14ac:dyDescent="0.25">
      <c r="AF464" s="35" t="str">
        <f t="shared" si="30"/>
        <v>Crazy 8WebUSA36</v>
      </c>
      <c r="AG464" s="1" t="s">
        <v>74</v>
      </c>
      <c r="AH464" s="1" t="s">
        <v>15</v>
      </c>
      <c r="AI464" s="1" t="s">
        <v>336</v>
      </c>
      <c r="AJ464" s="1">
        <v>36</v>
      </c>
      <c r="AK464" s="27">
        <v>0.65</v>
      </c>
      <c r="AM464" s="299" t="s">
        <v>108</v>
      </c>
      <c r="AN464" s="1" t="s">
        <v>74</v>
      </c>
      <c r="AO464" s="1" t="s">
        <v>15</v>
      </c>
      <c r="AP464" s="1" t="s">
        <v>336</v>
      </c>
      <c r="AQ464" s="1">
        <v>2017</v>
      </c>
      <c r="AR464" s="1" t="s">
        <v>16</v>
      </c>
      <c r="AS464" s="299" t="s">
        <v>108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27"/>
    </row>
    <row r="465" spans="32:52" x14ac:dyDescent="0.25">
      <c r="AF465" s="35" t="str">
        <f t="shared" si="30"/>
        <v>Crazy 8WebUSA37</v>
      </c>
      <c r="AG465" s="1" t="s">
        <v>74</v>
      </c>
      <c r="AH465" s="1" t="s">
        <v>15</v>
      </c>
      <c r="AI465" s="1" t="s">
        <v>336</v>
      </c>
      <c r="AJ465" s="1">
        <v>37</v>
      </c>
      <c r="AK465" s="27">
        <v>0.65</v>
      </c>
      <c r="AM465" s="299" t="s">
        <v>104</v>
      </c>
      <c r="AN465" s="1" t="s">
        <v>74</v>
      </c>
      <c r="AO465" s="1" t="s">
        <v>15</v>
      </c>
      <c r="AP465" s="1" t="s">
        <v>336</v>
      </c>
      <c r="AQ465" s="1">
        <v>2017</v>
      </c>
      <c r="AR465" s="1" t="s">
        <v>16</v>
      </c>
      <c r="AS465" s="299" t="s">
        <v>104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27"/>
    </row>
    <row r="466" spans="32:52" x14ac:dyDescent="0.25">
      <c r="AF466" s="35" t="str">
        <f t="shared" si="30"/>
        <v>Crazy 8WebUSA38</v>
      </c>
      <c r="AG466" s="1" t="s">
        <v>74</v>
      </c>
      <c r="AH466" s="1" t="s">
        <v>15</v>
      </c>
      <c r="AI466" s="1" t="s">
        <v>336</v>
      </c>
      <c r="AJ466" s="1">
        <v>38</v>
      </c>
      <c r="AK466" s="27">
        <v>0.65</v>
      </c>
      <c r="AM466" s="299" t="s">
        <v>112</v>
      </c>
      <c r="AN466" s="1" t="s">
        <v>74</v>
      </c>
      <c r="AO466" s="1" t="s">
        <v>15</v>
      </c>
      <c r="AP466" s="1" t="s">
        <v>336</v>
      </c>
      <c r="AQ466" s="1">
        <v>2017</v>
      </c>
      <c r="AR466" s="1" t="s">
        <v>16</v>
      </c>
      <c r="AS466" s="299" t="s">
        <v>112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27"/>
    </row>
    <row r="467" spans="32:52" x14ac:dyDescent="0.25">
      <c r="AF467" s="35" t="str">
        <f t="shared" si="30"/>
        <v>Crazy 8WebUSA39</v>
      </c>
      <c r="AG467" s="1" t="s">
        <v>74</v>
      </c>
      <c r="AH467" s="1" t="s">
        <v>15</v>
      </c>
      <c r="AI467" s="1" t="s">
        <v>336</v>
      </c>
      <c r="AJ467" s="1">
        <v>39</v>
      </c>
      <c r="AK467" s="27">
        <v>0.65</v>
      </c>
      <c r="AM467" s="299" t="s">
        <v>110</v>
      </c>
      <c r="AN467" s="1" t="s">
        <v>74</v>
      </c>
      <c r="AO467" s="1" t="s">
        <v>15</v>
      </c>
      <c r="AP467" s="1" t="s">
        <v>336</v>
      </c>
      <c r="AQ467" s="1">
        <v>2017</v>
      </c>
      <c r="AR467" s="1" t="s">
        <v>16</v>
      </c>
      <c r="AS467" s="299" t="s">
        <v>110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27"/>
    </row>
    <row r="468" spans="32:52" x14ac:dyDescent="0.25">
      <c r="AF468" s="35" t="str">
        <f t="shared" si="30"/>
        <v>Crazy 8WebUSA40</v>
      </c>
      <c r="AG468" s="1" t="s">
        <v>74</v>
      </c>
      <c r="AH468" s="1" t="s">
        <v>15</v>
      </c>
      <c r="AI468" s="1" t="s">
        <v>336</v>
      </c>
      <c r="AJ468" s="1">
        <v>40</v>
      </c>
      <c r="AK468" s="27">
        <v>0.7</v>
      </c>
      <c r="AM468" s="299" t="s">
        <v>114</v>
      </c>
      <c r="AN468" s="1" t="s">
        <v>74</v>
      </c>
      <c r="AO468" s="1" t="s">
        <v>15</v>
      </c>
      <c r="AP468" s="1" t="s">
        <v>336</v>
      </c>
      <c r="AQ468" s="1">
        <v>2017</v>
      </c>
      <c r="AR468" s="1" t="s">
        <v>16</v>
      </c>
      <c r="AS468" s="299" t="s">
        <v>114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27"/>
    </row>
    <row r="469" spans="32:52" x14ac:dyDescent="0.25">
      <c r="AF469" s="35" t="str">
        <f t="shared" si="30"/>
        <v>Crazy 8WebUSA41</v>
      </c>
      <c r="AG469" s="1" t="s">
        <v>74</v>
      </c>
      <c r="AH469" s="1" t="s">
        <v>15</v>
      </c>
      <c r="AI469" s="1" t="s">
        <v>336</v>
      </c>
      <c r="AJ469" s="1">
        <v>41</v>
      </c>
      <c r="AK469" s="27">
        <v>0.7</v>
      </c>
      <c r="AM469" s="299" t="s">
        <v>116</v>
      </c>
      <c r="AN469" s="1" t="s">
        <v>74</v>
      </c>
      <c r="AO469" s="1" t="s">
        <v>15</v>
      </c>
      <c r="AP469" s="1" t="s">
        <v>336</v>
      </c>
      <c r="AQ469" s="1">
        <v>2017</v>
      </c>
      <c r="AR469" s="1" t="s">
        <v>16</v>
      </c>
      <c r="AS469" s="299" t="s">
        <v>116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27"/>
    </row>
    <row r="470" spans="32:52" x14ac:dyDescent="0.25">
      <c r="AF470" s="35" t="str">
        <f t="shared" si="30"/>
        <v>Crazy 8WebUSA42</v>
      </c>
      <c r="AG470" s="1" t="s">
        <v>74</v>
      </c>
      <c r="AH470" s="1" t="s">
        <v>15</v>
      </c>
      <c r="AI470" s="1" t="s">
        <v>336</v>
      </c>
      <c r="AJ470" s="1">
        <v>42</v>
      </c>
      <c r="AK470" s="27">
        <v>0.7</v>
      </c>
      <c r="AM470" s="299" t="s">
        <v>118</v>
      </c>
      <c r="AN470" s="1" t="s">
        <v>74</v>
      </c>
      <c r="AO470" s="1" t="s">
        <v>15</v>
      </c>
      <c r="AP470" s="1" t="s">
        <v>336</v>
      </c>
      <c r="AQ470" s="1">
        <v>2017</v>
      </c>
      <c r="AR470" s="1" t="s">
        <v>16</v>
      </c>
      <c r="AS470" s="299" t="s">
        <v>118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27"/>
    </row>
    <row r="471" spans="32:52" x14ac:dyDescent="0.25">
      <c r="AF471" s="35" t="str">
        <f t="shared" si="30"/>
        <v>Crazy 8WebUSA43</v>
      </c>
      <c r="AG471" s="1" t="s">
        <v>74</v>
      </c>
      <c r="AH471" s="1" t="s">
        <v>15</v>
      </c>
      <c r="AI471" s="1" t="s">
        <v>336</v>
      </c>
      <c r="AJ471" s="1">
        <v>43</v>
      </c>
      <c r="AK471" s="27">
        <v>0.7</v>
      </c>
      <c r="AM471" s="299" t="s">
        <v>120</v>
      </c>
      <c r="AN471" s="1" t="s">
        <v>74</v>
      </c>
      <c r="AO471" s="1" t="s">
        <v>15</v>
      </c>
      <c r="AP471" s="1" t="s">
        <v>336</v>
      </c>
      <c r="AQ471" s="1">
        <v>2017</v>
      </c>
      <c r="AR471" s="1" t="s">
        <v>16</v>
      </c>
      <c r="AS471" s="299" t="s">
        <v>120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27"/>
    </row>
    <row r="472" spans="32:52" x14ac:dyDescent="0.25">
      <c r="AF472" s="35" t="str">
        <f t="shared" si="30"/>
        <v>Crazy 8WebUSA44</v>
      </c>
      <c r="AG472" s="1" t="s">
        <v>74</v>
      </c>
      <c r="AH472" s="1" t="s">
        <v>15</v>
      </c>
      <c r="AI472" s="1" t="s">
        <v>336</v>
      </c>
      <c r="AJ472" s="1">
        <v>44</v>
      </c>
      <c r="AK472" s="27">
        <v>0.7</v>
      </c>
      <c r="AM472" s="299"/>
      <c r="AN472" s="1" t="s">
        <v>74</v>
      </c>
      <c r="AO472" s="1" t="s">
        <v>15</v>
      </c>
      <c r="AP472" s="1" t="s">
        <v>336</v>
      </c>
      <c r="AQ472" s="1">
        <v>2017</v>
      </c>
      <c r="AR472" s="1" t="s">
        <v>16</v>
      </c>
      <c r="AS472" s="299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27"/>
    </row>
    <row r="473" spans="32:52" x14ac:dyDescent="0.25">
      <c r="AF473" s="35" t="str">
        <f t="shared" si="30"/>
        <v>Crazy 8WebUSA45</v>
      </c>
      <c r="AG473" s="1" t="s">
        <v>74</v>
      </c>
      <c r="AH473" s="1" t="s">
        <v>15</v>
      </c>
      <c r="AI473" s="1" t="s">
        <v>336</v>
      </c>
      <c r="AJ473" s="1">
        <v>45</v>
      </c>
      <c r="AK473" s="27">
        <v>0.7</v>
      </c>
      <c r="AM473" s="299" t="s">
        <v>126</v>
      </c>
      <c r="AN473" s="1" t="s">
        <v>74</v>
      </c>
      <c r="AO473" s="1" t="s">
        <v>15</v>
      </c>
      <c r="AP473" s="1" t="s">
        <v>336</v>
      </c>
      <c r="AQ473" s="1">
        <v>2017</v>
      </c>
      <c r="AR473" s="1" t="s">
        <v>16</v>
      </c>
      <c r="AS473" s="299" t="s">
        <v>126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27"/>
    </row>
    <row r="474" spans="32:52" x14ac:dyDescent="0.25">
      <c r="AF474" s="35" t="str">
        <f t="shared" si="30"/>
        <v>Crazy 8WebUSA46</v>
      </c>
      <c r="AG474" s="1" t="s">
        <v>74</v>
      </c>
      <c r="AH474" s="1" t="s">
        <v>15</v>
      </c>
      <c r="AI474" s="1" t="s">
        <v>336</v>
      </c>
      <c r="AJ474" s="1">
        <v>46</v>
      </c>
      <c r="AK474" s="27">
        <v>0.7</v>
      </c>
      <c r="AM474" s="299" t="s">
        <v>124</v>
      </c>
      <c r="AN474" s="1" t="s">
        <v>74</v>
      </c>
      <c r="AO474" s="1" t="s">
        <v>15</v>
      </c>
      <c r="AP474" s="1" t="s">
        <v>336</v>
      </c>
      <c r="AQ474" s="1">
        <v>2017</v>
      </c>
      <c r="AR474" s="1" t="s">
        <v>16</v>
      </c>
      <c r="AS474" s="299" t="s">
        <v>124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27"/>
    </row>
    <row r="475" spans="32:52" x14ac:dyDescent="0.25">
      <c r="AF475" s="35" t="str">
        <f t="shared" si="30"/>
        <v>Crazy 8WebUSA47</v>
      </c>
      <c r="AG475" s="1" t="s">
        <v>74</v>
      </c>
      <c r="AH475" s="1" t="s">
        <v>15</v>
      </c>
      <c r="AI475" s="1" t="s">
        <v>336</v>
      </c>
      <c r="AJ475" s="1">
        <v>47</v>
      </c>
      <c r="AK475" s="27">
        <v>0.7</v>
      </c>
      <c r="AM475" s="299"/>
      <c r="AN475" s="1" t="s">
        <v>74</v>
      </c>
      <c r="AO475" s="1" t="s">
        <v>15</v>
      </c>
      <c r="AP475" s="1" t="s">
        <v>336</v>
      </c>
      <c r="AQ475" s="1">
        <v>2017</v>
      </c>
      <c r="AR475" s="1" t="s">
        <v>16</v>
      </c>
      <c r="AS475" s="299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27"/>
    </row>
    <row r="476" spans="32:52" x14ac:dyDescent="0.25">
      <c r="AF476" s="35" t="str">
        <f t="shared" si="30"/>
        <v>Crazy 8WebUSA48</v>
      </c>
      <c r="AG476" s="1" t="s">
        <v>74</v>
      </c>
      <c r="AH476" s="1" t="s">
        <v>15</v>
      </c>
      <c r="AI476" s="1" t="s">
        <v>336</v>
      </c>
      <c r="AJ476" s="1">
        <v>48</v>
      </c>
      <c r="AK476" s="27">
        <v>0.7</v>
      </c>
      <c r="AM476" s="299" t="s">
        <v>130</v>
      </c>
      <c r="AN476" s="1" t="s">
        <v>74</v>
      </c>
      <c r="AO476" s="1" t="s">
        <v>15</v>
      </c>
      <c r="AP476" s="1" t="s">
        <v>336</v>
      </c>
      <c r="AQ476" s="1">
        <v>2017</v>
      </c>
      <c r="AR476" s="1" t="s">
        <v>18</v>
      </c>
      <c r="AS476" s="299" t="s">
        <v>130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27"/>
    </row>
    <row r="477" spans="32:52" x14ac:dyDescent="0.25">
      <c r="AF477" s="35" t="str">
        <f t="shared" si="30"/>
        <v>Crazy 8WebUSA49</v>
      </c>
      <c r="AG477" s="1" t="s">
        <v>74</v>
      </c>
      <c r="AH477" s="1" t="s">
        <v>15</v>
      </c>
      <c r="AI477" s="1" t="s">
        <v>336</v>
      </c>
      <c r="AJ477" s="1">
        <v>49</v>
      </c>
      <c r="AK477" s="27">
        <v>0.7</v>
      </c>
      <c r="AM477" s="299" t="s">
        <v>128</v>
      </c>
      <c r="AN477" s="1" t="s">
        <v>74</v>
      </c>
      <c r="AO477" s="1" t="s">
        <v>15</v>
      </c>
      <c r="AP477" s="1" t="s">
        <v>336</v>
      </c>
      <c r="AQ477" s="1">
        <v>2017</v>
      </c>
      <c r="AR477" s="1" t="s">
        <v>18</v>
      </c>
      <c r="AS477" s="299" t="s">
        <v>128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27"/>
    </row>
    <row r="478" spans="32:52" x14ac:dyDescent="0.25">
      <c r="AF478" s="35" t="str">
        <f t="shared" si="30"/>
        <v>Crazy 8WebUSA50</v>
      </c>
      <c r="AG478" s="1" t="s">
        <v>74</v>
      </c>
      <c r="AH478" s="1" t="s">
        <v>15</v>
      </c>
      <c r="AI478" s="1" t="s">
        <v>336</v>
      </c>
      <c r="AJ478" s="1">
        <v>50</v>
      </c>
      <c r="AK478" s="27">
        <v>0.7</v>
      </c>
      <c r="AM478" s="299" t="s">
        <v>132</v>
      </c>
      <c r="AN478" s="1" t="s">
        <v>74</v>
      </c>
      <c r="AO478" s="1" t="s">
        <v>15</v>
      </c>
      <c r="AP478" s="1" t="s">
        <v>336</v>
      </c>
      <c r="AQ478" s="1">
        <v>2017</v>
      </c>
      <c r="AR478" s="1" t="s">
        <v>18</v>
      </c>
      <c r="AS478" s="299" t="s">
        <v>132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27"/>
    </row>
    <row r="479" spans="32:52" x14ac:dyDescent="0.25">
      <c r="AF479" s="35" t="str">
        <f t="shared" si="30"/>
        <v>Crazy 8WebUSA51</v>
      </c>
      <c r="AG479" s="1" t="s">
        <v>74</v>
      </c>
      <c r="AH479" s="1" t="s">
        <v>15</v>
      </c>
      <c r="AI479" s="1" t="s">
        <v>336</v>
      </c>
      <c r="AJ479" s="1">
        <v>51</v>
      </c>
      <c r="AK479" s="27">
        <v>0.7</v>
      </c>
      <c r="AM479" s="299" t="s">
        <v>138</v>
      </c>
      <c r="AN479" s="1" t="s">
        <v>74</v>
      </c>
      <c r="AO479" s="1" t="s">
        <v>15</v>
      </c>
      <c r="AP479" s="1" t="s">
        <v>336</v>
      </c>
      <c r="AQ479" s="1">
        <v>2017</v>
      </c>
      <c r="AR479" s="1" t="s">
        <v>18</v>
      </c>
      <c r="AS479" s="299" t="s">
        <v>138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27"/>
    </row>
    <row r="480" spans="32:52" x14ac:dyDescent="0.25">
      <c r="AF480" s="35" t="str">
        <f t="shared" si="30"/>
        <v>Crazy 8WebUSA52</v>
      </c>
      <c r="AG480" s="1" t="s">
        <v>74</v>
      </c>
      <c r="AH480" s="1" t="s">
        <v>15</v>
      </c>
      <c r="AI480" s="1" t="s">
        <v>336</v>
      </c>
      <c r="AJ480" s="1">
        <v>52</v>
      </c>
      <c r="AK480" s="27">
        <v>0.7</v>
      </c>
      <c r="AM480" s="299" t="s">
        <v>134</v>
      </c>
      <c r="AN480" s="1" t="s">
        <v>74</v>
      </c>
      <c r="AO480" s="1" t="s">
        <v>15</v>
      </c>
      <c r="AP480" s="1" t="s">
        <v>336</v>
      </c>
      <c r="AQ480" s="1">
        <v>2017</v>
      </c>
      <c r="AR480" s="1" t="s">
        <v>18</v>
      </c>
      <c r="AS480" s="299" t="s">
        <v>134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27"/>
    </row>
    <row r="481" spans="32:52" x14ac:dyDescent="0.25">
      <c r="AF481" s="43" t="str">
        <f t="shared" si="30"/>
        <v>Crazy 8WebUSA53</v>
      </c>
      <c r="AG481" s="37" t="s">
        <v>74</v>
      </c>
      <c r="AH481" s="37" t="s">
        <v>15</v>
      </c>
      <c r="AI481" s="37" t="s">
        <v>336</v>
      </c>
      <c r="AJ481" s="37">
        <v>53</v>
      </c>
      <c r="AK481" s="34">
        <v>0.7</v>
      </c>
      <c r="AM481" s="299" t="s">
        <v>136</v>
      </c>
      <c r="AN481" s="1" t="s">
        <v>74</v>
      </c>
      <c r="AO481" s="1" t="s">
        <v>15</v>
      </c>
      <c r="AP481" s="1" t="s">
        <v>336</v>
      </c>
      <c r="AQ481" s="1">
        <v>2017</v>
      </c>
      <c r="AR481" s="1" t="s">
        <v>18</v>
      </c>
      <c r="AS481" s="299" t="s">
        <v>136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27"/>
    </row>
    <row r="482" spans="32:52" x14ac:dyDescent="0.25">
      <c r="AM482" s="299" t="s">
        <v>140</v>
      </c>
      <c r="AN482" s="1" t="s">
        <v>74</v>
      </c>
      <c r="AO482" s="1" t="s">
        <v>15</v>
      </c>
      <c r="AP482" s="1" t="s">
        <v>336</v>
      </c>
      <c r="AQ482" s="1">
        <v>2017</v>
      </c>
      <c r="AR482" s="1" t="s">
        <v>18</v>
      </c>
      <c r="AS482" s="299" t="s">
        <v>140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27"/>
    </row>
    <row r="483" spans="32:52" x14ac:dyDescent="0.25">
      <c r="AM483" s="299" t="s">
        <v>142</v>
      </c>
      <c r="AN483" s="1" t="s">
        <v>74</v>
      </c>
      <c r="AO483" s="1" t="s">
        <v>15</v>
      </c>
      <c r="AP483" s="1" t="s">
        <v>336</v>
      </c>
      <c r="AQ483" s="1">
        <v>2017</v>
      </c>
      <c r="AR483" s="1" t="s">
        <v>18</v>
      </c>
      <c r="AS483" s="299" t="s">
        <v>142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27"/>
    </row>
    <row r="484" spans="32:52" x14ac:dyDescent="0.25">
      <c r="AM484" s="300" t="s">
        <v>144</v>
      </c>
      <c r="AN484" s="37" t="s">
        <v>74</v>
      </c>
      <c r="AO484" s="37" t="s">
        <v>15</v>
      </c>
      <c r="AP484" s="37" t="s">
        <v>336</v>
      </c>
      <c r="AQ484" s="1">
        <v>2017</v>
      </c>
      <c r="AR484" s="37" t="s">
        <v>18</v>
      </c>
      <c r="AS484" s="300" t="s">
        <v>144</v>
      </c>
      <c r="AT484" s="37">
        <v>20.260000000000002</v>
      </c>
      <c r="AU484" s="37">
        <v>4.16</v>
      </c>
      <c r="AV484" s="37">
        <v>14855</v>
      </c>
      <c r="AW484" s="37">
        <v>0.6</v>
      </c>
      <c r="AX484" s="37">
        <v>201819</v>
      </c>
      <c r="AY484" s="37">
        <v>4</v>
      </c>
      <c r="AZ484" s="34"/>
    </row>
  </sheetData>
  <autoFilter ref="Q1:W324"/>
  <sortState ref="Q2:W311">
    <sortCondition ref="T2:T311"/>
    <sortCondition ref="U2:U311"/>
    <sortCondition ref="S2:S311"/>
    <sortCondition ref="V2:V311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2018-05-21T18:42:55Z</dcterms:modified>
</cp:coreProperties>
</file>